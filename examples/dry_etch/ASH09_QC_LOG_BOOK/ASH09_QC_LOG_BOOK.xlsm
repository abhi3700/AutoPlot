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 autoCompressPictures="0"/>
  <bookViews>
    <workbookView xWindow="-5355" yWindow="-21135" windowWidth="20730" windowHeight="11760" tabRatio="530" activeTab="9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  <sheet name="Sheet1" sheetId="7" r:id="rId7"/>
    <sheet name="Sheet2" sheetId="8" r:id="rId8"/>
    <sheet name="Sheet3" sheetId="9" r:id="rId9"/>
    <sheet name="Sheet4" sheetId="10" r:id="rId10"/>
  </sheets>
  <functionGroups/>
  <definedNames>
    <definedName name="_xlnm._FilterDatabase" localSheetId="0" hidden="1">'ASFE1-CP'!$A$11:$P$326</definedName>
    <definedName name="_xlnm._FilterDatabase" localSheetId="2" hidden="1">'ASFE1-ER'!$A$11:$Z$1184</definedName>
    <definedName name="_xlnm._FilterDatabase" localSheetId="6" hidden="1">Sheet1!$C$2:$F$86</definedName>
  </definedNames>
  <calcPr calcId="124519"/>
</workbook>
</file>

<file path=xl/calcChain.xml><?xml version="1.0" encoding="utf-8"?>
<calcChain xmlns="http://schemas.openxmlformats.org/spreadsheetml/2006/main">
  <c r="K61" i="9"/>
  <c r="J61"/>
  <c r="I61"/>
  <c r="H61"/>
  <c r="G61"/>
  <c r="F61"/>
  <c r="E61"/>
  <c r="D61"/>
  <c r="L59" s="1"/>
  <c r="C61"/>
  <c r="K58"/>
  <c r="J58"/>
  <c r="I58"/>
  <c r="H58"/>
  <c r="G58"/>
  <c r="F58"/>
  <c r="E58"/>
  <c r="D58"/>
  <c r="C58"/>
  <c r="K55"/>
  <c r="J55"/>
  <c r="I55"/>
  <c r="H55"/>
  <c r="G55"/>
  <c r="F55"/>
  <c r="E55"/>
  <c r="D55"/>
  <c r="C55"/>
  <c r="L53"/>
  <c r="K10"/>
  <c r="J10"/>
  <c r="I10"/>
  <c r="H10"/>
  <c r="G10"/>
  <c r="F10"/>
  <c r="E10"/>
  <c r="D10"/>
  <c r="C10"/>
  <c r="L8" s="1"/>
  <c r="D14"/>
  <c r="E14"/>
  <c r="F14"/>
  <c r="G14"/>
  <c r="H14"/>
  <c r="I14"/>
  <c r="J14"/>
  <c r="K14"/>
  <c r="C14"/>
  <c r="L12" s="1"/>
  <c r="E18"/>
  <c r="F18"/>
  <c r="G18"/>
  <c r="H18"/>
  <c r="I18"/>
  <c r="J18"/>
  <c r="K18"/>
  <c r="D18"/>
  <c r="C18"/>
  <c r="M16" s="1"/>
  <c r="K22"/>
  <c r="J22"/>
  <c r="I22"/>
  <c r="H22"/>
  <c r="G22"/>
  <c r="F22"/>
  <c r="E22"/>
  <c r="D22"/>
  <c r="C22"/>
  <c r="M20" s="1"/>
  <c r="D32"/>
  <c r="E32"/>
  <c r="F32"/>
  <c r="G32"/>
  <c r="H32"/>
  <c r="I32"/>
  <c r="J32"/>
  <c r="K32"/>
  <c r="C32"/>
  <c r="M30" s="1"/>
  <c r="D28"/>
  <c r="E28"/>
  <c r="F28"/>
  <c r="G28"/>
  <c r="H28"/>
  <c r="I28"/>
  <c r="J28"/>
  <c r="K28"/>
  <c r="C28"/>
  <c r="O26"/>
  <c r="D47"/>
  <c r="E47"/>
  <c r="F47"/>
  <c r="G47"/>
  <c r="H47"/>
  <c r="I47"/>
  <c r="J47"/>
  <c r="K47"/>
  <c r="C47"/>
  <c r="L45" s="1"/>
  <c r="D43"/>
  <c r="E43"/>
  <c r="F43"/>
  <c r="G43"/>
  <c r="H43"/>
  <c r="I43"/>
  <c r="J43"/>
  <c r="K43"/>
  <c r="C43"/>
  <c r="L41" s="1"/>
  <c r="D37"/>
  <c r="E37"/>
  <c r="F37"/>
  <c r="G37"/>
  <c r="H37"/>
  <c r="I37"/>
  <c r="J37"/>
  <c r="K37"/>
  <c r="C37"/>
  <c r="L35" s="1"/>
  <c r="K49"/>
  <c r="J49"/>
  <c r="I49"/>
  <c r="H49"/>
  <c r="G49"/>
  <c r="F49"/>
  <c r="E49"/>
  <c r="D49"/>
  <c r="C49"/>
  <c r="D39"/>
  <c r="E39"/>
  <c r="F39"/>
  <c r="G39"/>
  <c r="H39"/>
  <c r="I39"/>
  <c r="J39"/>
  <c r="K39"/>
  <c r="C39"/>
  <c r="M38" s="1"/>
  <c r="M53" l="1"/>
  <c r="P53" s="1"/>
  <c r="N53"/>
  <c r="N59"/>
  <c r="L56"/>
  <c r="O59"/>
  <c r="M56"/>
  <c r="P56" s="1"/>
  <c r="O56"/>
  <c r="M59"/>
  <c r="P59" s="1"/>
  <c r="N56"/>
  <c r="O53"/>
  <c r="L38"/>
  <c r="P38" s="1"/>
  <c r="O35"/>
  <c r="O41"/>
  <c r="O45"/>
  <c r="L30"/>
  <c r="P30" s="1"/>
  <c r="L20"/>
  <c r="P20" s="1"/>
  <c r="L16"/>
  <c r="P16" s="1"/>
  <c r="O12"/>
  <c r="O8"/>
  <c r="O38"/>
  <c r="N35"/>
  <c r="N41"/>
  <c r="N45"/>
  <c r="O30"/>
  <c r="O20"/>
  <c r="O16"/>
  <c r="N12"/>
  <c r="N8"/>
  <c r="N38"/>
  <c r="M35"/>
  <c r="P35" s="1"/>
  <c r="M41"/>
  <c r="P41" s="1"/>
  <c r="M45"/>
  <c r="P45" s="1"/>
  <c r="N30"/>
  <c r="N20"/>
  <c r="N16"/>
  <c r="M12"/>
  <c r="P12" s="1"/>
  <c r="M8"/>
  <c r="P8" s="1"/>
  <c r="N26"/>
  <c r="L26"/>
  <c r="M26"/>
  <c r="L48"/>
  <c r="O48"/>
  <c r="N48"/>
  <c r="M48"/>
  <c r="P26" l="1"/>
  <c r="P48"/>
  <c r="L1208" i="4"/>
  <c r="K1208"/>
  <c r="J1208"/>
  <c r="I1208"/>
  <c r="H1208"/>
  <c r="G1208"/>
  <c r="F1208"/>
  <c r="E1208"/>
  <c r="M1206" s="1"/>
  <c r="D1208"/>
  <c r="N1206" s="1"/>
  <c r="P1206"/>
  <c r="E1205"/>
  <c r="F1205"/>
  <c r="P1203" s="1"/>
  <c r="G1205"/>
  <c r="H1205"/>
  <c r="I1205"/>
  <c r="J1205"/>
  <c r="K1205"/>
  <c r="L1205"/>
  <c r="D1205"/>
  <c r="M1203"/>
  <c r="J339" i="1"/>
  <c r="G339"/>
  <c r="D339"/>
  <c r="K339" s="1"/>
  <c r="L1202" i="4"/>
  <c r="K1202"/>
  <c r="J1202"/>
  <c r="I1202"/>
  <c r="H1202"/>
  <c r="G1202"/>
  <c r="F1202"/>
  <c r="E1202"/>
  <c r="D1202"/>
  <c r="L1199"/>
  <c r="K1199"/>
  <c r="J1199"/>
  <c r="I1199"/>
  <c r="H1199"/>
  <c r="G1199"/>
  <c r="F1199"/>
  <c r="E1199"/>
  <c r="D1199"/>
  <c r="M1197"/>
  <c r="J338" i="1"/>
  <c r="G338"/>
  <c r="D338"/>
  <c r="K338" s="1"/>
  <c r="L1196" i="4"/>
  <c r="K1196"/>
  <c r="J1196"/>
  <c r="I1196"/>
  <c r="H1196"/>
  <c r="G1196"/>
  <c r="P1194" s="1"/>
  <c r="F1196"/>
  <c r="E1196"/>
  <c r="M1194" s="1"/>
  <c r="D1196"/>
  <c r="N1194"/>
  <c r="J337" i="1"/>
  <c r="G337"/>
  <c r="D337"/>
  <c r="K337" s="1"/>
  <c r="G336"/>
  <c r="J336"/>
  <c r="D336"/>
  <c r="K336" s="1"/>
  <c r="L1193" i="4"/>
  <c r="K1193"/>
  <c r="J1193"/>
  <c r="I1193"/>
  <c r="H1193"/>
  <c r="G1193"/>
  <c r="F1193"/>
  <c r="E1193"/>
  <c r="D1193"/>
  <c r="J335" i="1"/>
  <c r="G335"/>
  <c r="D335"/>
  <c r="K335" s="1"/>
  <c r="L1190" i="4"/>
  <c r="K1190"/>
  <c r="J1190"/>
  <c r="I1190"/>
  <c r="H1190"/>
  <c r="G1190"/>
  <c r="F1190"/>
  <c r="E1190"/>
  <c r="D1190"/>
  <c r="L1187"/>
  <c r="K1187"/>
  <c r="J1187"/>
  <c r="I1187"/>
  <c r="H1187"/>
  <c r="G1187"/>
  <c r="F1187"/>
  <c r="E1187"/>
  <c r="M1185" s="1"/>
  <c r="D1187"/>
  <c r="P1185"/>
  <c r="G333" i="1"/>
  <c r="G334"/>
  <c r="J334"/>
  <c r="D334"/>
  <c r="K334" s="1"/>
  <c r="Q1206" i="4" l="1"/>
  <c r="O1206"/>
  <c r="N1203"/>
  <c r="Q1203" s="1"/>
  <c r="R1203" s="1"/>
  <c r="O1203"/>
  <c r="N1200"/>
  <c r="P1200"/>
  <c r="M1200"/>
  <c r="Q1200" s="1"/>
  <c r="R1200" s="1"/>
  <c r="O1200"/>
  <c r="N1197"/>
  <c r="Q1197" s="1"/>
  <c r="R1197" s="1"/>
  <c r="P1197"/>
  <c r="O1197"/>
  <c r="Q1194"/>
  <c r="R1194" s="1"/>
  <c r="O1194"/>
  <c r="P1191"/>
  <c r="O1191"/>
  <c r="N1191"/>
  <c r="M1191"/>
  <c r="N1188"/>
  <c r="P1188"/>
  <c r="O1188"/>
  <c r="M1188"/>
  <c r="Q1188" s="1"/>
  <c r="R1188" s="1"/>
  <c r="O1185"/>
  <c r="N1185"/>
  <c r="Q1185" s="1"/>
  <c r="R1185" s="1"/>
  <c r="H54" i="8"/>
  <c r="H53"/>
  <c r="D54"/>
  <c r="D53"/>
  <c r="S54"/>
  <c r="S53"/>
  <c r="J333" i="1"/>
  <c r="D333"/>
  <c r="K333" s="1"/>
  <c r="L1184" i="4"/>
  <c r="K1184"/>
  <c r="J1184"/>
  <c r="I1184"/>
  <c r="H1184"/>
  <c r="G1184"/>
  <c r="F1184"/>
  <c r="E1184"/>
  <c r="D1184"/>
  <c r="L1181"/>
  <c r="K1181"/>
  <c r="J1181"/>
  <c r="I1181"/>
  <c r="H1181"/>
  <c r="G1181"/>
  <c r="F1181"/>
  <c r="E1181"/>
  <c r="D1181"/>
  <c r="J332" i="1"/>
  <c r="G332"/>
  <c r="D332"/>
  <c r="K332" s="1"/>
  <c r="L1178" i="4"/>
  <c r="K1178"/>
  <c r="J1178"/>
  <c r="I1178"/>
  <c r="H1178"/>
  <c r="G1178"/>
  <c r="F1178"/>
  <c r="E1178"/>
  <c r="D1178"/>
  <c r="J331" i="1"/>
  <c r="G331"/>
  <c r="D331"/>
  <c r="K331" s="1"/>
  <c r="L1175" i="4"/>
  <c r="K1175"/>
  <c r="J1175"/>
  <c r="I1175"/>
  <c r="H1175"/>
  <c r="G1175"/>
  <c r="F1175"/>
  <c r="E1175"/>
  <c r="D1175"/>
  <c r="J330" i="1"/>
  <c r="G330"/>
  <c r="D330"/>
  <c r="K330" s="1"/>
  <c r="L1172" i="4"/>
  <c r="K1172"/>
  <c r="J1172"/>
  <c r="I1172"/>
  <c r="H1172"/>
  <c r="G1172"/>
  <c r="F1172"/>
  <c r="E1172"/>
  <c r="D1172"/>
  <c r="J329" i="1"/>
  <c r="G329"/>
  <c r="D329"/>
  <c r="K329" s="1"/>
  <c r="L1169" i="4"/>
  <c r="K1169"/>
  <c r="J1169"/>
  <c r="I1169"/>
  <c r="H1169"/>
  <c r="G1169"/>
  <c r="F1169"/>
  <c r="E1169"/>
  <c r="D1169"/>
  <c r="J328" i="1"/>
  <c r="G328"/>
  <c r="D328"/>
  <c r="K328" s="1"/>
  <c r="J325"/>
  <c r="G325"/>
  <c r="D325"/>
  <c r="K325" s="1"/>
  <c r="J324"/>
  <c r="G324"/>
  <c r="D324"/>
  <c r="K324" s="1"/>
  <c r="Q1191" i="4" l="1"/>
  <c r="R1191" s="1"/>
  <c r="N1173"/>
  <c r="N1182"/>
  <c r="M1170"/>
  <c r="P1170"/>
  <c r="O1173"/>
  <c r="M1182"/>
  <c r="Q1182" s="1"/>
  <c r="R1182" s="1"/>
  <c r="P1173"/>
  <c r="P1182"/>
  <c r="O1182"/>
  <c r="M1179"/>
  <c r="N1179"/>
  <c r="P1179"/>
  <c r="O1179"/>
  <c r="N1176"/>
  <c r="P1176"/>
  <c r="M1176"/>
  <c r="O1176"/>
  <c r="M1173"/>
  <c r="O1170"/>
  <c r="N1170"/>
  <c r="N1167"/>
  <c r="P1167"/>
  <c r="O1167"/>
  <c r="M1167"/>
  <c r="Q1167" s="1"/>
  <c r="L1166"/>
  <c r="K1166"/>
  <c r="J1166"/>
  <c r="I1166"/>
  <c r="H1166"/>
  <c r="G1166"/>
  <c r="F1166"/>
  <c r="E1166"/>
  <c r="D1166"/>
  <c r="J327" i="1"/>
  <c r="G327"/>
  <c r="D327"/>
  <c r="K327" s="1"/>
  <c r="L1163" i="4"/>
  <c r="K1163"/>
  <c r="J1163"/>
  <c r="I1163"/>
  <c r="H1163"/>
  <c r="G1163"/>
  <c r="F1163"/>
  <c r="E1163"/>
  <c r="D1163"/>
  <c r="J326" i="1"/>
  <c r="G326"/>
  <c r="D326"/>
  <c r="K326" s="1"/>
  <c r="J323"/>
  <c r="G323"/>
  <c r="D323"/>
  <c r="K323" s="1"/>
  <c r="J322"/>
  <c r="G322"/>
  <c r="D322"/>
  <c r="K322" s="1"/>
  <c r="L1160" i="4"/>
  <c r="K1160"/>
  <c r="J1160"/>
  <c r="I1160"/>
  <c r="H1160"/>
  <c r="G1160"/>
  <c r="F1160"/>
  <c r="E1160"/>
  <c r="D1160"/>
  <c r="L1157"/>
  <c r="K1157"/>
  <c r="J1157"/>
  <c r="I1157"/>
  <c r="H1157"/>
  <c r="G1157"/>
  <c r="F1157"/>
  <c r="E1157"/>
  <c r="D1157"/>
  <c r="J321" i="1"/>
  <c r="G321"/>
  <c r="D321"/>
  <c r="K321" s="1"/>
  <c r="L1154" i="4"/>
  <c r="K1154"/>
  <c r="J1154"/>
  <c r="I1154"/>
  <c r="H1154"/>
  <c r="G1154"/>
  <c r="F1154"/>
  <c r="E1154"/>
  <c r="D1154"/>
  <c r="J320" i="1"/>
  <c r="G320"/>
  <c r="D320"/>
  <c r="L1151" i="4"/>
  <c r="K1151"/>
  <c r="J1151"/>
  <c r="I1151"/>
  <c r="H1151"/>
  <c r="G1151"/>
  <c r="F1151"/>
  <c r="E1151"/>
  <c r="D1151"/>
  <c r="J319" i="1"/>
  <c r="G319"/>
  <c r="D319"/>
  <c r="K319" s="1"/>
  <c r="R86" i="7"/>
  <c r="Q86"/>
  <c r="P86"/>
  <c r="O86"/>
  <c r="N86"/>
  <c r="M86"/>
  <c r="L86"/>
  <c r="K86"/>
  <c r="J86"/>
  <c r="R92"/>
  <c r="Q92"/>
  <c r="P92"/>
  <c r="O92"/>
  <c r="N92"/>
  <c r="M92"/>
  <c r="L92"/>
  <c r="K92"/>
  <c r="J92"/>
  <c r="K80"/>
  <c r="L80"/>
  <c r="T78" s="1"/>
  <c r="M80"/>
  <c r="N80"/>
  <c r="O80"/>
  <c r="P80"/>
  <c r="Q80"/>
  <c r="R80"/>
  <c r="J80"/>
  <c r="S78" s="1"/>
  <c r="L1148" i="4"/>
  <c r="K1148"/>
  <c r="J1148"/>
  <c r="I1148"/>
  <c r="H1148"/>
  <c r="G1148"/>
  <c r="F1148"/>
  <c r="E1148"/>
  <c r="D1148"/>
  <c r="P1146" s="1"/>
  <c r="J318" i="1"/>
  <c r="G318"/>
  <c r="D318"/>
  <c r="L1145" i="4"/>
  <c r="K1145"/>
  <c r="J1145"/>
  <c r="I1145"/>
  <c r="H1145"/>
  <c r="G1145"/>
  <c r="F1145"/>
  <c r="E1145"/>
  <c r="D1145"/>
  <c r="L1142"/>
  <c r="K1142"/>
  <c r="J1142"/>
  <c r="I1142"/>
  <c r="H1142"/>
  <c r="G1142"/>
  <c r="F1142"/>
  <c r="E1142"/>
  <c r="D1142"/>
  <c r="L1139"/>
  <c r="K1139"/>
  <c r="J1139"/>
  <c r="I1139"/>
  <c r="H1139"/>
  <c r="G1139"/>
  <c r="F1139"/>
  <c r="E1139"/>
  <c r="D1139"/>
  <c r="L1136"/>
  <c r="K1136"/>
  <c r="J1136"/>
  <c r="I1136"/>
  <c r="H1136"/>
  <c r="G1136"/>
  <c r="F1136"/>
  <c r="E1136"/>
  <c r="D1136"/>
  <c r="L1133"/>
  <c r="K1133"/>
  <c r="J1133"/>
  <c r="I1133"/>
  <c r="H1133"/>
  <c r="G1133"/>
  <c r="F1133"/>
  <c r="E1133"/>
  <c r="D1133"/>
  <c r="L1130"/>
  <c r="K1130"/>
  <c r="J1130"/>
  <c r="I1130"/>
  <c r="H1130"/>
  <c r="G1130"/>
  <c r="F1130"/>
  <c r="E1130"/>
  <c r="D1130"/>
  <c r="L1127"/>
  <c r="K1127"/>
  <c r="J1127"/>
  <c r="I1127"/>
  <c r="H1127"/>
  <c r="G1127"/>
  <c r="F1127"/>
  <c r="E1127"/>
  <c r="D1127"/>
  <c r="J317" i="1"/>
  <c r="G317"/>
  <c r="D317"/>
  <c r="K317" s="1"/>
  <c r="D1124" i="4"/>
  <c r="L1124"/>
  <c r="K1124"/>
  <c r="J1124"/>
  <c r="I1124"/>
  <c r="H1124"/>
  <c r="G1124"/>
  <c r="F1124"/>
  <c r="E1124"/>
  <c r="J316" i="1"/>
  <c r="G316"/>
  <c r="D316"/>
  <c r="K316" s="1"/>
  <c r="G263"/>
  <c r="G264"/>
  <c r="G268"/>
  <c r="G269"/>
  <c r="G276"/>
  <c r="G277"/>
  <c r="G278"/>
  <c r="G282"/>
  <c r="G284"/>
  <c r="G286"/>
  <c r="G287"/>
  <c r="G288"/>
  <c r="G289"/>
  <c r="G290"/>
  <c r="G292"/>
  <c r="G293"/>
  <c r="G294"/>
  <c r="G296"/>
  <c r="G297"/>
  <c r="G298"/>
  <c r="G299"/>
  <c r="G300"/>
  <c r="G301"/>
  <c r="G302"/>
  <c r="G303"/>
  <c r="G304"/>
  <c r="G305"/>
  <c r="G307"/>
  <c r="G309"/>
  <c r="G310"/>
  <c r="G311"/>
  <c r="G312"/>
  <c r="G314"/>
  <c r="G315"/>
  <c r="J261"/>
  <c r="J263"/>
  <c r="J268"/>
  <c r="J269"/>
  <c r="J276"/>
  <c r="J277"/>
  <c r="J278"/>
  <c r="J284"/>
  <c r="J286"/>
  <c r="J293"/>
  <c r="J294"/>
  <c r="J296"/>
  <c r="J297"/>
  <c r="J298"/>
  <c r="J299"/>
  <c r="J300"/>
  <c r="J301"/>
  <c r="J302"/>
  <c r="J303"/>
  <c r="J305"/>
  <c r="J307"/>
  <c r="J309"/>
  <c r="J310"/>
  <c r="J311"/>
  <c r="J312"/>
  <c r="J314"/>
  <c r="J315"/>
  <c r="G261"/>
  <c r="J260"/>
  <c r="G260"/>
  <c r="P1152" i="4" l="1"/>
  <c r="M1137"/>
  <c r="S90" i="7"/>
  <c r="Q1173" i="4"/>
  <c r="U78" i="7"/>
  <c r="V78" s="1"/>
  <c r="Q1176" i="4"/>
  <c r="R1176" s="1"/>
  <c r="T90" i="7"/>
  <c r="M1128" i="4"/>
  <c r="O1155"/>
  <c r="N1158"/>
  <c r="Q1170"/>
  <c r="R1170" s="1"/>
  <c r="O1161"/>
  <c r="P1137"/>
  <c r="N1164"/>
  <c r="P1140"/>
  <c r="Q1179"/>
  <c r="R1179" s="1"/>
  <c r="N1155"/>
  <c r="N1143"/>
  <c r="N1149"/>
  <c r="P1128"/>
  <c r="M1140"/>
  <c r="P1143"/>
  <c r="M1152"/>
  <c r="M1164"/>
  <c r="R1167"/>
  <c r="R1173"/>
  <c r="P1134"/>
  <c r="N1137"/>
  <c r="M1146"/>
  <c r="P1155"/>
  <c r="P1158"/>
  <c r="N1161"/>
  <c r="P1164"/>
  <c r="O1164"/>
  <c r="M1161"/>
  <c r="P1161"/>
  <c r="M1158"/>
  <c r="O1158"/>
  <c r="M1155"/>
  <c r="N1152"/>
  <c r="O1152"/>
  <c r="P1149"/>
  <c r="M1149"/>
  <c r="O1149"/>
  <c r="U90" i="7"/>
  <c r="S84"/>
  <c r="U84"/>
  <c r="T84"/>
  <c r="N1146" i="4"/>
  <c r="O1146"/>
  <c r="M1143"/>
  <c r="O1143"/>
  <c r="N1140"/>
  <c r="O1140"/>
  <c r="O1137"/>
  <c r="M1134"/>
  <c r="M1131"/>
  <c r="P1131"/>
  <c r="N1131"/>
  <c r="P1122"/>
  <c r="O1128"/>
  <c r="O1131"/>
  <c r="N1134"/>
  <c r="O1134"/>
  <c r="N1128"/>
  <c r="Q1128" s="1"/>
  <c r="P1125"/>
  <c r="O1125"/>
  <c r="N1125"/>
  <c r="M1125"/>
  <c r="N1122"/>
  <c r="M1122"/>
  <c r="O1122"/>
  <c r="L1121"/>
  <c r="K1121"/>
  <c r="J1121"/>
  <c r="I1121"/>
  <c r="H1121"/>
  <c r="G1121"/>
  <c r="F1121"/>
  <c r="E1121"/>
  <c r="D1121"/>
  <c r="D315" i="1"/>
  <c r="K315" s="1"/>
  <c r="Q1134" i="4" l="1"/>
  <c r="R1134" s="1"/>
  <c r="V90" i="7"/>
  <c r="V84"/>
  <c r="Q1137" i="4"/>
  <c r="Q1158"/>
  <c r="R1158" s="1"/>
  <c r="Q1143"/>
  <c r="R1143" s="1"/>
  <c r="Q1149"/>
  <c r="Q1155"/>
  <c r="R1155" s="1"/>
  <c r="R1128"/>
  <c r="Q1164"/>
  <c r="R1164" s="1"/>
  <c r="Q1122"/>
  <c r="R1122" s="1"/>
  <c r="Q1161"/>
  <c r="Q1146"/>
  <c r="R1146" s="1"/>
  <c r="Q1140"/>
  <c r="R1140" s="1"/>
  <c r="Q1125"/>
  <c r="Q1131"/>
  <c r="R1131" s="1"/>
  <c r="Q1152"/>
  <c r="R1152" s="1"/>
  <c r="R1137"/>
  <c r="R1161"/>
  <c r="N1119"/>
  <c r="R1149"/>
  <c r="R1125"/>
  <c r="P1119"/>
  <c r="O1119"/>
  <c r="M1119"/>
  <c r="D314" i="1"/>
  <c r="K314" s="1"/>
  <c r="L1118" i="4"/>
  <c r="K1118"/>
  <c r="J1118"/>
  <c r="I1118"/>
  <c r="H1118"/>
  <c r="G1118"/>
  <c r="F1118"/>
  <c r="E1118"/>
  <c r="D1118"/>
  <c r="D313" i="1"/>
  <c r="K313" s="1"/>
  <c r="Q1119" i="4" l="1"/>
  <c r="R1119" s="1"/>
  <c r="M1116"/>
  <c r="N1116"/>
  <c r="P1116"/>
  <c r="O1116"/>
  <c r="D312" i="1"/>
  <c r="K312" s="1"/>
  <c r="D311"/>
  <c r="K311" s="1"/>
  <c r="L1115" i="4"/>
  <c r="K1115"/>
  <c r="J1115"/>
  <c r="I1115"/>
  <c r="H1115"/>
  <c r="G1115"/>
  <c r="F1115"/>
  <c r="E1115"/>
  <c r="D1115"/>
  <c r="L1112"/>
  <c r="K1112"/>
  <c r="J1112"/>
  <c r="I1112"/>
  <c r="H1112"/>
  <c r="G1112"/>
  <c r="F1112"/>
  <c r="E1112"/>
  <c r="D1112"/>
  <c r="D310" i="1"/>
  <c r="K310" s="1"/>
  <c r="L1109" i="4"/>
  <c r="K1109"/>
  <c r="J1109"/>
  <c r="I1109"/>
  <c r="H1109"/>
  <c r="G1109"/>
  <c r="F1109"/>
  <c r="E1109"/>
  <c r="D1109"/>
  <c r="D309" i="1"/>
  <c r="K309" s="1"/>
  <c r="D308"/>
  <c r="K308" s="1"/>
  <c r="L1106" i="4"/>
  <c r="K1106"/>
  <c r="J1106"/>
  <c r="I1106"/>
  <c r="H1106"/>
  <c r="G1106"/>
  <c r="F1106"/>
  <c r="E1106"/>
  <c r="D1106"/>
  <c r="D1103"/>
  <c r="E1103"/>
  <c r="F1103"/>
  <c r="G1103"/>
  <c r="H1103"/>
  <c r="I1103"/>
  <c r="J1103"/>
  <c r="K1103"/>
  <c r="L1103"/>
  <c r="D1100"/>
  <c r="L1100"/>
  <c r="K1100"/>
  <c r="J1100"/>
  <c r="I1100"/>
  <c r="H1100"/>
  <c r="G1100"/>
  <c r="F1100"/>
  <c r="E1100"/>
  <c r="D307" i="1"/>
  <c r="K307" s="1"/>
  <c r="D306"/>
  <c r="L1097" i="4"/>
  <c r="K1097"/>
  <c r="J1097"/>
  <c r="I1097"/>
  <c r="H1097"/>
  <c r="G1097"/>
  <c r="F1097"/>
  <c r="E1097"/>
  <c r="D1097"/>
  <c r="L1094"/>
  <c r="K1094"/>
  <c r="J1094"/>
  <c r="I1094"/>
  <c r="H1094"/>
  <c r="G1094"/>
  <c r="F1094"/>
  <c r="E1094"/>
  <c r="D1094"/>
  <c r="D305" i="1"/>
  <c r="K305" s="1"/>
  <c r="L1091" i="4"/>
  <c r="K1091"/>
  <c r="J1091"/>
  <c r="I1091"/>
  <c r="H1091"/>
  <c r="G1091"/>
  <c r="F1091"/>
  <c r="E1091"/>
  <c r="D1091"/>
  <c r="D304" i="1"/>
  <c r="K304" s="1"/>
  <c r="L1088" i="4"/>
  <c r="K1088"/>
  <c r="J1088"/>
  <c r="I1088"/>
  <c r="H1088"/>
  <c r="G1088"/>
  <c r="F1088"/>
  <c r="E1088"/>
  <c r="D1088"/>
  <c r="D303" i="1"/>
  <c r="K303" s="1"/>
  <c r="L1085" i="4"/>
  <c r="K1085"/>
  <c r="J1085"/>
  <c r="I1085"/>
  <c r="H1085"/>
  <c r="G1085"/>
  <c r="F1085"/>
  <c r="E1085"/>
  <c r="D1085"/>
  <c r="D302" i="1"/>
  <c r="K302" s="1"/>
  <c r="D301"/>
  <c r="K301" s="1"/>
  <c r="L1082" i="4"/>
  <c r="K1082"/>
  <c r="J1082"/>
  <c r="I1082"/>
  <c r="H1082"/>
  <c r="G1082"/>
  <c r="F1082"/>
  <c r="E1082"/>
  <c r="D1082"/>
  <c r="L1079"/>
  <c r="K1079"/>
  <c r="J1079"/>
  <c r="I1079"/>
  <c r="H1079"/>
  <c r="G1079"/>
  <c r="F1079"/>
  <c r="E1079"/>
  <c r="D1079"/>
  <c r="D300" i="1"/>
  <c r="K300" s="1"/>
  <c r="D299"/>
  <c r="K299" s="1"/>
  <c r="L1076" i="4"/>
  <c r="K1076"/>
  <c r="J1076"/>
  <c r="I1076"/>
  <c r="H1076"/>
  <c r="G1076"/>
  <c r="F1076"/>
  <c r="E1076"/>
  <c r="D1076"/>
  <c r="L1073"/>
  <c r="K1073"/>
  <c r="J1073"/>
  <c r="I1073"/>
  <c r="H1073"/>
  <c r="G1073"/>
  <c r="F1073"/>
  <c r="E1073"/>
  <c r="D1073"/>
  <c r="D298" i="1"/>
  <c r="K298" s="1"/>
  <c r="L1070" i="4"/>
  <c r="K1070"/>
  <c r="J1070"/>
  <c r="I1070"/>
  <c r="H1070"/>
  <c r="G1070"/>
  <c r="F1070"/>
  <c r="E1070"/>
  <c r="D1070"/>
  <c r="D297" i="1"/>
  <c r="K297" s="1"/>
  <c r="J95" i="4"/>
  <c r="L1067"/>
  <c r="K1067"/>
  <c r="J1067"/>
  <c r="I1067"/>
  <c r="H1067"/>
  <c r="G1067"/>
  <c r="F1067"/>
  <c r="E1067"/>
  <c r="D1067"/>
  <c r="D296" i="1"/>
  <c r="D295"/>
  <c r="K295" s="1"/>
  <c r="L1064" i="4"/>
  <c r="K1064"/>
  <c r="J1064"/>
  <c r="I1064"/>
  <c r="H1064"/>
  <c r="G1064"/>
  <c r="F1064"/>
  <c r="E1064"/>
  <c r="D1064"/>
  <c r="D294" i="1"/>
  <c r="K294" s="1"/>
  <c r="L1061" i="4"/>
  <c r="K1061"/>
  <c r="J1061"/>
  <c r="I1061"/>
  <c r="H1061"/>
  <c r="G1061"/>
  <c r="F1061"/>
  <c r="E1061"/>
  <c r="D1061"/>
  <c r="L1058"/>
  <c r="K1058"/>
  <c r="J1058"/>
  <c r="I1058"/>
  <c r="H1058"/>
  <c r="G1058"/>
  <c r="F1058"/>
  <c r="E1058"/>
  <c r="D1058"/>
  <c r="D293" i="1"/>
  <c r="K293" s="1"/>
  <c r="L1055" i="4"/>
  <c r="K1055"/>
  <c r="J1055"/>
  <c r="I1055"/>
  <c r="H1055"/>
  <c r="G1055"/>
  <c r="F1055"/>
  <c r="E1055"/>
  <c r="D1055"/>
  <c r="D292" i="1"/>
  <c r="K292" s="1"/>
  <c r="D1052" i="4"/>
  <c r="E1052"/>
  <c r="F1052"/>
  <c r="G1052"/>
  <c r="H1052"/>
  <c r="I1052"/>
  <c r="J1052"/>
  <c r="K1052"/>
  <c r="L1052"/>
  <c r="D291" i="1"/>
  <c r="L1049" i="4"/>
  <c r="K1049"/>
  <c r="J1049"/>
  <c r="I1049"/>
  <c r="H1049"/>
  <c r="G1049"/>
  <c r="F1049"/>
  <c r="E1049"/>
  <c r="D1049"/>
  <c r="D290" i="1"/>
  <c r="L1046" i="4"/>
  <c r="K1046"/>
  <c r="J1046"/>
  <c r="I1046"/>
  <c r="H1046"/>
  <c r="G1046"/>
  <c r="F1046"/>
  <c r="E1046"/>
  <c r="D1046"/>
  <c r="D289" i="1"/>
  <c r="L1043" i="4"/>
  <c r="K1043"/>
  <c r="J1043"/>
  <c r="I1043"/>
  <c r="H1043"/>
  <c r="G1043"/>
  <c r="F1043"/>
  <c r="E1043"/>
  <c r="D1043"/>
  <c r="L1040"/>
  <c r="K1040"/>
  <c r="J1040"/>
  <c r="I1040"/>
  <c r="H1040"/>
  <c r="G1040"/>
  <c r="F1040"/>
  <c r="E1040"/>
  <c r="D1040"/>
  <c r="D288" i="1"/>
  <c r="K288" s="1"/>
  <c r="D287"/>
  <c r="K287" s="1"/>
  <c r="L1037" i="4"/>
  <c r="K1037"/>
  <c r="J1037"/>
  <c r="I1037"/>
  <c r="H1037"/>
  <c r="G1037"/>
  <c r="F1037"/>
  <c r="E1037"/>
  <c r="D1037"/>
  <c r="L1031"/>
  <c r="K1031"/>
  <c r="J1031"/>
  <c r="I1031"/>
  <c r="H1031"/>
  <c r="G1031"/>
  <c r="F1031"/>
  <c r="E1031"/>
  <c r="D1031"/>
  <c r="L1034"/>
  <c r="K1034"/>
  <c r="J1034"/>
  <c r="I1034"/>
  <c r="H1034"/>
  <c r="G1034"/>
  <c r="F1034"/>
  <c r="E1034"/>
  <c r="D1034"/>
  <c r="D286" i="1"/>
  <c r="K286" s="1"/>
  <c r="L1028" i="4"/>
  <c r="K1028"/>
  <c r="J1028"/>
  <c r="I1028"/>
  <c r="H1028"/>
  <c r="G1028"/>
  <c r="F1028"/>
  <c r="E1028"/>
  <c r="D1028"/>
  <c r="D285" i="1"/>
  <c r="D1019" i="4"/>
  <c r="E1019"/>
  <c r="F1019"/>
  <c r="G1019"/>
  <c r="H1019"/>
  <c r="I1019"/>
  <c r="J1019"/>
  <c r="K1019"/>
  <c r="L1019"/>
  <c r="D1022"/>
  <c r="E1022"/>
  <c r="F1022"/>
  <c r="G1022"/>
  <c r="H1022"/>
  <c r="I1022"/>
  <c r="J1022"/>
  <c r="K1022"/>
  <c r="L1022"/>
  <c r="D1025"/>
  <c r="E1025"/>
  <c r="F1025"/>
  <c r="G1025"/>
  <c r="H1025"/>
  <c r="I1025"/>
  <c r="J1025"/>
  <c r="K1025"/>
  <c r="L1025"/>
  <c r="L1016"/>
  <c r="K1016"/>
  <c r="J1016"/>
  <c r="I1016"/>
  <c r="H1016"/>
  <c r="G1016"/>
  <c r="F1016"/>
  <c r="E1016"/>
  <c r="D1016"/>
  <c r="D284" i="1"/>
  <c r="L1013" i="4"/>
  <c r="K1013"/>
  <c r="J1013"/>
  <c r="I1013"/>
  <c r="H1013"/>
  <c r="G1013"/>
  <c r="F1013"/>
  <c r="E1013"/>
  <c r="D1013"/>
  <c r="D283" i="1"/>
  <c r="L1010" i="4"/>
  <c r="K1010"/>
  <c r="J1010"/>
  <c r="I1010"/>
  <c r="H1010"/>
  <c r="G1010"/>
  <c r="F1010"/>
  <c r="E1010"/>
  <c r="D1010"/>
  <c r="L1007"/>
  <c r="K1007"/>
  <c r="J1007"/>
  <c r="I1007"/>
  <c r="H1007"/>
  <c r="G1007"/>
  <c r="F1007"/>
  <c r="E1007"/>
  <c r="D1007"/>
  <c r="L1004"/>
  <c r="K1004"/>
  <c r="J1004"/>
  <c r="I1004"/>
  <c r="H1004"/>
  <c r="G1004"/>
  <c r="F1004"/>
  <c r="E1004"/>
  <c r="D1004"/>
  <c r="D282" i="1"/>
  <c r="D281"/>
  <c r="K281" s="1"/>
  <c r="L1001" i="4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D280" i="1"/>
  <c r="L995" i="4"/>
  <c r="K995"/>
  <c r="J995"/>
  <c r="I995"/>
  <c r="H995"/>
  <c r="G995"/>
  <c r="F995"/>
  <c r="E995"/>
  <c r="D995"/>
  <c r="D279" i="1"/>
  <c r="L992" i="4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D278" i="1"/>
  <c r="K278" s="1"/>
  <c r="Q1116" i="4" l="1"/>
  <c r="N1062"/>
  <c r="P1071"/>
  <c r="N1092"/>
  <c r="M1110"/>
  <c r="P1113"/>
  <c r="O1080"/>
  <c r="P1065"/>
  <c r="N1086"/>
  <c r="M1092"/>
  <c r="P1005"/>
  <c r="M1044"/>
  <c r="M1077"/>
  <c r="N1083"/>
  <c r="O1092"/>
  <c r="P1095"/>
  <c r="O1101"/>
  <c r="P1107"/>
  <c r="P1002"/>
  <c r="P1062"/>
  <c r="M1065"/>
  <c r="N1068"/>
  <c r="M1071"/>
  <c r="P1074"/>
  <c r="P1086"/>
  <c r="P1041"/>
  <c r="P1077"/>
  <c r="P1092"/>
  <c r="P1029"/>
  <c r="M1062"/>
  <c r="M1086"/>
  <c r="Q1086" s="1"/>
  <c r="R1116"/>
  <c r="O1113"/>
  <c r="N1113"/>
  <c r="M1113"/>
  <c r="O1110"/>
  <c r="N1110"/>
  <c r="P1110"/>
  <c r="M1107"/>
  <c r="N1107"/>
  <c r="O1107"/>
  <c r="P1104"/>
  <c r="N1104"/>
  <c r="M1104"/>
  <c r="O1104"/>
  <c r="M1098"/>
  <c r="N1098"/>
  <c r="P1098"/>
  <c r="N1101"/>
  <c r="M1101"/>
  <c r="P1101"/>
  <c r="O1098"/>
  <c r="O1095"/>
  <c r="N1095"/>
  <c r="M1095"/>
  <c r="O1089"/>
  <c r="P1089"/>
  <c r="N1089"/>
  <c r="M1089"/>
  <c r="O1086"/>
  <c r="P1083"/>
  <c r="O1083"/>
  <c r="M1083"/>
  <c r="P1080"/>
  <c r="N1080"/>
  <c r="M1080"/>
  <c r="N1077"/>
  <c r="O1077"/>
  <c r="M1074"/>
  <c r="O1074"/>
  <c r="N1074"/>
  <c r="N1071"/>
  <c r="O1071"/>
  <c r="P1068"/>
  <c r="O1068"/>
  <c r="M1068"/>
  <c r="M1041"/>
  <c r="P1056"/>
  <c r="N1059"/>
  <c r="O1065"/>
  <c r="O1059"/>
  <c r="M999"/>
  <c r="N1005"/>
  <c r="M1029"/>
  <c r="N1065"/>
  <c r="O1062"/>
  <c r="P1059"/>
  <c r="M1059"/>
  <c r="O1056"/>
  <c r="N1056"/>
  <c r="M1056"/>
  <c r="P1053"/>
  <c r="N1053"/>
  <c r="M1053"/>
  <c r="O1053"/>
  <c r="M1050"/>
  <c r="N1050"/>
  <c r="O1050"/>
  <c r="P1050"/>
  <c r="M1047"/>
  <c r="N1047"/>
  <c r="P1047"/>
  <c r="O1047"/>
  <c r="O1044"/>
  <c r="P1044"/>
  <c r="N1044"/>
  <c r="N1041"/>
  <c r="O1041"/>
  <c r="P1038"/>
  <c r="N1038"/>
  <c r="M1038"/>
  <c r="O1038"/>
  <c r="P1035"/>
  <c r="O1035"/>
  <c r="N1035"/>
  <c r="M1035"/>
  <c r="N1029"/>
  <c r="O1029"/>
  <c r="O1002"/>
  <c r="M1005"/>
  <c r="O1005"/>
  <c r="P1008"/>
  <c r="N1026"/>
  <c r="O1032"/>
  <c r="P1032"/>
  <c r="N1032"/>
  <c r="M1032"/>
  <c r="M1026"/>
  <c r="P1026"/>
  <c r="O1026"/>
  <c r="O1023"/>
  <c r="M1020"/>
  <c r="O1017"/>
  <c r="P1017"/>
  <c r="O1020"/>
  <c r="N1020"/>
  <c r="M1023"/>
  <c r="P1023"/>
  <c r="M1017"/>
  <c r="N1023"/>
  <c r="N1017"/>
  <c r="P1020"/>
  <c r="P1014"/>
  <c r="M1014"/>
  <c r="O1014"/>
  <c r="N1014"/>
  <c r="P1011"/>
  <c r="N1011"/>
  <c r="M1011"/>
  <c r="O1011"/>
  <c r="M1008"/>
  <c r="N1008"/>
  <c r="O1008"/>
  <c r="M1002"/>
  <c r="N1002"/>
  <c r="P999"/>
  <c r="O999"/>
  <c r="N999"/>
  <c r="O996"/>
  <c r="P996"/>
  <c r="N996"/>
  <c r="M996"/>
  <c r="M993"/>
  <c r="P993"/>
  <c r="N993"/>
  <c r="O993"/>
  <c r="P990"/>
  <c r="O990"/>
  <c r="N990"/>
  <c r="M990"/>
  <c r="N987"/>
  <c r="M987"/>
  <c r="O987"/>
  <c r="P987"/>
  <c r="D277" i="1"/>
  <c r="D276"/>
  <c r="D275"/>
  <c r="L986" i="4"/>
  <c r="K986"/>
  <c r="J986"/>
  <c r="I986"/>
  <c r="H986"/>
  <c r="G986"/>
  <c r="F986"/>
  <c r="E986"/>
  <c r="D986"/>
  <c r="L983"/>
  <c r="K983"/>
  <c r="J983"/>
  <c r="I983"/>
  <c r="H983"/>
  <c r="G983"/>
  <c r="F983"/>
  <c r="E983"/>
  <c r="D983"/>
  <c r="D274" i="1"/>
  <c r="L980" i="4"/>
  <c r="K980"/>
  <c r="J980"/>
  <c r="I980"/>
  <c r="H980"/>
  <c r="G980"/>
  <c r="F980"/>
  <c r="E980"/>
  <c r="D980"/>
  <c r="D273" i="1"/>
  <c r="L977" i="4"/>
  <c r="K977"/>
  <c r="J977"/>
  <c r="I977"/>
  <c r="H977"/>
  <c r="G977"/>
  <c r="F977"/>
  <c r="E977"/>
  <c r="D977"/>
  <c r="Q993" l="1"/>
  <c r="Q1071"/>
  <c r="R1071" s="1"/>
  <c r="Q990"/>
  <c r="Q996"/>
  <c r="Q1002"/>
  <c r="R1002" s="1"/>
  <c r="Q1053"/>
  <c r="R1053" s="1"/>
  <c r="Q1080"/>
  <c r="R1080" s="1"/>
  <c r="Q1101"/>
  <c r="R1101" s="1"/>
  <c r="Q1098"/>
  <c r="Q1062"/>
  <c r="R1062" s="1"/>
  <c r="Q1092"/>
  <c r="R1092" s="1"/>
  <c r="Q1089"/>
  <c r="R1089" s="1"/>
  <c r="Q1095"/>
  <c r="Q1107"/>
  <c r="R1107" s="1"/>
  <c r="Q1113"/>
  <c r="Q1008"/>
  <c r="R1008" s="1"/>
  <c r="Q1032"/>
  <c r="R1032" s="1"/>
  <c r="Q1038"/>
  <c r="Q1083"/>
  <c r="Q987"/>
  <c r="Q1014"/>
  <c r="R1014" s="1"/>
  <c r="Q1020"/>
  <c r="R1020" s="1"/>
  <c r="Q1026"/>
  <c r="Q1005"/>
  <c r="R1005" s="1"/>
  <c r="Q1035"/>
  <c r="Q1047"/>
  <c r="R1047" s="1"/>
  <c r="Q1050"/>
  <c r="R1050" s="1"/>
  <c r="Q1059"/>
  <c r="R1059" s="1"/>
  <c r="Q1029"/>
  <c r="R1029" s="1"/>
  <c r="Q1068"/>
  <c r="Q1104"/>
  <c r="R1104" s="1"/>
  <c r="Q1044"/>
  <c r="R1044" s="1"/>
  <c r="Q999"/>
  <c r="Q1017"/>
  <c r="R1017" s="1"/>
  <c r="Q1056"/>
  <c r="Q1011"/>
  <c r="Q1023"/>
  <c r="Q1041"/>
  <c r="R1041" s="1"/>
  <c r="Q1074"/>
  <c r="Q1065"/>
  <c r="R1065" s="1"/>
  <c r="Q1077"/>
  <c r="Q1110"/>
  <c r="R1110" s="1"/>
  <c r="R1083"/>
  <c r="R1095"/>
  <c r="R1035"/>
  <c r="R1077"/>
  <c r="R1086"/>
  <c r="R1038"/>
  <c r="R1074"/>
  <c r="R1113"/>
  <c r="R1098"/>
  <c r="R1068"/>
  <c r="R999"/>
  <c r="R1056"/>
  <c r="R1011"/>
  <c r="R1026"/>
  <c r="R1023"/>
  <c r="R996"/>
  <c r="R993"/>
  <c r="R987"/>
  <c r="M981"/>
  <c r="R990"/>
  <c r="P984"/>
  <c r="O978"/>
  <c r="P975"/>
  <c r="N981"/>
  <c r="P981"/>
  <c r="O984"/>
  <c r="N984"/>
  <c r="M984"/>
  <c r="O981"/>
  <c r="P978"/>
  <c r="N978"/>
  <c r="M978"/>
  <c r="M975"/>
  <c r="O975"/>
  <c r="N975"/>
  <c r="D272" i="1"/>
  <c r="L974" i="4"/>
  <c r="K974"/>
  <c r="J974"/>
  <c r="I974"/>
  <c r="H974"/>
  <c r="G974"/>
  <c r="F974"/>
  <c r="E974"/>
  <c r="D974"/>
  <c r="D271" i="1"/>
  <c r="L971" i="4"/>
  <c r="K971"/>
  <c r="J971"/>
  <c r="I971"/>
  <c r="H971"/>
  <c r="G971"/>
  <c r="F971"/>
  <c r="E971"/>
  <c r="D971"/>
  <c r="D270" i="1"/>
  <c r="L968" i="4"/>
  <c r="K968"/>
  <c r="J968"/>
  <c r="I968"/>
  <c r="H968"/>
  <c r="G968"/>
  <c r="F968"/>
  <c r="E968"/>
  <c r="D968"/>
  <c r="D269" i="1"/>
  <c r="K269" s="1"/>
  <c r="L965" i="4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D268" i="1"/>
  <c r="K268" s="1"/>
  <c r="D959" i="4"/>
  <c r="L959"/>
  <c r="K959"/>
  <c r="J959"/>
  <c r="I959"/>
  <c r="H959"/>
  <c r="G959"/>
  <c r="F959"/>
  <c r="E959"/>
  <c r="D267" i="1"/>
  <c r="D266"/>
  <c r="L956" i="4"/>
  <c r="K956"/>
  <c r="J956"/>
  <c r="I956"/>
  <c r="H956"/>
  <c r="G956"/>
  <c r="F956"/>
  <c r="E956"/>
  <c r="D956"/>
  <c r="D265" i="1"/>
  <c r="K265" s="1"/>
  <c r="L953" i="4"/>
  <c r="K953"/>
  <c r="J953"/>
  <c r="I953"/>
  <c r="H953"/>
  <c r="G953"/>
  <c r="F953"/>
  <c r="E953"/>
  <c r="D953"/>
  <c r="K260" i="1"/>
  <c r="K261"/>
  <c r="Q975" i="4" l="1"/>
  <c r="Q981"/>
  <c r="R981" s="1"/>
  <c r="Q978"/>
  <c r="R978" s="1"/>
  <c r="Q984"/>
  <c r="R984" s="1"/>
  <c r="R975"/>
  <c r="P954"/>
  <c r="P966"/>
  <c r="N969"/>
  <c r="O960"/>
  <c r="P963"/>
  <c r="M966"/>
  <c r="P972"/>
  <c r="N972"/>
  <c r="M972"/>
  <c r="O972"/>
  <c r="M969"/>
  <c r="P969"/>
  <c r="O969"/>
  <c r="N966"/>
  <c r="O966"/>
  <c r="N963"/>
  <c r="M963"/>
  <c r="O963"/>
  <c r="P960"/>
  <c r="N960"/>
  <c r="M960"/>
  <c r="P957"/>
  <c r="M957"/>
  <c r="O957"/>
  <c r="N957"/>
  <c r="M954"/>
  <c r="N954"/>
  <c r="O954"/>
  <c r="P951"/>
  <c r="N951"/>
  <c r="M951"/>
  <c r="O951"/>
  <c r="D264" i="1"/>
  <c r="K264" s="1"/>
  <c r="D263"/>
  <c r="K263" s="1"/>
  <c r="L950" i="4"/>
  <c r="K950"/>
  <c r="J950"/>
  <c r="I950"/>
  <c r="H950"/>
  <c r="G950"/>
  <c r="F950"/>
  <c r="E950"/>
  <c r="D950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62" i="1"/>
  <c r="K262" s="1"/>
  <c r="L941" i="4"/>
  <c r="K941"/>
  <c r="J941"/>
  <c r="I941"/>
  <c r="H941"/>
  <c r="G941"/>
  <c r="F941"/>
  <c r="E941"/>
  <c r="D941"/>
  <c r="D259" i="1"/>
  <c r="K259" s="1"/>
  <c r="L938" i="4"/>
  <c r="K938"/>
  <c r="J938"/>
  <c r="I938"/>
  <c r="H938"/>
  <c r="G938"/>
  <c r="F938"/>
  <c r="E938"/>
  <c r="D938"/>
  <c r="D258" i="1"/>
  <c r="K258" s="1"/>
  <c r="K266"/>
  <c r="K267"/>
  <c r="K270"/>
  <c r="K271"/>
  <c r="K272"/>
  <c r="K273"/>
  <c r="K274"/>
  <c r="K275"/>
  <c r="K276"/>
  <c r="K277"/>
  <c r="K279"/>
  <c r="K280"/>
  <c r="K282"/>
  <c r="K283"/>
  <c r="K284"/>
  <c r="K285"/>
  <c r="K289"/>
  <c r="K290"/>
  <c r="K291"/>
  <c r="K296"/>
  <c r="K306"/>
  <c r="K318"/>
  <c r="K320"/>
  <c r="Q960" i="4" l="1"/>
  <c r="R960" s="1"/>
  <c r="Q963"/>
  <c r="R963" s="1"/>
  <c r="Q954"/>
  <c r="Q969"/>
  <c r="R969" s="1"/>
  <c r="Q951"/>
  <c r="R951" s="1"/>
  <c r="Q957"/>
  <c r="R957" s="1"/>
  <c r="Q966"/>
  <c r="Q972"/>
  <c r="R966"/>
  <c r="N945"/>
  <c r="M948"/>
  <c r="N939"/>
  <c r="N948"/>
  <c r="P945"/>
  <c r="O945"/>
  <c r="R972"/>
  <c r="R954"/>
  <c r="P939"/>
  <c r="M942"/>
  <c r="M945"/>
  <c r="P948"/>
  <c r="O948"/>
  <c r="P942"/>
  <c r="O942"/>
  <c r="N942"/>
  <c r="O939"/>
  <c r="M939"/>
  <c r="P936"/>
  <c r="M936"/>
  <c r="O936"/>
  <c r="N936"/>
  <c r="H72" i="7"/>
  <c r="F81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Q945" i="4" l="1"/>
  <c r="R945" s="1"/>
  <c r="Q936"/>
  <c r="R936" s="1"/>
  <c r="Q948"/>
  <c r="Q939"/>
  <c r="R939" s="1"/>
  <c r="Q942"/>
  <c r="R942" s="1"/>
  <c r="R948"/>
  <c r="E85" i="7"/>
  <c r="D257" i="1"/>
  <c r="K257" s="1"/>
  <c r="L935" i="4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D256" i="1"/>
  <c r="K256" s="1"/>
  <c r="D255"/>
  <c r="K255" s="1"/>
  <c r="D254"/>
  <c r="K254" s="1"/>
  <c r="L929" i="4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D253" i="1"/>
  <c r="K253" s="1"/>
  <c r="L923" i="4"/>
  <c r="K923"/>
  <c r="J923"/>
  <c r="I923"/>
  <c r="H923"/>
  <c r="G923"/>
  <c r="F923"/>
  <c r="E923"/>
  <c r="D923"/>
  <c r="D252" i="1"/>
  <c r="K252" s="1"/>
  <c r="L920" i="4"/>
  <c r="K920"/>
  <c r="J920"/>
  <c r="I920"/>
  <c r="H920"/>
  <c r="G920"/>
  <c r="F920"/>
  <c r="E920"/>
  <c r="D920"/>
  <c r="D251" i="1"/>
  <c r="K251" s="1"/>
  <c r="L917" i="4"/>
  <c r="K917"/>
  <c r="J917"/>
  <c r="I917"/>
  <c r="H917"/>
  <c r="G917"/>
  <c r="F917"/>
  <c r="E917"/>
  <c r="D917"/>
  <c r="D250" i="1"/>
  <c r="K250" s="1"/>
  <c r="L914" i="4"/>
  <c r="K914"/>
  <c r="J914"/>
  <c r="I914"/>
  <c r="H914"/>
  <c r="G914"/>
  <c r="F914"/>
  <c r="E914"/>
  <c r="D914"/>
  <c r="D249" i="1"/>
  <c r="K249" s="1"/>
  <c r="D248"/>
  <c r="K248" s="1"/>
  <c r="L911" i="4"/>
  <c r="K911"/>
  <c r="J911"/>
  <c r="I911"/>
  <c r="H911"/>
  <c r="G911"/>
  <c r="F911"/>
  <c r="E911"/>
  <c r="D911"/>
  <c r="D247" i="1"/>
  <c r="K247" s="1"/>
  <c r="D246"/>
  <c r="K246" s="1"/>
  <c r="L908" i="4"/>
  <c r="K908"/>
  <c r="J908"/>
  <c r="I908"/>
  <c r="H908"/>
  <c r="G908"/>
  <c r="F908"/>
  <c r="E908"/>
  <c r="D908"/>
  <c r="D245" i="1"/>
  <c r="K245" s="1"/>
  <c r="D232"/>
  <c r="K232" s="1"/>
  <c r="D244"/>
  <c r="K244" s="1"/>
  <c r="L905" i="4"/>
  <c r="K905"/>
  <c r="J905"/>
  <c r="I905"/>
  <c r="H905"/>
  <c r="G905"/>
  <c r="F905"/>
  <c r="E905"/>
  <c r="D905"/>
  <c r="L902"/>
  <c r="K902"/>
  <c r="J902"/>
  <c r="I902"/>
  <c r="H902"/>
  <c r="G902"/>
  <c r="F902"/>
  <c r="E902"/>
  <c r="D902"/>
  <c r="D243" i="1"/>
  <c r="K243" s="1"/>
  <c r="L899" i="4"/>
  <c r="K899"/>
  <c r="J899"/>
  <c r="I899"/>
  <c r="H899"/>
  <c r="G899"/>
  <c r="F899"/>
  <c r="D899"/>
  <c r="L896"/>
  <c r="K896"/>
  <c r="J896"/>
  <c r="I896"/>
  <c r="H896"/>
  <c r="G896"/>
  <c r="F896"/>
  <c r="E896"/>
  <c r="D896"/>
  <c r="D242" i="1"/>
  <c r="K242" s="1"/>
  <c r="L893" i="4"/>
  <c r="K893"/>
  <c r="J893"/>
  <c r="I893"/>
  <c r="H893"/>
  <c r="G893"/>
  <c r="F893"/>
  <c r="E893"/>
  <c r="D893"/>
  <c r="D241" i="1"/>
  <c r="K241" s="1"/>
  <c r="D240"/>
  <c r="K240" s="1"/>
  <c r="L890" i="4"/>
  <c r="K890"/>
  <c r="J890"/>
  <c r="I890"/>
  <c r="H890"/>
  <c r="G890"/>
  <c r="F890"/>
  <c r="E890"/>
  <c r="D890"/>
  <c r="D239" i="1"/>
  <c r="K239" s="1"/>
  <c r="D238"/>
  <c r="K238" s="1"/>
  <c r="L884" i="4"/>
  <c r="K884"/>
  <c r="J884"/>
  <c r="I884"/>
  <c r="H884"/>
  <c r="G884"/>
  <c r="F884"/>
  <c r="E884"/>
  <c r="D884"/>
  <c r="L887"/>
  <c r="K887"/>
  <c r="J887"/>
  <c r="I887"/>
  <c r="H887"/>
  <c r="G887"/>
  <c r="F887"/>
  <c r="E887"/>
  <c r="D887"/>
  <c r="D237" i="1"/>
  <c r="K237" s="1"/>
  <c r="D881" i="4"/>
  <c r="D236" i="1"/>
  <c r="K236" s="1"/>
  <c r="L881" i="4"/>
  <c r="K881"/>
  <c r="J881"/>
  <c r="I881"/>
  <c r="H881"/>
  <c r="G881"/>
  <c r="F881"/>
  <c r="E881"/>
  <c r="D235" i="1"/>
  <c r="K235" s="1"/>
  <c r="L878" i="4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D234" i="1"/>
  <c r="K234" s="1"/>
  <c r="L869" i="4"/>
  <c r="K869"/>
  <c r="J869"/>
  <c r="I869"/>
  <c r="H869"/>
  <c r="G869"/>
  <c r="F869"/>
  <c r="E869"/>
  <c r="D869"/>
  <c r="D233" i="1"/>
  <c r="K233" s="1"/>
  <c r="D231"/>
  <c r="K231" s="1"/>
  <c r="L866" i="4"/>
  <c r="K866"/>
  <c r="J866"/>
  <c r="I866"/>
  <c r="H866"/>
  <c r="G866"/>
  <c r="F866"/>
  <c r="E866"/>
  <c r="D866"/>
  <c r="D230" i="1"/>
  <c r="K230" s="1"/>
  <c r="D229"/>
  <c r="K229" s="1"/>
  <c r="L863" i="4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228" i="1"/>
  <c r="K228" s="1"/>
  <c r="L857" i="4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D227" i="1"/>
  <c r="K227" s="1"/>
  <c r="L851" i="4"/>
  <c r="K851"/>
  <c r="J851"/>
  <c r="I851"/>
  <c r="H851"/>
  <c r="G851"/>
  <c r="F851"/>
  <c r="E851"/>
  <c r="D851"/>
  <c r="D226" i="1"/>
  <c r="K226" s="1"/>
  <c r="D225"/>
  <c r="K225" s="1"/>
  <c r="D224"/>
  <c r="K224" s="1"/>
  <c r="D223"/>
  <c r="K223" s="1"/>
  <c r="D222"/>
  <c r="K222" s="1"/>
  <c r="D221"/>
  <c r="K221" s="1"/>
  <c r="D220"/>
  <c r="K220" s="1"/>
  <c r="D219"/>
  <c r="K219" s="1"/>
  <c r="D217"/>
  <c r="K217" s="1"/>
  <c r="D218"/>
  <c r="K218" s="1"/>
  <c r="D216"/>
  <c r="K216" s="1"/>
  <c r="D215"/>
  <c r="K215" s="1"/>
  <c r="D214"/>
  <c r="K214" s="1"/>
  <c r="D213"/>
  <c r="K213" s="1"/>
  <c r="D212"/>
  <c r="K212" s="1"/>
  <c r="D211"/>
  <c r="K211" s="1"/>
  <c r="D210"/>
  <c r="K210" s="1"/>
  <c r="D209"/>
  <c r="K209" s="1"/>
  <c r="D208"/>
  <c r="K208" s="1"/>
  <c r="L794" i="4"/>
  <c r="K794"/>
  <c r="J794"/>
  <c r="I794"/>
  <c r="H794"/>
  <c r="G794"/>
  <c r="F794"/>
  <c r="E794"/>
  <c r="D794"/>
  <c r="D207" i="1"/>
  <c r="K207" s="1"/>
  <c r="L848" i="4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D200" i="1"/>
  <c r="K200" s="1"/>
  <c r="D201"/>
  <c r="K201" s="1"/>
  <c r="D202"/>
  <c r="K202" s="1"/>
  <c r="D203"/>
  <c r="K203" s="1"/>
  <c r="D204"/>
  <c r="K204" s="1"/>
  <c r="D205"/>
  <c r="K205" s="1"/>
  <c r="D206"/>
  <c r="K206" s="1"/>
  <c r="L791" i="4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D686"/>
  <c r="L683"/>
  <c r="K683"/>
  <c r="J683"/>
  <c r="I683"/>
  <c r="H683"/>
  <c r="G683"/>
  <c r="F683"/>
  <c r="E683"/>
  <c r="D683"/>
  <c r="D199" i="1"/>
  <c r="K199" s="1"/>
  <c r="D198"/>
  <c r="K198" s="1"/>
  <c r="D197"/>
  <c r="K197" s="1"/>
  <c r="D196"/>
  <c r="K196" s="1"/>
  <c r="D195"/>
  <c r="K195" s="1"/>
  <c r="D194"/>
  <c r="K194" s="1"/>
  <c r="D193"/>
  <c r="K193" s="1"/>
  <c r="D192"/>
  <c r="K192" s="1"/>
  <c r="D191"/>
  <c r="K191" s="1"/>
  <c r="D190"/>
  <c r="K190" s="1"/>
  <c r="D189"/>
  <c r="K189" s="1"/>
  <c r="D188"/>
  <c r="K188" s="1"/>
  <c r="D187"/>
  <c r="K187" s="1"/>
  <c r="D186"/>
  <c r="K186" s="1"/>
  <c r="D185"/>
  <c r="K185" s="1"/>
  <c r="D184"/>
  <c r="K184" s="1"/>
  <c r="D183"/>
  <c r="K183" s="1"/>
  <c r="D182"/>
  <c r="K182" s="1"/>
  <c r="D181"/>
  <c r="K181" s="1"/>
  <c r="D180"/>
  <c r="K180" s="1"/>
  <c r="D179"/>
  <c r="K179" s="1"/>
  <c r="D178"/>
  <c r="K178" s="1"/>
  <c r="D177"/>
  <c r="K177" s="1"/>
  <c r="D176"/>
  <c r="K176" s="1"/>
  <c r="D175"/>
  <c r="K175" s="1"/>
  <c r="D174"/>
  <c r="K174" s="1"/>
  <c r="D173"/>
  <c r="K173" s="1"/>
  <c r="D172"/>
  <c r="K172" s="1"/>
  <c r="D171"/>
  <c r="K171" s="1"/>
  <c r="D170"/>
  <c r="K170" s="1"/>
  <c r="D169"/>
  <c r="K169" s="1"/>
  <c r="L680" i="4"/>
  <c r="K680"/>
  <c r="J680"/>
  <c r="I680"/>
  <c r="H680"/>
  <c r="G680"/>
  <c r="F680"/>
  <c r="E680"/>
  <c r="D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L488"/>
  <c r="K488"/>
  <c r="J488"/>
  <c r="I488"/>
  <c r="H488"/>
  <c r="G488"/>
  <c r="F488"/>
  <c r="E488"/>
  <c r="D488"/>
  <c r="L485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D118" i="1"/>
  <c r="K118" s="1"/>
  <c r="D168"/>
  <c r="K168" s="1"/>
  <c r="D167"/>
  <c r="K167" s="1"/>
  <c r="D166"/>
  <c r="K166" s="1"/>
  <c r="D165"/>
  <c r="K165" s="1"/>
  <c r="D164"/>
  <c r="K164" s="1"/>
  <c r="D163"/>
  <c r="K163" s="1"/>
  <c r="D162"/>
  <c r="K162" s="1"/>
  <c r="D161"/>
  <c r="K161" s="1"/>
  <c r="D160"/>
  <c r="K160" s="1"/>
  <c r="D159"/>
  <c r="K159" s="1"/>
  <c r="D158"/>
  <c r="K158" s="1"/>
  <c r="D157"/>
  <c r="K157" s="1"/>
  <c r="D156"/>
  <c r="K156" s="1"/>
  <c r="D155"/>
  <c r="K155" s="1"/>
  <c r="D154"/>
  <c r="K154" s="1"/>
  <c r="D153"/>
  <c r="K153" s="1"/>
  <c r="D152"/>
  <c r="K152" s="1"/>
  <c r="D151"/>
  <c r="K151" s="1"/>
  <c r="D150"/>
  <c r="K150" s="1"/>
  <c r="D149"/>
  <c r="K149" s="1"/>
  <c r="D148"/>
  <c r="K148" s="1"/>
  <c r="D147"/>
  <c r="K147" s="1"/>
  <c r="D146"/>
  <c r="K146" s="1"/>
  <c r="D145"/>
  <c r="K145" s="1"/>
  <c r="D144"/>
  <c r="K144" s="1"/>
  <c r="D143"/>
  <c r="K143" s="1"/>
  <c r="D142"/>
  <c r="K142" s="1"/>
  <c r="D141"/>
  <c r="K141" s="1"/>
  <c r="D140"/>
  <c r="K140" s="1"/>
  <c r="D139"/>
  <c r="K139" s="1"/>
  <c r="D138"/>
  <c r="K138" s="1"/>
  <c r="D137"/>
  <c r="K137" s="1"/>
  <c r="D136"/>
  <c r="K136" s="1"/>
  <c r="D135"/>
  <c r="K135" s="1"/>
  <c r="D134"/>
  <c r="K134" s="1"/>
  <c r="D133"/>
  <c r="K133" s="1"/>
  <c r="D132"/>
  <c r="K132" s="1"/>
  <c r="D131"/>
  <c r="K131" s="1"/>
  <c r="D130"/>
  <c r="K130" s="1"/>
  <c r="D129"/>
  <c r="K129" s="1"/>
  <c r="D128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104"/>
  <c r="K104" s="1"/>
  <c r="D103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M303" i="4" l="1"/>
  <c r="O852"/>
  <c r="M372"/>
  <c r="N105"/>
  <c r="M480"/>
  <c r="M636"/>
  <c r="P660"/>
  <c r="N696"/>
  <c r="P771"/>
  <c r="O828"/>
  <c r="O855"/>
  <c r="M867"/>
  <c r="M879"/>
  <c r="O870"/>
  <c r="O873"/>
  <c r="M180"/>
  <c r="P192"/>
  <c r="N231"/>
  <c r="N420"/>
  <c r="M513"/>
  <c r="N564"/>
  <c r="O615"/>
  <c r="N711"/>
  <c r="N747"/>
  <c r="P759"/>
  <c r="P804"/>
  <c r="N807"/>
  <c r="O831"/>
  <c r="P840"/>
  <c r="P855"/>
  <c r="N876"/>
  <c r="M162"/>
  <c r="P177"/>
  <c r="P234"/>
  <c r="O342"/>
  <c r="O366"/>
  <c r="P426"/>
  <c r="P453"/>
  <c r="P456"/>
  <c r="O504"/>
  <c r="P579"/>
  <c r="O630"/>
  <c r="N657"/>
  <c r="P717"/>
  <c r="P732"/>
  <c r="P756"/>
  <c r="N795"/>
  <c r="O801"/>
  <c r="N858"/>
  <c r="M861"/>
  <c r="M759"/>
  <c r="N930"/>
  <c r="N201"/>
  <c r="M216"/>
  <c r="P225"/>
  <c r="P237"/>
  <c r="P273"/>
  <c r="O279"/>
  <c r="P285"/>
  <c r="M294"/>
  <c r="O303"/>
  <c r="M306"/>
  <c r="O312"/>
  <c r="P321"/>
  <c r="O327"/>
  <c r="O330"/>
  <c r="M333"/>
  <c r="P357"/>
  <c r="M369"/>
  <c r="N378"/>
  <c r="M381"/>
  <c r="M390"/>
  <c r="M393"/>
  <c r="P396"/>
  <c r="O402"/>
  <c r="P405"/>
  <c r="O414"/>
  <c r="P432"/>
  <c r="N438"/>
  <c r="N441"/>
  <c r="P465"/>
  <c r="M468"/>
  <c r="P477"/>
  <c r="P486"/>
  <c r="M489"/>
  <c r="P492"/>
  <c r="M501"/>
  <c r="O507"/>
  <c r="N516"/>
  <c r="N519"/>
  <c r="N525"/>
  <c r="M528"/>
  <c r="P534"/>
  <c r="M549"/>
  <c r="N555"/>
  <c r="N561"/>
  <c r="N570"/>
  <c r="P588"/>
  <c r="N591"/>
  <c r="M600"/>
  <c r="N603"/>
  <c r="P618"/>
  <c r="O621"/>
  <c r="M624"/>
  <c r="N630"/>
  <c r="M639"/>
  <c r="O645"/>
  <c r="M648"/>
  <c r="N654"/>
  <c r="M672"/>
  <c r="P681"/>
  <c r="O684"/>
  <c r="P693"/>
  <c r="N699"/>
  <c r="O702"/>
  <c r="P705"/>
  <c r="P708"/>
  <c r="P711"/>
  <c r="N720"/>
  <c r="P723"/>
  <c r="M726"/>
  <c r="O729"/>
  <c r="N735"/>
  <c r="O744"/>
  <c r="P750"/>
  <c r="N756"/>
  <c r="N765"/>
  <c r="N780"/>
  <c r="N789"/>
  <c r="M795"/>
  <c r="P927"/>
  <c r="O933"/>
  <c r="N933"/>
  <c r="M933"/>
  <c r="P933"/>
  <c r="M930"/>
  <c r="P930"/>
  <c r="O930"/>
  <c r="M147"/>
  <c r="O159"/>
  <c r="M219"/>
  <c r="M231"/>
  <c r="M264"/>
  <c r="N387"/>
  <c r="P420"/>
  <c r="N507"/>
  <c r="P615"/>
  <c r="P651"/>
  <c r="P678"/>
  <c r="P690"/>
  <c r="O705"/>
  <c r="P801"/>
  <c r="M810"/>
  <c r="O813"/>
  <c r="N816"/>
  <c r="O819"/>
  <c r="N837"/>
  <c r="N846"/>
  <c r="P924"/>
  <c r="N924"/>
  <c r="M924"/>
  <c r="O924"/>
  <c r="N927"/>
  <c r="M927"/>
  <c r="O927"/>
  <c r="P57"/>
  <c r="P60"/>
  <c r="P72"/>
  <c r="P81"/>
  <c r="M111"/>
  <c r="N45"/>
  <c r="N63"/>
  <c r="O90"/>
  <c r="M105"/>
  <c r="O120"/>
  <c r="P162"/>
  <c r="M744"/>
  <c r="M690"/>
  <c r="P330"/>
  <c r="O756"/>
  <c r="N723"/>
  <c r="N624"/>
  <c r="N549"/>
  <c r="O534"/>
  <c r="N477"/>
  <c r="O27"/>
  <c r="P747"/>
  <c r="N759"/>
  <c r="O762"/>
  <c r="P765"/>
  <c r="N771"/>
  <c r="M774"/>
  <c r="M777"/>
  <c r="O780"/>
  <c r="M783"/>
  <c r="O795"/>
  <c r="M801"/>
  <c r="O807"/>
  <c r="M813"/>
  <c r="M819"/>
  <c r="N822"/>
  <c r="N825"/>
  <c r="M831"/>
  <c r="O834"/>
  <c r="M837"/>
  <c r="O843"/>
  <c r="M846"/>
  <c r="N855"/>
  <c r="O858"/>
  <c r="M864"/>
  <c r="P867"/>
  <c r="P870"/>
  <c r="N873"/>
  <c r="P876"/>
  <c r="N879"/>
  <c r="O129"/>
  <c r="O153"/>
  <c r="O333"/>
  <c r="O381"/>
  <c r="O441"/>
  <c r="O453"/>
  <c r="O489"/>
  <c r="O525"/>
  <c r="O561"/>
  <c r="O588"/>
  <c r="O600"/>
  <c r="O624"/>
  <c r="O648"/>
  <c r="O660"/>
  <c r="O699"/>
  <c r="O735"/>
  <c r="O759"/>
  <c r="O783"/>
  <c r="O825"/>
  <c r="O837"/>
  <c r="P33"/>
  <c r="N54"/>
  <c r="P66"/>
  <c r="N84"/>
  <c r="O108"/>
  <c r="O126"/>
  <c r="P135"/>
  <c r="N138"/>
  <c r="P159"/>
  <c r="O174"/>
  <c r="N183"/>
  <c r="M186"/>
  <c r="O192"/>
  <c r="N222"/>
  <c r="M228"/>
  <c r="M246"/>
  <c r="P294"/>
  <c r="P318"/>
  <c r="P324"/>
  <c r="P339"/>
  <c r="P342"/>
  <c r="P348"/>
  <c r="N363"/>
  <c r="N366"/>
  <c r="P375"/>
  <c r="N411"/>
  <c r="N414"/>
  <c r="O420"/>
  <c r="M426"/>
  <c r="N435"/>
  <c r="M444"/>
  <c r="M456"/>
  <c r="M462"/>
  <c r="M471"/>
  <c r="N483"/>
  <c r="O486"/>
  <c r="M495"/>
  <c r="P504"/>
  <c r="M531"/>
  <c r="N534"/>
  <c r="N540"/>
  <c r="O546"/>
  <c r="P555"/>
  <c r="M579"/>
  <c r="O594"/>
  <c r="N615"/>
  <c r="N621"/>
  <c r="P630"/>
  <c r="P639"/>
  <c r="M642"/>
  <c r="N645"/>
  <c r="M654"/>
  <c r="P663"/>
  <c r="M666"/>
  <c r="N669"/>
  <c r="N678"/>
  <c r="O681"/>
  <c r="N684"/>
  <c r="N690"/>
  <c r="P696"/>
  <c r="O696"/>
  <c r="M705"/>
  <c r="M708"/>
  <c r="O708"/>
  <c r="N717"/>
  <c r="M720"/>
  <c r="O720"/>
  <c r="P726"/>
  <c r="M729"/>
  <c r="M732"/>
  <c r="O732"/>
  <c r="O738"/>
  <c r="M741"/>
  <c r="N744"/>
  <c r="N750"/>
  <c r="O753"/>
  <c r="M762"/>
  <c r="O765"/>
  <c r="M768"/>
  <c r="O768"/>
  <c r="P777"/>
  <c r="M780"/>
  <c r="O786"/>
  <c r="P789"/>
  <c r="N798"/>
  <c r="O798"/>
  <c r="N804"/>
  <c r="P807"/>
  <c r="O810"/>
  <c r="N819"/>
  <c r="M822"/>
  <c r="N831"/>
  <c r="N834"/>
  <c r="O840"/>
  <c r="N843"/>
  <c r="P846"/>
  <c r="O846"/>
  <c r="P849"/>
  <c r="M852"/>
  <c r="P861"/>
  <c r="P864"/>
  <c r="N867"/>
  <c r="P873"/>
  <c r="M876"/>
  <c r="O879"/>
  <c r="P783"/>
  <c r="N813"/>
  <c r="M771"/>
  <c r="Q771" s="1"/>
  <c r="P879"/>
  <c r="N681"/>
  <c r="P834"/>
  <c r="M735"/>
  <c r="P699"/>
  <c r="P774"/>
  <c r="M327"/>
  <c r="P603"/>
  <c r="N357"/>
  <c r="O867"/>
  <c r="M873"/>
  <c r="Q873" s="1"/>
  <c r="O876"/>
  <c r="O741"/>
  <c r="M696"/>
  <c r="N783"/>
  <c r="M843"/>
  <c r="M825"/>
  <c r="M807"/>
  <c r="M798"/>
  <c r="O789"/>
  <c r="N777"/>
  <c r="M765"/>
  <c r="N753"/>
  <c r="P735"/>
  <c r="O717"/>
  <c r="N705"/>
  <c r="N579"/>
  <c r="N840"/>
  <c r="N273"/>
  <c r="M525"/>
  <c r="O540"/>
  <c r="O726"/>
  <c r="O363"/>
  <c r="M561"/>
  <c r="M237"/>
  <c r="O531"/>
  <c r="N786"/>
  <c r="M222"/>
  <c r="N852"/>
  <c r="O849"/>
  <c r="P852"/>
  <c r="P819"/>
  <c r="P825"/>
  <c r="M273"/>
  <c r="Q273" s="1"/>
  <c r="M753"/>
  <c r="P366"/>
  <c r="P798"/>
  <c r="P753"/>
  <c r="M420"/>
  <c r="N849"/>
  <c r="M840"/>
  <c r="M252"/>
  <c r="O273"/>
  <c r="N285"/>
  <c r="N297"/>
  <c r="P306"/>
  <c r="M309"/>
  <c r="O318"/>
  <c r="M330"/>
  <c r="P345"/>
  <c r="P354"/>
  <c r="P360"/>
  <c r="M366"/>
  <c r="M396"/>
  <c r="P414"/>
  <c r="P438"/>
  <c r="M453"/>
  <c r="N468"/>
  <c r="O477"/>
  <c r="P525"/>
  <c r="M603"/>
  <c r="P633"/>
  <c r="O906"/>
  <c r="P21"/>
  <c r="P12"/>
  <c r="O18"/>
  <c r="N30"/>
  <c r="N33"/>
  <c r="N39"/>
  <c r="P42"/>
  <c r="M57"/>
  <c r="M60"/>
  <c r="P63"/>
  <c r="M66"/>
  <c r="M69"/>
  <c r="P75"/>
  <c r="N78"/>
  <c r="P105"/>
  <c r="N111"/>
  <c r="M117"/>
  <c r="N123"/>
  <c r="M138"/>
  <c r="M141"/>
  <c r="N147"/>
  <c r="N150"/>
  <c r="M153"/>
  <c r="N156"/>
  <c r="N162"/>
  <c r="P165"/>
  <c r="N174"/>
  <c r="P183"/>
  <c r="P195"/>
  <c r="N198"/>
  <c r="M201"/>
  <c r="N207"/>
  <c r="M210"/>
  <c r="P216"/>
  <c r="P231"/>
  <c r="O234"/>
  <c r="N237"/>
  <c r="O240"/>
  <c r="M243"/>
  <c r="N81"/>
  <c r="M84"/>
  <c r="P90"/>
  <c r="M93"/>
  <c r="M96"/>
  <c r="O99"/>
  <c r="O123"/>
  <c r="O147"/>
  <c r="O171"/>
  <c r="O195"/>
  <c r="O207"/>
  <c r="O243"/>
  <c r="O246"/>
  <c r="P249"/>
  <c r="M255"/>
  <c r="O255"/>
  <c r="N261"/>
  <c r="O264"/>
  <c r="M267"/>
  <c r="P276"/>
  <c r="N279"/>
  <c r="M285"/>
  <c r="M291"/>
  <c r="O291"/>
  <c r="P303"/>
  <c r="N312"/>
  <c r="N315"/>
  <c r="O315"/>
  <c r="N321"/>
  <c r="P351"/>
  <c r="P363"/>
  <c r="O375"/>
  <c r="M387"/>
  <c r="M399"/>
  <c r="M411"/>
  <c r="O411"/>
  <c r="O435"/>
  <c r="N447"/>
  <c r="P459"/>
  <c r="O471"/>
  <c r="P483"/>
  <c r="O483"/>
  <c r="M486"/>
  <c r="N495"/>
  <c r="P507"/>
  <c r="O513"/>
  <c r="M519"/>
  <c r="M522"/>
  <c r="N531"/>
  <c r="N543"/>
  <c r="O543"/>
  <c r="P549"/>
  <c r="M555"/>
  <c r="M558"/>
  <c r="O570"/>
  <c r="M573"/>
  <c r="P582"/>
  <c r="N585"/>
  <c r="M588"/>
  <c r="O591"/>
  <c r="M594"/>
  <c r="O597"/>
  <c r="O606"/>
  <c r="M615"/>
  <c r="Q615" s="1"/>
  <c r="P621"/>
  <c r="N627"/>
  <c r="M630"/>
  <c r="M633"/>
  <c r="N639"/>
  <c r="P654"/>
  <c r="M663"/>
  <c r="N666"/>
  <c r="M669"/>
  <c r="N672"/>
  <c r="M675"/>
  <c r="M678"/>
  <c r="Q678" s="1"/>
  <c r="O678"/>
  <c r="M681"/>
  <c r="P684"/>
  <c r="P714"/>
  <c r="M717"/>
  <c r="Q717" s="1"/>
  <c r="P720"/>
  <c r="N726"/>
  <c r="N729"/>
  <c r="N732"/>
  <c r="P741"/>
  <c r="P744"/>
  <c r="M756"/>
  <c r="P768"/>
  <c r="O771"/>
  <c r="P780"/>
  <c r="M789"/>
  <c r="Q789" s="1"/>
  <c r="P795"/>
  <c r="N801"/>
  <c r="P813"/>
  <c r="P831"/>
  <c r="M834"/>
  <c r="P837"/>
  <c r="P843"/>
  <c r="M849"/>
  <c r="Q849" s="1"/>
  <c r="M855"/>
  <c r="N864"/>
  <c r="M885"/>
  <c r="P900"/>
  <c r="N909"/>
  <c r="O12"/>
  <c r="O15"/>
  <c r="P30"/>
  <c r="O30"/>
  <c r="M42"/>
  <c r="P51"/>
  <c r="O63"/>
  <c r="O66"/>
  <c r="O72"/>
  <c r="M78"/>
  <c r="O78"/>
  <c r="O84"/>
  <c r="O96"/>
  <c r="M129"/>
  <c r="O132"/>
  <c r="O144"/>
  <c r="N153"/>
  <c r="N177"/>
  <c r="O180"/>
  <c r="P186"/>
  <c r="P198"/>
  <c r="P210"/>
  <c r="O228"/>
  <c r="O288"/>
  <c r="O372"/>
  <c r="O408"/>
  <c r="O444"/>
  <c r="O468"/>
  <c r="O492"/>
  <c r="O567"/>
  <c r="P87"/>
  <c r="M87"/>
  <c r="M144"/>
  <c r="N144"/>
  <c r="M156"/>
  <c r="P156"/>
  <c r="N180"/>
  <c r="P180"/>
  <c r="M189"/>
  <c r="P189"/>
  <c r="O189"/>
  <c r="N204"/>
  <c r="P204"/>
  <c r="N213"/>
  <c r="O213"/>
  <c r="M213"/>
  <c r="P240"/>
  <c r="M240"/>
  <c r="N240"/>
  <c r="M261"/>
  <c r="O261"/>
  <c r="P261"/>
  <c r="M288"/>
  <c r="P288"/>
  <c r="P333"/>
  <c r="N333"/>
  <c r="P369"/>
  <c r="N369"/>
  <c r="O369"/>
  <c r="N381"/>
  <c r="P381"/>
  <c r="N384"/>
  <c r="P384"/>
  <c r="M384"/>
  <c r="P393"/>
  <c r="O393"/>
  <c r="N402"/>
  <c r="M402"/>
  <c r="O405"/>
  <c r="N405"/>
  <c r="N417"/>
  <c r="P417"/>
  <c r="O417"/>
  <c r="M432"/>
  <c r="N432"/>
  <c r="M441"/>
  <c r="Q441" s="1"/>
  <c r="P441"/>
  <c r="P450"/>
  <c r="O450"/>
  <c r="M450"/>
  <c r="N450"/>
  <c r="P462"/>
  <c r="O462"/>
  <c r="N465"/>
  <c r="M465"/>
  <c r="O465"/>
  <c r="P474"/>
  <c r="O474"/>
  <c r="M474"/>
  <c r="N480"/>
  <c r="P480"/>
  <c r="N489"/>
  <c r="P489"/>
  <c r="P498"/>
  <c r="O498"/>
  <c r="N501"/>
  <c r="P501"/>
  <c r="P510"/>
  <c r="O510"/>
  <c r="P513"/>
  <c r="N513"/>
  <c r="P528"/>
  <c r="N528"/>
  <c r="M537"/>
  <c r="O537"/>
  <c r="N537"/>
  <c r="P540"/>
  <c r="M540"/>
  <c r="N546"/>
  <c r="M546"/>
  <c r="P546"/>
  <c r="P552"/>
  <c r="N552"/>
  <c r="M552"/>
  <c r="Q552" s="1"/>
  <c r="N558"/>
  <c r="P558"/>
  <c r="M564"/>
  <c r="P564"/>
  <c r="O564"/>
  <c r="N567"/>
  <c r="P567"/>
  <c r="O573"/>
  <c r="P573"/>
  <c r="O576"/>
  <c r="P576"/>
  <c r="M576"/>
  <c r="N576"/>
  <c r="P585"/>
  <c r="O585"/>
  <c r="P591"/>
  <c r="M591"/>
  <c r="M609"/>
  <c r="O609"/>
  <c r="P609"/>
  <c r="N609"/>
  <c r="M612"/>
  <c r="P612"/>
  <c r="O612"/>
  <c r="N612"/>
  <c r="P627"/>
  <c r="M627"/>
  <c r="P636"/>
  <c r="N636"/>
  <c r="O636"/>
  <c r="M645"/>
  <c r="P645"/>
  <c r="N648"/>
  <c r="P648"/>
  <c r="N651"/>
  <c r="M651"/>
  <c r="Q651" s="1"/>
  <c r="P657"/>
  <c r="M657"/>
  <c r="O657"/>
  <c r="M660"/>
  <c r="N660"/>
  <c r="M687"/>
  <c r="P687"/>
  <c r="O687"/>
  <c r="N687"/>
  <c r="M702"/>
  <c r="P702"/>
  <c r="N702"/>
  <c r="M711"/>
  <c r="O711"/>
  <c r="O33"/>
  <c r="O69"/>
  <c r="O81"/>
  <c r="O93"/>
  <c r="O111"/>
  <c r="N57"/>
  <c r="P174"/>
  <c r="N216"/>
  <c r="P93"/>
  <c r="N117"/>
  <c r="P117"/>
  <c r="O54"/>
  <c r="N75"/>
  <c r="M102"/>
  <c r="O117"/>
  <c r="N132"/>
  <c r="M168"/>
  <c r="M174"/>
  <c r="O216"/>
  <c r="O252"/>
  <c r="M270"/>
  <c r="M276"/>
  <c r="N294"/>
  <c r="M312"/>
  <c r="O321"/>
  <c r="O336"/>
  <c r="M348"/>
  <c r="O360"/>
  <c r="O384"/>
  <c r="N390"/>
  <c r="O396"/>
  <c r="N426"/>
  <c r="N429"/>
  <c r="O432"/>
  <c r="P444"/>
  <c r="N456"/>
  <c r="O456"/>
  <c r="O480"/>
  <c r="N486"/>
  <c r="N492"/>
  <c r="N504"/>
  <c r="M516"/>
  <c r="O516"/>
  <c r="O522"/>
  <c r="O528"/>
  <c r="M534"/>
  <c r="O549"/>
  <c r="O552"/>
  <c r="P561"/>
  <c r="O579"/>
  <c r="N588"/>
  <c r="P597"/>
  <c r="P600"/>
  <c r="O603"/>
  <c r="P624"/>
  <c r="O627"/>
  <c r="O651"/>
  <c r="O663"/>
  <c r="P672"/>
  <c r="P675"/>
  <c r="M684"/>
  <c r="O690"/>
  <c r="M699"/>
  <c r="N708"/>
  <c r="M714"/>
  <c r="O714"/>
  <c r="M159"/>
  <c r="N159"/>
  <c r="P24"/>
  <c r="O24"/>
  <c r="P36"/>
  <c r="O36"/>
  <c r="P96"/>
  <c r="N96"/>
  <c r="O114"/>
  <c r="P114"/>
  <c r="N114"/>
  <c r="M114"/>
  <c r="Q114" s="1"/>
  <c r="N141"/>
  <c r="O141"/>
  <c r="M165"/>
  <c r="N165"/>
  <c r="O225"/>
  <c r="N225"/>
  <c r="M225"/>
  <c r="N246"/>
  <c r="P246"/>
  <c r="O249"/>
  <c r="N249"/>
  <c r="P282"/>
  <c r="N282"/>
  <c r="M282"/>
  <c r="M300"/>
  <c r="P300"/>
  <c r="N324"/>
  <c r="M324"/>
  <c r="N342"/>
  <c r="M342"/>
  <c r="Q342" s="1"/>
  <c r="P378"/>
  <c r="O378"/>
  <c r="M378"/>
  <c r="P408"/>
  <c r="N408"/>
  <c r="M408"/>
  <c r="O21"/>
  <c r="P111"/>
  <c r="M33"/>
  <c r="Q33" s="1"/>
  <c r="N48"/>
  <c r="N66"/>
  <c r="M108"/>
  <c r="P150"/>
  <c r="O168"/>
  <c r="N192"/>
  <c r="P201"/>
  <c r="O204"/>
  <c r="O237"/>
  <c r="O276"/>
  <c r="N336"/>
  <c r="O357"/>
  <c r="P390"/>
  <c r="N270"/>
  <c r="O186"/>
  <c r="N87"/>
  <c r="N15"/>
  <c r="M414"/>
  <c r="N210"/>
  <c r="P102"/>
  <c r="M417"/>
  <c r="O165"/>
  <c r="N129"/>
  <c r="P84"/>
  <c r="P666"/>
  <c r="M498"/>
  <c r="M183"/>
  <c r="Q183" s="1"/>
  <c r="P270"/>
  <c r="N453"/>
  <c r="O426"/>
  <c r="M24"/>
  <c r="N189"/>
  <c r="N474"/>
  <c r="P669"/>
  <c r="O639"/>
  <c r="M150"/>
  <c r="P129"/>
  <c r="M510"/>
  <c r="M12"/>
  <c r="M447"/>
  <c r="O633"/>
  <c r="O675"/>
  <c r="M621"/>
  <c r="Q621" s="1"/>
  <c r="N573"/>
  <c r="O558"/>
  <c r="M543"/>
  <c r="P387"/>
  <c r="M360"/>
  <c r="N348"/>
  <c r="P336"/>
  <c r="P267"/>
  <c r="P252"/>
  <c r="P243"/>
  <c r="O198"/>
  <c r="P168"/>
  <c r="P69"/>
  <c r="N36"/>
  <c r="N276"/>
  <c r="N714"/>
  <c r="O669"/>
  <c r="N633"/>
  <c r="N597"/>
  <c r="N522"/>
  <c r="N498"/>
  <c r="P468"/>
  <c r="M438"/>
  <c r="M429"/>
  <c r="N396"/>
  <c r="N330"/>
  <c r="N288"/>
  <c r="P279"/>
  <c r="M204"/>
  <c r="N186"/>
  <c r="P144"/>
  <c r="M123"/>
  <c r="P519"/>
  <c r="P447"/>
  <c r="P537"/>
  <c r="P411"/>
  <c r="P729"/>
  <c r="N675"/>
  <c r="M567"/>
  <c r="Q567" s="1"/>
  <c r="N393"/>
  <c r="M192"/>
  <c r="Q192" s="1"/>
  <c r="N663"/>
  <c r="N600"/>
  <c r="N510"/>
  <c r="M363"/>
  <c r="M249"/>
  <c r="Q249" s="1"/>
  <c r="N741"/>
  <c r="O672"/>
  <c r="N360"/>
  <c r="N243"/>
  <c r="O150"/>
  <c r="M45"/>
  <c r="P45"/>
  <c r="M99"/>
  <c r="P99"/>
  <c r="M135"/>
  <c r="N135"/>
  <c r="N219"/>
  <c r="P219"/>
  <c r="P39"/>
  <c r="M39"/>
  <c r="P54"/>
  <c r="M54"/>
  <c r="M72"/>
  <c r="N72"/>
  <c r="P120"/>
  <c r="M120"/>
  <c r="N120"/>
  <c r="M126"/>
  <c r="P126"/>
  <c r="O138"/>
  <c r="P138"/>
  <c r="M177"/>
  <c r="O177"/>
  <c r="O222"/>
  <c r="P222"/>
  <c r="N234"/>
  <c r="M234"/>
  <c r="P258"/>
  <c r="O258"/>
  <c r="M258"/>
  <c r="N258"/>
  <c r="P264"/>
  <c r="N264"/>
  <c r="N306"/>
  <c r="O306"/>
  <c r="O309"/>
  <c r="N309"/>
  <c r="M318"/>
  <c r="N318"/>
  <c r="O345"/>
  <c r="M345"/>
  <c r="N345"/>
  <c r="N891"/>
  <c r="O891"/>
  <c r="N303"/>
  <c r="Q303" s="1"/>
  <c r="P18"/>
  <c r="N27"/>
  <c r="N51"/>
  <c r="M63"/>
  <c r="Q63" s="1"/>
  <c r="P78"/>
  <c r="N90"/>
  <c r="O105"/>
  <c r="O156"/>
  <c r="O162"/>
  <c r="P228"/>
  <c r="O285"/>
  <c r="O297"/>
  <c r="O300"/>
  <c r="O324"/>
  <c r="O348"/>
  <c r="M354"/>
  <c r="P372"/>
  <c r="O390"/>
  <c r="O354"/>
  <c r="O270"/>
  <c r="O210"/>
  <c r="O102"/>
  <c r="O51"/>
  <c r="P27"/>
  <c r="N102"/>
  <c r="P429"/>
  <c r="M357"/>
  <c r="Q357" s="1"/>
  <c r="M297"/>
  <c r="O201"/>
  <c r="P141"/>
  <c r="M90"/>
  <c r="M477"/>
  <c r="M18"/>
  <c r="N108"/>
  <c r="P213"/>
  <c r="P153"/>
  <c r="P108"/>
  <c r="P123"/>
  <c r="M321"/>
  <c r="Q321" s="1"/>
  <c r="P402"/>
  <c r="M15"/>
  <c r="M279"/>
  <c r="N354"/>
  <c r="N372"/>
  <c r="M597"/>
  <c r="Q597" s="1"/>
  <c r="P297"/>
  <c r="M504"/>
  <c r="Q504" s="1"/>
  <c r="M507"/>
  <c r="Q507" s="1"/>
  <c r="P132"/>
  <c r="P543"/>
  <c r="M492"/>
  <c r="N444"/>
  <c r="M336"/>
  <c r="N267"/>
  <c r="N252"/>
  <c r="N228"/>
  <c r="M198"/>
  <c r="N168"/>
  <c r="M132"/>
  <c r="N69"/>
  <c r="M36"/>
  <c r="Q36" s="1"/>
  <c r="N24"/>
  <c r="O48"/>
  <c r="P522"/>
  <c r="O501"/>
  <c r="O438"/>
  <c r="O429"/>
  <c r="N300"/>
  <c r="O282"/>
  <c r="N99"/>
  <c r="O87"/>
  <c r="M483"/>
  <c r="Q483" s="1"/>
  <c r="P495"/>
  <c r="N462"/>
  <c r="M48"/>
  <c r="M405"/>
  <c r="Q405" s="1"/>
  <c r="P312"/>
  <c r="N93"/>
  <c r="P516"/>
  <c r="P309"/>
  <c r="N768"/>
  <c r="M585"/>
  <c r="Q585" s="1"/>
  <c r="P531"/>
  <c r="P147"/>
  <c r="O294"/>
  <c r="N126"/>
  <c r="M171"/>
  <c r="P171"/>
  <c r="N171"/>
  <c r="N195"/>
  <c r="M195"/>
  <c r="M207"/>
  <c r="P207"/>
  <c r="N255"/>
  <c r="P255"/>
  <c r="P291"/>
  <c r="N291"/>
  <c r="P315"/>
  <c r="M315"/>
  <c r="N327"/>
  <c r="P327"/>
  <c r="M339"/>
  <c r="N339"/>
  <c r="N351"/>
  <c r="M351"/>
  <c r="M375"/>
  <c r="N375"/>
  <c r="P399"/>
  <c r="N399"/>
  <c r="M423"/>
  <c r="N423"/>
  <c r="P423"/>
  <c r="M435"/>
  <c r="P435"/>
  <c r="N459"/>
  <c r="M459"/>
  <c r="Q459" s="1"/>
  <c r="P471"/>
  <c r="N471"/>
  <c r="M570"/>
  <c r="P570"/>
  <c r="N582"/>
  <c r="M582"/>
  <c r="N594"/>
  <c r="P594"/>
  <c r="M606"/>
  <c r="P606"/>
  <c r="N606"/>
  <c r="N618"/>
  <c r="M618"/>
  <c r="N642"/>
  <c r="P642"/>
  <c r="N693"/>
  <c r="M693"/>
  <c r="O723"/>
  <c r="M723"/>
  <c r="Q723" s="1"/>
  <c r="P738"/>
  <c r="N738"/>
  <c r="M738"/>
  <c r="O747"/>
  <c r="M747"/>
  <c r="M750"/>
  <c r="O750"/>
  <c r="N762"/>
  <c r="P762"/>
  <c r="O774"/>
  <c r="N774"/>
  <c r="P786"/>
  <c r="M786"/>
  <c r="Q786" s="1"/>
  <c r="O804"/>
  <c r="M804"/>
  <c r="N810"/>
  <c r="P810"/>
  <c r="O816"/>
  <c r="P816"/>
  <c r="M816"/>
  <c r="O822"/>
  <c r="P822"/>
  <c r="P828"/>
  <c r="N828"/>
  <c r="M828"/>
  <c r="Q828" s="1"/>
  <c r="M792"/>
  <c r="N792"/>
  <c r="P792"/>
  <c r="O792"/>
  <c r="M858"/>
  <c r="P858"/>
  <c r="N861"/>
  <c r="O861"/>
  <c r="M870"/>
  <c r="N870"/>
  <c r="O57"/>
  <c r="O135"/>
  <c r="O183"/>
  <c r="O219"/>
  <c r="O231"/>
  <c r="O267"/>
  <c r="O339"/>
  <c r="O351"/>
  <c r="O387"/>
  <c r="O399"/>
  <c r="O423"/>
  <c r="O447"/>
  <c r="O459"/>
  <c r="O495"/>
  <c r="O519"/>
  <c r="O555"/>
  <c r="O582"/>
  <c r="O618"/>
  <c r="O642"/>
  <c r="O654"/>
  <c r="O666"/>
  <c r="O693"/>
  <c r="O777"/>
  <c r="O864"/>
  <c r="P882"/>
  <c r="M894"/>
  <c r="N12"/>
  <c r="P15"/>
  <c r="N18"/>
  <c r="N21"/>
  <c r="M27"/>
  <c r="M30"/>
  <c r="N42"/>
  <c r="O45"/>
  <c r="P48"/>
  <c r="M51"/>
  <c r="O60"/>
  <c r="M75"/>
  <c r="Q75" s="1"/>
  <c r="M81"/>
  <c r="Q81" s="1"/>
  <c r="N888"/>
  <c r="P903"/>
  <c r="N915"/>
  <c r="M918"/>
  <c r="N882"/>
  <c r="O882"/>
  <c r="M891"/>
  <c r="P894"/>
  <c r="P897"/>
  <c r="P906"/>
  <c r="O39"/>
  <c r="O897"/>
  <c r="N885"/>
  <c r="O885"/>
  <c r="N894"/>
  <c r="O894"/>
  <c r="N921"/>
  <c r="O903"/>
  <c r="N906"/>
  <c r="M21"/>
  <c r="N60"/>
  <c r="M882"/>
  <c r="P888"/>
  <c r="O888"/>
  <c r="P891"/>
  <c r="N897"/>
  <c r="M900"/>
  <c r="O900"/>
  <c r="M909"/>
  <c r="O909"/>
  <c r="N912"/>
  <c r="O75"/>
  <c r="P885"/>
  <c r="N900"/>
  <c r="M897"/>
  <c r="Q897" s="1"/>
  <c r="M888"/>
  <c r="M903"/>
  <c r="M906"/>
  <c r="O42"/>
  <c r="N903"/>
  <c r="P909"/>
  <c r="M921"/>
  <c r="M915"/>
  <c r="P921"/>
  <c r="O921"/>
  <c r="P918"/>
  <c r="N918"/>
  <c r="O918"/>
  <c r="P915"/>
  <c r="O915"/>
  <c r="P912"/>
  <c r="M912"/>
  <c r="O912"/>
  <c r="Q882" l="1"/>
  <c r="Q891"/>
  <c r="Q297"/>
  <c r="Q354"/>
  <c r="Q123"/>
  <c r="Q429"/>
  <c r="Q24"/>
  <c r="Q261"/>
  <c r="Q237"/>
  <c r="Q915"/>
  <c r="Q870"/>
  <c r="Q318"/>
  <c r="Q258"/>
  <c r="Q159"/>
  <c r="Q156"/>
  <c r="Q30"/>
  <c r="Q582"/>
  <c r="Q375"/>
  <c r="Q339"/>
  <c r="Q417"/>
  <c r="Q687"/>
  <c r="Q657"/>
  <c r="Q612"/>
  <c r="Q540"/>
  <c r="R540" s="1"/>
  <c r="Q240"/>
  <c r="Q420"/>
  <c r="Q927"/>
  <c r="Q930"/>
  <c r="R930" s="1"/>
  <c r="Q921"/>
  <c r="Q816"/>
  <c r="Q132"/>
  <c r="R285"/>
  <c r="Q438"/>
  <c r="Q681"/>
  <c r="Q285"/>
  <c r="Q807"/>
  <c r="R807" s="1"/>
  <c r="Q696"/>
  <c r="Q924"/>
  <c r="Q900"/>
  <c r="R45"/>
  <c r="Q747"/>
  <c r="Q207"/>
  <c r="Q477"/>
  <c r="Q345"/>
  <c r="R345" s="1"/>
  <c r="Q72"/>
  <c r="Q135"/>
  <c r="Q45"/>
  <c r="Q108"/>
  <c r="R108" s="1"/>
  <c r="Q534"/>
  <c r="Q276"/>
  <c r="Q174"/>
  <c r="Q102"/>
  <c r="Q660"/>
  <c r="Q576"/>
  <c r="Q546"/>
  <c r="Q432"/>
  <c r="R432" s="1"/>
  <c r="Q213"/>
  <c r="Q78"/>
  <c r="Q885"/>
  <c r="Q675"/>
  <c r="Q663"/>
  <c r="Q630"/>
  <c r="Q588"/>
  <c r="Q519"/>
  <c r="R519" s="1"/>
  <c r="Q486"/>
  <c r="Q255"/>
  <c r="Q603"/>
  <c r="Q453"/>
  <c r="R453" s="1"/>
  <c r="Q366"/>
  <c r="Q330"/>
  <c r="Q840"/>
  <c r="Q822"/>
  <c r="Q768"/>
  <c r="Q708"/>
  <c r="Q531"/>
  <c r="R531" s="1"/>
  <c r="Q864"/>
  <c r="R864" s="1"/>
  <c r="Q105"/>
  <c r="Q231"/>
  <c r="Q933"/>
  <c r="R933" s="1"/>
  <c r="Q795"/>
  <c r="R795" s="1"/>
  <c r="Q672"/>
  <c r="Q639"/>
  <c r="Q549"/>
  <c r="Q468"/>
  <c r="R468" s="1"/>
  <c r="Q306"/>
  <c r="Q861"/>
  <c r="Q129"/>
  <c r="Q267"/>
  <c r="Q912"/>
  <c r="Q888"/>
  <c r="Q21"/>
  <c r="Q918"/>
  <c r="Q27"/>
  <c r="Q858"/>
  <c r="Q792"/>
  <c r="Q750"/>
  <c r="R750" s="1"/>
  <c r="Q693"/>
  <c r="Q618"/>
  <c r="Q606"/>
  <c r="R606" s="1"/>
  <c r="Q435"/>
  <c r="Q351"/>
  <c r="Q198"/>
  <c r="Q336"/>
  <c r="Q15"/>
  <c r="R15" s="1"/>
  <c r="Q18"/>
  <c r="Q177"/>
  <c r="Q126"/>
  <c r="R126" s="1"/>
  <c r="Q39"/>
  <c r="R39" s="1"/>
  <c r="Q363"/>
  <c r="Q204"/>
  <c r="Q360"/>
  <c r="R360" s="1"/>
  <c r="Q447"/>
  <c r="Q150"/>
  <c r="Q699"/>
  <c r="Q348"/>
  <c r="R348" s="1"/>
  <c r="Q711"/>
  <c r="Q591"/>
  <c r="Q189"/>
  <c r="Q756"/>
  <c r="R756" s="1"/>
  <c r="Q633"/>
  <c r="R633" s="1"/>
  <c r="Q573"/>
  <c r="Q522"/>
  <c r="Q93"/>
  <c r="R93" s="1"/>
  <c r="Q243"/>
  <c r="R243" s="1"/>
  <c r="Q201"/>
  <c r="Q153"/>
  <c r="Q138"/>
  <c r="Q66"/>
  <c r="R66" s="1"/>
  <c r="Q396"/>
  <c r="Q252"/>
  <c r="Q843"/>
  <c r="R843" s="1"/>
  <c r="Q735"/>
  <c r="R735" s="1"/>
  <c r="Q876"/>
  <c r="Q654"/>
  <c r="Q579"/>
  <c r="R579" s="1"/>
  <c r="Q456"/>
  <c r="Q246"/>
  <c r="Q186"/>
  <c r="Q846"/>
  <c r="Q831"/>
  <c r="R831" s="1"/>
  <c r="Q813"/>
  <c r="Q783"/>
  <c r="Q264"/>
  <c r="R264" s="1"/>
  <c r="Q147"/>
  <c r="R147" s="1"/>
  <c r="Q501"/>
  <c r="Q381"/>
  <c r="Q333"/>
  <c r="R333" s="1"/>
  <c r="Q759"/>
  <c r="R759" s="1"/>
  <c r="Q372"/>
  <c r="Q516"/>
  <c r="R516" s="1"/>
  <c r="Q894"/>
  <c r="Q411"/>
  <c r="R411" s="1"/>
  <c r="Q291"/>
  <c r="Q852"/>
  <c r="Q444"/>
  <c r="Q228"/>
  <c r="R228" s="1"/>
  <c r="Q690"/>
  <c r="Q111"/>
  <c r="Q216"/>
  <c r="R216" s="1"/>
  <c r="Q636"/>
  <c r="Q903"/>
  <c r="Q909"/>
  <c r="Q51"/>
  <c r="R858"/>
  <c r="Q804"/>
  <c r="Q738"/>
  <c r="R738" s="1"/>
  <c r="Q423"/>
  <c r="Q279"/>
  <c r="Q234"/>
  <c r="Q99"/>
  <c r="Q408"/>
  <c r="Q324"/>
  <c r="R324" s="1"/>
  <c r="Q282"/>
  <c r="Q312"/>
  <c r="R312" s="1"/>
  <c r="Q702"/>
  <c r="Q609"/>
  <c r="Q537"/>
  <c r="Q450"/>
  <c r="Q402"/>
  <c r="Q384"/>
  <c r="R384" s="1"/>
  <c r="Q87"/>
  <c r="Q855"/>
  <c r="R855" s="1"/>
  <c r="Q834"/>
  <c r="Q669"/>
  <c r="R669" s="1"/>
  <c r="Q594"/>
  <c r="Q555"/>
  <c r="R555" s="1"/>
  <c r="Q387"/>
  <c r="Q96"/>
  <c r="R96" s="1"/>
  <c r="Q141"/>
  <c r="Q69"/>
  <c r="Q57"/>
  <c r="Q309"/>
  <c r="R309" s="1"/>
  <c r="Q753"/>
  <c r="Q825"/>
  <c r="R825" s="1"/>
  <c r="Q762"/>
  <c r="R762" s="1"/>
  <c r="Q741"/>
  <c r="R741" s="1"/>
  <c r="Q729"/>
  <c r="Q495"/>
  <c r="Q462"/>
  <c r="Q426"/>
  <c r="R426" s="1"/>
  <c r="Q819"/>
  <c r="Q774"/>
  <c r="Q648"/>
  <c r="Q624"/>
  <c r="R624" s="1"/>
  <c r="Q600"/>
  <c r="Q528"/>
  <c r="Q390"/>
  <c r="Q294"/>
  <c r="R294" s="1"/>
  <c r="Q162"/>
  <c r="Q513"/>
  <c r="R513" s="1"/>
  <c r="Q180"/>
  <c r="Q867"/>
  <c r="R867" s="1"/>
  <c r="Q798"/>
  <c r="Q327"/>
  <c r="R327" s="1"/>
  <c r="Q906"/>
  <c r="Q570"/>
  <c r="R570" s="1"/>
  <c r="Q315"/>
  <c r="Q195"/>
  <c r="Q171"/>
  <c r="Q48"/>
  <c r="R48" s="1"/>
  <c r="Q492"/>
  <c r="Q90"/>
  <c r="R90" s="1"/>
  <c r="Q120"/>
  <c r="Q54"/>
  <c r="R54" s="1"/>
  <c r="Q543"/>
  <c r="Q510"/>
  <c r="Q498"/>
  <c r="Q414"/>
  <c r="R414" s="1"/>
  <c r="Q378"/>
  <c r="Q300"/>
  <c r="Q225"/>
  <c r="Q165"/>
  <c r="R165" s="1"/>
  <c r="Q714"/>
  <c r="Q684"/>
  <c r="Q270"/>
  <c r="Q168"/>
  <c r="Q645"/>
  <c r="R645" s="1"/>
  <c r="Q627"/>
  <c r="Q564"/>
  <c r="R564" s="1"/>
  <c r="Q474"/>
  <c r="Q465"/>
  <c r="Q288"/>
  <c r="Q144"/>
  <c r="R144" s="1"/>
  <c r="Q42"/>
  <c r="R42" s="1"/>
  <c r="Q558"/>
  <c r="R558" s="1"/>
  <c r="Q399"/>
  <c r="Q84"/>
  <c r="R84" s="1"/>
  <c r="Q210"/>
  <c r="Q117"/>
  <c r="Q60"/>
  <c r="Q222"/>
  <c r="R222" s="1"/>
  <c r="Q561"/>
  <c r="Q525"/>
  <c r="R525" s="1"/>
  <c r="Q765"/>
  <c r="Q780"/>
  <c r="R780" s="1"/>
  <c r="Q732"/>
  <c r="R732" s="1"/>
  <c r="Q720"/>
  <c r="R720" s="1"/>
  <c r="Q705"/>
  <c r="R705" s="1"/>
  <c r="Q666"/>
  <c r="Q642"/>
  <c r="Q471"/>
  <c r="R471" s="1"/>
  <c r="Q837"/>
  <c r="R837" s="1"/>
  <c r="Q801"/>
  <c r="R801" s="1"/>
  <c r="Q777"/>
  <c r="R777" s="1"/>
  <c r="Q744"/>
  <c r="Q810"/>
  <c r="Q219"/>
  <c r="R219" s="1"/>
  <c r="Q726"/>
  <c r="Q489"/>
  <c r="Q393"/>
  <c r="Q369"/>
  <c r="Q879"/>
  <c r="R879" s="1"/>
  <c r="Q480"/>
  <c r="Q12"/>
  <c r="R582"/>
  <c r="R561"/>
  <c r="R273"/>
  <c r="R171"/>
  <c r="R639"/>
  <c r="R663"/>
  <c r="R375"/>
  <c r="R654"/>
  <c r="R597"/>
  <c r="R588"/>
  <c r="R60"/>
  <c r="R354"/>
  <c r="R690"/>
  <c r="R234"/>
  <c r="R729"/>
  <c r="R396"/>
  <c r="R630"/>
  <c r="R420"/>
  <c r="R159"/>
  <c r="R459"/>
  <c r="R57"/>
  <c r="R615"/>
  <c r="R618"/>
  <c r="R804"/>
  <c r="R774"/>
  <c r="R849"/>
  <c r="R876"/>
  <c r="R231"/>
  <c r="R213"/>
  <c r="R105"/>
  <c r="R714"/>
  <c r="R603"/>
  <c r="R591"/>
  <c r="R465"/>
  <c r="R768"/>
  <c r="R753"/>
  <c r="R789"/>
  <c r="R861"/>
  <c r="R291"/>
  <c r="R357"/>
  <c r="R549"/>
  <c r="R873"/>
  <c r="R852"/>
  <c r="R504"/>
  <c r="R75"/>
  <c r="R339"/>
  <c r="R372"/>
  <c r="R18"/>
  <c r="R813"/>
  <c r="R744"/>
  <c r="R684"/>
  <c r="R366"/>
  <c r="R522"/>
  <c r="R402"/>
  <c r="R225"/>
  <c r="R477"/>
  <c r="R183"/>
  <c r="R207"/>
  <c r="R132"/>
  <c r="R162"/>
  <c r="R78"/>
  <c r="R306"/>
  <c r="R177"/>
  <c r="R120"/>
  <c r="R237"/>
  <c r="R507"/>
  <c r="R846"/>
  <c r="R318"/>
  <c r="R819"/>
  <c r="R783"/>
  <c r="R486"/>
  <c r="R927"/>
  <c r="R135"/>
  <c r="R153"/>
  <c r="R174"/>
  <c r="R546"/>
  <c r="R900"/>
  <c r="R723"/>
  <c r="R435"/>
  <c r="R315"/>
  <c r="R438"/>
  <c r="R543"/>
  <c r="R123"/>
  <c r="R537"/>
  <c r="R276"/>
  <c r="R651"/>
  <c r="R600"/>
  <c r="R321"/>
  <c r="R33"/>
  <c r="R702"/>
  <c r="R489"/>
  <c r="R441"/>
  <c r="R405"/>
  <c r="R72"/>
  <c r="R771"/>
  <c r="R195"/>
  <c r="R711"/>
  <c r="R678"/>
  <c r="R924"/>
  <c r="R810"/>
  <c r="R594"/>
  <c r="R246"/>
  <c r="R894"/>
  <c r="R129"/>
  <c r="R648"/>
  <c r="R693"/>
  <c r="R840"/>
  <c r="R798"/>
  <c r="R351"/>
  <c r="R24"/>
  <c r="R456"/>
  <c r="R168"/>
  <c r="R111"/>
  <c r="R906"/>
  <c r="R882"/>
  <c r="R786"/>
  <c r="R747"/>
  <c r="R255"/>
  <c r="R279"/>
  <c r="R186"/>
  <c r="R81"/>
  <c r="R657"/>
  <c r="R474"/>
  <c r="R240"/>
  <c r="R63"/>
  <c r="R708"/>
  <c r="R534"/>
  <c r="R696"/>
  <c r="R27"/>
  <c r="R444"/>
  <c r="R621"/>
  <c r="R303"/>
  <c r="R342"/>
  <c r="R888"/>
  <c r="R249"/>
  <c r="R381"/>
  <c r="R492"/>
  <c r="R12"/>
  <c r="R330"/>
  <c r="R660"/>
  <c r="R870"/>
  <c r="R726"/>
  <c r="R681"/>
  <c r="R765"/>
  <c r="R828"/>
  <c r="R99"/>
  <c r="R198"/>
  <c r="R21"/>
  <c r="R834"/>
  <c r="R192"/>
  <c r="R717"/>
  <c r="R699"/>
  <c r="R30"/>
  <c r="R897"/>
  <c r="R576"/>
  <c r="R363"/>
  <c r="R336"/>
  <c r="R636"/>
  <c r="R288"/>
  <c r="R483"/>
  <c r="R210"/>
  <c r="R573"/>
  <c r="R909"/>
  <c r="R297"/>
  <c r="R141"/>
  <c r="R69"/>
  <c r="R252"/>
  <c r="R408"/>
  <c r="R891"/>
  <c r="R51"/>
  <c r="R378"/>
  <c r="R36"/>
  <c r="R567"/>
  <c r="R393"/>
  <c r="R903"/>
  <c r="R816"/>
  <c r="R261"/>
  <c r="R189"/>
  <c r="R258"/>
  <c r="R609"/>
  <c r="R510"/>
  <c r="R462"/>
  <c r="R450"/>
  <c r="R180"/>
  <c r="R822"/>
  <c r="R495"/>
  <c r="R138"/>
  <c r="R267"/>
  <c r="R387"/>
  <c r="R300"/>
  <c r="R282"/>
  <c r="R627"/>
  <c r="R585"/>
  <c r="R552"/>
  <c r="R417"/>
  <c r="R156"/>
  <c r="R429"/>
  <c r="R270"/>
  <c r="R102"/>
  <c r="R201"/>
  <c r="R672"/>
  <c r="R117"/>
  <c r="R687"/>
  <c r="R612"/>
  <c r="R501"/>
  <c r="R369"/>
  <c r="R885"/>
  <c r="R792"/>
  <c r="R642"/>
  <c r="R447"/>
  <c r="R666"/>
  <c r="R390"/>
  <c r="R150"/>
  <c r="R114"/>
  <c r="R675"/>
  <c r="R528"/>
  <c r="R423"/>
  <c r="R399"/>
  <c r="R498"/>
  <c r="R480"/>
  <c r="R204"/>
  <c r="R87"/>
  <c r="R915"/>
  <c r="R912"/>
  <c r="R921"/>
  <c r="R918"/>
</calcChain>
</file>

<file path=xl/sharedStrings.xml><?xml version="1.0" encoding="utf-8"?>
<sst xmlns="http://schemas.openxmlformats.org/spreadsheetml/2006/main" count="2460" uniqueCount="653">
  <si>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</si>
  <si>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</si>
  <si>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</si>
  <si>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</si>
  <si>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</si>
  <si>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</si>
  <si>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</si>
  <si>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</si>
  <si>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</si>
  <si>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</si>
  <si>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</si>
  <si>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</si>
  <si>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</si>
  <si>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</si>
  <si>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</si>
  <si>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</si>
  <si>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</si>
  <si>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</si>
  <si>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</si>
  <si>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</si>
  <si>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</si>
  <si>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</si>
  <si>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</si>
  <si>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</si>
  <si>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</si>
  <si>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</si>
  <si>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</si>
  <si>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</si>
  <si>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</si>
  <si>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</si>
  <si>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</si>
  <si>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</si>
  <si>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</si>
  <si>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</si>
  <si>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</si>
  <si>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</si>
  <si>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</si>
  <si>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</si>
  <si>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</si>
  <si>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</si>
  <si>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</si>
  <si>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</si>
  <si>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</si>
  <si>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</si>
  <si>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</si>
  <si>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</si>
  <si>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</si>
  <si>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</si>
  <si>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</si>
  <si>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</si>
  <si>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</si>
  <si>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</si>
  <si>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</si>
  <si>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</si>
  <si>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</si>
  <si>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</si>
  <si>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</si>
  <si>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</si>
  <si>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</si>
  <si>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</si>
  <si>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</si>
  <si>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</si>
  <si>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</si>
  <si>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</si>
  <si>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</si>
  <si>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</si>
  <si>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</si>
  <si>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</si>
  <si>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</si>
  <si>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</si>
  <si>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</si>
  <si>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</si>
  <si>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</si>
  <si>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</si>
  <si>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</si>
  <si>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</si>
  <si>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</si>
  <si>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</si>
  <si>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</si>
  <si>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</si>
  <si>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</si>
  <si>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</si>
  <si>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</si>
  <si>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</si>
  <si>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</si>
  <si>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</si>
  <si>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</si>
  <si>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</si>
  <si>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</si>
  <si>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</si>
  <si>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</si>
  <si>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</si>
  <si>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</si>
  <si>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</si>
  <si>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</si>
  <si>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</si>
  <si>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</si>
  <si>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</si>
  <si>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</si>
  <si>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</si>
  <si>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</si>
  <si>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</si>
  <si>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</si>
  <si>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</si>
  <si>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</si>
  <si>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</si>
  <si>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</si>
  <si>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</si>
  <si>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</si>
  <si>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</si>
  <si>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</si>
  <si>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</si>
  <si>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</si>
  <si>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</si>
  <si>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</si>
  <si>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</si>
  <si>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</si>
  <si>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</si>
  <si>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</si>
  <si>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</si>
  <si>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</si>
  <si>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</si>
  <si>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</si>
  <si>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</si>
  <si>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</si>
  <si>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</si>
  <si>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</si>
  <si>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</si>
  <si>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</si>
  <si>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</si>
  <si>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</si>
  <si>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</si>
  <si>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</si>
  <si>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</si>
  <si>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</si>
  <si>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</si>
  <si>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</si>
  <si>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</si>
  <si>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</si>
  <si>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</si>
  <si>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</si>
  <si>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</si>
  <si>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</si>
  <si>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</si>
  <si>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</si>
  <si>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</si>
  <si>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</si>
  <si>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</si>
  <si>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</si>
  <si>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</si>
  <si>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</si>
  <si>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</si>
  <si>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</si>
  <si>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</si>
  <si>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</si>
  <si>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</si>
  <si>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</si>
  <si>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</si>
  <si>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</si>
  <si>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</si>
  <si>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</si>
  <si>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</si>
  <si>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</si>
  <si>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</si>
  <si>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</si>
  <si>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</si>
  <si>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</si>
  <si>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</si>
  <si>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</si>
  <si>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</si>
  <si>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</si>
  <si>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</si>
  <si>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</si>
  <si>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</si>
  <si>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</si>
  <si>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</si>
  <si>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</si>
  <si>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</si>
  <si>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</si>
  <si>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</si>
  <si>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</si>
  <si>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</si>
  <si>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</si>
  <si>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</si>
  <si>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</si>
  <si>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</si>
  <si>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</si>
  <si>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</si>
  <si>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</si>
  <si>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</si>
  <si>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</si>
  <si>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</si>
  <si>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</si>
  <si>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</si>
  <si>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</si>
  <si>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</si>
  <si>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</si>
  <si>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</si>
  <si>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</si>
  <si>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</si>
  <si>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</si>
  <si>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</si>
  <si>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</si>
  <si>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</si>
  <si>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</si>
  <si>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</si>
  <si>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</si>
  <si>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</si>
  <si>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</si>
  <si>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</si>
  <si>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</si>
  <si>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</si>
  <si>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</si>
  <si>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</si>
  <si>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</si>
  <si>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</si>
  <si>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</si>
  <si>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</si>
  <si>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</si>
  <si>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</si>
  <si>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</si>
  <si>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</si>
  <si>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</si>
  <si>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</si>
  <si>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</si>
  <si>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</si>
  <si>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</si>
  <si>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</si>
  <si>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</si>
  <si>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</si>
  <si>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</si>
  <si>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</si>
  <si>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</si>
  <si>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</si>
  <si>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</si>
  <si>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</si>
  <si>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</si>
  <si>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</si>
  <si>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</si>
  <si>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</si>
  <si>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</si>
  <si>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</si>
  <si>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</si>
  <si>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</si>
  <si>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</si>
  <si>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</si>
  <si>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</si>
  <si>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</si>
  <si>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</si>
  <si>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</si>
  <si>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</si>
  <si>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</si>
  <si>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</si>
  <si>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</si>
  <si>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</si>
  <si>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</si>
  <si>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</si>
  <si>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</si>
  <si>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</si>
  <si>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</si>
  <si>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</si>
  <si>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</si>
  <si>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</si>
  <si>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</si>
  <si>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</si>
  <si>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</si>
  <si>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</si>
  <si>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</si>
  <si>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</si>
  <si>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</si>
  <si>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</si>
  <si>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</si>
  <si>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</si>
  <si>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</si>
  <si>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</si>
  <si>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</si>
  <si>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</si>
  <si>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</si>
  <si>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</si>
  <si>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</si>
  <si>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</si>
  <si>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</si>
  <si>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</si>
  <si>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</si>
  <si>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</si>
  <si>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</si>
  <si>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</si>
  <si>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</si>
  <si>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</si>
  <si>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</si>
  <si>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</si>
  <si>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</si>
  <si>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</si>
  <si>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</si>
  <si>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</si>
  <si>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</si>
  <si>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</si>
  <si>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</si>
  <si>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</si>
  <si>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</si>
  <si>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</si>
  <si>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</si>
  <si>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</si>
  <si>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</si>
  <si>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</si>
  <si>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</si>
  <si>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</si>
  <si>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</si>
  <si>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</si>
  <si>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</si>
  <si>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</si>
  <si>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</si>
  <si>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</si>
  <si>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</si>
  <si>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</si>
  <si>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</si>
  <si>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</si>
  <si>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</si>
  <si>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</si>
  <si>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</si>
  <si>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</si>
  <si>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</si>
  <si>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</si>
  <si>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</si>
  <si>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</si>
  <si>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</si>
  <si>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</si>
  <si>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</si>
  <si>
    <t>Q19210111.F1</t>
  </si>
  <si>
    <t>YEDR1 (LPDN pre 37, post 36)</t>
  </si>
  <si>
    <t>YEDR1 (LPDN pre 22, post 22)</t>
  </si>
  <si>
    <t>YEDR1 (LPDN pre 20, post 23)</t>
  </si>
  <si>
    <t>Q19220109.F1</t>
  </si>
  <si>
    <t>Q19230065.F1</t>
  </si>
  <si>
    <t>YEDR1 (LPDN pre 22 ,post 21)</t>
  </si>
  <si>
    <t>Q19240019.F1</t>
  </si>
  <si>
    <t>Q19240107.F1</t>
  </si>
  <si>
    <t>YEDR1 (LPDN pre 28 ,post 21)</t>
  </si>
  <si>
    <t>YEDR1 (LPDN pre 35 ,post 37)</t>
  </si>
  <si>
    <t>Q19260001.F1</t>
  </si>
  <si>
    <t>YEDR1 (LPDN pre 63 ,post 57)</t>
  </si>
  <si>
    <t>Q19260098.F1</t>
  </si>
  <si>
    <t>YEDR1 (LPDN pre 10 ,post 11)</t>
  </si>
  <si>
    <t>Q19270021.F1</t>
  </si>
  <si>
    <t>YEDR1 (LPDN pre 23 ,post 04)</t>
  </si>
  <si>
    <t>Q19270111.F1</t>
  </si>
  <si>
    <t>YEDR1 (LPDN pre 08 ,post 07)</t>
  </si>
  <si>
    <t>Q19280056.F1</t>
  </si>
  <si>
    <t>YEDR1 (LPDN pre 05 ,post 06)</t>
  </si>
  <si>
    <t>Q19290025.F1</t>
  </si>
  <si>
    <t>YEDR1 (LPDN pre 08 ,post 05)</t>
  </si>
  <si>
    <t>YEDR1 (LPDN pre 17 ,post 08)</t>
  </si>
  <si>
    <t>Q19300048.F1</t>
  </si>
  <si>
    <t>YEDR1 (LPDN pre 18 ,post 23)</t>
  </si>
  <si>
    <t>Q19300108.F1</t>
  </si>
  <si>
    <t>Q19310072.F1</t>
  </si>
  <si>
    <t>YEDR1 (LPDN pre 10 ,post 05)</t>
  </si>
  <si>
    <t>YEDR1 (LPDN pre 23 ,post 17)</t>
  </si>
  <si>
    <t>Q19320004.F1</t>
  </si>
  <si>
    <t>YEDR1 (LPDN pre 14 ,post 15)</t>
  </si>
  <si>
    <t>1340/1335</t>
  </si>
  <si>
    <t>YEDR1 (LPDN pre 15 ,post 22)</t>
  </si>
  <si>
    <t>Q19320113.F1</t>
  </si>
  <si>
    <t>YEDR1 (LPDN pre 56,post 60)</t>
  </si>
  <si>
    <t>Q19330052.F1</t>
  </si>
  <si>
    <t>YEDR1 (LPDN pre 72,post 70</t>
  </si>
  <si>
    <t>YEDR1 (LPDN pre 60,post 61</t>
  </si>
  <si>
    <t>Q19340102.F1</t>
  </si>
  <si>
    <t>YEDR1 (LPDN pre 61,post 60)</t>
  </si>
  <si>
    <t>Q19350054.F1</t>
  </si>
  <si>
    <t>YEDR1 (LPDN pre 7,post 4)</t>
  </si>
  <si>
    <t>Q19350126.F1</t>
  </si>
  <si>
    <t>YEDR1 (LPDN pre 6,post 8)</t>
  </si>
  <si>
    <t>YEDR1 (LPDN pre 9,post 5)</t>
  </si>
  <si>
    <t>Q19360105.F1</t>
  </si>
  <si>
    <t>YEDR1 (LPDN pre 4,post 1)</t>
  </si>
  <si>
    <t>Q19370032.F1</t>
  </si>
  <si>
    <t>YEDR1 (LPDN pre 03,post 7)</t>
  </si>
  <si>
    <t>Q19370103.F1</t>
  </si>
  <si>
    <t>YEDR1 (LPDN pre 16,post 37)</t>
  </si>
  <si>
    <t>Q19380115.F1</t>
  </si>
  <si>
    <t>YEDR1 (LPDN pre 67,post 2)</t>
  </si>
  <si>
    <t>YEDR1 (LPDN pre 177,post176 )</t>
  </si>
  <si>
    <t>YEDR1 (LPDN pre 15,post9 )   ( WF ISSUE)</t>
  </si>
  <si>
    <t xml:space="preserve"> Q19390084.F1</t>
  </si>
  <si>
    <t>YEDR1 (LPDN pre 175,post 174)</t>
  </si>
  <si>
    <t>Q19400018.F1</t>
  </si>
  <si>
    <t>YEDR1 (LPDN pre 188,post 184)</t>
  </si>
  <si>
    <t>Q19400086.F1</t>
  </si>
  <si>
    <t>YEDR1 (LPDN pre 185,post 176)</t>
  </si>
  <si>
    <t>Q19410035.F1</t>
  </si>
  <si>
    <t>YEDR1 (LPDN pre 176,post 185)</t>
  </si>
  <si>
    <t>Q19420012.F1</t>
  </si>
  <si>
    <t>YEDR1 (LPDN pre 19,post 8</t>
  </si>
  <si>
    <t>Q19420098.F1</t>
  </si>
  <si>
    <t>YEDR1 (LPDN pre 14,post 10)</t>
  </si>
  <si>
    <t>Pass Criteria for % STDEV: LSL=0 USL=5.5,LCL=0 UCL= 5</t>
  </si>
  <si>
    <t>YEDR1 (LPDN pre 14,post 8)</t>
  </si>
  <si>
    <t>Q19430062.F1</t>
  </si>
  <si>
    <t>Q19440045.F1</t>
  </si>
  <si>
    <t xml:space="preserve">Q19440118.F1 </t>
  </si>
  <si>
    <t>Q19450024.F1</t>
  </si>
  <si>
    <t>YEDR1 (LPDN pre 3, post 4)</t>
  </si>
  <si>
    <t>YEDR1 (LPDN pre 05,post 05)</t>
  </si>
  <si>
    <t>Q19460008.F1</t>
  </si>
  <si>
    <t>Q19460009.F1</t>
  </si>
  <si>
    <t>YEDR1 (LPDN pre 75,post 81)</t>
  </si>
  <si>
    <t>Q19460083.F1</t>
  </si>
  <si>
    <t>After RF PM, more seasoning needed</t>
  </si>
  <si>
    <t>QC after RF PM, 1 time used wf as no bare Si wf available</t>
  </si>
  <si>
    <t>RF hrs close to 200, more seasoning needed</t>
  </si>
  <si>
    <t>% Uni USL</t>
  </si>
  <si>
    <t>Q19470055.F1</t>
  </si>
  <si>
    <t>YEDR1 (LPDN pre 77, post 79)</t>
  </si>
  <si>
    <t>YEDR1 (LPDN pre 44, post 46)</t>
  </si>
  <si>
    <t>Q19470121.F1</t>
  </si>
  <si>
    <t>YEDR1 (LPDN pre 31, post 48)</t>
  </si>
  <si>
    <t>YEDR1 (LPDN pre , post 7)</t>
  </si>
  <si>
    <t>Q19480076.F1</t>
  </si>
  <si>
    <t>YEDR1 (LPDN pre 2, post 6)</t>
  </si>
  <si>
    <t>Q19490043.F1</t>
  </si>
  <si>
    <t>DELTA</t>
  </si>
  <si>
    <t>HERE ONWARDS NEW GRITEK WFS WILL BE USED</t>
  </si>
  <si>
    <t>CONTROL LIMIT CHANGED CONSIDERING PASS VALUES FROM 1/JAN/19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</si>
  <si>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UCL=23 (Since 2019)</t>
    </r>
  </si>
  <si>
    <t>YEDR1 (LPDN pre 4, post 6)</t>
  </si>
  <si>
    <t>x</t>
  </si>
  <si>
    <t>y</t>
  </si>
  <si>
    <t>Measurement tool</t>
  </si>
  <si>
    <t>MTOP1</t>
  </si>
  <si>
    <t>YEDR1 (LPDN pre 1, post 70)</t>
  </si>
  <si>
    <t>Fresh wf</t>
  </si>
  <si>
    <t>YEDR1 (LPDN pre 2, post 3), (area pre 0, post 1), (&gt;0.5 pre 1 post 3)</t>
  </si>
  <si>
    <t>Post PM CP Check</t>
  </si>
  <si>
    <t>PM done on 11/12/19</t>
  </si>
  <si>
    <t>Q19500098.F1</t>
  </si>
  <si>
    <t>YEDR1 (LPDN pre 5, post 7),  (&gt;0.5 pre 0 post 1) (area pre 0, post 0)</t>
  </si>
  <si>
    <t>YEDR1 (LPDN pre 05,post06 )</t>
  </si>
  <si>
    <t>Q19510029.F1</t>
  </si>
  <si>
    <t>QC  After wf broken in tr CH.</t>
  </si>
  <si>
    <t>YEDR1 (LPDN pre 10,post06 )(&gt;0.5 pre 3 post 4)(area pre 0, post 0)</t>
  </si>
  <si>
    <t>Q19510109.F1</t>
  </si>
  <si>
    <t>YEDR1 (LPDN pre 10,post10 )(&gt;0.5 pre 3 post 4)</t>
  </si>
  <si>
    <t>Q19520053.F1</t>
  </si>
  <si>
    <t>Control limits changed</t>
  </si>
  <si>
    <t>cp repeatition</t>
  </si>
  <si>
    <t>YEDR1 (LPDN pre 0, post 0 )</t>
  </si>
  <si>
    <t>Q19530026.F1</t>
  </si>
  <si>
    <t>YEDR1 (LPDN pre 3, post 3 )</t>
  </si>
  <si>
    <t>Q20010050.F1</t>
  </si>
  <si>
    <t>YEDR1 (LPDN pre 02, post 05)</t>
  </si>
  <si>
    <t>Q20020065.F1</t>
  </si>
  <si>
    <t>YEDR1 (LPDN pre 03, post 03),0.5 pre4post4,area pre1,post2</t>
  </si>
  <si>
    <t>Q20020140.F1</t>
  </si>
  <si>
    <t>YEDR1 (LPDN pre 03, post 03),0.5 pre9post10,area pre2,post2</t>
  </si>
  <si>
    <t xml:space="preserve"> Q20030062.F1</t>
  </si>
  <si>
    <t>LAMP FAIL; REPLACED</t>
  </si>
  <si>
    <t>Q20030102.F1</t>
  </si>
  <si>
    <t>RAH SHUTDOWN OVER</t>
  </si>
  <si>
    <t>Q20050037.F1</t>
  </si>
  <si>
    <t>Q20060001.F1</t>
  </si>
  <si>
    <t>Q20060113.F1</t>
  </si>
  <si>
    <t>1340/64</t>
  </si>
  <si>
    <t>Q20070017.F1</t>
  </si>
  <si>
    <t>YEDR1 (LPDN pre 175, post 180)</t>
  </si>
  <si>
    <t>Q20070074.F1</t>
  </si>
  <si>
    <t>YEDR1 (LPDN pre 0 post 0), 0.5u pre 0 post 0, Area pre 0 post 0</t>
  </si>
  <si>
    <t>Q20080010.F1</t>
  </si>
  <si>
    <t>YEDR1 (LPDN pre 3 post 3), 0.5u pre 1 post 1, Area pre 0 post 0</t>
  </si>
  <si>
    <t>YEDR1 (LPDN pre 14 post 11), 0.5 pre 13 post 13, Area pre 07 post 06</t>
  </si>
  <si>
    <t>Q20090051.F1</t>
  </si>
  <si>
    <t>UP Position</t>
  </si>
  <si>
    <t>YEDR1 (LPDN pre 161, post 153)</t>
  </si>
  <si>
    <t>Q20100015.F1</t>
  </si>
  <si>
    <t>YEDR1 (LPDN pre 01, post 04)</t>
  </si>
  <si>
    <t>Q20100133.F1</t>
  </si>
  <si>
    <t>Q20110073.F1</t>
  </si>
  <si>
    <t>YEDR1 (AC pre 01, post 06 &gt;.5 PRE 2 POST 9 ALL PRE 12 POST 31)</t>
  </si>
  <si>
    <t>Q20110121.F1</t>
  </si>
  <si>
    <t>Post PM QC. Before PM wafer breakage happend on cooling plate of the tool</t>
  </si>
  <si>
    <t>After PM QC</t>
  </si>
  <si>
    <t>RECIPE #1</t>
  </si>
  <si>
    <t>YEDR1 (AC pre 0 post 0, &gt;.5 PRE 0 POST 1)</t>
  </si>
  <si>
    <t>Post lockdown, after 100 seasoning wfs</t>
  </si>
  <si>
    <t>RECIPE #F</t>
  </si>
  <si>
    <t>Q20170024.F1</t>
  </si>
  <si>
    <t>Q20180028.F1</t>
  </si>
  <si>
    <t>YEDR1 (LPDN pre 05, post 04)</t>
  </si>
  <si>
    <t>Q20190022.F1</t>
  </si>
  <si>
    <t>YEDR1 (LPDN pre 01, post 0) AC-3,2/0.5-3,2</t>
  </si>
  <si>
    <t>Q20200022.F1</t>
  </si>
  <si>
    <t>Q20200114.F1</t>
  </si>
  <si>
    <t>YEDR1 (LPDN pre 01, post 0) 0.5-0,2</t>
  </si>
  <si>
    <t>YEDR1 (LPDN pre 00, post 01) 0.5-0,2</t>
  </si>
  <si>
    <t>Q20210050.F1</t>
  </si>
  <si>
    <t>YEDR1 (LPDN pre 01, post 02) 0.5-0,1</t>
  </si>
  <si>
    <t>Q20210108.F1</t>
  </si>
  <si>
    <t>YEDR1 (LPDN pre 02, post 02) 0.5-0,1</t>
  </si>
  <si>
    <t>Q20220089.F1</t>
  </si>
  <si>
    <t>MTOP2</t>
  </si>
  <si>
    <t>Q20230004.F1</t>
  </si>
  <si>
    <t>Q20230113.F1</t>
  </si>
  <si>
    <t>YEDR1 (LPDN pre 11, post 10) 0.5-02,2/AC-0,0</t>
  </si>
  <si>
    <t>Q20240026.F1</t>
  </si>
  <si>
    <t>YEDR1 (LPDN pre 4, post 5) 0.5-02,4/AC-02,03</t>
  </si>
  <si>
    <t>Q20240128.F1</t>
  </si>
  <si>
    <t>YEDR1 (LPDN pre 1, post 4)</t>
  </si>
  <si>
    <t>Q20250067.F1</t>
  </si>
  <si>
    <t>Q20260029.F1</t>
  </si>
  <si>
    <t>YEDR1 (LPDN Pre 5,Post 1)(0.5u Pre 0,Post 0)(AC Pre 0,Post 0)</t>
  </si>
  <si>
    <t>YEDR1 (LPDN Pre 4,Post 6)(0.5u Pre 0,Post 3)(AC Pre 0,Post 0)</t>
  </si>
  <si>
    <t>Q20260109.F1</t>
  </si>
  <si>
    <t>YEDR1 (LPDN Pre 5,Post 9)(0.5 Pre 04,Post 7)(AC Pre 03,Post 04)</t>
  </si>
  <si>
    <t>Q20270085.F1</t>
  </si>
  <si>
    <t>YEDR1 (LPDN Pre 2,Post 6)(0.5 - 0, 5)(AC - 0, 02)</t>
  </si>
  <si>
    <t>Q20280003.F1</t>
  </si>
  <si>
    <t>YEDR1 (LPDN Pre 2,Post 6)(0.5 - 0, 5)(AC - 01, 05)</t>
  </si>
  <si>
    <t>Q20280090.F1</t>
  </si>
  <si>
    <t>YEDR1 (LPDN Pre 2,Post 6)(0.5 - 0, 5)(AC - 09, 09)</t>
  </si>
  <si>
    <t>Q20290008.F1</t>
  </si>
  <si>
    <t>YEDR1 (LPDN Pre 04,Post 04)(0.5 - 0, 5)(AC - 0, 01)</t>
  </si>
  <si>
    <t>Q20290105.F1</t>
  </si>
  <si>
    <t>Q20300062.F1</t>
  </si>
  <si>
    <t>YEDR1 (LPDN Pre 05,Post 06)(0.5 - 01, 02)(AC - 01, 02)</t>
  </si>
  <si>
    <t>YEDR1 (LPDN Pre 185,Post 252)(0.5 - 00, 10)</t>
  </si>
  <si>
    <t>Q20310006.F1</t>
  </si>
  <si>
    <t>YEDR1 (LPDN Pre 18,Post 38)(0.5u Pre 0,Post 75)(AC Pre 0,Post 39)</t>
  </si>
  <si>
    <t>YEDR1 (LPDN Pre 37,Post 69)(0.5 - 0, 46)(AC - 0, 21)</t>
  </si>
  <si>
    <t>Fresh coated wf ,MTOP1 pre thk meas issue.</t>
  </si>
  <si>
    <t>AFTER RF PM</t>
  </si>
  <si>
    <t>Q20370046.F1</t>
  </si>
  <si>
    <t>YEDR1 (LPDN Pre ,Post )(0.5u - 0, 5)(AC - 0, 2)</t>
  </si>
  <si>
    <t>YEDR1 (LPDN Pre ,Post )(0.5u - 1, 2)(AC - 0, 1)</t>
  </si>
  <si>
    <t xml:space="preserve">Q20380094.F1 </t>
  </si>
  <si>
    <t>YEDR1 (LPDN Pre ,Post )(0.5u - 7, 50) (AC - 6, 29)</t>
  </si>
  <si>
    <t>YEDR1 (LPDN Pre ,Post )(0.5u - 2, 31)(AC - 0, 9)</t>
  </si>
  <si>
    <t xml:space="preserve">CH cleaning </t>
  </si>
  <si>
    <t>YEDR1 (LPDN Pre 35 ,Post39 )(0.5u - 0, 3)(AC - 0,39)</t>
  </si>
  <si>
    <t>Q20400093.F1</t>
  </si>
  <si>
    <t>YEDR1 (LPDN Pre 21 ,Post21 )(0.5u - 3, 6)(AC - 01,3)</t>
  </si>
  <si>
    <t>Q20410040.F1</t>
  </si>
  <si>
    <t>&gt;0.16u</t>
  </si>
  <si>
    <t>&gt;0.5u</t>
  </si>
  <si>
    <t>AC</t>
  </si>
  <si>
    <t>YEDR1 (LPDN Pre 64 ,Post 66)</t>
  </si>
  <si>
    <t>Q20420051.F1</t>
  </si>
  <si>
    <t>YEDR1 (LPDN Pre 38 ,Post 45)</t>
  </si>
  <si>
    <t>Q20430034.F1</t>
  </si>
  <si>
    <t>Run-1 for 8000 ER current_int_trial-1, bank-1</t>
  </si>
  <si>
    <t>Run-2 for 8000 ER current_int_trial-1, bank-1</t>
  </si>
  <si>
    <t>Run-2 for 8000 ER current_int_trial-1, bank-2</t>
  </si>
  <si>
    <t>Run-1 for 8000 ER current_int_trial-2 bank-1</t>
  </si>
  <si>
    <t>Run-1 for 8000 ER current_int_trial-3 bank-1</t>
  </si>
  <si>
    <t>Delta CP 0.16u</t>
  </si>
  <si>
    <t>Delta CP 0.5u</t>
  </si>
  <si>
    <t>Delta CP AC</t>
  </si>
  <si>
    <t>74/1534</t>
  </si>
  <si>
    <t>YEDR1 (LPDN Pre 26 ,Post 43)</t>
  </si>
  <si>
    <t>Q20450026.F1</t>
  </si>
  <si>
    <r>
      <t>Pre (A</t>
    </r>
    <r>
      <rPr>
        <sz val="12"/>
        <color theme="1"/>
        <rFont val="Calibri"/>
        <family val="2"/>
      </rPr>
      <t>°)</t>
    </r>
  </si>
  <si>
    <t>Post (A°)</t>
  </si>
  <si>
    <t>ER (A°/min)</t>
  </si>
  <si>
    <t>Min ER</t>
  </si>
  <si>
    <t>Avg ER</t>
  </si>
  <si>
    <t>Max ER</t>
  </si>
  <si>
    <t>Uni (%)</t>
  </si>
  <si>
    <t>Slot #12</t>
  </si>
  <si>
    <t>Slot #25</t>
  </si>
  <si>
    <t>YEDR1 (LPDN Pre 0 ,Post 4)</t>
  </si>
  <si>
    <t>Q20460031.F1</t>
  </si>
  <si>
    <t>YEDR1 (LPDN Pre 13 ,Post 24 )</t>
  </si>
  <si>
    <t>Q20470024.F1</t>
  </si>
  <si>
    <t>YEDR1 (LPDN Pre 03 ,Post 09 )</t>
  </si>
  <si>
    <t>Q20470085.F1</t>
  </si>
  <si>
    <t>YEDR1 (LPDN Pre 10 ,Post 21 )</t>
  </si>
  <si>
    <t>YEDR1 (LPDN Pre 11 ,Post 18 )</t>
  </si>
  <si>
    <t>Q20480071.F1</t>
  </si>
  <si>
    <t>YEDR1 (LPDN Pre 4 ,Post 12 )</t>
  </si>
  <si>
    <t>YEDR1 (LPDN Pre 3 ,Post 2 )</t>
  </si>
  <si>
    <t>Q20480108.F1</t>
  </si>
  <si>
    <t>Cluster of particles on right side</t>
  </si>
  <si>
    <t>After 13 seasoning wfs, Cluster of particles on right side</t>
  </si>
  <si>
    <t>Abdul</t>
  </si>
  <si>
    <t>After opening the chamber and cleaning bottom chamber</t>
  </si>
  <si>
    <t>YEDR1 (LPDN Pre 7 ,Post 9 )</t>
  </si>
  <si>
    <t>Q20490052.F1</t>
  </si>
  <si>
    <t>1428/1335</t>
  </si>
  <si>
    <t>YEDR1 (LPDN Pre 0 ,Post 1 )</t>
  </si>
  <si>
    <t>Q20500001.F1</t>
  </si>
  <si>
    <t>YEDR1 (LPDN Pre 5 ,Post 3)</t>
  </si>
  <si>
    <t>Q20500082.F1</t>
  </si>
  <si>
    <t>YEDR1 (LPDN Pre 1 ,Post 2)</t>
  </si>
  <si>
    <t>YEDR1 (LPDN Pre 4 ,Post 3)</t>
  </si>
  <si>
    <t>Q205100022.F1</t>
  </si>
  <si>
    <t>Q205100091.F1</t>
  </si>
  <si>
    <t>YEDR1 (LPDN Pre 01 ,Post 2)</t>
  </si>
  <si>
    <t>Q20520048.F1</t>
  </si>
  <si>
    <t>95 Percentile</t>
  </si>
  <si>
    <t>99 Percentile</t>
  </si>
  <si>
    <t>5 Percentile</t>
  </si>
  <si>
    <t>1 Percentile</t>
  </si>
  <si>
    <t>lamp intensity increased to start of above expt</t>
  </si>
  <si>
    <t>%Uni UCL calculated using last 50 pass points. ER CL made equal to SL. Formula changed.</t>
  </si>
  <si>
    <t>YEDR1 (LPDN Pre 03 ,Post 2)</t>
  </si>
  <si>
    <t>Q20530037.F1</t>
  </si>
  <si>
    <t>YEDR1 (LPDN Pre 02 ,Post 2)</t>
  </si>
  <si>
    <t>Q21010020.F1</t>
  </si>
  <si>
    <t>TOOL DOWN  FROM 6:55 TO 11:50</t>
  </si>
  <si>
    <t>YEDR1 (LPDN Pre 02 ,Post 01)</t>
  </si>
  <si>
    <t>Q21020080.F1</t>
  </si>
  <si>
    <t>YEDR1 (LPDN Pre 1 ,Post 3)</t>
  </si>
  <si>
    <t>Q21030033.F1</t>
  </si>
  <si>
    <t>YEDR1 (LPDN Pre 0 ,Post 1)</t>
  </si>
  <si>
    <t>Q21030100.F1</t>
  </si>
  <si>
    <t>Q21040040.F1</t>
  </si>
  <si>
    <t>YEDR1 (LPDN Pre 0 ,Post 6)</t>
  </si>
  <si>
    <t>Recipe #3 (60s) Slot #1</t>
  </si>
  <si>
    <t>102/121</t>
  </si>
  <si>
    <t>Recipe #3, After 7 seasoning wfs. Low lamp current reduced from 18A to 15.6A.</t>
  </si>
  <si>
    <t>#3, Without seasoning. Low lamp current=15.6A.</t>
  </si>
  <si>
    <t>#6 (120s), Without seasoning. Low lamp current = 15.6A.</t>
  </si>
  <si>
    <t>#3 (60s), Without seasoning. Low lamp current = 15.6A.</t>
  </si>
  <si>
    <t>#F (20s), Without seasoning. Low lamp current = 15.6A.</t>
  </si>
  <si>
    <t>#6 (120s),  After 24 seasoning wfs. Low lamp current = 15.6A.</t>
  </si>
  <si>
    <t>Recipe #3, After 24 seasoning wfs. Low lamp current = 15.6A.</t>
  </si>
  <si>
    <t>#2 (190s), Without seasoning. Low lamp current = 15.6A.</t>
  </si>
  <si>
    <t>#2 (190s), After 24 seasoning wfs. Low lamp current = 15.6A.</t>
  </si>
  <si>
    <t>#2 (190s), After 7 seasoning wfs. Low lamp current = 15.6A.</t>
  </si>
  <si>
    <t>Post (MTOP1)</t>
  </si>
  <si>
    <t>Post (MTOP2)</t>
  </si>
  <si>
    <t>ER(Å/Min) (MTOP1)</t>
  </si>
  <si>
    <t>ER(Å/Min) (MTOP2)</t>
  </si>
  <si>
    <t>PR completely removed. So Ash Rate is &gt;19174.5</t>
  </si>
  <si>
    <t>PR completely removed at some places. So Max Ash Rate is &gt;28348.3</t>
  </si>
  <si>
    <t>PR Completely removved. So Max Ash rate is &gt; 14438</t>
  </si>
  <si>
    <t>#3 (60s), After 7 seasoning wfs. Low lamp current reduced from 18A to 15.6A.</t>
  </si>
  <si>
    <t>#6 (120s),  After 7 seasoning wfs. Low lamp current = 15.6A.</t>
  </si>
  <si>
    <t>#6 (120s),   Without seasoning. Low lamp current = 15.6A. 1 time used wafer.</t>
  </si>
  <si>
    <t>#3 (60s)</t>
  </si>
  <si>
    <t>#F (20s)</t>
  </si>
  <si>
    <t>#6 (120s)</t>
  </si>
  <si>
    <t>#2 (190s)</t>
  </si>
  <si>
    <t>Slot</t>
  </si>
  <si>
    <t>1st</t>
  </si>
  <si>
    <t>8th</t>
  </si>
  <si>
    <t>25th</t>
  </si>
  <si>
    <t>Low Lamp Current = 15.6A</t>
  </si>
  <si>
    <t>Low Lamp Current = 18A</t>
  </si>
  <si>
    <t>NA</t>
  </si>
  <si>
    <t>&gt;19488*</t>
  </si>
  <si>
    <t>Post m'ment on MTOP2</t>
  </si>
  <si>
    <t>Post m'ment on MTOP1</t>
  </si>
  <si>
    <t>Recipe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</si>
</sst>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/>
      <top style="thick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3" fillId="0" borderId="0"/>
    <xf numFmtId="0" fontId="2" fillId="0" borderId="0"/>
    <xf numFmtId="0" fontId="2" fillId="0" borderId="0"/>
    <xf numFmtId="0" fontId="13" fillId="0" borderId="0" applyNumberFormat="0" applyFill="0" applyBorder="0" applyAlignment="0" applyProtection="0"/>
    <xf numFmtId="0" fontId="14" fillId="0" borderId="41" applyNumberFormat="0" applyFill="0" applyAlignment="0" applyProtection="0"/>
    <xf numFmtId="0" fontId="15" fillId="0" borderId="42" applyNumberFormat="0" applyFill="0" applyAlignment="0" applyProtection="0"/>
    <xf numFmtId="0" fontId="16" fillId="0" borderId="43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20" fillId="7" borderId="44" applyNumberFormat="0" applyAlignment="0" applyProtection="0"/>
    <xf numFmtId="0" fontId="21" fillId="8" borderId="45" applyNumberFormat="0" applyAlignment="0" applyProtection="0"/>
    <xf numFmtId="0" fontId="22" fillId="8" borderId="44" applyNumberFormat="0" applyAlignment="0" applyProtection="0"/>
    <xf numFmtId="0" fontId="23" fillId="0" borderId="46" applyNumberFormat="0" applyFill="0" applyAlignment="0" applyProtection="0"/>
    <xf numFmtId="0" fontId="24" fillId="9" borderId="47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49" applyNumberFormat="0" applyFill="0" applyAlignment="0" applyProtection="0"/>
    <xf numFmtId="0" fontId="28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8" fillId="34" borderId="0" applyNumberFormat="0" applyBorder="0" applyAlignment="0" applyProtection="0"/>
    <xf numFmtId="0" fontId="1" fillId="0" borderId="0"/>
    <xf numFmtId="0" fontId="1" fillId="10" borderId="48" applyNumberFormat="0" applyFont="0" applyAlignment="0" applyProtection="0"/>
  </cellStyleXfs>
  <cellXfs count="300">
    <xf numFmtId="0" fontId="0" fillId="0" borderId="0" xfId="0"/>
    <xf numFmtId="0" fontId="4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5" fillId="2" borderId="6" xfId="0" applyFont="1" applyFill="1" applyBorder="1" applyAlignment="1"/>
    <xf numFmtId="0" fontId="5" fillId="2" borderId="7" xfId="0" applyFont="1" applyFill="1" applyBorder="1" applyAlignmen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/>
    <xf numFmtId="0" fontId="5" fillId="2" borderId="0" xfId="0" applyFont="1" applyFill="1" applyBorder="1" applyAlignment="1"/>
    <xf numFmtId="0" fontId="7" fillId="2" borderId="0" xfId="0" applyFont="1" applyFill="1" applyBorder="1"/>
    <xf numFmtId="0" fontId="7" fillId="2" borderId="8" xfId="0" applyFont="1" applyFill="1" applyBorder="1"/>
    <xf numFmtId="0" fontId="7" fillId="0" borderId="0" xfId="0" applyFont="1" applyBorder="1"/>
    <xf numFmtId="0" fontId="6" fillId="2" borderId="0" xfId="0" applyFont="1" applyFill="1" applyBorder="1" applyAlignment="1"/>
    <xf numFmtId="0" fontId="5" fillId="2" borderId="8" xfId="0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/>
    <xf numFmtId="164" fontId="5" fillId="2" borderId="3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/>
    <xf numFmtId="0" fontId="8" fillId="0" borderId="0" xfId="0" applyFont="1" applyBorder="1" applyAlignment="1"/>
    <xf numFmtId="0" fontId="9" fillId="2" borderId="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vertical="top" wrapText="1"/>
    </xf>
    <xf numFmtId="0" fontId="7" fillId="0" borderId="11" xfId="0" applyFont="1" applyBorder="1" applyAlignment="1">
      <alignment vertical="top" wrapText="1"/>
    </xf>
    <xf numFmtId="0" fontId="7" fillId="0" borderId="11" xfId="0" applyFont="1" applyBorder="1" applyAlignment="1">
      <alignment vertical="top"/>
    </xf>
    <xf numFmtId="0" fontId="7" fillId="0" borderId="14" xfId="0" applyFont="1" applyBorder="1" applyAlignment="1">
      <alignment vertical="top" wrapText="1"/>
    </xf>
    <xf numFmtId="0" fontId="7" fillId="0" borderId="1" xfId="0" applyFont="1" applyBorder="1" applyAlignment="1">
      <alignment vertical="top" wrapText="1"/>
    </xf>
    <xf numFmtId="0" fontId="7" fillId="0" borderId="12" xfId="0" applyFont="1" applyBorder="1" applyAlignment="1">
      <alignment vertical="top" wrapText="1"/>
    </xf>
    <xf numFmtId="0" fontId="7" fillId="0" borderId="12" xfId="0" applyFont="1" applyBorder="1" applyAlignment="1">
      <alignment vertical="top"/>
    </xf>
    <xf numFmtId="0" fontId="8" fillId="0" borderId="15" xfId="0" applyFont="1" applyBorder="1" applyAlignment="1">
      <alignment vertical="top" wrapText="1"/>
    </xf>
    <xf numFmtId="0" fontId="7" fillId="0" borderId="10" xfId="0" applyFont="1" applyBorder="1" applyAlignment="1">
      <alignment vertical="top" wrapText="1"/>
    </xf>
    <xf numFmtId="0" fontId="7" fillId="0" borderId="10" xfId="0" applyFont="1" applyBorder="1" applyAlignment="1">
      <alignment horizontal="center" wrapText="1"/>
    </xf>
    <xf numFmtId="0" fontId="7" fillId="0" borderId="13" xfId="0" applyFont="1" applyBorder="1" applyAlignment="1">
      <alignment vertical="top" wrapText="1"/>
    </xf>
    <xf numFmtId="0" fontId="7" fillId="0" borderId="13" xfId="0" applyFont="1" applyBorder="1" applyAlignment="1">
      <alignment vertical="top"/>
    </xf>
    <xf numFmtId="0" fontId="8" fillId="0" borderId="16" xfId="0" applyFont="1" applyBorder="1" applyAlignment="1">
      <alignment vertical="top" wrapText="1"/>
    </xf>
    <xf numFmtId="164" fontId="8" fillId="0" borderId="1" xfId="0" applyNumberFormat="1" applyFont="1" applyBorder="1" applyAlignment="1">
      <alignment horizontal="left"/>
    </xf>
    <xf numFmtId="0" fontId="8" fillId="0" borderId="6" xfId="0" applyFont="1" applyBorder="1"/>
    <xf numFmtId="0" fontId="10" fillId="0" borderId="0" xfId="0" applyFont="1"/>
    <xf numFmtId="0" fontId="10" fillId="0" borderId="0" xfId="0" applyFont="1" applyAlignment="1">
      <alignment horizontal="center" vertical="top"/>
    </xf>
    <xf numFmtId="0" fontId="7" fillId="0" borderId="20" xfId="0" applyFont="1" applyBorder="1" applyAlignment="1">
      <alignment vertical="top" wrapText="1"/>
    </xf>
    <xf numFmtId="0" fontId="8" fillId="0" borderId="3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8" fillId="0" borderId="7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8" xfId="0" applyFont="1" applyBorder="1"/>
    <xf numFmtId="0" fontId="8" fillId="0" borderId="17" xfId="0" applyFont="1" applyBorder="1" applyAlignment="1">
      <alignment horizontal="center"/>
    </xf>
    <xf numFmtId="0" fontId="8" fillId="0" borderId="17" xfId="0" applyFont="1" applyBorder="1"/>
    <xf numFmtId="0" fontId="8" fillId="0" borderId="18" xfId="0" applyFont="1" applyBorder="1"/>
    <xf numFmtId="0" fontId="8" fillId="0" borderId="6" xfId="0" applyFont="1" applyBorder="1" applyAlignment="1"/>
    <xf numFmtId="0" fontId="8" fillId="0" borderId="2" xfId="0" applyFont="1" applyBorder="1"/>
    <xf numFmtId="0" fontId="8" fillId="0" borderId="12" xfId="0" applyFont="1" applyBorder="1"/>
    <xf numFmtId="0" fontId="8" fillId="0" borderId="4" xfId="0" applyFont="1" applyBorder="1"/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64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/>
    <xf numFmtId="0" fontId="6" fillId="2" borderId="1" xfId="0" applyFont="1" applyFill="1" applyBorder="1" applyAlignment="1"/>
    <xf numFmtId="0" fontId="7" fillId="2" borderId="1" xfId="0" applyFont="1" applyFill="1" applyBorder="1"/>
    <xf numFmtId="0" fontId="5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0" applyFont="1" applyBorder="1"/>
    <xf numFmtId="0" fontId="6" fillId="2" borderId="0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center" vertical="top"/>
    </xf>
    <xf numFmtId="0" fontId="8" fillId="0" borderId="1" xfId="0" applyFont="1" applyBorder="1"/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164" fontId="6" fillId="0" borderId="22" xfId="0" applyNumberFormat="1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/>
    </xf>
    <xf numFmtId="0" fontId="10" fillId="0" borderId="23" xfId="0" applyFont="1" applyBorder="1" applyAlignment="1">
      <alignment horizontal="center" vertical="top"/>
    </xf>
    <xf numFmtId="0" fontId="10" fillId="0" borderId="24" xfId="0" applyFont="1" applyBorder="1" applyAlignment="1">
      <alignment horizontal="center" vertical="top"/>
    </xf>
    <xf numFmtId="0" fontId="8" fillId="3" borderId="1" xfId="0" applyFont="1" applyFill="1" applyBorder="1"/>
    <xf numFmtId="0" fontId="8" fillId="0" borderId="0" xfId="0" applyFont="1" applyBorder="1" applyAlignment="1">
      <alignment horizontal="left" vertical="center"/>
    </xf>
    <xf numFmtId="0" fontId="8" fillId="0" borderId="2" xfId="0" applyFont="1" applyBorder="1" applyAlignment="1"/>
    <xf numFmtId="0" fontId="6" fillId="0" borderId="23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2" fillId="0" borderId="0" xfId="2"/>
    <xf numFmtId="0" fontId="2" fillId="0" borderId="0" xfId="3"/>
    <xf numFmtId="164" fontId="6" fillId="2" borderId="3" xfId="0" applyNumberFormat="1" applyFont="1" applyFill="1" applyBorder="1" applyAlignment="1">
      <alignment horizontal="center"/>
    </xf>
    <xf numFmtId="164" fontId="8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8" fillId="0" borderId="19" xfId="0" applyNumberFormat="1" applyFont="1" applyBorder="1" applyAlignment="1">
      <alignment horizontal="center" vertical="top"/>
    </xf>
    <xf numFmtId="0" fontId="8" fillId="0" borderId="8" xfId="0" applyFont="1" applyBorder="1" applyAlignment="1">
      <alignment horizontal="center" vertical="top"/>
    </xf>
    <xf numFmtId="0" fontId="8" fillId="0" borderId="25" xfId="0" applyFont="1" applyBorder="1" applyAlignment="1">
      <alignment horizontal="center" vertical="top"/>
    </xf>
    <xf numFmtId="164" fontId="8" fillId="0" borderId="1" xfId="0" applyNumberFormat="1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5" fillId="2" borderId="5" xfId="0" applyNumberFormat="1" applyFont="1" applyFill="1" applyBorder="1" applyAlignment="1">
      <alignment horizontal="left"/>
    </xf>
    <xf numFmtId="164" fontId="6" fillId="2" borderId="3" xfId="0" applyNumberFormat="1" applyFont="1" applyFill="1" applyBorder="1" applyAlignment="1">
      <alignment horizontal="left"/>
    </xf>
    <xf numFmtId="0" fontId="0" fillId="0" borderId="0" xfId="0" applyProtection="1">
      <protection locked="0"/>
    </xf>
    <xf numFmtId="0" fontId="8" fillId="0" borderId="2" xfId="0" applyFont="1" applyBorder="1" applyAlignment="1">
      <alignment vertical="top"/>
    </xf>
    <xf numFmtId="0" fontId="8" fillId="0" borderId="1" xfId="0" applyFont="1" applyBorder="1" applyAlignment="1">
      <alignment horizontal="right"/>
    </xf>
    <xf numFmtId="164" fontId="6" fillId="2" borderId="0" xfId="0" applyNumberFormat="1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7" fillId="0" borderId="2" xfId="0" applyFont="1" applyBorder="1" applyAlignment="1">
      <alignment vertical="top" wrapText="1"/>
    </xf>
    <xf numFmtId="164" fontId="5" fillId="2" borderId="6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6" fillId="2" borderId="0" xfId="0" applyNumberFormat="1" applyFont="1" applyFill="1" applyBorder="1" applyAlignment="1">
      <alignment horizontal="left"/>
    </xf>
    <xf numFmtId="164" fontId="8" fillId="0" borderId="4" xfId="0" applyNumberFormat="1" applyFont="1" applyBorder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 vertical="top"/>
    </xf>
    <xf numFmtId="164" fontId="6" fillId="0" borderId="19" xfId="0" applyNumberFormat="1" applyFont="1" applyBorder="1" applyAlignment="1">
      <alignment horizontal="center" vertical="top" wrapText="1"/>
    </xf>
    <xf numFmtId="164" fontId="8" fillId="0" borderId="1" xfId="0" applyNumberFormat="1" applyFont="1" applyBorder="1" applyAlignment="1">
      <alignment horizontal="center" vertical="top"/>
    </xf>
    <xf numFmtId="0" fontId="10" fillId="0" borderId="8" xfId="0" applyFont="1" applyBorder="1"/>
    <xf numFmtId="164" fontId="6" fillId="0" borderId="26" xfId="0" applyNumberFormat="1" applyFont="1" applyBorder="1" applyAlignment="1">
      <alignment horizontal="center" vertical="top" wrapText="1"/>
    </xf>
    <xf numFmtId="164" fontId="8" fillId="0" borderId="27" xfId="0" applyNumberFormat="1" applyFont="1" applyBorder="1" applyAlignment="1">
      <alignment horizontal="left"/>
    </xf>
    <xf numFmtId="164" fontId="8" fillId="0" borderId="28" xfId="0" applyNumberFormat="1" applyFont="1" applyBorder="1" applyAlignment="1">
      <alignment horizontal="left"/>
    </xf>
    <xf numFmtId="0" fontId="8" fillId="0" borderId="1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6" fillId="0" borderId="24" xfId="0" applyFont="1" applyBorder="1" applyAlignment="1">
      <alignment horizontal="center" vertical="top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6" fillId="0" borderId="37" xfId="0" applyFont="1" applyBorder="1" applyAlignment="1">
      <alignment horizontal="center" vertical="top"/>
    </xf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6" fillId="0" borderId="38" xfId="0" applyFont="1" applyBorder="1" applyAlignment="1">
      <alignment horizontal="center" vertical="top"/>
    </xf>
    <xf numFmtId="0" fontId="7" fillId="0" borderId="18" xfId="0" applyFont="1" applyFill="1" applyBorder="1" applyAlignment="1">
      <alignment horizontal="center" vertical="top"/>
    </xf>
    <xf numFmtId="0" fontId="7" fillId="0" borderId="29" xfId="0" applyFont="1" applyFill="1" applyBorder="1" applyAlignment="1">
      <alignment horizontal="center" vertical="top"/>
    </xf>
    <xf numFmtId="0" fontId="6" fillId="0" borderId="22" xfId="0" applyFont="1" applyBorder="1" applyAlignment="1">
      <alignment horizontal="center" vertical="top" wrapText="1"/>
    </xf>
    <xf numFmtId="0" fontId="6" fillId="0" borderId="38" xfId="0" applyFont="1" applyBorder="1" applyAlignment="1">
      <alignment horizontal="center" vertical="top" wrapText="1"/>
    </xf>
    <xf numFmtId="0" fontId="1" fillId="0" borderId="0" xfId="44"/>
    <xf numFmtId="0" fontId="1" fillId="0" borderId="0" xfId="44"/>
    <xf numFmtId="0" fontId="1" fillId="0" borderId="0" xfId="44"/>
    <xf numFmtId="0" fontId="0" fillId="0" borderId="59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65" xfId="0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165" fontId="6" fillId="0" borderId="23" xfId="0" applyNumberFormat="1" applyFont="1" applyBorder="1" applyAlignment="1">
      <alignment horizontal="center" vertical="top" wrapText="1"/>
    </xf>
    <xf numFmtId="165" fontId="5" fillId="2" borderId="6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6" fillId="2" borderId="0" xfId="0" applyNumberFormat="1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 vertical="center"/>
    </xf>
    <xf numFmtId="165" fontId="7" fillId="0" borderId="12" xfId="0" applyNumberFormat="1" applyFont="1" applyBorder="1" applyAlignment="1">
      <alignment horizontal="center" vertical="top" wrapText="1"/>
    </xf>
    <xf numFmtId="165" fontId="8" fillId="0" borderId="0" xfId="0" applyNumberFormat="1" applyFont="1" applyAlignment="1">
      <alignment horizontal="center"/>
    </xf>
    <xf numFmtId="0" fontId="8" fillId="0" borderId="0" xfId="0" applyFont="1" applyBorder="1" applyAlignment="1">
      <alignment wrapText="1"/>
    </xf>
    <xf numFmtId="0" fontId="7" fillId="0" borderId="14" xfId="0" applyFont="1" applyBorder="1" applyAlignment="1">
      <alignment horizontal="right" vertical="top" wrapText="1"/>
    </xf>
    <xf numFmtId="0" fontId="6" fillId="0" borderId="22" xfId="0" applyFont="1" applyBorder="1" applyAlignment="1">
      <alignment vertical="top" wrapText="1"/>
    </xf>
    <xf numFmtId="0" fontId="7" fillId="0" borderId="83" xfId="0" applyFont="1" applyBorder="1" applyAlignment="1">
      <alignment vertical="top" wrapText="1"/>
    </xf>
    <xf numFmtId="0" fontId="8" fillId="0" borderId="84" xfId="0" applyFont="1" applyBorder="1" applyAlignment="1">
      <alignment wrapText="1"/>
    </xf>
    <xf numFmtId="0" fontId="7" fillId="0" borderId="35" xfId="0" applyFont="1" applyBorder="1" applyAlignment="1">
      <alignment vertical="top" wrapText="1"/>
    </xf>
    <xf numFmtId="0" fontId="8" fillId="0" borderId="84" xfId="0" applyFont="1" applyBorder="1"/>
    <xf numFmtId="0" fontId="7" fillId="0" borderId="85" xfId="0" applyFont="1" applyBorder="1" applyAlignment="1">
      <alignment vertical="top" wrapText="1"/>
    </xf>
    <xf numFmtId="0" fontId="8" fillId="0" borderId="86" xfId="0" applyFont="1" applyBorder="1"/>
    <xf numFmtId="0" fontId="8" fillId="0" borderId="14" xfId="0" applyFont="1" applyBorder="1" applyAlignment="1">
      <alignment wrapText="1"/>
    </xf>
    <xf numFmtId="0" fontId="8" fillId="0" borderId="15" xfId="0" applyFont="1" applyBorder="1"/>
    <xf numFmtId="0" fontId="8" fillId="0" borderId="16" xfId="0" applyFont="1" applyBorder="1"/>
    <xf numFmtId="0" fontId="7" fillId="0" borderId="89" xfId="0" applyFont="1" applyBorder="1" applyAlignment="1">
      <alignment vertical="top" wrapText="1"/>
    </xf>
    <xf numFmtId="0" fontId="7" fillId="0" borderId="3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165" fontId="7" fillId="0" borderId="11" xfId="0" applyNumberFormat="1" applyFont="1" applyBorder="1" applyAlignment="1">
      <alignment horizontal="center" vertical="top" wrapText="1"/>
    </xf>
    <xf numFmtId="0" fontId="8" fillId="0" borderId="70" xfId="0" applyFont="1" applyBorder="1"/>
    <xf numFmtId="0" fontId="8" fillId="0" borderId="87" xfId="0" applyFont="1" applyBorder="1"/>
    <xf numFmtId="0" fontId="8" fillId="0" borderId="55" xfId="0" applyFont="1" applyBorder="1"/>
    <xf numFmtId="0" fontId="8" fillId="0" borderId="28" xfId="0" applyFont="1" applyBorder="1"/>
    <xf numFmtId="0" fontId="8" fillId="0" borderId="88" xfId="0" applyFont="1" applyBorder="1"/>
    <xf numFmtId="0" fontId="8" fillId="0" borderId="29" xfId="0" applyFont="1" applyBorder="1"/>
    <xf numFmtId="0" fontId="8" fillId="0" borderId="31" xfId="0" applyFont="1" applyBorder="1"/>
    <xf numFmtId="0" fontId="8" fillId="0" borderId="19" xfId="0" applyFont="1" applyBorder="1"/>
    <xf numFmtId="0" fontId="6" fillId="0" borderId="90" xfId="0" applyFont="1" applyBorder="1" applyAlignment="1">
      <alignment vertical="top" wrapText="1"/>
    </xf>
    <xf numFmtId="0" fontId="6" fillId="0" borderId="67" xfId="0" applyFont="1" applyBorder="1" applyAlignment="1">
      <alignment horizontal="center" vertical="top" wrapText="1"/>
    </xf>
    <xf numFmtId="165" fontId="6" fillId="0" borderId="67" xfId="0" applyNumberFormat="1" applyFont="1" applyBorder="1" applyAlignment="1">
      <alignment horizontal="center" vertical="top" wrapText="1"/>
    </xf>
    <xf numFmtId="0" fontId="6" fillId="0" borderId="68" xfId="0" applyFont="1" applyBorder="1" applyAlignment="1">
      <alignment horizontal="center" vertical="top"/>
    </xf>
    <xf numFmtId="0" fontId="7" fillId="0" borderId="91" xfId="0" applyFont="1" applyBorder="1" applyAlignment="1">
      <alignment vertical="top" wrapText="1"/>
    </xf>
    <xf numFmtId="0" fontId="0" fillId="0" borderId="0" xfId="0" applyBorder="1"/>
    <xf numFmtId="0" fontId="8" fillId="0" borderId="92" xfId="0" applyFont="1" applyBorder="1" applyAlignment="1">
      <alignment wrapText="1"/>
    </xf>
    <xf numFmtId="0" fontId="7" fillId="0" borderId="93" xfId="0" applyFont="1" applyBorder="1" applyAlignment="1">
      <alignment vertical="top" wrapText="1"/>
    </xf>
    <xf numFmtId="0" fontId="8" fillId="0" borderId="92" xfId="0" applyFont="1" applyBorder="1"/>
    <xf numFmtId="0" fontId="7" fillId="0" borderId="94" xfId="0" applyFont="1" applyBorder="1" applyAlignment="1">
      <alignment vertical="top" wrapText="1"/>
    </xf>
    <xf numFmtId="0" fontId="8" fillId="0" borderId="95" xfId="0" applyFont="1" applyBorder="1"/>
    <xf numFmtId="0" fontId="7" fillId="0" borderId="96" xfId="0" applyFont="1" applyBorder="1" applyAlignment="1">
      <alignment vertical="top" wrapText="1"/>
    </xf>
    <xf numFmtId="0" fontId="7" fillId="0" borderId="53" xfId="0" applyFont="1" applyBorder="1" applyAlignment="1">
      <alignment horizontal="center" wrapText="1"/>
    </xf>
    <xf numFmtId="0" fontId="7" fillId="0" borderId="97" xfId="0" applyFont="1" applyBorder="1" applyAlignment="1">
      <alignment vertical="top" wrapText="1"/>
    </xf>
    <xf numFmtId="0" fontId="8" fillId="0" borderId="98" xfId="0" applyFont="1" applyBorder="1"/>
    <xf numFmtId="0" fontId="7" fillId="0" borderId="99" xfId="0" applyFont="1" applyBorder="1" applyAlignment="1">
      <alignment vertical="top" wrapText="1"/>
    </xf>
    <xf numFmtId="0" fontId="0" fillId="0" borderId="100" xfId="0" applyBorder="1"/>
    <xf numFmtId="0" fontId="7" fillId="0" borderId="101" xfId="0" applyFont="1" applyBorder="1" applyAlignment="1">
      <alignment vertical="top" wrapText="1"/>
    </xf>
    <xf numFmtId="165" fontId="7" fillId="0" borderId="101" xfId="0" applyNumberFormat="1" applyFont="1" applyBorder="1" applyAlignment="1">
      <alignment horizontal="center" vertical="top" wrapText="1"/>
    </xf>
    <xf numFmtId="0" fontId="8" fillId="0" borderId="102" xfId="0" applyFont="1" applyBorder="1" applyAlignment="1">
      <alignment wrapText="1"/>
    </xf>
    <xf numFmtId="0" fontId="8" fillId="0" borderId="103" xfId="0" applyFont="1" applyBorder="1"/>
    <xf numFmtId="0" fontId="8" fillId="0" borderId="104" xfId="0" applyFont="1" applyBorder="1"/>
    <xf numFmtId="0" fontId="8" fillId="0" borderId="105" xfId="0" applyFont="1" applyBorder="1" applyAlignment="1">
      <alignment wrapText="1"/>
    </xf>
    <xf numFmtId="0" fontId="7" fillId="0" borderId="106" xfId="0" applyFont="1" applyBorder="1" applyAlignment="1">
      <alignment vertical="top" wrapText="1"/>
    </xf>
    <xf numFmtId="0" fontId="0" fillId="0" borderId="107" xfId="0" applyBorder="1"/>
    <xf numFmtId="0" fontId="0" fillId="0" borderId="31" xfId="0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0" fontId="31" fillId="0" borderId="0" xfId="0" applyFont="1"/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33" fillId="0" borderId="84" xfId="0" applyFont="1" applyBorder="1" applyAlignment="1">
      <alignment horizontal="center" vertical="center"/>
    </xf>
    <xf numFmtId="1" fontId="31" fillId="0" borderId="50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" fontId="32" fillId="0" borderId="0" xfId="0" applyNumberFormat="1" applyFont="1" applyBorder="1" applyAlignment="1">
      <alignment horizontal="center" vertical="center"/>
    </xf>
    <xf numFmtId="1" fontId="33" fillId="0" borderId="84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vertical="center"/>
    </xf>
    <xf numFmtId="1" fontId="31" fillId="0" borderId="108" xfId="0" applyNumberFormat="1" applyFont="1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1" fontId="33" fillId="0" borderId="86" xfId="0" applyNumberFormat="1" applyFont="1" applyBorder="1" applyAlignment="1">
      <alignment horizontal="center" vertical="center"/>
    </xf>
    <xf numFmtId="1" fontId="0" fillId="0" borderId="50" xfId="0" applyNumberFormat="1" applyBorder="1"/>
    <xf numFmtId="1" fontId="0" fillId="0" borderId="0" xfId="0" applyNumberFormat="1" applyBorder="1"/>
    <xf numFmtId="1" fontId="32" fillId="0" borderId="0" xfId="0" applyNumberFormat="1" applyFont="1" applyBorder="1"/>
    <xf numFmtId="1" fontId="0" fillId="0" borderId="84" xfId="0" applyNumberFormat="1" applyBorder="1"/>
    <xf numFmtId="1" fontId="33" fillId="0" borderId="50" xfId="0" applyNumberFormat="1" applyFont="1" applyBorder="1"/>
    <xf numFmtId="1" fontId="31" fillId="0" borderId="84" xfId="0" applyNumberFormat="1" applyFont="1" applyBorder="1"/>
    <xf numFmtId="0" fontId="0" fillId="0" borderId="108" xfId="0" applyBorder="1"/>
    <xf numFmtId="0" fontId="0" fillId="0" borderId="86" xfId="0" applyBorder="1"/>
    <xf numFmtId="0" fontId="4" fillId="0" borderId="58" xfId="0" applyFont="1" applyBorder="1" applyAlignment="1">
      <alignment horizontal="center" vertical="center"/>
    </xf>
    <xf numFmtId="0" fontId="0" fillId="0" borderId="58" xfId="0" applyFont="1" applyBorder="1" applyAlignment="1">
      <alignment horizontal="center" vertical="center"/>
    </xf>
    <xf numFmtId="0" fontId="0" fillId="0" borderId="109" xfId="0" applyBorder="1"/>
    <xf numFmtId="1" fontId="31" fillId="0" borderId="84" xfId="0" applyNumberFormat="1" applyFont="1" applyBorder="1" applyAlignment="1">
      <alignment horizontal="center" vertical="center"/>
    </xf>
    <xf numFmtId="1" fontId="0" fillId="0" borderId="50" xfId="0" applyNumberFormat="1" applyBorder="1" applyAlignment="1">
      <alignment horizontal="left" vertical="center"/>
    </xf>
    <xf numFmtId="1" fontId="0" fillId="0" borderId="50" xfId="0" applyNumberFormat="1" applyBorder="1" applyAlignment="1">
      <alignment vertical="center"/>
    </xf>
    <xf numFmtId="0" fontId="4" fillId="0" borderId="26" xfId="0" applyFont="1" applyBorder="1" applyAlignment="1"/>
    <xf numFmtId="0" fontId="4" fillId="0" borderId="39" xfId="0" applyFont="1" applyBorder="1" applyAlignment="1"/>
    <xf numFmtId="0" fontId="4" fillId="0" borderId="40" xfId="0" applyFont="1" applyBorder="1" applyAlignment="1"/>
    <xf numFmtId="0" fontId="0" fillId="0" borderId="0" xfId="0" applyAlignment="1">
      <alignment textRotation="255"/>
    </xf>
    <xf numFmtId="0" fontId="4" fillId="0" borderId="57" xfId="0" applyFont="1" applyBorder="1" applyAlignment="1">
      <alignment horizontal="center" vertical="center" textRotation="90"/>
    </xf>
    <xf numFmtId="0" fontId="4" fillId="0" borderId="109" xfId="0" applyFont="1" applyBorder="1" applyAlignment="1">
      <alignment horizontal="center" vertical="center" textRotation="90"/>
    </xf>
    <xf numFmtId="0" fontId="4" fillId="0" borderId="39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39" xfId="0" applyBorder="1"/>
    <xf numFmtId="0" fontId="32" fillId="0" borderId="39" xfId="0" applyFont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 textRotation="90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/>
    <cellStyle name="Normal 3" xfId="3"/>
    <cellStyle name="Normal 4" xfId="44"/>
    <cellStyle name="Normal 7" xfId="1"/>
    <cellStyle name="Note 2" xfId="45"/>
    <cellStyle name="Output" xfId="13" builtinId="21" customBuiltin="1"/>
    <cellStyle name="Title" xfId="4" builtinId="15" customBuiltin="1"/>
    <cellStyle name="Total" xfId="19" builtinId="25" customBuiltin="1"/>
    <cellStyle name="Warning Text" xfId="17" builtinId="11" customBuiltin="1"/>
  </cellStyles>
  <dxfs count="8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218282</xdr:colOff>
      <xdr:row>5</xdr:row>
      <xdr:rowOff>793</xdr:rowOff>
    </xdr:from>
    <xdr:to>
      <xdr:col>9</xdr:col>
      <xdr:colOff>219870</xdr:colOff>
      <xdr:row>8</xdr:row>
      <xdr:rowOff>19843</xdr:rowOff>
    </xdr:to>
    <xdr:cxnSp macro="">
      <xdr:nvCxnSpPr>
        <xdr:cNvPr id="3" name="Straight Arrow Connector 2"/>
        <xdr:cNvCxnSpPr/>
      </xdr:nvCxnSpPr>
      <xdr:spPr>
        <a:xfrm rot="5400000">
          <a:off x="6043613" y="1309687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218282</xdr:colOff>
      <xdr:row>9</xdr:row>
      <xdr:rowOff>794</xdr:rowOff>
    </xdr:from>
    <xdr:to>
      <xdr:col>9</xdr:col>
      <xdr:colOff>219870</xdr:colOff>
      <xdr:row>12</xdr:row>
      <xdr:rowOff>19844</xdr:rowOff>
    </xdr:to>
    <xdr:cxnSp macro="">
      <xdr:nvCxnSpPr>
        <xdr:cNvPr id="4" name="Straight Arrow Connector 3"/>
        <xdr:cNvCxnSpPr/>
      </xdr:nvCxnSpPr>
      <xdr:spPr>
        <a:xfrm rot="5400000">
          <a:off x="6043613" y="2109788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208757</xdr:colOff>
      <xdr:row>14</xdr:row>
      <xdr:rowOff>795</xdr:rowOff>
    </xdr:from>
    <xdr:to>
      <xdr:col>9</xdr:col>
      <xdr:colOff>210345</xdr:colOff>
      <xdr:row>17</xdr:row>
      <xdr:rowOff>19845</xdr:rowOff>
    </xdr:to>
    <xdr:cxnSp macro="">
      <xdr:nvCxnSpPr>
        <xdr:cNvPr id="6" name="Straight Arrow Connector 5"/>
        <xdr:cNvCxnSpPr/>
      </xdr:nvCxnSpPr>
      <xdr:spPr>
        <a:xfrm rot="5400000">
          <a:off x="6034088" y="3109914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323057</xdr:colOff>
      <xdr:row>5</xdr:row>
      <xdr:rowOff>793</xdr:rowOff>
    </xdr:from>
    <xdr:to>
      <xdr:col>8</xdr:col>
      <xdr:colOff>324645</xdr:colOff>
      <xdr:row>8</xdr:row>
      <xdr:rowOff>19843</xdr:rowOff>
    </xdr:to>
    <xdr:cxnSp macro="">
      <xdr:nvCxnSpPr>
        <xdr:cNvPr id="7" name="Straight Arrow Connector 6"/>
        <xdr:cNvCxnSpPr/>
      </xdr:nvCxnSpPr>
      <xdr:spPr>
        <a:xfrm rot="5400000">
          <a:off x="5500688" y="1309687"/>
          <a:ext cx="6191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323057</xdr:colOff>
      <xdr:row>9</xdr:row>
      <xdr:rowOff>794</xdr:rowOff>
    </xdr:from>
    <xdr:to>
      <xdr:col>8</xdr:col>
      <xdr:colOff>324645</xdr:colOff>
      <xdr:row>12</xdr:row>
      <xdr:rowOff>19844</xdr:rowOff>
    </xdr:to>
    <xdr:cxnSp macro="">
      <xdr:nvCxnSpPr>
        <xdr:cNvPr id="8" name="Straight Arrow Connector 7"/>
        <xdr:cNvCxnSpPr/>
      </xdr:nvCxnSpPr>
      <xdr:spPr>
        <a:xfrm rot="5400000">
          <a:off x="5500688" y="2109788"/>
          <a:ext cx="6191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313532</xdr:colOff>
      <xdr:row>13</xdr:row>
      <xdr:rowOff>3</xdr:rowOff>
    </xdr:from>
    <xdr:to>
      <xdr:col>8</xdr:col>
      <xdr:colOff>323850</xdr:colOff>
      <xdr:row>17</xdr:row>
      <xdr:rowOff>19845</xdr:rowOff>
    </xdr:to>
    <xdr:cxnSp macro="">
      <xdr:nvCxnSpPr>
        <xdr:cNvPr id="9" name="Straight Arrow Connector 8"/>
        <xdr:cNvCxnSpPr/>
      </xdr:nvCxnSpPr>
      <xdr:spPr>
        <a:xfrm rot="5400000">
          <a:off x="5395120" y="3005140"/>
          <a:ext cx="819942" cy="1031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</xdr:row>
      <xdr:rowOff>104775</xdr:rowOff>
    </xdr:from>
    <xdr:to>
      <xdr:col>11</xdr:col>
      <xdr:colOff>9525</xdr:colOff>
      <xdr:row>3</xdr:row>
      <xdr:rowOff>106363</xdr:rowOff>
    </xdr:to>
    <xdr:cxnSp macro="">
      <xdr:nvCxnSpPr>
        <xdr:cNvPr id="15" name="Straight Arrow Connector 14"/>
        <xdr:cNvCxnSpPr/>
      </xdr:nvCxnSpPr>
      <xdr:spPr>
        <a:xfrm>
          <a:off x="6581775" y="7048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3</xdr:row>
      <xdr:rowOff>104775</xdr:rowOff>
    </xdr:from>
    <xdr:to>
      <xdr:col>13</xdr:col>
      <xdr:colOff>9525</xdr:colOff>
      <xdr:row>3</xdr:row>
      <xdr:rowOff>106363</xdr:rowOff>
    </xdr:to>
    <xdr:cxnSp macro="">
      <xdr:nvCxnSpPr>
        <xdr:cNvPr id="16" name="Straight Arrow Connector 15"/>
        <xdr:cNvCxnSpPr/>
      </xdr:nvCxnSpPr>
      <xdr:spPr>
        <a:xfrm>
          <a:off x="7705725" y="704850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17</xdr:row>
      <xdr:rowOff>104775</xdr:rowOff>
    </xdr:from>
    <xdr:to>
      <xdr:col>11</xdr:col>
      <xdr:colOff>19050</xdr:colOff>
      <xdr:row>17</xdr:row>
      <xdr:rowOff>106363</xdr:rowOff>
    </xdr:to>
    <xdr:cxnSp macro="">
      <xdr:nvCxnSpPr>
        <xdr:cNvPr id="19" name="Straight Arrow Connector 18"/>
        <xdr:cNvCxnSpPr/>
      </xdr:nvCxnSpPr>
      <xdr:spPr>
        <a:xfrm>
          <a:off x="6591300" y="350520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17</xdr:row>
      <xdr:rowOff>104775</xdr:rowOff>
    </xdr:from>
    <xdr:to>
      <xdr:col>13</xdr:col>
      <xdr:colOff>19050</xdr:colOff>
      <xdr:row>17</xdr:row>
      <xdr:rowOff>106363</xdr:rowOff>
    </xdr:to>
    <xdr:cxnSp macro="">
      <xdr:nvCxnSpPr>
        <xdr:cNvPr id="20" name="Straight Arrow Connector 19"/>
        <xdr:cNvCxnSpPr/>
      </xdr:nvCxnSpPr>
      <xdr:spPr>
        <a:xfrm>
          <a:off x="7715250" y="3505200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9526</xdr:colOff>
      <xdr:row>4</xdr:row>
      <xdr:rowOff>104775</xdr:rowOff>
    </xdr:from>
    <xdr:to>
      <xdr:col>7</xdr:col>
      <xdr:colOff>1</xdr:colOff>
      <xdr:row>4</xdr:row>
      <xdr:rowOff>104776</xdr:rowOff>
    </xdr:to>
    <xdr:cxnSp macro="">
      <xdr:nvCxnSpPr>
        <xdr:cNvPr id="25" name="Straight Arrow Connector 24"/>
        <xdr:cNvCxnSpPr/>
      </xdr:nvCxnSpPr>
      <xdr:spPr>
        <a:xfrm rot="10800000">
          <a:off x="3648076" y="933450"/>
          <a:ext cx="676275" cy="1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3</xdr:row>
      <xdr:rowOff>114300</xdr:rowOff>
    </xdr:from>
    <xdr:to>
      <xdr:col>7</xdr:col>
      <xdr:colOff>9525</xdr:colOff>
      <xdr:row>3</xdr:row>
      <xdr:rowOff>115888</xdr:rowOff>
    </xdr:to>
    <xdr:cxnSp macro="">
      <xdr:nvCxnSpPr>
        <xdr:cNvPr id="39" name="Straight Arrow Connector 38"/>
        <xdr:cNvCxnSpPr/>
      </xdr:nvCxnSpPr>
      <xdr:spPr>
        <a:xfrm rot="10800000">
          <a:off x="3638550" y="7429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114300</xdr:rowOff>
    </xdr:from>
    <xdr:to>
      <xdr:col>5</xdr:col>
      <xdr:colOff>9525</xdr:colOff>
      <xdr:row>3</xdr:row>
      <xdr:rowOff>115888</xdr:rowOff>
    </xdr:to>
    <xdr:cxnSp macro="">
      <xdr:nvCxnSpPr>
        <xdr:cNvPr id="42" name="Straight Arrow Connector 41"/>
        <xdr:cNvCxnSpPr/>
      </xdr:nvCxnSpPr>
      <xdr:spPr>
        <a:xfrm rot="10800000">
          <a:off x="2505075" y="742950"/>
          <a:ext cx="695325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8</xdr:row>
      <xdr:rowOff>104775</xdr:rowOff>
    </xdr:from>
    <xdr:to>
      <xdr:col>7</xdr:col>
      <xdr:colOff>0</xdr:colOff>
      <xdr:row>8</xdr:row>
      <xdr:rowOff>106363</xdr:rowOff>
    </xdr:to>
    <xdr:cxnSp macro="">
      <xdr:nvCxnSpPr>
        <xdr:cNvPr id="43" name="Straight Arrow Connector 42"/>
        <xdr:cNvCxnSpPr/>
      </xdr:nvCxnSpPr>
      <xdr:spPr>
        <a:xfrm rot="10800000">
          <a:off x="3629025" y="17335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438150</xdr:colOff>
      <xdr:row>8</xdr:row>
      <xdr:rowOff>104775</xdr:rowOff>
    </xdr:from>
    <xdr:to>
      <xdr:col>5</xdr:col>
      <xdr:colOff>0</xdr:colOff>
      <xdr:row>8</xdr:row>
      <xdr:rowOff>106363</xdr:rowOff>
    </xdr:to>
    <xdr:cxnSp macro="">
      <xdr:nvCxnSpPr>
        <xdr:cNvPr id="44" name="Straight Arrow Connector 43"/>
        <xdr:cNvCxnSpPr/>
      </xdr:nvCxnSpPr>
      <xdr:spPr>
        <a:xfrm rot="10800000">
          <a:off x="2495550" y="1733550"/>
          <a:ext cx="695325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2</xdr:row>
      <xdr:rowOff>161925</xdr:rowOff>
    </xdr:from>
    <xdr:to>
      <xdr:col>6</xdr:col>
      <xdr:colOff>409575</xdr:colOff>
      <xdr:row>2</xdr:row>
      <xdr:rowOff>163513</xdr:rowOff>
    </xdr:to>
    <xdr:cxnSp macro="">
      <xdr:nvCxnSpPr>
        <xdr:cNvPr id="47" name="Straight Arrow Connector 46"/>
        <xdr:cNvCxnSpPr/>
      </xdr:nvCxnSpPr>
      <xdr:spPr>
        <a:xfrm rot="10800000">
          <a:off x="3352800" y="581025"/>
          <a:ext cx="6953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285750</xdr:colOff>
      <xdr:row>2</xdr:row>
      <xdr:rowOff>161925</xdr:rowOff>
    </xdr:from>
    <xdr:to>
      <xdr:col>11</xdr:col>
      <xdr:colOff>295275</xdr:colOff>
      <xdr:row>2</xdr:row>
      <xdr:rowOff>163513</xdr:rowOff>
    </xdr:to>
    <xdr:cxnSp macro="">
      <xdr:nvCxnSpPr>
        <xdr:cNvPr id="48" name="Straight Arrow Connector 47"/>
        <xdr:cNvCxnSpPr/>
      </xdr:nvCxnSpPr>
      <xdr:spPr>
        <a:xfrm>
          <a:off x="6153150" y="581025"/>
          <a:ext cx="6953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456422</xdr:colOff>
      <xdr:row>1</xdr:row>
      <xdr:rowOff>143669</xdr:rowOff>
    </xdr:from>
    <xdr:to>
      <xdr:col>8</xdr:col>
      <xdr:colOff>457994</xdr:colOff>
      <xdr:row>3</xdr:row>
      <xdr:rowOff>97319</xdr:rowOff>
    </xdr:to>
    <xdr:cxnSp macro="">
      <xdr:nvCxnSpPr>
        <xdr:cNvPr id="52" name="Straight Arrow Connector 51"/>
        <xdr:cNvCxnSpPr/>
      </xdr:nvCxnSpPr>
      <xdr:spPr>
        <a:xfrm rot="5400000">
          <a:off x="4995233" y="586433"/>
          <a:ext cx="468000" cy="1572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12</xdr:row>
      <xdr:rowOff>104775</xdr:rowOff>
    </xdr:from>
    <xdr:to>
      <xdr:col>11</xdr:col>
      <xdr:colOff>19050</xdr:colOff>
      <xdr:row>12</xdr:row>
      <xdr:rowOff>106363</xdr:rowOff>
    </xdr:to>
    <xdr:cxnSp macro="">
      <xdr:nvCxnSpPr>
        <xdr:cNvPr id="53" name="Straight Arrow Connector 52"/>
        <xdr:cNvCxnSpPr/>
      </xdr:nvCxnSpPr>
      <xdr:spPr>
        <a:xfrm>
          <a:off x="5876925" y="2638425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104775</xdr:rowOff>
    </xdr:from>
    <xdr:to>
      <xdr:col>13</xdr:col>
      <xdr:colOff>19050</xdr:colOff>
      <xdr:row>12</xdr:row>
      <xdr:rowOff>106363</xdr:rowOff>
    </xdr:to>
    <xdr:cxnSp macro="">
      <xdr:nvCxnSpPr>
        <xdr:cNvPr id="54" name="Straight Arrow Connector 53"/>
        <xdr:cNvCxnSpPr/>
      </xdr:nvCxnSpPr>
      <xdr:spPr>
        <a:xfrm>
          <a:off x="7153275" y="2638425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19050</xdr:colOff>
      <xdr:row>8</xdr:row>
      <xdr:rowOff>104775</xdr:rowOff>
    </xdr:from>
    <xdr:to>
      <xdr:col>11</xdr:col>
      <xdr:colOff>28575</xdr:colOff>
      <xdr:row>8</xdr:row>
      <xdr:rowOff>106363</xdr:rowOff>
    </xdr:to>
    <xdr:cxnSp macro="">
      <xdr:nvCxnSpPr>
        <xdr:cNvPr id="56" name="Straight Arrow Connector 55"/>
        <xdr:cNvCxnSpPr/>
      </xdr:nvCxnSpPr>
      <xdr:spPr>
        <a:xfrm>
          <a:off x="5886450" y="1838325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8</xdr:row>
      <xdr:rowOff>104775</xdr:rowOff>
    </xdr:from>
    <xdr:to>
      <xdr:col>13</xdr:col>
      <xdr:colOff>28575</xdr:colOff>
      <xdr:row>8</xdr:row>
      <xdr:rowOff>106363</xdr:rowOff>
    </xdr:to>
    <xdr:cxnSp macro="">
      <xdr:nvCxnSpPr>
        <xdr:cNvPr id="57" name="Straight Arrow Connector 56"/>
        <xdr:cNvCxnSpPr/>
      </xdr:nvCxnSpPr>
      <xdr:spPr>
        <a:xfrm>
          <a:off x="7162800" y="1838325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923"/>
  <sheetViews>
    <sheetView zoomScale="85" zoomScaleNormal="85" workbookViewId="0">
      <pane ySplit="11" topLeftCell="A324" activePane="bottomLeft" state="frozen"/>
      <selection pane="bottomLeft" activeCell="L340" sqref="L340"/>
    </sheetView>
  </sheetViews>
  <sheetFormatPr defaultColWidth="11" defaultRowHeight="12.75"/>
  <cols>
    <col min="1" max="1" width="13.75" style="39" customWidth="1"/>
    <col min="2" max="2" width="6.5" style="75" customWidth="1"/>
    <col min="3" max="3" width="6.25" style="75" customWidth="1"/>
    <col min="4" max="4" width="5.75" style="75" customWidth="1"/>
    <col min="5" max="5" width="5.5" style="75" customWidth="1"/>
    <col min="6" max="6" width="6" style="75" customWidth="1"/>
    <col min="7" max="7" width="5.625" style="75" customWidth="1"/>
    <col min="8" max="9" width="5.75" style="75" customWidth="1"/>
    <col min="10" max="10" width="5.875" style="75" customWidth="1"/>
    <col min="11" max="12" width="11" style="75"/>
    <col min="13" max="13" width="47.875" style="75" customWidth="1"/>
    <col min="14" max="14" width="36.375" style="48" customWidth="1"/>
    <col min="15" max="15" width="11" style="66"/>
    <col min="16" max="16" width="11" style="67"/>
    <col min="17" max="16384" width="11" style="16"/>
  </cols>
  <sheetData>
    <row r="1" spans="1:16" s="8" customFormat="1">
      <c r="A1" s="221" t="s">
        <v>11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57"/>
      <c r="O1" s="58"/>
      <c r="P1" s="59"/>
    </row>
    <row r="2" spans="1:16">
      <c r="A2" s="60" t="s">
        <v>256</v>
      </c>
      <c r="B2" s="61"/>
      <c r="C2" s="61"/>
      <c r="D2" s="61"/>
      <c r="E2" s="61"/>
      <c r="F2" s="61"/>
      <c r="G2" s="61"/>
      <c r="H2" s="61"/>
      <c r="I2" s="61"/>
      <c r="J2" s="61"/>
      <c r="K2" s="62"/>
      <c r="L2" s="63"/>
      <c r="M2" s="64" t="s">
        <v>257</v>
      </c>
      <c r="N2" s="65"/>
    </row>
    <row r="3" spans="1:16">
      <c r="A3" s="60" t="s">
        <v>269</v>
      </c>
      <c r="B3" s="61"/>
      <c r="C3" s="61"/>
      <c r="D3" s="61"/>
      <c r="E3" s="61"/>
      <c r="F3" s="61"/>
      <c r="G3" s="61"/>
      <c r="H3" s="61"/>
      <c r="I3" s="61"/>
      <c r="J3" s="61"/>
      <c r="K3" s="62"/>
      <c r="L3" s="68"/>
      <c r="M3" s="64"/>
      <c r="N3" s="65"/>
    </row>
    <row r="4" spans="1:16">
      <c r="A4" s="60" t="s">
        <v>270</v>
      </c>
      <c r="B4" s="62"/>
      <c r="C4" s="62"/>
      <c r="D4" s="62"/>
      <c r="E4" s="62"/>
      <c r="F4" s="62"/>
      <c r="G4" s="62"/>
      <c r="H4" s="62"/>
      <c r="I4" s="62"/>
      <c r="J4" s="62"/>
      <c r="K4" s="222" t="s">
        <v>12</v>
      </c>
      <c r="L4" s="222"/>
      <c r="M4" s="222"/>
      <c r="N4" s="69"/>
    </row>
    <row r="5" spans="1:16">
      <c r="A5" s="60" t="s">
        <v>271</v>
      </c>
      <c r="B5" s="62"/>
      <c r="C5" s="62"/>
      <c r="D5" s="62"/>
      <c r="E5" s="62"/>
      <c r="F5" s="62"/>
      <c r="G5" s="62"/>
      <c r="H5" s="62"/>
      <c r="I5" s="62"/>
      <c r="J5" s="62"/>
      <c r="K5" s="70"/>
      <c r="L5" s="70"/>
      <c r="M5" s="70"/>
      <c r="N5" s="71"/>
    </row>
    <row r="6" spans="1:16">
      <c r="A6" s="60" t="s">
        <v>272</v>
      </c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13"/>
    </row>
    <row r="7" spans="1:16">
      <c r="A7" s="60" t="s">
        <v>424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13"/>
    </row>
    <row r="8" spans="1:16">
      <c r="A8" s="223"/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72"/>
    </row>
    <row r="9" spans="1:16" s="41" customFormat="1" ht="29.25" customHeight="1" thickBot="1">
      <c r="B9" s="224" t="s">
        <v>13</v>
      </c>
      <c r="C9" s="225"/>
    </row>
    <row r="10" spans="1:16" s="41" customFormat="1" ht="29.25" customHeight="1" thickBot="1">
      <c r="B10" s="226" t="s">
        <v>541</v>
      </c>
      <c r="C10" s="227"/>
      <c r="D10" s="228"/>
      <c r="E10" s="229" t="s">
        <v>542</v>
      </c>
      <c r="F10" s="230"/>
      <c r="G10" s="231"/>
      <c r="H10" s="229" t="s">
        <v>543</v>
      </c>
      <c r="I10" s="230"/>
      <c r="J10" s="231"/>
    </row>
    <row r="11" spans="1:16" s="42" customFormat="1" ht="39" customHeight="1" thickBot="1">
      <c r="A11" s="117" t="s">
        <v>268</v>
      </c>
      <c r="B11" s="133" t="s">
        <v>20</v>
      </c>
      <c r="C11" s="80" t="s">
        <v>21</v>
      </c>
      <c r="D11" s="122" t="s">
        <v>553</v>
      </c>
      <c r="E11" s="134" t="s">
        <v>20</v>
      </c>
      <c r="F11" s="80" t="s">
        <v>21</v>
      </c>
      <c r="G11" s="127" t="s">
        <v>554</v>
      </c>
      <c r="H11" s="133" t="s">
        <v>20</v>
      </c>
      <c r="I11" s="80" t="s">
        <v>21</v>
      </c>
      <c r="J11" s="122" t="s">
        <v>555</v>
      </c>
      <c r="K11" s="130" t="s">
        <v>14</v>
      </c>
      <c r="L11" s="80" t="s">
        <v>15</v>
      </c>
      <c r="M11" s="81" t="s">
        <v>16</v>
      </c>
      <c r="N11" s="81" t="s">
        <v>17</v>
      </c>
      <c r="O11" s="82" t="s">
        <v>18</v>
      </c>
      <c r="P11" s="83" t="s">
        <v>19</v>
      </c>
    </row>
    <row r="12" spans="1:16">
      <c r="A12" s="118">
        <v>42736</v>
      </c>
      <c r="B12" s="123">
        <v>9</v>
      </c>
      <c r="C12" s="77">
        <v>9</v>
      </c>
      <c r="D12" s="124">
        <f t="shared" ref="D12:D75" si="0">IF(((B12="")*AND(C12="")),"",(C12-B12))</f>
        <v>0</v>
      </c>
      <c r="E12" s="120"/>
      <c r="F12" s="77"/>
      <c r="G12" s="128"/>
      <c r="H12" s="123"/>
      <c r="I12" s="77"/>
      <c r="J12" s="124"/>
      <c r="K12" s="131" t="str">
        <f>IF((D12=""),"",IF(D12&lt;=50,"Pass","Fail"))</f>
        <v>Pass</v>
      </c>
      <c r="L12" s="77">
        <v>1400</v>
      </c>
      <c r="M12" s="56" t="s">
        <v>22</v>
      </c>
      <c r="N12" s="56"/>
      <c r="O12" s="78">
        <v>100</v>
      </c>
      <c r="P12" s="78">
        <v>50</v>
      </c>
    </row>
    <row r="13" spans="1:16">
      <c r="A13" s="119">
        <v>42741</v>
      </c>
      <c r="B13" s="125">
        <v>4</v>
      </c>
      <c r="C13" s="73">
        <v>13</v>
      </c>
      <c r="D13" s="126">
        <f t="shared" si="0"/>
        <v>9</v>
      </c>
      <c r="E13" s="121"/>
      <c r="F13" s="73"/>
      <c r="G13" s="129"/>
      <c r="H13" s="125"/>
      <c r="I13" s="73"/>
      <c r="J13" s="126"/>
      <c r="K13" s="132" t="str">
        <f t="shared" ref="K13:K76" si="1">IF((D13=""),"",IF(D13&lt;=50,"Pass","Fail"))</f>
        <v>Pass</v>
      </c>
      <c r="L13" s="73">
        <v>1335</v>
      </c>
      <c r="M13" s="75" t="s">
        <v>23</v>
      </c>
      <c r="N13" s="75"/>
      <c r="O13" s="76">
        <v>100</v>
      </c>
      <c r="P13" s="76">
        <v>50</v>
      </c>
    </row>
    <row r="14" spans="1:16">
      <c r="A14" s="119">
        <v>42745</v>
      </c>
      <c r="B14" s="125">
        <v>10</v>
      </c>
      <c r="C14" s="73">
        <v>12</v>
      </c>
      <c r="D14" s="126">
        <f t="shared" si="0"/>
        <v>2</v>
      </c>
      <c r="E14" s="121"/>
      <c r="F14" s="73"/>
      <c r="G14" s="129"/>
      <c r="H14" s="125"/>
      <c r="I14" s="73"/>
      <c r="J14" s="126"/>
      <c r="K14" s="132" t="str">
        <f t="shared" si="1"/>
        <v>Pass</v>
      </c>
      <c r="L14" s="73">
        <v>1159</v>
      </c>
      <c r="M14" s="75" t="s">
        <v>24</v>
      </c>
      <c r="N14" s="75"/>
      <c r="O14" s="76">
        <v>100</v>
      </c>
      <c r="P14" s="76">
        <v>50</v>
      </c>
    </row>
    <row r="15" spans="1:16">
      <c r="A15" s="119">
        <v>42759</v>
      </c>
      <c r="B15" s="125">
        <v>19</v>
      </c>
      <c r="C15" s="73">
        <v>79</v>
      </c>
      <c r="D15" s="126">
        <f t="shared" si="0"/>
        <v>60</v>
      </c>
      <c r="E15" s="121"/>
      <c r="F15" s="73"/>
      <c r="G15" s="129"/>
      <c r="H15" s="125"/>
      <c r="I15" s="73"/>
      <c r="J15" s="126"/>
      <c r="K15" s="132" t="str">
        <f t="shared" si="1"/>
        <v>Fail</v>
      </c>
      <c r="L15" s="73">
        <v>1159</v>
      </c>
      <c r="M15" s="75" t="s">
        <v>252</v>
      </c>
      <c r="N15" s="75" t="s">
        <v>253</v>
      </c>
      <c r="O15" s="76">
        <v>100</v>
      </c>
      <c r="P15" s="76">
        <v>50</v>
      </c>
    </row>
    <row r="16" spans="1:16">
      <c r="A16" s="119">
        <v>42764</v>
      </c>
      <c r="B16" s="125">
        <v>35</v>
      </c>
      <c r="C16" s="73">
        <v>38</v>
      </c>
      <c r="D16" s="126">
        <f t="shared" si="0"/>
        <v>3</v>
      </c>
      <c r="E16" s="121"/>
      <c r="F16" s="73"/>
      <c r="G16" s="129"/>
      <c r="H16" s="125"/>
      <c r="I16" s="73"/>
      <c r="J16" s="126"/>
      <c r="K16" s="132" t="str">
        <f t="shared" si="1"/>
        <v>Pass</v>
      </c>
      <c r="L16" s="73">
        <v>1400</v>
      </c>
      <c r="M16" s="75" t="s">
        <v>23</v>
      </c>
      <c r="N16" s="75"/>
      <c r="O16" s="76">
        <v>100</v>
      </c>
      <c r="P16" s="76">
        <v>50</v>
      </c>
    </row>
    <row r="17" spans="1:16">
      <c r="A17" s="119">
        <v>42768</v>
      </c>
      <c r="B17" s="125">
        <v>14</v>
      </c>
      <c r="C17" s="73">
        <v>20</v>
      </c>
      <c r="D17" s="126">
        <f t="shared" si="0"/>
        <v>6</v>
      </c>
      <c r="E17" s="121"/>
      <c r="F17" s="73"/>
      <c r="G17" s="129"/>
      <c r="H17" s="125"/>
      <c r="I17" s="73"/>
      <c r="J17" s="126"/>
      <c r="K17" s="132" t="str">
        <f t="shared" si="1"/>
        <v>Pass</v>
      </c>
      <c r="L17" s="73">
        <v>1159</v>
      </c>
      <c r="M17" s="75" t="s">
        <v>25</v>
      </c>
      <c r="N17" s="75"/>
      <c r="O17" s="76">
        <v>100</v>
      </c>
      <c r="P17" s="76">
        <v>50</v>
      </c>
    </row>
    <row r="18" spans="1:16">
      <c r="A18" s="119">
        <v>42772</v>
      </c>
      <c r="B18" s="125">
        <v>20</v>
      </c>
      <c r="C18" s="73">
        <v>35</v>
      </c>
      <c r="D18" s="126">
        <f t="shared" si="0"/>
        <v>15</v>
      </c>
      <c r="E18" s="121"/>
      <c r="F18" s="73"/>
      <c r="G18" s="129"/>
      <c r="H18" s="125"/>
      <c r="I18" s="73"/>
      <c r="J18" s="126"/>
      <c r="K18" s="132" t="str">
        <f t="shared" si="1"/>
        <v>Pass</v>
      </c>
      <c r="L18" s="73">
        <v>1400</v>
      </c>
      <c r="M18" s="75" t="s">
        <v>26</v>
      </c>
      <c r="N18" s="75"/>
      <c r="O18" s="76">
        <v>100</v>
      </c>
      <c r="P18" s="76">
        <v>50</v>
      </c>
    </row>
    <row r="19" spans="1:16">
      <c r="A19" s="119">
        <v>42779</v>
      </c>
      <c r="B19" s="125">
        <v>6</v>
      </c>
      <c r="C19" s="73">
        <v>40</v>
      </c>
      <c r="D19" s="126">
        <f t="shared" si="0"/>
        <v>34</v>
      </c>
      <c r="E19" s="121"/>
      <c r="F19" s="73"/>
      <c r="G19" s="129"/>
      <c r="H19" s="125"/>
      <c r="I19" s="73"/>
      <c r="J19" s="126"/>
      <c r="K19" s="132" t="str">
        <f t="shared" si="1"/>
        <v>Pass</v>
      </c>
      <c r="L19" s="73">
        <v>1335</v>
      </c>
      <c r="M19" s="75" t="s">
        <v>23</v>
      </c>
      <c r="N19" s="75"/>
      <c r="O19" s="76">
        <v>100</v>
      </c>
      <c r="P19" s="76">
        <v>50</v>
      </c>
    </row>
    <row r="20" spans="1:16">
      <c r="A20" s="119">
        <v>42788</v>
      </c>
      <c r="B20" s="125">
        <v>13</v>
      </c>
      <c r="C20" s="73">
        <v>18</v>
      </c>
      <c r="D20" s="126">
        <f t="shared" si="0"/>
        <v>5</v>
      </c>
      <c r="E20" s="121"/>
      <c r="F20" s="73"/>
      <c r="G20" s="129"/>
      <c r="H20" s="125"/>
      <c r="I20" s="73"/>
      <c r="J20" s="126"/>
      <c r="K20" s="132" t="str">
        <f t="shared" si="1"/>
        <v>Pass</v>
      </c>
      <c r="L20" s="73">
        <v>1400</v>
      </c>
      <c r="M20" s="75" t="s">
        <v>27</v>
      </c>
      <c r="N20" s="75"/>
      <c r="O20" s="76">
        <v>100</v>
      </c>
      <c r="P20" s="76">
        <v>50</v>
      </c>
    </row>
    <row r="21" spans="1:16">
      <c r="A21" s="119">
        <v>42793</v>
      </c>
      <c r="B21" s="125">
        <v>20</v>
      </c>
      <c r="C21" s="73">
        <v>21</v>
      </c>
      <c r="D21" s="126">
        <f t="shared" si="0"/>
        <v>1</v>
      </c>
      <c r="E21" s="121"/>
      <c r="F21" s="73"/>
      <c r="G21" s="129"/>
      <c r="H21" s="125"/>
      <c r="I21" s="73"/>
      <c r="J21" s="126"/>
      <c r="K21" s="132" t="str">
        <f t="shared" si="1"/>
        <v>Pass</v>
      </c>
      <c r="L21" s="73">
        <v>1400</v>
      </c>
      <c r="M21" s="75" t="s">
        <v>249</v>
      </c>
      <c r="N21" s="75"/>
      <c r="O21" s="76">
        <v>100</v>
      </c>
      <c r="P21" s="76">
        <v>50</v>
      </c>
    </row>
    <row r="22" spans="1:16">
      <c r="A22" s="119">
        <v>42800</v>
      </c>
      <c r="B22" s="125">
        <v>21</v>
      </c>
      <c r="C22" s="73">
        <v>31</v>
      </c>
      <c r="D22" s="126">
        <f t="shared" si="0"/>
        <v>10</v>
      </c>
      <c r="E22" s="121"/>
      <c r="F22" s="73"/>
      <c r="G22" s="129"/>
      <c r="H22" s="125"/>
      <c r="I22" s="73"/>
      <c r="J22" s="126"/>
      <c r="K22" s="132" t="str">
        <f t="shared" si="1"/>
        <v>Pass</v>
      </c>
      <c r="L22" s="73">
        <v>1400</v>
      </c>
      <c r="M22" s="75" t="s">
        <v>28</v>
      </c>
      <c r="N22" s="75"/>
      <c r="O22" s="76">
        <v>100</v>
      </c>
      <c r="P22" s="76">
        <v>50</v>
      </c>
    </row>
    <row r="23" spans="1:16">
      <c r="A23" s="119">
        <v>42804</v>
      </c>
      <c r="B23" s="125">
        <v>32</v>
      </c>
      <c r="C23" s="73">
        <v>36</v>
      </c>
      <c r="D23" s="126">
        <f t="shared" si="0"/>
        <v>4</v>
      </c>
      <c r="E23" s="121"/>
      <c r="F23" s="73"/>
      <c r="G23" s="129"/>
      <c r="H23" s="125"/>
      <c r="I23" s="73"/>
      <c r="J23" s="126"/>
      <c r="K23" s="132" t="str">
        <f t="shared" si="1"/>
        <v>Pass</v>
      </c>
      <c r="L23" s="73">
        <v>1400</v>
      </c>
      <c r="M23" s="75" t="s">
        <v>29</v>
      </c>
      <c r="N23" s="75"/>
      <c r="O23" s="76">
        <v>100</v>
      </c>
      <c r="P23" s="76">
        <v>50</v>
      </c>
    </row>
    <row r="24" spans="1:16">
      <c r="A24" s="119">
        <v>42814</v>
      </c>
      <c r="B24" s="125">
        <v>47</v>
      </c>
      <c r="C24" s="73">
        <v>69</v>
      </c>
      <c r="D24" s="126">
        <f t="shared" si="0"/>
        <v>22</v>
      </c>
      <c r="E24" s="121"/>
      <c r="F24" s="73"/>
      <c r="G24" s="129"/>
      <c r="H24" s="125"/>
      <c r="I24" s="73"/>
      <c r="J24" s="126"/>
      <c r="K24" s="132" t="str">
        <f t="shared" si="1"/>
        <v>Pass</v>
      </c>
      <c r="L24" s="73">
        <v>1428</v>
      </c>
      <c r="N24" s="75"/>
      <c r="O24" s="76">
        <v>100</v>
      </c>
      <c r="P24" s="76">
        <v>50</v>
      </c>
    </row>
    <row r="25" spans="1:16">
      <c r="A25" s="119">
        <v>42830</v>
      </c>
      <c r="B25" s="125">
        <v>50</v>
      </c>
      <c r="C25" s="73">
        <v>58</v>
      </c>
      <c r="D25" s="126">
        <f t="shared" si="0"/>
        <v>8</v>
      </c>
      <c r="E25" s="121"/>
      <c r="F25" s="73"/>
      <c r="G25" s="129"/>
      <c r="H25" s="125"/>
      <c r="I25" s="73"/>
      <c r="J25" s="126"/>
      <c r="K25" s="132" t="str">
        <f t="shared" si="1"/>
        <v>Pass</v>
      </c>
      <c r="L25" s="73">
        <v>1335</v>
      </c>
      <c r="M25" s="75" t="s">
        <v>30</v>
      </c>
      <c r="N25" s="75"/>
      <c r="O25" s="76">
        <v>100</v>
      </c>
      <c r="P25" s="76">
        <v>50</v>
      </c>
    </row>
    <row r="26" spans="1:16">
      <c r="A26" s="119">
        <v>42835</v>
      </c>
      <c r="B26" s="125">
        <v>48</v>
      </c>
      <c r="C26" s="73">
        <v>55</v>
      </c>
      <c r="D26" s="126">
        <f t="shared" si="0"/>
        <v>7</v>
      </c>
      <c r="E26" s="121"/>
      <c r="F26" s="73"/>
      <c r="G26" s="129"/>
      <c r="H26" s="125"/>
      <c r="I26" s="73"/>
      <c r="J26" s="126"/>
      <c r="K26" s="132" t="str">
        <f t="shared" si="1"/>
        <v>Pass</v>
      </c>
      <c r="L26" s="73">
        <v>1400</v>
      </c>
      <c r="M26" s="75" t="s">
        <v>31</v>
      </c>
      <c r="N26" s="75"/>
      <c r="O26" s="76">
        <v>100</v>
      </c>
      <c r="P26" s="76">
        <v>50</v>
      </c>
    </row>
    <row r="27" spans="1:16">
      <c r="A27" s="119">
        <v>42838</v>
      </c>
      <c r="B27" s="125">
        <v>48</v>
      </c>
      <c r="C27" s="73">
        <v>57</v>
      </c>
      <c r="D27" s="126">
        <f t="shared" si="0"/>
        <v>9</v>
      </c>
      <c r="E27" s="121"/>
      <c r="F27" s="73"/>
      <c r="G27" s="129"/>
      <c r="H27" s="125"/>
      <c r="I27" s="73"/>
      <c r="J27" s="126"/>
      <c r="K27" s="132" t="str">
        <f t="shared" si="1"/>
        <v>Pass</v>
      </c>
      <c r="L27" s="73">
        <v>1428</v>
      </c>
      <c r="M27" s="75" t="s">
        <v>32</v>
      </c>
      <c r="N27" s="75"/>
      <c r="O27" s="76">
        <v>100</v>
      </c>
      <c r="P27" s="76">
        <v>50</v>
      </c>
    </row>
    <row r="28" spans="1:16">
      <c r="A28" s="119">
        <v>42838</v>
      </c>
      <c r="B28" s="125">
        <v>8</v>
      </c>
      <c r="C28" s="73">
        <v>11</v>
      </c>
      <c r="D28" s="126">
        <f t="shared" si="0"/>
        <v>3</v>
      </c>
      <c r="E28" s="121"/>
      <c r="F28" s="73"/>
      <c r="G28" s="129"/>
      <c r="H28" s="125"/>
      <c r="I28" s="73"/>
      <c r="J28" s="126"/>
      <c r="K28" s="132" t="str">
        <f>IF((D28=""),"",IF(D28&lt;=50,"Pass","Fail"))</f>
        <v>Pass</v>
      </c>
      <c r="L28" s="73">
        <v>1159</v>
      </c>
      <c r="M28" s="75" t="s">
        <v>33</v>
      </c>
      <c r="N28" s="75"/>
      <c r="O28" s="76">
        <v>100</v>
      </c>
      <c r="P28" s="76">
        <v>50</v>
      </c>
    </row>
    <row r="29" spans="1:16">
      <c r="A29" s="119">
        <v>42843</v>
      </c>
      <c r="B29" s="125">
        <v>1</v>
      </c>
      <c r="C29" s="73">
        <v>16</v>
      </c>
      <c r="D29" s="126">
        <f t="shared" si="0"/>
        <v>15</v>
      </c>
      <c r="E29" s="121"/>
      <c r="F29" s="73"/>
      <c r="G29" s="129"/>
      <c r="H29" s="125"/>
      <c r="I29" s="73"/>
      <c r="J29" s="126"/>
      <c r="K29" s="132" t="str">
        <f t="shared" si="1"/>
        <v>Pass</v>
      </c>
      <c r="L29" s="73">
        <v>1335</v>
      </c>
      <c r="M29" s="75" t="s">
        <v>32</v>
      </c>
      <c r="N29" s="75"/>
      <c r="O29" s="76">
        <v>100</v>
      </c>
      <c r="P29" s="76">
        <v>50</v>
      </c>
    </row>
    <row r="30" spans="1:16">
      <c r="A30" s="119">
        <v>42846</v>
      </c>
      <c r="B30" s="125">
        <v>19</v>
      </c>
      <c r="C30" s="73">
        <v>23</v>
      </c>
      <c r="D30" s="126">
        <f t="shared" si="0"/>
        <v>4</v>
      </c>
      <c r="E30" s="121"/>
      <c r="F30" s="73"/>
      <c r="G30" s="129"/>
      <c r="H30" s="125"/>
      <c r="I30" s="73"/>
      <c r="J30" s="126"/>
      <c r="K30" s="132" t="str">
        <f t="shared" si="1"/>
        <v>Pass</v>
      </c>
      <c r="L30" s="73">
        <v>1159</v>
      </c>
      <c r="M30" s="75" t="s">
        <v>32</v>
      </c>
      <c r="N30" s="75"/>
      <c r="O30" s="76">
        <v>100</v>
      </c>
      <c r="P30" s="76">
        <v>50</v>
      </c>
    </row>
    <row r="31" spans="1:16">
      <c r="A31" s="119">
        <v>42850</v>
      </c>
      <c r="B31" s="125">
        <v>2</v>
      </c>
      <c r="C31" s="73">
        <v>19</v>
      </c>
      <c r="D31" s="126">
        <f t="shared" si="0"/>
        <v>17</v>
      </c>
      <c r="E31" s="121"/>
      <c r="F31" s="73"/>
      <c r="G31" s="129"/>
      <c r="H31" s="125"/>
      <c r="I31" s="73"/>
      <c r="J31" s="126"/>
      <c r="K31" s="132" t="str">
        <f t="shared" si="1"/>
        <v>Pass</v>
      </c>
      <c r="L31" s="73">
        <v>1335</v>
      </c>
      <c r="M31" s="75" t="s">
        <v>32</v>
      </c>
      <c r="N31" s="75"/>
      <c r="O31" s="76">
        <v>100</v>
      </c>
      <c r="P31" s="76">
        <v>50</v>
      </c>
    </row>
    <row r="32" spans="1:16">
      <c r="A32" s="119">
        <v>42851</v>
      </c>
      <c r="B32" s="125">
        <v>1</v>
      </c>
      <c r="C32" s="73">
        <v>2</v>
      </c>
      <c r="D32" s="126">
        <f t="shared" si="0"/>
        <v>1</v>
      </c>
      <c r="E32" s="121"/>
      <c r="F32" s="73"/>
      <c r="G32" s="129"/>
      <c r="H32" s="125"/>
      <c r="I32" s="73"/>
      <c r="J32" s="126"/>
      <c r="K32" s="132" t="str">
        <f t="shared" si="1"/>
        <v>Pass</v>
      </c>
      <c r="L32" s="73">
        <v>1159</v>
      </c>
      <c r="M32" s="75" t="s">
        <v>34</v>
      </c>
      <c r="N32" s="75"/>
      <c r="O32" s="76">
        <v>100</v>
      </c>
      <c r="P32" s="76">
        <v>50</v>
      </c>
    </row>
    <row r="33" spans="1:16">
      <c r="A33" s="119">
        <v>42860</v>
      </c>
      <c r="B33" s="125">
        <v>42</v>
      </c>
      <c r="C33" s="73">
        <v>56</v>
      </c>
      <c r="D33" s="126">
        <f t="shared" si="0"/>
        <v>14</v>
      </c>
      <c r="E33" s="121"/>
      <c r="F33" s="73"/>
      <c r="G33" s="129"/>
      <c r="H33" s="125"/>
      <c r="I33" s="73"/>
      <c r="J33" s="126"/>
      <c r="K33" s="132" t="str">
        <f t="shared" si="1"/>
        <v>Pass</v>
      </c>
      <c r="L33" s="73">
        <v>1335</v>
      </c>
      <c r="M33" s="75" t="s">
        <v>35</v>
      </c>
      <c r="N33" s="75"/>
      <c r="O33" s="76">
        <v>100</v>
      </c>
      <c r="P33" s="76">
        <v>50</v>
      </c>
    </row>
    <row r="34" spans="1:16">
      <c r="A34" s="119">
        <v>42862</v>
      </c>
      <c r="B34" s="125">
        <v>16</v>
      </c>
      <c r="C34" s="73">
        <v>6</v>
      </c>
      <c r="D34" s="126">
        <f t="shared" si="0"/>
        <v>-10</v>
      </c>
      <c r="E34" s="121"/>
      <c r="F34" s="73"/>
      <c r="G34" s="129"/>
      <c r="H34" s="125"/>
      <c r="I34" s="73"/>
      <c r="J34" s="126"/>
      <c r="K34" s="132" t="str">
        <f>IF((D34=""),"",IF(D34&lt;=50,"Pass","Fail"))</f>
        <v>Pass</v>
      </c>
      <c r="L34" s="73">
        <v>1428</v>
      </c>
      <c r="M34" s="75" t="s">
        <v>36</v>
      </c>
      <c r="N34" s="75"/>
      <c r="O34" s="76">
        <v>100</v>
      </c>
      <c r="P34" s="76">
        <v>50</v>
      </c>
    </row>
    <row r="35" spans="1:16">
      <c r="A35" s="119">
        <v>42866</v>
      </c>
      <c r="B35" s="125">
        <v>7</v>
      </c>
      <c r="C35" s="73">
        <v>8</v>
      </c>
      <c r="D35" s="126">
        <f t="shared" si="0"/>
        <v>1</v>
      </c>
      <c r="E35" s="121"/>
      <c r="F35" s="73"/>
      <c r="G35" s="129"/>
      <c r="H35" s="125"/>
      <c r="I35" s="73"/>
      <c r="J35" s="126"/>
      <c r="K35" s="132" t="str">
        <f t="shared" si="1"/>
        <v>Pass</v>
      </c>
      <c r="L35" s="73">
        <v>1428</v>
      </c>
      <c r="M35" s="75" t="s">
        <v>36</v>
      </c>
      <c r="N35" s="75"/>
      <c r="O35" s="76">
        <v>100</v>
      </c>
      <c r="P35" s="76">
        <v>50</v>
      </c>
    </row>
    <row r="36" spans="1:16">
      <c r="A36" s="119">
        <v>42870</v>
      </c>
      <c r="B36" s="125">
        <v>5</v>
      </c>
      <c r="C36" s="73">
        <v>9</v>
      </c>
      <c r="D36" s="126">
        <f t="shared" si="0"/>
        <v>4</v>
      </c>
      <c r="E36" s="121"/>
      <c r="F36" s="73"/>
      <c r="G36" s="129"/>
      <c r="H36" s="125"/>
      <c r="I36" s="73"/>
      <c r="J36" s="126"/>
      <c r="K36" s="132" t="str">
        <f t="shared" si="1"/>
        <v>Pass</v>
      </c>
      <c r="L36" s="73">
        <v>1159</v>
      </c>
      <c r="M36" s="75" t="s">
        <v>37</v>
      </c>
      <c r="N36" s="75"/>
      <c r="O36" s="76">
        <v>100</v>
      </c>
      <c r="P36" s="76">
        <v>50</v>
      </c>
    </row>
    <row r="37" spans="1:16">
      <c r="A37" s="119">
        <v>42875</v>
      </c>
      <c r="B37" s="125">
        <v>6</v>
      </c>
      <c r="C37" s="73">
        <v>6</v>
      </c>
      <c r="D37" s="126">
        <f t="shared" si="0"/>
        <v>0</v>
      </c>
      <c r="E37" s="121"/>
      <c r="F37" s="73"/>
      <c r="G37" s="129"/>
      <c r="H37" s="125"/>
      <c r="I37" s="73"/>
      <c r="J37" s="126"/>
      <c r="K37" s="132" t="str">
        <f t="shared" si="1"/>
        <v>Pass</v>
      </c>
      <c r="L37" s="73">
        <v>1428</v>
      </c>
      <c r="M37" s="75" t="s">
        <v>36</v>
      </c>
      <c r="N37" s="75"/>
      <c r="O37" s="76">
        <v>100</v>
      </c>
      <c r="P37" s="76">
        <v>50</v>
      </c>
    </row>
    <row r="38" spans="1:16">
      <c r="A38" s="119">
        <v>42880</v>
      </c>
      <c r="B38" s="125">
        <v>1</v>
      </c>
      <c r="C38" s="73">
        <v>6</v>
      </c>
      <c r="D38" s="126">
        <f t="shared" si="0"/>
        <v>5</v>
      </c>
      <c r="E38" s="121"/>
      <c r="F38" s="73"/>
      <c r="G38" s="129"/>
      <c r="H38" s="125"/>
      <c r="I38" s="73"/>
      <c r="J38" s="126"/>
      <c r="K38" s="132" t="str">
        <f t="shared" si="1"/>
        <v>Pass</v>
      </c>
      <c r="L38" s="73">
        <v>121</v>
      </c>
      <c r="M38" s="75" t="s">
        <v>38</v>
      </c>
      <c r="N38" s="75"/>
      <c r="O38" s="76">
        <v>100</v>
      </c>
      <c r="P38" s="76">
        <v>50</v>
      </c>
    </row>
    <row r="39" spans="1:16">
      <c r="A39" s="119">
        <v>42886</v>
      </c>
      <c r="B39" s="125">
        <v>1</v>
      </c>
      <c r="C39" s="73">
        <v>0</v>
      </c>
      <c r="D39" s="126">
        <f t="shared" si="0"/>
        <v>-1</v>
      </c>
      <c r="E39" s="121"/>
      <c r="F39" s="73"/>
      <c r="G39" s="129"/>
      <c r="H39" s="125"/>
      <c r="I39" s="73"/>
      <c r="J39" s="126"/>
      <c r="K39" s="132" t="str">
        <f t="shared" si="1"/>
        <v>Pass</v>
      </c>
      <c r="L39" s="73">
        <v>64</v>
      </c>
      <c r="M39" s="75" t="s">
        <v>39</v>
      </c>
      <c r="N39" s="75"/>
      <c r="O39" s="76">
        <v>100</v>
      </c>
      <c r="P39" s="76">
        <v>50</v>
      </c>
    </row>
    <row r="40" spans="1:16">
      <c r="A40" s="119">
        <v>42887</v>
      </c>
      <c r="B40" s="125">
        <v>3</v>
      </c>
      <c r="C40" s="73">
        <v>7</v>
      </c>
      <c r="D40" s="126">
        <f t="shared" si="0"/>
        <v>4</v>
      </c>
      <c r="E40" s="121"/>
      <c r="F40" s="73"/>
      <c r="G40" s="129"/>
      <c r="H40" s="125"/>
      <c r="I40" s="73"/>
      <c r="J40" s="126"/>
      <c r="K40" s="132" t="str">
        <f t="shared" si="1"/>
        <v>Pass</v>
      </c>
      <c r="L40" s="73">
        <v>1159</v>
      </c>
      <c r="M40" s="75" t="s">
        <v>40</v>
      </c>
      <c r="N40" s="75"/>
      <c r="O40" s="76">
        <v>100</v>
      </c>
      <c r="P40" s="76">
        <v>50</v>
      </c>
    </row>
    <row r="41" spans="1:16">
      <c r="A41" s="119">
        <v>42891</v>
      </c>
      <c r="B41" s="125">
        <v>7</v>
      </c>
      <c r="C41" s="73">
        <v>4</v>
      </c>
      <c r="D41" s="126">
        <f t="shared" si="0"/>
        <v>-3</v>
      </c>
      <c r="E41" s="121"/>
      <c r="F41" s="73"/>
      <c r="G41" s="129"/>
      <c r="H41" s="125"/>
      <c r="I41" s="73"/>
      <c r="J41" s="126"/>
      <c r="K41" s="132" t="str">
        <f t="shared" si="1"/>
        <v>Pass</v>
      </c>
      <c r="L41" s="73">
        <v>1335</v>
      </c>
      <c r="M41" s="75" t="s">
        <v>23</v>
      </c>
      <c r="N41" s="75"/>
      <c r="O41" s="76">
        <v>100</v>
      </c>
      <c r="P41" s="76">
        <v>50</v>
      </c>
    </row>
    <row r="42" spans="1:16">
      <c r="A42" s="119">
        <v>42895</v>
      </c>
      <c r="B42" s="125">
        <v>12</v>
      </c>
      <c r="C42" s="73">
        <v>16</v>
      </c>
      <c r="D42" s="126">
        <f t="shared" si="0"/>
        <v>4</v>
      </c>
      <c r="E42" s="121"/>
      <c r="F42" s="73"/>
      <c r="G42" s="129"/>
      <c r="H42" s="125"/>
      <c r="I42" s="73"/>
      <c r="J42" s="126"/>
      <c r="K42" s="132" t="str">
        <f>IF((D42=""),"",IF(D42&lt;=50,"Pass","Fail"))</f>
        <v>Pass</v>
      </c>
      <c r="L42" s="73">
        <v>121</v>
      </c>
      <c r="M42" s="68" t="s">
        <v>39</v>
      </c>
      <c r="N42" s="68"/>
      <c r="O42" s="76">
        <v>100</v>
      </c>
      <c r="P42" s="76">
        <v>50</v>
      </c>
    </row>
    <row r="43" spans="1:16">
      <c r="A43" s="119">
        <v>42905</v>
      </c>
      <c r="B43" s="125">
        <v>45</v>
      </c>
      <c r="C43" s="73">
        <v>43</v>
      </c>
      <c r="D43" s="126">
        <f t="shared" si="0"/>
        <v>-2</v>
      </c>
      <c r="E43" s="121"/>
      <c r="F43" s="73"/>
      <c r="G43" s="129"/>
      <c r="H43" s="125"/>
      <c r="I43" s="73"/>
      <c r="J43" s="126"/>
      <c r="K43" s="132" t="str">
        <f t="shared" si="1"/>
        <v>Pass</v>
      </c>
      <c r="L43" s="73">
        <v>1159</v>
      </c>
      <c r="M43" s="75" t="s">
        <v>41</v>
      </c>
      <c r="N43" s="75"/>
      <c r="O43" s="76">
        <v>100</v>
      </c>
      <c r="P43" s="76">
        <v>50</v>
      </c>
    </row>
    <row r="44" spans="1:16">
      <c r="A44" s="119">
        <v>42909</v>
      </c>
      <c r="B44" s="125">
        <v>9</v>
      </c>
      <c r="C44" s="73">
        <v>10</v>
      </c>
      <c r="D44" s="126">
        <f t="shared" si="0"/>
        <v>1</v>
      </c>
      <c r="E44" s="121"/>
      <c r="F44" s="73"/>
      <c r="G44" s="129"/>
      <c r="H44" s="125"/>
      <c r="I44" s="73"/>
      <c r="J44" s="126"/>
      <c r="K44" s="132" t="str">
        <f t="shared" si="1"/>
        <v>Pass</v>
      </c>
      <c r="L44" s="73">
        <v>1159</v>
      </c>
      <c r="M44" s="75" t="s">
        <v>42</v>
      </c>
      <c r="N44" s="75"/>
      <c r="O44" s="76">
        <v>100</v>
      </c>
      <c r="P44" s="76">
        <v>50</v>
      </c>
    </row>
    <row r="45" spans="1:16">
      <c r="A45" s="119">
        <v>42915</v>
      </c>
      <c r="B45" s="125">
        <v>12</v>
      </c>
      <c r="C45" s="73">
        <v>15</v>
      </c>
      <c r="D45" s="126">
        <f t="shared" si="0"/>
        <v>3</v>
      </c>
      <c r="E45" s="121"/>
      <c r="F45" s="73"/>
      <c r="G45" s="129"/>
      <c r="H45" s="125"/>
      <c r="I45" s="73"/>
      <c r="J45" s="126"/>
      <c r="K45" s="132" t="str">
        <f t="shared" si="1"/>
        <v>Pass</v>
      </c>
      <c r="L45" s="73">
        <v>1159</v>
      </c>
      <c r="M45" s="75" t="s">
        <v>39</v>
      </c>
      <c r="N45" s="75"/>
      <c r="O45" s="76">
        <v>100</v>
      </c>
      <c r="P45" s="76">
        <v>50</v>
      </c>
    </row>
    <row r="46" spans="1:16">
      <c r="A46" s="119">
        <v>42920</v>
      </c>
      <c r="B46" s="125">
        <v>10</v>
      </c>
      <c r="C46" s="73">
        <v>5</v>
      </c>
      <c r="D46" s="126">
        <f t="shared" si="0"/>
        <v>-5</v>
      </c>
      <c r="E46" s="121"/>
      <c r="F46" s="73"/>
      <c r="G46" s="129"/>
      <c r="H46" s="125"/>
      <c r="I46" s="73"/>
      <c r="J46" s="126"/>
      <c r="K46" s="132" t="str">
        <f t="shared" si="1"/>
        <v>Pass</v>
      </c>
      <c r="L46" s="73">
        <v>102</v>
      </c>
      <c r="M46" s="75" t="s">
        <v>39</v>
      </c>
      <c r="N46" s="75"/>
      <c r="O46" s="76">
        <v>100</v>
      </c>
      <c r="P46" s="76">
        <v>50</v>
      </c>
    </row>
    <row r="47" spans="1:16">
      <c r="A47" s="119">
        <v>42933</v>
      </c>
      <c r="B47" s="125">
        <v>1</v>
      </c>
      <c r="C47" s="73">
        <v>10</v>
      </c>
      <c r="D47" s="126">
        <f t="shared" si="0"/>
        <v>9</v>
      </c>
      <c r="E47" s="121"/>
      <c r="F47" s="73"/>
      <c r="G47" s="129"/>
      <c r="H47" s="125"/>
      <c r="I47" s="73"/>
      <c r="J47" s="126"/>
      <c r="K47" s="132" t="str">
        <f t="shared" si="1"/>
        <v>Pass</v>
      </c>
      <c r="L47" s="73">
        <v>102</v>
      </c>
      <c r="M47" s="75" t="s">
        <v>39</v>
      </c>
      <c r="N47" s="75"/>
      <c r="O47" s="76">
        <v>100</v>
      </c>
      <c r="P47" s="76">
        <v>50</v>
      </c>
    </row>
    <row r="48" spans="1:16">
      <c r="A48" s="119">
        <v>42937</v>
      </c>
      <c r="B48" s="125">
        <v>10</v>
      </c>
      <c r="C48" s="73">
        <v>11</v>
      </c>
      <c r="D48" s="126">
        <f t="shared" si="0"/>
        <v>1</v>
      </c>
      <c r="E48" s="121"/>
      <c r="F48" s="73"/>
      <c r="G48" s="129"/>
      <c r="H48" s="125"/>
      <c r="I48" s="73"/>
      <c r="J48" s="126"/>
      <c r="K48" s="132" t="str">
        <f t="shared" si="1"/>
        <v>Pass</v>
      </c>
      <c r="L48" s="73">
        <v>1428</v>
      </c>
      <c r="M48" s="75" t="s">
        <v>23</v>
      </c>
      <c r="N48" s="75"/>
      <c r="O48" s="76">
        <v>100</v>
      </c>
      <c r="P48" s="76">
        <v>50</v>
      </c>
    </row>
    <row r="49" spans="1:16">
      <c r="A49" s="119">
        <v>42940</v>
      </c>
      <c r="B49" s="125">
        <v>9</v>
      </c>
      <c r="C49" s="73">
        <v>11</v>
      </c>
      <c r="D49" s="126">
        <f t="shared" si="0"/>
        <v>2</v>
      </c>
      <c r="E49" s="121"/>
      <c r="F49" s="73"/>
      <c r="G49" s="129"/>
      <c r="H49" s="125"/>
      <c r="I49" s="73"/>
      <c r="J49" s="126"/>
      <c r="K49" s="132" t="str">
        <f t="shared" si="1"/>
        <v>Pass</v>
      </c>
      <c r="L49" s="73">
        <v>121</v>
      </c>
      <c r="M49" s="75" t="s">
        <v>23</v>
      </c>
      <c r="N49" s="75"/>
      <c r="O49" s="76">
        <v>100</v>
      </c>
      <c r="P49" s="76">
        <v>50</v>
      </c>
    </row>
    <row r="50" spans="1:16">
      <c r="A50" s="119">
        <v>42948</v>
      </c>
      <c r="B50" s="125">
        <v>5</v>
      </c>
      <c r="C50" s="73">
        <v>2</v>
      </c>
      <c r="D50" s="126">
        <f t="shared" si="0"/>
        <v>-3</v>
      </c>
      <c r="E50" s="121"/>
      <c r="F50" s="73"/>
      <c r="G50" s="129"/>
      <c r="H50" s="125"/>
      <c r="I50" s="73"/>
      <c r="J50" s="126"/>
      <c r="K50" s="132" t="str">
        <f t="shared" si="1"/>
        <v>Pass</v>
      </c>
      <c r="L50" s="73">
        <v>1159</v>
      </c>
      <c r="M50" s="75" t="s">
        <v>43</v>
      </c>
      <c r="N50" s="75"/>
      <c r="O50" s="76">
        <v>100</v>
      </c>
      <c r="P50" s="76">
        <v>50</v>
      </c>
    </row>
    <row r="51" spans="1:16">
      <c r="A51" s="119">
        <v>42948</v>
      </c>
      <c r="B51" s="125">
        <v>20</v>
      </c>
      <c r="C51" s="73">
        <v>21</v>
      </c>
      <c r="D51" s="126">
        <f t="shared" si="0"/>
        <v>1</v>
      </c>
      <c r="E51" s="121"/>
      <c r="F51" s="73"/>
      <c r="G51" s="129"/>
      <c r="H51" s="125"/>
      <c r="I51" s="73"/>
      <c r="J51" s="126"/>
      <c r="K51" s="132" t="str">
        <f t="shared" si="1"/>
        <v>Pass</v>
      </c>
      <c r="L51" s="73">
        <v>1534</v>
      </c>
      <c r="N51" s="75" t="s">
        <v>254</v>
      </c>
      <c r="O51" s="76">
        <v>100</v>
      </c>
      <c r="P51" s="76">
        <v>50</v>
      </c>
    </row>
    <row r="52" spans="1:16">
      <c r="A52" s="119">
        <v>42957</v>
      </c>
      <c r="B52" s="125">
        <v>20</v>
      </c>
      <c r="C52" s="73">
        <v>45</v>
      </c>
      <c r="D52" s="126">
        <f t="shared" si="0"/>
        <v>25</v>
      </c>
      <c r="E52" s="121"/>
      <c r="F52" s="73"/>
      <c r="G52" s="129"/>
      <c r="H52" s="125"/>
      <c r="I52" s="73"/>
      <c r="J52" s="126"/>
      <c r="K52" s="132" t="str">
        <f t="shared" si="1"/>
        <v>Pass</v>
      </c>
      <c r="L52" s="73">
        <v>1428</v>
      </c>
      <c r="N52" s="75"/>
      <c r="O52" s="76">
        <v>100</v>
      </c>
      <c r="P52" s="76">
        <v>50</v>
      </c>
    </row>
    <row r="53" spans="1:16">
      <c r="A53" s="119">
        <v>42969</v>
      </c>
      <c r="B53" s="125">
        <v>7</v>
      </c>
      <c r="C53" s="73">
        <v>7</v>
      </c>
      <c r="D53" s="126">
        <f t="shared" si="0"/>
        <v>0</v>
      </c>
      <c r="E53" s="121"/>
      <c r="F53" s="73"/>
      <c r="G53" s="129"/>
      <c r="H53" s="125"/>
      <c r="I53" s="73"/>
      <c r="J53" s="126"/>
      <c r="K53" s="132" t="str">
        <f t="shared" si="1"/>
        <v>Pass</v>
      </c>
      <c r="L53" s="73">
        <v>1159</v>
      </c>
      <c r="M53" s="68" t="s">
        <v>44</v>
      </c>
      <c r="N53" s="68"/>
      <c r="O53" s="76">
        <v>100</v>
      </c>
      <c r="P53" s="76">
        <v>50</v>
      </c>
    </row>
    <row r="54" spans="1:16">
      <c r="A54" s="119">
        <v>42975</v>
      </c>
      <c r="B54" s="125">
        <v>12</v>
      </c>
      <c r="C54" s="73">
        <v>17</v>
      </c>
      <c r="D54" s="126">
        <f t="shared" si="0"/>
        <v>5</v>
      </c>
      <c r="E54" s="121"/>
      <c r="F54" s="73"/>
      <c r="G54" s="129"/>
      <c r="H54" s="125"/>
      <c r="I54" s="73"/>
      <c r="J54" s="126"/>
      <c r="K54" s="132" t="str">
        <f>IF((D54=""),"",IF(D54&lt;=50,"Pass","Fail"))</f>
        <v>Pass</v>
      </c>
      <c r="L54" s="73">
        <v>1428</v>
      </c>
      <c r="M54" s="75" t="s">
        <v>23</v>
      </c>
      <c r="N54" s="75"/>
      <c r="O54" s="76">
        <v>100</v>
      </c>
      <c r="P54" s="76">
        <v>50</v>
      </c>
    </row>
    <row r="55" spans="1:16">
      <c r="A55" s="119">
        <v>42982</v>
      </c>
      <c r="B55" s="125">
        <v>13</v>
      </c>
      <c r="C55" s="73">
        <v>25</v>
      </c>
      <c r="D55" s="126">
        <f t="shared" si="0"/>
        <v>12</v>
      </c>
      <c r="E55" s="121"/>
      <c r="F55" s="73"/>
      <c r="G55" s="129"/>
      <c r="H55" s="125"/>
      <c r="I55" s="73"/>
      <c r="J55" s="126"/>
      <c r="K55" s="132" t="str">
        <f t="shared" si="1"/>
        <v>Pass</v>
      </c>
      <c r="L55" s="73">
        <v>1335</v>
      </c>
      <c r="M55" s="75" t="s">
        <v>23</v>
      </c>
      <c r="N55" s="75"/>
      <c r="O55" s="76">
        <v>100</v>
      </c>
      <c r="P55" s="76">
        <v>50</v>
      </c>
    </row>
    <row r="56" spans="1:16">
      <c r="A56" s="119">
        <v>42989</v>
      </c>
      <c r="B56" s="125">
        <v>2</v>
      </c>
      <c r="C56" s="73">
        <v>5</v>
      </c>
      <c r="D56" s="126">
        <f t="shared" si="0"/>
        <v>3</v>
      </c>
      <c r="E56" s="121"/>
      <c r="F56" s="73"/>
      <c r="G56" s="129"/>
      <c r="H56" s="125"/>
      <c r="I56" s="73"/>
      <c r="J56" s="126"/>
      <c r="K56" s="132" t="str">
        <f t="shared" si="1"/>
        <v>Pass</v>
      </c>
      <c r="L56" s="73">
        <v>102</v>
      </c>
      <c r="M56" s="75" t="s">
        <v>23</v>
      </c>
      <c r="N56" s="75"/>
      <c r="O56" s="76">
        <v>100</v>
      </c>
      <c r="P56" s="76">
        <v>50</v>
      </c>
    </row>
    <row r="57" spans="1:16">
      <c r="A57" s="119">
        <v>42993</v>
      </c>
      <c r="B57" s="125">
        <v>17</v>
      </c>
      <c r="C57" s="73">
        <v>16</v>
      </c>
      <c r="D57" s="126">
        <f t="shared" si="0"/>
        <v>-1</v>
      </c>
      <c r="E57" s="121"/>
      <c r="F57" s="73"/>
      <c r="G57" s="129"/>
      <c r="H57" s="125"/>
      <c r="I57" s="73"/>
      <c r="J57" s="126"/>
      <c r="K57" s="132" t="str">
        <f t="shared" si="1"/>
        <v>Pass</v>
      </c>
      <c r="L57" s="73">
        <v>1159</v>
      </c>
      <c r="M57" s="68" t="s">
        <v>45</v>
      </c>
      <c r="N57" s="68"/>
      <c r="O57" s="76">
        <v>100</v>
      </c>
      <c r="P57" s="76">
        <v>50</v>
      </c>
    </row>
    <row r="58" spans="1:16">
      <c r="A58" s="119">
        <v>42997</v>
      </c>
      <c r="B58" s="125">
        <v>25</v>
      </c>
      <c r="C58" s="73">
        <v>51</v>
      </c>
      <c r="D58" s="126">
        <f t="shared" si="0"/>
        <v>26</v>
      </c>
      <c r="E58" s="121"/>
      <c r="F58" s="73"/>
      <c r="G58" s="129"/>
      <c r="H58" s="125"/>
      <c r="I58" s="73"/>
      <c r="J58" s="126"/>
      <c r="K58" s="132" t="str">
        <f t="shared" si="1"/>
        <v>Pass</v>
      </c>
      <c r="L58" s="73">
        <v>1428</v>
      </c>
      <c r="M58" s="68" t="s">
        <v>46</v>
      </c>
      <c r="N58" s="68"/>
      <c r="O58" s="76">
        <v>100</v>
      </c>
      <c r="P58" s="76">
        <v>50</v>
      </c>
    </row>
    <row r="59" spans="1:16">
      <c r="A59" s="119">
        <v>42998</v>
      </c>
      <c r="B59" s="125">
        <v>47</v>
      </c>
      <c r="C59" s="73">
        <v>56</v>
      </c>
      <c r="D59" s="126">
        <f t="shared" si="0"/>
        <v>9</v>
      </c>
      <c r="E59" s="121"/>
      <c r="F59" s="73"/>
      <c r="G59" s="129"/>
      <c r="H59" s="125"/>
      <c r="I59" s="73"/>
      <c r="J59" s="126"/>
      <c r="K59" s="132" t="str">
        <f t="shared" si="1"/>
        <v>Pass</v>
      </c>
      <c r="L59" s="73">
        <v>64</v>
      </c>
      <c r="M59" s="68" t="s">
        <v>46</v>
      </c>
      <c r="N59" s="68"/>
      <c r="O59" s="76">
        <v>100</v>
      </c>
      <c r="P59" s="76">
        <v>50</v>
      </c>
    </row>
    <row r="60" spans="1:16">
      <c r="A60" s="119">
        <v>43003</v>
      </c>
      <c r="B60" s="125">
        <v>7</v>
      </c>
      <c r="C60" s="73">
        <v>20</v>
      </c>
      <c r="D60" s="126">
        <f t="shared" si="0"/>
        <v>13</v>
      </c>
      <c r="E60" s="121"/>
      <c r="F60" s="73"/>
      <c r="G60" s="129"/>
      <c r="H60" s="125"/>
      <c r="I60" s="73"/>
      <c r="J60" s="126"/>
      <c r="K60" s="132" t="str">
        <f t="shared" si="1"/>
        <v>Pass</v>
      </c>
      <c r="L60" s="73" t="s">
        <v>47</v>
      </c>
      <c r="M60" s="68" t="s">
        <v>48</v>
      </c>
      <c r="N60" s="68"/>
      <c r="O60" s="76">
        <v>100</v>
      </c>
      <c r="P60" s="76">
        <v>50</v>
      </c>
    </row>
    <row r="61" spans="1:16">
      <c r="A61" s="119">
        <v>43006</v>
      </c>
      <c r="B61" s="125">
        <v>57</v>
      </c>
      <c r="C61" s="73">
        <v>56</v>
      </c>
      <c r="D61" s="126">
        <f t="shared" si="0"/>
        <v>-1</v>
      </c>
      <c r="E61" s="121"/>
      <c r="F61" s="73"/>
      <c r="G61" s="129"/>
      <c r="H61" s="125"/>
      <c r="I61" s="73"/>
      <c r="J61" s="126"/>
      <c r="K61" s="132" t="str">
        <f t="shared" si="1"/>
        <v>Pass</v>
      </c>
      <c r="L61" s="73">
        <v>121</v>
      </c>
      <c r="M61" s="75" t="s">
        <v>49</v>
      </c>
      <c r="N61" s="75"/>
      <c r="O61" s="76">
        <v>100</v>
      </c>
      <c r="P61" s="76">
        <v>50</v>
      </c>
    </row>
    <row r="62" spans="1:16">
      <c r="A62" s="119">
        <v>43007</v>
      </c>
      <c r="B62" s="125">
        <v>4</v>
      </c>
      <c r="C62" s="73">
        <v>10</v>
      </c>
      <c r="D62" s="126">
        <f t="shared" si="0"/>
        <v>6</v>
      </c>
      <c r="E62" s="121"/>
      <c r="F62" s="73"/>
      <c r="G62" s="129"/>
      <c r="H62" s="125"/>
      <c r="I62" s="73"/>
      <c r="J62" s="126"/>
      <c r="K62" s="132" t="str">
        <f t="shared" si="1"/>
        <v>Pass</v>
      </c>
      <c r="L62" s="73">
        <v>1534</v>
      </c>
      <c r="N62" s="75" t="s">
        <v>50</v>
      </c>
      <c r="O62" s="76">
        <v>100</v>
      </c>
      <c r="P62" s="76">
        <v>50</v>
      </c>
    </row>
    <row r="63" spans="1:16">
      <c r="A63" s="119">
        <v>43010</v>
      </c>
      <c r="B63" s="125">
        <v>9</v>
      </c>
      <c r="C63" s="73">
        <v>7</v>
      </c>
      <c r="D63" s="126">
        <f t="shared" si="0"/>
        <v>-2</v>
      </c>
      <c r="E63" s="121"/>
      <c r="F63" s="73"/>
      <c r="G63" s="129"/>
      <c r="H63" s="125"/>
      <c r="I63" s="73"/>
      <c r="J63" s="126"/>
      <c r="K63" s="132" t="str">
        <f t="shared" si="1"/>
        <v>Pass</v>
      </c>
      <c r="L63" s="73">
        <v>1159</v>
      </c>
      <c r="M63" s="68" t="s">
        <v>51</v>
      </c>
      <c r="N63" s="68"/>
      <c r="O63" s="76">
        <v>100</v>
      </c>
      <c r="P63" s="76">
        <v>50</v>
      </c>
    </row>
    <row r="64" spans="1:16">
      <c r="A64" s="119">
        <v>43010</v>
      </c>
      <c r="B64" s="125">
        <v>11</v>
      </c>
      <c r="C64" s="73">
        <v>10</v>
      </c>
      <c r="D64" s="126">
        <f t="shared" si="0"/>
        <v>-1</v>
      </c>
      <c r="E64" s="121"/>
      <c r="F64" s="73"/>
      <c r="G64" s="129"/>
      <c r="H64" s="125"/>
      <c r="I64" s="73"/>
      <c r="J64" s="126"/>
      <c r="K64" s="132" t="str">
        <f t="shared" si="1"/>
        <v>Pass</v>
      </c>
      <c r="L64" s="73">
        <v>1159</v>
      </c>
      <c r="M64" s="68" t="s">
        <v>52</v>
      </c>
      <c r="N64" s="68"/>
      <c r="O64" s="76">
        <v>100</v>
      </c>
      <c r="P64" s="76">
        <v>50</v>
      </c>
    </row>
    <row r="65" spans="1:16">
      <c r="A65" s="119">
        <v>43012</v>
      </c>
      <c r="B65" s="125">
        <v>13</v>
      </c>
      <c r="C65" s="73">
        <v>6</v>
      </c>
      <c r="D65" s="126">
        <f t="shared" si="0"/>
        <v>-7</v>
      </c>
      <c r="E65" s="121"/>
      <c r="F65" s="73"/>
      <c r="G65" s="129"/>
      <c r="H65" s="125"/>
      <c r="I65" s="73"/>
      <c r="J65" s="126"/>
      <c r="K65" s="132" t="str">
        <f t="shared" si="1"/>
        <v>Pass</v>
      </c>
      <c r="L65" s="73">
        <v>121</v>
      </c>
      <c r="M65" s="68" t="s">
        <v>53</v>
      </c>
      <c r="N65" s="68"/>
      <c r="O65" s="76">
        <v>100</v>
      </c>
      <c r="P65" s="76">
        <v>50</v>
      </c>
    </row>
    <row r="66" spans="1:16">
      <c r="A66" s="119">
        <v>43017</v>
      </c>
      <c r="B66" s="125">
        <v>6</v>
      </c>
      <c r="C66" s="73">
        <v>18</v>
      </c>
      <c r="D66" s="126">
        <f t="shared" si="0"/>
        <v>12</v>
      </c>
      <c r="E66" s="121"/>
      <c r="F66" s="73"/>
      <c r="G66" s="129"/>
      <c r="H66" s="125"/>
      <c r="I66" s="73"/>
      <c r="J66" s="126"/>
      <c r="K66" s="132" t="str">
        <f t="shared" si="1"/>
        <v>Pass</v>
      </c>
      <c r="L66" s="73">
        <v>1428</v>
      </c>
      <c r="N66" s="75"/>
      <c r="O66" s="76">
        <v>100</v>
      </c>
      <c r="P66" s="76">
        <v>50</v>
      </c>
    </row>
    <row r="67" spans="1:16">
      <c r="A67" s="119">
        <v>43023</v>
      </c>
      <c r="B67" s="125">
        <v>16</v>
      </c>
      <c r="C67" s="73">
        <v>13</v>
      </c>
      <c r="D67" s="126">
        <f t="shared" si="0"/>
        <v>-3</v>
      </c>
      <c r="E67" s="121"/>
      <c r="F67" s="73"/>
      <c r="G67" s="129"/>
      <c r="H67" s="125"/>
      <c r="I67" s="73"/>
      <c r="J67" s="126"/>
      <c r="K67" s="132" t="str">
        <f>IF((D67=""),"",IF(D67&lt;=50,"Pass","Fail"))</f>
        <v>Pass</v>
      </c>
      <c r="L67" s="73">
        <v>121</v>
      </c>
      <c r="M67" s="68" t="s">
        <v>54</v>
      </c>
      <c r="N67" s="68"/>
      <c r="O67" s="76">
        <v>100</v>
      </c>
      <c r="P67" s="76">
        <v>50</v>
      </c>
    </row>
    <row r="68" spans="1:16">
      <c r="A68" s="119">
        <v>43028</v>
      </c>
      <c r="B68" s="125">
        <v>12</v>
      </c>
      <c r="C68" s="73">
        <v>15</v>
      </c>
      <c r="D68" s="126">
        <f t="shared" si="0"/>
        <v>3</v>
      </c>
      <c r="E68" s="121"/>
      <c r="F68" s="73"/>
      <c r="G68" s="129"/>
      <c r="H68" s="125"/>
      <c r="I68" s="73"/>
      <c r="J68" s="126"/>
      <c r="K68" s="132" t="str">
        <f t="shared" si="1"/>
        <v>Pass</v>
      </c>
      <c r="L68" s="73">
        <v>1335</v>
      </c>
      <c r="M68" s="68" t="s">
        <v>55</v>
      </c>
      <c r="N68" s="68"/>
      <c r="O68" s="76">
        <v>100</v>
      </c>
      <c r="P68" s="76">
        <v>50</v>
      </c>
    </row>
    <row r="69" spans="1:16">
      <c r="A69" s="119">
        <v>43032</v>
      </c>
      <c r="B69" s="125">
        <v>15</v>
      </c>
      <c r="C69" s="73">
        <v>13</v>
      </c>
      <c r="D69" s="126">
        <f t="shared" si="0"/>
        <v>-2</v>
      </c>
      <c r="E69" s="121"/>
      <c r="F69" s="73"/>
      <c r="G69" s="129"/>
      <c r="H69" s="125"/>
      <c r="I69" s="73"/>
      <c r="J69" s="126"/>
      <c r="K69" s="132" t="str">
        <f t="shared" si="1"/>
        <v>Pass</v>
      </c>
      <c r="L69" s="73">
        <v>1159</v>
      </c>
      <c r="M69" s="68" t="s">
        <v>56</v>
      </c>
      <c r="N69" s="68"/>
      <c r="O69" s="76">
        <v>100</v>
      </c>
      <c r="P69" s="76">
        <v>50</v>
      </c>
    </row>
    <row r="70" spans="1:16">
      <c r="A70" s="119">
        <v>43038</v>
      </c>
      <c r="B70" s="125">
        <v>6</v>
      </c>
      <c r="C70" s="73">
        <v>5</v>
      </c>
      <c r="D70" s="126">
        <f t="shared" si="0"/>
        <v>-1</v>
      </c>
      <c r="E70" s="121"/>
      <c r="F70" s="73"/>
      <c r="G70" s="129"/>
      <c r="H70" s="125"/>
      <c r="I70" s="73"/>
      <c r="J70" s="126"/>
      <c r="K70" s="132" t="str">
        <f t="shared" si="1"/>
        <v>Pass</v>
      </c>
      <c r="L70" s="73">
        <v>64</v>
      </c>
      <c r="M70" s="68" t="s">
        <v>23</v>
      </c>
      <c r="N70" s="75"/>
      <c r="O70" s="76">
        <v>100</v>
      </c>
      <c r="P70" s="76">
        <v>50</v>
      </c>
    </row>
    <row r="71" spans="1:16">
      <c r="A71" s="119">
        <v>43042</v>
      </c>
      <c r="B71" s="125">
        <v>7</v>
      </c>
      <c r="C71" s="73">
        <v>18</v>
      </c>
      <c r="D71" s="126">
        <f t="shared" si="0"/>
        <v>11</v>
      </c>
      <c r="E71" s="121"/>
      <c r="F71" s="73"/>
      <c r="G71" s="129"/>
      <c r="H71" s="125"/>
      <c r="I71" s="73"/>
      <c r="J71" s="126"/>
      <c r="K71" s="132" t="str">
        <f t="shared" si="1"/>
        <v>Pass</v>
      </c>
      <c r="L71" s="73">
        <v>121</v>
      </c>
      <c r="M71" s="68" t="s">
        <v>57</v>
      </c>
      <c r="N71" s="75"/>
      <c r="O71" s="76">
        <v>100</v>
      </c>
      <c r="P71" s="76">
        <v>50</v>
      </c>
    </row>
    <row r="72" spans="1:16">
      <c r="A72" s="119">
        <v>43042</v>
      </c>
      <c r="B72" s="125">
        <v>12</v>
      </c>
      <c r="C72" s="73">
        <v>15</v>
      </c>
      <c r="D72" s="126">
        <f t="shared" si="0"/>
        <v>3</v>
      </c>
      <c r="E72" s="121"/>
      <c r="F72" s="73"/>
      <c r="G72" s="129"/>
      <c r="H72" s="125"/>
      <c r="I72" s="73"/>
      <c r="J72" s="126"/>
      <c r="K72" s="132" t="str">
        <f t="shared" si="1"/>
        <v>Pass</v>
      </c>
      <c r="L72" s="73">
        <v>1335</v>
      </c>
      <c r="N72" s="75" t="s">
        <v>50</v>
      </c>
      <c r="O72" s="76">
        <v>100</v>
      </c>
      <c r="P72" s="76">
        <v>50</v>
      </c>
    </row>
    <row r="73" spans="1:16">
      <c r="A73" s="119">
        <v>43046</v>
      </c>
      <c r="B73" s="125">
        <v>11</v>
      </c>
      <c r="C73" s="73">
        <v>6</v>
      </c>
      <c r="D73" s="126">
        <f t="shared" si="0"/>
        <v>-5</v>
      </c>
      <c r="E73" s="121"/>
      <c r="F73" s="73"/>
      <c r="G73" s="129"/>
      <c r="H73" s="125"/>
      <c r="I73" s="73"/>
      <c r="J73" s="126"/>
      <c r="K73" s="132" t="str">
        <f t="shared" si="1"/>
        <v>Pass</v>
      </c>
      <c r="L73" s="73">
        <v>1335</v>
      </c>
      <c r="M73" s="68" t="s">
        <v>23</v>
      </c>
      <c r="N73" s="75"/>
      <c r="O73" s="76">
        <v>100</v>
      </c>
      <c r="P73" s="76">
        <v>50</v>
      </c>
    </row>
    <row r="74" spans="1:16">
      <c r="A74" s="119">
        <v>43052</v>
      </c>
      <c r="B74" s="125">
        <v>2</v>
      </c>
      <c r="C74" s="73">
        <v>12</v>
      </c>
      <c r="D74" s="126">
        <f t="shared" si="0"/>
        <v>10</v>
      </c>
      <c r="E74" s="121"/>
      <c r="F74" s="73"/>
      <c r="G74" s="129"/>
      <c r="H74" s="125"/>
      <c r="I74" s="73"/>
      <c r="J74" s="126"/>
      <c r="K74" s="132" t="str">
        <f t="shared" si="1"/>
        <v>Pass</v>
      </c>
      <c r="L74" s="73">
        <v>102</v>
      </c>
      <c r="M74" s="68" t="s">
        <v>58</v>
      </c>
      <c r="N74" s="75"/>
      <c r="O74" s="76">
        <v>100</v>
      </c>
      <c r="P74" s="76">
        <v>50</v>
      </c>
    </row>
    <row r="75" spans="1:16">
      <c r="A75" s="119">
        <v>43056</v>
      </c>
      <c r="B75" s="125">
        <v>11</v>
      </c>
      <c r="C75" s="73">
        <v>9</v>
      </c>
      <c r="D75" s="126">
        <f t="shared" si="0"/>
        <v>-2</v>
      </c>
      <c r="E75" s="121"/>
      <c r="F75" s="73"/>
      <c r="G75" s="129"/>
      <c r="H75" s="125"/>
      <c r="I75" s="73"/>
      <c r="J75" s="126"/>
      <c r="K75" s="132" t="str">
        <f t="shared" si="1"/>
        <v>Pass</v>
      </c>
      <c r="L75" s="73">
        <v>121</v>
      </c>
      <c r="M75" s="68" t="s">
        <v>59</v>
      </c>
      <c r="N75" s="75"/>
      <c r="O75" s="76">
        <v>100</v>
      </c>
      <c r="P75" s="76">
        <v>50</v>
      </c>
    </row>
    <row r="76" spans="1:16">
      <c r="A76" s="119">
        <v>43060</v>
      </c>
      <c r="B76" s="125">
        <v>12</v>
      </c>
      <c r="C76" s="73">
        <v>14</v>
      </c>
      <c r="D76" s="126">
        <f t="shared" ref="D76:D100" si="2">IF(((B76="")*AND(C76="")),"",(C76-B76))</f>
        <v>2</v>
      </c>
      <c r="E76" s="121"/>
      <c r="F76" s="73"/>
      <c r="G76" s="129"/>
      <c r="H76" s="125"/>
      <c r="I76" s="73"/>
      <c r="J76" s="126"/>
      <c r="K76" s="132" t="str">
        <f t="shared" si="1"/>
        <v>Pass</v>
      </c>
      <c r="L76" s="73">
        <v>102</v>
      </c>
      <c r="M76" s="68" t="s">
        <v>60</v>
      </c>
      <c r="N76" s="75"/>
      <c r="O76" s="76">
        <v>100</v>
      </c>
      <c r="P76" s="76">
        <v>50</v>
      </c>
    </row>
    <row r="77" spans="1:16">
      <c r="A77" s="119">
        <v>43063</v>
      </c>
      <c r="B77" s="125">
        <v>16</v>
      </c>
      <c r="C77" s="73">
        <v>23</v>
      </c>
      <c r="D77" s="126">
        <f t="shared" si="2"/>
        <v>7</v>
      </c>
      <c r="E77" s="121"/>
      <c r="F77" s="73"/>
      <c r="G77" s="129"/>
      <c r="H77" s="125"/>
      <c r="I77" s="73"/>
      <c r="J77" s="126"/>
      <c r="K77" s="132" t="str">
        <f t="shared" ref="K77:K82" si="3">IF((D77=""),"",IF(D77&lt;=50,"Pass","Fail"))</f>
        <v>Pass</v>
      </c>
      <c r="L77" s="73">
        <v>1428</v>
      </c>
      <c r="M77" s="68" t="s">
        <v>60</v>
      </c>
      <c r="N77" s="75"/>
      <c r="O77" s="76">
        <v>100</v>
      </c>
      <c r="P77" s="76">
        <v>50</v>
      </c>
    </row>
    <row r="78" spans="1:16">
      <c r="A78" s="119">
        <v>43068</v>
      </c>
      <c r="B78" s="125">
        <v>22</v>
      </c>
      <c r="C78" s="73">
        <v>9</v>
      </c>
      <c r="D78" s="126">
        <f t="shared" si="2"/>
        <v>-13</v>
      </c>
      <c r="E78" s="121"/>
      <c r="F78" s="73"/>
      <c r="G78" s="129"/>
      <c r="H78" s="125"/>
      <c r="I78" s="73"/>
      <c r="J78" s="126"/>
      <c r="K78" s="132" t="str">
        <f t="shared" si="3"/>
        <v>Pass</v>
      </c>
      <c r="L78" s="73">
        <v>1335</v>
      </c>
      <c r="M78" s="68" t="s">
        <v>61</v>
      </c>
      <c r="N78" s="75"/>
      <c r="O78" s="76">
        <v>100</v>
      </c>
      <c r="P78" s="76">
        <v>50</v>
      </c>
    </row>
    <row r="79" spans="1:16">
      <c r="A79" s="119">
        <v>43073</v>
      </c>
      <c r="B79" s="125">
        <v>12</v>
      </c>
      <c r="C79" s="73">
        <v>11</v>
      </c>
      <c r="D79" s="126">
        <f t="shared" si="2"/>
        <v>-1</v>
      </c>
      <c r="E79" s="121"/>
      <c r="F79" s="73"/>
      <c r="G79" s="129"/>
      <c r="H79" s="125"/>
      <c r="I79" s="73"/>
      <c r="J79" s="126"/>
      <c r="K79" s="132" t="str">
        <f t="shared" si="3"/>
        <v>Pass</v>
      </c>
      <c r="L79" s="73">
        <v>102</v>
      </c>
      <c r="M79" s="68" t="s">
        <v>23</v>
      </c>
      <c r="N79" s="75"/>
      <c r="O79" s="76">
        <v>100</v>
      </c>
      <c r="P79" s="76">
        <v>50</v>
      </c>
    </row>
    <row r="80" spans="1:16">
      <c r="A80" s="119">
        <v>43076</v>
      </c>
      <c r="B80" s="125">
        <v>43</v>
      </c>
      <c r="C80" s="73">
        <v>43</v>
      </c>
      <c r="D80" s="126">
        <f t="shared" si="2"/>
        <v>0</v>
      </c>
      <c r="E80" s="121"/>
      <c r="F80" s="73"/>
      <c r="G80" s="129"/>
      <c r="H80" s="125"/>
      <c r="I80" s="73"/>
      <c r="J80" s="126"/>
      <c r="K80" s="132" t="str">
        <f t="shared" si="3"/>
        <v>Pass</v>
      </c>
      <c r="L80" s="73">
        <v>1534</v>
      </c>
      <c r="M80" s="68" t="s">
        <v>23</v>
      </c>
      <c r="N80" s="75"/>
      <c r="O80" s="76">
        <v>100</v>
      </c>
      <c r="P80" s="76">
        <v>50</v>
      </c>
    </row>
    <row r="81" spans="1:16">
      <c r="A81" s="119">
        <v>43081</v>
      </c>
      <c r="B81" s="125">
        <v>7</v>
      </c>
      <c r="C81" s="73">
        <v>4</v>
      </c>
      <c r="D81" s="126">
        <f t="shared" si="2"/>
        <v>-3</v>
      </c>
      <c r="E81" s="121"/>
      <c r="F81" s="73"/>
      <c r="G81" s="129"/>
      <c r="H81" s="125"/>
      <c r="I81" s="73"/>
      <c r="J81" s="126"/>
      <c r="K81" s="132" t="str">
        <f t="shared" si="3"/>
        <v>Pass</v>
      </c>
      <c r="L81" s="73">
        <v>1159</v>
      </c>
      <c r="M81" s="68" t="s">
        <v>62</v>
      </c>
      <c r="N81" s="75"/>
      <c r="O81" s="76">
        <v>100</v>
      </c>
      <c r="P81" s="76">
        <v>50</v>
      </c>
    </row>
    <row r="82" spans="1:16">
      <c r="A82" s="119">
        <v>43085</v>
      </c>
      <c r="B82" s="125">
        <v>3</v>
      </c>
      <c r="C82" s="73">
        <v>4</v>
      </c>
      <c r="D82" s="126">
        <f t="shared" si="2"/>
        <v>1</v>
      </c>
      <c r="E82" s="121"/>
      <c r="F82" s="73"/>
      <c r="G82" s="129"/>
      <c r="H82" s="125"/>
      <c r="I82" s="73"/>
      <c r="J82" s="126"/>
      <c r="K82" s="132" t="str">
        <f t="shared" si="3"/>
        <v>Pass</v>
      </c>
      <c r="L82" s="73">
        <v>121</v>
      </c>
      <c r="M82" s="68" t="s">
        <v>63</v>
      </c>
      <c r="N82" s="75"/>
      <c r="O82" s="76">
        <v>100</v>
      </c>
      <c r="P82" s="76">
        <v>50</v>
      </c>
    </row>
    <row r="83" spans="1:16">
      <c r="A83" s="119">
        <v>43090</v>
      </c>
      <c r="B83" s="125">
        <v>4</v>
      </c>
      <c r="C83" s="73">
        <v>10</v>
      </c>
      <c r="D83" s="126">
        <f t="shared" si="2"/>
        <v>6</v>
      </c>
      <c r="E83" s="121"/>
      <c r="F83" s="73"/>
      <c r="G83" s="129"/>
      <c r="H83" s="125"/>
      <c r="I83" s="73"/>
      <c r="J83" s="126"/>
      <c r="K83" s="132" t="str">
        <f>IF((D83=""),"",IF(D83&lt;=50,"Pass","Fail"))</f>
        <v>Pass</v>
      </c>
      <c r="L83" s="73">
        <v>1335</v>
      </c>
      <c r="M83" s="68" t="s">
        <v>63</v>
      </c>
      <c r="N83" s="75"/>
      <c r="O83" s="76">
        <v>100</v>
      </c>
      <c r="P83" s="76">
        <v>50</v>
      </c>
    </row>
    <row r="84" spans="1:16">
      <c r="A84" s="119">
        <v>43095</v>
      </c>
      <c r="B84" s="125">
        <v>3</v>
      </c>
      <c r="C84" s="73">
        <v>3</v>
      </c>
      <c r="D84" s="126">
        <f t="shared" si="2"/>
        <v>0</v>
      </c>
      <c r="E84" s="121"/>
      <c r="F84" s="73"/>
      <c r="G84" s="129"/>
      <c r="H84" s="125"/>
      <c r="I84" s="73"/>
      <c r="J84" s="126"/>
      <c r="K84" s="132" t="str">
        <f t="shared" ref="K84:K146" si="4">IF((D84=""),"",IF(D84&lt;=50,"Pass","Fail"))</f>
        <v>Pass</v>
      </c>
      <c r="L84" s="73">
        <v>64</v>
      </c>
      <c r="M84" s="68" t="s">
        <v>63</v>
      </c>
      <c r="N84" s="75"/>
      <c r="O84" s="76">
        <v>100</v>
      </c>
      <c r="P84" s="76">
        <v>50</v>
      </c>
    </row>
    <row r="85" spans="1:16">
      <c r="A85" s="119">
        <v>43097</v>
      </c>
      <c r="B85" s="125">
        <v>4</v>
      </c>
      <c r="C85" s="73">
        <v>11</v>
      </c>
      <c r="D85" s="126">
        <f t="shared" si="2"/>
        <v>7</v>
      </c>
      <c r="E85" s="121"/>
      <c r="F85" s="73"/>
      <c r="G85" s="129"/>
      <c r="H85" s="125"/>
      <c r="I85" s="73"/>
      <c r="J85" s="126"/>
      <c r="K85" s="132" t="str">
        <f t="shared" si="4"/>
        <v>Pass</v>
      </c>
      <c r="L85" s="73">
        <v>64</v>
      </c>
      <c r="M85" s="68" t="s">
        <v>63</v>
      </c>
      <c r="N85" s="75"/>
      <c r="O85" s="76">
        <v>100</v>
      </c>
      <c r="P85" s="76">
        <v>50</v>
      </c>
    </row>
    <row r="86" spans="1:16">
      <c r="A86" s="119">
        <v>43106</v>
      </c>
      <c r="B86" s="125">
        <v>19</v>
      </c>
      <c r="C86" s="73">
        <v>37</v>
      </c>
      <c r="D86" s="126">
        <f t="shared" si="2"/>
        <v>18</v>
      </c>
      <c r="E86" s="121"/>
      <c r="F86" s="73"/>
      <c r="G86" s="129"/>
      <c r="H86" s="125"/>
      <c r="I86" s="73"/>
      <c r="J86" s="126"/>
      <c r="K86" s="132" t="str">
        <f t="shared" si="4"/>
        <v>Pass</v>
      </c>
      <c r="L86" s="73">
        <v>102</v>
      </c>
      <c r="M86" s="68" t="s">
        <v>64</v>
      </c>
      <c r="N86" s="75"/>
      <c r="O86" s="76">
        <v>100</v>
      </c>
      <c r="P86" s="76">
        <v>50</v>
      </c>
    </row>
    <row r="87" spans="1:16">
      <c r="A87" s="119">
        <v>43110</v>
      </c>
      <c r="B87" s="125">
        <v>21</v>
      </c>
      <c r="C87" s="73">
        <v>22</v>
      </c>
      <c r="D87" s="126">
        <f t="shared" si="2"/>
        <v>1</v>
      </c>
      <c r="E87" s="121"/>
      <c r="F87" s="73"/>
      <c r="G87" s="129"/>
      <c r="H87" s="125"/>
      <c r="I87" s="73"/>
      <c r="J87" s="126"/>
      <c r="K87" s="132" t="str">
        <f t="shared" si="4"/>
        <v>Pass</v>
      </c>
      <c r="L87" s="73">
        <v>121</v>
      </c>
      <c r="M87" s="68" t="s">
        <v>63</v>
      </c>
      <c r="N87" s="75"/>
      <c r="O87" s="76">
        <v>100</v>
      </c>
      <c r="P87" s="76">
        <v>50</v>
      </c>
    </row>
    <row r="88" spans="1:16">
      <c r="A88" s="119">
        <v>43115</v>
      </c>
      <c r="B88" s="125">
        <v>11</v>
      </c>
      <c r="C88" s="73">
        <v>15</v>
      </c>
      <c r="D88" s="126">
        <f t="shared" si="2"/>
        <v>4</v>
      </c>
      <c r="E88" s="121"/>
      <c r="F88" s="73"/>
      <c r="G88" s="129"/>
      <c r="H88" s="125"/>
      <c r="I88" s="73"/>
      <c r="J88" s="126"/>
      <c r="K88" s="132" t="str">
        <f t="shared" si="4"/>
        <v>Pass</v>
      </c>
      <c r="L88" s="73">
        <v>1159</v>
      </c>
      <c r="M88" s="68" t="s">
        <v>23</v>
      </c>
      <c r="N88" s="75"/>
      <c r="O88" s="76">
        <v>100</v>
      </c>
      <c r="P88" s="76">
        <v>50</v>
      </c>
    </row>
    <row r="89" spans="1:16">
      <c r="A89" s="119">
        <v>43115</v>
      </c>
      <c r="B89" s="125">
        <v>2</v>
      </c>
      <c r="C89" s="73">
        <v>5</v>
      </c>
      <c r="D89" s="126">
        <f t="shared" si="2"/>
        <v>3</v>
      </c>
      <c r="E89" s="121"/>
      <c r="F89" s="73"/>
      <c r="G89" s="129"/>
      <c r="H89" s="125"/>
      <c r="I89" s="73"/>
      <c r="J89" s="126"/>
      <c r="K89" s="132" t="str">
        <f t="shared" si="4"/>
        <v>Pass</v>
      </c>
      <c r="L89" s="73">
        <v>1159</v>
      </c>
      <c r="M89" s="68" t="s">
        <v>65</v>
      </c>
      <c r="N89" s="75"/>
      <c r="O89" s="76">
        <v>100</v>
      </c>
      <c r="P89" s="76">
        <v>50</v>
      </c>
    </row>
    <row r="90" spans="1:16">
      <c r="A90" s="119">
        <v>43121</v>
      </c>
      <c r="B90" s="125">
        <v>2</v>
      </c>
      <c r="C90" s="73">
        <v>5</v>
      </c>
      <c r="D90" s="126">
        <f t="shared" si="2"/>
        <v>3</v>
      </c>
      <c r="E90" s="121"/>
      <c r="F90" s="73"/>
      <c r="G90" s="129"/>
      <c r="H90" s="125"/>
      <c r="I90" s="73"/>
      <c r="J90" s="126"/>
      <c r="K90" s="132" t="str">
        <f t="shared" si="4"/>
        <v>Pass</v>
      </c>
      <c r="L90" s="73">
        <v>1428</v>
      </c>
      <c r="M90" s="68" t="s">
        <v>66</v>
      </c>
      <c r="N90" s="75"/>
      <c r="O90" s="76">
        <v>100</v>
      </c>
      <c r="P90" s="76">
        <v>50</v>
      </c>
    </row>
    <row r="91" spans="1:16">
      <c r="A91" s="119">
        <v>43125</v>
      </c>
      <c r="B91" s="125">
        <v>5</v>
      </c>
      <c r="C91" s="73">
        <v>6</v>
      </c>
      <c r="D91" s="126">
        <f t="shared" si="2"/>
        <v>1</v>
      </c>
      <c r="E91" s="121"/>
      <c r="F91" s="73"/>
      <c r="G91" s="129"/>
      <c r="H91" s="125"/>
      <c r="I91" s="73"/>
      <c r="J91" s="126"/>
      <c r="K91" s="132" t="str">
        <f t="shared" si="4"/>
        <v>Pass</v>
      </c>
      <c r="L91" s="73">
        <v>102</v>
      </c>
      <c r="M91" s="68" t="s">
        <v>63</v>
      </c>
      <c r="N91" s="75"/>
      <c r="O91" s="76">
        <v>100</v>
      </c>
      <c r="P91" s="76">
        <v>50</v>
      </c>
    </row>
    <row r="92" spans="1:16">
      <c r="A92" s="119">
        <v>43129</v>
      </c>
      <c r="B92" s="125">
        <v>3</v>
      </c>
      <c r="C92" s="73">
        <v>5</v>
      </c>
      <c r="D92" s="126">
        <f t="shared" si="2"/>
        <v>2</v>
      </c>
      <c r="E92" s="121"/>
      <c r="F92" s="73"/>
      <c r="G92" s="129"/>
      <c r="H92" s="125"/>
      <c r="I92" s="73"/>
      <c r="J92" s="126"/>
      <c r="K92" s="132" t="str">
        <f t="shared" si="4"/>
        <v>Pass</v>
      </c>
      <c r="L92" s="73" t="s">
        <v>67</v>
      </c>
      <c r="N92" s="75"/>
      <c r="O92" s="76">
        <v>100</v>
      </c>
      <c r="P92" s="76">
        <v>50</v>
      </c>
    </row>
    <row r="93" spans="1:16">
      <c r="A93" s="119">
        <v>43133</v>
      </c>
      <c r="B93" s="125">
        <v>3</v>
      </c>
      <c r="C93" s="73">
        <v>5</v>
      </c>
      <c r="D93" s="126">
        <f t="shared" si="2"/>
        <v>2</v>
      </c>
      <c r="E93" s="121"/>
      <c r="F93" s="73"/>
      <c r="G93" s="129"/>
      <c r="H93" s="125"/>
      <c r="I93" s="73"/>
      <c r="J93" s="126"/>
      <c r="K93" s="132" t="str">
        <f t="shared" si="4"/>
        <v>Pass</v>
      </c>
      <c r="L93" s="73">
        <v>1335</v>
      </c>
      <c r="M93" s="68" t="s">
        <v>32</v>
      </c>
      <c r="N93" s="75"/>
      <c r="O93" s="76">
        <v>100</v>
      </c>
      <c r="P93" s="76">
        <v>50</v>
      </c>
    </row>
    <row r="94" spans="1:16">
      <c r="A94" s="119">
        <v>43137</v>
      </c>
      <c r="B94" s="125">
        <v>34</v>
      </c>
      <c r="C94" s="73">
        <v>92</v>
      </c>
      <c r="D94" s="126">
        <f t="shared" si="2"/>
        <v>58</v>
      </c>
      <c r="E94" s="121"/>
      <c r="F94" s="73"/>
      <c r="G94" s="129"/>
      <c r="H94" s="125"/>
      <c r="I94" s="73"/>
      <c r="J94" s="126"/>
      <c r="K94" s="132" t="str">
        <f t="shared" si="4"/>
        <v>Fail</v>
      </c>
      <c r="L94" s="73">
        <v>1519</v>
      </c>
      <c r="M94" s="68" t="s">
        <v>32</v>
      </c>
      <c r="N94" s="75"/>
      <c r="O94" s="76">
        <v>100</v>
      </c>
      <c r="P94" s="76">
        <v>50</v>
      </c>
    </row>
    <row r="95" spans="1:16">
      <c r="A95" s="119">
        <v>43141</v>
      </c>
      <c r="B95" s="125">
        <v>5</v>
      </c>
      <c r="C95" s="73">
        <v>22</v>
      </c>
      <c r="D95" s="126">
        <f t="shared" si="2"/>
        <v>17</v>
      </c>
      <c r="E95" s="121"/>
      <c r="F95" s="73"/>
      <c r="G95" s="129"/>
      <c r="H95" s="125"/>
      <c r="I95" s="73"/>
      <c r="J95" s="126"/>
      <c r="K95" s="132" t="str">
        <f t="shared" si="4"/>
        <v>Pass</v>
      </c>
      <c r="L95" s="73">
        <v>102</v>
      </c>
      <c r="M95" s="68" t="s">
        <v>58</v>
      </c>
      <c r="N95" s="75"/>
      <c r="O95" s="76">
        <v>100</v>
      </c>
      <c r="P95" s="76">
        <v>50</v>
      </c>
    </row>
    <row r="96" spans="1:16">
      <c r="A96" s="119">
        <v>43146</v>
      </c>
      <c r="B96" s="125">
        <v>17</v>
      </c>
      <c r="C96" s="73">
        <v>29</v>
      </c>
      <c r="D96" s="126">
        <f t="shared" si="2"/>
        <v>12</v>
      </c>
      <c r="E96" s="121"/>
      <c r="F96" s="73"/>
      <c r="G96" s="129"/>
      <c r="H96" s="125"/>
      <c r="I96" s="73"/>
      <c r="J96" s="126"/>
      <c r="K96" s="132" t="str">
        <f t="shared" si="4"/>
        <v>Pass</v>
      </c>
      <c r="L96" s="73">
        <v>1428</v>
      </c>
      <c r="M96" s="68" t="s">
        <v>32</v>
      </c>
      <c r="N96" s="75"/>
      <c r="O96" s="76">
        <v>100</v>
      </c>
      <c r="P96" s="76">
        <v>50</v>
      </c>
    </row>
    <row r="97" spans="1:16">
      <c r="A97" s="119">
        <v>43151</v>
      </c>
      <c r="B97" s="125">
        <v>53</v>
      </c>
      <c r="C97" s="73">
        <v>222</v>
      </c>
      <c r="D97" s="126">
        <f t="shared" si="2"/>
        <v>169</v>
      </c>
      <c r="E97" s="121"/>
      <c r="F97" s="73"/>
      <c r="G97" s="129"/>
      <c r="H97" s="125"/>
      <c r="I97" s="73"/>
      <c r="J97" s="126"/>
      <c r="K97" s="132" t="str">
        <f t="shared" si="4"/>
        <v>Fail</v>
      </c>
      <c r="L97" s="73">
        <v>121</v>
      </c>
      <c r="M97" s="68" t="s">
        <v>68</v>
      </c>
      <c r="N97" s="75"/>
      <c r="O97" s="76">
        <v>100</v>
      </c>
      <c r="P97" s="76">
        <v>50</v>
      </c>
    </row>
    <row r="98" spans="1:16">
      <c r="A98" s="119">
        <v>43151</v>
      </c>
      <c r="B98" s="125">
        <v>26</v>
      </c>
      <c r="C98" s="73">
        <v>66</v>
      </c>
      <c r="D98" s="126">
        <f t="shared" si="2"/>
        <v>40</v>
      </c>
      <c r="E98" s="121"/>
      <c r="F98" s="73"/>
      <c r="G98" s="129"/>
      <c r="H98" s="125"/>
      <c r="I98" s="73"/>
      <c r="J98" s="126"/>
      <c r="K98" s="132" t="str">
        <f t="shared" si="4"/>
        <v>Pass</v>
      </c>
      <c r="L98" s="73">
        <v>1159</v>
      </c>
      <c r="M98" s="68" t="s">
        <v>69</v>
      </c>
      <c r="N98" s="75"/>
      <c r="O98" s="76">
        <v>100</v>
      </c>
      <c r="P98" s="76">
        <v>50</v>
      </c>
    </row>
    <row r="99" spans="1:16">
      <c r="A99" s="119">
        <v>43159</v>
      </c>
      <c r="B99" s="125">
        <v>7</v>
      </c>
      <c r="C99" s="73">
        <v>15</v>
      </c>
      <c r="D99" s="126">
        <f t="shared" si="2"/>
        <v>8</v>
      </c>
      <c r="E99" s="121"/>
      <c r="F99" s="73"/>
      <c r="G99" s="129"/>
      <c r="H99" s="125"/>
      <c r="I99" s="73"/>
      <c r="J99" s="126"/>
      <c r="K99" s="132" t="str">
        <f t="shared" si="4"/>
        <v>Pass</v>
      </c>
      <c r="L99" s="73">
        <v>1159</v>
      </c>
      <c r="M99" s="68" t="s">
        <v>70</v>
      </c>
      <c r="N99" s="75"/>
      <c r="O99" s="76">
        <v>100</v>
      </c>
      <c r="P99" s="76">
        <v>50</v>
      </c>
    </row>
    <row r="100" spans="1:16">
      <c r="A100" s="119">
        <v>43167</v>
      </c>
      <c r="B100" s="125">
        <v>5</v>
      </c>
      <c r="C100" s="73">
        <v>8</v>
      </c>
      <c r="D100" s="126">
        <f t="shared" si="2"/>
        <v>3</v>
      </c>
      <c r="E100" s="121"/>
      <c r="F100" s="73"/>
      <c r="G100" s="129"/>
      <c r="H100" s="125"/>
      <c r="I100" s="73"/>
      <c r="J100" s="126"/>
      <c r="K100" s="132" t="str">
        <f t="shared" si="4"/>
        <v>Pass</v>
      </c>
      <c r="L100" s="73">
        <v>102</v>
      </c>
      <c r="M100" s="68" t="s">
        <v>58</v>
      </c>
      <c r="N100" s="75"/>
      <c r="O100" s="76">
        <v>100</v>
      </c>
      <c r="P100" s="76">
        <v>50</v>
      </c>
    </row>
    <row r="101" spans="1:16">
      <c r="A101" s="119">
        <v>43178</v>
      </c>
      <c r="B101" s="125">
        <v>7</v>
      </c>
      <c r="C101" s="73">
        <v>39</v>
      </c>
      <c r="D101" s="126">
        <f t="shared" ref="D101:D164" si="5">IF(((B101="")*AND(C101="")),"",(C101-B101))</f>
        <v>32</v>
      </c>
      <c r="E101" s="121"/>
      <c r="F101" s="73"/>
      <c r="G101" s="129"/>
      <c r="H101" s="125"/>
      <c r="I101" s="73"/>
      <c r="J101" s="126"/>
      <c r="K101" s="132" t="str">
        <f t="shared" si="4"/>
        <v>Pass</v>
      </c>
      <c r="L101" s="73">
        <v>1159</v>
      </c>
      <c r="M101" s="68" t="s">
        <v>71</v>
      </c>
      <c r="N101" s="75"/>
      <c r="O101" s="76">
        <v>100</v>
      </c>
      <c r="P101" s="76">
        <v>50</v>
      </c>
    </row>
    <row r="102" spans="1:16">
      <c r="A102" s="119">
        <v>43182</v>
      </c>
      <c r="B102" s="125">
        <v>6</v>
      </c>
      <c r="C102" s="73">
        <v>11</v>
      </c>
      <c r="D102" s="126">
        <f t="shared" si="5"/>
        <v>5</v>
      </c>
      <c r="E102" s="121"/>
      <c r="F102" s="73"/>
      <c r="G102" s="129"/>
      <c r="H102" s="125"/>
      <c r="I102" s="73"/>
      <c r="J102" s="126"/>
      <c r="K102" s="132" t="str">
        <f t="shared" si="4"/>
        <v>Pass</v>
      </c>
      <c r="L102" s="73">
        <v>1159</v>
      </c>
      <c r="M102" s="68" t="s">
        <v>72</v>
      </c>
      <c r="N102" s="75"/>
      <c r="O102" s="76">
        <v>100</v>
      </c>
      <c r="P102" s="76">
        <v>50</v>
      </c>
    </row>
    <row r="103" spans="1:16">
      <c r="A103" s="119">
        <v>43187</v>
      </c>
      <c r="B103" s="125">
        <v>11</v>
      </c>
      <c r="C103" s="73">
        <v>28</v>
      </c>
      <c r="D103" s="126">
        <f t="shared" si="5"/>
        <v>17</v>
      </c>
      <c r="E103" s="121"/>
      <c r="F103" s="73"/>
      <c r="G103" s="129"/>
      <c r="H103" s="125"/>
      <c r="I103" s="73"/>
      <c r="J103" s="126"/>
      <c r="K103" s="132" t="str">
        <f t="shared" si="4"/>
        <v>Pass</v>
      </c>
      <c r="L103" s="73">
        <v>1159</v>
      </c>
      <c r="M103" s="68" t="s">
        <v>73</v>
      </c>
      <c r="N103" s="75"/>
      <c r="O103" s="76">
        <v>100</v>
      </c>
      <c r="P103" s="76">
        <v>50</v>
      </c>
    </row>
    <row r="104" spans="1:16">
      <c r="A104" s="119">
        <v>43192</v>
      </c>
      <c r="B104" s="125">
        <v>50</v>
      </c>
      <c r="C104" s="73">
        <v>222</v>
      </c>
      <c r="D104" s="126">
        <f t="shared" si="5"/>
        <v>172</v>
      </c>
      <c r="E104" s="121"/>
      <c r="F104" s="73"/>
      <c r="G104" s="129"/>
      <c r="H104" s="125"/>
      <c r="I104" s="73"/>
      <c r="J104" s="126"/>
      <c r="K104" s="132" t="str">
        <f t="shared" si="4"/>
        <v>Fail</v>
      </c>
      <c r="L104" s="73">
        <v>121</v>
      </c>
      <c r="M104" s="68" t="s">
        <v>74</v>
      </c>
      <c r="N104" s="75"/>
      <c r="O104" s="76">
        <v>100</v>
      </c>
      <c r="P104" s="76">
        <v>50</v>
      </c>
    </row>
    <row r="105" spans="1:16">
      <c r="A105" s="119">
        <v>43192</v>
      </c>
      <c r="B105" s="125">
        <v>12</v>
      </c>
      <c r="C105" s="73">
        <v>68</v>
      </c>
      <c r="D105" s="126">
        <f t="shared" si="5"/>
        <v>56</v>
      </c>
      <c r="E105" s="121"/>
      <c r="F105" s="73"/>
      <c r="G105" s="129"/>
      <c r="H105" s="125"/>
      <c r="I105" s="73"/>
      <c r="J105" s="126"/>
      <c r="K105" s="132" t="str">
        <f t="shared" si="4"/>
        <v>Fail</v>
      </c>
      <c r="L105" s="73">
        <v>121</v>
      </c>
      <c r="M105" s="68" t="s">
        <v>75</v>
      </c>
      <c r="N105" s="75"/>
      <c r="O105" s="76">
        <v>100</v>
      </c>
      <c r="P105" s="76">
        <v>50</v>
      </c>
    </row>
    <row r="106" spans="1:16">
      <c r="A106" s="119">
        <v>43199</v>
      </c>
      <c r="B106" s="125">
        <v>10</v>
      </c>
      <c r="C106" s="73">
        <v>26</v>
      </c>
      <c r="D106" s="126">
        <f t="shared" si="5"/>
        <v>16</v>
      </c>
      <c r="E106" s="121"/>
      <c r="F106" s="73"/>
      <c r="G106" s="129"/>
      <c r="H106" s="125"/>
      <c r="I106" s="73"/>
      <c r="J106" s="126"/>
      <c r="K106" s="132" t="str">
        <f t="shared" si="4"/>
        <v>Pass</v>
      </c>
      <c r="L106" s="73">
        <v>1159</v>
      </c>
      <c r="M106" s="68" t="s">
        <v>76</v>
      </c>
      <c r="N106" s="75"/>
      <c r="O106" s="76">
        <v>100</v>
      </c>
      <c r="P106" s="76">
        <v>50</v>
      </c>
    </row>
    <row r="107" spans="1:16">
      <c r="A107" s="119">
        <v>43203</v>
      </c>
      <c r="B107" s="125">
        <v>7</v>
      </c>
      <c r="C107" s="73">
        <v>25</v>
      </c>
      <c r="D107" s="126">
        <f t="shared" si="5"/>
        <v>18</v>
      </c>
      <c r="E107" s="121"/>
      <c r="F107" s="73"/>
      <c r="G107" s="129"/>
      <c r="H107" s="125"/>
      <c r="I107" s="73"/>
      <c r="J107" s="126"/>
      <c r="K107" s="132" t="str">
        <f t="shared" si="4"/>
        <v>Pass</v>
      </c>
      <c r="L107" s="73">
        <v>102</v>
      </c>
      <c r="M107" s="68" t="s">
        <v>77</v>
      </c>
      <c r="N107" s="75"/>
      <c r="O107" s="76">
        <v>100</v>
      </c>
      <c r="P107" s="76">
        <v>50</v>
      </c>
    </row>
    <row r="108" spans="1:16">
      <c r="A108" s="119">
        <v>43209</v>
      </c>
      <c r="B108" s="125">
        <v>45</v>
      </c>
      <c r="C108" s="73">
        <v>37</v>
      </c>
      <c r="D108" s="126">
        <f t="shared" si="5"/>
        <v>-8</v>
      </c>
      <c r="E108" s="121"/>
      <c r="F108" s="73"/>
      <c r="G108" s="129"/>
      <c r="H108" s="125"/>
      <c r="I108" s="73"/>
      <c r="J108" s="126"/>
      <c r="K108" s="132" t="str">
        <f t="shared" si="4"/>
        <v>Pass</v>
      </c>
      <c r="L108" s="73">
        <v>1335</v>
      </c>
      <c r="M108" s="68" t="s">
        <v>78</v>
      </c>
      <c r="N108" s="75"/>
      <c r="O108" s="76">
        <v>100</v>
      </c>
      <c r="P108" s="76">
        <v>50</v>
      </c>
    </row>
    <row r="109" spans="1:16">
      <c r="A109" s="119">
        <v>43214</v>
      </c>
      <c r="B109" s="125">
        <v>67</v>
      </c>
      <c r="C109" s="73">
        <v>108</v>
      </c>
      <c r="D109" s="126">
        <f t="shared" si="5"/>
        <v>41</v>
      </c>
      <c r="E109" s="121"/>
      <c r="F109" s="73"/>
      <c r="G109" s="129"/>
      <c r="H109" s="125"/>
      <c r="I109" s="73"/>
      <c r="J109" s="126"/>
      <c r="K109" s="132" t="str">
        <f t="shared" si="4"/>
        <v>Pass</v>
      </c>
      <c r="L109" s="73">
        <v>121</v>
      </c>
      <c r="M109" s="68" t="s">
        <v>79</v>
      </c>
      <c r="N109" s="75"/>
      <c r="O109" s="76">
        <v>100</v>
      </c>
      <c r="P109" s="76">
        <v>50</v>
      </c>
    </row>
    <row r="110" spans="1:16">
      <c r="A110" s="119">
        <v>43219</v>
      </c>
      <c r="B110" s="125">
        <v>27</v>
      </c>
      <c r="C110" s="73">
        <v>31</v>
      </c>
      <c r="D110" s="126">
        <f t="shared" si="5"/>
        <v>4</v>
      </c>
      <c r="E110" s="121"/>
      <c r="F110" s="73"/>
      <c r="G110" s="129"/>
      <c r="H110" s="125"/>
      <c r="I110" s="73"/>
      <c r="J110" s="126"/>
      <c r="K110" s="132" t="str">
        <f t="shared" si="4"/>
        <v>Pass</v>
      </c>
      <c r="L110" s="73">
        <v>121</v>
      </c>
      <c r="M110" s="68" t="s">
        <v>80</v>
      </c>
      <c r="N110" s="75"/>
      <c r="O110" s="76">
        <v>100</v>
      </c>
      <c r="P110" s="76">
        <v>50</v>
      </c>
    </row>
    <row r="111" spans="1:16">
      <c r="A111" s="119">
        <v>43221</v>
      </c>
      <c r="B111" s="125">
        <v>35</v>
      </c>
      <c r="C111" s="73">
        <v>33</v>
      </c>
      <c r="D111" s="126">
        <f t="shared" si="5"/>
        <v>-2</v>
      </c>
      <c r="E111" s="121"/>
      <c r="F111" s="73"/>
      <c r="G111" s="129"/>
      <c r="H111" s="125"/>
      <c r="I111" s="73"/>
      <c r="J111" s="126"/>
      <c r="K111" s="132" t="str">
        <f t="shared" si="4"/>
        <v>Pass</v>
      </c>
      <c r="L111" s="73">
        <v>1159</v>
      </c>
      <c r="M111" s="68" t="s">
        <v>81</v>
      </c>
      <c r="N111" s="75"/>
      <c r="O111" s="76">
        <v>100</v>
      </c>
      <c r="P111" s="76">
        <v>50</v>
      </c>
    </row>
    <row r="112" spans="1:16">
      <c r="A112" s="119">
        <v>43225</v>
      </c>
      <c r="B112" s="125">
        <v>42</v>
      </c>
      <c r="C112" s="73">
        <v>44</v>
      </c>
      <c r="D112" s="126">
        <f t="shared" si="5"/>
        <v>2</v>
      </c>
      <c r="E112" s="121"/>
      <c r="F112" s="73"/>
      <c r="G112" s="129"/>
      <c r="H112" s="125"/>
      <c r="I112" s="73"/>
      <c r="J112" s="126"/>
      <c r="K112" s="132" t="str">
        <f t="shared" si="4"/>
        <v>Pass</v>
      </c>
      <c r="L112" s="73">
        <v>1519</v>
      </c>
      <c r="N112" s="75"/>
      <c r="O112" s="76">
        <v>100</v>
      </c>
      <c r="P112" s="76">
        <v>50</v>
      </c>
    </row>
    <row r="113" spans="1:16">
      <c r="A113" s="119">
        <v>43234</v>
      </c>
      <c r="B113" s="125">
        <v>37</v>
      </c>
      <c r="C113" s="73">
        <v>80</v>
      </c>
      <c r="D113" s="126">
        <f t="shared" si="5"/>
        <v>43</v>
      </c>
      <c r="E113" s="121"/>
      <c r="F113" s="73"/>
      <c r="G113" s="129"/>
      <c r="H113" s="125"/>
      <c r="I113" s="73"/>
      <c r="J113" s="126"/>
      <c r="K113" s="132" t="str">
        <f t="shared" si="4"/>
        <v>Pass</v>
      </c>
      <c r="L113" s="73">
        <v>1335</v>
      </c>
      <c r="N113" s="75"/>
      <c r="O113" s="76">
        <v>100</v>
      </c>
      <c r="P113" s="76">
        <v>50</v>
      </c>
    </row>
    <row r="114" spans="1:16">
      <c r="A114" s="119">
        <v>43238</v>
      </c>
      <c r="B114" s="125">
        <v>19</v>
      </c>
      <c r="C114" s="73">
        <v>17</v>
      </c>
      <c r="D114" s="126">
        <f t="shared" si="5"/>
        <v>-2</v>
      </c>
      <c r="E114" s="121"/>
      <c r="F114" s="73"/>
      <c r="G114" s="129"/>
      <c r="H114" s="125"/>
      <c r="I114" s="73"/>
      <c r="J114" s="126"/>
      <c r="K114" s="132" t="str">
        <f t="shared" si="4"/>
        <v>Pass</v>
      </c>
      <c r="L114" s="73">
        <v>1159</v>
      </c>
      <c r="M114" s="68" t="s">
        <v>82</v>
      </c>
      <c r="N114" s="75"/>
      <c r="O114" s="76">
        <v>100</v>
      </c>
      <c r="P114" s="76">
        <v>50</v>
      </c>
    </row>
    <row r="115" spans="1:16">
      <c r="A115" s="119">
        <v>43243</v>
      </c>
      <c r="B115" s="125">
        <v>32</v>
      </c>
      <c r="C115" s="73">
        <v>34</v>
      </c>
      <c r="D115" s="126">
        <f t="shared" si="5"/>
        <v>2</v>
      </c>
      <c r="E115" s="121"/>
      <c r="F115" s="73"/>
      <c r="G115" s="129"/>
      <c r="H115" s="125"/>
      <c r="I115" s="73"/>
      <c r="J115" s="126"/>
      <c r="K115" s="132" t="str">
        <f t="shared" si="4"/>
        <v>Pass</v>
      </c>
      <c r="L115" s="73">
        <v>1159</v>
      </c>
      <c r="M115" s="68" t="s">
        <v>83</v>
      </c>
      <c r="N115" s="75"/>
      <c r="O115" s="76">
        <v>100</v>
      </c>
      <c r="P115" s="76">
        <v>50</v>
      </c>
    </row>
    <row r="116" spans="1:16">
      <c r="A116" s="119">
        <v>43247</v>
      </c>
      <c r="B116" s="125">
        <v>51</v>
      </c>
      <c r="C116" s="73">
        <v>52</v>
      </c>
      <c r="D116" s="126">
        <f t="shared" si="5"/>
        <v>1</v>
      </c>
      <c r="E116" s="121"/>
      <c r="F116" s="73"/>
      <c r="G116" s="129"/>
      <c r="H116" s="125"/>
      <c r="I116" s="73"/>
      <c r="J116" s="126"/>
      <c r="K116" s="132" t="str">
        <f t="shared" si="4"/>
        <v>Pass</v>
      </c>
      <c r="L116" s="73">
        <v>121</v>
      </c>
      <c r="M116" s="68" t="s">
        <v>84</v>
      </c>
      <c r="N116" s="75" t="s">
        <v>85</v>
      </c>
      <c r="O116" s="76">
        <v>100</v>
      </c>
      <c r="P116" s="76">
        <v>50</v>
      </c>
    </row>
    <row r="117" spans="1:16">
      <c r="A117" s="119">
        <v>43252</v>
      </c>
      <c r="B117" s="125">
        <v>7</v>
      </c>
      <c r="C117" s="73">
        <v>66</v>
      </c>
      <c r="D117" s="126">
        <f t="shared" si="5"/>
        <v>59</v>
      </c>
      <c r="E117" s="121"/>
      <c r="F117" s="73"/>
      <c r="G117" s="129"/>
      <c r="H117" s="125"/>
      <c r="I117" s="73"/>
      <c r="J117" s="126"/>
      <c r="K117" s="132" t="str">
        <f t="shared" si="4"/>
        <v>Fail</v>
      </c>
      <c r="L117" s="73">
        <v>121</v>
      </c>
      <c r="M117" s="68" t="s">
        <v>86</v>
      </c>
      <c r="N117" s="75"/>
      <c r="O117" s="76">
        <v>100</v>
      </c>
      <c r="P117" s="76">
        <v>50</v>
      </c>
    </row>
    <row r="118" spans="1:16">
      <c r="A118" s="119">
        <v>43252</v>
      </c>
      <c r="B118" s="125">
        <v>4</v>
      </c>
      <c r="C118" s="73">
        <v>47</v>
      </c>
      <c r="D118" s="126">
        <f t="shared" si="5"/>
        <v>43</v>
      </c>
      <c r="E118" s="121"/>
      <c r="F118" s="73"/>
      <c r="G118" s="129"/>
      <c r="H118" s="125"/>
      <c r="I118" s="73"/>
      <c r="J118" s="126"/>
      <c r="K118" s="132" t="str">
        <f t="shared" si="4"/>
        <v>Pass</v>
      </c>
      <c r="L118" s="73">
        <v>121</v>
      </c>
      <c r="M118" s="68" t="s">
        <v>87</v>
      </c>
      <c r="N118" s="75"/>
      <c r="O118" s="76">
        <v>100</v>
      </c>
      <c r="P118" s="76">
        <v>50</v>
      </c>
    </row>
    <row r="119" spans="1:16">
      <c r="A119" s="119">
        <v>43256</v>
      </c>
      <c r="B119" s="125">
        <v>12</v>
      </c>
      <c r="C119" s="73">
        <v>181</v>
      </c>
      <c r="D119" s="126">
        <f t="shared" si="5"/>
        <v>169</v>
      </c>
      <c r="E119" s="121"/>
      <c r="F119" s="73"/>
      <c r="G119" s="129"/>
      <c r="H119" s="125"/>
      <c r="I119" s="73"/>
      <c r="J119" s="126"/>
      <c r="K119" s="132" t="str">
        <f t="shared" si="4"/>
        <v>Fail</v>
      </c>
      <c r="L119" s="73">
        <v>1335</v>
      </c>
      <c r="M119" s="68" t="s">
        <v>88</v>
      </c>
      <c r="N119" s="75"/>
      <c r="O119" s="76">
        <v>100</v>
      </c>
      <c r="P119" s="76">
        <v>50</v>
      </c>
    </row>
    <row r="120" spans="1:16">
      <c r="A120" s="119">
        <v>43256</v>
      </c>
      <c r="B120" s="125">
        <v>20</v>
      </c>
      <c r="C120" s="73">
        <v>36</v>
      </c>
      <c r="D120" s="126">
        <f t="shared" si="5"/>
        <v>16</v>
      </c>
      <c r="E120" s="121"/>
      <c r="F120" s="73"/>
      <c r="G120" s="129"/>
      <c r="H120" s="125"/>
      <c r="I120" s="73"/>
      <c r="J120" s="126"/>
      <c r="K120" s="132" t="str">
        <f t="shared" si="4"/>
        <v>Pass</v>
      </c>
      <c r="L120" s="73">
        <v>1335</v>
      </c>
      <c r="M120" s="68" t="s">
        <v>89</v>
      </c>
      <c r="N120" s="75"/>
      <c r="O120" s="76">
        <v>100</v>
      </c>
      <c r="P120" s="76">
        <v>50</v>
      </c>
    </row>
    <row r="121" spans="1:16">
      <c r="A121" s="119">
        <v>43260</v>
      </c>
      <c r="B121" s="125">
        <v>6</v>
      </c>
      <c r="C121" s="73">
        <v>37</v>
      </c>
      <c r="D121" s="126">
        <f t="shared" si="5"/>
        <v>31</v>
      </c>
      <c r="E121" s="121"/>
      <c r="F121" s="73"/>
      <c r="G121" s="129"/>
      <c r="H121" s="125"/>
      <c r="I121" s="73"/>
      <c r="J121" s="126"/>
      <c r="K121" s="132" t="str">
        <f t="shared" si="4"/>
        <v>Pass</v>
      </c>
      <c r="L121" s="73">
        <v>121</v>
      </c>
      <c r="M121" s="68" t="s">
        <v>90</v>
      </c>
      <c r="N121" s="75"/>
      <c r="O121" s="76">
        <v>100</v>
      </c>
      <c r="P121" s="76">
        <v>50</v>
      </c>
    </row>
    <row r="122" spans="1:16">
      <c r="A122" s="119">
        <v>43265</v>
      </c>
      <c r="B122" s="125">
        <v>39</v>
      </c>
      <c r="C122" s="73">
        <v>366</v>
      </c>
      <c r="D122" s="126">
        <f t="shared" si="5"/>
        <v>327</v>
      </c>
      <c r="E122" s="121"/>
      <c r="F122" s="73"/>
      <c r="G122" s="129"/>
      <c r="H122" s="125"/>
      <c r="I122" s="73"/>
      <c r="J122" s="126"/>
      <c r="K122" s="132" t="str">
        <f t="shared" si="4"/>
        <v>Fail</v>
      </c>
      <c r="L122" s="73">
        <v>1159</v>
      </c>
      <c r="M122" s="68" t="s">
        <v>91</v>
      </c>
      <c r="N122" s="75" t="s">
        <v>92</v>
      </c>
      <c r="O122" s="76">
        <v>100</v>
      </c>
      <c r="P122" s="76">
        <v>50</v>
      </c>
    </row>
    <row r="123" spans="1:16">
      <c r="A123" s="119">
        <v>43265</v>
      </c>
      <c r="B123" s="125">
        <v>2</v>
      </c>
      <c r="C123" s="73">
        <v>47</v>
      </c>
      <c r="D123" s="126">
        <f t="shared" si="5"/>
        <v>45</v>
      </c>
      <c r="E123" s="121"/>
      <c r="F123" s="73"/>
      <c r="G123" s="129"/>
      <c r="H123" s="125"/>
      <c r="I123" s="73"/>
      <c r="J123" s="126"/>
      <c r="K123" s="132" t="str">
        <f t="shared" si="4"/>
        <v>Pass</v>
      </c>
      <c r="L123" s="73">
        <v>1340</v>
      </c>
      <c r="M123" s="68" t="s">
        <v>93</v>
      </c>
      <c r="N123" s="75"/>
      <c r="O123" s="76">
        <v>100</v>
      </c>
      <c r="P123" s="76">
        <v>50</v>
      </c>
    </row>
    <row r="124" spans="1:16">
      <c r="A124" s="119">
        <v>43276</v>
      </c>
      <c r="B124" s="125">
        <v>10</v>
      </c>
      <c r="C124" s="73">
        <v>15</v>
      </c>
      <c r="D124" s="126">
        <f t="shared" si="5"/>
        <v>5</v>
      </c>
      <c r="E124" s="121"/>
      <c r="F124" s="73"/>
      <c r="G124" s="129"/>
      <c r="H124" s="125"/>
      <c r="I124" s="73"/>
      <c r="J124" s="126"/>
      <c r="K124" s="132" t="str">
        <f t="shared" si="4"/>
        <v>Pass</v>
      </c>
      <c r="L124" s="73">
        <v>1335</v>
      </c>
      <c r="M124" s="68" t="s">
        <v>94</v>
      </c>
      <c r="N124" s="75"/>
      <c r="O124" s="76">
        <v>100</v>
      </c>
      <c r="P124" s="76">
        <v>50</v>
      </c>
    </row>
    <row r="125" spans="1:16">
      <c r="A125" s="119">
        <v>43276</v>
      </c>
      <c r="B125" s="125">
        <v>38</v>
      </c>
      <c r="C125" s="73">
        <v>43</v>
      </c>
      <c r="D125" s="126">
        <f t="shared" si="5"/>
        <v>5</v>
      </c>
      <c r="E125" s="121"/>
      <c r="F125" s="73"/>
      <c r="G125" s="129"/>
      <c r="H125" s="125"/>
      <c r="I125" s="73"/>
      <c r="J125" s="126"/>
      <c r="K125" s="132" t="str">
        <f t="shared" si="4"/>
        <v>Pass</v>
      </c>
      <c r="L125" s="73">
        <v>1335</v>
      </c>
      <c r="M125" s="68" t="s">
        <v>95</v>
      </c>
      <c r="N125" s="75" t="s">
        <v>96</v>
      </c>
      <c r="O125" s="76">
        <v>100</v>
      </c>
      <c r="P125" s="76">
        <v>50</v>
      </c>
    </row>
    <row r="126" spans="1:16">
      <c r="A126" s="119">
        <v>43280</v>
      </c>
      <c r="B126" s="125">
        <v>41</v>
      </c>
      <c r="C126" s="73">
        <v>69</v>
      </c>
      <c r="D126" s="126">
        <f t="shared" si="5"/>
        <v>28</v>
      </c>
      <c r="E126" s="121"/>
      <c r="F126" s="73"/>
      <c r="G126" s="129"/>
      <c r="H126" s="125"/>
      <c r="I126" s="73"/>
      <c r="J126" s="126"/>
      <c r="K126" s="132" t="str">
        <f t="shared" si="4"/>
        <v>Pass</v>
      </c>
      <c r="L126" s="73">
        <v>121</v>
      </c>
      <c r="N126" s="75"/>
      <c r="O126" s="76">
        <v>100</v>
      </c>
      <c r="P126" s="76">
        <v>50</v>
      </c>
    </row>
    <row r="127" spans="1:16">
      <c r="A127" s="119">
        <v>43284</v>
      </c>
      <c r="B127" s="125">
        <v>24</v>
      </c>
      <c r="C127" s="73">
        <v>42</v>
      </c>
      <c r="D127" s="126">
        <f t="shared" si="5"/>
        <v>18</v>
      </c>
      <c r="E127" s="121"/>
      <c r="F127" s="73"/>
      <c r="G127" s="129"/>
      <c r="H127" s="125"/>
      <c r="I127" s="73"/>
      <c r="J127" s="126"/>
      <c r="K127" s="132" t="str">
        <f t="shared" si="4"/>
        <v>Pass</v>
      </c>
      <c r="L127" s="73">
        <v>1159</v>
      </c>
      <c r="M127" s="68" t="s">
        <v>97</v>
      </c>
      <c r="N127" s="68" t="s">
        <v>98</v>
      </c>
      <c r="O127" s="76">
        <v>100</v>
      </c>
      <c r="P127" s="76">
        <v>50</v>
      </c>
    </row>
    <row r="128" spans="1:16">
      <c r="A128" s="119">
        <v>43288</v>
      </c>
      <c r="B128" s="125">
        <v>3</v>
      </c>
      <c r="C128" s="73">
        <v>12</v>
      </c>
      <c r="D128" s="126">
        <f t="shared" si="5"/>
        <v>9</v>
      </c>
      <c r="E128" s="121"/>
      <c r="F128" s="73"/>
      <c r="G128" s="129"/>
      <c r="H128" s="125"/>
      <c r="I128" s="73"/>
      <c r="J128" s="126"/>
      <c r="K128" s="132" t="str">
        <f t="shared" si="4"/>
        <v>Pass</v>
      </c>
      <c r="L128" s="73">
        <v>1428</v>
      </c>
      <c r="M128" s="75" t="s">
        <v>23</v>
      </c>
      <c r="N128" s="75"/>
      <c r="O128" s="76">
        <v>100</v>
      </c>
      <c r="P128" s="76">
        <v>50</v>
      </c>
    </row>
    <row r="129" spans="1:16">
      <c r="A129" s="119">
        <v>43293</v>
      </c>
      <c r="B129" s="125">
        <v>13</v>
      </c>
      <c r="C129" s="73">
        <v>11</v>
      </c>
      <c r="D129" s="126">
        <f t="shared" si="5"/>
        <v>-2</v>
      </c>
      <c r="E129" s="121"/>
      <c r="F129" s="73"/>
      <c r="G129" s="129"/>
      <c r="H129" s="125"/>
      <c r="I129" s="73"/>
      <c r="J129" s="126"/>
      <c r="K129" s="132" t="str">
        <f t="shared" si="4"/>
        <v>Pass</v>
      </c>
      <c r="L129" s="73">
        <v>121</v>
      </c>
      <c r="M129" s="68" t="s">
        <v>99</v>
      </c>
      <c r="N129" s="75"/>
      <c r="O129" s="76">
        <v>100</v>
      </c>
      <c r="P129" s="76">
        <v>50</v>
      </c>
    </row>
    <row r="130" spans="1:16">
      <c r="A130" s="119">
        <v>43297</v>
      </c>
      <c r="B130" s="125">
        <v>38</v>
      </c>
      <c r="C130" s="73">
        <v>39</v>
      </c>
      <c r="D130" s="126">
        <f t="shared" si="5"/>
        <v>1</v>
      </c>
      <c r="E130" s="121"/>
      <c r="F130" s="73"/>
      <c r="G130" s="129"/>
      <c r="H130" s="125"/>
      <c r="I130" s="73"/>
      <c r="J130" s="126"/>
      <c r="K130" s="132" t="str">
        <f t="shared" si="4"/>
        <v>Pass</v>
      </c>
      <c r="L130" s="73">
        <v>121</v>
      </c>
      <c r="M130" s="68" t="s">
        <v>100</v>
      </c>
      <c r="N130" s="75"/>
      <c r="O130" s="76">
        <v>100</v>
      </c>
      <c r="P130" s="76">
        <v>50</v>
      </c>
    </row>
    <row r="131" spans="1:16">
      <c r="A131" s="119">
        <v>43301</v>
      </c>
      <c r="B131" s="125">
        <v>28</v>
      </c>
      <c r="C131" s="73">
        <v>23</v>
      </c>
      <c r="D131" s="126">
        <f t="shared" si="5"/>
        <v>-5</v>
      </c>
      <c r="E131" s="121"/>
      <c r="F131" s="73"/>
      <c r="G131" s="129"/>
      <c r="H131" s="125"/>
      <c r="I131" s="73"/>
      <c r="J131" s="126"/>
      <c r="K131" s="132" t="str">
        <f t="shared" si="4"/>
        <v>Pass</v>
      </c>
      <c r="L131" s="73">
        <v>1340</v>
      </c>
      <c r="M131" s="68" t="s">
        <v>101</v>
      </c>
      <c r="N131" s="75"/>
      <c r="O131" s="76">
        <v>100</v>
      </c>
      <c r="P131" s="76">
        <v>50</v>
      </c>
    </row>
    <row r="132" spans="1:16">
      <c r="A132" s="119">
        <v>43304</v>
      </c>
      <c r="B132" s="125">
        <v>38</v>
      </c>
      <c r="C132" s="73">
        <v>27</v>
      </c>
      <c r="D132" s="126">
        <f t="shared" si="5"/>
        <v>-11</v>
      </c>
      <c r="E132" s="121"/>
      <c r="F132" s="73"/>
      <c r="G132" s="129"/>
      <c r="H132" s="125"/>
      <c r="I132" s="73"/>
      <c r="J132" s="126"/>
      <c r="K132" s="132" t="str">
        <f t="shared" si="4"/>
        <v>Pass</v>
      </c>
      <c r="L132" s="73">
        <v>1340</v>
      </c>
      <c r="M132" s="68" t="s">
        <v>102</v>
      </c>
      <c r="N132" s="75"/>
      <c r="O132" s="76">
        <v>100</v>
      </c>
      <c r="P132" s="76">
        <v>50</v>
      </c>
    </row>
    <row r="133" spans="1:16">
      <c r="A133" s="119">
        <v>43308</v>
      </c>
      <c r="B133" s="125">
        <v>28</v>
      </c>
      <c r="C133" s="73">
        <v>16</v>
      </c>
      <c r="D133" s="126">
        <f t="shared" si="5"/>
        <v>-12</v>
      </c>
      <c r="E133" s="121"/>
      <c r="F133" s="73"/>
      <c r="G133" s="129"/>
      <c r="H133" s="125"/>
      <c r="I133" s="73"/>
      <c r="J133" s="126"/>
      <c r="K133" s="132" t="str">
        <f t="shared" si="4"/>
        <v>Pass</v>
      </c>
      <c r="L133" s="73">
        <v>121</v>
      </c>
      <c r="M133" s="68" t="s">
        <v>103</v>
      </c>
      <c r="N133" s="75"/>
      <c r="O133" s="76">
        <v>100</v>
      </c>
      <c r="P133" s="76">
        <v>50</v>
      </c>
    </row>
    <row r="134" spans="1:16">
      <c r="A134" s="119">
        <v>43312</v>
      </c>
      <c r="B134" s="125">
        <v>13</v>
      </c>
      <c r="C134" s="73">
        <v>22</v>
      </c>
      <c r="D134" s="126">
        <f t="shared" si="5"/>
        <v>9</v>
      </c>
      <c r="E134" s="121"/>
      <c r="F134" s="73"/>
      <c r="G134" s="129"/>
      <c r="H134" s="125"/>
      <c r="I134" s="73"/>
      <c r="J134" s="126"/>
      <c r="K134" s="132" t="str">
        <f t="shared" si="4"/>
        <v>Pass</v>
      </c>
      <c r="L134" s="73">
        <v>1428</v>
      </c>
      <c r="M134" s="68" t="s">
        <v>23</v>
      </c>
      <c r="N134" s="75"/>
      <c r="O134" s="76">
        <v>100</v>
      </c>
      <c r="P134" s="76">
        <v>50</v>
      </c>
    </row>
    <row r="135" spans="1:16">
      <c r="A135" s="119">
        <v>43317</v>
      </c>
      <c r="B135" s="125">
        <v>13</v>
      </c>
      <c r="C135" s="73">
        <v>39</v>
      </c>
      <c r="D135" s="126">
        <f t="shared" si="5"/>
        <v>26</v>
      </c>
      <c r="E135" s="121"/>
      <c r="F135" s="73"/>
      <c r="G135" s="129"/>
      <c r="H135" s="125"/>
      <c r="I135" s="73"/>
      <c r="J135" s="126"/>
      <c r="K135" s="132" t="str">
        <f t="shared" si="4"/>
        <v>Pass</v>
      </c>
      <c r="L135" s="73">
        <v>1340</v>
      </c>
      <c r="M135" s="68" t="s">
        <v>23</v>
      </c>
      <c r="N135" s="75"/>
      <c r="O135" s="76">
        <v>100</v>
      </c>
      <c r="P135" s="76">
        <v>50</v>
      </c>
    </row>
    <row r="136" spans="1:16">
      <c r="A136" s="119">
        <v>43321</v>
      </c>
      <c r="B136" s="125">
        <v>4</v>
      </c>
      <c r="C136" s="73">
        <v>17</v>
      </c>
      <c r="D136" s="126">
        <f t="shared" si="5"/>
        <v>13</v>
      </c>
      <c r="E136" s="121"/>
      <c r="F136" s="73"/>
      <c r="G136" s="129"/>
      <c r="H136" s="125"/>
      <c r="I136" s="73"/>
      <c r="J136" s="126"/>
      <c r="K136" s="132" t="str">
        <f t="shared" si="4"/>
        <v>Pass</v>
      </c>
      <c r="L136" s="73">
        <v>74</v>
      </c>
      <c r="M136" s="68" t="s">
        <v>23</v>
      </c>
      <c r="N136" s="75"/>
      <c r="O136" s="76">
        <v>100</v>
      </c>
      <c r="P136" s="76">
        <v>50</v>
      </c>
    </row>
    <row r="137" spans="1:16">
      <c r="A137" s="119">
        <v>43326</v>
      </c>
      <c r="B137" s="125">
        <v>4</v>
      </c>
      <c r="C137" s="73">
        <v>18</v>
      </c>
      <c r="D137" s="126">
        <f t="shared" si="5"/>
        <v>14</v>
      </c>
      <c r="E137" s="121"/>
      <c r="F137" s="73"/>
      <c r="G137" s="129"/>
      <c r="H137" s="125"/>
      <c r="I137" s="73"/>
      <c r="J137" s="126"/>
      <c r="K137" s="132" t="str">
        <f t="shared" si="4"/>
        <v>Pass</v>
      </c>
      <c r="L137" s="73">
        <v>1159</v>
      </c>
      <c r="M137" s="68" t="s">
        <v>104</v>
      </c>
      <c r="N137" s="75"/>
      <c r="O137" s="76">
        <v>100</v>
      </c>
      <c r="P137" s="76">
        <v>50</v>
      </c>
    </row>
    <row r="138" spans="1:16">
      <c r="A138" s="119">
        <v>43332</v>
      </c>
      <c r="B138" s="125">
        <v>2</v>
      </c>
      <c r="C138" s="73">
        <v>7</v>
      </c>
      <c r="D138" s="126">
        <f t="shared" si="5"/>
        <v>5</v>
      </c>
      <c r="E138" s="121"/>
      <c r="F138" s="73"/>
      <c r="G138" s="129"/>
      <c r="H138" s="125"/>
      <c r="I138" s="73"/>
      <c r="J138" s="126"/>
      <c r="K138" s="132" t="str">
        <f t="shared" si="4"/>
        <v>Pass</v>
      </c>
      <c r="L138" s="73">
        <v>1340</v>
      </c>
      <c r="M138" s="68" t="s">
        <v>105</v>
      </c>
      <c r="N138" s="75"/>
      <c r="O138" s="76">
        <v>100</v>
      </c>
      <c r="P138" s="76">
        <v>50</v>
      </c>
    </row>
    <row r="139" spans="1:16">
      <c r="A139" s="119">
        <v>43336</v>
      </c>
      <c r="B139" s="125">
        <v>7</v>
      </c>
      <c r="C139" s="73">
        <v>23</v>
      </c>
      <c r="D139" s="126">
        <f t="shared" si="5"/>
        <v>16</v>
      </c>
      <c r="E139" s="121"/>
      <c r="F139" s="73"/>
      <c r="G139" s="129"/>
      <c r="H139" s="125"/>
      <c r="I139" s="73"/>
      <c r="J139" s="126"/>
      <c r="K139" s="132" t="str">
        <f t="shared" si="4"/>
        <v>Pass</v>
      </c>
      <c r="L139" s="73" t="s">
        <v>106</v>
      </c>
      <c r="M139" s="68" t="s">
        <v>107</v>
      </c>
      <c r="N139" s="75"/>
      <c r="O139" s="76">
        <v>100</v>
      </c>
      <c r="P139" s="76">
        <v>50</v>
      </c>
    </row>
    <row r="140" spans="1:16">
      <c r="A140" s="119">
        <v>43339</v>
      </c>
      <c r="B140" s="125">
        <v>44</v>
      </c>
      <c r="C140" s="73">
        <v>45</v>
      </c>
      <c r="D140" s="126">
        <f t="shared" si="5"/>
        <v>1</v>
      </c>
      <c r="E140" s="121"/>
      <c r="F140" s="73"/>
      <c r="G140" s="129"/>
      <c r="H140" s="125"/>
      <c r="I140" s="73"/>
      <c r="J140" s="126"/>
      <c r="K140" s="132" t="str">
        <f t="shared" si="4"/>
        <v>Pass</v>
      </c>
      <c r="L140" s="73" t="s">
        <v>108</v>
      </c>
      <c r="M140" s="68" t="s">
        <v>109</v>
      </c>
      <c r="N140" s="75"/>
      <c r="O140" s="76">
        <v>100</v>
      </c>
      <c r="P140" s="76">
        <v>50</v>
      </c>
    </row>
    <row r="141" spans="1:16">
      <c r="A141" s="119">
        <v>43344</v>
      </c>
      <c r="B141" s="125">
        <v>41</v>
      </c>
      <c r="C141" s="73">
        <v>50</v>
      </c>
      <c r="D141" s="126">
        <f t="shared" si="5"/>
        <v>9</v>
      </c>
      <c r="E141" s="121"/>
      <c r="F141" s="73"/>
      <c r="G141" s="129"/>
      <c r="H141" s="125"/>
      <c r="I141" s="73"/>
      <c r="J141" s="126"/>
      <c r="K141" s="132" t="str">
        <f t="shared" si="4"/>
        <v>Pass</v>
      </c>
      <c r="L141" s="73">
        <v>1335</v>
      </c>
      <c r="M141" s="68" t="s">
        <v>23</v>
      </c>
      <c r="N141" s="75"/>
      <c r="O141" s="76">
        <v>100</v>
      </c>
      <c r="P141" s="76">
        <v>50</v>
      </c>
    </row>
    <row r="142" spans="1:16">
      <c r="A142" s="119">
        <v>43348</v>
      </c>
      <c r="B142" s="125">
        <v>62</v>
      </c>
      <c r="C142" s="73">
        <v>79</v>
      </c>
      <c r="D142" s="126">
        <f t="shared" si="5"/>
        <v>17</v>
      </c>
      <c r="E142" s="121"/>
      <c r="F142" s="73"/>
      <c r="G142" s="129"/>
      <c r="H142" s="125"/>
      <c r="I142" s="73"/>
      <c r="J142" s="126"/>
      <c r="K142" s="132" t="str">
        <f t="shared" si="4"/>
        <v>Pass</v>
      </c>
      <c r="L142" s="73">
        <v>1428</v>
      </c>
      <c r="N142" s="75"/>
      <c r="O142" s="76">
        <v>100</v>
      </c>
      <c r="P142" s="76">
        <v>50</v>
      </c>
    </row>
    <row r="143" spans="1:16">
      <c r="A143" s="119">
        <v>43352</v>
      </c>
      <c r="B143" s="125">
        <v>19</v>
      </c>
      <c r="C143" s="73">
        <v>17</v>
      </c>
      <c r="D143" s="126">
        <f t="shared" si="5"/>
        <v>-2</v>
      </c>
      <c r="E143" s="121"/>
      <c r="F143" s="73"/>
      <c r="G143" s="129"/>
      <c r="H143" s="125"/>
      <c r="I143" s="73"/>
      <c r="J143" s="126"/>
      <c r="K143" s="132" t="str">
        <f t="shared" si="4"/>
        <v>Pass</v>
      </c>
      <c r="L143" s="73">
        <v>74</v>
      </c>
      <c r="N143" s="75"/>
      <c r="O143" s="76">
        <v>100</v>
      </c>
      <c r="P143" s="76">
        <v>50</v>
      </c>
    </row>
    <row r="144" spans="1:16">
      <c r="A144" s="119">
        <v>43356</v>
      </c>
      <c r="B144" s="125">
        <v>14</v>
      </c>
      <c r="C144" s="73">
        <v>35</v>
      </c>
      <c r="D144" s="126">
        <f t="shared" si="5"/>
        <v>21</v>
      </c>
      <c r="E144" s="121"/>
      <c r="F144" s="73"/>
      <c r="G144" s="129"/>
      <c r="H144" s="125"/>
      <c r="I144" s="73"/>
      <c r="J144" s="126"/>
      <c r="K144" s="132" t="str">
        <f t="shared" si="4"/>
        <v>Pass</v>
      </c>
      <c r="L144" s="73">
        <v>121</v>
      </c>
      <c r="N144" s="75"/>
      <c r="O144" s="76">
        <v>100</v>
      </c>
      <c r="P144" s="76">
        <v>50</v>
      </c>
    </row>
    <row r="145" spans="1:16">
      <c r="A145" s="119">
        <v>43360</v>
      </c>
      <c r="B145" s="125">
        <v>21</v>
      </c>
      <c r="C145" s="73">
        <v>29</v>
      </c>
      <c r="D145" s="126">
        <f t="shared" si="5"/>
        <v>8</v>
      </c>
      <c r="E145" s="121"/>
      <c r="F145" s="73"/>
      <c r="G145" s="129"/>
      <c r="H145" s="125"/>
      <c r="I145" s="73"/>
      <c r="J145" s="126"/>
      <c r="K145" s="132" t="str">
        <f t="shared" si="4"/>
        <v>Pass</v>
      </c>
      <c r="L145" s="73">
        <v>1340</v>
      </c>
      <c r="M145" s="68" t="s">
        <v>23</v>
      </c>
      <c r="N145" s="75"/>
      <c r="O145" s="76">
        <v>100</v>
      </c>
      <c r="P145" s="76">
        <v>50</v>
      </c>
    </row>
    <row r="146" spans="1:16">
      <c r="A146" s="119">
        <v>43364</v>
      </c>
      <c r="B146" s="125">
        <v>66</v>
      </c>
      <c r="C146" s="73">
        <v>99</v>
      </c>
      <c r="D146" s="126">
        <f t="shared" si="5"/>
        <v>33</v>
      </c>
      <c r="E146" s="121"/>
      <c r="F146" s="73"/>
      <c r="G146" s="129"/>
      <c r="H146" s="125"/>
      <c r="I146" s="73"/>
      <c r="J146" s="126"/>
      <c r="K146" s="132" t="str">
        <f t="shared" si="4"/>
        <v>Pass</v>
      </c>
      <c r="L146" s="73">
        <v>102</v>
      </c>
      <c r="M146" s="75" t="s">
        <v>110</v>
      </c>
      <c r="N146" s="75"/>
      <c r="O146" s="76">
        <v>100</v>
      </c>
      <c r="P146" s="76">
        <v>50</v>
      </c>
    </row>
    <row r="147" spans="1:16">
      <c r="A147" s="119">
        <v>43368</v>
      </c>
      <c r="B147" s="125">
        <v>19</v>
      </c>
      <c r="C147" s="73">
        <v>23</v>
      </c>
      <c r="D147" s="126">
        <f t="shared" si="5"/>
        <v>4</v>
      </c>
      <c r="E147" s="121"/>
      <c r="F147" s="73"/>
      <c r="G147" s="129"/>
      <c r="H147" s="125"/>
      <c r="I147" s="73"/>
      <c r="J147" s="126"/>
      <c r="K147" s="132" t="str">
        <f t="shared" ref="K147:K166" si="6">IF((D147=""),"",IF(D147&lt;=50,"Pass","Fail"))</f>
        <v>Pass</v>
      </c>
      <c r="L147" s="73">
        <v>1340</v>
      </c>
      <c r="N147" s="75"/>
      <c r="O147" s="76">
        <v>100</v>
      </c>
      <c r="P147" s="76">
        <v>50</v>
      </c>
    </row>
    <row r="148" spans="1:16">
      <c r="A148" s="119">
        <v>43372</v>
      </c>
      <c r="B148" s="125">
        <v>1</v>
      </c>
      <c r="C148" s="73">
        <v>17</v>
      </c>
      <c r="D148" s="126">
        <f t="shared" si="5"/>
        <v>16</v>
      </c>
      <c r="E148" s="121"/>
      <c r="F148" s="73"/>
      <c r="G148" s="129"/>
      <c r="H148" s="125"/>
      <c r="I148" s="73"/>
      <c r="J148" s="126"/>
      <c r="K148" s="132" t="str">
        <f t="shared" si="6"/>
        <v>Pass</v>
      </c>
      <c r="L148" s="73">
        <v>1335</v>
      </c>
      <c r="N148" s="75"/>
      <c r="O148" s="76">
        <v>100</v>
      </c>
      <c r="P148" s="76">
        <v>50</v>
      </c>
    </row>
    <row r="149" spans="1:16">
      <c r="A149" s="119">
        <v>43376</v>
      </c>
      <c r="B149" s="125">
        <v>11</v>
      </c>
      <c r="C149" s="73">
        <v>241</v>
      </c>
      <c r="D149" s="126">
        <f t="shared" si="5"/>
        <v>230</v>
      </c>
      <c r="E149" s="121"/>
      <c r="F149" s="73"/>
      <c r="G149" s="129"/>
      <c r="H149" s="125"/>
      <c r="I149" s="73"/>
      <c r="J149" s="126"/>
      <c r="K149" s="132" t="str">
        <f t="shared" si="6"/>
        <v>Fail</v>
      </c>
      <c r="L149" s="73">
        <v>74</v>
      </c>
      <c r="N149" s="75"/>
      <c r="O149" s="76">
        <v>100</v>
      </c>
      <c r="P149" s="76">
        <v>50</v>
      </c>
    </row>
    <row r="150" spans="1:16">
      <c r="A150" s="119">
        <v>43376</v>
      </c>
      <c r="B150" s="125">
        <v>33</v>
      </c>
      <c r="C150" s="73">
        <v>49</v>
      </c>
      <c r="D150" s="126">
        <f t="shared" si="5"/>
        <v>16</v>
      </c>
      <c r="E150" s="121"/>
      <c r="F150" s="73"/>
      <c r="G150" s="129"/>
      <c r="H150" s="125"/>
      <c r="I150" s="73"/>
      <c r="J150" s="126"/>
      <c r="K150" s="132" t="str">
        <f>IF((D150=""),"",IF(D150&lt;=50,"Pass","Fail"))</f>
        <v>Pass</v>
      </c>
      <c r="L150" s="73">
        <v>74</v>
      </c>
      <c r="N150" s="75"/>
      <c r="O150" s="76">
        <v>100</v>
      </c>
      <c r="P150" s="76">
        <v>50</v>
      </c>
    </row>
    <row r="151" spans="1:16">
      <c r="A151" s="119">
        <v>43381</v>
      </c>
      <c r="B151" s="125">
        <v>20</v>
      </c>
      <c r="C151" s="73">
        <v>21</v>
      </c>
      <c r="D151" s="126">
        <f t="shared" si="5"/>
        <v>1</v>
      </c>
      <c r="E151" s="121"/>
      <c r="F151" s="73"/>
      <c r="G151" s="129"/>
      <c r="H151" s="125"/>
      <c r="I151" s="73"/>
      <c r="J151" s="126"/>
      <c r="K151" s="132" t="str">
        <f t="shared" si="6"/>
        <v>Pass</v>
      </c>
      <c r="L151" s="73">
        <v>1335</v>
      </c>
      <c r="N151" s="75"/>
      <c r="O151" s="76">
        <v>100</v>
      </c>
      <c r="P151" s="76">
        <v>50</v>
      </c>
    </row>
    <row r="152" spans="1:16">
      <c r="A152" s="119">
        <v>43385</v>
      </c>
      <c r="B152" s="125">
        <v>22</v>
      </c>
      <c r="C152" s="73">
        <v>46</v>
      </c>
      <c r="D152" s="126">
        <f t="shared" si="5"/>
        <v>24</v>
      </c>
      <c r="E152" s="121"/>
      <c r="F152" s="73"/>
      <c r="G152" s="129"/>
      <c r="H152" s="125"/>
      <c r="I152" s="73"/>
      <c r="J152" s="126"/>
      <c r="K152" s="132" t="str">
        <f t="shared" si="6"/>
        <v>Pass</v>
      </c>
      <c r="L152" s="73">
        <v>1335</v>
      </c>
      <c r="N152" s="75"/>
      <c r="O152" s="76">
        <v>100</v>
      </c>
      <c r="P152" s="76">
        <v>50</v>
      </c>
    </row>
    <row r="153" spans="1:16">
      <c r="A153" s="119">
        <v>43390</v>
      </c>
      <c r="B153" s="125">
        <v>118</v>
      </c>
      <c r="C153" s="73">
        <v>112</v>
      </c>
      <c r="D153" s="126">
        <f t="shared" si="5"/>
        <v>-6</v>
      </c>
      <c r="E153" s="121"/>
      <c r="F153" s="73"/>
      <c r="G153" s="129"/>
      <c r="H153" s="125"/>
      <c r="I153" s="73"/>
      <c r="J153" s="126"/>
      <c r="K153" s="132" t="str">
        <f t="shared" si="6"/>
        <v>Pass</v>
      </c>
      <c r="L153" s="73">
        <v>121</v>
      </c>
      <c r="M153" s="75" t="s">
        <v>111</v>
      </c>
      <c r="N153" s="75"/>
      <c r="O153" s="76">
        <v>100</v>
      </c>
      <c r="P153" s="76">
        <v>50</v>
      </c>
    </row>
    <row r="154" spans="1:16">
      <c r="A154" s="119">
        <v>43390</v>
      </c>
      <c r="B154" s="125">
        <v>50</v>
      </c>
      <c r="C154" s="73">
        <v>67</v>
      </c>
      <c r="D154" s="126">
        <f t="shared" si="5"/>
        <v>17</v>
      </c>
      <c r="E154" s="121"/>
      <c r="F154" s="73"/>
      <c r="G154" s="129"/>
      <c r="H154" s="125"/>
      <c r="I154" s="73"/>
      <c r="J154" s="126"/>
      <c r="K154" s="132" t="str">
        <f t="shared" si="6"/>
        <v>Pass</v>
      </c>
      <c r="L154" s="73">
        <v>1335</v>
      </c>
      <c r="M154" s="75" t="s">
        <v>112</v>
      </c>
      <c r="N154" s="75"/>
      <c r="O154" s="76">
        <v>100</v>
      </c>
      <c r="P154" s="76">
        <v>50</v>
      </c>
    </row>
    <row r="155" spans="1:16">
      <c r="A155" s="119">
        <v>43399</v>
      </c>
      <c r="B155" s="125">
        <v>37</v>
      </c>
      <c r="C155" s="73">
        <v>79</v>
      </c>
      <c r="D155" s="126">
        <f t="shared" si="5"/>
        <v>42</v>
      </c>
      <c r="E155" s="121"/>
      <c r="F155" s="73"/>
      <c r="G155" s="129"/>
      <c r="H155" s="125"/>
      <c r="I155" s="73"/>
      <c r="J155" s="126"/>
      <c r="K155" s="132" t="str">
        <f t="shared" si="6"/>
        <v>Pass</v>
      </c>
      <c r="L155" s="73">
        <v>1159</v>
      </c>
      <c r="M155" s="75" t="s">
        <v>113</v>
      </c>
      <c r="N155" s="75"/>
      <c r="O155" s="76">
        <v>100</v>
      </c>
      <c r="P155" s="76">
        <v>50</v>
      </c>
    </row>
    <row r="156" spans="1:16">
      <c r="A156" s="119">
        <v>43403</v>
      </c>
      <c r="B156" s="125">
        <v>22</v>
      </c>
      <c r="C156" s="73">
        <v>71</v>
      </c>
      <c r="D156" s="126">
        <f t="shared" si="5"/>
        <v>49</v>
      </c>
      <c r="E156" s="121"/>
      <c r="F156" s="73"/>
      <c r="G156" s="129"/>
      <c r="H156" s="125"/>
      <c r="I156" s="73"/>
      <c r="J156" s="126"/>
      <c r="K156" s="132" t="str">
        <f t="shared" si="6"/>
        <v>Pass</v>
      </c>
      <c r="L156" s="73">
        <v>64</v>
      </c>
      <c r="N156" s="75"/>
      <c r="O156" s="76">
        <v>100</v>
      </c>
      <c r="P156" s="76">
        <v>50</v>
      </c>
    </row>
    <row r="157" spans="1:16">
      <c r="A157" s="119">
        <v>43403</v>
      </c>
      <c r="B157" s="125">
        <v>48</v>
      </c>
      <c r="C157" s="73">
        <v>50</v>
      </c>
      <c r="D157" s="126">
        <f t="shared" si="5"/>
        <v>2</v>
      </c>
      <c r="E157" s="121"/>
      <c r="F157" s="73"/>
      <c r="G157" s="129"/>
      <c r="H157" s="125"/>
      <c r="I157" s="73"/>
      <c r="J157" s="126"/>
      <c r="K157" s="132" t="str">
        <f t="shared" si="6"/>
        <v>Pass</v>
      </c>
      <c r="L157" s="73">
        <v>1335</v>
      </c>
      <c r="M157" s="75" t="s">
        <v>114</v>
      </c>
      <c r="N157" s="75"/>
      <c r="O157" s="76">
        <v>100</v>
      </c>
      <c r="P157" s="76">
        <v>50</v>
      </c>
    </row>
    <row r="158" spans="1:16">
      <c r="A158" s="119">
        <v>43413</v>
      </c>
      <c r="B158" s="125">
        <v>40</v>
      </c>
      <c r="C158" s="73">
        <v>49</v>
      </c>
      <c r="D158" s="126">
        <f t="shared" si="5"/>
        <v>9</v>
      </c>
      <c r="E158" s="121"/>
      <c r="F158" s="73"/>
      <c r="G158" s="129"/>
      <c r="H158" s="125"/>
      <c r="I158" s="73"/>
      <c r="J158" s="126"/>
      <c r="K158" s="132" t="str">
        <f t="shared" si="6"/>
        <v>Pass</v>
      </c>
      <c r="L158" s="73">
        <v>1159</v>
      </c>
      <c r="M158" s="75" t="s">
        <v>115</v>
      </c>
      <c r="N158" s="75"/>
      <c r="O158" s="76">
        <v>100</v>
      </c>
      <c r="P158" s="76">
        <v>50</v>
      </c>
    </row>
    <row r="159" spans="1:16">
      <c r="A159" s="119">
        <v>43418</v>
      </c>
      <c r="B159" s="125">
        <v>69</v>
      </c>
      <c r="C159" s="73">
        <v>74</v>
      </c>
      <c r="D159" s="126">
        <f t="shared" si="5"/>
        <v>5</v>
      </c>
      <c r="E159" s="121"/>
      <c r="F159" s="73"/>
      <c r="G159" s="129"/>
      <c r="H159" s="125"/>
      <c r="I159" s="73"/>
      <c r="J159" s="126"/>
      <c r="K159" s="132" t="str">
        <f t="shared" si="6"/>
        <v>Pass</v>
      </c>
      <c r="L159" s="73">
        <v>121</v>
      </c>
      <c r="M159" s="68" t="s">
        <v>116</v>
      </c>
      <c r="N159" s="75"/>
      <c r="O159" s="76">
        <v>100</v>
      </c>
      <c r="P159" s="76">
        <v>50</v>
      </c>
    </row>
    <row r="160" spans="1:16">
      <c r="A160" s="119">
        <v>43424</v>
      </c>
      <c r="B160" s="125">
        <v>36</v>
      </c>
      <c r="C160" s="73">
        <v>43</v>
      </c>
      <c r="D160" s="126">
        <f t="shared" si="5"/>
        <v>7</v>
      </c>
      <c r="E160" s="121"/>
      <c r="F160" s="73"/>
      <c r="G160" s="129"/>
      <c r="H160" s="125"/>
      <c r="I160" s="73"/>
      <c r="J160" s="126"/>
      <c r="K160" s="132" t="str">
        <f t="shared" si="6"/>
        <v>Pass</v>
      </c>
      <c r="L160" s="73">
        <v>1159</v>
      </c>
      <c r="M160" s="68" t="s">
        <v>117</v>
      </c>
      <c r="N160" s="75"/>
      <c r="O160" s="76">
        <v>100</v>
      </c>
      <c r="P160" s="76">
        <v>50</v>
      </c>
    </row>
    <row r="161" spans="1:16">
      <c r="A161" s="119">
        <v>43428</v>
      </c>
      <c r="B161" s="125">
        <v>31</v>
      </c>
      <c r="C161" s="73">
        <v>64</v>
      </c>
      <c r="D161" s="126">
        <f t="shared" si="5"/>
        <v>33</v>
      </c>
      <c r="E161" s="121"/>
      <c r="F161" s="73"/>
      <c r="G161" s="129"/>
      <c r="H161" s="125"/>
      <c r="I161" s="73"/>
      <c r="J161" s="126"/>
      <c r="K161" s="132" t="str">
        <f t="shared" si="6"/>
        <v>Pass</v>
      </c>
      <c r="L161" s="73">
        <v>64</v>
      </c>
      <c r="N161" s="75"/>
      <c r="O161" s="76">
        <v>100</v>
      </c>
      <c r="P161" s="76">
        <v>50</v>
      </c>
    </row>
    <row r="162" spans="1:16">
      <c r="A162" s="119">
        <v>43433</v>
      </c>
      <c r="B162" s="125">
        <v>39</v>
      </c>
      <c r="C162" s="73">
        <v>52</v>
      </c>
      <c r="D162" s="126">
        <f t="shared" si="5"/>
        <v>13</v>
      </c>
      <c r="E162" s="121"/>
      <c r="F162" s="73"/>
      <c r="G162" s="129"/>
      <c r="H162" s="125"/>
      <c r="I162" s="73"/>
      <c r="J162" s="126"/>
      <c r="K162" s="132" t="str">
        <f t="shared" si="6"/>
        <v>Pass</v>
      </c>
      <c r="L162" s="73">
        <v>1340</v>
      </c>
      <c r="N162" s="75"/>
      <c r="O162" s="76">
        <v>100</v>
      </c>
      <c r="P162" s="76">
        <v>50</v>
      </c>
    </row>
    <row r="163" spans="1:16">
      <c r="A163" s="119">
        <v>43448</v>
      </c>
      <c r="B163" s="125">
        <v>10</v>
      </c>
      <c r="C163" s="73">
        <v>25</v>
      </c>
      <c r="D163" s="126">
        <f t="shared" si="5"/>
        <v>15</v>
      </c>
      <c r="E163" s="121"/>
      <c r="F163" s="73"/>
      <c r="G163" s="129"/>
      <c r="H163" s="125"/>
      <c r="I163" s="73"/>
      <c r="J163" s="126"/>
      <c r="K163" s="132" t="str">
        <f t="shared" si="6"/>
        <v>Pass</v>
      </c>
      <c r="L163" s="73">
        <v>121</v>
      </c>
      <c r="M163" s="68" t="s">
        <v>118</v>
      </c>
      <c r="N163" s="68" t="s">
        <v>119</v>
      </c>
      <c r="O163" s="76">
        <v>100</v>
      </c>
      <c r="P163" s="76">
        <v>50</v>
      </c>
    </row>
    <row r="164" spans="1:16">
      <c r="A164" s="119">
        <v>43452</v>
      </c>
      <c r="B164" s="125">
        <v>16</v>
      </c>
      <c r="C164" s="73">
        <v>20</v>
      </c>
      <c r="D164" s="126">
        <f t="shared" si="5"/>
        <v>4</v>
      </c>
      <c r="E164" s="121"/>
      <c r="F164" s="73"/>
      <c r="G164" s="129"/>
      <c r="H164" s="125"/>
      <c r="I164" s="73"/>
      <c r="J164" s="126"/>
      <c r="K164" s="132" t="str">
        <f t="shared" si="6"/>
        <v>Pass</v>
      </c>
      <c r="L164" s="73">
        <v>1428</v>
      </c>
      <c r="N164" s="75"/>
      <c r="O164" s="76">
        <v>100</v>
      </c>
      <c r="P164" s="76">
        <v>50</v>
      </c>
    </row>
    <row r="165" spans="1:16">
      <c r="A165" s="119">
        <v>43458</v>
      </c>
      <c r="B165" s="125">
        <v>14</v>
      </c>
      <c r="C165" s="73">
        <v>20</v>
      </c>
      <c r="D165" s="126">
        <f t="shared" ref="D165:D167" si="7">IF(((B165="")*AND(C165="")),"",(C165-B165))</f>
        <v>6</v>
      </c>
      <c r="E165" s="121"/>
      <c r="F165" s="73"/>
      <c r="G165" s="129"/>
      <c r="H165" s="125"/>
      <c r="I165" s="73"/>
      <c r="J165" s="126"/>
      <c r="K165" s="132" t="str">
        <f t="shared" si="6"/>
        <v>Pass</v>
      </c>
      <c r="L165" s="73">
        <v>1340</v>
      </c>
      <c r="N165" s="75"/>
      <c r="O165" s="76">
        <v>100</v>
      </c>
      <c r="P165" s="76">
        <v>50</v>
      </c>
    </row>
    <row r="166" spans="1:16">
      <c r="A166" s="119">
        <v>43462</v>
      </c>
      <c r="B166" s="125">
        <v>25</v>
      </c>
      <c r="C166" s="73">
        <v>12</v>
      </c>
      <c r="D166" s="126">
        <f t="shared" si="7"/>
        <v>-13</v>
      </c>
      <c r="E166" s="121"/>
      <c r="F166" s="73"/>
      <c r="G166" s="129"/>
      <c r="H166" s="125"/>
      <c r="I166" s="73"/>
      <c r="J166" s="126"/>
      <c r="K166" s="132" t="str">
        <f t="shared" si="6"/>
        <v>Pass</v>
      </c>
      <c r="L166" s="73">
        <v>1340</v>
      </c>
      <c r="M166" s="75" t="s">
        <v>118</v>
      </c>
      <c r="N166" s="75"/>
      <c r="O166" s="76">
        <v>100</v>
      </c>
      <c r="P166" s="76">
        <v>50</v>
      </c>
    </row>
    <row r="167" spans="1:16">
      <c r="A167" s="119">
        <v>43466</v>
      </c>
      <c r="B167" s="125">
        <v>29</v>
      </c>
      <c r="C167" s="73">
        <v>28</v>
      </c>
      <c r="D167" s="126">
        <f t="shared" si="7"/>
        <v>-1</v>
      </c>
      <c r="E167" s="121"/>
      <c r="F167" s="73"/>
      <c r="G167" s="129"/>
      <c r="H167" s="125"/>
      <c r="I167" s="73"/>
      <c r="J167" s="126"/>
      <c r="K167" s="132" t="str">
        <f>IF((D167=""),"",IF(D167&lt;=30,"Pass","Fail"))</f>
        <v>Pass</v>
      </c>
      <c r="L167" s="73">
        <v>1340</v>
      </c>
      <c r="M167" s="75" t="s">
        <v>23</v>
      </c>
      <c r="N167" s="75"/>
      <c r="O167" s="76">
        <v>100</v>
      </c>
      <c r="P167" s="76">
        <v>50</v>
      </c>
    </row>
    <row r="168" spans="1:16">
      <c r="A168" s="119">
        <v>43469</v>
      </c>
      <c r="B168" s="125">
        <v>18</v>
      </c>
      <c r="C168" s="73">
        <v>34</v>
      </c>
      <c r="D168" s="126">
        <f>IF(((B168="")*AND(C168="")),"",(C168-B168))</f>
        <v>16</v>
      </c>
      <c r="E168" s="121"/>
      <c r="F168" s="73"/>
      <c r="G168" s="129"/>
      <c r="H168" s="125"/>
      <c r="I168" s="73"/>
      <c r="J168" s="126"/>
      <c r="K168" s="132" t="str">
        <f t="shared" ref="K168:K232" si="8">IF((D168=""),"",IF(D168&lt;=30,"Pass","Fail"))</f>
        <v>Pass</v>
      </c>
      <c r="L168" s="73">
        <v>1159</v>
      </c>
      <c r="M168" s="39" t="s">
        <v>23</v>
      </c>
      <c r="N168" s="73" t="s">
        <v>251</v>
      </c>
      <c r="O168" s="76">
        <v>100</v>
      </c>
      <c r="P168" s="76">
        <v>50</v>
      </c>
    </row>
    <row r="169" spans="1:16">
      <c r="A169" s="119">
        <v>43475</v>
      </c>
      <c r="B169" s="125">
        <v>12</v>
      </c>
      <c r="C169" s="73">
        <v>50</v>
      </c>
      <c r="D169" s="126">
        <f t="shared" ref="D169:D206" si="9">IF(((B169="")*AND(C169="")),"",(C169-B169))</f>
        <v>38</v>
      </c>
      <c r="E169" s="121"/>
      <c r="F169" s="73"/>
      <c r="G169" s="129"/>
      <c r="H169" s="125"/>
      <c r="I169" s="73"/>
      <c r="J169" s="126"/>
      <c r="K169" s="132" t="str">
        <f t="shared" si="8"/>
        <v>Fail</v>
      </c>
      <c r="L169" s="73">
        <v>1340</v>
      </c>
      <c r="M169" s="75" t="s">
        <v>23</v>
      </c>
      <c r="N169" s="75"/>
      <c r="O169" s="76">
        <v>100</v>
      </c>
      <c r="P169" s="76">
        <v>50</v>
      </c>
    </row>
    <row r="170" spans="1:16">
      <c r="A170" s="119">
        <v>43481</v>
      </c>
      <c r="B170" s="125">
        <v>7</v>
      </c>
      <c r="C170" s="73">
        <v>121</v>
      </c>
      <c r="D170" s="126">
        <f t="shared" si="9"/>
        <v>114</v>
      </c>
      <c r="E170" s="121"/>
      <c r="F170" s="73"/>
      <c r="G170" s="129"/>
      <c r="H170" s="125"/>
      <c r="I170" s="73"/>
      <c r="J170" s="126"/>
      <c r="K170" s="132" t="str">
        <f t="shared" si="8"/>
        <v>Fail</v>
      </c>
      <c r="L170" s="73" t="s">
        <v>273</v>
      </c>
      <c r="M170" s="68" t="s">
        <v>23</v>
      </c>
      <c r="N170" s="75"/>
      <c r="O170" s="76">
        <v>100</v>
      </c>
      <c r="P170" s="76">
        <v>50</v>
      </c>
    </row>
    <row r="171" spans="1:16">
      <c r="A171" s="119">
        <v>43481</v>
      </c>
      <c r="B171" s="125">
        <v>7</v>
      </c>
      <c r="C171" s="73">
        <v>145</v>
      </c>
      <c r="D171" s="126">
        <f t="shared" si="9"/>
        <v>138</v>
      </c>
      <c r="E171" s="121"/>
      <c r="F171" s="73"/>
      <c r="G171" s="129"/>
      <c r="H171" s="125"/>
      <c r="I171" s="73"/>
      <c r="J171" s="126"/>
      <c r="K171" s="132" t="str">
        <f t="shared" si="8"/>
        <v>Fail</v>
      </c>
      <c r="L171" s="73" t="s">
        <v>273</v>
      </c>
      <c r="M171" s="75" t="s">
        <v>23</v>
      </c>
      <c r="N171" s="75"/>
      <c r="O171" s="76">
        <v>100</v>
      </c>
      <c r="P171" s="76">
        <v>50</v>
      </c>
    </row>
    <row r="172" spans="1:16">
      <c r="A172" s="119">
        <v>43481</v>
      </c>
      <c r="B172" s="125">
        <v>11</v>
      </c>
      <c r="C172" s="73">
        <v>27</v>
      </c>
      <c r="D172" s="126">
        <f t="shared" si="9"/>
        <v>16</v>
      </c>
      <c r="E172" s="121"/>
      <c r="F172" s="73"/>
      <c r="G172" s="129"/>
      <c r="H172" s="125"/>
      <c r="I172" s="73"/>
      <c r="J172" s="126"/>
      <c r="K172" s="132" t="str">
        <f t="shared" si="8"/>
        <v>Pass</v>
      </c>
      <c r="L172" s="73" t="s">
        <v>273</v>
      </c>
      <c r="M172" s="68" t="s">
        <v>23</v>
      </c>
      <c r="N172" s="75"/>
      <c r="O172" s="76">
        <v>100</v>
      </c>
      <c r="P172" s="76">
        <v>50</v>
      </c>
    </row>
    <row r="173" spans="1:16">
      <c r="A173" s="119">
        <v>43481</v>
      </c>
      <c r="B173" s="125">
        <v>12</v>
      </c>
      <c r="C173" s="73">
        <v>22</v>
      </c>
      <c r="D173" s="126">
        <f t="shared" si="9"/>
        <v>10</v>
      </c>
      <c r="E173" s="121"/>
      <c r="F173" s="73"/>
      <c r="G173" s="129"/>
      <c r="H173" s="125"/>
      <c r="I173" s="73"/>
      <c r="J173" s="126"/>
      <c r="K173" s="132" t="str">
        <f t="shared" si="8"/>
        <v>Pass</v>
      </c>
      <c r="L173" s="73" t="s">
        <v>273</v>
      </c>
      <c r="M173" s="75" t="s">
        <v>23</v>
      </c>
      <c r="N173" s="75"/>
      <c r="O173" s="76">
        <v>100</v>
      </c>
      <c r="P173" s="76">
        <v>50</v>
      </c>
    </row>
    <row r="174" spans="1:16">
      <c r="A174" s="119">
        <v>43487</v>
      </c>
      <c r="B174" s="125">
        <v>9</v>
      </c>
      <c r="C174" s="73">
        <v>12</v>
      </c>
      <c r="D174" s="126">
        <f t="shared" si="9"/>
        <v>3</v>
      </c>
      <c r="E174" s="121"/>
      <c r="F174" s="73"/>
      <c r="G174" s="129"/>
      <c r="H174" s="125"/>
      <c r="I174" s="73"/>
      <c r="J174" s="126"/>
      <c r="K174" s="132" t="str">
        <f t="shared" si="8"/>
        <v>Pass</v>
      </c>
      <c r="L174" s="73">
        <v>1159</v>
      </c>
      <c r="M174" s="68" t="s">
        <v>274</v>
      </c>
      <c r="N174" s="75"/>
      <c r="O174" s="76">
        <v>100</v>
      </c>
      <c r="P174" s="76">
        <v>50</v>
      </c>
    </row>
    <row r="175" spans="1:16">
      <c r="A175" s="119">
        <v>43493</v>
      </c>
      <c r="B175" s="125">
        <v>34</v>
      </c>
      <c r="C175" s="73">
        <v>40</v>
      </c>
      <c r="D175" s="126">
        <f t="shared" si="9"/>
        <v>6</v>
      </c>
      <c r="E175" s="121"/>
      <c r="F175" s="73"/>
      <c r="G175" s="129"/>
      <c r="H175" s="125"/>
      <c r="I175" s="73"/>
      <c r="J175" s="126"/>
      <c r="K175" s="132" t="str">
        <f t="shared" si="8"/>
        <v>Pass</v>
      </c>
      <c r="L175" s="73">
        <v>1159</v>
      </c>
      <c r="M175" s="68" t="s">
        <v>276</v>
      </c>
      <c r="N175" s="75"/>
      <c r="O175" s="76">
        <v>100</v>
      </c>
      <c r="P175" s="76">
        <v>50</v>
      </c>
    </row>
    <row r="176" spans="1:16">
      <c r="A176" s="119">
        <v>43497</v>
      </c>
      <c r="B176" s="125">
        <v>38</v>
      </c>
      <c r="C176" s="73">
        <v>48</v>
      </c>
      <c r="D176" s="126">
        <f t="shared" si="9"/>
        <v>10</v>
      </c>
      <c r="E176" s="121"/>
      <c r="F176" s="73"/>
      <c r="G176" s="129"/>
      <c r="H176" s="125"/>
      <c r="I176" s="73"/>
      <c r="J176" s="126"/>
      <c r="K176" s="132" t="str">
        <f t="shared" si="8"/>
        <v>Pass</v>
      </c>
      <c r="L176" s="73">
        <v>1335</v>
      </c>
      <c r="M176" s="68" t="s">
        <v>277</v>
      </c>
      <c r="N176" s="75"/>
      <c r="O176" s="76">
        <v>100</v>
      </c>
      <c r="P176" s="76">
        <v>50</v>
      </c>
    </row>
    <row r="177" spans="1:16">
      <c r="A177" s="119">
        <v>43501</v>
      </c>
      <c r="B177" s="125">
        <v>33</v>
      </c>
      <c r="C177" s="73">
        <v>52</v>
      </c>
      <c r="D177" s="126">
        <f t="shared" si="9"/>
        <v>19</v>
      </c>
      <c r="E177" s="121"/>
      <c r="F177" s="73"/>
      <c r="G177" s="129"/>
      <c r="H177" s="125"/>
      <c r="I177" s="73"/>
      <c r="J177" s="126"/>
      <c r="K177" s="132" t="str">
        <f t="shared" si="8"/>
        <v>Pass</v>
      </c>
      <c r="L177" s="73">
        <v>1159</v>
      </c>
      <c r="M177" s="68" t="s">
        <v>278</v>
      </c>
      <c r="N177" s="75"/>
      <c r="O177" s="76">
        <v>100</v>
      </c>
      <c r="P177" s="76">
        <v>50</v>
      </c>
    </row>
    <row r="178" spans="1:16">
      <c r="A178" s="119">
        <v>43504</v>
      </c>
      <c r="B178" s="125">
        <v>24</v>
      </c>
      <c r="C178" s="73">
        <v>55</v>
      </c>
      <c r="D178" s="126">
        <f t="shared" si="9"/>
        <v>31</v>
      </c>
      <c r="E178" s="121"/>
      <c r="F178" s="73"/>
      <c r="G178" s="129"/>
      <c r="H178" s="125"/>
      <c r="I178" s="73"/>
      <c r="J178" s="126"/>
      <c r="K178" s="132" t="str">
        <f t="shared" si="8"/>
        <v>Fail</v>
      </c>
      <c r="L178" s="73">
        <v>1335</v>
      </c>
      <c r="N178" s="75"/>
      <c r="O178" s="76">
        <v>100</v>
      </c>
      <c r="P178" s="76">
        <v>50</v>
      </c>
    </row>
    <row r="179" spans="1:16">
      <c r="A179" s="119">
        <v>43508</v>
      </c>
      <c r="B179" s="125">
        <v>23</v>
      </c>
      <c r="C179" s="73">
        <v>32</v>
      </c>
      <c r="D179" s="126">
        <f t="shared" si="9"/>
        <v>9</v>
      </c>
      <c r="E179" s="121"/>
      <c r="F179" s="73"/>
      <c r="G179" s="129"/>
      <c r="H179" s="125"/>
      <c r="I179" s="73"/>
      <c r="J179" s="126"/>
      <c r="K179" s="132" t="str">
        <f t="shared" si="8"/>
        <v>Pass</v>
      </c>
      <c r="L179" s="73">
        <v>121</v>
      </c>
      <c r="M179" s="68" t="s">
        <v>279</v>
      </c>
      <c r="N179" s="75"/>
      <c r="O179" s="76">
        <v>100</v>
      </c>
      <c r="P179" s="76">
        <v>50</v>
      </c>
    </row>
    <row r="180" spans="1:16">
      <c r="A180" s="119">
        <v>43514</v>
      </c>
      <c r="B180" s="125">
        <v>14</v>
      </c>
      <c r="C180" s="73">
        <v>24</v>
      </c>
      <c r="D180" s="126">
        <f t="shared" si="9"/>
        <v>10</v>
      </c>
      <c r="E180" s="121"/>
      <c r="F180" s="73"/>
      <c r="G180" s="129"/>
      <c r="H180" s="125"/>
      <c r="I180" s="73"/>
      <c r="J180" s="126"/>
      <c r="K180" s="132" t="str">
        <f t="shared" si="8"/>
        <v>Pass</v>
      </c>
      <c r="L180" s="73">
        <v>1159</v>
      </c>
      <c r="M180" s="68" t="s">
        <v>280</v>
      </c>
      <c r="N180" s="75"/>
      <c r="O180" s="76">
        <v>100</v>
      </c>
      <c r="P180" s="76">
        <v>50</v>
      </c>
    </row>
    <row r="181" spans="1:16">
      <c r="A181" s="119">
        <v>43517</v>
      </c>
      <c r="B181" s="125">
        <v>27</v>
      </c>
      <c r="C181" s="73">
        <v>57</v>
      </c>
      <c r="D181" s="126">
        <f t="shared" si="9"/>
        <v>30</v>
      </c>
      <c r="E181" s="121"/>
      <c r="F181" s="73"/>
      <c r="G181" s="129"/>
      <c r="H181" s="125"/>
      <c r="I181" s="73"/>
      <c r="J181" s="126"/>
      <c r="K181" s="132" t="str">
        <f t="shared" si="8"/>
        <v>Pass</v>
      </c>
      <c r="L181" s="73">
        <v>1159</v>
      </c>
      <c r="M181" s="68" t="s">
        <v>281</v>
      </c>
      <c r="N181" s="75"/>
      <c r="O181" s="76">
        <v>100</v>
      </c>
      <c r="P181" s="76">
        <v>50</v>
      </c>
    </row>
    <row r="182" spans="1:16">
      <c r="A182" s="119">
        <v>43521</v>
      </c>
      <c r="B182" s="125">
        <v>37</v>
      </c>
      <c r="C182" s="73">
        <v>53</v>
      </c>
      <c r="D182" s="126">
        <f t="shared" si="9"/>
        <v>16</v>
      </c>
      <c r="E182" s="121"/>
      <c r="F182" s="73"/>
      <c r="G182" s="129"/>
      <c r="H182" s="125"/>
      <c r="I182" s="73"/>
      <c r="J182" s="126"/>
      <c r="K182" s="132" t="str">
        <f t="shared" si="8"/>
        <v>Pass</v>
      </c>
      <c r="L182" s="73">
        <v>1159</v>
      </c>
      <c r="M182" s="68" t="s">
        <v>282</v>
      </c>
      <c r="N182" s="75"/>
      <c r="O182" s="76">
        <v>100</v>
      </c>
      <c r="P182" s="76">
        <v>50</v>
      </c>
    </row>
    <row r="183" spans="1:16">
      <c r="A183" s="119">
        <v>43524</v>
      </c>
      <c r="B183" s="125">
        <v>50</v>
      </c>
      <c r="C183" s="73">
        <v>41</v>
      </c>
      <c r="D183" s="126">
        <f t="shared" si="9"/>
        <v>-9</v>
      </c>
      <c r="E183" s="121"/>
      <c r="F183" s="73"/>
      <c r="G183" s="129"/>
      <c r="H183" s="125"/>
      <c r="I183" s="73"/>
      <c r="J183" s="126"/>
      <c r="K183" s="132" t="str">
        <f t="shared" si="8"/>
        <v>Pass</v>
      </c>
      <c r="L183" s="73" t="s">
        <v>283</v>
      </c>
      <c r="M183" s="75" t="s">
        <v>23</v>
      </c>
      <c r="N183" s="75"/>
      <c r="O183" s="76">
        <v>100</v>
      </c>
      <c r="P183" s="76">
        <v>50</v>
      </c>
    </row>
    <row r="184" spans="1:16">
      <c r="A184" s="119">
        <v>43528</v>
      </c>
      <c r="B184" s="125">
        <v>29</v>
      </c>
      <c r="C184" s="73">
        <v>25</v>
      </c>
      <c r="D184" s="126">
        <f t="shared" si="9"/>
        <v>-4</v>
      </c>
      <c r="E184" s="121"/>
      <c r="F184" s="73"/>
      <c r="G184" s="129"/>
      <c r="H184" s="125"/>
      <c r="I184" s="73"/>
      <c r="J184" s="126"/>
      <c r="K184" s="132" t="str">
        <f t="shared" si="8"/>
        <v>Pass</v>
      </c>
      <c r="L184" s="73">
        <v>1159</v>
      </c>
      <c r="M184" s="68" t="s">
        <v>284</v>
      </c>
      <c r="N184" s="75"/>
      <c r="O184" s="76">
        <v>100</v>
      </c>
      <c r="P184" s="76">
        <v>50</v>
      </c>
    </row>
    <row r="185" spans="1:16">
      <c r="A185" s="119">
        <v>43531</v>
      </c>
      <c r="B185" s="125">
        <v>25</v>
      </c>
      <c r="C185" s="73">
        <v>35</v>
      </c>
      <c r="D185" s="126">
        <f t="shared" si="9"/>
        <v>10</v>
      </c>
      <c r="E185" s="121"/>
      <c r="F185" s="73"/>
      <c r="G185" s="129"/>
      <c r="H185" s="125"/>
      <c r="I185" s="73"/>
      <c r="J185" s="126"/>
      <c r="K185" s="132" t="str">
        <f t="shared" si="8"/>
        <v>Pass</v>
      </c>
      <c r="L185" s="73" t="s">
        <v>285</v>
      </c>
      <c r="M185" s="75" t="s">
        <v>23</v>
      </c>
      <c r="N185" s="75"/>
      <c r="O185" s="76">
        <v>100</v>
      </c>
      <c r="P185" s="76">
        <v>50</v>
      </c>
    </row>
    <row r="186" spans="1:16">
      <c r="A186" s="119">
        <v>43535</v>
      </c>
      <c r="B186" s="125">
        <v>19</v>
      </c>
      <c r="C186" s="73">
        <v>26</v>
      </c>
      <c r="D186" s="126">
        <f t="shared" si="9"/>
        <v>7</v>
      </c>
      <c r="E186" s="121"/>
      <c r="F186" s="73"/>
      <c r="G186" s="129"/>
      <c r="H186" s="125"/>
      <c r="I186" s="73"/>
      <c r="J186" s="126"/>
      <c r="K186" s="132" t="str">
        <f t="shared" si="8"/>
        <v>Pass</v>
      </c>
      <c r="L186" s="73">
        <v>74</v>
      </c>
      <c r="M186" s="75" t="s">
        <v>23</v>
      </c>
      <c r="N186" s="75"/>
      <c r="O186" s="76">
        <v>100</v>
      </c>
      <c r="P186" s="76">
        <v>50</v>
      </c>
    </row>
    <row r="187" spans="1:16">
      <c r="A187" s="119">
        <v>43536</v>
      </c>
      <c r="B187" s="125">
        <v>40</v>
      </c>
      <c r="C187" s="73">
        <v>45</v>
      </c>
      <c r="D187" s="126">
        <f t="shared" si="9"/>
        <v>5</v>
      </c>
      <c r="E187" s="121"/>
      <c r="F187" s="73"/>
      <c r="G187" s="129"/>
      <c r="H187" s="125"/>
      <c r="I187" s="73"/>
      <c r="J187" s="126"/>
      <c r="K187" s="132" t="str">
        <f t="shared" si="8"/>
        <v>Pass</v>
      </c>
      <c r="L187" s="73">
        <v>74</v>
      </c>
      <c r="M187" s="75" t="s">
        <v>23</v>
      </c>
      <c r="N187" s="84" t="s">
        <v>286</v>
      </c>
      <c r="O187" s="76">
        <v>100</v>
      </c>
      <c r="P187" s="76">
        <v>50</v>
      </c>
    </row>
    <row r="188" spans="1:16">
      <c r="A188" s="119">
        <v>43538</v>
      </c>
      <c r="B188" s="125">
        <v>35</v>
      </c>
      <c r="C188" s="73">
        <v>31</v>
      </c>
      <c r="D188" s="126">
        <f t="shared" si="9"/>
        <v>-4</v>
      </c>
      <c r="E188" s="121"/>
      <c r="F188" s="73"/>
      <c r="G188" s="129"/>
      <c r="H188" s="125"/>
      <c r="I188" s="73"/>
      <c r="J188" s="126"/>
      <c r="K188" s="132" t="str">
        <f t="shared" si="8"/>
        <v>Pass</v>
      </c>
      <c r="L188" s="73">
        <v>121</v>
      </c>
      <c r="M188" s="68" t="s">
        <v>287</v>
      </c>
      <c r="N188" s="75"/>
      <c r="O188" s="76">
        <v>100</v>
      </c>
      <c r="P188" s="76">
        <v>50</v>
      </c>
    </row>
    <row r="189" spans="1:16">
      <c r="A189" s="119">
        <v>43542</v>
      </c>
      <c r="B189" s="125">
        <v>13</v>
      </c>
      <c r="C189" s="73">
        <v>13</v>
      </c>
      <c r="D189" s="126">
        <f t="shared" si="9"/>
        <v>0</v>
      </c>
      <c r="E189" s="121"/>
      <c r="F189" s="73"/>
      <c r="G189" s="129"/>
      <c r="H189" s="125"/>
      <c r="I189" s="73"/>
      <c r="J189" s="126"/>
      <c r="K189" s="132" t="str">
        <f t="shared" si="8"/>
        <v>Pass</v>
      </c>
      <c r="L189" s="73">
        <v>1340</v>
      </c>
      <c r="M189" s="75" t="s">
        <v>23</v>
      </c>
      <c r="N189" s="75"/>
      <c r="O189" s="76">
        <v>100</v>
      </c>
      <c r="P189" s="76">
        <v>50</v>
      </c>
    </row>
    <row r="190" spans="1:16">
      <c r="A190" s="119">
        <v>43546</v>
      </c>
      <c r="B190" s="125">
        <v>36</v>
      </c>
      <c r="C190" s="73">
        <v>36</v>
      </c>
      <c r="D190" s="126">
        <f t="shared" si="9"/>
        <v>0</v>
      </c>
      <c r="E190" s="121"/>
      <c r="F190" s="73"/>
      <c r="G190" s="129"/>
      <c r="H190" s="125"/>
      <c r="I190" s="73"/>
      <c r="J190" s="126"/>
      <c r="K190" s="132" t="str">
        <f t="shared" si="8"/>
        <v>Pass</v>
      </c>
      <c r="L190" s="73">
        <v>1340</v>
      </c>
      <c r="M190" s="75" t="s">
        <v>23</v>
      </c>
      <c r="N190" s="75"/>
      <c r="O190" s="76">
        <v>100</v>
      </c>
      <c r="P190" s="76">
        <v>50</v>
      </c>
    </row>
    <row r="191" spans="1:16">
      <c r="A191" s="119">
        <v>43549</v>
      </c>
      <c r="B191" s="125">
        <v>14</v>
      </c>
      <c r="C191" s="73">
        <v>14</v>
      </c>
      <c r="D191" s="126">
        <f t="shared" si="9"/>
        <v>0</v>
      </c>
      <c r="E191" s="121"/>
      <c r="F191" s="73"/>
      <c r="G191" s="129"/>
      <c r="H191" s="125"/>
      <c r="I191" s="73"/>
      <c r="J191" s="126"/>
      <c r="K191" s="132" t="str">
        <f t="shared" si="8"/>
        <v>Pass</v>
      </c>
      <c r="L191" s="73">
        <v>74</v>
      </c>
      <c r="M191" s="68" t="s">
        <v>288</v>
      </c>
      <c r="N191" s="75"/>
      <c r="O191" s="76">
        <v>100</v>
      </c>
      <c r="P191" s="76">
        <v>50</v>
      </c>
    </row>
    <row r="192" spans="1:16">
      <c r="A192" s="119">
        <v>43552</v>
      </c>
      <c r="B192" s="125">
        <v>17</v>
      </c>
      <c r="C192" s="73">
        <v>18</v>
      </c>
      <c r="D192" s="126">
        <f t="shared" si="9"/>
        <v>1</v>
      </c>
      <c r="E192" s="121"/>
      <c r="F192" s="73"/>
      <c r="G192" s="129"/>
      <c r="H192" s="125"/>
      <c r="I192" s="73"/>
      <c r="J192" s="126"/>
      <c r="K192" s="132" t="str">
        <f t="shared" si="8"/>
        <v>Pass</v>
      </c>
      <c r="L192" s="73">
        <v>121</v>
      </c>
      <c r="M192" s="75" t="s">
        <v>23</v>
      </c>
      <c r="N192" s="75"/>
      <c r="O192" s="76">
        <v>100</v>
      </c>
      <c r="P192" s="76">
        <v>50</v>
      </c>
    </row>
    <row r="193" spans="1:16">
      <c r="A193" s="119">
        <v>43557</v>
      </c>
      <c r="B193" s="125">
        <v>7</v>
      </c>
      <c r="C193" s="73">
        <v>7</v>
      </c>
      <c r="D193" s="126">
        <f t="shared" si="9"/>
        <v>0</v>
      </c>
      <c r="E193" s="121"/>
      <c r="F193" s="73"/>
      <c r="G193" s="129"/>
      <c r="H193" s="125"/>
      <c r="I193" s="73"/>
      <c r="J193" s="126"/>
      <c r="K193" s="132" t="str">
        <f t="shared" si="8"/>
        <v>Pass</v>
      </c>
      <c r="L193" s="73">
        <v>1428</v>
      </c>
      <c r="M193" s="75" t="s">
        <v>118</v>
      </c>
      <c r="N193" s="75"/>
      <c r="O193" s="76">
        <v>100</v>
      </c>
      <c r="P193" s="76">
        <v>50</v>
      </c>
    </row>
    <row r="194" spans="1:16">
      <c r="A194" s="119">
        <v>43562</v>
      </c>
      <c r="B194" s="125">
        <v>22</v>
      </c>
      <c r="C194" s="73">
        <v>25</v>
      </c>
      <c r="D194" s="126">
        <f t="shared" si="9"/>
        <v>3</v>
      </c>
      <c r="E194" s="121"/>
      <c r="F194" s="73"/>
      <c r="G194" s="129"/>
      <c r="H194" s="125"/>
      <c r="I194" s="73"/>
      <c r="J194" s="126"/>
      <c r="K194" s="132" t="str">
        <f t="shared" si="8"/>
        <v>Pass</v>
      </c>
      <c r="L194" s="73">
        <v>1335</v>
      </c>
      <c r="M194" s="68" t="s">
        <v>289</v>
      </c>
      <c r="N194" s="75"/>
      <c r="O194" s="76">
        <v>100</v>
      </c>
      <c r="P194" s="76">
        <v>50</v>
      </c>
    </row>
    <row r="195" spans="1:16">
      <c r="A195" s="119">
        <v>43566</v>
      </c>
      <c r="B195" s="125">
        <v>9</v>
      </c>
      <c r="C195" s="73">
        <v>10</v>
      </c>
      <c r="D195" s="126">
        <f t="shared" si="9"/>
        <v>1</v>
      </c>
      <c r="E195" s="121"/>
      <c r="F195" s="73"/>
      <c r="G195" s="129"/>
      <c r="H195" s="125"/>
      <c r="I195" s="73"/>
      <c r="J195" s="126"/>
      <c r="K195" s="132" t="str">
        <f t="shared" si="8"/>
        <v>Pass</v>
      </c>
      <c r="L195" s="73">
        <v>121</v>
      </c>
      <c r="M195" s="75" t="s">
        <v>23</v>
      </c>
      <c r="N195" s="75"/>
      <c r="O195" s="76">
        <v>100</v>
      </c>
      <c r="P195" s="76">
        <v>50</v>
      </c>
    </row>
    <row r="196" spans="1:16">
      <c r="A196" s="119">
        <v>43570</v>
      </c>
      <c r="B196" s="125">
        <v>20</v>
      </c>
      <c r="C196" s="73">
        <v>21</v>
      </c>
      <c r="D196" s="126">
        <f t="shared" si="9"/>
        <v>1</v>
      </c>
      <c r="E196" s="121"/>
      <c r="F196" s="73"/>
      <c r="G196" s="129"/>
      <c r="H196" s="125"/>
      <c r="I196" s="73"/>
      <c r="J196" s="126"/>
      <c r="K196" s="132" t="str">
        <f t="shared" si="8"/>
        <v>Pass</v>
      </c>
      <c r="L196" s="73">
        <v>121</v>
      </c>
      <c r="M196" s="75" t="s">
        <v>23</v>
      </c>
      <c r="N196" s="75"/>
      <c r="O196" s="76">
        <v>100</v>
      </c>
      <c r="P196" s="76">
        <v>50</v>
      </c>
    </row>
    <row r="197" spans="1:16">
      <c r="A197" s="119">
        <v>43577</v>
      </c>
      <c r="B197" s="125">
        <v>44</v>
      </c>
      <c r="C197" s="73">
        <v>38</v>
      </c>
      <c r="D197" s="126">
        <f t="shared" si="9"/>
        <v>-6</v>
      </c>
      <c r="E197" s="121"/>
      <c r="F197" s="73"/>
      <c r="G197" s="129"/>
      <c r="H197" s="125"/>
      <c r="I197" s="73"/>
      <c r="J197" s="126"/>
      <c r="K197" s="132" t="str">
        <f t="shared" si="8"/>
        <v>Pass</v>
      </c>
      <c r="L197" s="73">
        <v>74</v>
      </c>
      <c r="M197" s="75" t="s">
        <v>118</v>
      </c>
      <c r="N197" s="75"/>
      <c r="O197" s="76">
        <v>100</v>
      </c>
      <c r="P197" s="76">
        <v>50</v>
      </c>
    </row>
    <row r="198" spans="1:16">
      <c r="A198" s="119">
        <v>43581</v>
      </c>
      <c r="B198" s="125">
        <v>42</v>
      </c>
      <c r="C198" s="73">
        <v>43</v>
      </c>
      <c r="D198" s="126">
        <f t="shared" si="9"/>
        <v>1</v>
      </c>
      <c r="E198" s="121"/>
      <c r="F198" s="73"/>
      <c r="G198" s="129"/>
      <c r="H198" s="125"/>
      <c r="I198" s="73"/>
      <c r="J198" s="126"/>
      <c r="K198" s="132" t="str">
        <f t="shared" si="8"/>
        <v>Pass</v>
      </c>
      <c r="L198" s="73">
        <v>1159</v>
      </c>
      <c r="M198" s="68" t="s">
        <v>275</v>
      </c>
      <c r="N198" s="75"/>
      <c r="O198" s="76">
        <v>100</v>
      </c>
      <c r="P198" s="76">
        <v>50</v>
      </c>
    </row>
    <row r="199" spans="1:16">
      <c r="A199" s="119">
        <v>43585</v>
      </c>
      <c r="B199" s="125">
        <v>6</v>
      </c>
      <c r="C199" s="73">
        <v>5</v>
      </c>
      <c r="D199" s="126">
        <f t="shared" si="9"/>
        <v>-1</v>
      </c>
      <c r="E199" s="121"/>
      <c r="F199" s="73"/>
      <c r="G199" s="129"/>
      <c r="H199" s="125"/>
      <c r="I199" s="73"/>
      <c r="J199" s="126"/>
      <c r="K199" s="132" t="str">
        <f t="shared" si="8"/>
        <v>Pass</v>
      </c>
      <c r="L199" s="73">
        <v>1340</v>
      </c>
      <c r="M199" s="75" t="s">
        <v>118</v>
      </c>
      <c r="N199" s="75"/>
      <c r="O199" s="76">
        <v>100</v>
      </c>
      <c r="P199" s="76">
        <v>50</v>
      </c>
    </row>
    <row r="200" spans="1:16">
      <c r="A200" s="119">
        <v>43591</v>
      </c>
      <c r="B200" s="125">
        <v>14</v>
      </c>
      <c r="C200" s="73">
        <v>15</v>
      </c>
      <c r="D200" s="126">
        <f t="shared" si="9"/>
        <v>1</v>
      </c>
      <c r="E200" s="121"/>
      <c r="F200" s="73"/>
      <c r="G200" s="129"/>
      <c r="H200" s="125"/>
      <c r="I200" s="73"/>
      <c r="J200" s="126"/>
      <c r="K200" s="132" t="str">
        <f t="shared" si="8"/>
        <v>Pass</v>
      </c>
      <c r="L200" s="73">
        <v>1428</v>
      </c>
      <c r="N200" s="75"/>
      <c r="O200" s="76">
        <v>100</v>
      </c>
      <c r="P200" s="76">
        <v>50</v>
      </c>
    </row>
    <row r="201" spans="1:16">
      <c r="A201" s="119">
        <v>43596</v>
      </c>
      <c r="B201" s="125">
        <v>26</v>
      </c>
      <c r="C201" s="73">
        <v>48</v>
      </c>
      <c r="D201" s="126">
        <f t="shared" si="9"/>
        <v>22</v>
      </c>
      <c r="E201" s="121"/>
      <c r="F201" s="73"/>
      <c r="G201" s="129"/>
      <c r="H201" s="125"/>
      <c r="I201" s="73"/>
      <c r="J201" s="126"/>
      <c r="K201" s="132" t="str">
        <f t="shared" si="8"/>
        <v>Pass</v>
      </c>
      <c r="L201" s="73">
        <v>1534</v>
      </c>
      <c r="N201" s="75"/>
      <c r="O201" s="76">
        <v>100</v>
      </c>
      <c r="P201" s="76">
        <v>50</v>
      </c>
    </row>
    <row r="202" spans="1:16">
      <c r="A202" s="119">
        <v>43600</v>
      </c>
      <c r="B202" s="125">
        <v>29</v>
      </c>
      <c r="C202" s="73">
        <v>20</v>
      </c>
      <c r="D202" s="126">
        <f t="shared" si="9"/>
        <v>-9</v>
      </c>
      <c r="E202" s="121"/>
      <c r="F202" s="73"/>
      <c r="G202" s="129"/>
      <c r="H202" s="125"/>
      <c r="I202" s="73"/>
      <c r="J202" s="126"/>
      <c r="K202" s="132" t="str">
        <f t="shared" si="8"/>
        <v>Pass</v>
      </c>
      <c r="L202" s="73">
        <v>1340</v>
      </c>
      <c r="M202" s="75" t="s">
        <v>303</v>
      </c>
      <c r="N202" s="75"/>
      <c r="O202" s="76">
        <v>100</v>
      </c>
      <c r="P202" s="76">
        <v>50</v>
      </c>
    </row>
    <row r="203" spans="1:16">
      <c r="A203" s="119">
        <v>43605</v>
      </c>
      <c r="B203" s="125">
        <v>58</v>
      </c>
      <c r="C203" s="73">
        <v>46</v>
      </c>
      <c r="D203" s="126">
        <f t="shared" si="9"/>
        <v>-12</v>
      </c>
      <c r="E203" s="121"/>
      <c r="F203" s="73"/>
      <c r="G203" s="129"/>
      <c r="H203" s="125"/>
      <c r="I203" s="73"/>
      <c r="J203" s="126"/>
      <c r="K203" s="132" t="str">
        <f t="shared" si="8"/>
        <v>Pass</v>
      </c>
      <c r="L203" s="73">
        <v>1335</v>
      </c>
      <c r="M203" s="75" t="s">
        <v>304</v>
      </c>
      <c r="N203" s="75"/>
      <c r="O203" s="76">
        <v>100</v>
      </c>
      <c r="P203" s="76">
        <v>50</v>
      </c>
    </row>
    <row r="204" spans="1:16">
      <c r="A204" s="119">
        <v>43609</v>
      </c>
      <c r="B204" s="125">
        <v>38</v>
      </c>
      <c r="C204" s="73">
        <v>68</v>
      </c>
      <c r="D204" s="126">
        <f t="shared" si="9"/>
        <v>30</v>
      </c>
      <c r="E204" s="121"/>
      <c r="F204" s="73"/>
      <c r="G204" s="129"/>
      <c r="H204" s="125"/>
      <c r="I204" s="73"/>
      <c r="J204" s="126"/>
      <c r="K204" s="132" t="str">
        <f t="shared" si="8"/>
        <v>Pass</v>
      </c>
      <c r="L204" s="73">
        <v>1340</v>
      </c>
      <c r="M204" s="75" t="s">
        <v>329</v>
      </c>
      <c r="N204" s="75"/>
      <c r="O204" s="76">
        <v>100</v>
      </c>
      <c r="P204" s="76">
        <v>50</v>
      </c>
    </row>
    <row r="205" spans="1:16">
      <c r="A205" s="119">
        <v>43613</v>
      </c>
      <c r="B205" s="125">
        <v>26</v>
      </c>
      <c r="C205" s="73">
        <v>19</v>
      </c>
      <c r="D205" s="126">
        <f t="shared" si="9"/>
        <v>-7</v>
      </c>
      <c r="E205" s="121"/>
      <c r="F205" s="73"/>
      <c r="G205" s="129"/>
      <c r="H205" s="125"/>
      <c r="I205" s="73"/>
      <c r="J205" s="126"/>
      <c r="K205" s="132" t="str">
        <f t="shared" si="8"/>
        <v>Pass</v>
      </c>
      <c r="L205" s="73">
        <v>1340</v>
      </c>
      <c r="M205" s="75" t="s">
        <v>330</v>
      </c>
      <c r="N205" s="75"/>
      <c r="O205" s="76">
        <v>100</v>
      </c>
      <c r="P205" s="76">
        <v>50</v>
      </c>
    </row>
    <row r="206" spans="1:16">
      <c r="A206" s="119">
        <v>43617</v>
      </c>
      <c r="B206" s="125">
        <v>24</v>
      </c>
      <c r="C206" s="73">
        <v>31</v>
      </c>
      <c r="D206" s="126">
        <f t="shared" si="9"/>
        <v>7</v>
      </c>
      <c r="E206" s="121"/>
      <c r="F206" s="73"/>
      <c r="G206" s="129"/>
      <c r="H206" s="125"/>
      <c r="I206" s="73"/>
      <c r="J206" s="126"/>
      <c r="K206" s="132" t="str">
        <f t="shared" si="8"/>
        <v>Pass</v>
      </c>
      <c r="L206" s="73">
        <v>121</v>
      </c>
      <c r="M206" s="75" t="s">
        <v>331</v>
      </c>
      <c r="N206" s="75"/>
      <c r="O206" s="76">
        <v>100</v>
      </c>
      <c r="P206" s="76">
        <v>50</v>
      </c>
    </row>
    <row r="207" spans="1:16">
      <c r="A207" s="119">
        <v>43622</v>
      </c>
      <c r="B207" s="125">
        <v>28</v>
      </c>
      <c r="C207" s="73">
        <v>36</v>
      </c>
      <c r="D207" s="126">
        <f t="shared" ref="D207:D210" si="10">IF(((B207="")*AND(C207="")),"",(C207-B207))</f>
        <v>8</v>
      </c>
      <c r="E207" s="121"/>
      <c r="F207" s="73"/>
      <c r="G207" s="129"/>
      <c r="H207" s="125"/>
      <c r="I207" s="73"/>
      <c r="J207" s="126"/>
      <c r="K207" s="132" t="str">
        <f t="shared" si="8"/>
        <v>Pass</v>
      </c>
      <c r="L207" s="73">
        <v>64</v>
      </c>
      <c r="M207" s="75" t="s">
        <v>331</v>
      </c>
      <c r="N207" s="75"/>
      <c r="O207" s="76">
        <v>100</v>
      </c>
      <c r="P207" s="76">
        <v>50</v>
      </c>
    </row>
    <row r="208" spans="1:16">
      <c r="A208" s="119">
        <v>43626</v>
      </c>
      <c r="B208" s="125">
        <v>42</v>
      </c>
      <c r="C208" s="73">
        <v>51</v>
      </c>
      <c r="D208" s="126">
        <f t="shared" si="10"/>
        <v>9</v>
      </c>
      <c r="E208" s="121"/>
      <c r="F208" s="73"/>
      <c r="G208" s="129"/>
      <c r="H208" s="125"/>
      <c r="I208" s="73"/>
      <c r="J208" s="126"/>
      <c r="K208" s="132" t="str">
        <f t="shared" si="8"/>
        <v>Pass</v>
      </c>
      <c r="L208" s="73">
        <v>1428</v>
      </c>
      <c r="M208" s="75" t="s">
        <v>334</v>
      </c>
      <c r="N208" s="75"/>
      <c r="O208" s="76">
        <v>100</v>
      </c>
      <c r="P208" s="76">
        <v>50</v>
      </c>
    </row>
    <row r="209" spans="1:16">
      <c r="A209" s="119">
        <v>43630</v>
      </c>
      <c r="B209" s="125">
        <v>29</v>
      </c>
      <c r="C209" s="73">
        <v>52</v>
      </c>
      <c r="D209" s="126">
        <f t="shared" si="10"/>
        <v>23</v>
      </c>
      <c r="E209" s="121"/>
      <c r="F209" s="73"/>
      <c r="G209" s="129"/>
      <c r="H209" s="125"/>
      <c r="I209" s="73"/>
      <c r="J209" s="126"/>
      <c r="K209" s="132" t="str">
        <f t="shared" si="8"/>
        <v>Pass</v>
      </c>
      <c r="L209" s="73">
        <v>1428</v>
      </c>
      <c r="N209" s="75"/>
      <c r="O209" s="76">
        <v>100</v>
      </c>
      <c r="P209" s="76">
        <v>50</v>
      </c>
    </row>
    <row r="210" spans="1:16">
      <c r="A210" s="119">
        <v>43634</v>
      </c>
      <c r="B210" s="125">
        <v>19</v>
      </c>
      <c r="C210" s="73">
        <v>10</v>
      </c>
      <c r="D210" s="126">
        <f t="shared" si="10"/>
        <v>-9</v>
      </c>
      <c r="E210" s="121"/>
      <c r="F210" s="73"/>
      <c r="G210" s="129"/>
      <c r="H210" s="125"/>
      <c r="I210" s="73"/>
      <c r="J210" s="126"/>
      <c r="K210" s="132" t="str">
        <f t="shared" si="8"/>
        <v>Pass</v>
      </c>
      <c r="L210" s="73">
        <v>1335</v>
      </c>
      <c r="M210" s="75" t="s">
        <v>337</v>
      </c>
      <c r="N210" s="75"/>
      <c r="O210" s="76">
        <v>100</v>
      </c>
      <c r="P210" s="76">
        <v>50</v>
      </c>
    </row>
    <row r="211" spans="1:16">
      <c r="A211" s="119">
        <v>43639</v>
      </c>
      <c r="B211" s="125">
        <v>3</v>
      </c>
      <c r="C211" s="73">
        <v>6</v>
      </c>
      <c r="D211" s="126">
        <f t="shared" ref="D211:D212" si="11">IF(((B211="")*AND(C211="")),"",(C211-B211))</f>
        <v>3</v>
      </c>
      <c r="E211" s="121"/>
      <c r="F211" s="73"/>
      <c r="G211" s="129"/>
      <c r="H211" s="125"/>
      <c r="I211" s="73"/>
      <c r="J211" s="126"/>
      <c r="K211" s="132" t="str">
        <f t="shared" si="8"/>
        <v>Pass</v>
      </c>
      <c r="L211" s="73">
        <v>74</v>
      </c>
      <c r="M211" s="75" t="s">
        <v>338</v>
      </c>
      <c r="N211" s="75"/>
      <c r="O211" s="76">
        <v>100</v>
      </c>
      <c r="P211" s="76">
        <v>50</v>
      </c>
    </row>
    <row r="212" spans="1:16">
      <c r="A212" s="119">
        <v>43643</v>
      </c>
      <c r="B212" s="125">
        <v>13</v>
      </c>
      <c r="C212" s="73">
        <v>49</v>
      </c>
      <c r="D212" s="126">
        <f t="shared" si="11"/>
        <v>36</v>
      </c>
      <c r="E212" s="121"/>
      <c r="F212" s="73"/>
      <c r="G212" s="129"/>
      <c r="H212" s="125"/>
      <c r="I212" s="73"/>
      <c r="J212" s="126"/>
      <c r="K212" s="132" t="str">
        <f t="shared" si="8"/>
        <v>Fail</v>
      </c>
      <c r="L212" s="73">
        <v>1340</v>
      </c>
      <c r="M212" s="75" t="s">
        <v>340</v>
      </c>
      <c r="N212" s="75"/>
      <c r="O212" s="76">
        <v>100</v>
      </c>
      <c r="P212" s="76">
        <v>50</v>
      </c>
    </row>
    <row r="213" spans="1:16">
      <c r="A213" s="119">
        <v>43647</v>
      </c>
      <c r="B213" s="125">
        <v>14</v>
      </c>
      <c r="C213" s="73">
        <v>14</v>
      </c>
      <c r="D213" s="126">
        <f t="shared" ref="D213" si="12">IF(((B213="")*AND(C213="")),"",(C213-B213))</f>
        <v>0</v>
      </c>
      <c r="E213" s="121"/>
      <c r="F213" s="73"/>
      <c r="G213" s="129"/>
      <c r="H213" s="125"/>
      <c r="I213" s="73"/>
      <c r="J213" s="126"/>
      <c r="K213" s="132" t="str">
        <f t="shared" si="8"/>
        <v>Pass</v>
      </c>
      <c r="L213" s="73">
        <v>1159</v>
      </c>
      <c r="M213" s="75" t="s">
        <v>342</v>
      </c>
      <c r="N213" s="75"/>
      <c r="O213" s="76">
        <v>100</v>
      </c>
      <c r="P213" s="76">
        <v>50</v>
      </c>
    </row>
    <row r="214" spans="1:16">
      <c r="A214" s="119">
        <v>43651</v>
      </c>
      <c r="B214" s="125">
        <v>23</v>
      </c>
      <c r="C214" s="73">
        <v>26</v>
      </c>
      <c r="D214" s="126">
        <f t="shared" ref="D214:D219" si="13">IF(((B214="")*AND(C214="")),"",(C214-B214))</f>
        <v>3</v>
      </c>
      <c r="E214" s="121"/>
      <c r="F214" s="73"/>
      <c r="G214" s="129"/>
      <c r="H214" s="125"/>
      <c r="I214" s="73"/>
      <c r="J214" s="126"/>
      <c r="K214" s="132" t="str">
        <f t="shared" si="8"/>
        <v>Pass</v>
      </c>
      <c r="L214" s="73">
        <v>1159</v>
      </c>
      <c r="M214" s="75" t="s">
        <v>344</v>
      </c>
      <c r="N214" s="75"/>
      <c r="O214" s="76">
        <v>100</v>
      </c>
      <c r="P214" s="76">
        <v>50</v>
      </c>
    </row>
    <row r="215" spans="1:16">
      <c r="A215" s="119">
        <v>43655</v>
      </c>
      <c r="B215" s="125">
        <v>29</v>
      </c>
      <c r="C215" s="73">
        <v>20</v>
      </c>
      <c r="D215" s="126">
        <f t="shared" si="13"/>
        <v>-9</v>
      </c>
      <c r="E215" s="121"/>
      <c r="F215" s="73"/>
      <c r="G215" s="129"/>
      <c r="H215" s="125"/>
      <c r="I215" s="73"/>
      <c r="J215" s="126"/>
      <c r="K215" s="132" t="str">
        <f t="shared" si="8"/>
        <v>Pass</v>
      </c>
      <c r="L215" s="73">
        <v>1340</v>
      </c>
      <c r="M215" s="75" t="s">
        <v>346</v>
      </c>
      <c r="N215" s="75"/>
      <c r="O215" s="76">
        <v>100</v>
      </c>
      <c r="P215" s="76">
        <v>50</v>
      </c>
    </row>
    <row r="216" spans="1:16">
      <c r="A216" s="119">
        <v>43661</v>
      </c>
      <c r="B216" s="125">
        <v>34</v>
      </c>
      <c r="C216" s="73">
        <v>35</v>
      </c>
      <c r="D216" s="126">
        <f t="shared" si="13"/>
        <v>1</v>
      </c>
      <c r="E216" s="121"/>
      <c r="F216" s="73"/>
      <c r="G216" s="129"/>
      <c r="H216" s="125"/>
      <c r="I216" s="73"/>
      <c r="J216" s="126"/>
      <c r="K216" s="132" t="str">
        <f t="shared" si="8"/>
        <v>Pass</v>
      </c>
      <c r="L216" s="73">
        <v>1335</v>
      </c>
      <c r="M216" s="75" t="s">
        <v>348</v>
      </c>
      <c r="N216" s="75"/>
      <c r="O216" s="76">
        <v>100</v>
      </c>
      <c r="P216" s="76">
        <v>50</v>
      </c>
    </row>
    <row r="217" spans="1:16">
      <c r="A217" s="119">
        <v>43665</v>
      </c>
      <c r="B217" s="125">
        <v>39</v>
      </c>
      <c r="C217" s="73">
        <v>42</v>
      </c>
      <c r="D217" s="126">
        <f t="shared" si="13"/>
        <v>3</v>
      </c>
      <c r="E217" s="121"/>
      <c r="F217" s="73"/>
      <c r="G217" s="129"/>
      <c r="H217" s="125"/>
      <c r="I217" s="73"/>
      <c r="J217" s="126"/>
      <c r="K217" s="132" t="str">
        <f t="shared" si="8"/>
        <v>Pass</v>
      </c>
      <c r="L217" s="73">
        <v>1335</v>
      </c>
      <c r="M217" s="75" t="s">
        <v>350</v>
      </c>
      <c r="N217" s="75"/>
      <c r="O217" s="76">
        <v>100</v>
      </c>
      <c r="P217" s="76">
        <v>50</v>
      </c>
    </row>
    <row r="218" spans="1:16">
      <c r="A218" s="119">
        <v>43669</v>
      </c>
      <c r="B218" s="125">
        <v>9</v>
      </c>
      <c r="C218" s="73">
        <v>10</v>
      </c>
      <c r="D218" s="126">
        <f t="shared" si="13"/>
        <v>1</v>
      </c>
      <c r="E218" s="121"/>
      <c r="F218" s="73"/>
      <c r="G218" s="129"/>
      <c r="H218" s="125"/>
      <c r="I218" s="73"/>
      <c r="J218" s="126"/>
      <c r="K218" s="132" t="str">
        <f t="shared" si="8"/>
        <v>Pass</v>
      </c>
      <c r="L218" s="73">
        <v>1340</v>
      </c>
      <c r="M218" s="75" t="s">
        <v>351</v>
      </c>
      <c r="N218" s="75"/>
      <c r="O218" s="76">
        <v>100</v>
      </c>
      <c r="P218" s="76">
        <v>50</v>
      </c>
    </row>
    <row r="219" spans="1:16">
      <c r="A219" s="119">
        <v>43673</v>
      </c>
      <c r="B219" s="125">
        <v>16</v>
      </c>
      <c r="C219" s="73">
        <v>16</v>
      </c>
      <c r="D219" s="126">
        <f t="shared" si="13"/>
        <v>0</v>
      </c>
      <c r="E219" s="121"/>
      <c r="F219" s="73"/>
      <c r="G219" s="129"/>
      <c r="H219" s="125"/>
      <c r="I219" s="73"/>
      <c r="J219" s="126"/>
      <c r="K219" s="132" t="str">
        <f t="shared" si="8"/>
        <v>Pass</v>
      </c>
      <c r="L219" s="73">
        <v>1340</v>
      </c>
      <c r="M219" s="75" t="s">
        <v>353</v>
      </c>
      <c r="N219" s="75"/>
      <c r="O219" s="76">
        <v>100</v>
      </c>
      <c r="P219" s="76">
        <v>50</v>
      </c>
    </row>
    <row r="220" spans="1:16">
      <c r="A220" s="119">
        <v>43677</v>
      </c>
      <c r="B220" s="125">
        <v>5</v>
      </c>
      <c r="C220" s="73"/>
      <c r="D220" s="126">
        <f t="shared" ref="D220:D223" si="14">IF(((B220="")*AND(C220="")),"",(C220-B220))</f>
        <v>-5</v>
      </c>
      <c r="E220" s="121"/>
      <c r="F220" s="73"/>
      <c r="G220" s="129"/>
      <c r="H220" s="125"/>
      <c r="I220" s="73"/>
      <c r="J220" s="126"/>
      <c r="K220" s="132" t="str">
        <f t="shared" si="8"/>
        <v>Pass</v>
      </c>
      <c r="L220" s="73">
        <v>1159</v>
      </c>
      <c r="M220" s="75" t="s">
        <v>356</v>
      </c>
      <c r="N220" s="75"/>
      <c r="O220" s="76">
        <v>100</v>
      </c>
      <c r="P220" s="76">
        <v>50</v>
      </c>
    </row>
    <row r="221" spans="1:16">
      <c r="A221" s="119">
        <v>43681</v>
      </c>
      <c r="B221" s="125">
        <v>20</v>
      </c>
      <c r="C221" s="73">
        <v>19</v>
      </c>
      <c r="D221" s="126">
        <f t="shared" si="14"/>
        <v>-1</v>
      </c>
      <c r="E221" s="121"/>
      <c r="F221" s="73"/>
      <c r="G221" s="129"/>
      <c r="H221" s="125"/>
      <c r="I221" s="73"/>
      <c r="J221" s="126"/>
      <c r="K221" s="132" t="str">
        <f t="shared" si="8"/>
        <v>Pass</v>
      </c>
      <c r="L221" s="73">
        <v>74</v>
      </c>
      <c r="M221" s="75" t="s">
        <v>357</v>
      </c>
      <c r="N221" s="75"/>
      <c r="O221" s="76">
        <v>100</v>
      </c>
      <c r="P221" s="76">
        <v>50</v>
      </c>
    </row>
    <row r="222" spans="1:16">
      <c r="A222" s="119">
        <v>43684</v>
      </c>
      <c r="B222" s="125">
        <v>22</v>
      </c>
      <c r="C222" s="73">
        <v>22</v>
      </c>
      <c r="D222" s="126">
        <f t="shared" si="14"/>
        <v>0</v>
      </c>
      <c r="E222" s="121"/>
      <c r="F222" s="73"/>
      <c r="G222" s="129"/>
      <c r="H222" s="125"/>
      <c r="I222" s="73"/>
      <c r="J222" s="126"/>
      <c r="K222" s="132" t="str">
        <f t="shared" si="8"/>
        <v>Pass</v>
      </c>
      <c r="L222" s="73">
        <v>121</v>
      </c>
      <c r="M222" s="75" t="s">
        <v>359</v>
      </c>
      <c r="N222" s="75"/>
      <c r="O222" s="76">
        <v>100</v>
      </c>
      <c r="P222" s="76">
        <v>50</v>
      </c>
    </row>
    <row r="223" spans="1:16">
      <c r="A223" s="119">
        <v>43687</v>
      </c>
      <c r="B223" s="125">
        <v>24</v>
      </c>
      <c r="C223" s="73">
        <v>26</v>
      </c>
      <c r="D223" s="126">
        <f t="shared" si="14"/>
        <v>2</v>
      </c>
      <c r="E223" s="121"/>
      <c r="F223" s="73"/>
      <c r="G223" s="129"/>
      <c r="H223" s="125"/>
      <c r="I223" s="73"/>
      <c r="J223" s="126"/>
      <c r="K223" s="132" t="str">
        <f t="shared" si="8"/>
        <v>Pass</v>
      </c>
      <c r="L223" s="73" t="s">
        <v>360</v>
      </c>
      <c r="M223" s="75" t="s">
        <v>361</v>
      </c>
      <c r="N223" s="75"/>
      <c r="O223" s="76">
        <v>100</v>
      </c>
      <c r="P223" s="76">
        <v>50</v>
      </c>
    </row>
    <row r="224" spans="1:16">
      <c r="A224" s="119">
        <v>43691</v>
      </c>
      <c r="B224" s="125">
        <v>6</v>
      </c>
      <c r="C224" s="73">
        <v>16</v>
      </c>
      <c r="D224" s="126">
        <f t="shared" ref="D224:D226" si="15">IF(((B224="")*AND(C224="")),"",(C224-B224))</f>
        <v>10</v>
      </c>
      <c r="E224" s="121"/>
      <c r="F224" s="73"/>
      <c r="G224" s="129"/>
      <c r="H224" s="125"/>
      <c r="I224" s="73"/>
      <c r="J224" s="126"/>
      <c r="K224" s="132" t="str">
        <f t="shared" si="8"/>
        <v>Pass</v>
      </c>
      <c r="L224" s="73">
        <v>1159</v>
      </c>
      <c r="M224" s="75" t="s">
        <v>363</v>
      </c>
      <c r="N224" s="75"/>
      <c r="O224" s="76">
        <v>100</v>
      </c>
      <c r="P224" s="76">
        <v>50</v>
      </c>
    </row>
    <row r="225" spans="1:16">
      <c r="A225" s="119">
        <v>43696</v>
      </c>
      <c r="B225" s="125">
        <v>6</v>
      </c>
      <c r="C225" s="73">
        <v>13</v>
      </c>
      <c r="D225" s="126">
        <f t="shared" si="15"/>
        <v>7</v>
      </c>
      <c r="E225" s="121"/>
      <c r="F225" s="73"/>
      <c r="G225" s="129"/>
      <c r="H225" s="125"/>
      <c r="I225" s="73"/>
      <c r="J225" s="126"/>
      <c r="K225" s="132" t="str">
        <f t="shared" si="8"/>
        <v>Pass</v>
      </c>
      <c r="L225" s="73">
        <v>1340</v>
      </c>
      <c r="M225" s="75" t="s">
        <v>365</v>
      </c>
      <c r="N225" s="75"/>
      <c r="O225" s="76">
        <v>100</v>
      </c>
      <c r="P225" s="76">
        <v>50</v>
      </c>
    </row>
    <row r="226" spans="1:16">
      <c r="A226" s="119">
        <v>43700</v>
      </c>
      <c r="B226" s="125">
        <v>5</v>
      </c>
      <c r="C226" s="73">
        <v>10</v>
      </c>
      <c r="D226" s="126">
        <f t="shared" si="15"/>
        <v>5</v>
      </c>
      <c r="E226" s="121"/>
      <c r="F226" s="73"/>
      <c r="G226" s="129"/>
      <c r="H226" s="125"/>
      <c r="I226" s="73"/>
      <c r="J226" s="126"/>
      <c r="K226" s="132" t="str">
        <f t="shared" si="8"/>
        <v>Pass</v>
      </c>
      <c r="L226" s="73">
        <v>1340</v>
      </c>
      <c r="M226" s="75" t="s">
        <v>366</v>
      </c>
      <c r="N226" s="75"/>
      <c r="O226" s="76">
        <v>100</v>
      </c>
      <c r="P226" s="76">
        <v>50</v>
      </c>
    </row>
    <row r="227" spans="1:16">
      <c r="A227" s="119">
        <v>43704</v>
      </c>
      <c r="B227" s="125">
        <v>13</v>
      </c>
      <c r="C227" s="73">
        <v>14</v>
      </c>
      <c r="D227" s="126">
        <f t="shared" ref="D227:D230" si="16">IF(((B227="")*AND(C227="")),"",(C227-B227))</f>
        <v>1</v>
      </c>
      <c r="E227" s="121"/>
      <c r="F227" s="73"/>
      <c r="G227" s="129"/>
      <c r="H227" s="125"/>
      <c r="I227" s="73"/>
      <c r="J227" s="126"/>
      <c r="K227" s="132" t="str">
        <f t="shared" si="8"/>
        <v>Pass</v>
      </c>
      <c r="L227" s="73">
        <v>1159</v>
      </c>
      <c r="M227" s="75" t="s">
        <v>368</v>
      </c>
      <c r="N227" s="75"/>
      <c r="O227" s="76">
        <v>100</v>
      </c>
      <c r="P227" s="76">
        <v>50</v>
      </c>
    </row>
    <row r="228" spans="1:16">
      <c r="A228" s="119">
        <v>43708</v>
      </c>
      <c r="B228" s="125">
        <v>13</v>
      </c>
      <c r="C228" s="73">
        <v>5</v>
      </c>
      <c r="D228" s="126">
        <f t="shared" si="16"/>
        <v>-8</v>
      </c>
      <c r="E228" s="121"/>
      <c r="F228" s="73"/>
      <c r="G228" s="129"/>
      <c r="H228" s="125"/>
      <c r="I228" s="73"/>
      <c r="J228" s="126"/>
      <c r="K228" s="132" t="str">
        <f t="shared" si="8"/>
        <v>Pass</v>
      </c>
      <c r="L228" s="73">
        <v>121</v>
      </c>
      <c r="M228" s="75" t="s">
        <v>370</v>
      </c>
      <c r="N228" s="75"/>
      <c r="O228" s="76">
        <v>100</v>
      </c>
      <c r="P228" s="76">
        <v>50</v>
      </c>
    </row>
    <row r="229" spans="1:16">
      <c r="A229" s="119">
        <v>43712</v>
      </c>
      <c r="B229" s="125">
        <v>41</v>
      </c>
      <c r="C229" s="73">
        <v>59</v>
      </c>
      <c r="D229" s="126">
        <f t="shared" si="16"/>
        <v>18</v>
      </c>
      <c r="E229" s="121"/>
      <c r="F229" s="73"/>
      <c r="G229" s="129"/>
      <c r="H229" s="125"/>
      <c r="I229" s="73"/>
      <c r="J229" s="126"/>
      <c r="K229" s="132" t="str">
        <f t="shared" si="8"/>
        <v>Pass</v>
      </c>
      <c r="L229" s="73">
        <v>1428</v>
      </c>
      <c r="M229" s="75" t="s">
        <v>372</v>
      </c>
      <c r="N229" s="75"/>
      <c r="O229" s="76">
        <v>100</v>
      </c>
      <c r="P229" s="76">
        <v>50</v>
      </c>
    </row>
    <row r="230" spans="1:16">
      <c r="A230" s="119">
        <v>43713</v>
      </c>
      <c r="B230" s="125">
        <v>45</v>
      </c>
      <c r="C230" s="73">
        <v>54</v>
      </c>
      <c r="D230" s="126">
        <f t="shared" si="16"/>
        <v>9</v>
      </c>
      <c r="E230" s="121"/>
      <c r="F230" s="73"/>
      <c r="G230" s="129"/>
      <c r="H230" s="125"/>
      <c r="I230" s="73"/>
      <c r="J230" s="126"/>
      <c r="K230" s="132" t="str">
        <f t="shared" si="8"/>
        <v>Pass</v>
      </c>
      <c r="L230" s="73">
        <v>1428</v>
      </c>
      <c r="M230" s="75" t="s">
        <v>373</v>
      </c>
      <c r="N230" s="75"/>
      <c r="O230" s="76">
        <v>100</v>
      </c>
      <c r="P230" s="76">
        <v>50</v>
      </c>
    </row>
    <row r="231" spans="1:16">
      <c r="A231" s="119">
        <v>43713</v>
      </c>
      <c r="B231" s="125">
        <v>24</v>
      </c>
      <c r="C231" s="73">
        <v>17</v>
      </c>
      <c r="D231" s="126">
        <f t="shared" ref="D231:D232" si="17">IF(((B231="")*AND(C231="")),"",(C231-B231))</f>
        <v>-7</v>
      </c>
      <c r="E231" s="121"/>
      <c r="F231" s="73"/>
      <c r="G231" s="129"/>
      <c r="H231" s="125"/>
      <c r="I231" s="73"/>
      <c r="J231" s="126"/>
      <c r="K231" s="132" t="str">
        <f t="shared" si="8"/>
        <v>Pass</v>
      </c>
      <c r="L231" s="73">
        <v>74</v>
      </c>
      <c r="M231" s="75" t="s">
        <v>375</v>
      </c>
      <c r="N231" s="75"/>
      <c r="O231" s="76">
        <v>100</v>
      </c>
      <c r="P231" s="76">
        <v>50</v>
      </c>
    </row>
    <row r="232" spans="1:16">
      <c r="A232" s="119">
        <v>43713</v>
      </c>
      <c r="B232" s="125">
        <v>20</v>
      </c>
      <c r="C232" s="73">
        <v>28</v>
      </c>
      <c r="D232" s="126">
        <f t="shared" si="17"/>
        <v>8</v>
      </c>
      <c r="E232" s="121"/>
      <c r="F232" s="73"/>
      <c r="G232" s="129"/>
      <c r="H232" s="125"/>
      <c r="I232" s="73"/>
      <c r="J232" s="126"/>
      <c r="K232" s="132" t="str">
        <f t="shared" si="8"/>
        <v>Pass</v>
      </c>
      <c r="L232" s="73">
        <v>1335</v>
      </c>
      <c r="M232" s="75" t="s">
        <v>397</v>
      </c>
      <c r="N232" s="75"/>
      <c r="O232" s="76">
        <v>100</v>
      </c>
      <c r="P232" s="76">
        <v>50</v>
      </c>
    </row>
    <row r="233" spans="1:16">
      <c r="A233" s="119">
        <v>43721</v>
      </c>
      <c r="B233" s="125">
        <v>18</v>
      </c>
      <c r="C233" s="73">
        <v>20</v>
      </c>
      <c r="D233" s="126">
        <f t="shared" ref="D233:D236" si="18">IF(((B233="")*AND(C233="")),"",(C233-B233))</f>
        <v>2</v>
      </c>
      <c r="E233" s="121"/>
      <c r="F233" s="73"/>
      <c r="G233" s="129"/>
      <c r="H233" s="125"/>
      <c r="I233" s="73"/>
      <c r="J233" s="126"/>
      <c r="K233" s="132" t="str">
        <f t="shared" ref="K233:K243" si="19">IF((D233=""),"",IF(D233&lt;=30,"Pass","Fail"))</f>
        <v>Pass</v>
      </c>
      <c r="L233" s="73">
        <v>1159</v>
      </c>
      <c r="M233" s="75" t="s">
        <v>377</v>
      </c>
      <c r="N233" s="75"/>
      <c r="O233" s="76">
        <v>100</v>
      </c>
      <c r="P233" s="76">
        <v>50</v>
      </c>
    </row>
    <row r="234" spans="1:16">
      <c r="A234" s="119">
        <v>43725</v>
      </c>
      <c r="B234" s="125">
        <v>31</v>
      </c>
      <c r="C234" s="73">
        <v>39</v>
      </c>
      <c r="D234" s="126">
        <f t="shared" si="18"/>
        <v>8</v>
      </c>
      <c r="E234" s="121"/>
      <c r="F234" s="73"/>
      <c r="G234" s="129"/>
      <c r="H234" s="125"/>
      <c r="I234" s="73"/>
      <c r="J234" s="126"/>
      <c r="K234" s="132" t="str">
        <f t="shared" si="19"/>
        <v>Pass</v>
      </c>
      <c r="L234" s="73">
        <v>1340</v>
      </c>
      <c r="N234" s="75"/>
      <c r="O234" s="76">
        <v>100</v>
      </c>
      <c r="P234" s="76">
        <v>50</v>
      </c>
    </row>
    <row r="235" spans="1:16">
      <c r="A235" s="119">
        <v>43729</v>
      </c>
      <c r="B235" s="125">
        <v>2</v>
      </c>
      <c r="C235" s="73">
        <v>18</v>
      </c>
      <c r="D235" s="126">
        <f t="shared" si="18"/>
        <v>16</v>
      </c>
      <c r="E235" s="121"/>
      <c r="F235" s="73"/>
      <c r="G235" s="129"/>
      <c r="H235" s="125"/>
      <c r="I235" s="73"/>
      <c r="J235" s="126"/>
      <c r="K235" s="132" t="str">
        <f t="shared" si="19"/>
        <v>Pass</v>
      </c>
      <c r="L235" s="73">
        <v>64</v>
      </c>
      <c r="M235" s="75" t="s">
        <v>379</v>
      </c>
      <c r="N235" s="75"/>
      <c r="O235" s="76">
        <v>100</v>
      </c>
      <c r="P235" s="76">
        <v>50</v>
      </c>
    </row>
    <row r="236" spans="1:16">
      <c r="A236" s="119">
        <v>43733</v>
      </c>
      <c r="B236" s="125">
        <v>52</v>
      </c>
      <c r="C236" s="73">
        <v>287</v>
      </c>
      <c r="D236" s="126">
        <f t="shared" si="18"/>
        <v>235</v>
      </c>
      <c r="E236" s="121"/>
      <c r="F236" s="73"/>
      <c r="G236" s="129"/>
      <c r="H236" s="125"/>
      <c r="I236" s="73"/>
      <c r="J236" s="126"/>
      <c r="K236" s="132" t="str">
        <f t="shared" si="19"/>
        <v>Fail</v>
      </c>
      <c r="L236" s="73">
        <v>1335</v>
      </c>
      <c r="M236" s="75" t="s">
        <v>381</v>
      </c>
      <c r="N236" s="75"/>
      <c r="O236" s="76">
        <v>100</v>
      </c>
      <c r="P236" s="76">
        <v>50</v>
      </c>
    </row>
    <row r="237" spans="1:16">
      <c r="A237" s="119">
        <v>43734</v>
      </c>
      <c r="B237" s="125">
        <v>8</v>
      </c>
      <c r="C237" s="73">
        <v>281</v>
      </c>
      <c r="D237" s="126">
        <f t="shared" ref="D237" si="20">IF(((B237="")*AND(C237="")),"",(C237-B237))</f>
        <v>273</v>
      </c>
      <c r="E237" s="121"/>
      <c r="F237" s="73"/>
      <c r="G237" s="129"/>
      <c r="H237" s="125"/>
      <c r="I237" s="73"/>
      <c r="J237" s="126"/>
      <c r="K237" s="132" t="str">
        <f t="shared" si="19"/>
        <v>Fail</v>
      </c>
      <c r="L237" s="73">
        <v>1159</v>
      </c>
      <c r="M237" s="75" t="s">
        <v>383</v>
      </c>
      <c r="N237" s="75"/>
      <c r="O237" s="76">
        <v>100</v>
      </c>
      <c r="P237" s="76">
        <v>50</v>
      </c>
    </row>
    <row r="238" spans="1:16">
      <c r="A238" s="119">
        <v>43734</v>
      </c>
      <c r="B238" s="125">
        <v>1</v>
      </c>
      <c r="C238" s="73">
        <v>3</v>
      </c>
      <c r="D238" s="126">
        <f t="shared" ref="D238:D243" si="21">IF(((B238="")*AND(C238="")),"",(C238-B238))</f>
        <v>2</v>
      </c>
      <c r="E238" s="121"/>
      <c r="F238" s="73"/>
      <c r="G238" s="129"/>
      <c r="H238" s="125"/>
      <c r="I238" s="73"/>
      <c r="J238" s="126"/>
      <c r="K238" s="132" t="str">
        <f t="shared" si="19"/>
        <v>Pass</v>
      </c>
      <c r="L238" s="73">
        <v>1159</v>
      </c>
      <c r="M238" s="75" t="s">
        <v>382</v>
      </c>
      <c r="N238" s="76"/>
      <c r="O238" s="76">
        <v>100</v>
      </c>
      <c r="P238" s="76">
        <v>50</v>
      </c>
    </row>
    <row r="239" spans="1:16">
      <c r="A239" s="119">
        <v>43738</v>
      </c>
      <c r="B239" s="125">
        <v>5</v>
      </c>
      <c r="C239" s="73">
        <v>11</v>
      </c>
      <c r="D239" s="126">
        <f t="shared" si="21"/>
        <v>6</v>
      </c>
      <c r="E239" s="121"/>
      <c r="F239" s="73"/>
      <c r="G239" s="129"/>
      <c r="H239" s="125"/>
      <c r="I239" s="73"/>
      <c r="J239" s="126"/>
      <c r="K239" s="132" t="str">
        <f t="shared" si="19"/>
        <v>Pass</v>
      </c>
      <c r="L239" s="73">
        <v>121</v>
      </c>
      <c r="M239" s="75" t="s">
        <v>385</v>
      </c>
      <c r="N239" s="76"/>
      <c r="O239" s="76">
        <v>100</v>
      </c>
      <c r="P239" s="76">
        <v>50</v>
      </c>
    </row>
    <row r="240" spans="1:16">
      <c r="A240" s="119">
        <v>43742</v>
      </c>
      <c r="B240" s="125">
        <v>11</v>
      </c>
      <c r="C240" s="73">
        <v>15</v>
      </c>
      <c r="D240" s="126">
        <f t="shared" si="21"/>
        <v>4</v>
      </c>
      <c r="E240" s="121"/>
      <c r="F240" s="73"/>
      <c r="G240" s="129"/>
      <c r="H240" s="125"/>
      <c r="I240" s="73"/>
      <c r="J240" s="126"/>
      <c r="K240" s="132" t="str">
        <f t="shared" si="19"/>
        <v>Pass</v>
      </c>
      <c r="L240" s="73">
        <v>121</v>
      </c>
      <c r="M240" s="75" t="s">
        <v>387</v>
      </c>
      <c r="O240" s="76">
        <v>100</v>
      </c>
      <c r="P240" s="76">
        <v>50</v>
      </c>
    </row>
    <row r="241" spans="1:16">
      <c r="A241" s="119">
        <v>43747</v>
      </c>
      <c r="B241" s="125">
        <v>15</v>
      </c>
      <c r="C241" s="73">
        <v>28</v>
      </c>
      <c r="D241" s="126">
        <f t="shared" si="21"/>
        <v>13</v>
      </c>
      <c r="E241" s="121"/>
      <c r="F241" s="73"/>
      <c r="G241" s="129"/>
      <c r="H241" s="125"/>
      <c r="I241" s="73"/>
      <c r="J241" s="126"/>
      <c r="K241" s="132" t="str">
        <f t="shared" si="19"/>
        <v>Pass</v>
      </c>
      <c r="L241" s="73">
        <v>1335</v>
      </c>
      <c r="M241" s="75" t="s">
        <v>389</v>
      </c>
      <c r="O241" s="76">
        <v>100</v>
      </c>
      <c r="P241" s="76">
        <v>50</v>
      </c>
    </row>
    <row r="242" spans="1:16">
      <c r="A242" s="119">
        <v>43752</v>
      </c>
      <c r="B242" s="125">
        <v>3</v>
      </c>
      <c r="C242" s="73">
        <v>1</v>
      </c>
      <c r="D242" s="126">
        <f t="shared" si="21"/>
        <v>-2</v>
      </c>
      <c r="E242" s="121"/>
      <c r="F242" s="73"/>
      <c r="G242" s="129"/>
      <c r="H242" s="125"/>
      <c r="I242" s="73"/>
      <c r="J242" s="126"/>
      <c r="K242" s="132" t="str">
        <f t="shared" si="19"/>
        <v>Pass</v>
      </c>
      <c r="L242" s="73">
        <v>1340</v>
      </c>
      <c r="M242" s="75" t="s">
        <v>391</v>
      </c>
      <c r="O242" s="76">
        <v>100</v>
      </c>
      <c r="P242" s="76">
        <v>50</v>
      </c>
    </row>
    <row r="243" spans="1:16">
      <c r="A243" s="119">
        <v>43756</v>
      </c>
      <c r="B243" s="125">
        <v>18</v>
      </c>
      <c r="C243" s="73">
        <v>16</v>
      </c>
      <c r="D243" s="126">
        <f t="shared" si="21"/>
        <v>-2</v>
      </c>
      <c r="E243" s="121"/>
      <c r="F243" s="73"/>
      <c r="G243" s="129"/>
      <c r="H243" s="125"/>
      <c r="I243" s="73"/>
      <c r="J243" s="126"/>
      <c r="K243" s="132" t="str">
        <f t="shared" si="19"/>
        <v>Pass</v>
      </c>
      <c r="L243" s="73">
        <v>1340</v>
      </c>
      <c r="M243" s="75" t="s">
        <v>393</v>
      </c>
      <c r="O243" s="76">
        <v>100</v>
      </c>
      <c r="P243" s="76">
        <v>50</v>
      </c>
    </row>
    <row r="244" spans="1:16">
      <c r="A244" s="119">
        <v>43760</v>
      </c>
      <c r="B244" s="125">
        <v>20</v>
      </c>
      <c r="C244" s="73">
        <v>16</v>
      </c>
      <c r="D244" s="126">
        <f t="shared" ref="D244" si="22">IF(((B244="")*AND(C244="")),"",(C244-B244))</f>
        <v>-4</v>
      </c>
      <c r="E244" s="121"/>
      <c r="F244" s="73"/>
      <c r="G244" s="129"/>
      <c r="H244" s="125"/>
      <c r="I244" s="73"/>
      <c r="J244" s="126"/>
      <c r="K244" s="132" t="str">
        <f t="shared" ref="K244" si="23">IF((D244=""),"",IF(D244&lt;=30,"Pass","Fail"))</f>
        <v>Pass</v>
      </c>
      <c r="L244" s="73">
        <v>74</v>
      </c>
      <c r="M244" s="75" t="s">
        <v>395</v>
      </c>
      <c r="N244" s="48" t="s">
        <v>444</v>
      </c>
      <c r="O244" s="76">
        <v>100</v>
      </c>
      <c r="P244" s="76">
        <v>30</v>
      </c>
    </row>
    <row r="245" spans="1:16">
      <c r="A245" s="119">
        <v>43766</v>
      </c>
      <c r="B245" s="125">
        <v>20</v>
      </c>
      <c r="C245" s="73">
        <v>362</v>
      </c>
      <c r="D245" s="126">
        <f t="shared" ref="D245:D259" si="24">IF(((B245="")*AND(C245="")),"",(C245-B245))</f>
        <v>342</v>
      </c>
      <c r="E245" s="121"/>
      <c r="F245" s="73"/>
      <c r="G245" s="129"/>
      <c r="H245" s="125"/>
      <c r="I245" s="73"/>
      <c r="J245" s="126"/>
      <c r="K245" s="132" t="str">
        <f t="shared" ref="K245:K257" si="25">IF((D245=""),"",IF(D245&lt;=30,"Pass","Fail"))</f>
        <v>Fail</v>
      </c>
      <c r="L245" s="73">
        <v>1428</v>
      </c>
      <c r="M245" s="104"/>
      <c r="N245" s="75" t="s">
        <v>410</v>
      </c>
      <c r="O245" s="76">
        <v>100</v>
      </c>
      <c r="P245" s="76">
        <v>30</v>
      </c>
    </row>
    <row r="246" spans="1:16">
      <c r="A246" s="119">
        <v>43766</v>
      </c>
      <c r="B246" s="125">
        <v>36</v>
      </c>
      <c r="C246" s="73">
        <v>81</v>
      </c>
      <c r="D246" s="126">
        <f t="shared" si="24"/>
        <v>45</v>
      </c>
      <c r="E246" s="121"/>
      <c r="F246" s="73"/>
      <c r="G246" s="129"/>
      <c r="H246" s="125"/>
      <c r="I246" s="73"/>
      <c r="J246" s="126"/>
      <c r="K246" s="132" t="str">
        <f t="shared" si="25"/>
        <v>Fail</v>
      </c>
      <c r="L246" s="73">
        <v>1428</v>
      </c>
      <c r="M246" s="104"/>
      <c r="N246" s="75"/>
      <c r="O246" s="76">
        <v>100</v>
      </c>
      <c r="P246" s="76">
        <v>30</v>
      </c>
    </row>
    <row r="247" spans="1:16">
      <c r="A247" s="119">
        <v>43766</v>
      </c>
      <c r="B247" s="125">
        <v>57</v>
      </c>
      <c r="C247" s="73">
        <v>66</v>
      </c>
      <c r="D247" s="126">
        <f t="shared" si="24"/>
        <v>9</v>
      </c>
      <c r="E247" s="121"/>
      <c r="F247" s="73"/>
      <c r="G247" s="129"/>
      <c r="H247" s="125"/>
      <c r="I247" s="73"/>
      <c r="J247" s="126"/>
      <c r="K247" s="132" t="str">
        <f t="shared" si="25"/>
        <v>Pass</v>
      </c>
      <c r="L247" s="73">
        <v>1428</v>
      </c>
      <c r="N247" s="75"/>
      <c r="O247" s="76">
        <v>100</v>
      </c>
      <c r="P247" s="76">
        <v>30</v>
      </c>
    </row>
    <row r="248" spans="1:16">
      <c r="A248" s="119">
        <v>43770</v>
      </c>
      <c r="B248" s="125">
        <v>17</v>
      </c>
      <c r="C248" s="73">
        <v>344</v>
      </c>
      <c r="D248" s="126">
        <f t="shared" si="24"/>
        <v>327</v>
      </c>
      <c r="E248" s="121"/>
      <c r="F248" s="73"/>
      <c r="G248" s="129"/>
      <c r="H248" s="125"/>
      <c r="I248" s="73"/>
      <c r="J248" s="126"/>
      <c r="K248" s="132" t="str">
        <f t="shared" si="25"/>
        <v>Fail</v>
      </c>
      <c r="L248" s="73">
        <v>1428</v>
      </c>
      <c r="M248" s="104"/>
      <c r="N248" s="75"/>
      <c r="O248" s="76">
        <v>100</v>
      </c>
      <c r="P248" s="76">
        <v>30</v>
      </c>
    </row>
    <row r="249" spans="1:16">
      <c r="A249" s="119">
        <v>43773</v>
      </c>
      <c r="B249" s="125">
        <v>33</v>
      </c>
      <c r="C249" s="73">
        <v>57</v>
      </c>
      <c r="D249" s="126">
        <f t="shared" si="24"/>
        <v>24</v>
      </c>
      <c r="E249" s="121"/>
      <c r="F249" s="73"/>
      <c r="G249" s="129"/>
      <c r="H249" s="125"/>
      <c r="I249" s="73"/>
      <c r="J249" s="126"/>
      <c r="K249" s="132" t="str">
        <f t="shared" si="25"/>
        <v>Pass</v>
      </c>
      <c r="L249" s="73">
        <v>121</v>
      </c>
      <c r="N249" s="75"/>
      <c r="O249" s="76">
        <v>100</v>
      </c>
      <c r="P249" s="76">
        <v>30</v>
      </c>
    </row>
    <row r="250" spans="1:16">
      <c r="A250" s="119">
        <v>43779</v>
      </c>
      <c r="B250" s="125">
        <v>38</v>
      </c>
      <c r="C250" s="73">
        <v>83</v>
      </c>
      <c r="D250" s="126">
        <f t="shared" si="24"/>
        <v>45</v>
      </c>
      <c r="E250" s="121"/>
      <c r="F250" s="73"/>
      <c r="G250" s="129"/>
      <c r="H250" s="125"/>
      <c r="I250" s="73"/>
      <c r="J250" s="126"/>
      <c r="K250" s="132" t="str">
        <f t="shared" si="25"/>
        <v>Fail</v>
      </c>
      <c r="L250" s="73">
        <v>121</v>
      </c>
      <c r="M250" s="75" t="s">
        <v>402</v>
      </c>
      <c r="N250" s="84" t="s">
        <v>409</v>
      </c>
      <c r="O250" s="76">
        <v>100</v>
      </c>
      <c r="P250" s="76">
        <v>30</v>
      </c>
    </row>
    <row r="251" spans="1:16">
      <c r="A251" s="119">
        <v>43780</v>
      </c>
      <c r="B251" s="125">
        <v>33</v>
      </c>
      <c r="C251" s="73">
        <v>30</v>
      </c>
      <c r="D251" s="126">
        <f t="shared" si="24"/>
        <v>-3</v>
      </c>
      <c r="E251" s="121"/>
      <c r="F251" s="73"/>
      <c r="G251" s="129"/>
      <c r="H251" s="125"/>
      <c r="I251" s="73"/>
      <c r="J251" s="126"/>
      <c r="K251" s="132" t="str">
        <f t="shared" si="25"/>
        <v>Pass</v>
      </c>
      <c r="L251" s="73">
        <v>1340</v>
      </c>
      <c r="M251" s="75" t="s">
        <v>403</v>
      </c>
      <c r="N251" s="75" t="s">
        <v>431</v>
      </c>
      <c r="O251" s="76">
        <v>100</v>
      </c>
      <c r="P251" s="76">
        <v>30</v>
      </c>
    </row>
    <row r="252" spans="1:16">
      <c r="A252" s="119">
        <v>43784</v>
      </c>
      <c r="B252" s="125">
        <v>4</v>
      </c>
      <c r="C252" s="73">
        <v>24</v>
      </c>
      <c r="D252" s="126">
        <f t="shared" si="24"/>
        <v>20</v>
      </c>
      <c r="E252" s="121"/>
      <c r="F252" s="73"/>
      <c r="G252" s="129"/>
      <c r="H252" s="125"/>
      <c r="I252" s="73"/>
      <c r="J252" s="126"/>
      <c r="K252" s="132" t="str">
        <f t="shared" si="25"/>
        <v>Pass</v>
      </c>
      <c r="L252" s="73">
        <v>1340</v>
      </c>
      <c r="M252" s="75" t="s">
        <v>406</v>
      </c>
      <c r="N252" s="75"/>
      <c r="O252" s="76">
        <v>100</v>
      </c>
      <c r="P252" s="76">
        <v>30</v>
      </c>
    </row>
    <row r="253" spans="1:16">
      <c r="A253" s="119">
        <v>43788</v>
      </c>
      <c r="B253" s="125">
        <v>22</v>
      </c>
      <c r="C253" s="73">
        <v>23</v>
      </c>
      <c r="D253" s="126">
        <f t="shared" si="24"/>
        <v>1</v>
      </c>
      <c r="E253" s="121"/>
      <c r="F253" s="73"/>
      <c r="G253" s="129"/>
      <c r="H253" s="125"/>
      <c r="I253" s="73"/>
      <c r="J253" s="126"/>
      <c r="K253" s="132" t="str">
        <f t="shared" si="25"/>
        <v>Pass</v>
      </c>
      <c r="L253" s="73">
        <v>74</v>
      </c>
      <c r="M253" s="75" t="s">
        <v>413</v>
      </c>
      <c r="N253" s="75"/>
      <c r="O253" s="76">
        <v>100</v>
      </c>
      <c r="P253" s="76">
        <v>30</v>
      </c>
    </row>
    <row r="254" spans="1:16">
      <c r="A254" s="119">
        <v>43792</v>
      </c>
      <c r="B254" s="125">
        <v>23</v>
      </c>
      <c r="C254" s="73">
        <v>29</v>
      </c>
      <c r="D254" s="126">
        <f t="shared" si="24"/>
        <v>6</v>
      </c>
      <c r="E254" s="121"/>
      <c r="F254" s="73"/>
      <c r="G254" s="129"/>
      <c r="H254" s="125"/>
      <c r="I254" s="73"/>
      <c r="J254" s="126"/>
      <c r="K254" s="132" t="str">
        <f t="shared" si="25"/>
        <v>Pass</v>
      </c>
      <c r="L254" s="73">
        <v>121</v>
      </c>
      <c r="M254" s="75" t="s">
        <v>414</v>
      </c>
      <c r="N254" s="75"/>
      <c r="O254" s="76">
        <v>100</v>
      </c>
      <c r="P254" s="76">
        <v>30</v>
      </c>
    </row>
    <row r="255" spans="1:16">
      <c r="A255" s="119">
        <v>43796</v>
      </c>
      <c r="B255" s="125">
        <v>20</v>
      </c>
      <c r="C255" s="73">
        <v>106</v>
      </c>
      <c r="D255" s="126">
        <f t="shared" si="24"/>
        <v>86</v>
      </c>
      <c r="E255" s="121"/>
      <c r="F255" s="73"/>
      <c r="G255" s="129"/>
      <c r="H255" s="125"/>
      <c r="I255" s="73"/>
      <c r="J255" s="126"/>
      <c r="K255" s="132" t="str">
        <f t="shared" si="25"/>
        <v>Fail</v>
      </c>
      <c r="L255" s="73">
        <v>1428</v>
      </c>
      <c r="M255" s="75" t="s">
        <v>416</v>
      </c>
      <c r="N255" s="75"/>
      <c r="O255" s="76">
        <v>100</v>
      </c>
      <c r="P255" s="76">
        <v>30</v>
      </c>
    </row>
    <row r="256" spans="1:16">
      <c r="A256" s="119">
        <v>43796</v>
      </c>
      <c r="B256" s="125">
        <v>2</v>
      </c>
      <c r="C256" s="73">
        <v>40</v>
      </c>
      <c r="D256" s="126">
        <f t="shared" si="24"/>
        <v>38</v>
      </c>
      <c r="E256" s="121"/>
      <c r="F256" s="73"/>
      <c r="G256" s="129"/>
      <c r="H256" s="125"/>
      <c r="I256" s="73"/>
      <c r="J256" s="126"/>
      <c r="K256" s="132" t="str">
        <f t="shared" si="25"/>
        <v>Fail</v>
      </c>
      <c r="L256" s="73">
        <v>1428</v>
      </c>
      <c r="M256" s="75" t="s">
        <v>417</v>
      </c>
      <c r="N256" s="75"/>
      <c r="O256" s="76">
        <v>100</v>
      </c>
      <c r="P256" s="76">
        <v>30</v>
      </c>
    </row>
    <row r="257" spans="1:16">
      <c r="A257" s="119">
        <v>43800</v>
      </c>
      <c r="B257" s="125">
        <v>2</v>
      </c>
      <c r="C257" s="73">
        <v>25</v>
      </c>
      <c r="D257" s="126">
        <f t="shared" si="24"/>
        <v>23</v>
      </c>
      <c r="E257" s="121"/>
      <c r="F257" s="73"/>
      <c r="G257" s="129"/>
      <c r="H257" s="125"/>
      <c r="I257" s="73"/>
      <c r="J257" s="126"/>
      <c r="K257" s="132" t="str">
        <f t="shared" si="25"/>
        <v>Pass</v>
      </c>
      <c r="L257" s="73">
        <v>1335</v>
      </c>
      <c r="M257" s="75" t="s">
        <v>419</v>
      </c>
      <c r="N257" s="75" t="s">
        <v>422</v>
      </c>
      <c r="O257" s="76">
        <v>100</v>
      </c>
      <c r="P257" s="76">
        <v>30</v>
      </c>
    </row>
    <row r="258" spans="1:16">
      <c r="A258" s="119">
        <v>43805</v>
      </c>
      <c r="B258" s="125">
        <v>6</v>
      </c>
      <c r="C258" s="73">
        <v>36</v>
      </c>
      <c r="D258" s="126">
        <f t="shared" si="24"/>
        <v>30</v>
      </c>
      <c r="E258" s="121"/>
      <c r="F258" s="73"/>
      <c r="G258" s="129"/>
      <c r="H258" s="125"/>
      <c r="I258" s="73"/>
      <c r="J258" s="126"/>
      <c r="K258" s="132" t="str">
        <f>IF((D258=""),"",IF(D258&lt;=P258,"Pass","Fail"))</f>
        <v>Fail</v>
      </c>
      <c r="L258" s="73">
        <v>1335</v>
      </c>
      <c r="M258" s="75" t="s">
        <v>425</v>
      </c>
      <c r="N258" s="75" t="s">
        <v>423</v>
      </c>
      <c r="O258" s="76">
        <v>100</v>
      </c>
      <c r="P258" s="76">
        <v>23</v>
      </c>
    </row>
    <row r="259" spans="1:16">
      <c r="A259" s="119">
        <v>43805</v>
      </c>
      <c r="B259" s="125">
        <v>0</v>
      </c>
      <c r="C259" s="73">
        <v>277</v>
      </c>
      <c r="D259" s="126">
        <f t="shared" si="24"/>
        <v>277</v>
      </c>
      <c r="E259" s="121"/>
      <c r="F259" s="73"/>
      <c r="G259" s="129"/>
      <c r="H259" s="125"/>
      <c r="I259" s="73"/>
      <c r="J259" s="126"/>
      <c r="K259" s="132" t="str">
        <f t="shared" ref="K259:K264" si="26">IF((D259=""),"",IF(D259&lt;=P259,"Pass","Fail"))</f>
        <v>Fail</v>
      </c>
      <c r="L259" s="73">
        <v>1335</v>
      </c>
      <c r="M259" s="75" t="s">
        <v>430</v>
      </c>
      <c r="N259" s="75" t="s">
        <v>434</v>
      </c>
      <c r="O259" s="76">
        <v>100</v>
      </c>
      <c r="P259" s="76">
        <v>23</v>
      </c>
    </row>
    <row r="260" spans="1:16">
      <c r="A260" s="119">
        <v>43811</v>
      </c>
      <c r="B260" s="125">
        <v>3</v>
      </c>
      <c r="C260" s="73">
        <v>13</v>
      </c>
      <c r="D260" s="126">
        <v>10</v>
      </c>
      <c r="E260" s="121">
        <v>1</v>
      </c>
      <c r="F260" s="73">
        <v>3</v>
      </c>
      <c r="G260" s="129">
        <f>F260-E260</f>
        <v>2</v>
      </c>
      <c r="H260" s="125">
        <v>0</v>
      </c>
      <c r="I260" s="73">
        <v>1</v>
      </c>
      <c r="J260" s="126">
        <f>I260-H260</f>
        <v>1</v>
      </c>
      <c r="K260" s="132" t="str">
        <f t="shared" si="26"/>
        <v>Pass</v>
      </c>
      <c r="L260" s="73">
        <v>1519</v>
      </c>
      <c r="M260" s="75" t="s">
        <v>432</v>
      </c>
      <c r="N260" s="75" t="s">
        <v>433</v>
      </c>
      <c r="O260" s="76">
        <v>100</v>
      </c>
      <c r="P260" s="76">
        <v>23</v>
      </c>
    </row>
    <row r="261" spans="1:16">
      <c r="A261" s="119">
        <v>43811</v>
      </c>
      <c r="B261" s="125">
        <v>8</v>
      </c>
      <c r="C261" s="73">
        <v>18</v>
      </c>
      <c r="D261" s="126">
        <v>10</v>
      </c>
      <c r="E261" s="121">
        <v>0</v>
      </c>
      <c r="F261" s="73">
        <v>1</v>
      </c>
      <c r="G261" s="129">
        <f>F261-E261</f>
        <v>1</v>
      </c>
      <c r="H261" s="125">
        <v>0</v>
      </c>
      <c r="I261" s="73">
        <v>0</v>
      </c>
      <c r="J261" s="126">
        <f t="shared" ref="J261:J315" si="27">I261-H261</f>
        <v>0</v>
      </c>
      <c r="K261" s="132" t="str">
        <f t="shared" si="26"/>
        <v>Pass</v>
      </c>
      <c r="L261" s="73">
        <v>1519</v>
      </c>
      <c r="M261" s="75" t="s">
        <v>436</v>
      </c>
      <c r="N261" s="75" t="s">
        <v>445</v>
      </c>
      <c r="O261" s="76">
        <v>100</v>
      </c>
      <c r="P261" s="76">
        <v>23</v>
      </c>
    </row>
    <row r="262" spans="1:16">
      <c r="A262" s="119">
        <v>43815</v>
      </c>
      <c r="B262" s="125">
        <v>13</v>
      </c>
      <c r="C262" s="73">
        <v>14</v>
      </c>
      <c r="D262" s="126">
        <f t="shared" ref="D262" si="28">IF(((B262="")*AND(C262="")),"",(C262-B262))</f>
        <v>1</v>
      </c>
      <c r="E262" s="121"/>
      <c r="F262" s="73"/>
      <c r="G262" s="129"/>
      <c r="H262" s="125"/>
      <c r="I262" s="73"/>
      <c r="J262" s="126"/>
      <c r="K262" s="132" t="str">
        <f t="shared" si="26"/>
        <v>Pass</v>
      </c>
      <c r="L262" s="73">
        <v>1159</v>
      </c>
      <c r="M262" s="75" t="s">
        <v>437</v>
      </c>
      <c r="O262" s="76">
        <v>100</v>
      </c>
      <c r="P262" s="76">
        <v>23</v>
      </c>
    </row>
    <row r="263" spans="1:16">
      <c r="A263" s="119">
        <v>43819</v>
      </c>
      <c r="B263" s="125">
        <v>13</v>
      </c>
      <c r="C263" s="73">
        <v>17</v>
      </c>
      <c r="D263" s="126">
        <f t="shared" ref="D263:D264" si="29">IF(((B263="")*AND(C263="")),"",(C263-B263))</f>
        <v>4</v>
      </c>
      <c r="E263" s="121">
        <v>3</v>
      </c>
      <c r="F263" s="73">
        <v>4</v>
      </c>
      <c r="G263" s="129">
        <f t="shared" ref="G263:G315" si="30">F263-E263</f>
        <v>1</v>
      </c>
      <c r="H263" s="125">
        <v>0</v>
      </c>
      <c r="I263" s="73">
        <v>0</v>
      </c>
      <c r="J263" s="126">
        <f t="shared" si="27"/>
        <v>0</v>
      </c>
      <c r="K263" s="132" t="str">
        <f t="shared" si="26"/>
        <v>Pass</v>
      </c>
      <c r="L263" s="73">
        <v>1159</v>
      </c>
      <c r="M263" s="75" t="s">
        <v>440</v>
      </c>
      <c r="N263" s="48" t="s">
        <v>439</v>
      </c>
      <c r="O263" s="76">
        <v>100</v>
      </c>
      <c r="P263" s="76">
        <v>23</v>
      </c>
    </row>
    <row r="264" spans="1:16">
      <c r="A264" s="119">
        <v>43823</v>
      </c>
      <c r="B264" s="125">
        <v>14</v>
      </c>
      <c r="C264" s="73">
        <v>14</v>
      </c>
      <c r="D264" s="126">
        <f t="shared" si="29"/>
        <v>0</v>
      </c>
      <c r="E264" s="121">
        <v>3</v>
      </c>
      <c r="F264" s="73">
        <v>4</v>
      </c>
      <c r="G264" s="129">
        <f t="shared" si="30"/>
        <v>1</v>
      </c>
      <c r="H264" s="125"/>
      <c r="I264" s="73"/>
      <c r="J264" s="126"/>
      <c r="K264" s="132" t="str">
        <f t="shared" si="26"/>
        <v>Pass</v>
      </c>
      <c r="L264" s="73">
        <v>1428</v>
      </c>
      <c r="M264" s="75" t="s">
        <v>442</v>
      </c>
      <c r="O264" s="76"/>
      <c r="P264" s="76">
        <v>23</v>
      </c>
    </row>
    <row r="265" spans="1:16">
      <c r="A265" s="119">
        <v>43829</v>
      </c>
      <c r="B265" s="125">
        <v>2</v>
      </c>
      <c r="C265" s="73">
        <v>4</v>
      </c>
      <c r="D265" s="126">
        <f t="shared" ref="D265:D267" si="31">IF(((B265="")*AND(C265="")),"",(C265-B265))</f>
        <v>2</v>
      </c>
      <c r="E265" s="121"/>
      <c r="F265" s="73"/>
      <c r="G265" s="129"/>
      <c r="H265" s="125"/>
      <c r="I265" s="73"/>
      <c r="J265" s="126"/>
      <c r="K265" s="132" t="str">
        <f t="shared" ref="K265" si="32">IF((D265=""),"",IF(D265&lt;=P265,"Pass","Fail"))</f>
        <v>Pass</v>
      </c>
      <c r="L265" s="73">
        <v>121</v>
      </c>
      <c r="M265" s="75" t="s">
        <v>446</v>
      </c>
      <c r="N265" s="75"/>
      <c r="O265" s="76">
        <v>100</v>
      </c>
      <c r="P265" s="76">
        <v>23</v>
      </c>
    </row>
    <row r="266" spans="1:16">
      <c r="A266" s="119">
        <v>43833</v>
      </c>
      <c r="B266" s="125">
        <v>2</v>
      </c>
      <c r="C266" s="73">
        <v>4</v>
      </c>
      <c r="D266" s="126">
        <f t="shared" si="31"/>
        <v>2</v>
      </c>
      <c r="E266" s="121"/>
      <c r="F266" s="73"/>
      <c r="G266" s="129"/>
      <c r="H266" s="125"/>
      <c r="I266" s="73"/>
      <c r="J266" s="126"/>
      <c r="K266" s="132" t="str">
        <f t="shared" ref="K266:K320" si="33">IF((D266=""),"",IF(D266&lt;=P266,"Pass","Fail"))</f>
        <v>Pass</v>
      </c>
      <c r="L266" s="73">
        <v>1335</v>
      </c>
      <c r="M266" s="75" t="s">
        <v>448</v>
      </c>
      <c r="N266" s="75"/>
      <c r="O266" s="76">
        <v>100</v>
      </c>
      <c r="P266" s="76">
        <v>23</v>
      </c>
    </row>
    <row r="267" spans="1:16">
      <c r="A267" s="119">
        <v>43837</v>
      </c>
      <c r="B267" s="125">
        <v>2</v>
      </c>
      <c r="C267" s="73">
        <v>20</v>
      </c>
      <c r="D267" s="126">
        <f t="shared" si="31"/>
        <v>18</v>
      </c>
      <c r="E267" s="121"/>
      <c r="F267" s="73"/>
      <c r="G267" s="129"/>
      <c r="H267" s="125"/>
      <c r="I267" s="73"/>
      <c r="J267" s="126"/>
      <c r="K267" s="132" t="str">
        <f t="shared" si="33"/>
        <v>Pass</v>
      </c>
      <c r="L267" s="73">
        <v>1340</v>
      </c>
      <c r="M267" s="75" t="s">
        <v>450</v>
      </c>
      <c r="N267" s="75"/>
      <c r="O267" s="76">
        <v>100</v>
      </c>
      <c r="P267" s="76">
        <v>23</v>
      </c>
    </row>
    <row r="268" spans="1:16">
      <c r="A268" s="119">
        <v>43841</v>
      </c>
      <c r="B268" s="125">
        <v>12</v>
      </c>
      <c r="C268" s="73">
        <v>12</v>
      </c>
      <c r="D268" s="126">
        <f t="shared" ref="D268" si="34">IF(((B268="")*AND(C268="")),"",(C268-B268))</f>
        <v>0</v>
      </c>
      <c r="E268" s="121">
        <v>4</v>
      </c>
      <c r="F268" s="73">
        <v>4</v>
      </c>
      <c r="G268" s="129">
        <f t="shared" si="30"/>
        <v>0</v>
      </c>
      <c r="H268" s="125">
        <v>1</v>
      </c>
      <c r="I268" s="73">
        <v>2</v>
      </c>
      <c r="J268" s="126">
        <f t="shared" si="27"/>
        <v>1</v>
      </c>
      <c r="K268" s="132" t="str">
        <f t="shared" ref="K268" si="35">IF((D268=""),"",IF(D268&lt;=P268,"Pass","Fail"))</f>
        <v>Pass</v>
      </c>
      <c r="L268" s="73">
        <v>1159</v>
      </c>
      <c r="M268" s="75" t="s">
        <v>452</v>
      </c>
      <c r="N268" s="75"/>
      <c r="O268" s="76">
        <v>100</v>
      </c>
      <c r="P268" s="76">
        <v>23</v>
      </c>
    </row>
    <row r="269" spans="1:16">
      <c r="A269" s="119">
        <v>43845</v>
      </c>
      <c r="B269" s="125">
        <v>24</v>
      </c>
      <c r="C269" s="73">
        <v>25</v>
      </c>
      <c r="D269" s="126">
        <f t="shared" ref="D269:D277" si="36">IF(((B269="")*AND(C269="")),"",(C269-B269))</f>
        <v>1</v>
      </c>
      <c r="E269" s="121">
        <v>9</v>
      </c>
      <c r="F269" s="73">
        <v>10</v>
      </c>
      <c r="G269" s="129">
        <f t="shared" si="30"/>
        <v>1</v>
      </c>
      <c r="H269" s="125">
        <v>2</v>
      </c>
      <c r="I269" s="73">
        <v>2</v>
      </c>
      <c r="J269" s="126">
        <f t="shared" si="27"/>
        <v>0</v>
      </c>
      <c r="K269" s="132" t="str">
        <f t="shared" ref="K269" si="37">IF((D269=""),"",IF(D269&lt;=P269,"Pass","Fail"))</f>
        <v>Pass</v>
      </c>
      <c r="L269" s="73">
        <v>1159</v>
      </c>
      <c r="M269" s="75" t="s">
        <v>454</v>
      </c>
      <c r="N269" s="75"/>
      <c r="O269" s="76">
        <v>100</v>
      </c>
      <c r="P269" s="76">
        <v>23</v>
      </c>
    </row>
    <row r="270" spans="1:16">
      <c r="A270" s="119">
        <v>43846</v>
      </c>
      <c r="B270" s="125">
        <v>5</v>
      </c>
      <c r="C270" s="73">
        <v>9</v>
      </c>
      <c r="D270" s="126">
        <f t="shared" si="36"/>
        <v>4</v>
      </c>
      <c r="E270" s="121"/>
      <c r="F270" s="73"/>
      <c r="G270" s="129"/>
      <c r="H270" s="125"/>
      <c r="I270" s="73"/>
      <c r="J270" s="126"/>
      <c r="K270" s="132" t="str">
        <f t="shared" si="33"/>
        <v>Pass</v>
      </c>
      <c r="L270" s="73">
        <v>1340</v>
      </c>
      <c r="N270" s="75"/>
      <c r="O270" s="76">
        <v>100</v>
      </c>
      <c r="P270" s="76">
        <v>23</v>
      </c>
    </row>
    <row r="271" spans="1:16">
      <c r="A271" s="119">
        <v>43858</v>
      </c>
      <c r="B271" s="125">
        <v>2</v>
      </c>
      <c r="C271" s="73">
        <v>12</v>
      </c>
      <c r="D271" s="126">
        <f t="shared" si="36"/>
        <v>10</v>
      </c>
      <c r="E271" s="121"/>
      <c r="F271" s="73"/>
      <c r="G271" s="129"/>
      <c r="H271" s="125"/>
      <c r="I271" s="73"/>
      <c r="J271" s="126"/>
      <c r="K271" s="132" t="str">
        <f t="shared" si="33"/>
        <v>Pass</v>
      </c>
      <c r="L271" s="73">
        <v>64</v>
      </c>
      <c r="N271" s="75" t="s">
        <v>458</v>
      </c>
      <c r="O271" s="76">
        <v>100</v>
      </c>
      <c r="P271" s="76">
        <v>23</v>
      </c>
    </row>
    <row r="272" spans="1:16">
      <c r="A272" s="119">
        <v>43864</v>
      </c>
      <c r="B272" s="125">
        <v>1</v>
      </c>
      <c r="C272" s="73">
        <v>1</v>
      </c>
      <c r="D272" s="126">
        <f t="shared" si="36"/>
        <v>0</v>
      </c>
      <c r="E272" s="121"/>
      <c r="F272" s="73"/>
      <c r="G272" s="129"/>
      <c r="H272" s="125"/>
      <c r="I272" s="73"/>
      <c r="J272" s="126"/>
      <c r="K272" s="132" t="str">
        <f t="shared" si="33"/>
        <v>Pass</v>
      </c>
      <c r="L272" s="73">
        <v>64</v>
      </c>
      <c r="N272" s="75"/>
      <c r="O272" s="76">
        <v>100</v>
      </c>
      <c r="P272" s="76">
        <v>23</v>
      </c>
    </row>
    <row r="273" spans="1:16">
      <c r="A273" s="119">
        <v>43867</v>
      </c>
      <c r="B273" s="125">
        <v>4</v>
      </c>
      <c r="C273" s="73">
        <v>5</v>
      </c>
      <c r="D273" s="126">
        <f t="shared" si="36"/>
        <v>1</v>
      </c>
      <c r="E273" s="121"/>
      <c r="F273" s="73"/>
      <c r="G273" s="129"/>
      <c r="H273" s="125"/>
      <c r="I273" s="73"/>
      <c r="J273" s="126"/>
      <c r="K273" s="132" t="str">
        <f t="shared" si="33"/>
        <v>Pass</v>
      </c>
      <c r="L273" s="73">
        <v>64</v>
      </c>
      <c r="N273" s="75"/>
      <c r="O273" s="76">
        <v>100</v>
      </c>
      <c r="P273" s="76">
        <v>23</v>
      </c>
    </row>
    <row r="274" spans="1:16">
      <c r="A274" s="119">
        <v>43871</v>
      </c>
      <c r="B274" s="125">
        <v>2</v>
      </c>
      <c r="C274" s="73">
        <v>3</v>
      </c>
      <c r="D274" s="126">
        <f t="shared" si="36"/>
        <v>1</v>
      </c>
      <c r="E274" s="121"/>
      <c r="F274" s="73"/>
      <c r="G274" s="129"/>
      <c r="H274" s="125"/>
      <c r="I274" s="73"/>
      <c r="J274" s="126"/>
      <c r="K274" s="132" t="str">
        <f t="shared" si="33"/>
        <v>Pass</v>
      </c>
      <c r="L274" s="73">
        <v>102</v>
      </c>
      <c r="M274" s="75" t="s">
        <v>105</v>
      </c>
      <c r="N274" s="75"/>
      <c r="O274" s="76">
        <v>100</v>
      </c>
      <c r="P274" s="76">
        <v>23</v>
      </c>
    </row>
    <row r="275" spans="1:16">
      <c r="A275" s="119">
        <v>43872</v>
      </c>
      <c r="B275" s="125">
        <v>21</v>
      </c>
      <c r="C275" s="73">
        <v>23</v>
      </c>
      <c r="D275" s="126">
        <f t="shared" si="36"/>
        <v>2</v>
      </c>
      <c r="E275" s="121"/>
      <c r="F275" s="73"/>
      <c r="G275" s="129"/>
      <c r="H275" s="125"/>
      <c r="I275" s="73"/>
      <c r="J275" s="126"/>
      <c r="K275" s="132" t="str">
        <f t="shared" si="33"/>
        <v>Pass</v>
      </c>
      <c r="L275" s="73">
        <v>1428</v>
      </c>
      <c r="M275" s="75" t="s">
        <v>464</v>
      </c>
      <c r="N275" s="75"/>
      <c r="O275" s="76">
        <v>100</v>
      </c>
      <c r="P275" s="76">
        <v>23</v>
      </c>
    </row>
    <row r="276" spans="1:16">
      <c r="A276" s="119">
        <v>43877</v>
      </c>
      <c r="B276" s="125">
        <v>4</v>
      </c>
      <c r="C276" s="73">
        <v>5</v>
      </c>
      <c r="D276" s="126">
        <f t="shared" si="36"/>
        <v>1</v>
      </c>
      <c r="E276" s="121">
        <v>0</v>
      </c>
      <c r="F276" s="73">
        <v>0</v>
      </c>
      <c r="G276" s="129">
        <f t="shared" si="30"/>
        <v>0</v>
      </c>
      <c r="H276" s="125">
        <v>0</v>
      </c>
      <c r="I276" s="73">
        <v>0</v>
      </c>
      <c r="J276" s="126">
        <f t="shared" si="27"/>
        <v>0</v>
      </c>
      <c r="K276" s="132" t="str">
        <f t="shared" si="33"/>
        <v>Pass</v>
      </c>
      <c r="L276" s="73">
        <v>121</v>
      </c>
      <c r="M276" s="75" t="s">
        <v>466</v>
      </c>
      <c r="N276" s="75"/>
      <c r="O276" s="76">
        <v>100</v>
      </c>
      <c r="P276" s="76">
        <v>23</v>
      </c>
    </row>
    <row r="277" spans="1:16">
      <c r="A277" s="119">
        <v>43878</v>
      </c>
      <c r="B277" s="125">
        <v>3</v>
      </c>
      <c r="C277" s="73">
        <v>4</v>
      </c>
      <c r="D277" s="126">
        <f t="shared" si="36"/>
        <v>1</v>
      </c>
      <c r="E277" s="121">
        <v>1</v>
      </c>
      <c r="F277" s="73">
        <v>1</v>
      </c>
      <c r="G277" s="129">
        <f t="shared" si="30"/>
        <v>0</v>
      </c>
      <c r="H277" s="125">
        <v>0</v>
      </c>
      <c r="I277" s="73">
        <v>0</v>
      </c>
      <c r="J277" s="126">
        <f t="shared" si="27"/>
        <v>0</v>
      </c>
      <c r="K277" s="132" t="str">
        <f t="shared" si="33"/>
        <v>Pass</v>
      </c>
      <c r="L277" s="73">
        <v>1335</v>
      </c>
      <c r="M277" s="75" t="s">
        <v>468</v>
      </c>
      <c r="N277" s="75"/>
      <c r="O277" s="76">
        <v>100</v>
      </c>
      <c r="P277" s="76">
        <v>23</v>
      </c>
    </row>
    <row r="278" spans="1:16">
      <c r="A278" s="119">
        <v>43886</v>
      </c>
      <c r="B278" s="125">
        <v>52</v>
      </c>
      <c r="C278" s="73">
        <v>53</v>
      </c>
      <c r="D278" s="126">
        <f t="shared" ref="D278:D280" si="38">IF(((B278="")*AND(C278="")),"",(C278-B278))</f>
        <v>1</v>
      </c>
      <c r="E278" s="121">
        <v>13</v>
      </c>
      <c r="F278" s="73">
        <v>13</v>
      </c>
      <c r="G278" s="129">
        <f t="shared" si="30"/>
        <v>0</v>
      </c>
      <c r="H278" s="125">
        <v>7</v>
      </c>
      <c r="I278" s="73">
        <v>6</v>
      </c>
      <c r="J278" s="126">
        <f t="shared" si="27"/>
        <v>-1</v>
      </c>
      <c r="K278" s="132" t="str">
        <f t="shared" ref="K278" si="39">IF((D278=""),"",IF(D278&lt;=P278,"Pass","Fail"))</f>
        <v>Pass</v>
      </c>
      <c r="L278" s="73">
        <v>1159</v>
      </c>
      <c r="M278" s="75" t="s">
        <v>469</v>
      </c>
      <c r="N278" s="75"/>
      <c r="O278" s="76">
        <v>100</v>
      </c>
      <c r="P278" s="76">
        <v>23</v>
      </c>
    </row>
    <row r="279" spans="1:16">
      <c r="A279" s="119">
        <v>43892</v>
      </c>
      <c r="B279" s="125">
        <v>25</v>
      </c>
      <c r="C279" s="73">
        <v>19</v>
      </c>
      <c r="D279" s="126">
        <f t="shared" si="38"/>
        <v>-6</v>
      </c>
      <c r="E279" s="121"/>
      <c r="F279" s="73"/>
      <c r="G279" s="129"/>
      <c r="H279" s="125"/>
      <c r="I279" s="73"/>
      <c r="J279" s="126"/>
      <c r="K279" s="132" t="str">
        <f t="shared" si="33"/>
        <v>Pass</v>
      </c>
      <c r="L279" s="73">
        <v>1340</v>
      </c>
      <c r="M279" s="75" t="s">
        <v>472</v>
      </c>
      <c r="N279" s="75"/>
      <c r="O279" s="76">
        <v>100</v>
      </c>
      <c r="P279" s="76">
        <v>23</v>
      </c>
    </row>
    <row r="280" spans="1:16">
      <c r="A280" s="119">
        <v>43896</v>
      </c>
      <c r="B280" s="125">
        <v>11</v>
      </c>
      <c r="C280" s="73">
        <v>12</v>
      </c>
      <c r="D280" s="126">
        <f t="shared" si="38"/>
        <v>1</v>
      </c>
      <c r="E280" s="121"/>
      <c r="F280" s="73"/>
      <c r="G280" s="129"/>
      <c r="H280" s="125"/>
      <c r="I280" s="73"/>
      <c r="J280" s="126"/>
      <c r="K280" s="132" t="str">
        <f t="shared" si="33"/>
        <v>Pass</v>
      </c>
      <c r="L280" s="73">
        <v>1340</v>
      </c>
      <c r="M280" s="75" t="s">
        <v>474</v>
      </c>
      <c r="N280" s="75"/>
      <c r="O280" s="76">
        <v>100</v>
      </c>
      <c r="P280" s="76">
        <v>23</v>
      </c>
    </row>
    <row r="281" spans="1:16">
      <c r="A281" s="119">
        <v>43901</v>
      </c>
      <c r="B281" s="125">
        <v>3</v>
      </c>
      <c r="C281" s="73">
        <v>8</v>
      </c>
      <c r="D281" s="126">
        <f t="shared" ref="D281:D285" si="40">IF(((B281="")*AND(C281="")),"",(C281-B281))</f>
        <v>5</v>
      </c>
      <c r="E281" s="121"/>
      <c r="F281" s="73"/>
      <c r="G281" s="129"/>
      <c r="H281" s="125"/>
      <c r="I281" s="73"/>
      <c r="J281" s="126"/>
      <c r="K281" s="132" t="str">
        <f t="shared" ref="K281" si="41">IF((D281=""),"",IF(D281&lt;=P281,"Pass","Fail"))</f>
        <v>Pass</v>
      </c>
      <c r="L281" s="73">
        <v>64</v>
      </c>
      <c r="M281" s="75" t="s">
        <v>474</v>
      </c>
      <c r="N281" s="75"/>
      <c r="O281" s="76">
        <v>100</v>
      </c>
      <c r="P281" s="76">
        <v>23</v>
      </c>
    </row>
    <row r="282" spans="1:16">
      <c r="A282" s="119">
        <v>43904</v>
      </c>
      <c r="B282" s="125">
        <v>10</v>
      </c>
      <c r="C282" s="73">
        <v>23</v>
      </c>
      <c r="D282" s="126">
        <f t="shared" si="40"/>
        <v>13</v>
      </c>
      <c r="E282" s="121">
        <v>2</v>
      </c>
      <c r="F282" s="73">
        <v>9</v>
      </c>
      <c r="G282" s="129">
        <f t="shared" si="30"/>
        <v>7</v>
      </c>
      <c r="H282" s="125"/>
      <c r="I282" s="73"/>
      <c r="J282" s="126"/>
      <c r="K282" s="132" t="str">
        <f t="shared" si="33"/>
        <v>Pass</v>
      </c>
      <c r="L282" s="73">
        <v>1428</v>
      </c>
      <c r="M282" s="75" t="s">
        <v>477</v>
      </c>
      <c r="N282" s="75" t="s">
        <v>479</v>
      </c>
      <c r="O282" s="76">
        <v>100</v>
      </c>
      <c r="P282" s="76">
        <v>23</v>
      </c>
    </row>
    <row r="283" spans="1:16">
      <c r="A283" s="119">
        <v>43909</v>
      </c>
      <c r="B283" s="125">
        <v>25</v>
      </c>
      <c r="C283" s="73">
        <v>68</v>
      </c>
      <c r="D283" s="126">
        <f t="shared" si="40"/>
        <v>43</v>
      </c>
      <c r="E283" s="121"/>
      <c r="F283" s="73"/>
      <c r="G283" s="129"/>
      <c r="H283" s="125"/>
      <c r="I283" s="73"/>
      <c r="J283" s="126"/>
      <c r="K283" s="132" t="str">
        <f t="shared" si="33"/>
        <v>Fail</v>
      </c>
      <c r="L283" s="73">
        <v>1428</v>
      </c>
      <c r="N283" s="75"/>
      <c r="O283" s="76">
        <v>100</v>
      </c>
      <c r="P283" s="76">
        <v>23</v>
      </c>
    </row>
    <row r="284" spans="1:16">
      <c r="A284" s="119">
        <v>43945</v>
      </c>
      <c r="B284" s="125">
        <v>4</v>
      </c>
      <c r="C284" s="73">
        <v>11</v>
      </c>
      <c r="D284" s="126">
        <f t="shared" si="40"/>
        <v>7</v>
      </c>
      <c r="E284" s="121">
        <v>0</v>
      </c>
      <c r="F284" s="73">
        <v>1</v>
      </c>
      <c r="G284" s="129">
        <f t="shared" si="30"/>
        <v>1</v>
      </c>
      <c r="H284" s="125"/>
      <c r="I284" s="73"/>
      <c r="J284" s="126">
        <f t="shared" si="27"/>
        <v>0</v>
      </c>
      <c r="K284" s="132" t="str">
        <f t="shared" si="33"/>
        <v>Pass</v>
      </c>
      <c r="L284" s="73">
        <v>121</v>
      </c>
      <c r="M284" s="75" t="s">
        <v>482</v>
      </c>
      <c r="N284" s="75" t="s">
        <v>483</v>
      </c>
      <c r="O284" s="76">
        <v>100</v>
      </c>
      <c r="P284" s="76">
        <v>23</v>
      </c>
    </row>
    <row r="285" spans="1:16">
      <c r="A285" s="119">
        <v>43955</v>
      </c>
      <c r="B285" s="125">
        <v>0</v>
      </c>
      <c r="C285" s="73">
        <v>3</v>
      </c>
      <c r="D285" s="126">
        <f t="shared" si="40"/>
        <v>3</v>
      </c>
      <c r="E285" s="121"/>
      <c r="F285" s="73"/>
      <c r="G285" s="129"/>
      <c r="H285" s="125"/>
      <c r="I285" s="73"/>
      <c r="J285" s="126"/>
      <c r="K285" s="132" t="str">
        <f t="shared" si="33"/>
        <v>Pass</v>
      </c>
      <c r="L285" s="73">
        <v>102</v>
      </c>
      <c r="M285" s="75" t="s">
        <v>487</v>
      </c>
      <c r="N285" s="75"/>
      <c r="O285" s="76">
        <v>100</v>
      </c>
      <c r="P285" s="76">
        <v>23</v>
      </c>
    </row>
    <row r="286" spans="1:16">
      <c r="A286" s="119">
        <v>43962</v>
      </c>
      <c r="B286" s="125">
        <v>8</v>
      </c>
      <c r="C286" s="73">
        <v>9</v>
      </c>
      <c r="D286" s="126">
        <f t="shared" ref="D286" si="42">IF(((B286="")*AND(C286="")),"",(C286-B286))</f>
        <v>1</v>
      </c>
      <c r="E286" s="121">
        <v>3</v>
      </c>
      <c r="F286" s="73">
        <v>2</v>
      </c>
      <c r="G286" s="129">
        <f t="shared" si="30"/>
        <v>-1</v>
      </c>
      <c r="H286" s="125">
        <v>3</v>
      </c>
      <c r="I286" s="73">
        <v>2</v>
      </c>
      <c r="J286" s="126">
        <f t="shared" si="27"/>
        <v>-1</v>
      </c>
      <c r="K286" s="132" t="str">
        <f t="shared" ref="K286" si="43">IF((D286=""),"",IF(D286&lt;=P286,"Pass","Fail"))</f>
        <v>Pass</v>
      </c>
      <c r="L286" s="73">
        <v>1159</v>
      </c>
      <c r="M286" s="75" t="s">
        <v>489</v>
      </c>
      <c r="N286" s="75"/>
      <c r="O286" s="76">
        <v>100</v>
      </c>
      <c r="P286" s="76">
        <v>23</v>
      </c>
    </row>
    <row r="287" spans="1:16">
      <c r="A287" s="119">
        <v>43966</v>
      </c>
      <c r="B287" s="125">
        <v>4</v>
      </c>
      <c r="C287" s="73">
        <v>8</v>
      </c>
      <c r="D287" s="126">
        <f t="shared" ref="D287" si="44">IF(((B287="")*AND(C287="")),"",(C287-B287))</f>
        <v>4</v>
      </c>
      <c r="E287" s="121">
        <v>0</v>
      </c>
      <c r="F287" s="73">
        <v>2</v>
      </c>
      <c r="G287" s="129">
        <f t="shared" si="30"/>
        <v>2</v>
      </c>
      <c r="H287" s="125"/>
      <c r="I287" s="73"/>
      <c r="J287" s="126"/>
      <c r="K287" s="132" t="str">
        <f t="shared" ref="K287" si="45">IF((D287=""),"",IF(D287&lt;=P287,"Pass","Fail"))</f>
        <v>Pass</v>
      </c>
      <c r="L287" s="73">
        <v>74</v>
      </c>
      <c r="M287" s="75" t="s">
        <v>492</v>
      </c>
      <c r="N287" s="75"/>
      <c r="O287" s="76">
        <v>100</v>
      </c>
      <c r="P287" s="76">
        <v>23</v>
      </c>
    </row>
    <row r="288" spans="1:16">
      <c r="A288" s="119">
        <v>43970</v>
      </c>
      <c r="B288" s="125">
        <v>3</v>
      </c>
      <c r="C288" s="73">
        <v>7</v>
      </c>
      <c r="D288" s="126">
        <f t="shared" ref="D288:D291" si="46">IF(((B288="")*AND(C288="")),"",(C288-B288))</f>
        <v>4</v>
      </c>
      <c r="E288" s="121">
        <v>0</v>
      </c>
      <c r="F288" s="73">
        <v>2</v>
      </c>
      <c r="G288" s="129">
        <f t="shared" si="30"/>
        <v>2</v>
      </c>
      <c r="H288" s="125"/>
      <c r="I288" s="73"/>
      <c r="J288" s="126"/>
      <c r="K288" s="132" t="str">
        <f t="shared" ref="K288" si="47">IF((D288=""),"",IF(D288&lt;=P288,"Pass","Fail"))</f>
        <v>Pass</v>
      </c>
      <c r="L288" s="73">
        <v>1335</v>
      </c>
      <c r="M288" s="75" t="s">
        <v>493</v>
      </c>
      <c r="N288" s="75"/>
      <c r="O288" s="76">
        <v>100</v>
      </c>
      <c r="P288" s="76">
        <v>23</v>
      </c>
    </row>
    <row r="289" spans="1:16">
      <c r="A289" s="119">
        <v>43974</v>
      </c>
      <c r="B289" s="125">
        <v>20</v>
      </c>
      <c r="C289" s="73">
        <v>21</v>
      </c>
      <c r="D289" s="126">
        <f t="shared" si="46"/>
        <v>1</v>
      </c>
      <c r="E289" s="121">
        <v>0</v>
      </c>
      <c r="F289" s="73">
        <v>1</v>
      </c>
      <c r="G289" s="129">
        <f t="shared" si="30"/>
        <v>1</v>
      </c>
      <c r="H289" s="125"/>
      <c r="I289" s="73"/>
      <c r="J289" s="126"/>
      <c r="K289" s="132" t="str">
        <f t="shared" si="33"/>
        <v>Pass</v>
      </c>
      <c r="L289" s="73">
        <v>1428</v>
      </c>
      <c r="M289" s="75" t="s">
        <v>495</v>
      </c>
      <c r="N289" s="75"/>
      <c r="O289" s="76">
        <v>100</v>
      </c>
      <c r="P289" s="76">
        <v>23</v>
      </c>
    </row>
    <row r="290" spans="1:16">
      <c r="A290" s="119">
        <v>43978</v>
      </c>
      <c r="B290" s="125">
        <v>6</v>
      </c>
      <c r="C290" s="73">
        <v>5</v>
      </c>
      <c r="D290" s="126">
        <f t="shared" si="46"/>
        <v>-1</v>
      </c>
      <c r="E290" s="121">
        <v>0</v>
      </c>
      <c r="F290" s="73">
        <v>1</v>
      </c>
      <c r="G290" s="129">
        <f t="shared" si="30"/>
        <v>1</v>
      </c>
      <c r="H290" s="125"/>
      <c r="I290" s="73"/>
      <c r="J290" s="126"/>
      <c r="K290" s="132" t="str">
        <f t="shared" si="33"/>
        <v>Pass</v>
      </c>
      <c r="L290" s="73">
        <v>1340</v>
      </c>
      <c r="M290" s="75" t="s">
        <v>497</v>
      </c>
      <c r="N290" s="75"/>
      <c r="O290" s="76">
        <v>100</v>
      </c>
      <c r="P290" s="76">
        <v>23</v>
      </c>
    </row>
    <row r="291" spans="1:16">
      <c r="A291" s="119">
        <v>43982</v>
      </c>
      <c r="B291" s="125">
        <v>1</v>
      </c>
      <c r="C291" s="73">
        <v>1</v>
      </c>
      <c r="D291" s="126">
        <f t="shared" si="46"/>
        <v>0</v>
      </c>
      <c r="E291" s="121"/>
      <c r="F291" s="73"/>
      <c r="G291" s="129"/>
      <c r="H291" s="125"/>
      <c r="I291" s="73"/>
      <c r="J291" s="126"/>
      <c r="K291" s="132" t="str">
        <f t="shared" si="33"/>
        <v>Pass</v>
      </c>
      <c r="L291" s="73">
        <v>1534</v>
      </c>
      <c r="N291" s="75"/>
      <c r="O291" s="76">
        <v>100</v>
      </c>
      <c r="P291" s="76">
        <v>23</v>
      </c>
    </row>
    <row r="292" spans="1:16">
      <c r="A292" s="119">
        <v>43986</v>
      </c>
      <c r="B292" s="125">
        <v>1</v>
      </c>
      <c r="C292" s="73">
        <v>5</v>
      </c>
      <c r="D292" s="126">
        <f t="shared" ref="D292" si="48">IF(((B292="")*AND(C292="")),"",(C292-B292))</f>
        <v>4</v>
      </c>
      <c r="E292" s="121">
        <v>0</v>
      </c>
      <c r="F292" s="73">
        <v>1</v>
      </c>
      <c r="G292" s="129">
        <f t="shared" si="30"/>
        <v>1</v>
      </c>
      <c r="H292" s="125"/>
      <c r="I292" s="73"/>
      <c r="J292" s="126"/>
      <c r="K292" s="132" t="str">
        <f t="shared" ref="K292" si="49">IF((D292=""),"",IF(D292&lt;=P292,"Pass","Fail"))</f>
        <v>Pass</v>
      </c>
      <c r="L292" s="73">
        <v>1340</v>
      </c>
      <c r="M292" s="75" t="s">
        <v>497</v>
      </c>
      <c r="N292" s="75"/>
      <c r="O292" s="76">
        <v>100</v>
      </c>
      <c r="P292" s="76">
        <v>23</v>
      </c>
    </row>
    <row r="293" spans="1:16">
      <c r="A293" s="119">
        <v>43990</v>
      </c>
      <c r="B293" s="125">
        <v>31</v>
      </c>
      <c r="C293" s="73">
        <v>31</v>
      </c>
      <c r="D293" s="126">
        <f t="shared" ref="D293" si="50">IF(((B293="")*AND(C293="")),"",(C293-B293))</f>
        <v>0</v>
      </c>
      <c r="E293" s="121">
        <v>2</v>
      </c>
      <c r="F293" s="73">
        <v>2</v>
      </c>
      <c r="G293" s="129">
        <f t="shared" si="30"/>
        <v>0</v>
      </c>
      <c r="H293" s="125">
        <v>0</v>
      </c>
      <c r="I293" s="73">
        <v>0</v>
      </c>
      <c r="J293" s="126">
        <f t="shared" si="27"/>
        <v>0</v>
      </c>
      <c r="K293" s="132" t="str">
        <f t="shared" ref="K293" si="51">IF((D293=""),"",IF(D293&lt;=P293,"Pass","Fail"))</f>
        <v>Pass</v>
      </c>
      <c r="L293" s="73">
        <v>1159</v>
      </c>
      <c r="M293" s="75" t="s">
        <v>502</v>
      </c>
      <c r="N293" s="75"/>
      <c r="O293" s="76">
        <v>100</v>
      </c>
      <c r="P293" s="76">
        <v>23</v>
      </c>
    </row>
    <row r="294" spans="1:16">
      <c r="A294" s="119">
        <v>43994</v>
      </c>
      <c r="B294" s="125">
        <v>8</v>
      </c>
      <c r="C294" s="73">
        <v>9</v>
      </c>
      <c r="D294" s="126">
        <f t="shared" ref="D294" si="52">IF(((B294="")*AND(C294="")),"",(C294-B294))</f>
        <v>1</v>
      </c>
      <c r="E294" s="121">
        <v>2</v>
      </c>
      <c r="F294" s="73">
        <v>4</v>
      </c>
      <c r="G294" s="129">
        <f t="shared" si="30"/>
        <v>2</v>
      </c>
      <c r="H294" s="125">
        <v>2</v>
      </c>
      <c r="I294" s="73">
        <v>3</v>
      </c>
      <c r="J294" s="126">
        <f t="shared" si="27"/>
        <v>1</v>
      </c>
      <c r="K294" s="132" t="str">
        <f t="shared" ref="K294" si="53">IF((D294=""),"",IF(D294&lt;=P294,"Pass","Fail"))</f>
        <v>Pass</v>
      </c>
      <c r="L294" s="73">
        <v>1159</v>
      </c>
      <c r="M294" s="75" t="s">
        <v>504</v>
      </c>
      <c r="N294" s="75"/>
      <c r="O294" s="76">
        <v>100</v>
      </c>
      <c r="P294" s="76">
        <v>23</v>
      </c>
    </row>
    <row r="295" spans="1:16">
      <c r="A295" s="119">
        <v>43998</v>
      </c>
      <c r="B295" s="125">
        <v>6</v>
      </c>
      <c r="C295" s="73">
        <v>14</v>
      </c>
      <c r="D295" s="126">
        <f t="shared" ref="D295:D296" si="54">IF(((B295="")*AND(C295="")),"",(C295-B295))</f>
        <v>8</v>
      </c>
      <c r="E295" s="121"/>
      <c r="F295" s="73"/>
      <c r="G295" s="129"/>
      <c r="H295" s="125"/>
      <c r="I295" s="73"/>
      <c r="J295" s="126"/>
      <c r="K295" s="132" t="str">
        <f t="shared" ref="K295" si="55">IF((D295=""),"",IF(D295&lt;=P295,"Pass","Fail"))</f>
        <v>Pass</v>
      </c>
      <c r="L295" s="73">
        <v>102</v>
      </c>
      <c r="M295" s="75" t="s">
        <v>506</v>
      </c>
      <c r="N295" s="75"/>
      <c r="O295" s="76">
        <v>100</v>
      </c>
      <c r="P295" s="76">
        <v>23</v>
      </c>
    </row>
    <row r="296" spans="1:16">
      <c r="A296" s="119">
        <v>44004</v>
      </c>
      <c r="B296" s="125">
        <v>5</v>
      </c>
      <c r="C296" s="73">
        <v>3</v>
      </c>
      <c r="D296" s="126">
        <f t="shared" si="54"/>
        <v>-2</v>
      </c>
      <c r="E296" s="121">
        <v>0</v>
      </c>
      <c r="F296" s="73">
        <v>0</v>
      </c>
      <c r="G296" s="129">
        <f t="shared" si="30"/>
        <v>0</v>
      </c>
      <c r="H296" s="125">
        <v>0</v>
      </c>
      <c r="I296" s="73">
        <v>0</v>
      </c>
      <c r="J296" s="126">
        <f t="shared" si="27"/>
        <v>0</v>
      </c>
      <c r="K296" s="132" t="str">
        <f t="shared" si="33"/>
        <v>Pass</v>
      </c>
      <c r="L296" s="73">
        <v>121</v>
      </c>
      <c r="M296" s="75" t="s">
        <v>509</v>
      </c>
      <c r="N296" s="75"/>
      <c r="O296" s="76">
        <v>100</v>
      </c>
      <c r="P296" s="76">
        <v>23</v>
      </c>
    </row>
    <row r="297" spans="1:16">
      <c r="A297" s="119">
        <v>44008</v>
      </c>
      <c r="B297" s="125">
        <v>11</v>
      </c>
      <c r="C297" s="73">
        <v>20</v>
      </c>
      <c r="D297" s="126">
        <f t="shared" ref="D297" si="56">IF(((B297="")*AND(C297="")),"",(C297-B297))</f>
        <v>9</v>
      </c>
      <c r="E297" s="121">
        <v>0</v>
      </c>
      <c r="F297" s="73">
        <v>3</v>
      </c>
      <c r="G297" s="129">
        <f t="shared" si="30"/>
        <v>3</v>
      </c>
      <c r="H297" s="125">
        <v>0</v>
      </c>
      <c r="I297" s="73">
        <v>0</v>
      </c>
      <c r="J297" s="126">
        <f t="shared" si="27"/>
        <v>0</v>
      </c>
      <c r="K297" s="132" t="str">
        <f t="shared" ref="K297" si="57">IF((D297=""),"",IF(D297&lt;=P297,"Pass","Fail"))</f>
        <v>Pass</v>
      </c>
      <c r="L297" s="73" t="s">
        <v>212</v>
      </c>
      <c r="M297" s="75" t="s">
        <v>510</v>
      </c>
      <c r="N297" s="75"/>
      <c r="O297" s="76">
        <v>100</v>
      </c>
      <c r="P297" s="76">
        <v>23</v>
      </c>
    </row>
    <row r="298" spans="1:16">
      <c r="A298" s="119">
        <v>44013</v>
      </c>
      <c r="B298" s="125">
        <v>19</v>
      </c>
      <c r="C298" s="73">
        <v>36</v>
      </c>
      <c r="D298" s="126">
        <f t="shared" ref="D298" si="58">IF(((B298="")*AND(C298="")),"",(C298-B298))</f>
        <v>17</v>
      </c>
      <c r="E298" s="121">
        <v>4</v>
      </c>
      <c r="F298" s="73">
        <v>7</v>
      </c>
      <c r="G298" s="129">
        <f t="shared" si="30"/>
        <v>3</v>
      </c>
      <c r="H298" s="125">
        <v>3</v>
      </c>
      <c r="I298" s="73">
        <v>4</v>
      </c>
      <c r="J298" s="126">
        <f t="shared" si="27"/>
        <v>1</v>
      </c>
      <c r="K298" s="132" t="str">
        <f t="shared" ref="K298" si="59">IF((D298=""),"",IF(D298&lt;=P298,"Pass","Fail"))</f>
        <v>Pass</v>
      </c>
      <c r="L298" s="73">
        <v>1159</v>
      </c>
      <c r="M298" s="75" t="s">
        <v>512</v>
      </c>
      <c r="N298" s="75"/>
      <c r="O298" s="76">
        <v>100</v>
      </c>
      <c r="P298" s="76">
        <v>23</v>
      </c>
    </row>
    <row r="299" spans="1:16">
      <c r="A299" s="119">
        <v>44017</v>
      </c>
      <c r="B299" s="125">
        <v>5</v>
      </c>
      <c r="C299" s="73">
        <v>19</v>
      </c>
      <c r="D299" s="126">
        <f t="shared" ref="D299" si="60">IF(((B299="")*AND(C299="")),"",(C299-B299))</f>
        <v>14</v>
      </c>
      <c r="E299" s="121">
        <v>0</v>
      </c>
      <c r="F299" s="73">
        <v>5</v>
      </c>
      <c r="G299" s="129">
        <f t="shared" si="30"/>
        <v>5</v>
      </c>
      <c r="H299" s="125">
        <v>0</v>
      </c>
      <c r="I299" s="73">
        <v>2</v>
      </c>
      <c r="J299" s="126">
        <f t="shared" si="27"/>
        <v>2</v>
      </c>
      <c r="K299" s="132" t="str">
        <f t="shared" ref="K299" si="61">IF((D299=""),"",IF(D299&lt;=P299,"Pass","Fail"))</f>
        <v>Pass</v>
      </c>
      <c r="L299" s="73">
        <v>1159</v>
      </c>
      <c r="M299" s="75" t="s">
        <v>514</v>
      </c>
      <c r="N299" s="75"/>
      <c r="O299" s="76">
        <v>100</v>
      </c>
      <c r="P299" s="76">
        <v>23</v>
      </c>
    </row>
    <row r="300" spans="1:16">
      <c r="A300" s="119">
        <v>44021</v>
      </c>
      <c r="B300" s="125">
        <v>3</v>
      </c>
      <c r="C300" s="73">
        <v>8</v>
      </c>
      <c r="D300" s="126">
        <f t="shared" ref="D300" si="62">IF(((B300="")*AND(C300="")),"",(C300-B300))</f>
        <v>5</v>
      </c>
      <c r="E300" s="121">
        <v>0</v>
      </c>
      <c r="F300" s="73">
        <v>5</v>
      </c>
      <c r="G300" s="129">
        <f t="shared" si="30"/>
        <v>5</v>
      </c>
      <c r="H300" s="125">
        <v>1</v>
      </c>
      <c r="I300" s="73">
        <v>5</v>
      </c>
      <c r="J300" s="126">
        <f t="shared" si="27"/>
        <v>4</v>
      </c>
      <c r="K300" s="132" t="str">
        <f t="shared" ref="K300" si="63">IF((D300=""),"",IF(D300&lt;=P300,"Pass","Fail"))</f>
        <v>Pass</v>
      </c>
      <c r="L300" s="73">
        <v>1340</v>
      </c>
      <c r="M300" s="75" t="s">
        <v>516</v>
      </c>
      <c r="N300" s="75"/>
      <c r="O300" s="76">
        <v>100</v>
      </c>
      <c r="P300" s="76">
        <v>23</v>
      </c>
    </row>
    <row r="301" spans="1:16">
      <c r="A301" s="119">
        <v>44025</v>
      </c>
      <c r="B301" s="125">
        <v>7</v>
      </c>
      <c r="C301" s="73">
        <v>28</v>
      </c>
      <c r="D301" s="126">
        <f t="shared" ref="D301" si="64">IF(((B301="")*AND(C301="")),"",(C301-B301))</f>
        <v>21</v>
      </c>
      <c r="E301" s="121">
        <v>0</v>
      </c>
      <c r="F301" s="73">
        <v>5</v>
      </c>
      <c r="G301" s="129">
        <f t="shared" si="30"/>
        <v>5</v>
      </c>
      <c r="H301" s="125">
        <v>9</v>
      </c>
      <c r="I301" s="73">
        <v>9</v>
      </c>
      <c r="J301" s="126">
        <f t="shared" si="27"/>
        <v>0</v>
      </c>
      <c r="K301" s="132" t="str">
        <f t="shared" ref="K301" si="65">IF((D301=""),"",IF(D301&lt;=P301,"Pass","Fail"))</f>
        <v>Pass</v>
      </c>
      <c r="L301" s="73">
        <v>1340</v>
      </c>
      <c r="M301" s="75" t="s">
        <v>518</v>
      </c>
      <c r="N301" s="75"/>
      <c r="O301" s="76">
        <v>100</v>
      </c>
      <c r="P301" s="76">
        <v>23</v>
      </c>
    </row>
    <row r="302" spans="1:16">
      <c r="A302" s="119">
        <v>44029</v>
      </c>
      <c r="B302" s="125">
        <v>6</v>
      </c>
      <c r="C302" s="73">
        <v>9</v>
      </c>
      <c r="D302" s="126">
        <f t="shared" ref="D302" si="66">IF(((B302="")*AND(C302="")),"",(C302-B302))</f>
        <v>3</v>
      </c>
      <c r="E302" s="121">
        <v>0</v>
      </c>
      <c r="F302" s="73">
        <v>5</v>
      </c>
      <c r="G302" s="129">
        <f t="shared" si="30"/>
        <v>5</v>
      </c>
      <c r="H302" s="125">
        <v>0</v>
      </c>
      <c r="I302" s="73">
        <v>1</v>
      </c>
      <c r="J302" s="126">
        <f t="shared" si="27"/>
        <v>1</v>
      </c>
      <c r="K302" s="132" t="str">
        <f t="shared" ref="K302" si="67">IF((D302=""),"",IF(D302&lt;=P302,"Pass","Fail"))</f>
        <v>Pass</v>
      </c>
      <c r="L302" s="73">
        <v>1340</v>
      </c>
      <c r="M302" s="75" t="s">
        <v>520</v>
      </c>
      <c r="N302" s="75"/>
      <c r="O302" s="76">
        <v>100</v>
      </c>
      <c r="P302" s="76">
        <v>23</v>
      </c>
    </row>
    <row r="303" spans="1:16">
      <c r="A303" s="119">
        <v>44033</v>
      </c>
      <c r="B303" s="125">
        <v>9</v>
      </c>
      <c r="C303" s="73">
        <v>12</v>
      </c>
      <c r="D303" s="126">
        <f t="shared" ref="D303" si="68">IF(((B303="")*AND(C303="")),"",(C303-B303))</f>
        <v>3</v>
      </c>
      <c r="E303" s="121">
        <v>1</v>
      </c>
      <c r="F303" s="73">
        <v>2</v>
      </c>
      <c r="G303" s="129">
        <f t="shared" si="30"/>
        <v>1</v>
      </c>
      <c r="H303" s="125">
        <v>1</v>
      </c>
      <c r="I303" s="73">
        <v>2</v>
      </c>
      <c r="J303" s="126">
        <f t="shared" si="27"/>
        <v>1</v>
      </c>
      <c r="K303" s="132" t="str">
        <f t="shared" ref="K303" si="69">IF((D303=""),"",IF(D303&lt;=P303,"Pass","Fail"))</f>
        <v>Pass</v>
      </c>
      <c r="L303" s="73">
        <v>1159</v>
      </c>
      <c r="M303" s="75" t="s">
        <v>523</v>
      </c>
      <c r="N303" s="75"/>
      <c r="O303" s="76">
        <v>100</v>
      </c>
      <c r="P303" s="76">
        <v>23</v>
      </c>
    </row>
    <row r="304" spans="1:16">
      <c r="A304" s="119">
        <v>44038</v>
      </c>
      <c r="B304" s="125">
        <v>25</v>
      </c>
      <c r="C304" s="73">
        <v>24</v>
      </c>
      <c r="D304" s="126">
        <f t="shared" ref="D304" si="70">IF(((B304="")*AND(C304="")),"",(C304-B304))</f>
        <v>-1</v>
      </c>
      <c r="E304" s="121">
        <v>0</v>
      </c>
      <c r="F304" s="73">
        <v>10</v>
      </c>
      <c r="G304" s="129">
        <f t="shared" si="30"/>
        <v>10</v>
      </c>
      <c r="H304" s="125"/>
      <c r="I304" s="73"/>
      <c r="J304" s="126"/>
      <c r="K304" s="132" t="str">
        <f t="shared" ref="K304" si="71">IF((D304=""),"",IF(D304&lt;=P304,"Pass","Fail"))</f>
        <v>Pass</v>
      </c>
      <c r="L304" s="73">
        <v>1340</v>
      </c>
      <c r="M304" s="75" t="s">
        <v>524</v>
      </c>
      <c r="N304" s="75"/>
      <c r="O304" s="76">
        <v>100</v>
      </c>
      <c r="P304" s="76">
        <v>23</v>
      </c>
    </row>
    <row r="305" spans="1:16">
      <c r="A305" s="119">
        <v>44043</v>
      </c>
      <c r="B305" s="125">
        <v>3</v>
      </c>
      <c r="C305" s="73">
        <v>186</v>
      </c>
      <c r="D305" s="126">
        <f t="shared" ref="D305:D306" si="72">IF(((B305="")*AND(C305="")),"",(C305-B305))</f>
        <v>183</v>
      </c>
      <c r="E305" s="121">
        <v>0</v>
      </c>
      <c r="F305" s="73">
        <v>75</v>
      </c>
      <c r="G305" s="129">
        <f t="shared" si="30"/>
        <v>75</v>
      </c>
      <c r="H305" s="125">
        <v>0</v>
      </c>
      <c r="I305" s="73">
        <v>39</v>
      </c>
      <c r="J305" s="126">
        <f t="shared" si="27"/>
        <v>39</v>
      </c>
      <c r="K305" s="132" t="str">
        <f t="shared" ref="K305" si="73">IF((D305=""),"",IF(D305&lt;=P305,"Pass","Fail"))</f>
        <v>Fail</v>
      </c>
      <c r="L305" s="73">
        <v>121</v>
      </c>
      <c r="M305" s="75" t="s">
        <v>526</v>
      </c>
      <c r="N305" s="75"/>
      <c r="O305" s="76">
        <v>100</v>
      </c>
      <c r="P305" s="76">
        <v>23</v>
      </c>
    </row>
    <row r="306" spans="1:16">
      <c r="A306" s="119">
        <v>44048</v>
      </c>
      <c r="B306" s="125">
        <v>2</v>
      </c>
      <c r="C306" s="73">
        <v>396</v>
      </c>
      <c r="D306" s="126">
        <f t="shared" si="72"/>
        <v>394</v>
      </c>
      <c r="E306" s="121"/>
      <c r="F306" s="73"/>
      <c r="G306" s="129"/>
      <c r="H306" s="125"/>
      <c r="I306" s="73"/>
      <c r="J306" s="126"/>
      <c r="K306" s="132" t="str">
        <f t="shared" si="33"/>
        <v>Fail</v>
      </c>
      <c r="L306" s="73">
        <v>1519</v>
      </c>
      <c r="M306" s="75" t="s">
        <v>23</v>
      </c>
      <c r="N306" s="75"/>
      <c r="O306" s="76">
        <v>100</v>
      </c>
      <c r="P306" s="76">
        <v>23</v>
      </c>
    </row>
    <row r="307" spans="1:16">
      <c r="A307" s="119">
        <v>44048</v>
      </c>
      <c r="B307" s="125">
        <v>3</v>
      </c>
      <c r="C307" s="73">
        <v>187</v>
      </c>
      <c r="D307" s="126">
        <f t="shared" ref="D307" si="74">IF(((B307="")*AND(C307="")),"",(C307-B307))</f>
        <v>184</v>
      </c>
      <c r="E307" s="121">
        <v>0</v>
      </c>
      <c r="F307" s="73">
        <v>46</v>
      </c>
      <c r="G307" s="129">
        <f t="shared" si="30"/>
        <v>46</v>
      </c>
      <c r="H307" s="125">
        <v>0</v>
      </c>
      <c r="I307" s="73">
        <v>21</v>
      </c>
      <c r="J307" s="126">
        <f t="shared" si="27"/>
        <v>21</v>
      </c>
      <c r="K307" s="132" t="str">
        <f t="shared" ref="K307" si="75">IF((D307=""),"",IF(D307&lt;=P307,"Pass","Fail"))</f>
        <v>Fail</v>
      </c>
      <c r="L307" s="73">
        <v>1159</v>
      </c>
      <c r="M307" s="75" t="s">
        <v>527</v>
      </c>
      <c r="N307" s="75"/>
      <c r="O307" s="76">
        <v>100</v>
      </c>
      <c r="P307" s="76">
        <v>23</v>
      </c>
    </row>
    <row r="308" spans="1:16">
      <c r="A308" s="119">
        <v>44081</v>
      </c>
      <c r="B308" s="125">
        <v>1</v>
      </c>
      <c r="C308" s="73">
        <v>5</v>
      </c>
      <c r="D308" s="126">
        <f t="shared" ref="D308" si="76">IF(((B308="")*AND(C308="")),"",(C308-B308))</f>
        <v>4</v>
      </c>
      <c r="E308" s="121"/>
      <c r="F308" s="73"/>
      <c r="G308" s="129"/>
      <c r="H308" s="125"/>
      <c r="I308" s="73"/>
      <c r="J308" s="126"/>
      <c r="K308" s="132" t="str">
        <f t="shared" ref="K308" si="77">IF((D308=""),"",IF(D308&lt;=P308,"Pass","Fail"))</f>
        <v>Pass</v>
      </c>
      <c r="L308" s="73">
        <v>64</v>
      </c>
      <c r="M308" s="75" t="s">
        <v>527</v>
      </c>
      <c r="N308" s="75" t="s">
        <v>529</v>
      </c>
      <c r="O308" s="76">
        <v>100</v>
      </c>
      <c r="P308" s="76">
        <v>23</v>
      </c>
    </row>
    <row r="309" spans="1:16">
      <c r="A309" s="119">
        <v>44086</v>
      </c>
      <c r="B309" s="125">
        <v>1</v>
      </c>
      <c r="C309" s="73">
        <v>21</v>
      </c>
      <c r="D309" s="126">
        <f t="shared" ref="D309" si="78">IF(((B309="")*AND(C309="")),"",(C309-B309))</f>
        <v>20</v>
      </c>
      <c r="E309" s="121">
        <v>0</v>
      </c>
      <c r="F309" s="73">
        <v>5</v>
      </c>
      <c r="G309" s="129">
        <f t="shared" si="30"/>
        <v>5</v>
      </c>
      <c r="H309" s="125">
        <v>0</v>
      </c>
      <c r="I309" s="73">
        <v>2</v>
      </c>
      <c r="J309" s="126">
        <f t="shared" si="27"/>
        <v>2</v>
      </c>
      <c r="K309" s="132" t="str">
        <f t="shared" ref="K309" si="79">IF((D309=""),"",IF(D309&lt;=P309,"Pass","Fail"))</f>
        <v>Pass</v>
      </c>
      <c r="L309" s="73" t="s">
        <v>212</v>
      </c>
      <c r="M309" s="75" t="s">
        <v>531</v>
      </c>
      <c r="N309" s="75"/>
      <c r="O309" s="76">
        <v>100</v>
      </c>
      <c r="P309" s="76">
        <v>23</v>
      </c>
    </row>
    <row r="310" spans="1:16">
      <c r="A310" s="119">
        <v>44092</v>
      </c>
      <c r="B310" s="125">
        <v>5</v>
      </c>
      <c r="C310" s="73">
        <v>11</v>
      </c>
      <c r="D310" s="126">
        <f t="shared" ref="D310:D311" si="80">IF(((B310="")*AND(C310="")),"",(C310-B310))</f>
        <v>6</v>
      </c>
      <c r="E310" s="121">
        <v>1</v>
      </c>
      <c r="F310" s="73">
        <v>2</v>
      </c>
      <c r="G310" s="129">
        <f t="shared" si="30"/>
        <v>1</v>
      </c>
      <c r="H310" s="125">
        <v>0</v>
      </c>
      <c r="I310" s="73">
        <v>1</v>
      </c>
      <c r="J310" s="126">
        <f t="shared" si="27"/>
        <v>1</v>
      </c>
      <c r="K310" s="132" t="str">
        <f t="shared" ref="K310" si="81">IF((D310=""),"",IF(D310&lt;=P310,"Pass","Fail"))</f>
        <v>Pass</v>
      </c>
      <c r="L310" s="73">
        <v>74</v>
      </c>
      <c r="M310" s="75" t="s">
        <v>532</v>
      </c>
      <c r="N310" s="75"/>
      <c r="O310" s="76">
        <v>100</v>
      </c>
      <c r="P310" s="76">
        <v>23</v>
      </c>
    </row>
    <row r="311" spans="1:16">
      <c r="A311" s="119">
        <v>44098</v>
      </c>
      <c r="B311" s="125">
        <v>10</v>
      </c>
      <c r="C311" s="73">
        <v>147</v>
      </c>
      <c r="D311" s="126">
        <f t="shared" si="80"/>
        <v>137</v>
      </c>
      <c r="E311" s="121">
        <v>7</v>
      </c>
      <c r="F311" s="73">
        <v>50</v>
      </c>
      <c r="G311" s="129">
        <f t="shared" si="30"/>
        <v>43</v>
      </c>
      <c r="H311" s="125">
        <v>6</v>
      </c>
      <c r="I311" s="73">
        <v>29</v>
      </c>
      <c r="J311" s="126">
        <f t="shared" si="27"/>
        <v>23</v>
      </c>
      <c r="K311" s="132" t="str">
        <f t="shared" ref="K311" si="82">IF((D311=""),"",IF(D311&lt;=P311,"Pass","Fail"))</f>
        <v>Fail</v>
      </c>
      <c r="L311" s="73">
        <v>74</v>
      </c>
      <c r="M311" s="75" t="s">
        <v>534</v>
      </c>
      <c r="N311" s="75"/>
      <c r="O311" s="76">
        <v>100</v>
      </c>
      <c r="P311" s="76">
        <v>23</v>
      </c>
    </row>
    <row r="312" spans="1:16">
      <c r="A312" s="119">
        <v>44098</v>
      </c>
      <c r="B312" s="125">
        <v>6</v>
      </c>
      <c r="C312" s="73">
        <v>105</v>
      </c>
      <c r="D312" s="126">
        <f t="shared" ref="D312" si="83">IF(((B312="")*AND(C312="")),"",(C312-B312))</f>
        <v>99</v>
      </c>
      <c r="E312" s="121">
        <v>2</v>
      </c>
      <c r="F312" s="73">
        <v>31</v>
      </c>
      <c r="G312" s="129">
        <f t="shared" si="30"/>
        <v>29</v>
      </c>
      <c r="H312" s="125">
        <v>0</v>
      </c>
      <c r="I312" s="73">
        <v>9</v>
      </c>
      <c r="J312" s="126">
        <f t="shared" si="27"/>
        <v>9</v>
      </c>
      <c r="K312" s="132" t="str">
        <f t="shared" ref="K312" si="84">IF((D312=""),"",IF(D312&lt;=P312,"Pass","Fail"))</f>
        <v>Fail</v>
      </c>
      <c r="L312" s="73">
        <v>74</v>
      </c>
      <c r="M312" s="75" t="s">
        <v>535</v>
      </c>
      <c r="N312" s="75"/>
      <c r="O312" s="76">
        <v>100</v>
      </c>
      <c r="P312" s="76">
        <v>23</v>
      </c>
    </row>
    <row r="313" spans="1:16">
      <c r="A313" s="119">
        <v>44099</v>
      </c>
      <c r="B313" s="125">
        <v>0</v>
      </c>
      <c r="C313" s="73">
        <v>2</v>
      </c>
      <c r="D313" s="126">
        <f t="shared" ref="D313:D314" si="85">IF(((B313="")*AND(C313="")),"",(C313-B313))</f>
        <v>2</v>
      </c>
      <c r="E313" s="121"/>
      <c r="F313" s="73"/>
      <c r="G313" s="129"/>
      <c r="H313" s="125"/>
      <c r="I313" s="73"/>
      <c r="J313" s="126"/>
      <c r="K313" s="132" t="str">
        <f t="shared" ref="K313:K314" si="86">IF((D313=""),"",IF(D313&lt;=P313,"Pass","Fail"))</f>
        <v>Pass</v>
      </c>
      <c r="L313" s="73">
        <v>64</v>
      </c>
      <c r="M313" s="75" t="s">
        <v>535</v>
      </c>
      <c r="N313" s="75" t="s">
        <v>536</v>
      </c>
      <c r="O313" s="76">
        <v>100</v>
      </c>
      <c r="P313" s="76">
        <v>23</v>
      </c>
    </row>
    <row r="314" spans="1:16">
      <c r="A314" s="119">
        <v>44104</v>
      </c>
      <c r="B314" s="125">
        <v>5</v>
      </c>
      <c r="C314" s="73">
        <v>8</v>
      </c>
      <c r="D314" s="126">
        <f t="shared" si="85"/>
        <v>3</v>
      </c>
      <c r="E314" s="121">
        <v>0</v>
      </c>
      <c r="F314" s="73">
        <v>3</v>
      </c>
      <c r="G314" s="129">
        <f t="shared" si="30"/>
        <v>3</v>
      </c>
      <c r="H314" s="125">
        <v>0</v>
      </c>
      <c r="I314" s="73">
        <v>39</v>
      </c>
      <c r="J314" s="126">
        <f t="shared" si="27"/>
        <v>39</v>
      </c>
      <c r="K314" s="132" t="str">
        <f t="shared" si="86"/>
        <v>Pass</v>
      </c>
      <c r="L314" s="73">
        <v>74</v>
      </c>
      <c r="M314" s="75" t="s">
        <v>537</v>
      </c>
      <c r="N314" s="75"/>
      <c r="O314" s="76">
        <v>100</v>
      </c>
      <c r="P314" s="76">
        <v>23</v>
      </c>
    </row>
    <row r="315" spans="1:16">
      <c r="A315" s="119">
        <v>44110</v>
      </c>
      <c r="B315" s="125">
        <v>7</v>
      </c>
      <c r="C315" s="73">
        <v>14</v>
      </c>
      <c r="D315" s="126">
        <f t="shared" ref="D315" si="87">IF(((B315="")*AND(C315="")),"",(C315-B315))</f>
        <v>7</v>
      </c>
      <c r="E315" s="121">
        <v>3</v>
      </c>
      <c r="F315" s="73">
        <v>6</v>
      </c>
      <c r="G315" s="129">
        <f t="shared" si="30"/>
        <v>3</v>
      </c>
      <c r="H315" s="125">
        <v>1</v>
      </c>
      <c r="I315" s="73">
        <v>3</v>
      </c>
      <c r="J315" s="126">
        <f t="shared" si="27"/>
        <v>2</v>
      </c>
      <c r="K315" s="132" t="str">
        <f t="shared" ref="K315" si="88">IF((D315=""),"",IF(D315&lt;=P315,"Pass","Fail"))</f>
        <v>Pass</v>
      </c>
      <c r="L315" s="73">
        <v>1159</v>
      </c>
      <c r="M315" s="75" t="s">
        <v>539</v>
      </c>
      <c r="N315" s="75"/>
      <c r="O315" s="76">
        <v>100</v>
      </c>
      <c r="P315" s="76">
        <v>23</v>
      </c>
    </row>
    <row r="316" spans="1:16">
      <c r="A316" s="119">
        <v>44118</v>
      </c>
      <c r="B316" s="125">
        <v>8</v>
      </c>
      <c r="C316" s="73">
        <v>8</v>
      </c>
      <c r="D316" s="126">
        <f t="shared" ref="D316" si="89">IF(((B316="")*AND(C316="")),"",(C316-B316))</f>
        <v>0</v>
      </c>
      <c r="E316" s="121">
        <v>1</v>
      </c>
      <c r="F316" s="73">
        <v>1</v>
      </c>
      <c r="G316" s="129">
        <f t="shared" ref="G316" si="90">F316-E316</f>
        <v>0</v>
      </c>
      <c r="H316" s="125">
        <v>1</v>
      </c>
      <c r="I316" s="73">
        <v>1</v>
      </c>
      <c r="J316" s="126">
        <f t="shared" ref="J316" si="91">I316-H316</f>
        <v>0</v>
      </c>
      <c r="K316" s="132" t="str">
        <f t="shared" ref="K316" si="92">IF((D316=""),"",IF(D316&lt;=P316,"Pass","Fail"))</f>
        <v>Pass</v>
      </c>
      <c r="L316" s="73">
        <v>121</v>
      </c>
      <c r="M316" s="75" t="s">
        <v>544</v>
      </c>
      <c r="N316" s="75"/>
      <c r="O316" s="76">
        <v>100</v>
      </c>
      <c r="P316" s="76">
        <v>23</v>
      </c>
    </row>
    <row r="317" spans="1:16">
      <c r="A317" s="119">
        <v>44118</v>
      </c>
      <c r="B317" s="125">
        <v>1</v>
      </c>
      <c r="C317" s="73">
        <v>12</v>
      </c>
      <c r="D317" s="126">
        <f t="shared" ref="D317:D318" si="93">IF(((B317="")*AND(C317="")),"",(C317-B317))</f>
        <v>11</v>
      </c>
      <c r="E317" s="121">
        <v>0</v>
      </c>
      <c r="F317" s="73">
        <v>3</v>
      </c>
      <c r="G317" s="129">
        <f t="shared" ref="G317:G318" si="94">F317-E317</f>
        <v>3</v>
      </c>
      <c r="H317" s="125">
        <v>0</v>
      </c>
      <c r="I317" s="73">
        <v>2</v>
      </c>
      <c r="J317" s="126">
        <f t="shared" ref="J317:J318" si="95">I317-H317</f>
        <v>2</v>
      </c>
      <c r="K317" s="132" t="str">
        <f t="shared" ref="K317" si="96">IF((D317=""),"",IF(D317&lt;=P317,"Pass","Fail"))</f>
        <v>Pass</v>
      </c>
      <c r="L317" s="73">
        <v>1428</v>
      </c>
      <c r="M317" s="75" t="s">
        <v>546</v>
      </c>
      <c r="N317" s="75"/>
      <c r="O317" s="76">
        <v>100</v>
      </c>
      <c r="P317" s="76">
        <v>23</v>
      </c>
    </row>
    <row r="318" spans="1:16">
      <c r="A318" s="119">
        <v>44137</v>
      </c>
      <c r="B318" s="73">
        <v>16</v>
      </c>
      <c r="C318" s="73">
        <v>32</v>
      </c>
      <c r="D318" s="73">
        <f t="shared" si="93"/>
        <v>16</v>
      </c>
      <c r="E318" s="73">
        <v>2</v>
      </c>
      <c r="F318" s="73">
        <v>4</v>
      </c>
      <c r="G318" s="129">
        <f t="shared" si="94"/>
        <v>2</v>
      </c>
      <c r="H318" s="73">
        <v>2</v>
      </c>
      <c r="I318" s="73">
        <v>2</v>
      </c>
      <c r="J318" s="73">
        <f t="shared" si="95"/>
        <v>0</v>
      </c>
      <c r="K318" s="74" t="str">
        <f t="shared" si="33"/>
        <v>Pass</v>
      </c>
      <c r="L318" s="73" t="s">
        <v>556</v>
      </c>
      <c r="M318" s="75" t="s">
        <v>557</v>
      </c>
      <c r="N318" s="75"/>
      <c r="O318" s="76">
        <v>100</v>
      </c>
      <c r="P318" s="76">
        <v>23</v>
      </c>
    </row>
    <row r="319" spans="1:16">
      <c r="A319" s="119">
        <v>44144</v>
      </c>
      <c r="B319" s="73">
        <v>3</v>
      </c>
      <c r="C319" s="73">
        <v>15</v>
      </c>
      <c r="D319" s="73">
        <f t="shared" ref="D319:D320" si="97">IF(((B319="")*AND(C319="")),"",(C319-B319))</f>
        <v>12</v>
      </c>
      <c r="E319" s="73">
        <v>0</v>
      </c>
      <c r="F319" s="73">
        <v>4</v>
      </c>
      <c r="G319" s="129">
        <f t="shared" ref="G319:G320" si="98">F319-E319</f>
        <v>4</v>
      </c>
      <c r="H319" s="73">
        <v>0</v>
      </c>
      <c r="I319" s="73">
        <v>2</v>
      </c>
      <c r="J319" s="73">
        <f t="shared" ref="J319:J320" si="99">I319-H319</f>
        <v>2</v>
      </c>
      <c r="K319" s="74" t="str">
        <f t="shared" ref="K319" si="100">IF((D319=""),"",IF(D319&lt;=P319,"Pass","Fail"))</f>
        <v>Pass</v>
      </c>
      <c r="L319" s="73">
        <v>1428</v>
      </c>
      <c r="M319" s="75" t="s">
        <v>568</v>
      </c>
      <c r="N319" s="75"/>
      <c r="O319" s="76">
        <v>100</v>
      </c>
      <c r="P319" s="76">
        <v>23</v>
      </c>
    </row>
    <row r="320" spans="1:16">
      <c r="A320" s="39">
        <v>44151</v>
      </c>
      <c r="B320" s="73">
        <v>18</v>
      </c>
      <c r="C320" s="73">
        <v>40</v>
      </c>
      <c r="D320" s="73">
        <f t="shared" si="97"/>
        <v>22</v>
      </c>
      <c r="E320" s="73">
        <v>11</v>
      </c>
      <c r="F320" s="73">
        <v>13</v>
      </c>
      <c r="G320" s="73">
        <f t="shared" si="98"/>
        <v>2</v>
      </c>
      <c r="H320" s="73">
        <v>0</v>
      </c>
      <c r="I320" s="73">
        <v>5</v>
      </c>
      <c r="J320" s="73">
        <f t="shared" si="99"/>
        <v>5</v>
      </c>
      <c r="K320" s="74" t="str">
        <f t="shared" si="33"/>
        <v>Pass</v>
      </c>
      <c r="L320" s="73">
        <v>1340</v>
      </c>
      <c r="M320" s="75" t="s">
        <v>570</v>
      </c>
      <c r="N320" s="75"/>
      <c r="O320" s="76">
        <v>100</v>
      </c>
      <c r="P320" s="76">
        <v>23</v>
      </c>
    </row>
    <row r="321" spans="1:16">
      <c r="A321" s="39">
        <v>44155</v>
      </c>
      <c r="B321" s="73">
        <v>2</v>
      </c>
      <c r="C321" s="73">
        <v>14</v>
      </c>
      <c r="D321" s="73">
        <f t="shared" ref="D321:D322" si="101">IF(((B321="")*AND(C321="")),"",(C321-B321))</f>
        <v>12</v>
      </c>
      <c r="E321" s="73">
        <v>1</v>
      </c>
      <c r="F321" s="73">
        <v>4</v>
      </c>
      <c r="G321" s="73">
        <f t="shared" ref="G321:G322" si="102">F321-E321</f>
        <v>3</v>
      </c>
      <c r="H321" s="73">
        <v>0</v>
      </c>
      <c r="I321" s="73">
        <v>8</v>
      </c>
      <c r="J321" s="73">
        <f t="shared" ref="J321:J322" si="103">I321-H321</f>
        <v>8</v>
      </c>
      <c r="K321" s="74" t="str">
        <f t="shared" ref="K321" si="104">IF((D321=""),"",IF(D321&lt;=P321,"Pass","Fail"))</f>
        <v>Pass</v>
      </c>
      <c r="L321" s="73">
        <v>1340</v>
      </c>
      <c r="M321" s="75" t="s">
        <v>572</v>
      </c>
      <c r="N321" s="75"/>
      <c r="O321" s="76">
        <v>100</v>
      </c>
      <c r="P321" s="76">
        <v>23</v>
      </c>
    </row>
    <row r="322" spans="1:16">
      <c r="A322" s="39">
        <v>44159</v>
      </c>
      <c r="B322" s="73">
        <v>2</v>
      </c>
      <c r="C322" s="73">
        <v>33</v>
      </c>
      <c r="D322" s="73">
        <f t="shared" si="101"/>
        <v>31</v>
      </c>
      <c r="E322" s="73">
        <v>1</v>
      </c>
      <c r="F322" s="73">
        <v>7</v>
      </c>
      <c r="G322" s="73">
        <f t="shared" si="102"/>
        <v>6</v>
      </c>
      <c r="H322" s="73">
        <v>1</v>
      </c>
      <c r="I322" s="73">
        <v>3</v>
      </c>
      <c r="J322" s="73">
        <f t="shared" si="103"/>
        <v>2</v>
      </c>
      <c r="K322" s="74" t="str">
        <f t="shared" ref="K322" si="105">IF((D322=""),"",IF(D322&lt;=P322,"Pass","Fail"))</f>
        <v>Fail</v>
      </c>
      <c r="L322" s="73">
        <v>1159</v>
      </c>
      <c r="M322" s="75" t="s">
        <v>574</v>
      </c>
      <c r="N322" s="75"/>
      <c r="O322" s="76">
        <v>100</v>
      </c>
      <c r="P322" s="76">
        <v>23</v>
      </c>
    </row>
    <row r="323" spans="1:16">
      <c r="A323" s="39">
        <v>44159</v>
      </c>
      <c r="B323" s="73">
        <v>0</v>
      </c>
      <c r="C323" s="73">
        <v>68</v>
      </c>
      <c r="D323" s="73">
        <f t="shared" ref="D323:D325" si="106">IF(((B323="")*AND(C323="")),"",(C323-B323))</f>
        <v>68</v>
      </c>
      <c r="E323" s="73">
        <v>0</v>
      </c>
      <c r="F323" s="73">
        <v>23</v>
      </c>
      <c r="G323" s="73">
        <f t="shared" ref="G323:G325" si="107">F323-E323</f>
        <v>23</v>
      </c>
      <c r="H323" s="73">
        <v>0</v>
      </c>
      <c r="I323" s="73">
        <v>7</v>
      </c>
      <c r="J323" s="73">
        <f t="shared" ref="J323:J325" si="108">I323-H323</f>
        <v>7</v>
      </c>
      <c r="K323" s="74" t="str">
        <f t="shared" ref="K323:K325" si="109">IF((D323=""),"",IF(D323&lt;=P323,"Pass","Fail"))</f>
        <v>Fail</v>
      </c>
      <c r="L323" s="73">
        <v>1159</v>
      </c>
      <c r="M323" s="75" t="s">
        <v>575</v>
      </c>
      <c r="N323" s="75"/>
      <c r="O323" s="76">
        <v>100</v>
      </c>
      <c r="P323" s="76">
        <v>23</v>
      </c>
    </row>
    <row r="324" spans="1:16">
      <c r="A324" s="39">
        <v>44162</v>
      </c>
      <c r="B324" s="73">
        <v>12</v>
      </c>
      <c r="C324" s="73">
        <v>77</v>
      </c>
      <c r="D324" s="73">
        <f t="shared" si="106"/>
        <v>65</v>
      </c>
      <c r="E324" s="73">
        <v>1</v>
      </c>
      <c r="F324" s="73">
        <v>12</v>
      </c>
      <c r="G324" s="73">
        <f t="shared" si="107"/>
        <v>11</v>
      </c>
      <c r="H324" s="73">
        <v>1</v>
      </c>
      <c r="I324" s="73">
        <v>5</v>
      </c>
      <c r="J324" s="73">
        <f t="shared" si="108"/>
        <v>4</v>
      </c>
      <c r="K324" s="74" t="str">
        <f t="shared" si="109"/>
        <v>Fail</v>
      </c>
      <c r="L324" s="73">
        <v>121</v>
      </c>
      <c r="M324" s="75" t="s">
        <v>577</v>
      </c>
      <c r="N324" s="75" t="s">
        <v>581</v>
      </c>
      <c r="O324" s="76">
        <v>100</v>
      </c>
      <c r="P324" s="76">
        <v>23</v>
      </c>
    </row>
    <row r="325" spans="1:16">
      <c r="A325" s="39">
        <v>44162</v>
      </c>
      <c r="B325" s="73">
        <v>2</v>
      </c>
      <c r="C325" s="73">
        <v>94</v>
      </c>
      <c r="D325" s="73">
        <f t="shared" si="106"/>
        <v>92</v>
      </c>
      <c r="E325" s="73">
        <v>0</v>
      </c>
      <c r="F325" s="73">
        <v>31</v>
      </c>
      <c r="G325" s="73">
        <f t="shared" si="107"/>
        <v>31</v>
      </c>
      <c r="H325" s="73">
        <v>0</v>
      </c>
      <c r="I325" s="73">
        <v>10</v>
      </c>
      <c r="J325" s="73">
        <f t="shared" si="108"/>
        <v>10</v>
      </c>
      <c r="K325" s="74" t="str">
        <f t="shared" si="109"/>
        <v>Fail</v>
      </c>
      <c r="L325" s="73">
        <v>121</v>
      </c>
      <c r="M325" s="75" t="s">
        <v>577</v>
      </c>
      <c r="N325" s="75" t="s">
        <v>580</v>
      </c>
      <c r="O325" s="76">
        <v>100</v>
      </c>
      <c r="P325" s="76">
        <v>23</v>
      </c>
    </row>
    <row r="326" spans="1:16">
      <c r="A326" s="39">
        <v>44162</v>
      </c>
      <c r="B326" s="73">
        <v>94</v>
      </c>
      <c r="C326" s="73">
        <v>96</v>
      </c>
      <c r="D326" s="73">
        <f t="shared" ref="D326" si="110">IF(((B326="")*AND(C326="")),"",(C326-B326))</f>
        <v>2</v>
      </c>
      <c r="E326" s="73">
        <v>0</v>
      </c>
      <c r="F326" s="73">
        <v>31</v>
      </c>
      <c r="G326" s="73">
        <f t="shared" ref="G326" si="111">F326-E326</f>
        <v>31</v>
      </c>
      <c r="H326" s="73">
        <v>0</v>
      </c>
      <c r="I326" s="73">
        <v>10</v>
      </c>
      <c r="J326" s="73">
        <f t="shared" ref="J326" si="112">I326-H326</f>
        <v>10</v>
      </c>
      <c r="K326" s="74" t="str">
        <f t="shared" ref="K326" si="113">IF((D326=""),"",IF(D326&lt;=P326,"Pass","Fail"))</f>
        <v>Pass</v>
      </c>
      <c r="L326" s="73" t="s">
        <v>582</v>
      </c>
      <c r="M326" s="75" t="s">
        <v>577</v>
      </c>
      <c r="N326" s="75" t="s">
        <v>583</v>
      </c>
      <c r="O326" s="76">
        <v>100</v>
      </c>
      <c r="P326" s="76">
        <v>23</v>
      </c>
    </row>
    <row r="327" spans="1:16">
      <c r="A327" s="39">
        <v>44162</v>
      </c>
      <c r="B327" s="73">
        <v>4</v>
      </c>
      <c r="C327" s="73">
        <v>18</v>
      </c>
      <c r="D327" s="73">
        <f t="shared" ref="D327" si="114">IF(((B327="")*AND(C327="")),"",(C327-B327))</f>
        <v>14</v>
      </c>
      <c r="E327" s="73">
        <v>2</v>
      </c>
      <c r="F327" s="73">
        <v>5</v>
      </c>
      <c r="G327" s="73">
        <f t="shared" ref="G327" si="115">F327-E327</f>
        <v>3</v>
      </c>
      <c r="H327" s="73">
        <v>1</v>
      </c>
      <c r="I327" s="73">
        <v>3</v>
      </c>
      <c r="J327" s="73">
        <f t="shared" ref="J327" si="116">I327-H327</f>
        <v>2</v>
      </c>
      <c r="K327" s="74" t="str">
        <f t="shared" ref="K327" si="117">IF((D327=""),"",IF(D327&lt;=P327,"Pass","Fail"))</f>
        <v>Pass</v>
      </c>
      <c r="L327" s="73">
        <v>1335</v>
      </c>
      <c r="M327" s="75" t="s">
        <v>578</v>
      </c>
      <c r="N327" s="75"/>
      <c r="O327" s="76">
        <v>100</v>
      </c>
      <c r="P327" s="76">
        <v>23</v>
      </c>
    </row>
    <row r="328" spans="1:16">
      <c r="A328" s="39">
        <v>44166</v>
      </c>
      <c r="B328" s="73">
        <v>22</v>
      </c>
      <c r="C328" s="73">
        <v>20</v>
      </c>
      <c r="D328" s="73">
        <f t="shared" ref="D328" si="118">IF(((B328="")*AND(C328="")),"",(C328-B328))</f>
        <v>-2</v>
      </c>
      <c r="E328" s="73">
        <v>1</v>
      </c>
      <c r="F328" s="73">
        <v>2</v>
      </c>
      <c r="G328" s="73">
        <f t="shared" ref="G328" si="119">F328-E328</f>
        <v>1</v>
      </c>
      <c r="H328" s="73">
        <v>1</v>
      </c>
      <c r="I328" s="73">
        <v>2</v>
      </c>
      <c r="J328" s="73">
        <f t="shared" ref="J328" si="120">I328-H328</f>
        <v>1</v>
      </c>
      <c r="K328" s="74" t="str">
        <f t="shared" ref="K328" si="121">IF((D328=""),"",IF(D328&lt;=P328,"Pass","Fail"))</f>
        <v>Pass</v>
      </c>
      <c r="L328" s="73">
        <v>1428</v>
      </c>
      <c r="M328" s="75" t="s">
        <v>584</v>
      </c>
      <c r="N328" s="75"/>
      <c r="O328" s="76">
        <v>100</v>
      </c>
      <c r="P328" s="76">
        <v>23</v>
      </c>
    </row>
    <row r="329" spans="1:16">
      <c r="A329" s="39">
        <v>44171</v>
      </c>
      <c r="B329" s="73">
        <v>3</v>
      </c>
      <c r="C329" s="73">
        <v>8</v>
      </c>
      <c r="D329" s="73">
        <f t="shared" ref="D329" si="122">IF(((B329="")*AND(C329="")),"",(C329-B329))</f>
        <v>5</v>
      </c>
      <c r="E329" s="73">
        <v>1</v>
      </c>
      <c r="F329" s="73">
        <v>4</v>
      </c>
      <c r="G329" s="73">
        <f t="shared" ref="G329:G330" si="123">F329-E329</f>
        <v>3</v>
      </c>
      <c r="H329" s="73">
        <v>1</v>
      </c>
      <c r="I329" s="73">
        <v>3</v>
      </c>
      <c r="J329" s="73">
        <f t="shared" ref="J329:J330" si="124">I329-H329</f>
        <v>2</v>
      </c>
      <c r="K329" s="74" t="str">
        <f t="shared" ref="K329" si="125">IF((D329=""),"",IF(D329&lt;=P329,"Pass","Fail"))</f>
        <v>Pass</v>
      </c>
      <c r="L329" s="73" t="s">
        <v>586</v>
      </c>
      <c r="M329" s="75" t="s">
        <v>587</v>
      </c>
      <c r="N329" s="75"/>
      <c r="O329" s="76">
        <v>100</v>
      </c>
      <c r="P329" s="76">
        <v>23</v>
      </c>
    </row>
    <row r="330" spans="1:16">
      <c r="A330" s="39">
        <v>44175</v>
      </c>
      <c r="B330" s="73">
        <v>9</v>
      </c>
      <c r="C330" s="73">
        <v>23</v>
      </c>
      <c r="D330" s="73">
        <f t="shared" ref="D330" si="126">IF(((B330="")*AND(C330="")),"",(C330-B330))</f>
        <v>14</v>
      </c>
      <c r="E330" s="73">
        <v>0</v>
      </c>
      <c r="F330" s="73">
        <v>6</v>
      </c>
      <c r="G330" s="73">
        <f t="shared" si="123"/>
        <v>6</v>
      </c>
      <c r="H330" s="73">
        <v>0</v>
      </c>
      <c r="I330" s="73">
        <v>2</v>
      </c>
      <c r="J330" s="73">
        <f t="shared" si="124"/>
        <v>2</v>
      </c>
      <c r="K330" s="74" t="str">
        <f t="shared" ref="K330" si="127">IF((D330=""),"",IF(D330&lt;=P330,"Pass","Fail"))</f>
        <v>Pass</v>
      </c>
      <c r="L330" s="73">
        <v>1428</v>
      </c>
      <c r="M330" s="75" t="s">
        <v>589</v>
      </c>
      <c r="N330" s="75"/>
      <c r="O330" s="76">
        <v>100</v>
      </c>
      <c r="P330" s="76">
        <v>23</v>
      </c>
    </row>
    <row r="331" spans="1:16">
      <c r="A331" s="39">
        <v>44179</v>
      </c>
      <c r="B331" s="73">
        <v>5</v>
      </c>
      <c r="C331" s="73">
        <v>7</v>
      </c>
      <c r="D331" s="73">
        <f t="shared" ref="D331" si="128">IF(((B331="")*AND(C331="")),"",(C331-B331))</f>
        <v>2</v>
      </c>
      <c r="E331" s="73">
        <v>0</v>
      </c>
      <c r="F331" s="73">
        <v>1</v>
      </c>
      <c r="G331" s="73">
        <f t="shared" ref="G331" si="129">F331-E331</f>
        <v>1</v>
      </c>
      <c r="H331" s="73">
        <v>0</v>
      </c>
      <c r="I331" s="73">
        <v>1</v>
      </c>
      <c r="J331" s="73">
        <f t="shared" ref="J331" si="130">I331-H331</f>
        <v>1</v>
      </c>
      <c r="K331" s="74" t="str">
        <f t="shared" ref="K331" si="131">IF((D331=""),"",IF(D331&lt;=P331,"Pass","Fail"))</f>
        <v>Pass</v>
      </c>
      <c r="L331" s="73">
        <v>1340</v>
      </c>
      <c r="M331" s="75" t="s">
        <v>591</v>
      </c>
      <c r="N331" s="75"/>
      <c r="O331" s="76">
        <v>100</v>
      </c>
      <c r="P331" s="76">
        <v>23</v>
      </c>
    </row>
    <row r="332" spans="1:16">
      <c r="A332" s="39">
        <v>44183</v>
      </c>
      <c r="B332" s="73">
        <v>16</v>
      </c>
      <c r="C332" s="73">
        <v>18</v>
      </c>
      <c r="D332" s="73">
        <f t="shared" ref="D332" si="132">IF(((B332="")*AND(C332="")),"",(C332-B332))</f>
        <v>2</v>
      </c>
      <c r="E332" s="73">
        <v>0</v>
      </c>
      <c r="F332" s="73">
        <v>1</v>
      </c>
      <c r="G332" s="73">
        <f t="shared" ref="G332:G334" si="133">F332-E332</f>
        <v>1</v>
      </c>
      <c r="H332" s="73">
        <v>0</v>
      </c>
      <c r="I332" s="73">
        <v>1</v>
      </c>
      <c r="J332" s="73">
        <f t="shared" ref="J332" si="134">I332-H332</f>
        <v>1</v>
      </c>
      <c r="K332" s="74" t="str">
        <f t="shared" ref="K332" si="135">IF((D332=""),"",IF(D332&lt;=P332,"Pass","Fail"))</f>
        <v>Pass</v>
      </c>
      <c r="L332" s="73">
        <v>1340</v>
      </c>
      <c r="M332" s="75" t="s">
        <v>592</v>
      </c>
      <c r="P332" s="76">
        <v>30</v>
      </c>
    </row>
    <row r="333" spans="1:16">
      <c r="A333" s="39">
        <v>44187</v>
      </c>
      <c r="B333" s="73">
        <v>3</v>
      </c>
      <c r="C333" s="73">
        <v>8</v>
      </c>
      <c r="D333" s="73">
        <f t="shared" ref="D333" si="136">IF(((B333="")*AND(C333="")),"",(C333-B333))</f>
        <v>5</v>
      </c>
      <c r="E333" s="73">
        <v>0</v>
      </c>
      <c r="F333" s="73">
        <v>1</v>
      </c>
      <c r="G333" s="73">
        <f t="shared" si="133"/>
        <v>1</v>
      </c>
      <c r="H333" s="73">
        <v>0</v>
      </c>
      <c r="I333" s="73">
        <v>0</v>
      </c>
      <c r="J333" s="73">
        <f t="shared" ref="J333" si="137">I333-H333</f>
        <v>0</v>
      </c>
      <c r="K333" s="74" t="str">
        <f t="shared" ref="K333" si="138">IF((D333=""),"",IF(D333&lt;=P333,"Pass","Fail"))</f>
        <v>Pass</v>
      </c>
      <c r="L333" s="73">
        <v>1159</v>
      </c>
      <c r="M333" s="75" t="s">
        <v>595</v>
      </c>
      <c r="P333" s="76">
        <v>30</v>
      </c>
    </row>
    <row r="334" spans="1:16">
      <c r="A334" s="39">
        <v>44187</v>
      </c>
      <c r="B334" s="73">
        <v>12</v>
      </c>
      <c r="C334" s="73">
        <v>34</v>
      </c>
      <c r="D334" s="73">
        <f t="shared" ref="D334" si="139">IF(((B334="")*AND(C334="")),"",(C334-B334))</f>
        <v>22</v>
      </c>
      <c r="E334" s="73">
        <v>0</v>
      </c>
      <c r="F334" s="73">
        <v>7</v>
      </c>
      <c r="G334" s="73">
        <f t="shared" si="133"/>
        <v>7</v>
      </c>
      <c r="H334" s="73">
        <v>0</v>
      </c>
      <c r="I334" s="73">
        <v>3</v>
      </c>
      <c r="J334" s="73">
        <f t="shared" ref="J334" si="140">I334-H334</f>
        <v>3</v>
      </c>
      <c r="K334" s="74" t="str">
        <f t="shared" ref="K334" si="141">IF((D334=""),"",IF(D334&lt;=P334,"Pass","Fail"))</f>
        <v>Pass</v>
      </c>
      <c r="L334" s="73">
        <v>1428</v>
      </c>
      <c r="M334" s="75" t="s">
        <v>603</v>
      </c>
      <c r="P334" s="76">
        <v>30</v>
      </c>
    </row>
    <row r="335" spans="1:16">
      <c r="A335" s="39">
        <v>44198</v>
      </c>
      <c r="B335" s="73">
        <v>0</v>
      </c>
      <c r="C335" s="73">
        <v>11</v>
      </c>
      <c r="D335" s="73">
        <f t="shared" ref="D335" si="142">IF(((B335="")*AND(C335="")),"",(C335-B335))</f>
        <v>11</v>
      </c>
      <c r="E335" s="73">
        <v>0</v>
      </c>
      <c r="F335" s="73">
        <v>5</v>
      </c>
      <c r="G335" s="73">
        <f t="shared" ref="G335:G336" si="143">F335-E335</f>
        <v>5</v>
      </c>
      <c r="H335" s="73">
        <v>0</v>
      </c>
      <c r="I335" s="73">
        <v>4</v>
      </c>
      <c r="J335" s="73">
        <f t="shared" ref="J335" si="144">I335-H335</f>
        <v>4</v>
      </c>
      <c r="K335" s="74" t="str">
        <f t="shared" ref="K335" si="145">IF((D335=""),"",IF(D335&lt;=P335,"Pass","Fail"))</f>
        <v>Pass</v>
      </c>
      <c r="L335" s="73">
        <v>1159</v>
      </c>
      <c r="M335" s="75" t="s">
        <v>605</v>
      </c>
      <c r="P335" s="76">
        <v>30</v>
      </c>
    </row>
    <row r="336" spans="1:16">
      <c r="A336" s="39">
        <v>44202</v>
      </c>
      <c r="B336" s="73">
        <v>14</v>
      </c>
      <c r="C336" s="73">
        <v>18</v>
      </c>
      <c r="D336" s="73">
        <f t="shared" ref="D336" si="146">IF(((B336="")*AND(C336="")),"",(C336-B336))</f>
        <v>4</v>
      </c>
      <c r="E336" s="73">
        <v>7</v>
      </c>
      <c r="F336" s="73">
        <v>8</v>
      </c>
      <c r="G336" s="73">
        <f t="shared" si="143"/>
        <v>1</v>
      </c>
      <c r="H336" s="73">
        <v>7</v>
      </c>
      <c r="I336" s="73">
        <v>8</v>
      </c>
      <c r="J336" s="73">
        <f t="shared" ref="J336" si="147">I336-H336</f>
        <v>1</v>
      </c>
      <c r="K336" s="74" t="str">
        <f t="shared" ref="K336" si="148">IF((D336=""),"",IF(D336&lt;=P336,"Pass","Fail"))</f>
        <v>Pass</v>
      </c>
      <c r="L336" s="73">
        <v>1159</v>
      </c>
      <c r="M336" s="75" t="s">
        <v>608</v>
      </c>
      <c r="P336" s="76">
        <v>30</v>
      </c>
    </row>
    <row r="337" spans="1:16">
      <c r="A337" s="39">
        <v>44207</v>
      </c>
      <c r="B337" s="73">
        <v>20</v>
      </c>
      <c r="C337" s="73">
        <v>20</v>
      </c>
      <c r="D337" s="73">
        <f t="shared" ref="D337" si="149">IF(((B337="")*AND(C337="")),"",(C337-B337))</f>
        <v>0</v>
      </c>
      <c r="E337" s="73">
        <v>8</v>
      </c>
      <c r="F337" s="73">
        <v>9</v>
      </c>
      <c r="G337" s="73">
        <f t="shared" ref="G337" si="150">F337-E337</f>
        <v>1</v>
      </c>
      <c r="H337" s="73">
        <v>7</v>
      </c>
      <c r="I337" s="73">
        <v>8</v>
      </c>
      <c r="J337" s="73">
        <f t="shared" ref="J337" si="151">I337-H337</f>
        <v>1</v>
      </c>
      <c r="K337" s="74" t="str">
        <f t="shared" ref="K337" si="152">IF((D337=""),"",IF(D337&lt;=P337,"Pass","Fail"))</f>
        <v>Pass</v>
      </c>
      <c r="L337" s="73">
        <v>121</v>
      </c>
      <c r="M337" s="75" t="s">
        <v>610</v>
      </c>
      <c r="P337" s="76">
        <v>30</v>
      </c>
    </row>
    <row r="338" spans="1:16">
      <c r="A338" s="39">
        <v>44211</v>
      </c>
      <c r="B338" s="73">
        <v>2</v>
      </c>
      <c r="C338" s="73">
        <v>4</v>
      </c>
      <c r="D338" s="73">
        <f t="shared" ref="D338" si="153">IF(((B338="")*AND(C338="")),"",(C338-B338))</f>
        <v>2</v>
      </c>
      <c r="E338" s="73">
        <v>0</v>
      </c>
      <c r="F338" s="73">
        <v>0</v>
      </c>
      <c r="G338" s="73">
        <f t="shared" ref="G338" si="154">F338-E338</f>
        <v>0</v>
      </c>
      <c r="H338" s="73">
        <v>0</v>
      </c>
      <c r="I338" s="73">
        <v>0</v>
      </c>
      <c r="J338" s="73">
        <f t="shared" ref="J338" si="155">I338-H338</f>
        <v>0</v>
      </c>
      <c r="K338" s="74" t="str">
        <f t="shared" ref="K338" si="156">IF((D338=""),"",IF(D338&lt;=P338,"Pass","Fail"))</f>
        <v>Pass</v>
      </c>
      <c r="L338" s="73">
        <v>74</v>
      </c>
      <c r="M338" s="75" t="s">
        <v>612</v>
      </c>
      <c r="P338" s="76">
        <v>30</v>
      </c>
    </row>
    <row r="339" spans="1:16">
      <c r="A339" s="39">
        <v>44215</v>
      </c>
      <c r="B339" s="73">
        <v>11</v>
      </c>
      <c r="C339" s="73">
        <v>21</v>
      </c>
      <c r="D339" s="73">
        <f t="shared" ref="D339" si="157">IF(((B339="")*AND(C339="")),"",(C339-B339))</f>
        <v>10</v>
      </c>
      <c r="E339" s="73">
        <v>2</v>
      </c>
      <c r="F339" s="73">
        <v>4</v>
      </c>
      <c r="G339" s="73">
        <f t="shared" ref="G339" si="158">F339-E339</f>
        <v>2</v>
      </c>
      <c r="H339" s="73">
        <v>2</v>
      </c>
      <c r="I339" s="73">
        <v>3</v>
      </c>
      <c r="J339" s="73">
        <f t="shared" ref="J339" si="159">I339-H339</f>
        <v>1</v>
      </c>
      <c r="K339" s="74" t="str">
        <f t="shared" ref="K339" si="160">IF((D339=""),"",IF(D339&lt;=P339,"Pass","Fail"))</f>
        <v>Pass</v>
      </c>
      <c r="L339" s="73">
        <v>1428</v>
      </c>
      <c r="M339" s="75" t="s">
        <v>615</v>
      </c>
      <c r="P339" s="76">
        <v>30</v>
      </c>
    </row>
    <row r="340" spans="1:16">
      <c r="B340" s="73"/>
      <c r="C340" s="73"/>
      <c r="D340" s="73"/>
      <c r="E340" s="73"/>
      <c r="F340" s="73"/>
      <c r="G340" s="73"/>
      <c r="H340" s="73"/>
      <c r="I340" s="73"/>
      <c r="J340" s="73"/>
      <c r="L340" s="73"/>
    </row>
    <row r="341" spans="1:16">
      <c r="B341" s="73"/>
      <c r="C341" s="73"/>
      <c r="D341" s="73"/>
      <c r="E341" s="73"/>
      <c r="F341" s="73"/>
      <c r="G341" s="73"/>
      <c r="H341" s="73"/>
      <c r="I341" s="73"/>
      <c r="J341" s="73"/>
      <c r="L341" s="73"/>
    </row>
    <row r="342" spans="1:16">
      <c r="B342" s="73"/>
      <c r="C342" s="73"/>
      <c r="D342" s="73"/>
      <c r="E342" s="73"/>
      <c r="F342" s="73"/>
      <c r="G342" s="73"/>
      <c r="H342" s="73"/>
      <c r="I342" s="73"/>
      <c r="J342" s="73"/>
      <c r="L342" s="73"/>
    </row>
    <row r="343" spans="1:16">
      <c r="B343" s="73"/>
      <c r="C343" s="73"/>
      <c r="D343" s="73"/>
      <c r="E343" s="73"/>
      <c r="F343" s="73"/>
      <c r="G343" s="73"/>
      <c r="H343" s="73"/>
      <c r="I343" s="73"/>
      <c r="J343" s="73"/>
      <c r="L343" s="73"/>
    </row>
    <row r="344" spans="1:16">
      <c r="B344" s="73"/>
      <c r="C344" s="73"/>
      <c r="D344" s="73"/>
      <c r="E344" s="73"/>
      <c r="F344" s="73"/>
      <c r="G344" s="73"/>
      <c r="H344" s="73"/>
      <c r="I344" s="73"/>
      <c r="J344" s="73"/>
      <c r="L344" s="73"/>
    </row>
    <row r="345" spans="1:16">
      <c r="B345" s="73"/>
      <c r="C345" s="73"/>
      <c r="D345" s="73"/>
      <c r="E345" s="73"/>
      <c r="F345" s="73"/>
      <c r="G345" s="73"/>
      <c r="H345" s="73"/>
      <c r="I345" s="73"/>
      <c r="J345" s="73"/>
      <c r="L345" s="73"/>
    </row>
    <row r="346" spans="1:16">
      <c r="B346" s="73"/>
      <c r="C346" s="73"/>
      <c r="D346" s="73"/>
      <c r="E346" s="73"/>
      <c r="F346" s="73"/>
      <c r="G346" s="73"/>
      <c r="H346" s="73"/>
      <c r="I346" s="73"/>
      <c r="J346" s="73"/>
      <c r="L346" s="73"/>
    </row>
    <row r="347" spans="1:16">
      <c r="B347" s="73"/>
      <c r="C347" s="73"/>
      <c r="D347" s="73"/>
      <c r="E347" s="73"/>
      <c r="F347" s="73"/>
      <c r="G347" s="73"/>
      <c r="H347" s="73"/>
      <c r="I347" s="73"/>
      <c r="J347" s="73"/>
      <c r="L347" s="73"/>
    </row>
    <row r="348" spans="1:16">
      <c r="B348" s="73"/>
      <c r="C348" s="73"/>
      <c r="D348" s="73"/>
      <c r="E348" s="73"/>
      <c r="F348" s="73"/>
      <c r="G348" s="73"/>
      <c r="H348" s="73"/>
      <c r="I348" s="73"/>
      <c r="J348" s="73"/>
      <c r="L348" s="73"/>
    </row>
    <row r="349" spans="1:16">
      <c r="B349" s="73"/>
      <c r="C349" s="73"/>
      <c r="D349" s="73"/>
      <c r="E349" s="73"/>
      <c r="F349" s="73"/>
      <c r="G349" s="73"/>
      <c r="H349" s="73"/>
      <c r="I349" s="73"/>
      <c r="J349" s="73"/>
      <c r="L349" s="73"/>
    </row>
    <row r="350" spans="1:16">
      <c r="B350" s="73"/>
      <c r="C350" s="73"/>
      <c r="D350" s="73"/>
      <c r="E350" s="73"/>
      <c r="F350" s="73"/>
      <c r="G350" s="73"/>
      <c r="H350" s="73"/>
      <c r="I350" s="73"/>
      <c r="J350" s="73"/>
      <c r="L350" s="73"/>
    </row>
    <row r="351" spans="1:16">
      <c r="B351" s="73"/>
      <c r="C351" s="73"/>
      <c r="D351" s="73"/>
      <c r="E351" s="73"/>
      <c r="F351" s="73"/>
      <c r="G351" s="73"/>
      <c r="H351" s="73"/>
      <c r="I351" s="73"/>
      <c r="J351" s="73"/>
      <c r="L351" s="73"/>
    </row>
    <row r="352" spans="1:16">
      <c r="B352" s="73"/>
      <c r="C352" s="73"/>
      <c r="D352" s="73"/>
      <c r="E352" s="73"/>
      <c r="F352" s="73"/>
      <c r="G352" s="73"/>
      <c r="H352" s="73"/>
      <c r="I352" s="73"/>
      <c r="J352" s="73"/>
      <c r="L352" s="73"/>
    </row>
    <row r="353" spans="2:12">
      <c r="B353" s="73"/>
      <c r="C353" s="73"/>
      <c r="D353" s="73"/>
      <c r="E353" s="73"/>
      <c r="F353" s="73"/>
      <c r="G353" s="73"/>
      <c r="H353" s="73"/>
      <c r="I353" s="73"/>
      <c r="J353" s="73"/>
      <c r="L353" s="73"/>
    </row>
    <row r="354" spans="2:12">
      <c r="B354" s="73"/>
      <c r="C354" s="73"/>
      <c r="D354" s="73"/>
      <c r="E354" s="73"/>
      <c r="F354" s="73"/>
      <c r="G354" s="73"/>
      <c r="H354" s="73"/>
      <c r="I354" s="73"/>
      <c r="J354" s="73"/>
      <c r="L354" s="73"/>
    </row>
    <row r="355" spans="2:12">
      <c r="B355" s="73"/>
      <c r="C355" s="73"/>
      <c r="D355" s="73"/>
      <c r="E355" s="73"/>
      <c r="F355" s="73"/>
      <c r="G355" s="73"/>
      <c r="H355" s="73"/>
      <c r="I355" s="73"/>
      <c r="J355" s="73"/>
      <c r="L355" s="73"/>
    </row>
    <row r="356" spans="2:12">
      <c r="B356" s="73"/>
      <c r="C356" s="73"/>
      <c r="D356" s="73"/>
      <c r="E356" s="73"/>
      <c r="F356" s="73"/>
      <c r="G356" s="73"/>
      <c r="H356" s="73"/>
      <c r="I356" s="73"/>
      <c r="J356" s="73"/>
      <c r="L356" s="73"/>
    </row>
    <row r="357" spans="2:12">
      <c r="B357" s="73"/>
      <c r="C357" s="73"/>
      <c r="D357" s="73"/>
      <c r="E357" s="73"/>
      <c r="F357" s="73"/>
      <c r="G357" s="73"/>
      <c r="H357" s="73"/>
      <c r="I357" s="73"/>
      <c r="J357" s="73"/>
      <c r="L357" s="73"/>
    </row>
    <row r="358" spans="2:12">
      <c r="B358" s="73"/>
      <c r="C358" s="73"/>
      <c r="D358" s="73"/>
      <c r="E358" s="73"/>
      <c r="F358" s="73"/>
      <c r="G358" s="73"/>
      <c r="H358" s="73"/>
      <c r="I358" s="73"/>
      <c r="J358" s="73"/>
      <c r="L358" s="73"/>
    </row>
    <row r="359" spans="2:12">
      <c r="B359" s="73"/>
      <c r="C359" s="73"/>
      <c r="D359" s="73"/>
      <c r="E359" s="73"/>
      <c r="F359" s="73"/>
      <c r="G359" s="73"/>
      <c r="H359" s="73"/>
      <c r="I359" s="73"/>
      <c r="J359" s="73"/>
      <c r="L359" s="73"/>
    </row>
    <row r="360" spans="2:12">
      <c r="B360" s="73"/>
      <c r="C360" s="73"/>
      <c r="D360" s="73"/>
      <c r="E360" s="73"/>
      <c r="F360" s="73"/>
      <c r="G360" s="73"/>
      <c r="H360" s="73"/>
      <c r="I360" s="73"/>
      <c r="J360" s="73"/>
      <c r="L360" s="73"/>
    </row>
    <row r="361" spans="2:12">
      <c r="B361" s="73"/>
      <c r="C361" s="73"/>
      <c r="D361" s="73"/>
      <c r="E361" s="73"/>
      <c r="F361" s="73"/>
      <c r="G361" s="73"/>
      <c r="H361" s="73"/>
      <c r="I361" s="73"/>
      <c r="J361" s="73"/>
      <c r="L361" s="73"/>
    </row>
    <row r="362" spans="2:12">
      <c r="B362" s="73"/>
      <c r="C362" s="73"/>
      <c r="D362" s="73"/>
      <c r="E362" s="73"/>
      <c r="F362" s="73"/>
      <c r="G362" s="73"/>
      <c r="H362" s="73"/>
      <c r="I362" s="73"/>
      <c r="J362" s="73"/>
      <c r="L362" s="73"/>
    </row>
    <row r="363" spans="2:12">
      <c r="B363" s="73"/>
      <c r="C363" s="73"/>
      <c r="D363" s="73"/>
      <c r="E363" s="73"/>
      <c r="F363" s="73"/>
      <c r="G363" s="73"/>
      <c r="H363" s="73"/>
      <c r="I363" s="73"/>
      <c r="J363" s="73"/>
      <c r="L363" s="73"/>
    </row>
    <row r="364" spans="2:12">
      <c r="B364" s="73"/>
      <c r="C364" s="73"/>
      <c r="D364" s="73"/>
      <c r="E364" s="73"/>
      <c r="F364" s="73"/>
      <c r="G364" s="73"/>
      <c r="H364" s="73"/>
      <c r="I364" s="73"/>
      <c r="J364" s="73"/>
      <c r="L364" s="73"/>
    </row>
    <row r="365" spans="2:12">
      <c r="B365" s="73"/>
      <c r="C365" s="73"/>
      <c r="D365" s="73"/>
      <c r="E365" s="73"/>
      <c r="F365" s="73"/>
      <c r="G365" s="73"/>
      <c r="H365" s="73"/>
      <c r="I365" s="73"/>
      <c r="J365" s="73"/>
      <c r="L365" s="73"/>
    </row>
    <row r="366" spans="2:12">
      <c r="B366" s="73"/>
      <c r="C366" s="73"/>
      <c r="D366" s="73"/>
      <c r="E366" s="73"/>
      <c r="F366" s="73"/>
      <c r="G366" s="73"/>
      <c r="H366" s="73"/>
      <c r="I366" s="73"/>
      <c r="J366" s="73"/>
      <c r="L366" s="73"/>
    </row>
    <row r="367" spans="2:12">
      <c r="B367" s="73"/>
      <c r="C367" s="73"/>
      <c r="D367" s="73"/>
      <c r="E367" s="73"/>
      <c r="F367" s="73"/>
      <c r="G367" s="73"/>
      <c r="H367" s="73"/>
      <c r="I367" s="73"/>
      <c r="J367" s="73"/>
      <c r="L367" s="73"/>
    </row>
    <row r="368" spans="2:12">
      <c r="B368" s="73"/>
      <c r="C368" s="73"/>
      <c r="D368" s="73"/>
      <c r="E368" s="73"/>
      <c r="F368" s="73"/>
      <c r="G368" s="73"/>
      <c r="H368" s="73"/>
      <c r="I368" s="73"/>
      <c r="J368" s="73"/>
      <c r="L368" s="73"/>
    </row>
    <row r="369" spans="2:12">
      <c r="B369" s="73"/>
      <c r="C369" s="73"/>
      <c r="D369" s="73"/>
      <c r="E369" s="73"/>
      <c r="F369" s="73"/>
      <c r="G369" s="73"/>
      <c r="H369" s="73"/>
      <c r="I369" s="73"/>
      <c r="J369" s="73"/>
      <c r="L369" s="73"/>
    </row>
    <row r="370" spans="2:12">
      <c r="B370" s="73"/>
      <c r="C370" s="73"/>
      <c r="D370" s="73"/>
      <c r="E370" s="73"/>
      <c r="F370" s="73"/>
      <c r="G370" s="73"/>
      <c r="H370" s="73"/>
      <c r="I370" s="73"/>
      <c r="J370" s="73"/>
      <c r="L370" s="73"/>
    </row>
    <row r="371" spans="2:12">
      <c r="B371" s="73"/>
      <c r="C371" s="73"/>
      <c r="D371" s="73"/>
      <c r="E371" s="73"/>
      <c r="F371" s="73"/>
      <c r="G371" s="73"/>
      <c r="H371" s="73"/>
      <c r="I371" s="73"/>
      <c r="J371" s="73"/>
      <c r="L371" s="73"/>
    </row>
    <row r="372" spans="2:12">
      <c r="B372" s="73"/>
      <c r="C372" s="73"/>
      <c r="D372" s="73"/>
      <c r="E372" s="73"/>
      <c r="F372" s="73"/>
      <c r="G372" s="73"/>
      <c r="H372" s="73"/>
      <c r="I372" s="73"/>
      <c r="J372" s="73"/>
      <c r="L372" s="73"/>
    </row>
    <row r="373" spans="2:12">
      <c r="B373" s="73"/>
      <c r="C373" s="73"/>
      <c r="D373" s="73"/>
      <c r="E373" s="73"/>
      <c r="F373" s="73"/>
      <c r="G373" s="73"/>
      <c r="H373" s="73"/>
      <c r="I373" s="73"/>
      <c r="J373" s="73"/>
      <c r="L373" s="73"/>
    </row>
    <row r="374" spans="2:12">
      <c r="B374" s="73"/>
      <c r="C374" s="73"/>
      <c r="D374" s="73"/>
      <c r="E374" s="73"/>
      <c r="F374" s="73"/>
      <c r="G374" s="73"/>
      <c r="H374" s="73"/>
      <c r="I374" s="73"/>
      <c r="J374" s="73"/>
      <c r="L374" s="73"/>
    </row>
    <row r="375" spans="2:12">
      <c r="B375" s="73"/>
      <c r="C375" s="73"/>
      <c r="D375" s="73"/>
      <c r="E375" s="73"/>
      <c r="F375" s="73"/>
      <c r="G375" s="73"/>
      <c r="H375" s="73"/>
      <c r="I375" s="73"/>
      <c r="J375" s="73"/>
      <c r="L375" s="73"/>
    </row>
    <row r="376" spans="2:12">
      <c r="B376" s="73"/>
      <c r="C376" s="73"/>
      <c r="D376" s="73"/>
      <c r="E376" s="73"/>
      <c r="F376" s="73"/>
      <c r="G376" s="73"/>
      <c r="H376" s="73"/>
      <c r="I376" s="73"/>
      <c r="J376" s="73"/>
      <c r="L376" s="73"/>
    </row>
    <row r="377" spans="2:12">
      <c r="B377" s="73"/>
      <c r="C377" s="73"/>
      <c r="D377" s="73"/>
      <c r="E377" s="73"/>
      <c r="F377" s="73"/>
      <c r="G377" s="73"/>
      <c r="H377" s="73"/>
      <c r="I377" s="73"/>
      <c r="J377" s="73"/>
      <c r="L377" s="73"/>
    </row>
    <row r="378" spans="2:12">
      <c r="B378" s="73"/>
      <c r="C378" s="73"/>
      <c r="D378" s="73"/>
      <c r="E378" s="73"/>
      <c r="F378" s="73"/>
      <c r="G378" s="73"/>
      <c r="H378" s="73"/>
      <c r="I378" s="73"/>
      <c r="J378" s="73"/>
      <c r="L378" s="73"/>
    </row>
    <row r="379" spans="2:12">
      <c r="B379" s="73"/>
      <c r="C379" s="73"/>
      <c r="D379" s="73"/>
      <c r="E379" s="73"/>
      <c r="F379" s="73"/>
      <c r="G379" s="73"/>
      <c r="H379" s="73"/>
      <c r="I379" s="73"/>
      <c r="J379" s="73"/>
      <c r="L379" s="73"/>
    </row>
    <row r="380" spans="2:12">
      <c r="B380" s="73"/>
      <c r="C380" s="73"/>
      <c r="D380" s="73"/>
      <c r="E380" s="73"/>
      <c r="F380" s="73"/>
      <c r="G380" s="73"/>
      <c r="H380" s="73"/>
      <c r="I380" s="73"/>
      <c r="J380" s="73"/>
      <c r="L380" s="73"/>
    </row>
    <row r="381" spans="2:12">
      <c r="B381" s="73"/>
      <c r="C381" s="73"/>
      <c r="D381" s="73"/>
      <c r="E381" s="73"/>
      <c r="F381" s="73"/>
      <c r="G381" s="73"/>
      <c r="H381" s="73"/>
      <c r="I381" s="73"/>
      <c r="J381" s="73"/>
      <c r="L381" s="73"/>
    </row>
    <row r="382" spans="2:12">
      <c r="B382" s="73"/>
      <c r="C382" s="73"/>
      <c r="D382" s="73"/>
      <c r="E382" s="73"/>
      <c r="F382" s="73"/>
      <c r="G382" s="73"/>
      <c r="H382" s="73"/>
      <c r="I382" s="73"/>
      <c r="J382" s="73"/>
      <c r="L382" s="73"/>
    </row>
    <row r="383" spans="2:12">
      <c r="B383" s="73"/>
      <c r="C383" s="73"/>
      <c r="D383" s="73"/>
      <c r="E383" s="73"/>
      <c r="F383" s="73"/>
      <c r="G383" s="73"/>
      <c r="H383" s="73"/>
      <c r="I383" s="73"/>
      <c r="J383" s="73"/>
      <c r="L383" s="73"/>
    </row>
    <row r="384" spans="2:12">
      <c r="B384" s="73"/>
      <c r="C384" s="73"/>
      <c r="D384" s="73"/>
      <c r="E384" s="73"/>
      <c r="F384" s="73"/>
      <c r="G384" s="73"/>
      <c r="H384" s="73"/>
      <c r="I384" s="73"/>
      <c r="J384" s="73"/>
      <c r="L384" s="73"/>
    </row>
    <row r="385" spans="2:12">
      <c r="B385" s="73"/>
      <c r="C385" s="73"/>
      <c r="D385" s="73"/>
      <c r="E385" s="73"/>
      <c r="F385" s="73"/>
      <c r="G385" s="73"/>
      <c r="H385" s="73"/>
      <c r="I385" s="73"/>
      <c r="J385" s="73"/>
      <c r="L385" s="73"/>
    </row>
    <row r="386" spans="2:12">
      <c r="B386" s="73"/>
      <c r="C386" s="73"/>
      <c r="D386" s="73"/>
      <c r="E386" s="73"/>
      <c r="F386" s="73"/>
      <c r="G386" s="73"/>
      <c r="H386" s="73"/>
      <c r="I386" s="73"/>
      <c r="J386" s="73"/>
      <c r="L386" s="73"/>
    </row>
    <row r="387" spans="2:12">
      <c r="B387" s="73"/>
      <c r="C387" s="73"/>
      <c r="D387" s="73"/>
      <c r="E387" s="73"/>
      <c r="F387" s="73"/>
      <c r="G387" s="73"/>
      <c r="H387" s="73"/>
      <c r="I387" s="73"/>
      <c r="J387" s="73"/>
      <c r="L387" s="73"/>
    </row>
    <row r="388" spans="2:12">
      <c r="B388" s="73"/>
      <c r="C388" s="73"/>
      <c r="D388" s="73"/>
      <c r="E388" s="73"/>
      <c r="F388" s="73"/>
      <c r="G388" s="73"/>
      <c r="H388" s="73"/>
      <c r="I388" s="73"/>
      <c r="J388" s="73"/>
      <c r="L388" s="73"/>
    </row>
    <row r="389" spans="2:12">
      <c r="B389" s="73"/>
      <c r="C389" s="73"/>
      <c r="D389" s="73"/>
      <c r="E389" s="73"/>
      <c r="F389" s="73"/>
      <c r="G389" s="73"/>
      <c r="H389" s="73"/>
      <c r="I389" s="73"/>
      <c r="J389" s="73"/>
      <c r="L389" s="73"/>
    </row>
    <row r="390" spans="2:12">
      <c r="B390" s="73"/>
      <c r="C390" s="73"/>
      <c r="D390" s="73"/>
      <c r="E390" s="73"/>
      <c r="F390" s="73"/>
      <c r="G390" s="73"/>
      <c r="H390" s="73"/>
      <c r="I390" s="73"/>
      <c r="J390" s="73"/>
      <c r="L390" s="73"/>
    </row>
    <row r="391" spans="2:12">
      <c r="B391" s="73"/>
      <c r="C391" s="73"/>
      <c r="D391" s="73"/>
      <c r="E391" s="73"/>
      <c r="F391" s="73"/>
      <c r="G391" s="73"/>
      <c r="H391" s="73"/>
      <c r="I391" s="73"/>
      <c r="J391" s="73"/>
      <c r="L391" s="73"/>
    </row>
    <row r="392" spans="2:12">
      <c r="B392" s="73"/>
      <c r="C392" s="73"/>
      <c r="D392" s="73"/>
      <c r="E392" s="73"/>
      <c r="F392" s="73"/>
      <c r="G392" s="73"/>
      <c r="H392" s="73"/>
      <c r="I392" s="73"/>
      <c r="J392" s="73"/>
      <c r="L392" s="73"/>
    </row>
    <row r="393" spans="2:12">
      <c r="B393" s="73"/>
      <c r="C393" s="73"/>
      <c r="D393" s="73"/>
      <c r="E393" s="73"/>
      <c r="F393" s="73"/>
      <c r="G393" s="73"/>
      <c r="H393" s="73"/>
      <c r="I393" s="73"/>
      <c r="J393" s="73"/>
      <c r="L393" s="73"/>
    </row>
    <row r="394" spans="2:12">
      <c r="B394" s="73"/>
      <c r="C394" s="73"/>
      <c r="D394" s="73"/>
      <c r="E394" s="73"/>
      <c r="F394" s="73"/>
      <c r="G394" s="73"/>
      <c r="H394" s="73"/>
      <c r="I394" s="73"/>
      <c r="J394" s="73"/>
      <c r="L394" s="73"/>
    </row>
    <row r="395" spans="2:12">
      <c r="B395" s="73"/>
      <c r="C395" s="73"/>
      <c r="D395" s="73"/>
      <c r="E395" s="73"/>
      <c r="F395" s="73"/>
      <c r="G395" s="73"/>
      <c r="H395" s="73"/>
      <c r="I395" s="73"/>
      <c r="J395" s="73"/>
      <c r="L395" s="73"/>
    </row>
    <row r="396" spans="2:12">
      <c r="B396" s="73"/>
      <c r="C396" s="73"/>
      <c r="D396" s="73"/>
      <c r="E396" s="73"/>
      <c r="F396" s="73"/>
      <c r="G396" s="73"/>
      <c r="H396" s="73"/>
      <c r="I396" s="73"/>
      <c r="J396" s="73"/>
      <c r="L396" s="73"/>
    </row>
    <row r="397" spans="2:12">
      <c r="B397" s="73"/>
      <c r="C397" s="73"/>
      <c r="D397" s="73"/>
      <c r="E397" s="73"/>
      <c r="F397" s="73"/>
      <c r="G397" s="73"/>
      <c r="H397" s="73"/>
      <c r="I397" s="73"/>
      <c r="J397" s="73"/>
      <c r="L397" s="73"/>
    </row>
    <row r="398" spans="2:12">
      <c r="B398" s="73"/>
      <c r="C398" s="73"/>
      <c r="D398" s="73"/>
      <c r="E398" s="73"/>
      <c r="F398" s="73"/>
      <c r="G398" s="73"/>
      <c r="H398" s="73"/>
      <c r="I398" s="73"/>
      <c r="J398" s="73"/>
      <c r="L398" s="73"/>
    </row>
    <row r="399" spans="2:12">
      <c r="B399" s="73"/>
      <c r="C399" s="73"/>
      <c r="D399" s="73"/>
      <c r="E399" s="73"/>
      <c r="F399" s="73"/>
      <c r="G399" s="73"/>
      <c r="H399" s="73"/>
      <c r="I399" s="73"/>
      <c r="J399" s="73"/>
      <c r="L399" s="73"/>
    </row>
    <row r="400" spans="2:12">
      <c r="B400" s="73"/>
      <c r="C400" s="73"/>
      <c r="D400" s="73"/>
      <c r="E400" s="73"/>
      <c r="F400" s="73"/>
      <c r="G400" s="73"/>
      <c r="H400" s="73"/>
      <c r="I400" s="73"/>
      <c r="J400" s="73"/>
      <c r="L400" s="73"/>
    </row>
    <row r="401" spans="2:12">
      <c r="B401" s="73"/>
      <c r="C401" s="73"/>
      <c r="D401" s="73"/>
      <c r="E401" s="73"/>
      <c r="F401" s="73"/>
      <c r="G401" s="73"/>
      <c r="H401" s="73"/>
      <c r="I401" s="73"/>
      <c r="J401" s="73"/>
      <c r="L401" s="73"/>
    </row>
    <row r="402" spans="2:12">
      <c r="B402" s="73"/>
      <c r="C402" s="73"/>
      <c r="D402" s="73"/>
      <c r="E402" s="73"/>
      <c r="F402" s="73"/>
      <c r="G402" s="73"/>
      <c r="H402" s="73"/>
      <c r="I402" s="73"/>
      <c r="J402" s="73"/>
      <c r="L402" s="73"/>
    </row>
    <row r="403" spans="2:12">
      <c r="B403" s="73"/>
      <c r="C403" s="73"/>
      <c r="D403" s="73"/>
      <c r="E403" s="73"/>
      <c r="F403" s="73"/>
      <c r="G403" s="73"/>
      <c r="H403" s="73"/>
      <c r="I403" s="73"/>
      <c r="J403" s="73"/>
      <c r="L403" s="73"/>
    </row>
    <row r="404" spans="2:12">
      <c r="B404" s="73"/>
      <c r="C404" s="73"/>
      <c r="D404" s="73"/>
      <c r="E404" s="73"/>
      <c r="F404" s="73"/>
      <c r="G404" s="73"/>
      <c r="H404" s="73"/>
      <c r="I404" s="73"/>
      <c r="J404" s="73"/>
      <c r="L404" s="73"/>
    </row>
    <row r="405" spans="2:12">
      <c r="B405" s="73"/>
      <c r="C405" s="73"/>
      <c r="D405" s="73"/>
      <c r="E405" s="73"/>
      <c r="F405" s="73"/>
      <c r="G405" s="73"/>
      <c r="H405" s="73"/>
      <c r="I405" s="73"/>
      <c r="J405" s="73"/>
      <c r="L405" s="73"/>
    </row>
    <row r="406" spans="2:12">
      <c r="B406" s="73"/>
      <c r="C406" s="73"/>
      <c r="D406" s="73"/>
      <c r="E406" s="73"/>
      <c r="F406" s="73"/>
      <c r="G406" s="73"/>
      <c r="H406" s="73"/>
      <c r="I406" s="73"/>
      <c r="J406" s="73"/>
      <c r="L406" s="73"/>
    </row>
    <row r="407" spans="2:12">
      <c r="B407" s="73"/>
      <c r="C407" s="73"/>
      <c r="D407" s="73"/>
      <c r="E407" s="73"/>
      <c r="F407" s="73"/>
      <c r="G407" s="73"/>
      <c r="H407" s="73"/>
      <c r="I407" s="73"/>
      <c r="J407" s="73"/>
      <c r="L407" s="73"/>
    </row>
    <row r="408" spans="2:12">
      <c r="B408" s="73"/>
      <c r="C408" s="73"/>
      <c r="D408" s="73"/>
      <c r="E408" s="73"/>
      <c r="F408" s="73"/>
      <c r="G408" s="73"/>
      <c r="H408" s="73"/>
      <c r="I408" s="73"/>
      <c r="J408" s="73"/>
      <c r="L408" s="73"/>
    </row>
    <row r="409" spans="2:12">
      <c r="B409" s="73"/>
      <c r="C409" s="73"/>
      <c r="D409" s="73"/>
      <c r="E409" s="73"/>
      <c r="F409" s="73"/>
      <c r="G409" s="73"/>
      <c r="H409" s="73"/>
      <c r="I409" s="73"/>
      <c r="J409" s="73"/>
      <c r="L409" s="73"/>
    </row>
    <row r="410" spans="2:12">
      <c r="B410" s="73"/>
      <c r="C410" s="73"/>
      <c r="D410" s="73"/>
      <c r="E410" s="73"/>
      <c r="F410" s="73"/>
      <c r="G410" s="73"/>
      <c r="H410" s="73"/>
      <c r="I410" s="73"/>
      <c r="J410" s="73"/>
      <c r="L410" s="73"/>
    </row>
    <row r="411" spans="2:12">
      <c r="B411" s="73"/>
      <c r="C411" s="73"/>
      <c r="D411" s="73"/>
      <c r="E411" s="73"/>
      <c r="F411" s="73"/>
      <c r="G411" s="73"/>
      <c r="H411" s="73"/>
      <c r="I411" s="73"/>
      <c r="J411" s="73"/>
      <c r="L411" s="73"/>
    </row>
    <row r="412" spans="2:12">
      <c r="B412" s="73"/>
      <c r="C412" s="73"/>
      <c r="D412" s="73"/>
      <c r="E412" s="73"/>
      <c r="F412" s="73"/>
      <c r="G412" s="73"/>
      <c r="H412" s="73"/>
      <c r="I412" s="73"/>
      <c r="J412" s="73"/>
      <c r="L412" s="73"/>
    </row>
    <row r="413" spans="2:12">
      <c r="B413" s="73"/>
      <c r="C413" s="73"/>
      <c r="D413" s="73"/>
      <c r="E413" s="73"/>
      <c r="F413" s="73"/>
      <c r="G413" s="73"/>
      <c r="H413" s="73"/>
      <c r="I413" s="73"/>
      <c r="J413" s="73"/>
      <c r="L413" s="73"/>
    </row>
    <row r="414" spans="2:12">
      <c r="B414" s="73"/>
      <c r="C414" s="73"/>
      <c r="D414" s="73"/>
      <c r="E414" s="73"/>
      <c r="F414" s="73"/>
      <c r="G414" s="73"/>
      <c r="H414" s="73"/>
      <c r="I414" s="73"/>
      <c r="J414" s="73"/>
      <c r="L414" s="73"/>
    </row>
    <row r="415" spans="2:12">
      <c r="B415" s="73"/>
      <c r="C415" s="73"/>
      <c r="D415" s="73"/>
      <c r="E415" s="73"/>
      <c r="F415" s="73"/>
      <c r="G415" s="73"/>
      <c r="H415" s="73"/>
      <c r="I415" s="73"/>
      <c r="J415" s="73"/>
      <c r="L415" s="73"/>
    </row>
    <row r="416" spans="2:12">
      <c r="B416" s="73"/>
      <c r="C416" s="73"/>
      <c r="D416" s="73"/>
      <c r="E416" s="73"/>
      <c r="F416" s="73"/>
      <c r="G416" s="73"/>
      <c r="H416" s="73"/>
      <c r="I416" s="73"/>
      <c r="J416" s="73"/>
      <c r="L416" s="73"/>
    </row>
    <row r="417" spans="2:12">
      <c r="B417" s="73"/>
      <c r="C417" s="73"/>
      <c r="D417" s="73"/>
      <c r="E417" s="73"/>
      <c r="F417" s="73"/>
      <c r="G417" s="73"/>
      <c r="H417" s="73"/>
      <c r="I417" s="73"/>
      <c r="J417" s="73"/>
      <c r="L417" s="73"/>
    </row>
    <row r="418" spans="2:12">
      <c r="B418" s="73"/>
      <c r="C418" s="73"/>
      <c r="D418" s="73"/>
      <c r="E418" s="73"/>
      <c r="F418" s="73"/>
      <c r="G418" s="73"/>
      <c r="H418" s="73"/>
      <c r="I418" s="73"/>
      <c r="J418" s="73"/>
      <c r="L418" s="73"/>
    </row>
    <row r="419" spans="2:12">
      <c r="B419" s="73"/>
      <c r="C419" s="73"/>
      <c r="D419" s="73"/>
      <c r="E419" s="73"/>
      <c r="F419" s="73"/>
      <c r="G419" s="73"/>
      <c r="H419" s="73"/>
      <c r="I419" s="73"/>
      <c r="J419" s="73"/>
      <c r="L419" s="73"/>
    </row>
    <row r="420" spans="2:12">
      <c r="B420" s="73"/>
      <c r="C420" s="73"/>
      <c r="D420" s="73"/>
      <c r="E420" s="73"/>
      <c r="F420" s="73"/>
      <c r="G420" s="73"/>
      <c r="H420" s="73"/>
      <c r="I420" s="73"/>
      <c r="J420" s="73"/>
      <c r="L420" s="73"/>
    </row>
    <row r="421" spans="2:12">
      <c r="B421" s="73"/>
      <c r="C421" s="73"/>
      <c r="D421" s="73"/>
      <c r="E421" s="73"/>
      <c r="F421" s="73"/>
      <c r="G421" s="73"/>
      <c r="H421" s="73"/>
      <c r="I421" s="73"/>
      <c r="J421" s="73"/>
      <c r="L421" s="73"/>
    </row>
    <row r="422" spans="2:12">
      <c r="B422" s="73"/>
      <c r="C422" s="73"/>
      <c r="D422" s="73"/>
      <c r="E422" s="73"/>
      <c r="F422" s="73"/>
      <c r="G422" s="73"/>
      <c r="H422" s="73"/>
      <c r="I422" s="73"/>
      <c r="J422" s="73"/>
      <c r="L422" s="73"/>
    </row>
    <row r="423" spans="2:12">
      <c r="B423" s="73"/>
      <c r="C423" s="73"/>
      <c r="D423" s="73"/>
      <c r="E423" s="73"/>
      <c r="F423" s="73"/>
      <c r="G423" s="73"/>
      <c r="H423" s="73"/>
      <c r="I423" s="73"/>
      <c r="J423" s="73"/>
      <c r="L423" s="73"/>
    </row>
    <row r="424" spans="2:12">
      <c r="B424" s="73"/>
      <c r="C424" s="73"/>
      <c r="D424" s="73"/>
      <c r="E424" s="73"/>
      <c r="F424" s="73"/>
      <c r="G424" s="73"/>
      <c r="H424" s="73"/>
      <c r="I424" s="73"/>
      <c r="J424" s="73"/>
      <c r="L424" s="73"/>
    </row>
    <row r="425" spans="2:12">
      <c r="B425" s="73"/>
      <c r="C425" s="73"/>
      <c r="D425" s="73"/>
      <c r="E425" s="73"/>
      <c r="F425" s="73"/>
      <c r="G425" s="73"/>
      <c r="H425" s="73"/>
      <c r="I425" s="73"/>
      <c r="J425" s="73"/>
      <c r="L425" s="73"/>
    </row>
    <row r="426" spans="2:12">
      <c r="B426" s="73"/>
      <c r="C426" s="73"/>
      <c r="D426" s="73"/>
      <c r="E426" s="73"/>
      <c r="F426" s="73"/>
      <c r="G426" s="73"/>
      <c r="H426" s="73"/>
      <c r="I426" s="73"/>
      <c r="J426" s="73"/>
      <c r="L426" s="73"/>
    </row>
    <row r="427" spans="2:12">
      <c r="B427" s="73"/>
      <c r="C427" s="73"/>
      <c r="D427" s="73"/>
      <c r="E427" s="73"/>
      <c r="F427" s="73"/>
      <c r="G427" s="73"/>
      <c r="H427" s="73"/>
      <c r="I427" s="73"/>
      <c r="J427" s="73"/>
      <c r="L427" s="73"/>
    </row>
    <row r="428" spans="2:12">
      <c r="B428" s="73"/>
      <c r="C428" s="73"/>
      <c r="D428" s="73"/>
      <c r="E428" s="73"/>
      <c r="F428" s="73"/>
      <c r="G428" s="73"/>
      <c r="H428" s="73"/>
      <c r="I428" s="73"/>
      <c r="J428" s="73"/>
      <c r="L428" s="73"/>
    </row>
    <row r="429" spans="2:12">
      <c r="B429" s="73"/>
      <c r="C429" s="73"/>
      <c r="D429" s="73"/>
      <c r="E429" s="73"/>
      <c r="F429" s="73"/>
      <c r="G429" s="73"/>
      <c r="H429" s="73"/>
      <c r="I429" s="73"/>
      <c r="J429" s="73"/>
      <c r="L429" s="73"/>
    </row>
    <row r="430" spans="2:12">
      <c r="B430" s="73"/>
      <c r="C430" s="73"/>
      <c r="D430" s="73"/>
      <c r="E430" s="73"/>
      <c r="F430" s="73"/>
      <c r="G430" s="73"/>
      <c r="H430" s="73"/>
      <c r="I430" s="73"/>
      <c r="J430" s="73"/>
      <c r="L430" s="73"/>
    </row>
    <row r="431" spans="2:12">
      <c r="B431" s="73"/>
      <c r="C431" s="73"/>
      <c r="D431" s="73"/>
      <c r="E431" s="73"/>
      <c r="F431" s="73"/>
      <c r="G431" s="73"/>
      <c r="H431" s="73"/>
      <c r="I431" s="73"/>
      <c r="J431" s="73"/>
      <c r="L431" s="73"/>
    </row>
    <row r="432" spans="2:12">
      <c r="B432" s="73"/>
      <c r="C432" s="73"/>
      <c r="D432" s="73"/>
      <c r="E432" s="73"/>
      <c r="F432" s="73"/>
      <c r="G432" s="73"/>
      <c r="H432" s="73"/>
      <c r="I432" s="73"/>
      <c r="J432" s="73"/>
      <c r="L432" s="73"/>
    </row>
    <row r="433" spans="2:12">
      <c r="B433" s="73"/>
      <c r="C433" s="73"/>
      <c r="D433" s="73"/>
      <c r="E433" s="73"/>
      <c r="F433" s="73"/>
      <c r="G433" s="73"/>
      <c r="H433" s="73"/>
      <c r="I433" s="73"/>
      <c r="J433" s="73"/>
      <c r="L433" s="73"/>
    </row>
    <row r="434" spans="2:12">
      <c r="B434" s="73"/>
      <c r="C434" s="73"/>
      <c r="D434" s="73"/>
      <c r="E434" s="73"/>
      <c r="F434" s="73"/>
      <c r="G434" s="73"/>
      <c r="H434" s="73"/>
      <c r="I434" s="73"/>
      <c r="J434" s="73"/>
      <c r="L434" s="73"/>
    </row>
    <row r="435" spans="2:12">
      <c r="B435" s="73"/>
      <c r="C435" s="73"/>
      <c r="D435" s="73"/>
      <c r="E435" s="73"/>
      <c r="F435" s="73"/>
      <c r="G435" s="73"/>
      <c r="H435" s="73"/>
      <c r="I435" s="73"/>
      <c r="J435" s="73"/>
      <c r="L435" s="73"/>
    </row>
    <row r="436" spans="2:12">
      <c r="B436" s="73"/>
      <c r="C436" s="73"/>
      <c r="D436" s="73"/>
      <c r="E436" s="73"/>
      <c r="F436" s="73"/>
      <c r="G436" s="73"/>
      <c r="H436" s="73"/>
      <c r="I436" s="73"/>
      <c r="J436" s="73"/>
      <c r="L436" s="73"/>
    </row>
    <row r="437" spans="2:12">
      <c r="B437" s="73"/>
      <c r="C437" s="73"/>
      <c r="D437" s="73"/>
      <c r="E437" s="73"/>
      <c r="F437" s="73"/>
      <c r="G437" s="73"/>
      <c r="H437" s="73"/>
      <c r="I437" s="73"/>
      <c r="J437" s="73"/>
      <c r="L437" s="73"/>
    </row>
    <row r="438" spans="2:12">
      <c r="B438" s="73"/>
      <c r="C438" s="73"/>
      <c r="D438" s="73"/>
      <c r="E438" s="73"/>
      <c r="F438" s="73"/>
      <c r="G438" s="73"/>
      <c r="H438" s="73"/>
      <c r="I438" s="73"/>
      <c r="J438" s="73"/>
      <c r="L438" s="73"/>
    </row>
    <row r="439" spans="2:12">
      <c r="B439" s="73"/>
      <c r="C439" s="73"/>
      <c r="D439" s="73"/>
      <c r="E439" s="73"/>
      <c r="F439" s="73"/>
      <c r="G439" s="73"/>
      <c r="H439" s="73"/>
      <c r="I439" s="73"/>
      <c r="J439" s="73"/>
      <c r="L439" s="73"/>
    </row>
    <row r="440" spans="2:12">
      <c r="B440" s="73"/>
      <c r="C440" s="73"/>
      <c r="D440" s="73"/>
      <c r="E440" s="73"/>
      <c r="F440" s="73"/>
      <c r="G440" s="73"/>
      <c r="H440" s="73"/>
      <c r="I440" s="73"/>
      <c r="J440" s="73"/>
      <c r="L440" s="73"/>
    </row>
    <row r="441" spans="2:12">
      <c r="B441" s="73"/>
      <c r="C441" s="73"/>
      <c r="D441" s="73"/>
      <c r="E441" s="73"/>
      <c r="F441" s="73"/>
      <c r="G441" s="73"/>
      <c r="H441" s="73"/>
      <c r="I441" s="73"/>
      <c r="J441" s="73"/>
      <c r="L441" s="73"/>
    </row>
    <row r="442" spans="2:12">
      <c r="B442" s="73"/>
      <c r="C442" s="73"/>
      <c r="D442" s="73"/>
      <c r="E442" s="73"/>
      <c r="F442" s="73"/>
      <c r="G442" s="73"/>
      <c r="H442" s="73"/>
      <c r="I442" s="73"/>
      <c r="J442" s="73"/>
      <c r="L442" s="73"/>
    </row>
    <row r="443" spans="2:12">
      <c r="B443" s="73"/>
      <c r="C443" s="73"/>
      <c r="D443" s="73"/>
      <c r="E443" s="73"/>
      <c r="F443" s="73"/>
      <c r="G443" s="73"/>
      <c r="H443" s="73"/>
      <c r="I443" s="73"/>
      <c r="J443" s="73"/>
      <c r="L443" s="73"/>
    </row>
    <row r="444" spans="2:12">
      <c r="B444" s="73"/>
      <c r="C444" s="73"/>
      <c r="D444" s="73"/>
      <c r="E444" s="73"/>
      <c r="F444" s="73"/>
      <c r="G444" s="73"/>
      <c r="H444" s="73"/>
      <c r="I444" s="73"/>
      <c r="J444" s="73"/>
      <c r="L444" s="73"/>
    </row>
    <row r="445" spans="2:12">
      <c r="B445" s="73"/>
      <c r="C445" s="73"/>
      <c r="D445" s="73"/>
      <c r="E445" s="73"/>
      <c r="F445" s="73"/>
      <c r="G445" s="73"/>
      <c r="H445" s="73"/>
      <c r="I445" s="73"/>
      <c r="J445" s="73"/>
      <c r="L445" s="73"/>
    </row>
    <row r="446" spans="2:12">
      <c r="B446" s="73"/>
      <c r="C446" s="73"/>
      <c r="D446" s="73"/>
      <c r="E446" s="73"/>
      <c r="F446" s="73"/>
      <c r="G446" s="73"/>
      <c r="H446" s="73"/>
      <c r="I446" s="73"/>
      <c r="J446" s="73"/>
      <c r="L446" s="73"/>
    </row>
    <row r="447" spans="2:12">
      <c r="B447" s="73"/>
      <c r="C447" s="73"/>
      <c r="D447" s="73"/>
      <c r="E447" s="73"/>
      <c r="F447" s="73"/>
      <c r="G447" s="73"/>
      <c r="H447" s="73"/>
      <c r="I447" s="73"/>
      <c r="J447" s="73"/>
      <c r="L447" s="73"/>
    </row>
    <row r="448" spans="2:12">
      <c r="B448" s="73"/>
      <c r="C448" s="73"/>
      <c r="D448" s="73"/>
      <c r="E448" s="73"/>
      <c r="F448" s="73"/>
      <c r="G448" s="73"/>
      <c r="H448" s="73"/>
      <c r="I448" s="73"/>
      <c r="J448" s="73"/>
      <c r="L448" s="73"/>
    </row>
    <row r="449" spans="2:12">
      <c r="B449" s="73"/>
      <c r="C449" s="73"/>
      <c r="D449" s="73"/>
      <c r="E449" s="73"/>
      <c r="F449" s="73"/>
      <c r="G449" s="73"/>
      <c r="H449" s="73"/>
      <c r="I449" s="73"/>
      <c r="J449" s="73"/>
      <c r="L449" s="73"/>
    </row>
    <row r="450" spans="2:12">
      <c r="B450" s="73"/>
      <c r="C450" s="73"/>
      <c r="D450" s="73"/>
      <c r="E450" s="73"/>
      <c r="F450" s="73"/>
      <c r="G450" s="73"/>
      <c r="H450" s="73"/>
      <c r="I450" s="73"/>
      <c r="J450" s="73"/>
      <c r="L450" s="73"/>
    </row>
    <row r="451" spans="2:12">
      <c r="B451" s="73"/>
      <c r="C451" s="73"/>
      <c r="D451" s="73"/>
      <c r="E451" s="73"/>
      <c r="F451" s="73"/>
      <c r="G451" s="73"/>
      <c r="H451" s="73"/>
      <c r="I451" s="73"/>
      <c r="J451" s="73"/>
      <c r="L451" s="73"/>
    </row>
    <row r="452" spans="2:12">
      <c r="B452" s="73"/>
      <c r="C452" s="73"/>
      <c r="D452" s="73"/>
      <c r="E452" s="73"/>
      <c r="F452" s="73"/>
      <c r="G452" s="73"/>
      <c r="H452" s="73"/>
      <c r="I452" s="73"/>
      <c r="J452" s="73"/>
      <c r="L452" s="73"/>
    </row>
    <row r="453" spans="2:12">
      <c r="B453" s="73"/>
      <c r="C453" s="73"/>
      <c r="D453" s="73"/>
      <c r="E453" s="73"/>
      <c r="F453" s="73"/>
      <c r="G453" s="73"/>
      <c r="H453" s="73"/>
      <c r="I453" s="73"/>
      <c r="J453" s="73"/>
      <c r="L453" s="73"/>
    </row>
    <row r="454" spans="2:12">
      <c r="B454" s="73"/>
      <c r="C454" s="73"/>
      <c r="D454" s="73"/>
      <c r="E454" s="73"/>
      <c r="F454" s="73"/>
      <c r="G454" s="73"/>
      <c r="H454" s="73"/>
      <c r="I454" s="73"/>
      <c r="J454" s="73"/>
      <c r="L454" s="73"/>
    </row>
    <row r="455" spans="2:12">
      <c r="B455" s="73"/>
      <c r="C455" s="73"/>
      <c r="D455" s="73"/>
      <c r="E455" s="73"/>
      <c r="F455" s="73"/>
      <c r="G455" s="73"/>
      <c r="H455" s="73"/>
      <c r="I455" s="73"/>
      <c r="J455" s="73"/>
      <c r="L455" s="73"/>
    </row>
    <row r="456" spans="2:12">
      <c r="B456" s="73"/>
      <c r="C456" s="73"/>
      <c r="D456" s="73"/>
      <c r="E456" s="73"/>
      <c r="F456" s="73"/>
      <c r="G456" s="73"/>
      <c r="H456" s="73"/>
      <c r="I456" s="73"/>
      <c r="J456" s="73"/>
      <c r="L456" s="73"/>
    </row>
    <row r="457" spans="2:12">
      <c r="B457" s="73"/>
      <c r="C457" s="73"/>
      <c r="D457" s="73"/>
      <c r="E457" s="73"/>
      <c r="F457" s="73"/>
      <c r="G457" s="73"/>
      <c r="H457" s="73"/>
      <c r="I457" s="73"/>
      <c r="J457" s="73"/>
      <c r="L457" s="73"/>
    </row>
    <row r="458" spans="2:12">
      <c r="B458" s="73"/>
      <c r="C458" s="73"/>
      <c r="D458" s="73"/>
      <c r="E458" s="73"/>
      <c r="F458" s="73"/>
      <c r="G458" s="73"/>
      <c r="H458" s="73"/>
      <c r="I458" s="73"/>
      <c r="J458" s="73"/>
      <c r="L458" s="73"/>
    </row>
    <row r="459" spans="2:12">
      <c r="B459" s="73"/>
      <c r="C459" s="73"/>
      <c r="D459" s="73"/>
      <c r="E459" s="73"/>
      <c r="F459" s="73"/>
      <c r="G459" s="73"/>
      <c r="H459" s="73"/>
      <c r="I459" s="73"/>
      <c r="J459" s="73"/>
      <c r="L459" s="73"/>
    </row>
    <row r="460" spans="2:12">
      <c r="B460" s="73"/>
      <c r="C460" s="73"/>
      <c r="D460" s="73"/>
      <c r="E460" s="73"/>
      <c r="F460" s="73"/>
      <c r="G460" s="73"/>
      <c r="H460" s="73"/>
      <c r="I460" s="73"/>
      <c r="J460" s="73"/>
      <c r="L460" s="73"/>
    </row>
    <row r="461" spans="2:12">
      <c r="B461" s="73"/>
      <c r="C461" s="73"/>
      <c r="D461" s="73"/>
      <c r="E461" s="73"/>
      <c r="F461" s="73"/>
      <c r="G461" s="73"/>
      <c r="H461" s="73"/>
      <c r="I461" s="73"/>
      <c r="J461" s="73"/>
      <c r="L461" s="73"/>
    </row>
    <row r="462" spans="2:12">
      <c r="B462" s="73"/>
      <c r="C462" s="73"/>
      <c r="D462" s="73"/>
      <c r="E462" s="73"/>
      <c r="F462" s="73"/>
      <c r="G462" s="73"/>
      <c r="H462" s="73"/>
      <c r="I462" s="73"/>
      <c r="J462" s="73"/>
      <c r="L462" s="73"/>
    </row>
    <row r="463" spans="2:12">
      <c r="B463" s="73"/>
      <c r="C463" s="73"/>
      <c r="D463" s="73"/>
      <c r="E463" s="73"/>
      <c r="F463" s="73"/>
      <c r="G463" s="73"/>
      <c r="H463" s="73"/>
      <c r="I463" s="73"/>
      <c r="J463" s="73"/>
      <c r="L463" s="73"/>
    </row>
    <row r="464" spans="2:12">
      <c r="B464" s="73"/>
      <c r="C464" s="73"/>
      <c r="D464" s="73"/>
      <c r="E464" s="73"/>
      <c r="F464" s="73"/>
      <c r="G464" s="73"/>
      <c r="H464" s="73"/>
      <c r="I464" s="73"/>
      <c r="J464" s="73"/>
      <c r="L464" s="73"/>
    </row>
    <row r="465" spans="2:12">
      <c r="B465" s="73"/>
      <c r="C465" s="73"/>
      <c r="D465" s="73"/>
      <c r="E465" s="73"/>
      <c r="F465" s="73"/>
      <c r="G465" s="73"/>
      <c r="H465" s="73"/>
      <c r="I465" s="73"/>
      <c r="J465" s="73"/>
      <c r="L465" s="73"/>
    </row>
    <row r="466" spans="2:12">
      <c r="B466" s="73"/>
      <c r="C466" s="73"/>
      <c r="D466" s="73"/>
      <c r="E466" s="73"/>
      <c r="F466" s="73"/>
      <c r="G466" s="73"/>
      <c r="H466" s="73"/>
      <c r="I466" s="73"/>
      <c r="J466" s="73"/>
      <c r="L466" s="73"/>
    </row>
    <row r="467" spans="2:12">
      <c r="B467" s="73"/>
      <c r="C467" s="73"/>
      <c r="D467" s="73"/>
      <c r="E467" s="73"/>
      <c r="F467" s="73"/>
      <c r="G467" s="73"/>
      <c r="H467" s="73"/>
      <c r="I467" s="73"/>
      <c r="J467" s="73"/>
      <c r="L467" s="73"/>
    </row>
    <row r="468" spans="2:12">
      <c r="B468" s="73"/>
      <c r="C468" s="73"/>
      <c r="D468" s="73"/>
      <c r="E468" s="73"/>
      <c r="F468" s="73"/>
      <c r="G468" s="73"/>
      <c r="H468" s="73"/>
      <c r="I468" s="73"/>
      <c r="J468" s="73"/>
      <c r="L468" s="73"/>
    </row>
    <row r="469" spans="2:12">
      <c r="B469" s="73"/>
      <c r="C469" s="73"/>
      <c r="D469" s="73"/>
      <c r="E469" s="73"/>
      <c r="F469" s="73"/>
      <c r="G469" s="73"/>
      <c r="H469" s="73"/>
      <c r="I469" s="73"/>
      <c r="J469" s="73"/>
      <c r="L469" s="73"/>
    </row>
    <row r="470" spans="2:12">
      <c r="B470" s="73"/>
      <c r="C470" s="73"/>
      <c r="D470" s="73"/>
      <c r="E470" s="73"/>
      <c r="F470" s="73"/>
      <c r="G470" s="73"/>
      <c r="H470" s="73"/>
      <c r="I470" s="73"/>
      <c r="J470" s="73"/>
      <c r="L470" s="73"/>
    </row>
    <row r="471" spans="2:12">
      <c r="B471" s="73"/>
      <c r="C471" s="73"/>
      <c r="D471" s="73"/>
      <c r="E471" s="73"/>
      <c r="F471" s="73"/>
      <c r="G471" s="73"/>
      <c r="H471" s="73"/>
      <c r="I471" s="73"/>
      <c r="J471" s="73"/>
      <c r="L471" s="73"/>
    </row>
    <row r="472" spans="2:12">
      <c r="B472" s="73"/>
      <c r="C472" s="73"/>
      <c r="D472" s="73"/>
      <c r="E472" s="73"/>
      <c r="F472" s="73"/>
      <c r="G472" s="73"/>
      <c r="H472" s="73"/>
      <c r="I472" s="73"/>
      <c r="J472" s="73"/>
      <c r="L472" s="73"/>
    </row>
    <row r="473" spans="2:12">
      <c r="B473" s="73"/>
      <c r="C473" s="73"/>
      <c r="D473" s="73"/>
      <c r="E473" s="73"/>
      <c r="F473" s="73"/>
      <c r="G473" s="73"/>
      <c r="H473" s="73"/>
      <c r="I473" s="73"/>
      <c r="J473" s="73"/>
      <c r="L473" s="73"/>
    </row>
    <row r="474" spans="2:12">
      <c r="B474" s="73"/>
      <c r="C474" s="73"/>
      <c r="D474" s="73"/>
      <c r="E474" s="73"/>
      <c r="F474" s="73"/>
      <c r="G474" s="73"/>
      <c r="H474" s="73"/>
      <c r="I474" s="73"/>
      <c r="J474" s="73"/>
      <c r="L474" s="73"/>
    </row>
    <row r="475" spans="2:12">
      <c r="B475" s="73"/>
      <c r="C475" s="73"/>
      <c r="D475" s="73"/>
      <c r="E475" s="73"/>
      <c r="F475" s="73"/>
      <c r="G475" s="73"/>
      <c r="H475" s="73"/>
      <c r="I475" s="73"/>
      <c r="J475" s="73"/>
      <c r="L475" s="73"/>
    </row>
    <row r="476" spans="2:12">
      <c r="B476" s="73"/>
      <c r="C476" s="73"/>
      <c r="D476" s="73"/>
      <c r="E476" s="73"/>
      <c r="F476" s="73"/>
      <c r="G476" s="73"/>
      <c r="H476" s="73"/>
      <c r="I476" s="73"/>
      <c r="J476" s="73"/>
      <c r="L476" s="73"/>
    </row>
    <row r="477" spans="2:12">
      <c r="B477" s="73"/>
      <c r="C477" s="73"/>
      <c r="D477" s="73"/>
      <c r="E477" s="73"/>
      <c r="F477" s="73"/>
      <c r="G477" s="73"/>
      <c r="H477" s="73"/>
      <c r="I477" s="73"/>
      <c r="J477" s="73"/>
      <c r="L477" s="73"/>
    </row>
    <row r="478" spans="2:12">
      <c r="B478" s="73"/>
      <c r="C478" s="73"/>
      <c r="D478" s="73"/>
      <c r="E478" s="73"/>
      <c r="F478" s="73"/>
      <c r="G478" s="73"/>
      <c r="H478" s="73"/>
      <c r="I478" s="73"/>
      <c r="J478" s="73"/>
      <c r="L478" s="73"/>
    </row>
    <row r="479" spans="2:12">
      <c r="B479" s="73"/>
      <c r="C479" s="73"/>
      <c r="D479" s="73"/>
      <c r="E479" s="73"/>
      <c r="F479" s="73"/>
      <c r="G479" s="73"/>
      <c r="H479" s="73"/>
      <c r="I479" s="73"/>
      <c r="J479" s="73"/>
      <c r="L479" s="73"/>
    </row>
    <row r="480" spans="2:12">
      <c r="B480" s="73"/>
      <c r="C480" s="73"/>
      <c r="D480" s="73"/>
      <c r="E480" s="73"/>
      <c r="F480" s="73"/>
      <c r="G480" s="73"/>
      <c r="H480" s="73"/>
      <c r="I480" s="73"/>
      <c r="J480" s="73"/>
      <c r="L480" s="73"/>
    </row>
    <row r="481" spans="2:12">
      <c r="B481" s="73"/>
      <c r="C481" s="73"/>
      <c r="D481" s="73"/>
      <c r="E481" s="73"/>
      <c r="F481" s="73"/>
      <c r="G481" s="73"/>
      <c r="H481" s="73"/>
      <c r="I481" s="73"/>
      <c r="J481" s="73"/>
      <c r="L481" s="73"/>
    </row>
    <row r="482" spans="2:12">
      <c r="B482" s="73"/>
      <c r="C482" s="73"/>
      <c r="D482" s="73"/>
      <c r="E482" s="73"/>
      <c r="F482" s="73"/>
      <c r="G482" s="73"/>
      <c r="H482" s="73"/>
      <c r="I482" s="73"/>
      <c r="J482" s="73"/>
      <c r="L482" s="73"/>
    </row>
    <row r="483" spans="2:12">
      <c r="B483" s="73"/>
      <c r="C483" s="73"/>
      <c r="D483" s="73"/>
      <c r="E483" s="73"/>
      <c r="F483" s="73"/>
      <c r="G483" s="73"/>
      <c r="H483" s="73"/>
      <c r="I483" s="73"/>
      <c r="J483" s="73"/>
      <c r="L483" s="73"/>
    </row>
    <row r="484" spans="2:12">
      <c r="B484" s="73"/>
      <c r="C484" s="73"/>
      <c r="D484" s="73"/>
      <c r="E484" s="73"/>
      <c r="F484" s="73"/>
      <c r="G484" s="73"/>
      <c r="H484" s="73"/>
      <c r="I484" s="73"/>
      <c r="J484" s="73"/>
      <c r="L484" s="73"/>
    </row>
    <row r="485" spans="2:12">
      <c r="B485" s="73"/>
      <c r="C485" s="73"/>
      <c r="D485" s="73"/>
      <c r="E485" s="73"/>
      <c r="F485" s="73"/>
      <c r="G485" s="73"/>
      <c r="H485" s="73"/>
      <c r="I485" s="73"/>
      <c r="J485" s="73"/>
      <c r="L485" s="73"/>
    </row>
    <row r="486" spans="2:12">
      <c r="B486" s="73"/>
      <c r="C486" s="73"/>
      <c r="D486" s="73"/>
      <c r="E486" s="73"/>
      <c r="F486" s="73"/>
      <c r="G486" s="73"/>
      <c r="H486" s="73"/>
      <c r="I486" s="73"/>
      <c r="J486" s="73"/>
      <c r="L486" s="73"/>
    </row>
    <row r="487" spans="2:12">
      <c r="B487" s="73"/>
      <c r="C487" s="73"/>
      <c r="D487" s="73"/>
      <c r="E487" s="73"/>
      <c r="F487" s="73"/>
      <c r="G487" s="73"/>
      <c r="H487" s="73"/>
      <c r="I487" s="73"/>
      <c r="J487" s="73"/>
      <c r="L487" s="73"/>
    </row>
    <row r="488" spans="2:12">
      <c r="B488" s="73"/>
      <c r="C488" s="73"/>
      <c r="D488" s="73"/>
      <c r="E488" s="73"/>
      <c r="F488" s="73"/>
      <c r="G488" s="73"/>
      <c r="H488" s="73"/>
      <c r="I488" s="73"/>
      <c r="J488" s="73"/>
      <c r="L488" s="73"/>
    </row>
    <row r="489" spans="2:12">
      <c r="B489" s="73"/>
      <c r="C489" s="73"/>
      <c r="D489" s="73"/>
      <c r="E489" s="73"/>
      <c r="F489" s="73"/>
      <c r="G489" s="73"/>
      <c r="H489" s="73"/>
      <c r="I489" s="73"/>
      <c r="J489" s="73"/>
      <c r="L489" s="73"/>
    </row>
    <row r="490" spans="2:12">
      <c r="B490" s="73"/>
      <c r="C490" s="73"/>
      <c r="D490" s="73"/>
      <c r="E490" s="73"/>
      <c r="F490" s="73"/>
      <c r="G490" s="73"/>
      <c r="H490" s="73"/>
      <c r="I490" s="73"/>
      <c r="J490" s="73"/>
      <c r="L490" s="73"/>
    </row>
    <row r="491" spans="2:12">
      <c r="B491" s="73"/>
      <c r="C491" s="73"/>
      <c r="D491" s="73"/>
      <c r="E491" s="73"/>
      <c r="F491" s="73"/>
      <c r="G491" s="73"/>
      <c r="H491" s="73"/>
      <c r="I491" s="73"/>
      <c r="J491" s="73"/>
      <c r="L491" s="73"/>
    </row>
    <row r="492" spans="2:12">
      <c r="B492" s="73"/>
      <c r="C492" s="73"/>
      <c r="D492" s="73"/>
      <c r="E492" s="73"/>
      <c r="F492" s="73"/>
      <c r="G492" s="73"/>
      <c r="H492" s="73"/>
      <c r="I492" s="73"/>
      <c r="J492" s="73"/>
      <c r="L492" s="73"/>
    </row>
    <row r="493" spans="2:12">
      <c r="B493" s="73"/>
      <c r="C493" s="73"/>
      <c r="D493" s="73"/>
      <c r="E493" s="73"/>
      <c r="F493" s="73"/>
      <c r="G493" s="73"/>
      <c r="H493" s="73"/>
      <c r="I493" s="73"/>
      <c r="J493" s="73"/>
      <c r="L493" s="73"/>
    </row>
    <row r="494" spans="2:12">
      <c r="B494" s="73"/>
      <c r="C494" s="73"/>
      <c r="D494" s="73"/>
      <c r="E494" s="73"/>
      <c r="F494" s="73"/>
      <c r="G494" s="73"/>
      <c r="H494" s="73"/>
      <c r="I494" s="73"/>
      <c r="J494" s="73"/>
      <c r="L494" s="73"/>
    </row>
    <row r="495" spans="2:12">
      <c r="B495" s="73"/>
      <c r="C495" s="73"/>
      <c r="D495" s="73"/>
      <c r="E495" s="73"/>
      <c r="F495" s="73"/>
      <c r="G495" s="73"/>
      <c r="H495" s="73"/>
      <c r="I495" s="73"/>
      <c r="J495" s="73"/>
      <c r="L495" s="73"/>
    </row>
    <row r="496" spans="2:12">
      <c r="B496" s="73"/>
      <c r="C496" s="73"/>
      <c r="D496" s="73"/>
      <c r="E496" s="73"/>
      <c r="F496" s="73"/>
      <c r="G496" s="73"/>
      <c r="H496" s="73"/>
      <c r="I496" s="73"/>
      <c r="J496" s="73"/>
      <c r="L496" s="73"/>
    </row>
    <row r="497" spans="2:12">
      <c r="B497" s="73"/>
      <c r="C497" s="73"/>
      <c r="D497" s="73"/>
      <c r="E497" s="73"/>
      <c r="F497" s="73"/>
      <c r="G497" s="73"/>
      <c r="H497" s="73"/>
      <c r="I497" s="73"/>
      <c r="J497" s="73"/>
      <c r="L497" s="73"/>
    </row>
    <row r="498" spans="2:12">
      <c r="B498" s="73"/>
      <c r="C498" s="73"/>
      <c r="D498" s="73"/>
      <c r="E498" s="73"/>
      <c r="F498" s="73"/>
      <c r="G498" s="73"/>
      <c r="H498" s="73"/>
      <c r="I498" s="73"/>
      <c r="J498" s="73"/>
      <c r="L498" s="73"/>
    </row>
    <row r="499" spans="2:12">
      <c r="B499" s="73"/>
      <c r="C499" s="73"/>
      <c r="D499" s="73"/>
      <c r="E499" s="73"/>
      <c r="F499" s="73"/>
      <c r="G499" s="73"/>
      <c r="H499" s="73"/>
      <c r="I499" s="73"/>
      <c r="J499" s="73"/>
      <c r="L499" s="73"/>
    </row>
    <row r="500" spans="2:12">
      <c r="B500" s="73"/>
      <c r="C500" s="73"/>
      <c r="D500" s="73"/>
      <c r="E500" s="73"/>
      <c r="F500" s="73"/>
      <c r="G500" s="73"/>
      <c r="H500" s="73"/>
      <c r="I500" s="73"/>
      <c r="J500" s="73"/>
      <c r="L500" s="73"/>
    </row>
    <row r="501" spans="2:12">
      <c r="B501" s="73"/>
      <c r="C501" s="73"/>
      <c r="D501" s="73"/>
      <c r="E501" s="73"/>
      <c r="F501" s="73"/>
      <c r="G501" s="73"/>
      <c r="H501" s="73"/>
      <c r="I501" s="73"/>
      <c r="J501" s="73"/>
      <c r="L501" s="73"/>
    </row>
    <row r="502" spans="2:12">
      <c r="B502" s="73"/>
      <c r="C502" s="73"/>
      <c r="D502" s="73"/>
      <c r="E502" s="73"/>
      <c r="F502" s="73"/>
      <c r="G502" s="73"/>
      <c r="H502" s="73"/>
      <c r="I502" s="73"/>
      <c r="J502" s="73"/>
      <c r="L502" s="73"/>
    </row>
    <row r="503" spans="2:12">
      <c r="B503" s="73"/>
      <c r="C503" s="73"/>
      <c r="D503" s="73"/>
      <c r="E503" s="73"/>
      <c r="F503" s="73"/>
      <c r="G503" s="73"/>
      <c r="H503" s="73"/>
      <c r="I503" s="73"/>
      <c r="J503" s="73"/>
      <c r="L503" s="73"/>
    </row>
    <row r="504" spans="2:12">
      <c r="B504" s="73"/>
      <c r="C504" s="73"/>
      <c r="D504" s="73"/>
      <c r="E504" s="73"/>
      <c r="F504" s="73"/>
      <c r="G504" s="73"/>
      <c r="H504" s="73"/>
      <c r="I504" s="73"/>
      <c r="J504" s="73"/>
      <c r="L504" s="73"/>
    </row>
    <row r="505" spans="2:12">
      <c r="B505" s="73"/>
      <c r="C505" s="73"/>
      <c r="D505" s="73"/>
      <c r="E505" s="73"/>
      <c r="F505" s="73"/>
      <c r="G505" s="73"/>
      <c r="H505" s="73"/>
      <c r="I505" s="73"/>
      <c r="J505" s="73"/>
      <c r="L505" s="73"/>
    </row>
    <row r="506" spans="2:12">
      <c r="B506" s="73"/>
      <c r="C506" s="73"/>
      <c r="D506" s="73"/>
      <c r="E506" s="73"/>
      <c r="F506" s="73"/>
      <c r="G506" s="73"/>
      <c r="H506" s="73"/>
      <c r="I506" s="73"/>
      <c r="J506" s="73"/>
      <c r="L506" s="73"/>
    </row>
    <row r="507" spans="2:12">
      <c r="B507" s="73"/>
      <c r="C507" s="73"/>
      <c r="D507" s="73"/>
      <c r="E507" s="73"/>
      <c r="F507" s="73"/>
      <c r="G507" s="73"/>
      <c r="H507" s="73"/>
      <c r="I507" s="73"/>
      <c r="J507" s="73"/>
      <c r="L507" s="73"/>
    </row>
    <row r="508" spans="2:12">
      <c r="B508" s="73"/>
      <c r="C508" s="73"/>
      <c r="D508" s="73"/>
      <c r="E508" s="73"/>
      <c r="F508" s="73"/>
      <c r="G508" s="73"/>
      <c r="H508" s="73"/>
      <c r="I508" s="73"/>
      <c r="J508" s="73"/>
      <c r="L508" s="73"/>
    </row>
    <row r="509" spans="2:12">
      <c r="B509" s="73"/>
      <c r="C509" s="73"/>
      <c r="D509" s="73"/>
      <c r="E509" s="73"/>
      <c r="F509" s="73"/>
      <c r="G509" s="73"/>
      <c r="H509" s="73"/>
      <c r="I509" s="73"/>
      <c r="J509" s="73"/>
      <c r="L509" s="73"/>
    </row>
    <row r="510" spans="2:12">
      <c r="B510" s="73"/>
      <c r="C510" s="73"/>
      <c r="D510" s="73"/>
      <c r="E510" s="73"/>
      <c r="F510" s="73"/>
      <c r="G510" s="73"/>
      <c r="H510" s="73"/>
      <c r="I510" s="73"/>
      <c r="J510" s="73"/>
      <c r="L510" s="73"/>
    </row>
    <row r="511" spans="2:12">
      <c r="B511" s="73"/>
      <c r="C511" s="73"/>
      <c r="D511" s="73"/>
      <c r="E511" s="73"/>
      <c r="F511" s="73"/>
      <c r="G511" s="73"/>
      <c r="H511" s="73"/>
      <c r="I511" s="73"/>
      <c r="J511" s="73"/>
      <c r="L511" s="73"/>
    </row>
    <row r="512" spans="2:12">
      <c r="B512" s="73"/>
      <c r="C512" s="73"/>
      <c r="D512" s="73"/>
      <c r="E512" s="73"/>
      <c r="F512" s="73"/>
      <c r="G512" s="73"/>
      <c r="H512" s="73"/>
      <c r="I512" s="73"/>
      <c r="J512" s="73"/>
      <c r="L512" s="73"/>
    </row>
    <row r="513" spans="2:12">
      <c r="B513" s="73"/>
      <c r="C513" s="73"/>
      <c r="D513" s="73"/>
      <c r="E513" s="73"/>
      <c r="F513" s="73"/>
      <c r="G513" s="73"/>
      <c r="H513" s="73"/>
      <c r="I513" s="73"/>
      <c r="J513" s="73"/>
      <c r="L513" s="73"/>
    </row>
    <row r="514" spans="2:12">
      <c r="B514" s="73"/>
      <c r="C514" s="73"/>
      <c r="D514" s="73"/>
      <c r="E514" s="73"/>
      <c r="F514" s="73"/>
      <c r="G514" s="73"/>
      <c r="H514" s="73"/>
      <c r="I514" s="73"/>
      <c r="J514" s="73"/>
      <c r="L514" s="73"/>
    </row>
    <row r="515" spans="2:12">
      <c r="B515" s="73"/>
      <c r="C515" s="73"/>
      <c r="D515" s="73"/>
      <c r="E515" s="73"/>
      <c r="F515" s="73"/>
      <c r="G515" s="73"/>
      <c r="H515" s="73"/>
      <c r="I515" s="73"/>
      <c r="J515" s="73"/>
      <c r="L515" s="73"/>
    </row>
    <row r="516" spans="2:12">
      <c r="B516" s="73"/>
      <c r="C516" s="73"/>
      <c r="D516" s="73"/>
      <c r="E516" s="73"/>
      <c r="F516" s="73"/>
      <c r="G516" s="73"/>
      <c r="H516" s="73"/>
      <c r="I516" s="73"/>
      <c r="J516" s="73"/>
      <c r="L516" s="73"/>
    </row>
    <row r="517" spans="2:12">
      <c r="B517" s="73"/>
      <c r="C517" s="73"/>
      <c r="D517" s="73"/>
      <c r="E517" s="73"/>
      <c r="F517" s="73"/>
      <c r="G517" s="73"/>
      <c r="H517" s="73"/>
      <c r="I517" s="73"/>
      <c r="J517" s="73"/>
      <c r="L517" s="73"/>
    </row>
    <row r="518" spans="2:12">
      <c r="B518" s="73"/>
      <c r="C518" s="73"/>
      <c r="D518" s="73"/>
      <c r="E518" s="73"/>
      <c r="F518" s="73"/>
      <c r="G518" s="73"/>
      <c r="H518" s="73"/>
      <c r="I518" s="73"/>
      <c r="J518" s="73"/>
      <c r="L518" s="73"/>
    </row>
    <row r="519" spans="2:12">
      <c r="B519" s="73"/>
      <c r="C519" s="73"/>
      <c r="D519" s="73"/>
      <c r="E519" s="73"/>
      <c r="F519" s="73"/>
      <c r="G519" s="73"/>
      <c r="H519" s="73"/>
      <c r="I519" s="73"/>
      <c r="J519" s="73"/>
      <c r="L519" s="73"/>
    </row>
    <row r="520" spans="2:12">
      <c r="B520" s="73"/>
      <c r="C520" s="73"/>
      <c r="D520" s="73"/>
      <c r="E520" s="73"/>
      <c r="F520" s="73"/>
      <c r="G520" s="73"/>
      <c r="H520" s="73"/>
      <c r="I520" s="73"/>
      <c r="J520" s="73"/>
      <c r="L520" s="73"/>
    </row>
    <row r="521" spans="2:12">
      <c r="B521" s="73"/>
      <c r="C521" s="73"/>
      <c r="D521" s="73"/>
      <c r="E521" s="73"/>
      <c r="F521" s="73"/>
      <c r="G521" s="73"/>
      <c r="H521" s="73"/>
      <c r="I521" s="73"/>
      <c r="J521" s="73"/>
      <c r="L521" s="73"/>
    </row>
    <row r="522" spans="2:12">
      <c r="B522" s="73"/>
      <c r="C522" s="73"/>
      <c r="D522" s="73"/>
      <c r="E522" s="73"/>
      <c r="F522" s="73"/>
      <c r="G522" s="73"/>
      <c r="H522" s="73"/>
      <c r="I522" s="73"/>
      <c r="J522" s="73"/>
      <c r="L522" s="73"/>
    </row>
    <row r="523" spans="2:12">
      <c r="B523" s="73"/>
      <c r="C523" s="73"/>
      <c r="D523" s="73"/>
      <c r="E523" s="73"/>
      <c r="F523" s="73"/>
      <c r="G523" s="73"/>
      <c r="H523" s="73"/>
      <c r="I523" s="73"/>
      <c r="J523" s="73"/>
      <c r="L523" s="73"/>
    </row>
    <row r="524" spans="2:12">
      <c r="B524" s="73"/>
      <c r="C524" s="73"/>
      <c r="D524" s="73"/>
      <c r="E524" s="73"/>
      <c r="F524" s="73"/>
      <c r="G524" s="73"/>
      <c r="H524" s="73"/>
      <c r="I524" s="73"/>
      <c r="J524" s="73"/>
      <c r="L524" s="73"/>
    </row>
    <row r="525" spans="2:12">
      <c r="B525" s="73"/>
      <c r="C525" s="73"/>
      <c r="D525" s="73"/>
      <c r="E525" s="73"/>
      <c r="F525" s="73"/>
      <c r="G525" s="73"/>
      <c r="H525" s="73"/>
      <c r="I525" s="73"/>
      <c r="J525" s="73"/>
      <c r="L525" s="73"/>
    </row>
    <row r="526" spans="2:12">
      <c r="B526" s="73"/>
      <c r="C526" s="73"/>
      <c r="D526" s="73"/>
      <c r="E526" s="73"/>
      <c r="F526" s="73"/>
      <c r="G526" s="73"/>
      <c r="H526" s="73"/>
      <c r="I526" s="73"/>
      <c r="J526" s="73"/>
      <c r="L526" s="73"/>
    </row>
    <row r="527" spans="2:12">
      <c r="B527" s="73"/>
      <c r="C527" s="73"/>
      <c r="D527" s="73"/>
      <c r="E527" s="73"/>
      <c r="F527" s="73"/>
      <c r="G527" s="73"/>
      <c r="H527" s="73"/>
      <c r="I527" s="73"/>
      <c r="J527" s="73"/>
      <c r="L527" s="73"/>
    </row>
    <row r="528" spans="2:12">
      <c r="B528" s="73"/>
      <c r="C528" s="73"/>
      <c r="D528" s="73"/>
      <c r="E528" s="73"/>
      <c r="F528" s="73"/>
      <c r="G528" s="73"/>
      <c r="H528" s="73"/>
      <c r="I528" s="73"/>
      <c r="J528" s="73"/>
      <c r="L528" s="73"/>
    </row>
    <row r="529" spans="2:12">
      <c r="B529" s="73"/>
      <c r="C529" s="73"/>
      <c r="D529" s="73"/>
      <c r="E529" s="73"/>
      <c r="F529" s="73"/>
      <c r="G529" s="73"/>
      <c r="H529" s="73"/>
      <c r="I529" s="73"/>
      <c r="J529" s="73"/>
      <c r="L529" s="73"/>
    </row>
    <row r="530" spans="2:12">
      <c r="B530" s="73"/>
      <c r="C530" s="73"/>
      <c r="D530" s="73"/>
      <c r="E530" s="73"/>
      <c r="F530" s="73"/>
      <c r="G530" s="73"/>
      <c r="H530" s="73"/>
      <c r="I530" s="73"/>
      <c r="J530" s="73"/>
      <c r="L530" s="73"/>
    </row>
    <row r="531" spans="2:12">
      <c r="B531" s="73"/>
      <c r="C531" s="73"/>
      <c r="D531" s="73"/>
      <c r="E531" s="73"/>
      <c r="F531" s="73"/>
      <c r="G531" s="73"/>
      <c r="H531" s="73"/>
      <c r="I531" s="73"/>
      <c r="J531" s="73"/>
      <c r="L531" s="73"/>
    </row>
    <row r="532" spans="2:12">
      <c r="B532" s="73"/>
      <c r="C532" s="73"/>
      <c r="D532" s="73"/>
      <c r="E532" s="73"/>
      <c r="F532" s="73"/>
      <c r="G532" s="73"/>
      <c r="H532" s="73"/>
      <c r="I532" s="73"/>
      <c r="J532" s="73"/>
      <c r="L532" s="73"/>
    </row>
    <row r="533" spans="2:12">
      <c r="B533" s="73"/>
      <c r="C533" s="73"/>
      <c r="D533" s="73"/>
      <c r="E533" s="73"/>
      <c r="F533" s="73"/>
      <c r="G533" s="73"/>
      <c r="H533" s="73"/>
      <c r="I533" s="73"/>
      <c r="J533" s="73"/>
      <c r="L533" s="73"/>
    </row>
    <row r="534" spans="2:12">
      <c r="B534" s="73"/>
      <c r="C534" s="73"/>
      <c r="D534" s="73"/>
      <c r="E534" s="73"/>
      <c r="F534" s="73"/>
      <c r="G534" s="73"/>
      <c r="H534" s="73"/>
      <c r="I534" s="73"/>
      <c r="J534" s="73"/>
      <c r="L534" s="73"/>
    </row>
    <row r="535" spans="2:12">
      <c r="B535" s="73"/>
      <c r="C535" s="73"/>
      <c r="D535" s="73"/>
      <c r="E535" s="73"/>
      <c r="F535" s="73"/>
      <c r="G535" s="73"/>
      <c r="H535" s="73"/>
      <c r="I535" s="73"/>
      <c r="J535" s="73"/>
      <c r="L535" s="73"/>
    </row>
    <row r="536" spans="2:12">
      <c r="B536" s="73"/>
      <c r="C536" s="73"/>
      <c r="D536" s="73"/>
      <c r="E536" s="73"/>
      <c r="F536" s="73"/>
      <c r="G536" s="73"/>
      <c r="H536" s="73"/>
      <c r="I536" s="73"/>
      <c r="J536" s="73"/>
      <c r="L536" s="73"/>
    </row>
    <row r="537" spans="2:12">
      <c r="B537" s="73"/>
      <c r="C537" s="73"/>
      <c r="D537" s="73"/>
      <c r="E537" s="73"/>
      <c r="F537" s="73"/>
      <c r="G537" s="73"/>
      <c r="H537" s="73"/>
      <c r="I537" s="73"/>
      <c r="J537" s="73"/>
      <c r="L537" s="73"/>
    </row>
    <row r="538" spans="2:12">
      <c r="B538" s="73"/>
      <c r="C538" s="73"/>
      <c r="D538" s="73"/>
      <c r="E538" s="73"/>
      <c r="F538" s="73"/>
      <c r="G538" s="73"/>
      <c r="H538" s="73"/>
      <c r="I538" s="73"/>
      <c r="J538" s="73"/>
      <c r="L538" s="73"/>
    </row>
    <row r="539" spans="2:12">
      <c r="B539" s="73"/>
      <c r="C539" s="73"/>
      <c r="D539" s="73"/>
      <c r="E539" s="73"/>
      <c r="F539" s="73"/>
      <c r="G539" s="73"/>
      <c r="H539" s="73"/>
      <c r="I539" s="73"/>
      <c r="J539" s="73"/>
      <c r="L539" s="73"/>
    </row>
    <row r="540" spans="2:12">
      <c r="B540" s="73"/>
      <c r="C540" s="73"/>
      <c r="D540" s="73"/>
      <c r="E540" s="73"/>
      <c r="F540" s="73"/>
      <c r="G540" s="73"/>
      <c r="H540" s="73"/>
      <c r="I540" s="73"/>
      <c r="J540" s="73"/>
      <c r="L540" s="73"/>
    </row>
    <row r="541" spans="2:12">
      <c r="B541" s="73"/>
      <c r="C541" s="73"/>
      <c r="D541" s="73"/>
      <c r="E541" s="73"/>
      <c r="F541" s="73"/>
      <c r="G541" s="73"/>
      <c r="H541" s="73"/>
      <c r="I541" s="73"/>
      <c r="J541" s="73"/>
      <c r="L541" s="73"/>
    </row>
    <row r="542" spans="2:12">
      <c r="B542" s="73"/>
      <c r="C542" s="73"/>
      <c r="D542" s="73"/>
      <c r="E542" s="73"/>
      <c r="F542" s="73"/>
      <c r="G542" s="73"/>
      <c r="H542" s="73"/>
      <c r="I542" s="73"/>
      <c r="J542" s="73"/>
      <c r="L542" s="73"/>
    </row>
    <row r="543" spans="2:12">
      <c r="B543" s="73"/>
      <c r="C543" s="73"/>
      <c r="D543" s="73"/>
      <c r="E543" s="73"/>
      <c r="F543" s="73"/>
      <c r="G543" s="73"/>
      <c r="H543" s="73"/>
      <c r="I543" s="73"/>
      <c r="J543" s="73"/>
      <c r="L543" s="73"/>
    </row>
    <row r="544" spans="2:12">
      <c r="B544" s="73"/>
      <c r="C544" s="73"/>
      <c r="D544" s="73"/>
      <c r="E544" s="73"/>
      <c r="F544" s="73"/>
      <c r="G544" s="73"/>
      <c r="H544" s="73"/>
      <c r="I544" s="73"/>
      <c r="J544" s="73"/>
      <c r="L544" s="73"/>
    </row>
    <row r="545" spans="2:12">
      <c r="B545" s="73"/>
      <c r="C545" s="73"/>
      <c r="D545" s="73"/>
      <c r="E545" s="73"/>
      <c r="F545" s="73"/>
      <c r="G545" s="73"/>
      <c r="H545" s="73"/>
      <c r="I545" s="73"/>
      <c r="J545" s="73"/>
      <c r="L545" s="73"/>
    </row>
    <row r="546" spans="2:12">
      <c r="B546" s="73"/>
      <c r="C546" s="73"/>
      <c r="D546" s="73"/>
      <c r="E546" s="73"/>
      <c r="F546" s="73"/>
      <c r="G546" s="73"/>
      <c r="H546" s="73"/>
      <c r="I546" s="73"/>
      <c r="J546" s="73"/>
      <c r="L546" s="73"/>
    </row>
    <row r="547" spans="2:12">
      <c r="B547" s="73"/>
      <c r="C547" s="73"/>
      <c r="D547" s="73"/>
      <c r="E547" s="73"/>
      <c r="F547" s="73"/>
      <c r="G547" s="73"/>
      <c r="H547" s="73"/>
      <c r="I547" s="73"/>
      <c r="J547" s="73"/>
      <c r="L547" s="73"/>
    </row>
    <row r="548" spans="2:12">
      <c r="B548" s="73"/>
      <c r="C548" s="73"/>
      <c r="D548" s="73"/>
      <c r="E548" s="73"/>
      <c r="F548" s="73"/>
      <c r="G548" s="73"/>
      <c r="H548" s="73"/>
      <c r="I548" s="73"/>
      <c r="J548" s="73"/>
      <c r="L548" s="73"/>
    </row>
    <row r="549" spans="2:12">
      <c r="B549" s="73"/>
      <c r="C549" s="73"/>
      <c r="D549" s="73"/>
      <c r="E549" s="73"/>
      <c r="F549" s="73"/>
      <c r="G549" s="73"/>
      <c r="H549" s="73"/>
      <c r="I549" s="73"/>
      <c r="J549" s="73"/>
      <c r="L549" s="73"/>
    </row>
    <row r="550" spans="2:12">
      <c r="B550" s="73"/>
      <c r="C550" s="73"/>
      <c r="D550" s="73"/>
      <c r="E550" s="73"/>
      <c r="F550" s="73"/>
      <c r="G550" s="73"/>
      <c r="H550" s="73"/>
      <c r="I550" s="73"/>
      <c r="J550" s="73"/>
      <c r="L550" s="73"/>
    </row>
    <row r="551" spans="2:12">
      <c r="B551" s="73"/>
      <c r="C551" s="73"/>
      <c r="D551" s="73"/>
      <c r="E551" s="73"/>
      <c r="F551" s="73"/>
      <c r="G551" s="73"/>
      <c r="H551" s="73"/>
      <c r="I551" s="73"/>
      <c r="J551" s="73"/>
      <c r="L551" s="73"/>
    </row>
    <row r="552" spans="2:12">
      <c r="B552" s="73"/>
      <c r="C552" s="73"/>
      <c r="D552" s="73"/>
      <c r="E552" s="73"/>
      <c r="F552" s="73"/>
      <c r="G552" s="73"/>
      <c r="H552" s="73"/>
      <c r="I552" s="73"/>
      <c r="J552" s="73"/>
      <c r="L552" s="73"/>
    </row>
    <row r="553" spans="2:12">
      <c r="B553" s="73"/>
      <c r="C553" s="73"/>
      <c r="D553" s="73"/>
      <c r="E553" s="73"/>
      <c r="F553" s="73"/>
      <c r="G553" s="73"/>
      <c r="H553" s="73"/>
      <c r="I553" s="73"/>
      <c r="J553" s="73"/>
      <c r="L553" s="73"/>
    </row>
    <row r="554" spans="2:12">
      <c r="B554" s="73"/>
      <c r="C554" s="73"/>
      <c r="D554" s="73"/>
      <c r="E554" s="73"/>
      <c r="F554" s="73"/>
      <c r="G554" s="73"/>
      <c r="H554" s="73"/>
      <c r="I554" s="73"/>
      <c r="J554" s="73"/>
      <c r="L554" s="73"/>
    </row>
    <row r="555" spans="2:12">
      <c r="B555" s="73"/>
      <c r="C555" s="73"/>
      <c r="D555" s="73"/>
      <c r="E555" s="73"/>
      <c r="F555" s="73"/>
      <c r="G555" s="73"/>
      <c r="H555" s="73"/>
      <c r="I555" s="73"/>
      <c r="J555" s="73"/>
      <c r="L555" s="73"/>
    </row>
    <row r="556" spans="2:12">
      <c r="B556" s="73"/>
      <c r="C556" s="73"/>
      <c r="D556" s="73"/>
      <c r="E556" s="73"/>
      <c r="F556" s="73"/>
      <c r="G556" s="73"/>
      <c r="H556" s="73"/>
      <c r="I556" s="73"/>
      <c r="J556" s="73"/>
      <c r="L556" s="73"/>
    </row>
    <row r="557" spans="2:12">
      <c r="B557" s="73"/>
      <c r="C557" s="73"/>
      <c r="D557" s="73"/>
      <c r="E557" s="73"/>
      <c r="F557" s="73"/>
      <c r="G557" s="73"/>
      <c r="H557" s="73"/>
      <c r="I557" s="73"/>
      <c r="J557" s="73"/>
      <c r="L557" s="73"/>
    </row>
    <row r="558" spans="2:12">
      <c r="B558" s="73"/>
      <c r="C558" s="73"/>
      <c r="D558" s="73"/>
      <c r="E558" s="73"/>
      <c r="F558" s="73"/>
      <c r="G558" s="73"/>
      <c r="H558" s="73"/>
      <c r="I558" s="73"/>
      <c r="J558" s="73"/>
      <c r="L558" s="73"/>
    </row>
    <row r="559" spans="2:12">
      <c r="B559" s="73"/>
      <c r="C559" s="73"/>
      <c r="D559" s="73"/>
      <c r="E559" s="73"/>
      <c r="F559" s="73"/>
      <c r="G559" s="73"/>
      <c r="H559" s="73"/>
      <c r="I559" s="73"/>
      <c r="J559" s="73"/>
      <c r="L559" s="73"/>
    </row>
    <row r="560" spans="2:12">
      <c r="B560" s="73"/>
      <c r="C560" s="73"/>
      <c r="D560" s="73"/>
      <c r="E560" s="73"/>
      <c r="F560" s="73"/>
      <c r="G560" s="73"/>
      <c r="H560" s="73"/>
      <c r="I560" s="73"/>
      <c r="J560" s="73"/>
      <c r="L560" s="73"/>
    </row>
    <row r="561" spans="2:12">
      <c r="B561" s="73"/>
      <c r="C561" s="73"/>
      <c r="D561" s="73"/>
      <c r="E561" s="73"/>
      <c r="F561" s="73"/>
      <c r="G561" s="73"/>
      <c r="H561" s="73"/>
      <c r="I561" s="73"/>
      <c r="J561" s="73"/>
      <c r="L561" s="73"/>
    </row>
    <row r="562" spans="2:12">
      <c r="B562" s="73"/>
      <c r="C562" s="73"/>
      <c r="D562" s="73"/>
      <c r="E562" s="73"/>
      <c r="F562" s="73"/>
      <c r="G562" s="73"/>
      <c r="H562" s="73"/>
      <c r="I562" s="73"/>
      <c r="J562" s="73"/>
      <c r="L562" s="73"/>
    </row>
    <row r="563" spans="2:12">
      <c r="B563" s="73"/>
      <c r="C563" s="73"/>
      <c r="D563" s="73"/>
      <c r="E563" s="73"/>
      <c r="F563" s="73"/>
      <c r="G563" s="73"/>
      <c r="H563" s="73"/>
      <c r="I563" s="73"/>
      <c r="J563" s="73"/>
      <c r="L563" s="73"/>
    </row>
    <row r="564" spans="2:12">
      <c r="B564" s="73"/>
      <c r="C564" s="73"/>
      <c r="D564" s="73"/>
      <c r="E564" s="73"/>
      <c r="F564" s="73"/>
      <c r="G564" s="73"/>
      <c r="H564" s="73"/>
      <c r="I564" s="73"/>
      <c r="J564" s="73"/>
      <c r="L564" s="73"/>
    </row>
    <row r="565" spans="2:12">
      <c r="B565" s="73"/>
      <c r="C565" s="73"/>
      <c r="D565" s="73"/>
      <c r="E565" s="73"/>
      <c r="F565" s="73"/>
      <c r="G565" s="73"/>
      <c r="H565" s="73"/>
      <c r="I565" s="73"/>
      <c r="J565" s="73"/>
      <c r="L565" s="73"/>
    </row>
    <row r="566" spans="2:12">
      <c r="B566" s="73"/>
      <c r="C566" s="73"/>
      <c r="D566" s="73"/>
      <c r="E566" s="73"/>
      <c r="F566" s="73"/>
      <c r="G566" s="73"/>
      <c r="H566" s="73"/>
      <c r="I566" s="73"/>
      <c r="J566" s="73"/>
      <c r="L566" s="73"/>
    </row>
    <row r="567" spans="2:12">
      <c r="B567" s="73"/>
      <c r="C567" s="73"/>
      <c r="D567" s="73"/>
      <c r="E567" s="73"/>
      <c r="F567" s="73"/>
      <c r="G567" s="73"/>
      <c r="H567" s="73"/>
      <c r="I567" s="73"/>
      <c r="J567" s="73"/>
      <c r="L567" s="73"/>
    </row>
    <row r="568" spans="2:12">
      <c r="B568" s="73"/>
      <c r="C568" s="73"/>
      <c r="D568" s="73"/>
      <c r="E568" s="73"/>
      <c r="F568" s="73"/>
      <c r="G568" s="73"/>
      <c r="H568" s="73"/>
      <c r="I568" s="73"/>
      <c r="J568" s="73"/>
      <c r="L568" s="73"/>
    </row>
    <row r="569" spans="2:12">
      <c r="B569" s="73"/>
      <c r="C569" s="73"/>
      <c r="D569" s="73"/>
      <c r="E569" s="73"/>
      <c r="F569" s="73"/>
      <c r="G569" s="73"/>
      <c r="H569" s="73"/>
      <c r="I569" s="73"/>
      <c r="J569" s="73"/>
      <c r="L569" s="73"/>
    </row>
    <row r="570" spans="2:12">
      <c r="B570" s="73"/>
      <c r="C570" s="73"/>
      <c r="D570" s="73"/>
      <c r="E570" s="73"/>
      <c r="F570" s="73"/>
      <c r="G570" s="73"/>
      <c r="H570" s="73"/>
      <c r="I570" s="73"/>
      <c r="J570" s="73"/>
      <c r="L570" s="73"/>
    </row>
    <row r="571" spans="2:12">
      <c r="B571" s="73"/>
      <c r="C571" s="73"/>
      <c r="D571" s="73"/>
      <c r="E571" s="73"/>
      <c r="F571" s="73"/>
      <c r="G571" s="73"/>
      <c r="H571" s="73"/>
      <c r="I571" s="73"/>
      <c r="J571" s="73"/>
      <c r="L571" s="73"/>
    </row>
    <row r="572" spans="2:12">
      <c r="B572" s="73"/>
      <c r="C572" s="73"/>
      <c r="D572" s="73"/>
      <c r="E572" s="73"/>
      <c r="F572" s="73"/>
      <c r="G572" s="73"/>
      <c r="H572" s="73"/>
      <c r="I572" s="73"/>
      <c r="J572" s="73"/>
      <c r="L572" s="73"/>
    </row>
    <row r="573" spans="2:12">
      <c r="B573" s="73"/>
      <c r="C573" s="73"/>
      <c r="D573" s="73"/>
      <c r="E573" s="73"/>
      <c r="F573" s="73"/>
      <c r="G573" s="73"/>
      <c r="H573" s="73"/>
      <c r="I573" s="73"/>
      <c r="J573" s="73"/>
      <c r="L573" s="73"/>
    </row>
    <row r="574" spans="2:12">
      <c r="B574" s="73"/>
      <c r="C574" s="73"/>
      <c r="D574" s="73"/>
      <c r="E574" s="73"/>
      <c r="F574" s="73"/>
      <c r="G574" s="73"/>
      <c r="H574" s="73"/>
      <c r="I574" s="73"/>
      <c r="J574" s="73"/>
      <c r="L574" s="73"/>
    </row>
    <row r="575" spans="2:12">
      <c r="B575" s="73"/>
      <c r="C575" s="73"/>
      <c r="D575" s="73"/>
      <c r="E575" s="73"/>
      <c r="F575" s="73"/>
      <c r="G575" s="73"/>
      <c r="H575" s="73"/>
      <c r="I575" s="73"/>
      <c r="J575" s="73"/>
      <c r="L575" s="73"/>
    </row>
    <row r="576" spans="2:12">
      <c r="B576" s="73"/>
      <c r="C576" s="73"/>
      <c r="D576" s="73"/>
      <c r="E576" s="73"/>
      <c r="F576" s="73"/>
      <c r="G576" s="73"/>
      <c r="H576" s="73"/>
      <c r="I576" s="73"/>
      <c r="J576" s="73"/>
      <c r="L576" s="73"/>
    </row>
    <row r="577" spans="2:12">
      <c r="B577" s="73"/>
      <c r="C577" s="73"/>
      <c r="D577" s="73"/>
      <c r="E577" s="73"/>
      <c r="F577" s="73"/>
      <c r="G577" s="73"/>
      <c r="H577" s="73"/>
      <c r="I577" s="73"/>
      <c r="J577" s="73"/>
      <c r="L577" s="73"/>
    </row>
    <row r="578" spans="2:12">
      <c r="B578" s="73"/>
      <c r="C578" s="73"/>
      <c r="D578" s="73"/>
      <c r="E578" s="73"/>
      <c r="F578" s="73"/>
      <c r="G578" s="73"/>
      <c r="H578" s="73"/>
      <c r="I578" s="73"/>
      <c r="J578" s="73"/>
      <c r="L578" s="73"/>
    </row>
    <row r="579" spans="2:12">
      <c r="B579" s="73"/>
      <c r="C579" s="73"/>
      <c r="D579" s="73"/>
      <c r="E579" s="73"/>
      <c r="F579" s="73"/>
      <c r="G579" s="73"/>
      <c r="H579" s="73"/>
      <c r="I579" s="73"/>
      <c r="J579" s="73"/>
      <c r="L579" s="73"/>
    </row>
    <row r="580" spans="2:12">
      <c r="B580" s="73"/>
      <c r="C580" s="73"/>
      <c r="D580" s="73"/>
      <c r="E580" s="73"/>
      <c r="F580" s="73"/>
      <c r="G580" s="73"/>
      <c r="H580" s="73"/>
      <c r="I580" s="73"/>
      <c r="J580" s="73"/>
      <c r="L580" s="73"/>
    </row>
    <row r="581" spans="2:12">
      <c r="B581" s="73"/>
      <c r="C581" s="73"/>
      <c r="D581" s="73"/>
      <c r="E581" s="73"/>
      <c r="F581" s="73"/>
      <c r="G581" s="73"/>
      <c r="H581" s="73"/>
      <c r="I581" s="73"/>
      <c r="J581" s="73"/>
      <c r="L581" s="73"/>
    </row>
    <row r="582" spans="2:12">
      <c r="B582" s="73"/>
      <c r="C582" s="73"/>
      <c r="D582" s="73"/>
      <c r="E582" s="73"/>
      <c r="F582" s="73"/>
      <c r="G582" s="73"/>
      <c r="H582" s="73"/>
      <c r="I582" s="73"/>
      <c r="J582" s="73"/>
      <c r="L582" s="73"/>
    </row>
    <row r="583" spans="2:12">
      <c r="B583" s="73"/>
      <c r="C583" s="73"/>
      <c r="D583" s="73"/>
      <c r="E583" s="73"/>
      <c r="F583" s="73"/>
      <c r="G583" s="73"/>
      <c r="H583" s="73"/>
      <c r="I583" s="73"/>
      <c r="J583" s="73"/>
      <c r="L583" s="73"/>
    </row>
    <row r="584" spans="2:12">
      <c r="B584" s="73"/>
      <c r="C584" s="73"/>
      <c r="D584" s="73"/>
      <c r="E584" s="73"/>
      <c r="F584" s="73"/>
      <c r="G584" s="73"/>
      <c r="H584" s="73"/>
      <c r="I584" s="73"/>
      <c r="J584" s="73"/>
      <c r="L584" s="73"/>
    </row>
    <row r="585" spans="2:12">
      <c r="B585" s="73"/>
      <c r="C585" s="73"/>
      <c r="D585" s="73"/>
      <c r="E585" s="73"/>
      <c r="F585" s="73"/>
      <c r="G585" s="73"/>
      <c r="H585" s="73"/>
      <c r="I585" s="73"/>
      <c r="J585" s="73"/>
      <c r="L585" s="73"/>
    </row>
    <row r="586" spans="2:12">
      <c r="B586" s="73"/>
      <c r="C586" s="73"/>
      <c r="D586" s="73"/>
      <c r="E586" s="73"/>
      <c r="F586" s="73"/>
      <c r="G586" s="73"/>
      <c r="H586" s="73"/>
      <c r="I586" s="73"/>
      <c r="J586" s="73"/>
      <c r="L586" s="73"/>
    </row>
    <row r="587" spans="2:12">
      <c r="B587" s="73"/>
      <c r="C587" s="73"/>
      <c r="D587" s="73"/>
      <c r="E587" s="73"/>
      <c r="F587" s="73"/>
      <c r="G587" s="73"/>
      <c r="H587" s="73"/>
      <c r="I587" s="73"/>
      <c r="J587" s="73"/>
      <c r="L587" s="73"/>
    </row>
    <row r="588" spans="2:12">
      <c r="B588" s="73"/>
      <c r="C588" s="73"/>
      <c r="D588" s="73"/>
      <c r="E588" s="73"/>
      <c r="F588" s="73"/>
      <c r="G588" s="73"/>
      <c r="H588" s="73"/>
      <c r="I588" s="73"/>
      <c r="J588" s="73"/>
      <c r="L588" s="73"/>
    </row>
    <row r="589" spans="2:12">
      <c r="B589" s="73"/>
      <c r="C589" s="73"/>
      <c r="D589" s="73"/>
      <c r="E589" s="73"/>
      <c r="F589" s="73"/>
      <c r="G589" s="73"/>
      <c r="H589" s="73"/>
      <c r="I589" s="73"/>
      <c r="J589" s="73"/>
      <c r="L589" s="73"/>
    </row>
    <row r="590" spans="2:12">
      <c r="B590" s="73"/>
      <c r="C590" s="73"/>
      <c r="D590" s="73"/>
      <c r="E590" s="73"/>
      <c r="F590" s="73"/>
      <c r="G590" s="73"/>
      <c r="H590" s="73"/>
      <c r="I590" s="73"/>
      <c r="J590" s="73"/>
      <c r="L590" s="73"/>
    </row>
    <row r="591" spans="2:12">
      <c r="B591" s="73"/>
      <c r="C591" s="73"/>
      <c r="D591" s="73"/>
      <c r="E591" s="73"/>
      <c r="F591" s="73"/>
      <c r="G591" s="73"/>
      <c r="H591" s="73"/>
      <c r="I591" s="73"/>
      <c r="J591" s="73"/>
      <c r="L591" s="73"/>
    </row>
    <row r="592" spans="2:12">
      <c r="B592" s="73"/>
      <c r="C592" s="73"/>
      <c r="D592" s="73"/>
      <c r="E592" s="73"/>
      <c r="F592" s="73"/>
      <c r="G592" s="73"/>
      <c r="H592" s="73"/>
      <c r="I592" s="73"/>
      <c r="J592" s="73"/>
      <c r="L592" s="73"/>
    </row>
    <row r="593" spans="2:12">
      <c r="B593" s="73"/>
      <c r="C593" s="73"/>
      <c r="D593" s="73"/>
      <c r="E593" s="73"/>
      <c r="F593" s="73"/>
      <c r="G593" s="73"/>
      <c r="H593" s="73"/>
      <c r="I593" s="73"/>
      <c r="J593" s="73"/>
      <c r="L593" s="73"/>
    </row>
    <row r="594" spans="2:12">
      <c r="B594" s="73"/>
      <c r="C594" s="73"/>
      <c r="D594" s="73"/>
      <c r="E594" s="73"/>
      <c r="F594" s="73"/>
      <c r="G594" s="73"/>
      <c r="H594" s="73"/>
      <c r="I594" s="73"/>
      <c r="J594" s="73"/>
      <c r="L594" s="73"/>
    </row>
    <row r="595" spans="2:12">
      <c r="B595" s="73"/>
      <c r="C595" s="73"/>
      <c r="D595" s="73"/>
      <c r="E595" s="73"/>
      <c r="F595" s="73"/>
      <c r="G595" s="73"/>
      <c r="H595" s="73"/>
      <c r="I595" s="73"/>
      <c r="J595" s="73"/>
      <c r="L595" s="73"/>
    </row>
    <row r="596" spans="2:12">
      <c r="B596" s="73"/>
      <c r="C596" s="73"/>
      <c r="D596" s="73"/>
      <c r="E596" s="73"/>
      <c r="F596" s="73"/>
      <c r="G596" s="73"/>
      <c r="H596" s="73"/>
      <c r="I596" s="73"/>
      <c r="J596" s="73"/>
      <c r="L596" s="73"/>
    </row>
    <row r="597" spans="2:12">
      <c r="B597" s="73"/>
      <c r="C597" s="73"/>
      <c r="D597" s="73"/>
      <c r="E597" s="73"/>
      <c r="F597" s="73"/>
      <c r="G597" s="73"/>
      <c r="H597" s="73"/>
      <c r="I597" s="73"/>
      <c r="J597" s="73"/>
      <c r="L597" s="73"/>
    </row>
    <row r="598" spans="2:12">
      <c r="B598" s="73"/>
      <c r="C598" s="73"/>
      <c r="D598" s="73"/>
      <c r="E598" s="73"/>
      <c r="F598" s="73"/>
      <c r="G598" s="73"/>
      <c r="H598" s="73"/>
      <c r="I598" s="73"/>
      <c r="J598" s="73"/>
      <c r="L598" s="73"/>
    </row>
    <row r="599" spans="2:12">
      <c r="B599" s="73"/>
      <c r="C599" s="73"/>
      <c r="D599" s="73"/>
      <c r="E599" s="73"/>
      <c r="F599" s="73"/>
      <c r="G599" s="73"/>
      <c r="H599" s="73"/>
      <c r="I599" s="73"/>
      <c r="J599" s="73"/>
      <c r="L599" s="73"/>
    </row>
    <row r="600" spans="2:12">
      <c r="B600" s="73"/>
      <c r="C600" s="73"/>
      <c r="D600" s="73"/>
      <c r="E600" s="73"/>
      <c r="F600" s="73"/>
      <c r="G600" s="73"/>
      <c r="H600" s="73"/>
      <c r="I600" s="73"/>
      <c r="J600" s="73"/>
      <c r="L600" s="73"/>
    </row>
    <row r="601" spans="2:12">
      <c r="B601" s="73"/>
      <c r="C601" s="73"/>
      <c r="D601" s="73"/>
      <c r="E601" s="73"/>
      <c r="F601" s="73"/>
      <c r="G601" s="73"/>
      <c r="H601" s="73"/>
      <c r="I601" s="73"/>
      <c r="J601" s="73"/>
      <c r="L601" s="73"/>
    </row>
    <row r="602" spans="2:12">
      <c r="B602" s="73"/>
      <c r="C602" s="73"/>
      <c r="D602" s="73"/>
      <c r="E602" s="73"/>
      <c r="F602" s="73"/>
      <c r="G602" s="73"/>
      <c r="H602" s="73"/>
      <c r="I602" s="73"/>
      <c r="J602" s="73"/>
      <c r="L602" s="73"/>
    </row>
    <row r="603" spans="2:12">
      <c r="B603" s="73"/>
      <c r="C603" s="73"/>
      <c r="D603" s="73"/>
      <c r="E603" s="73"/>
      <c r="F603" s="73"/>
      <c r="G603" s="73"/>
      <c r="H603" s="73"/>
      <c r="I603" s="73"/>
      <c r="J603" s="73"/>
      <c r="L603" s="73"/>
    </row>
    <row r="604" spans="2:12">
      <c r="B604" s="73"/>
      <c r="C604" s="73"/>
      <c r="D604" s="73"/>
      <c r="E604" s="73"/>
      <c r="F604" s="73"/>
      <c r="G604" s="73"/>
      <c r="H604" s="73"/>
      <c r="I604" s="73"/>
      <c r="J604" s="73"/>
      <c r="L604" s="73"/>
    </row>
    <row r="605" spans="2:12">
      <c r="B605" s="73"/>
      <c r="C605" s="73"/>
      <c r="D605" s="73"/>
      <c r="E605" s="73"/>
      <c r="F605" s="73"/>
      <c r="G605" s="73"/>
      <c r="H605" s="73"/>
      <c r="I605" s="73"/>
      <c r="J605" s="73"/>
      <c r="L605" s="73"/>
    </row>
    <row r="606" spans="2:12">
      <c r="B606" s="73"/>
      <c r="C606" s="73"/>
      <c r="D606" s="73"/>
      <c r="E606" s="73"/>
      <c r="F606" s="73"/>
      <c r="G606" s="73"/>
      <c r="H606" s="73"/>
      <c r="I606" s="73"/>
      <c r="J606" s="73"/>
      <c r="L606" s="73"/>
    </row>
    <row r="607" spans="2:12">
      <c r="B607" s="73"/>
      <c r="C607" s="73"/>
      <c r="D607" s="73"/>
      <c r="E607" s="73"/>
      <c r="F607" s="73"/>
      <c r="G607" s="73"/>
      <c r="H607" s="73"/>
      <c r="I607" s="73"/>
      <c r="J607" s="73"/>
      <c r="L607" s="73"/>
    </row>
    <row r="608" spans="2:12">
      <c r="B608" s="73"/>
      <c r="C608" s="73"/>
      <c r="D608" s="73"/>
      <c r="E608" s="73"/>
      <c r="F608" s="73"/>
      <c r="G608" s="73"/>
      <c r="H608" s="73"/>
      <c r="I608" s="73"/>
      <c r="J608" s="73"/>
      <c r="L608" s="73"/>
    </row>
    <row r="609" spans="2:12">
      <c r="B609" s="73"/>
      <c r="C609" s="73"/>
      <c r="D609" s="73"/>
      <c r="E609" s="73"/>
      <c r="F609" s="73"/>
      <c r="G609" s="73"/>
      <c r="H609" s="73"/>
      <c r="I609" s="73"/>
      <c r="J609" s="73"/>
      <c r="L609" s="73"/>
    </row>
    <row r="610" spans="2:12">
      <c r="B610" s="73"/>
      <c r="C610" s="73"/>
      <c r="D610" s="73"/>
      <c r="E610" s="73"/>
      <c r="F610" s="73"/>
      <c r="G610" s="73"/>
      <c r="H610" s="73"/>
      <c r="I610" s="73"/>
      <c r="J610" s="73"/>
      <c r="L610" s="73"/>
    </row>
    <row r="611" spans="2:12">
      <c r="B611" s="73"/>
      <c r="C611" s="73"/>
      <c r="D611" s="73"/>
      <c r="E611" s="73"/>
      <c r="F611" s="73"/>
      <c r="G611" s="73"/>
      <c r="H611" s="73"/>
      <c r="I611" s="73"/>
      <c r="J611" s="73"/>
      <c r="L611" s="73"/>
    </row>
    <row r="612" spans="2:12">
      <c r="B612" s="73"/>
      <c r="C612" s="73"/>
      <c r="D612" s="73"/>
      <c r="E612" s="73"/>
      <c r="F612" s="73"/>
      <c r="G612" s="73"/>
      <c r="H612" s="73"/>
      <c r="I612" s="73"/>
      <c r="J612" s="73"/>
      <c r="L612" s="73"/>
    </row>
    <row r="613" spans="2:12">
      <c r="B613" s="73"/>
      <c r="C613" s="73"/>
      <c r="D613" s="73"/>
      <c r="E613" s="73"/>
      <c r="F613" s="73"/>
      <c r="G613" s="73"/>
      <c r="H613" s="73"/>
      <c r="I613" s="73"/>
      <c r="J613" s="73"/>
      <c r="L613" s="73"/>
    </row>
    <row r="614" spans="2:12">
      <c r="B614" s="73"/>
      <c r="C614" s="73"/>
      <c r="D614" s="73"/>
      <c r="E614" s="73"/>
      <c r="F614" s="73"/>
      <c r="G614" s="73"/>
      <c r="H614" s="73"/>
      <c r="I614" s="73"/>
      <c r="J614" s="73"/>
      <c r="L614" s="73"/>
    </row>
    <row r="615" spans="2:12">
      <c r="B615" s="73"/>
      <c r="C615" s="73"/>
      <c r="D615" s="73"/>
      <c r="E615" s="73"/>
      <c r="F615" s="73"/>
      <c r="G615" s="73"/>
      <c r="H615" s="73"/>
      <c r="I615" s="73"/>
      <c r="J615" s="73"/>
      <c r="L615" s="73"/>
    </row>
    <row r="616" spans="2:12">
      <c r="B616" s="73"/>
      <c r="C616" s="73"/>
      <c r="D616" s="73"/>
      <c r="E616" s="73"/>
      <c r="F616" s="73"/>
      <c r="G616" s="73"/>
      <c r="H616" s="73"/>
      <c r="I616" s="73"/>
      <c r="J616" s="73"/>
      <c r="L616" s="73"/>
    </row>
    <row r="617" spans="2:12">
      <c r="B617" s="73"/>
      <c r="C617" s="73"/>
      <c r="D617" s="73"/>
      <c r="E617" s="73"/>
      <c r="F617" s="73"/>
      <c r="G617" s="73"/>
      <c r="H617" s="73"/>
      <c r="I617" s="73"/>
      <c r="J617" s="73"/>
      <c r="L617" s="73"/>
    </row>
    <row r="618" spans="2:12">
      <c r="B618" s="73"/>
      <c r="C618" s="73"/>
      <c r="D618" s="73"/>
      <c r="E618" s="73"/>
      <c r="F618" s="73"/>
      <c r="G618" s="73"/>
      <c r="H618" s="73"/>
      <c r="I618" s="73"/>
      <c r="J618" s="73"/>
      <c r="L618" s="73"/>
    </row>
    <row r="619" spans="2:12">
      <c r="B619" s="73"/>
      <c r="C619" s="73"/>
      <c r="D619" s="73"/>
      <c r="E619" s="73"/>
      <c r="F619" s="73"/>
      <c r="G619" s="73"/>
      <c r="H619" s="73"/>
      <c r="I619" s="73"/>
      <c r="J619" s="73"/>
      <c r="L619" s="73"/>
    </row>
    <row r="620" spans="2:12">
      <c r="B620" s="73"/>
      <c r="C620" s="73"/>
      <c r="D620" s="73"/>
      <c r="E620" s="73"/>
      <c r="F620" s="73"/>
      <c r="G620" s="73"/>
      <c r="H620" s="73"/>
      <c r="I620" s="73"/>
      <c r="J620" s="73"/>
      <c r="L620" s="73"/>
    </row>
    <row r="621" spans="2:12">
      <c r="B621" s="73"/>
      <c r="C621" s="73"/>
      <c r="D621" s="73"/>
      <c r="E621" s="73"/>
      <c r="F621" s="73"/>
      <c r="G621" s="73"/>
      <c r="H621" s="73"/>
      <c r="I621" s="73"/>
      <c r="J621" s="73"/>
      <c r="L621" s="73"/>
    </row>
    <row r="622" spans="2:12">
      <c r="B622" s="73"/>
      <c r="C622" s="73"/>
      <c r="D622" s="73"/>
      <c r="E622" s="73"/>
      <c r="F622" s="73"/>
      <c r="G622" s="73"/>
      <c r="H622" s="73"/>
      <c r="I622" s="73"/>
      <c r="J622" s="73"/>
      <c r="L622" s="73"/>
    </row>
    <row r="623" spans="2:12">
      <c r="B623" s="73"/>
      <c r="C623" s="73"/>
      <c r="D623" s="73"/>
      <c r="E623" s="73"/>
      <c r="F623" s="73"/>
      <c r="G623" s="73"/>
      <c r="H623" s="73"/>
      <c r="I623" s="73"/>
      <c r="J623" s="73"/>
      <c r="L623" s="73"/>
    </row>
    <row r="624" spans="2:12">
      <c r="B624" s="73"/>
      <c r="C624" s="73"/>
      <c r="D624" s="73"/>
      <c r="E624" s="73"/>
      <c r="F624" s="73"/>
      <c r="G624" s="73"/>
      <c r="H624" s="73"/>
      <c r="I624" s="73"/>
      <c r="J624" s="73"/>
      <c r="L624" s="73"/>
    </row>
    <row r="625" spans="2:12">
      <c r="B625" s="73"/>
      <c r="C625" s="73"/>
      <c r="D625" s="73"/>
      <c r="E625" s="73"/>
      <c r="F625" s="73"/>
      <c r="G625" s="73"/>
      <c r="H625" s="73"/>
      <c r="I625" s="73"/>
      <c r="J625" s="73"/>
      <c r="L625" s="73"/>
    </row>
    <row r="626" spans="2:12">
      <c r="B626" s="73"/>
      <c r="C626" s="73"/>
      <c r="D626" s="73"/>
      <c r="E626" s="73"/>
      <c r="F626" s="73"/>
      <c r="G626" s="73"/>
      <c r="H626" s="73"/>
      <c r="I626" s="73"/>
      <c r="J626" s="73"/>
      <c r="L626" s="73"/>
    </row>
    <row r="627" spans="2:12">
      <c r="B627" s="73"/>
      <c r="C627" s="73"/>
      <c r="D627" s="73"/>
      <c r="E627" s="73"/>
      <c r="F627" s="73"/>
      <c r="G627" s="73"/>
      <c r="H627" s="73"/>
      <c r="I627" s="73"/>
      <c r="J627" s="73"/>
      <c r="L627" s="73"/>
    </row>
    <row r="628" spans="2:12">
      <c r="B628" s="73"/>
      <c r="C628" s="73"/>
      <c r="D628" s="73"/>
      <c r="E628" s="73"/>
      <c r="F628" s="73"/>
      <c r="G628" s="73"/>
      <c r="H628" s="73"/>
      <c r="I628" s="73"/>
      <c r="J628" s="73"/>
      <c r="L628" s="73"/>
    </row>
    <row r="629" spans="2:12">
      <c r="B629" s="73"/>
      <c r="C629" s="73"/>
      <c r="D629" s="73"/>
      <c r="E629" s="73"/>
      <c r="F629" s="73"/>
      <c r="G629" s="73"/>
      <c r="H629" s="73"/>
      <c r="I629" s="73"/>
      <c r="J629" s="73"/>
      <c r="L629" s="73"/>
    </row>
    <row r="630" spans="2:12">
      <c r="B630" s="73"/>
      <c r="C630" s="73"/>
      <c r="D630" s="73"/>
      <c r="E630" s="73"/>
      <c r="F630" s="73"/>
      <c r="G630" s="73"/>
      <c r="H630" s="73"/>
      <c r="I630" s="73"/>
      <c r="J630" s="73"/>
      <c r="L630" s="73"/>
    </row>
    <row r="631" spans="2:12">
      <c r="B631" s="73"/>
      <c r="C631" s="73"/>
      <c r="D631" s="73"/>
      <c r="E631" s="73"/>
      <c r="F631" s="73"/>
      <c r="G631" s="73"/>
      <c r="H631" s="73"/>
      <c r="I631" s="73"/>
      <c r="J631" s="73"/>
      <c r="L631" s="73"/>
    </row>
    <row r="632" spans="2:12">
      <c r="B632" s="73"/>
      <c r="C632" s="73"/>
      <c r="D632" s="73"/>
      <c r="E632" s="73"/>
      <c r="F632" s="73"/>
      <c r="G632" s="73"/>
      <c r="H632" s="73"/>
      <c r="I632" s="73"/>
      <c r="J632" s="73"/>
      <c r="L632" s="73"/>
    </row>
    <row r="633" spans="2:12">
      <c r="B633" s="73"/>
      <c r="C633" s="73"/>
      <c r="D633" s="73"/>
      <c r="E633" s="73"/>
      <c r="F633" s="73"/>
      <c r="G633" s="73"/>
      <c r="H633" s="73"/>
      <c r="I633" s="73"/>
      <c r="J633" s="73"/>
      <c r="L633" s="73"/>
    </row>
    <row r="634" spans="2:12">
      <c r="B634" s="73"/>
      <c r="C634" s="73"/>
      <c r="D634" s="73"/>
      <c r="E634" s="73"/>
      <c r="F634" s="73"/>
      <c r="G634" s="73"/>
      <c r="H634" s="73"/>
      <c r="I634" s="73"/>
      <c r="J634" s="73"/>
      <c r="L634" s="73"/>
    </row>
    <row r="635" spans="2:12">
      <c r="B635" s="73"/>
      <c r="C635" s="73"/>
      <c r="D635" s="73"/>
      <c r="E635" s="73"/>
      <c r="F635" s="73"/>
      <c r="G635" s="73"/>
      <c r="H635" s="73"/>
      <c r="I635" s="73"/>
      <c r="J635" s="73"/>
      <c r="L635" s="73"/>
    </row>
    <row r="636" spans="2:12">
      <c r="B636" s="73"/>
      <c r="C636" s="73"/>
      <c r="D636" s="73"/>
      <c r="E636" s="73"/>
      <c r="F636" s="73"/>
      <c r="G636" s="73"/>
      <c r="H636" s="73"/>
      <c r="I636" s="73"/>
      <c r="J636" s="73"/>
      <c r="L636" s="73"/>
    </row>
    <row r="637" spans="2:12">
      <c r="B637" s="73"/>
      <c r="C637" s="73"/>
      <c r="D637" s="73"/>
      <c r="E637" s="73"/>
      <c r="F637" s="73"/>
      <c r="G637" s="73"/>
      <c r="H637" s="73"/>
      <c r="I637" s="73"/>
      <c r="J637" s="73"/>
      <c r="L637" s="73"/>
    </row>
    <row r="638" spans="2:12">
      <c r="B638" s="73"/>
      <c r="C638" s="73"/>
      <c r="D638" s="73"/>
      <c r="E638" s="73"/>
      <c r="F638" s="73"/>
      <c r="G638" s="73"/>
      <c r="H638" s="73"/>
      <c r="I638" s="73"/>
      <c r="J638" s="73"/>
      <c r="L638" s="73"/>
    </row>
    <row r="639" spans="2:12">
      <c r="B639" s="73"/>
      <c r="C639" s="73"/>
      <c r="D639" s="73"/>
      <c r="E639" s="73"/>
      <c r="F639" s="73"/>
      <c r="G639" s="73"/>
      <c r="H639" s="73"/>
      <c r="I639" s="73"/>
      <c r="J639" s="73"/>
      <c r="L639" s="73"/>
    </row>
    <row r="640" spans="2:12">
      <c r="B640" s="73"/>
      <c r="C640" s="73"/>
      <c r="D640" s="73"/>
      <c r="E640" s="73"/>
      <c r="F640" s="73"/>
      <c r="G640" s="73"/>
      <c r="H640" s="73"/>
      <c r="I640" s="73"/>
      <c r="J640" s="73"/>
      <c r="L640" s="73"/>
    </row>
    <row r="641" spans="2:12">
      <c r="B641" s="73"/>
      <c r="C641" s="73"/>
      <c r="D641" s="73"/>
      <c r="E641" s="73"/>
      <c r="F641" s="73"/>
      <c r="G641" s="73"/>
      <c r="H641" s="73"/>
      <c r="I641" s="73"/>
      <c r="J641" s="73"/>
      <c r="L641" s="73"/>
    </row>
    <row r="642" spans="2:12">
      <c r="B642" s="73"/>
      <c r="C642" s="73"/>
      <c r="D642" s="73"/>
      <c r="E642" s="73"/>
      <c r="F642" s="73"/>
      <c r="G642" s="73"/>
      <c r="H642" s="73"/>
      <c r="I642" s="73"/>
      <c r="J642" s="73"/>
      <c r="L642" s="73"/>
    </row>
    <row r="643" spans="2:12">
      <c r="B643" s="73"/>
      <c r="C643" s="73"/>
      <c r="D643" s="73"/>
      <c r="E643" s="73"/>
      <c r="F643" s="73"/>
      <c r="G643" s="73"/>
      <c r="H643" s="73"/>
      <c r="I643" s="73"/>
      <c r="J643" s="73"/>
      <c r="L643" s="73"/>
    </row>
    <row r="644" spans="2:12">
      <c r="B644" s="73"/>
      <c r="C644" s="73"/>
      <c r="D644" s="73"/>
      <c r="E644" s="73"/>
      <c r="F644" s="73"/>
      <c r="G644" s="73"/>
      <c r="H644" s="73"/>
      <c r="I644" s="73"/>
      <c r="J644" s="73"/>
      <c r="L644" s="73"/>
    </row>
    <row r="645" spans="2:12">
      <c r="B645" s="73"/>
      <c r="C645" s="73"/>
      <c r="D645" s="73"/>
      <c r="E645" s="73"/>
      <c r="F645" s="73"/>
      <c r="G645" s="73"/>
      <c r="H645" s="73"/>
      <c r="I645" s="73"/>
      <c r="J645" s="73"/>
      <c r="L645" s="73"/>
    </row>
    <row r="646" spans="2:12">
      <c r="B646" s="73"/>
      <c r="C646" s="73"/>
      <c r="D646" s="73"/>
      <c r="E646" s="73"/>
      <c r="F646" s="73"/>
      <c r="G646" s="73"/>
      <c r="H646" s="73"/>
      <c r="I646" s="73"/>
      <c r="J646" s="73"/>
      <c r="L646" s="73"/>
    </row>
    <row r="647" spans="2:12">
      <c r="B647" s="73"/>
      <c r="C647" s="73"/>
      <c r="D647" s="73"/>
      <c r="E647" s="73"/>
      <c r="F647" s="73"/>
      <c r="G647" s="73"/>
      <c r="H647" s="73"/>
      <c r="I647" s="73"/>
      <c r="J647" s="73"/>
      <c r="L647" s="73"/>
    </row>
    <row r="648" spans="2:12">
      <c r="B648" s="73"/>
      <c r="C648" s="73"/>
      <c r="D648" s="73"/>
      <c r="E648" s="73"/>
      <c r="F648" s="73"/>
      <c r="G648" s="73"/>
      <c r="H648" s="73"/>
      <c r="I648" s="73"/>
      <c r="J648" s="73"/>
      <c r="L648" s="73"/>
    </row>
    <row r="649" spans="2:12">
      <c r="B649" s="73"/>
      <c r="C649" s="73"/>
      <c r="D649" s="73"/>
      <c r="E649" s="73"/>
      <c r="F649" s="73"/>
      <c r="G649" s="73"/>
      <c r="H649" s="73"/>
      <c r="I649" s="73"/>
      <c r="J649" s="73"/>
      <c r="L649" s="73"/>
    </row>
    <row r="650" spans="2:12">
      <c r="B650" s="73"/>
      <c r="C650" s="73"/>
      <c r="D650" s="73"/>
      <c r="E650" s="73"/>
      <c r="F650" s="73"/>
      <c r="G650" s="73"/>
      <c r="H650" s="73"/>
      <c r="I650" s="73"/>
      <c r="J650" s="73"/>
      <c r="L650" s="73"/>
    </row>
    <row r="651" spans="2:12">
      <c r="B651" s="73"/>
      <c r="C651" s="73"/>
      <c r="D651" s="73"/>
      <c r="E651" s="73"/>
      <c r="F651" s="73"/>
      <c r="G651" s="73"/>
      <c r="H651" s="73"/>
      <c r="I651" s="73"/>
      <c r="J651" s="73"/>
      <c r="L651" s="73"/>
    </row>
    <row r="652" spans="2:12">
      <c r="B652" s="73"/>
      <c r="C652" s="73"/>
      <c r="D652" s="73"/>
      <c r="E652" s="73"/>
      <c r="F652" s="73"/>
      <c r="G652" s="73"/>
      <c r="H652" s="73"/>
      <c r="I652" s="73"/>
      <c r="J652" s="73"/>
      <c r="L652" s="73"/>
    </row>
    <row r="653" spans="2:12">
      <c r="B653" s="73"/>
      <c r="C653" s="73"/>
      <c r="D653" s="73"/>
      <c r="E653" s="73"/>
      <c r="F653" s="73"/>
      <c r="G653" s="73"/>
      <c r="H653" s="73"/>
      <c r="I653" s="73"/>
      <c r="J653" s="73"/>
      <c r="L653" s="73"/>
    </row>
    <row r="654" spans="2:12">
      <c r="B654" s="73"/>
      <c r="C654" s="73"/>
      <c r="D654" s="73"/>
      <c r="E654" s="73"/>
      <c r="F654" s="73"/>
      <c r="G654" s="73"/>
      <c r="H654" s="73"/>
      <c r="I654" s="73"/>
      <c r="J654" s="73"/>
      <c r="L654" s="73"/>
    </row>
    <row r="655" spans="2:12">
      <c r="B655" s="73"/>
      <c r="C655" s="73"/>
      <c r="D655" s="73"/>
      <c r="E655" s="73"/>
      <c r="F655" s="73"/>
      <c r="G655" s="73"/>
      <c r="H655" s="73"/>
      <c r="I655" s="73"/>
      <c r="J655" s="73"/>
      <c r="L655" s="73"/>
    </row>
    <row r="656" spans="2:12">
      <c r="B656" s="73"/>
      <c r="C656" s="73"/>
      <c r="D656" s="73"/>
      <c r="E656" s="73"/>
      <c r="F656" s="73"/>
      <c r="G656" s="73"/>
      <c r="H656" s="73"/>
      <c r="I656" s="73"/>
      <c r="J656" s="73"/>
      <c r="L656" s="73"/>
    </row>
    <row r="657" spans="2:12">
      <c r="B657" s="73"/>
      <c r="C657" s="73"/>
      <c r="D657" s="73"/>
      <c r="E657" s="73"/>
      <c r="F657" s="73"/>
      <c r="G657" s="73"/>
      <c r="H657" s="73"/>
      <c r="I657" s="73"/>
      <c r="J657" s="73"/>
      <c r="L657" s="73"/>
    </row>
    <row r="658" spans="2:12">
      <c r="B658" s="73"/>
      <c r="C658" s="73"/>
      <c r="D658" s="73"/>
      <c r="E658" s="73"/>
      <c r="F658" s="73"/>
      <c r="G658" s="73"/>
      <c r="H658" s="73"/>
      <c r="I658" s="73"/>
      <c r="J658" s="73"/>
      <c r="L658" s="73"/>
    </row>
    <row r="659" spans="2:12">
      <c r="B659" s="73"/>
      <c r="C659" s="73"/>
      <c r="D659" s="73"/>
      <c r="E659" s="73"/>
      <c r="F659" s="73"/>
      <c r="G659" s="73"/>
      <c r="H659" s="73"/>
      <c r="I659" s="73"/>
      <c r="J659" s="73"/>
      <c r="L659" s="73"/>
    </row>
    <row r="660" spans="2:12">
      <c r="B660" s="73"/>
      <c r="C660" s="73"/>
      <c r="D660" s="73"/>
      <c r="E660" s="73"/>
      <c r="F660" s="73"/>
      <c r="G660" s="73"/>
      <c r="H660" s="73"/>
      <c r="I660" s="73"/>
      <c r="J660" s="73"/>
      <c r="L660" s="73"/>
    </row>
    <row r="661" spans="2:12">
      <c r="B661" s="73"/>
      <c r="C661" s="73"/>
      <c r="D661" s="73"/>
      <c r="E661" s="73"/>
      <c r="F661" s="73"/>
      <c r="G661" s="73"/>
      <c r="H661" s="73"/>
      <c r="I661" s="73"/>
      <c r="J661" s="73"/>
      <c r="L661" s="73"/>
    </row>
    <row r="662" spans="2:12">
      <c r="B662" s="73"/>
      <c r="C662" s="73"/>
      <c r="D662" s="73"/>
      <c r="E662" s="73"/>
      <c r="F662" s="73"/>
      <c r="G662" s="73"/>
      <c r="H662" s="73"/>
      <c r="I662" s="73"/>
      <c r="J662" s="73"/>
      <c r="L662" s="73"/>
    </row>
    <row r="663" spans="2:12">
      <c r="B663" s="73"/>
      <c r="C663" s="73"/>
      <c r="D663" s="73"/>
      <c r="E663" s="73"/>
      <c r="F663" s="73"/>
      <c r="G663" s="73"/>
      <c r="H663" s="73"/>
      <c r="I663" s="73"/>
      <c r="J663" s="73"/>
      <c r="L663" s="73"/>
    </row>
    <row r="664" spans="2:12">
      <c r="B664" s="73"/>
      <c r="C664" s="73"/>
      <c r="D664" s="73"/>
      <c r="E664" s="73"/>
      <c r="F664" s="73"/>
      <c r="G664" s="73"/>
      <c r="H664" s="73"/>
      <c r="I664" s="73"/>
      <c r="J664" s="73"/>
      <c r="L664" s="73"/>
    </row>
    <row r="665" spans="2:12">
      <c r="B665" s="73"/>
      <c r="C665" s="73"/>
      <c r="D665" s="73"/>
      <c r="E665" s="73"/>
      <c r="F665" s="73"/>
      <c r="G665" s="73"/>
      <c r="H665" s="73"/>
      <c r="I665" s="73"/>
      <c r="J665" s="73"/>
      <c r="L665" s="73"/>
    </row>
    <row r="666" spans="2:12">
      <c r="B666" s="73"/>
      <c r="C666" s="73"/>
      <c r="D666" s="73"/>
      <c r="E666" s="73"/>
      <c r="F666" s="73"/>
      <c r="G666" s="73"/>
      <c r="H666" s="73"/>
      <c r="I666" s="73"/>
      <c r="J666" s="73"/>
      <c r="L666" s="73"/>
    </row>
    <row r="667" spans="2:12">
      <c r="B667" s="73"/>
      <c r="C667" s="73"/>
      <c r="D667" s="73"/>
      <c r="E667" s="73"/>
      <c r="F667" s="73"/>
      <c r="G667" s="73"/>
      <c r="H667" s="73"/>
      <c r="I667" s="73"/>
      <c r="J667" s="73"/>
      <c r="L667" s="73"/>
    </row>
    <row r="668" spans="2:12">
      <c r="B668" s="73"/>
      <c r="C668" s="73"/>
      <c r="D668" s="73"/>
      <c r="E668" s="73"/>
      <c r="F668" s="73"/>
      <c r="G668" s="73"/>
      <c r="H668" s="73"/>
      <c r="I668" s="73"/>
      <c r="J668" s="73"/>
      <c r="L668" s="73"/>
    </row>
    <row r="669" spans="2:12">
      <c r="B669" s="73"/>
      <c r="C669" s="73"/>
      <c r="D669" s="73"/>
      <c r="E669" s="73"/>
      <c r="F669" s="73"/>
      <c r="G669" s="73"/>
      <c r="H669" s="73"/>
      <c r="I669" s="73"/>
      <c r="J669" s="73"/>
      <c r="L669" s="73"/>
    </row>
    <row r="670" spans="2:12">
      <c r="B670" s="73"/>
      <c r="C670" s="73"/>
      <c r="D670" s="73"/>
      <c r="E670" s="73"/>
      <c r="F670" s="73"/>
      <c r="G670" s="73"/>
      <c r="H670" s="73"/>
      <c r="I670" s="73"/>
      <c r="J670" s="73"/>
      <c r="L670" s="73"/>
    </row>
    <row r="671" spans="2:12">
      <c r="B671" s="73"/>
      <c r="C671" s="73"/>
      <c r="D671" s="73"/>
      <c r="E671" s="73"/>
      <c r="F671" s="73"/>
      <c r="G671" s="73"/>
      <c r="H671" s="73"/>
      <c r="I671" s="73"/>
      <c r="J671" s="73"/>
      <c r="L671" s="73"/>
    </row>
    <row r="672" spans="2:12">
      <c r="B672" s="73"/>
      <c r="C672" s="73"/>
      <c r="D672" s="73"/>
      <c r="E672" s="73"/>
      <c r="F672" s="73"/>
      <c r="G672" s="73"/>
      <c r="H672" s="73"/>
      <c r="I672" s="73"/>
      <c r="J672" s="73"/>
      <c r="L672" s="73"/>
    </row>
    <row r="673" spans="2:12">
      <c r="B673" s="73"/>
      <c r="C673" s="73"/>
      <c r="D673" s="73"/>
      <c r="E673" s="73"/>
      <c r="F673" s="73"/>
      <c r="G673" s="73"/>
      <c r="H673" s="73"/>
      <c r="I673" s="73"/>
      <c r="J673" s="73"/>
      <c r="L673" s="73"/>
    </row>
    <row r="674" spans="2:12">
      <c r="B674" s="73"/>
      <c r="C674" s="73"/>
      <c r="D674" s="73"/>
      <c r="E674" s="73"/>
      <c r="F674" s="73"/>
      <c r="G674" s="73"/>
      <c r="H674" s="73"/>
      <c r="I674" s="73"/>
      <c r="J674" s="73"/>
      <c r="L674" s="73"/>
    </row>
    <row r="675" spans="2:12">
      <c r="B675" s="73"/>
      <c r="C675" s="73"/>
      <c r="D675" s="73"/>
      <c r="E675" s="73"/>
      <c r="F675" s="73"/>
      <c r="G675" s="73"/>
      <c r="H675" s="73"/>
      <c r="I675" s="73"/>
      <c r="J675" s="73"/>
      <c r="L675" s="73"/>
    </row>
    <row r="676" spans="2:12">
      <c r="B676" s="73"/>
      <c r="C676" s="73"/>
      <c r="D676" s="73"/>
      <c r="E676" s="73"/>
      <c r="F676" s="73"/>
      <c r="G676" s="73"/>
      <c r="H676" s="73"/>
      <c r="I676" s="73"/>
      <c r="J676" s="73"/>
      <c r="L676" s="73"/>
    </row>
    <row r="677" spans="2:12">
      <c r="B677" s="73"/>
      <c r="C677" s="73"/>
      <c r="D677" s="73"/>
      <c r="E677" s="73"/>
      <c r="F677" s="73"/>
      <c r="G677" s="73"/>
      <c r="H677" s="73"/>
      <c r="I677" s="73"/>
      <c r="J677" s="73"/>
      <c r="L677" s="73"/>
    </row>
    <row r="678" spans="2:12">
      <c r="B678" s="73"/>
      <c r="C678" s="73"/>
      <c r="D678" s="73"/>
      <c r="E678" s="73"/>
      <c r="F678" s="73"/>
      <c r="G678" s="73"/>
      <c r="H678" s="73"/>
      <c r="I678" s="73"/>
      <c r="J678" s="73"/>
      <c r="L678" s="73"/>
    </row>
    <row r="679" spans="2:12">
      <c r="B679" s="73"/>
      <c r="C679" s="73"/>
      <c r="D679" s="73"/>
      <c r="E679" s="73"/>
      <c r="F679" s="73"/>
      <c r="G679" s="73"/>
      <c r="H679" s="73"/>
      <c r="I679" s="73"/>
      <c r="J679" s="73"/>
      <c r="L679" s="73"/>
    </row>
    <row r="680" spans="2:12">
      <c r="B680" s="73"/>
      <c r="C680" s="73"/>
      <c r="D680" s="73"/>
      <c r="E680" s="73"/>
      <c r="F680" s="73"/>
      <c r="G680" s="73"/>
      <c r="H680" s="73"/>
      <c r="I680" s="73"/>
      <c r="J680" s="73"/>
      <c r="L680" s="73"/>
    </row>
    <row r="681" spans="2:12">
      <c r="B681" s="73"/>
      <c r="C681" s="73"/>
      <c r="D681" s="73"/>
      <c r="E681" s="73"/>
      <c r="F681" s="73"/>
      <c r="G681" s="73"/>
      <c r="H681" s="73"/>
      <c r="I681" s="73"/>
      <c r="J681" s="73"/>
      <c r="L681" s="73"/>
    </row>
    <row r="682" spans="2:12">
      <c r="B682" s="73"/>
      <c r="C682" s="73"/>
      <c r="D682" s="73"/>
      <c r="E682" s="73"/>
      <c r="F682" s="73"/>
      <c r="G682" s="73"/>
      <c r="H682" s="73"/>
      <c r="I682" s="73"/>
      <c r="J682" s="73"/>
      <c r="L682" s="73"/>
    </row>
    <row r="683" spans="2:12">
      <c r="B683" s="73"/>
      <c r="C683" s="73"/>
      <c r="D683" s="73"/>
      <c r="E683" s="73"/>
      <c r="F683" s="73"/>
      <c r="G683" s="73"/>
      <c r="H683" s="73"/>
      <c r="I683" s="73"/>
      <c r="J683" s="73"/>
      <c r="L683" s="73"/>
    </row>
    <row r="684" spans="2:12">
      <c r="B684" s="73"/>
      <c r="C684" s="73"/>
      <c r="D684" s="73"/>
      <c r="E684" s="73"/>
      <c r="F684" s="73"/>
      <c r="G684" s="73"/>
      <c r="H684" s="73"/>
      <c r="I684" s="73"/>
      <c r="J684" s="73"/>
      <c r="L684" s="73"/>
    </row>
    <row r="685" spans="2:12">
      <c r="B685" s="73"/>
      <c r="C685" s="73"/>
      <c r="D685" s="73"/>
      <c r="E685" s="73"/>
      <c r="F685" s="73"/>
      <c r="G685" s="73"/>
      <c r="H685" s="73"/>
      <c r="I685" s="73"/>
      <c r="J685" s="73"/>
      <c r="L685" s="73"/>
    </row>
    <row r="686" spans="2:12">
      <c r="B686" s="73"/>
      <c r="C686" s="73"/>
      <c r="D686" s="73"/>
      <c r="E686" s="73"/>
      <c r="F686" s="73"/>
      <c r="G686" s="73"/>
      <c r="H686" s="73"/>
      <c r="I686" s="73"/>
      <c r="J686" s="73"/>
      <c r="L686" s="73"/>
    </row>
    <row r="687" spans="2:12">
      <c r="B687" s="73"/>
      <c r="C687" s="73"/>
      <c r="D687" s="73"/>
      <c r="E687" s="73"/>
      <c r="F687" s="73"/>
      <c r="G687" s="73"/>
      <c r="H687" s="73"/>
      <c r="I687" s="73"/>
      <c r="J687" s="73"/>
      <c r="L687" s="73"/>
    </row>
    <row r="688" spans="2:12">
      <c r="B688" s="73"/>
      <c r="C688" s="73"/>
      <c r="D688" s="73"/>
      <c r="E688" s="73"/>
      <c r="F688" s="73"/>
      <c r="G688" s="73"/>
      <c r="H688" s="73"/>
      <c r="I688" s="73"/>
      <c r="J688" s="73"/>
      <c r="L688" s="73"/>
    </row>
    <row r="689" spans="2:12">
      <c r="B689" s="73"/>
      <c r="C689" s="73"/>
      <c r="D689" s="73"/>
      <c r="E689" s="73"/>
      <c r="F689" s="73"/>
      <c r="G689" s="73"/>
      <c r="H689" s="73"/>
      <c r="I689" s="73"/>
      <c r="J689" s="73"/>
      <c r="L689" s="73"/>
    </row>
    <row r="690" spans="2:12">
      <c r="B690" s="73"/>
      <c r="C690" s="73"/>
      <c r="D690" s="73"/>
      <c r="E690" s="73"/>
      <c r="F690" s="73"/>
      <c r="G690" s="73"/>
      <c r="H690" s="73"/>
      <c r="I690" s="73"/>
      <c r="J690" s="73"/>
      <c r="L690" s="73"/>
    </row>
    <row r="691" spans="2:12">
      <c r="B691" s="73"/>
      <c r="C691" s="73"/>
      <c r="D691" s="73"/>
      <c r="E691" s="73"/>
      <c r="F691" s="73"/>
      <c r="G691" s="73"/>
      <c r="H691" s="73"/>
      <c r="I691" s="73"/>
      <c r="J691" s="73"/>
      <c r="L691" s="73"/>
    </row>
    <row r="692" spans="2:12">
      <c r="B692" s="73"/>
      <c r="C692" s="73"/>
      <c r="D692" s="73"/>
      <c r="E692" s="73"/>
      <c r="F692" s="73"/>
      <c r="G692" s="73"/>
      <c r="H692" s="73"/>
      <c r="I692" s="73"/>
      <c r="J692" s="73"/>
      <c r="L692" s="73"/>
    </row>
    <row r="693" spans="2:12">
      <c r="B693" s="73"/>
      <c r="C693" s="73"/>
      <c r="D693" s="73"/>
      <c r="E693" s="73"/>
      <c r="F693" s="73"/>
      <c r="G693" s="73"/>
      <c r="H693" s="73"/>
      <c r="I693" s="73"/>
      <c r="J693" s="73"/>
      <c r="L693" s="73"/>
    </row>
    <row r="694" spans="2:12">
      <c r="B694" s="73"/>
      <c r="C694" s="73"/>
      <c r="D694" s="73"/>
      <c r="E694" s="73"/>
      <c r="F694" s="73"/>
      <c r="G694" s="73"/>
      <c r="H694" s="73"/>
      <c r="I694" s="73"/>
      <c r="J694" s="73"/>
      <c r="L694" s="73"/>
    </row>
    <row r="695" spans="2:12">
      <c r="B695" s="73"/>
      <c r="C695" s="73"/>
      <c r="D695" s="73"/>
      <c r="E695" s="73"/>
      <c r="F695" s="73"/>
      <c r="G695" s="73"/>
      <c r="H695" s="73"/>
      <c r="I695" s="73"/>
      <c r="J695" s="73"/>
      <c r="L695" s="73"/>
    </row>
    <row r="696" spans="2:12">
      <c r="B696" s="73"/>
      <c r="C696" s="73"/>
      <c r="D696" s="73"/>
      <c r="E696" s="73"/>
      <c r="F696" s="73"/>
      <c r="G696" s="73"/>
      <c r="H696" s="73"/>
      <c r="I696" s="73"/>
      <c r="J696" s="73"/>
      <c r="L696" s="73"/>
    </row>
    <row r="697" spans="2:12">
      <c r="B697" s="73"/>
      <c r="C697" s="73"/>
      <c r="D697" s="73"/>
      <c r="E697" s="73"/>
      <c r="F697" s="73"/>
      <c r="G697" s="73"/>
      <c r="H697" s="73"/>
      <c r="I697" s="73"/>
      <c r="J697" s="73"/>
      <c r="L697" s="73"/>
    </row>
    <row r="698" spans="2:12">
      <c r="B698" s="73"/>
      <c r="C698" s="73"/>
      <c r="D698" s="73"/>
      <c r="E698" s="73"/>
      <c r="F698" s="73"/>
      <c r="G698" s="73"/>
      <c r="H698" s="73"/>
      <c r="I698" s="73"/>
      <c r="J698" s="73"/>
      <c r="L698" s="73"/>
    </row>
    <row r="699" spans="2:12">
      <c r="B699" s="73"/>
      <c r="C699" s="73"/>
      <c r="D699" s="73"/>
      <c r="E699" s="73"/>
      <c r="F699" s="73"/>
      <c r="G699" s="73"/>
      <c r="H699" s="73"/>
      <c r="I699" s="73"/>
      <c r="J699" s="73"/>
      <c r="L699" s="73"/>
    </row>
    <row r="700" spans="2:12">
      <c r="B700" s="73"/>
      <c r="C700" s="73"/>
      <c r="D700" s="73"/>
      <c r="E700" s="73"/>
      <c r="F700" s="73"/>
      <c r="G700" s="73"/>
      <c r="H700" s="73"/>
      <c r="I700" s="73"/>
      <c r="J700" s="73"/>
      <c r="L700" s="73"/>
    </row>
    <row r="701" spans="2:12">
      <c r="B701" s="73"/>
      <c r="C701" s="73"/>
      <c r="D701" s="73"/>
      <c r="E701" s="73"/>
      <c r="F701" s="73"/>
      <c r="G701" s="73"/>
      <c r="H701" s="73"/>
      <c r="I701" s="73"/>
      <c r="J701" s="73"/>
      <c r="L701" s="73"/>
    </row>
    <row r="702" spans="2:12">
      <c r="B702" s="73"/>
      <c r="C702" s="73"/>
      <c r="D702" s="73"/>
      <c r="E702" s="73"/>
      <c r="F702" s="73"/>
      <c r="G702" s="73"/>
      <c r="H702" s="73"/>
      <c r="I702" s="73"/>
      <c r="J702" s="73"/>
      <c r="L702" s="73"/>
    </row>
    <row r="703" spans="2:12">
      <c r="B703" s="73"/>
      <c r="C703" s="73"/>
      <c r="D703" s="73"/>
      <c r="E703" s="73"/>
      <c r="F703" s="73"/>
      <c r="G703" s="73"/>
      <c r="H703" s="73"/>
      <c r="I703" s="73"/>
      <c r="J703" s="73"/>
      <c r="L703" s="73"/>
    </row>
    <row r="704" spans="2:12">
      <c r="B704" s="73"/>
      <c r="C704" s="73"/>
      <c r="D704" s="73"/>
      <c r="E704" s="73"/>
      <c r="F704" s="73"/>
      <c r="G704" s="73"/>
      <c r="H704" s="73"/>
      <c r="I704" s="73"/>
      <c r="J704" s="73"/>
      <c r="L704" s="73"/>
    </row>
    <row r="705" spans="2:12">
      <c r="B705" s="73"/>
      <c r="C705" s="73"/>
      <c r="D705" s="73"/>
      <c r="E705" s="73"/>
      <c r="F705" s="73"/>
      <c r="G705" s="73"/>
      <c r="H705" s="73"/>
      <c r="I705" s="73"/>
      <c r="J705" s="73"/>
      <c r="L705" s="73"/>
    </row>
    <row r="706" spans="2:12">
      <c r="B706" s="73"/>
      <c r="C706" s="73"/>
      <c r="D706" s="73"/>
      <c r="E706" s="73"/>
      <c r="F706" s="73"/>
      <c r="G706" s="73"/>
      <c r="H706" s="73"/>
      <c r="I706" s="73"/>
      <c r="J706" s="73"/>
      <c r="L706" s="73"/>
    </row>
    <row r="707" spans="2:12">
      <c r="B707" s="73"/>
      <c r="C707" s="73"/>
      <c r="D707" s="73"/>
      <c r="E707" s="73"/>
      <c r="F707" s="73"/>
      <c r="G707" s="73"/>
      <c r="H707" s="73"/>
      <c r="I707" s="73"/>
      <c r="J707" s="73"/>
      <c r="L707" s="73"/>
    </row>
    <row r="708" spans="2:12">
      <c r="B708" s="73"/>
      <c r="C708" s="73"/>
      <c r="D708" s="73"/>
      <c r="E708" s="73"/>
      <c r="F708" s="73"/>
      <c r="G708" s="73"/>
      <c r="H708" s="73"/>
      <c r="I708" s="73"/>
      <c r="J708" s="73"/>
      <c r="L708" s="73"/>
    </row>
    <row r="709" spans="2:12">
      <c r="B709" s="73"/>
      <c r="C709" s="73"/>
      <c r="D709" s="73"/>
      <c r="E709" s="73"/>
      <c r="F709" s="73"/>
      <c r="G709" s="73"/>
      <c r="H709" s="73"/>
      <c r="I709" s="73"/>
      <c r="J709" s="73"/>
      <c r="L709" s="73"/>
    </row>
    <row r="710" spans="2:12">
      <c r="B710" s="73"/>
      <c r="C710" s="73"/>
      <c r="D710" s="73"/>
      <c r="E710" s="73"/>
      <c r="F710" s="73"/>
      <c r="G710" s="73"/>
      <c r="H710" s="73"/>
      <c r="I710" s="73"/>
      <c r="J710" s="73"/>
      <c r="L710" s="73"/>
    </row>
    <row r="711" spans="2:12">
      <c r="B711" s="73"/>
      <c r="C711" s="73"/>
      <c r="D711" s="73"/>
      <c r="E711" s="73"/>
      <c r="F711" s="73"/>
      <c r="G711" s="73"/>
      <c r="H711" s="73"/>
      <c r="I711" s="73"/>
      <c r="J711" s="73"/>
      <c r="L711" s="73"/>
    </row>
    <row r="712" spans="2:12">
      <c r="B712" s="73"/>
      <c r="C712" s="73"/>
      <c r="D712" s="73"/>
      <c r="E712" s="73"/>
      <c r="F712" s="73"/>
      <c r="G712" s="73"/>
      <c r="H712" s="73"/>
      <c r="I712" s="73"/>
      <c r="J712" s="73"/>
      <c r="L712" s="73"/>
    </row>
    <row r="713" spans="2:12">
      <c r="B713" s="73"/>
      <c r="C713" s="73"/>
      <c r="D713" s="73"/>
      <c r="E713" s="73"/>
      <c r="F713" s="73"/>
      <c r="G713" s="73"/>
      <c r="H713" s="73"/>
      <c r="I713" s="73"/>
      <c r="J713" s="73"/>
      <c r="L713" s="73"/>
    </row>
    <row r="714" spans="2:12">
      <c r="B714" s="73"/>
      <c r="C714" s="73"/>
      <c r="D714" s="73"/>
      <c r="E714" s="73"/>
      <c r="F714" s="73"/>
      <c r="G714" s="73"/>
      <c r="H714" s="73"/>
      <c r="I714" s="73"/>
      <c r="J714" s="73"/>
      <c r="L714" s="73"/>
    </row>
    <row r="715" spans="2:12">
      <c r="B715" s="73"/>
      <c r="C715" s="73"/>
      <c r="D715" s="73"/>
      <c r="E715" s="73"/>
      <c r="F715" s="73"/>
      <c r="G715" s="73"/>
      <c r="H715" s="73"/>
      <c r="I715" s="73"/>
      <c r="J715" s="73"/>
      <c r="L715" s="73"/>
    </row>
    <row r="716" spans="2:12">
      <c r="B716" s="73"/>
      <c r="C716" s="73"/>
      <c r="D716" s="73"/>
      <c r="E716" s="73"/>
      <c r="F716" s="73"/>
      <c r="G716" s="73"/>
      <c r="H716" s="73"/>
      <c r="I716" s="73"/>
      <c r="J716" s="73"/>
      <c r="L716" s="73"/>
    </row>
    <row r="717" spans="2:12">
      <c r="B717" s="73"/>
      <c r="C717" s="73"/>
      <c r="D717" s="73"/>
      <c r="E717" s="73"/>
      <c r="F717" s="73"/>
      <c r="G717" s="73"/>
      <c r="H717" s="73"/>
      <c r="I717" s="73"/>
      <c r="J717" s="73"/>
      <c r="L717" s="73"/>
    </row>
    <row r="718" spans="2:12">
      <c r="B718" s="73"/>
      <c r="C718" s="73"/>
      <c r="D718" s="73"/>
      <c r="E718" s="73"/>
      <c r="F718" s="73"/>
      <c r="G718" s="73"/>
      <c r="H718" s="73"/>
      <c r="I718" s="73"/>
      <c r="J718" s="73"/>
      <c r="L718" s="73"/>
    </row>
    <row r="719" spans="2:12">
      <c r="B719" s="73"/>
      <c r="C719" s="73"/>
      <c r="D719" s="73"/>
      <c r="E719" s="73"/>
      <c r="F719" s="73"/>
      <c r="G719" s="73"/>
      <c r="H719" s="73"/>
      <c r="I719" s="73"/>
      <c r="J719" s="73"/>
      <c r="L719" s="73"/>
    </row>
    <row r="720" spans="2:12">
      <c r="B720" s="73"/>
      <c r="C720" s="73"/>
      <c r="D720" s="73"/>
      <c r="E720" s="73"/>
      <c r="F720" s="73"/>
      <c r="G720" s="73"/>
      <c r="H720" s="73"/>
      <c r="I720" s="73"/>
      <c r="J720" s="73"/>
      <c r="L720" s="73"/>
    </row>
    <row r="721" spans="2:12">
      <c r="B721" s="73"/>
      <c r="C721" s="73"/>
      <c r="D721" s="73"/>
      <c r="E721" s="73"/>
      <c r="F721" s="73"/>
      <c r="G721" s="73"/>
      <c r="H721" s="73"/>
      <c r="I721" s="73"/>
      <c r="J721" s="73"/>
      <c r="L721" s="73"/>
    </row>
    <row r="722" spans="2:12">
      <c r="B722" s="73"/>
      <c r="C722" s="73"/>
      <c r="D722" s="73"/>
      <c r="E722" s="73"/>
      <c r="F722" s="73"/>
      <c r="G722" s="73"/>
      <c r="H722" s="73"/>
      <c r="I722" s="73"/>
      <c r="J722" s="73"/>
      <c r="L722" s="73"/>
    </row>
    <row r="723" spans="2:12">
      <c r="B723" s="73"/>
      <c r="C723" s="73"/>
      <c r="D723" s="73"/>
      <c r="E723" s="73"/>
      <c r="F723" s="73"/>
      <c r="G723" s="73"/>
      <c r="H723" s="73"/>
      <c r="I723" s="73"/>
      <c r="J723" s="73"/>
      <c r="L723" s="73"/>
    </row>
    <row r="724" spans="2:12">
      <c r="B724" s="73"/>
      <c r="C724" s="73"/>
      <c r="D724" s="73"/>
      <c r="E724" s="73"/>
      <c r="F724" s="73"/>
      <c r="G724" s="73"/>
      <c r="H724" s="73"/>
      <c r="I724" s="73"/>
      <c r="J724" s="73"/>
      <c r="L724" s="73"/>
    </row>
    <row r="725" spans="2:12">
      <c r="B725" s="73"/>
      <c r="C725" s="73"/>
      <c r="D725" s="73"/>
      <c r="E725" s="73"/>
      <c r="F725" s="73"/>
      <c r="G725" s="73"/>
      <c r="H725" s="73"/>
      <c r="I725" s="73"/>
      <c r="J725" s="73"/>
      <c r="L725" s="73"/>
    </row>
    <row r="726" spans="2:12">
      <c r="B726" s="73"/>
      <c r="C726" s="73"/>
      <c r="D726" s="73"/>
      <c r="E726" s="73"/>
      <c r="F726" s="73"/>
      <c r="G726" s="73"/>
      <c r="H726" s="73"/>
      <c r="I726" s="73"/>
      <c r="J726" s="73"/>
      <c r="L726" s="73"/>
    </row>
    <row r="727" spans="2:12">
      <c r="B727" s="73"/>
      <c r="C727" s="73"/>
      <c r="D727" s="73"/>
      <c r="E727" s="73"/>
      <c r="F727" s="73"/>
      <c r="G727" s="73"/>
      <c r="H727" s="73"/>
      <c r="I727" s="73"/>
      <c r="J727" s="73"/>
      <c r="L727" s="73"/>
    </row>
    <row r="728" spans="2:12">
      <c r="B728" s="73"/>
      <c r="C728" s="73"/>
      <c r="D728" s="73"/>
      <c r="E728" s="73"/>
      <c r="F728" s="73"/>
      <c r="G728" s="73"/>
      <c r="H728" s="73"/>
      <c r="I728" s="73"/>
      <c r="J728" s="73"/>
      <c r="L728" s="73"/>
    </row>
    <row r="729" spans="2:12">
      <c r="B729" s="73"/>
      <c r="C729" s="73"/>
      <c r="D729" s="73"/>
      <c r="E729" s="73"/>
      <c r="F729" s="73"/>
      <c r="G729" s="73"/>
      <c r="H729" s="73"/>
      <c r="I729" s="73"/>
      <c r="J729" s="73"/>
      <c r="L729" s="73"/>
    </row>
    <row r="730" spans="2:12">
      <c r="B730" s="73"/>
      <c r="C730" s="73"/>
      <c r="D730" s="73"/>
      <c r="E730" s="73"/>
      <c r="F730" s="73"/>
      <c r="G730" s="73"/>
      <c r="H730" s="73"/>
      <c r="I730" s="73"/>
      <c r="J730" s="73"/>
      <c r="L730" s="73"/>
    </row>
    <row r="731" spans="2:12">
      <c r="B731" s="73"/>
      <c r="C731" s="73"/>
      <c r="D731" s="73"/>
      <c r="E731" s="73"/>
      <c r="F731" s="73"/>
      <c r="G731" s="73"/>
      <c r="H731" s="73"/>
      <c r="I731" s="73"/>
      <c r="J731" s="73"/>
      <c r="L731" s="73"/>
    </row>
    <row r="732" spans="2:12">
      <c r="B732" s="73"/>
      <c r="C732" s="73"/>
      <c r="D732" s="73"/>
      <c r="E732" s="73"/>
      <c r="F732" s="73"/>
      <c r="G732" s="73"/>
      <c r="H732" s="73"/>
      <c r="I732" s="73"/>
      <c r="J732" s="73"/>
      <c r="L732" s="73"/>
    </row>
    <row r="733" spans="2:12">
      <c r="B733" s="73"/>
      <c r="C733" s="73"/>
      <c r="D733" s="73"/>
      <c r="E733" s="73"/>
      <c r="F733" s="73"/>
      <c r="G733" s="73"/>
      <c r="H733" s="73"/>
      <c r="I733" s="73"/>
      <c r="J733" s="73"/>
      <c r="L733" s="73"/>
    </row>
    <row r="734" spans="2:12">
      <c r="B734" s="73"/>
      <c r="C734" s="73"/>
      <c r="D734" s="73"/>
      <c r="E734" s="73"/>
      <c r="F734" s="73"/>
      <c r="G734" s="73"/>
      <c r="H734" s="73"/>
      <c r="I734" s="73"/>
      <c r="J734" s="73"/>
      <c r="L734" s="73"/>
    </row>
    <row r="735" spans="2:12">
      <c r="B735" s="73"/>
      <c r="C735" s="73"/>
      <c r="D735" s="73"/>
      <c r="E735" s="73"/>
      <c r="F735" s="73"/>
      <c r="G735" s="73"/>
      <c r="H735" s="73"/>
      <c r="I735" s="73"/>
      <c r="J735" s="73"/>
      <c r="L735" s="73"/>
    </row>
    <row r="736" spans="2:12">
      <c r="B736" s="73"/>
      <c r="C736" s="73"/>
      <c r="D736" s="73"/>
      <c r="E736" s="73"/>
      <c r="F736" s="73"/>
      <c r="G736" s="73"/>
      <c r="H736" s="73"/>
      <c r="I736" s="73"/>
      <c r="J736" s="73"/>
      <c r="L736" s="73"/>
    </row>
    <row r="737" spans="2:12">
      <c r="B737" s="73"/>
      <c r="C737" s="73"/>
      <c r="D737" s="73"/>
      <c r="E737" s="73"/>
      <c r="F737" s="73"/>
      <c r="G737" s="73"/>
      <c r="H737" s="73"/>
      <c r="I737" s="73"/>
      <c r="J737" s="73"/>
      <c r="L737" s="73"/>
    </row>
    <row r="738" spans="2:12">
      <c r="B738" s="73"/>
      <c r="C738" s="73"/>
      <c r="D738" s="73"/>
      <c r="E738" s="73"/>
      <c r="F738" s="73"/>
      <c r="G738" s="73"/>
      <c r="H738" s="73"/>
      <c r="I738" s="73"/>
      <c r="J738" s="73"/>
      <c r="L738" s="73"/>
    </row>
    <row r="739" spans="2:12">
      <c r="B739" s="73"/>
      <c r="C739" s="73"/>
      <c r="D739" s="73"/>
      <c r="E739" s="73"/>
      <c r="F739" s="73"/>
      <c r="G739" s="73"/>
      <c r="H739" s="73"/>
      <c r="I739" s="73"/>
      <c r="J739" s="73"/>
      <c r="L739" s="73"/>
    </row>
    <row r="740" spans="2:12">
      <c r="B740" s="73"/>
      <c r="C740" s="73"/>
      <c r="D740" s="73"/>
      <c r="E740" s="73"/>
      <c r="F740" s="73"/>
      <c r="G740" s="73"/>
      <c r="H740" s="73"/>
      <c r="I740" s="73"/>
      <c r="J740" s="73"/>
      <c r="L740" s="73"/>
    </row>
    <row r="741" spans="2:12">
      <c r="B741" s="73"/>
      <c r="C741" s="73"/>
      <c r="D741" s="73"/>
      <c r="E741" s="73"/>
      <c r="F741" s="73"/>
      <c r="G741" s="73"/>
      <c r="H741" s="73"/>
      <c r="I741" s="73"/>
      <c r="J741" s="73"/>
      <c r="L741" s="73"/>
    </row>
    <row r="742" spans="2:12">
      <c r="B742" s="73"/>
      <c r="C742" s="73"/>
      <c r="D742" s="73"/>
      <c r="E742" s="73"/>
      <c r="F742" s="73"/>
      <c r="G742" s="73"/>
      <c r="H742" s="73"/>
      <c r="I742" s="73"/>
      <c r="J742" s="73"/>
      <c r="L742" s="73"/>
    </row>
    <row r="743" spans="2:12">
      <c r="B743" s="73"/>
      <c r="C743" s="73"/>
      <c r="D743" s="73"/>
      <c r="E743" s="73"/>
      <c r="F743" s="73"/>
      <c r="G743" s="73"/>
      <c r="H743" s="73"/>
      <c r="I743" s="73"/>
      <c r="J743" s="73"/>
      <c r="L743" s="73"/>
    </row>
    <row r="744" spans="2:12">
      <c r="B744" s="73"/>
      <c r="C744" s="73"/>
      <c r="D744" s="73"/>
      <c r="E744" s="73"/>
      <c r="F744" s="73"/>
      <c r="G744" s="73"/>
      <c r="H744" s="73"/>
      <c r="I744" s="73"/>
      <c r="J744" s="73"/>
      <c r="L744" s="73"/>
    </row>
    <row r="745" spans="2:12">
      <c r="B745" s="73"/>
      <c r="C745" s="73"/>
      <c r="D745" s="73"/>
      <c r="E745" s="73"/>
      <c r="F745" s="73"/>
      <c r="G745" s="73"/>
      <c r="H745" s="73"/>
      <c r="I745" s="73"/>
      <c r="J745" s="73"/>
      <c r="L745" s="73"/>
    </row>
    <row r="746" spans="2:12">
      <c r="B746" s="73"/>
      <c r="C746" s="73"/>
      <c r="D746" s="73"/>
      <c r="E746" s="73"/>
      <c r="F746" s="73"/>
      <c r="G746" s="73"/>
      <c r="H746" s="73"/>
      <c r="I746" s="73"/>
      <c r="J746" s="73"/>
      <c r="L746" s="73"/>
    </row>
    <row r="747" spans="2:12">
      <c r="B747" s="73"/>
      <c r="C747" s="73"/>
      <c r="D747" s="73"/>
      <c r="E747" s="73"/>
      <c r="F747" s="73"/>
      <c r="G747" s="73"/>
      <c r="H747" s="73"/>
      <c r="I747" s="73"/>
      <c r="J747" s="73"/>
      <c r="L747" s="73"/>
    </row>
    <row r="748" spans="2:12">
      <c r="B748" s="73"/>
      <c r="C748" s="73"/>
      <c r="D748" s="73"/>
      <c r="E748" s="73"/>
      <c r="F748" s="73"/>
      <c r="G748" s="73"/>
      <c r="H748" s="73"/>
      <c r="I748" s="73"/>
      <c r="J748" s="73"/>
      <c r="L748" s="73"/>
    </row>
    <row r="749" spans="2:12">
      <c r="B749" s="73"/>
      <c r="C749" s="73"/>
      <c r="D749" s="73"/>
      <c r="E749" s="73"/>
      <c r="F749" s="73"/>
      <c r="G749" s="73"/>
      <c r="H749" s="73"/>
      <c r="I749" s="73"/>
      <c r="J749" s="73"/>
      <c r="L749" s="73"/>
    </row>
    <row r="750" spans="2:12">
      <c r="B750" s="73"/>
      <c r="C750" s="73"/>
      <c r="D750" s="73"/>
      <c r="E750" s="73"/>
      <c r="F750" s="73"/>
      <c r="G750" s="73"/>
      <c r="H750" s="73"/>
      <c r="I750" s="73"/>
      <c r="J750" s="73"/>
      <c r="L750" s="73"/>
    </row>
    <row r="751" spans="2:12">
      <c r="B751" s="73"/>
      <c r="C751" s="73"/>
      <c r="D751" s="73"/>
      <c r="E751" s="73"/>
      <c r="F751" s="73"/>
      <c r="G751" s="73"/>
      <c r="H751" s="73"/>
      <c r="I751" s="73"/>
      <c r="J751" s="73"/>
      <c r="L751" s="73"/>
    </row>
    <row r="752" spans="2:12">
      <c r="B752" s="73"/>
      <c r="C752" s="73"/>
      <c r="D752" s="73"/>
      <c r="E752" s="73"/>
      <c r="F752" s="73"/>
      <c r="G752" s="73"/>
      <c r="H752" s="73"/>
      <c r="I752" s="73"/>
      <c r="J752" s="73"/>
      <c r="L752" s="73"/>
    </row>
    <row r="753" spans="2:12">
      <c r="B753" s="73"/>
      <c r="C753" s="73"/>
      <c r="D753" s="73"/>
      <c r="E753" s="73"/>
      <c r="F753" s="73"/>
      <c r="G753" s="73"/>
      <c r="H753" s="73"/>
      <c r="I753" s="73"/>
      <c r="J753" s="73"/>
      <c r="L753" s="73"/>
    </row>
    <row r="754" spans="2:12">
      <c r="B754" s="73"/>
      <c r="C754" s="73"/>
      <c r="D754" s="73"/>
      <c r="E754" s="73"/>
      <c r="F754" s="73"/>
      <c r="G754" s="73"/>
      <c r="H754" s="73"/>
      <c r="I754" s="73"/>
      <c r="J754" s="73"/>
      <c r="L754" s="73"/>
    </row>
    <row r="755" spans="2:12">
      <c r="B755" s="73"/>
      <c r="C755" s="73"/>
      <c r="D755" s="73"/>
      <c r="E755" s="73"/>
      <c r="F755" s="73"/>
      <c r="G755" s="73"/>
      <c r="H755" s="73"/>
      <c r="I755" s="73"/>
      <c r="J755" s="73"/>
      <c r="L755" s="73"/>
    </row>
    <row r="756" spans="2:12">
      <c r="B756" s="73"/>
      <c r="C756" s="73"/>
      <c r="D756" s="73"/>
      <c r="E756" s="73"/>
      <c r="F756" s="73"/>
      <c r="G756" s="73"/>
      <c r="H756" s="73"/>
      <c r="I756" s="73"/>
      <c r="J756" s="73"/>
      <c r="L756" s="73"/>
    </row>
    <row r="757" spans="2:12">
      <c r="B757" s="73"/>
      <c r="C757" s="73"/>
      <c r="D757" s="73"/>
      <c r="E757" s="73"/>
      <c r="F757" s="73"/>
      <c r="G757" s="73"/>
      <c r="H757" s="73"/>
      <c r="I757" s="73"/>
      <c r="J757" s="73"/>
      <c r="L757" s="73"/>
    </row>
    <row r="758" spans="2:12">
      <c r="B758" s="73"/>
      <c r="C758" s="73"/>
      <c r="D758" s="73"/>
      <c r="E758" s="73"/>
      <c r="F758" s="73"/>
      <c r="G758" s="73"/>
      <c r="H758" s="73"/>
      <c r="I758" s="73"/>
      <c r="J758" s="73"/>
      <c r="L758" s="73"/>
    </row>
    <row r="759" spans="2:12">
      <c r="B759" s="73"/>
      <c r="C759" s="73"/>
      <c r="D759" s="73"/>
      <c r="E759" s="73"/>
      <c r="F759" s="73"/>
      <c r="G759" s="73"/>
      <c r="H759" s="73"/>
      <c r="I759" s="73"/>
      <c r="J759" s="73"/>
      <c r="L759" s="73"/>
    </row>
    <row r="760" spans="2:12">
      <c r="B760" s="73"/>
      <c r="C760" s="73"/>
      <c r="D760" s="73"/>
      <c r="E760" s="73"/>
      <c r="F760" s="73"/>
      <c r="G760" s="73"/>
      <c r="H760" s="73"/>
      <c r="I760" s="73"/>
      <c r="J760" s="73"/>
      <c r="L760" s="73"/>
    </row>
    <row r="761" spans="2:12">
      <c r="B761" s="73"/>
      <c r="C761" s="73"/>
      <c r="D761" s="73"/>
      <c r="E761" s="73"/>
      <c r="F761" s="73"/>
      <c r="G761" s="73"/>
      <c r="H761" s="73"/>
      <c r="I761" s="73"/>
      <c r="J761" s="73"/>
      <c r="L761" s="73"/>
    </row>
    <row r="762" spans="2:12">
      <c r="B762" s="73"/>
      <c r="C762" s="73"/>
      <c r="D762" s="73"/>
      <c r="E762" s="73"/>
      <c r="F762" s="73"/>
      <c r="G762" s="73"/>
      <c r="H762" s="73"/>
      <c r="I762" s="73"/>
      <c r="J762" s="73"/>
      <c r="L762" s="73"/>
    </row>
    <row r="763" spans="2:12">
      <c r="B763" s="73"/>
      <c r="C763" s="73"/>
      <c r="D763" s="73"/>
      <c r="E763" s="73"/>
      <c r="F763" s="73"/>
      <c r="G763" s="73"/>
      <c r="H763" s="73"/>
      <c r="I763" s="73"/>
      <c r="J763" s="73"/>
      <c r="L763" s="73"/>
    </row>
    <row r="764" spans="2:12">
      <c r="B764" s="73"/>
      <c r="C764" s="73"/>
      <c r="D764" s="73"/>
      <c r="E764" s="73"/>
      <c r="F764" s="73"/>
      <c r="G764" s="73"/>
      <c r="H764" s="73"/>
      <c r="I764" s="73"/>
      <c r="J764" s="73"/>
      <c r="L764" s="73"/>
    </row>
    <row r="765" spans="2:12">
      <c r="B765" s="73"/>
      <c r="C765" s="73"/>
      <c r="D765" s="73"/>
      <c r="E765" s="73"/>
      <c r="F765" s="73"/>
      <c r="G765" s="73"/>
      <c r="H765" s="73"/>
      <c r="I765" s="73"/>
      <c r="J765" s="73"/>
      <c r="L765" s="73"/>
    </row>
    <row r="766" spans="2:12">
      <c r="B766" s="73"/>
      <c r="C766" s="73"/>
      <c r="D766" s="73"/>
      <c r="E766" s="73"/>
      <c r="F766" s="73"/>
      <c r="G766" s="73"/>
      <c r="H766" s="73"/>
      <c r="I766" s="73"/>
      <c r="J766" s="73"/>
      <c r="L766" s="73"/>
    </row>
    <row r="767" spans="2:12">
      <c r="B767" s="73"/>
      <c r="C767" s="73"/>
      <c r="D767" s="73"/>
      <c r="E767" s="73"/>
      <c r="F767" s="73"/>
      <c r="G767" s="73"/>
      <c r="H767" s="73"/>
      <c r="I767" s="73"/>
      <c r="J767" s="73"/>
      <c r="L767" s="73"/>
    </row>
    <row r="768" spans="2:12">
      <c r="B768" s="73"/>
      <c r="C768" s="73"/>
      <c r="D768" s="73"/>
      <c r="E768" s="73"/>
      <c r="F768" s="73"/>
      <c r="G768" s="73"/>
      <c r="H768" s="73"/>
      <c r="I768" s="73"/>
      <c r="J768" s="73"/>
      <c r="L768" s="73"/>
    </row>
    <row r="769" spans="2:12">
      <c r="B769" s="73"/>
      <c r="C769" s="73"/>
      <c r="D769" s="73"/>
      <c r="E769" s="73"/>
      <c r="F769" s="73"/>
      <c r="G769" s="73"/>
      <c r="H769" s="73"/>
      <c r="I769" s="73"/>
      <c r="J769" s="73"/>
      <c r="L769" s="73"/>
    </row>
    <row r="770" spans="2:12">
      <c r="B770" s="73"/>
      <c r="C770" s="73"/>
      <c r="D770" s="73"/>
      <c r="E770" s="73"/>
      <c r="F770" s="73"/>
      <c r="G770" s="73"/>
      <c r="H770" s="73"/>
      <c r="I770" s="73"/>
      <c r="J770" s="73"/>
      <c r="L770" s="73"/>
    </row>
    <row r="771" spans="2:12">
      <c r="B771" s="73"/>
      <c r="C771" s="73"/>
      <c r="D771" s="73"/>
      <c r="E771" s="73"/>
      <c r="F771" s="73"/>
      <c r="G771" s="73"/>
      <c r="H771" s="73"/>
      <c r="I771" s="73"/>
      <c r="J771" s="73"/>
      <c r="L771" s="73"/>
    </row>
    <row r="772" spans="2:12">
      <c r="B772" s="73"/>
      <c r="C772" s="73"/>
      <c r="D772" s="73"/>
      <c r="E772" s="73"/>
      <c r="F772" s="73"/>
      <c r="G772" s="73"/>
      <c r="H772" s="73"/>
      <c r="I772" s="73"/>
      <c r="J772" s="73"/>
      <c r="L772" s="73"/>
    </row>
    <row r="773" spans="2:12">
      <c r="B773" s="73"/>
      <c r="C773" s="73"/>
      <c r="D773" s="73"/>
      <c r="E773" s="73"/>
      <c r="F773" s="73"/>
      <c r="G773" s="73"/>
      <c r="H773" s="73"/>
      <c r="I773" s="73"/>
      <c r="J773" s="73"/>
      <c r="L773" s="73"/>
    </row>
    <row r="774" spans="2:12">
      <c r="B774" s="73"/>
      <c r="C774" s="73"/>
      <c r="D774" s="73"/>
      <c r="E774" s="73"/>
      <c r="F774" s="73"/>
      <c r="G774" s="73"/>
      <c r="H774" s="73"/>
      <c r="I774" s="73"/>
      <c r="J774" s="73"/>
      <c r="L774" s="73"/>
    </row>
    <row r="775" spans="2:12">
      <c r="B775" s="73"/>
      <c r="C775" s="73"/>
      <c r="D775" s="73"/>
      <c r="E775" s="73"/>
      <c r="F775" s="73"/>
      <c r="G775" s="73"/>
      <c r="H775" s="73"/>
      <c r="I775" s="73"/>
      <c r="J775" s="73"/>
      <c r="L775" s="73"/>
    </row>
    <row r="776" spans="2:12">
      <c r="B776" s="73"/>
      <c r="C776" s="73"/>
      <c r="D776" s="73"/>
      <c r="E776" s="73"/>
      <c r="F776" s="73"/>
      <c r="G776" s="73"/>
      <c r="H776" s="73"/>
      <c r="I776" s="73"/>
      <c r="J776" s="73"/>
      <c r="L776" s="73"/>
    </row>
    <row r="777" spans="2:12">
      <c r="B777" s="73"/>
      <c r="C777" s="73"/>
      <c r="D777" s="73"/>
      <c r="E777" s="73"/>
      <c r="F777" s="73"/>
      <c r="G777" s="73"/>
      <c r="H777" s="73"/>
      <c r="I777" s="73"/>
      <c r="J777" s="73"/>
      <c r="L777" s="73"/>
    </row>
    <row r="778" spans="2:12">
      <c r="B778" s="73"/>
      <c r="C778" s="73"/>
      <c r="D778" s="73"/>
      <c r="E778" s="73"/>
      <c r="F778" s="73"/>
      <c r="G778" s="73"/>
      <c r="H778" s="73"/>
      <c r="I778" s="73"/>
      <c r="J778" s="73"/>
      <c r="L778" s="73"/>
    </row>
    <row r="779" spans="2:12">
      <c r="B779" s="73"/>
      <c r="C779" s="73"/>
      <c r="D779" s="73"/>
      <c r="E779" s="73"/>
      <c r="F779" s="73"/>
      <c r="G779" s="73"/>
      <c r="H779" s="73"/>
      <c r="I779" s="73"/>
      <c r="J779" s="73"/>
      <c r="L779" s="73"/>
    </row>
    <row r="780" spans="2:12">
      <c r="B780" s="73"/>
      <c r="C780" s="73"/>
      <c r="D780" s="73"/>
      <c r="E780" s="73"/>
      <c r="F780" s="73"/>
      <c r="G780" s="73"/>
      <c r="H780" s="73"/>
      <c r="I780" s="73"/>
      <c r="J780" s="73"/>
      <c r="L780" s="73"/>
    </row>
    <row r="781" spans="2:12">
      <c r="B781" s="73"/>
      <c r="C781" s="73"/>
      <c r="D781" s="73"/>
      <c r="E781" s="73"/>
      <c r="F781" s="73"/>
      <c r="G781" s="73"/>
      <c r="H781" s="73"/>
      <c r="I781" s="73"/>
      <c r="J781" s="73"/>
      <c r="L781" s="73"/>
    </row>
    <row r="782" spans="2:12">
      <c r="B782" s="73"/>
      <c r="C782" s="73"/>
      <c r="D782" s="73"/>
      <c r="E782" s="73"/>
      <c r="F782" s="73"/>
      <c r="G782" s="73"/>
      <c r="H782" s="73"/>
      <c r="I782" s="73"/>
      <c r="J782" s="73"/>
      <c r="L782" s="73"/>
    </row>
    <row r="783" spans="2:12">
      <c r="B783" s="73"/>
      <c r="C783" s="73"/>
      <c r="D783" s="73"/>
      <c r="E783" s="73"/>
      <c r="F783" s="73"/>
      <c r="G783" s="73"/>
      <c r="H783" s="73"/>
      <c r="I783" s="73"/>
      <c r="J783" s="73"/>
      <c r="L783" s="73"/>
    </row>
    <row r="784" spans="2:12">
      <c r="B784" s="73"/>
      <c r="C784" s="73"/>
      <c r="D784" s="73"/>
      <c r="E784" s="73"/>
      <c r="F784" s="73"/>
      <c r="G784" s="73"/>
      <c r="H784" s="73"/>
      <c r="I784" s="73"/>
      <c r="J784" s="73"/>
      <c r="L784" s="73"/>
    </row>
    <row r="785" spans="2:12">
      <c r="B785" s="73"/>
      <c r="C785" s="73"/>
      <c r="D785" s="73"/>
      <c r="E785" s="73"/>
      <c r="F785" s="73"/>
      <c r="G785" s="73"/>
      <c r="H785" s="73"/>
      <c r="I785" s="73"/>
      <c r="J785" s="73"/>
      <c r="L785" s="73"/>
    </row>
    <row r="786" spans="2:12">
      <c r="B786" s="73"/>
      <c r="C786" s="73"/>
      <c r="D786" s="73"/>
      <c r="E786" s="73"/>
      <c r="F786" s="73"/>
      <c r="G786" s="73"/>
      <c r="H786" s="73"/>
      <c r="I786" s="73"/>
      <c r="J786" s="73"/>
      <c r="L786" s="73"/>
    </row>
    <row r="787" spans="2:12">
      <c r="B787" s="73"/>
      <c r="C787" s="73"/>
      <c r="D787" s="73"/>
      <c r="E787" s="73"/>
      <c r="F787" s="73"/>
      <c r="G787" s="73"/>
      <c r="H787" s="73"/>
      <c r="I787" s="73"/>
      <c r="J787" s="73"/>
      <c r="L787" s="73"/>
    </row>
    <row r="788" spans="2:12">
      <c r="B788" s="73"/>
      <c r="C788" s="73"/>
      <c r="D788" s="73"/>
      <c r="E788" s="73"/>
      <c r="F788" s="73"/>
      <c r="G788" s="73"/>
      <c r="H788" s="73"/>
      <c r="I788" s="73"/>
      <c r="J788" s="73"/>
      <c r="L788" s="73"/>
    </row>
    <row r="789" spans="2:12">
      <c r="B789" s="73"/>
      <c r="C789" s="73"/>
      <c r="D789" s="73"/>
      <c r="E789" s="73"/>
      <c r="F789" s="73"/>
      <c r="G789" s="73"/>
      <c r="H789" s="73"/>
      <c r="I789" s="73"/>
      <c r="J789" s="73"/>
      <c r="L789" s="73"/>
    </row>
    <row r="790" spans="2:12">
      <c r="B790" s="73"/>
      <c r="C790" s="73"/>
      <c r="D790" s="73"/>
      <c r="E790" s="73"/>
      <c r="F790" s="73"/>
      <c r="G790" s="73"/>
      <c r="H790" s="73"/>
      <c r="I790" s="73"/>
      <c r="J790" s="73"/>
      <c r="L790" s="73"/>
    </row>
    <row r="791" spans="2:12">
      <c r="B791" s="73"/>
      <c r="C791" s="73"/>
      <c r="D791" s="73"/>
      <c r="E791" s="73"/>
      <c r="F791" s="73"/>
      <c r="G791" s="73"/>
      <c r="H791" s="73"/>
      <c r="I791" s="73"/>
      <c r="J791" s="73"/>
      <c r="L791" s="73"/>
    </row>
    <row r="792" spans="2:12">
      <c r="B792" s="73"/>
      <c r="C792" s="73"/>
      <c r="D792" s="73"/>
      <c r="E792" s="73"/>
      <c r="F792" s="73"/>
      <c r="G792" s="73"/>
      <c r="H792" s="73"/>
      <c r="I792" s="73"/>
      <c r="J792" s="73"/>
      <c r="L792" s="73"/>
    </row>
    <row r="793" spans="2:12">
      <c r="B793" s="73"/>
      <c r="C793" s="73"/>
      <c r="D793" s="73"/>
      <c r="E793" s="73"/>
      <c r="F793" s="73"/>
      <c r="G793" s="73"/>
      <c r="H793" s="73"/>
      <c r="I793" s="73"/>
      <c r="J793" s="73"/>
      <c r="L793" s="73"/>
    </row>
    <row r="794" spans="2:12">
      <c r="B794" s="73"/>
      <c r="C794" s="73"/>
      <c r="D794" s="73"/>
      <c r="E794" s="73"/>
      <c r="F794" s="73"/>
      <c r="G794" s="73"/>
      <c r="H794" s="73"/>
      <c r="I794" s="73"/>
      <c r="J794" s="73"/>
      <c r="L794" s="73"/>
    </row>
    <row r="795" spans="2:12">
      <c r="B795" s="73"/>
      <c r="C795" s="73"/>
      <c r="D795" s="73"/>
      <c r="E795" s="73"/>
      <c r="F795" s="73"/>
      <c r="G795" s="73"/>
      <c r="H795" s="73"/>
      <c r="I795" s="73"/>
      <c r="J795" s="73"/>
      <c r="L795" s="73"/>
    </row>
    <row r="796" spans="2:12">
      <c r="B796" s="73"/>
      <c r="C796" s="73"/>
      <c r="D796" s="73"/>
      <c r="E796" s="73"/>
      <c r="F796" s="73"/>
      <c r="G796" s="73"/>
      <c r="H796" s="73"/>
      <c r="I796" s="73"/>
      <c r="J796" s="73"/>
      <c r="L796" s="73"/>
    </row>
    <row r="797" spans="2:12">
      <c r="B797" s="73"/>
      <c r="C797" s="73"/>
      <c r="D797" s="73"/>
      <c r="E797" s="73"/>
      <c r="F797" s="73"/>
      <c r="G797" s="73"/>
      <c r="H797" s="73"/>
      <c r="I797" s="73"/>
      <c r="J797" s="73"/>
      <c r="L797" s="73"/>
    </row>
    <row r="798" spans="2:12">
      <c r="B798" s="73"/>
      <c r="C798" s="73"/>
      <c r="D798" s="73"/>
      <c r="E798" s="73"/>
      <c r="F798" s="73"/>
      <c r="G798" s="73"/>
      <c r="H798" s="73"/>
      <c r="I798" s="73"/>
      <c r="J798" s="73"/>
      <c r="L798" s="73"/>
    </row>
    <row r="799" spans="2:12">
      <c r="B799" s="73"/>
      <c r="C799" s="73"/>
      <c r="D799" s="73"/>
      <c r="E799" s="73"/>
      <c r="F799" s="73"/>
      <c r="G799" s="73"/>
      <c r="H799" s="73"/>
      <c r="I799" s="73"/>
      <c r="J799" s="73"/>
      <c r="L799" s="73"/>
    </row>
    <row r="800" spans="2:12">
      <c r="B800" s="73"/>
      <c r="C800" s="73"/>
      <c r="D800" s="73"/>
      <c r="E800" s="73"/>
      <c r="F800" s="73"/>
      <c r="G800" s="73"/>
      <c r="H800" s="73"/>
      <c r="I800" s="73"/>
      <c r="J800" s="73"/>
      <c r="L800" s="73"/>
    </row>
    <row r="801" spans="2:12">
      <c r="B801" s="73"/>
      <c r="C801" s="73"/>
      <c r="D801" s="73"/>
      <c r="E801" s="73"/>
      <c r="F801" s="73"/>
      <c r="G801" s="73"/>
      <c r="H801" s="73"/>
      <c r="I801" s="73"/>
      <c r="J801" s="73"/>
      <c r="L801" s="73"/>
    </row>
    <row r="802" spans="2:12">
      <c r="B802" s="73"/>
      <c r="C802" s="73"/>
      <c r="D802" s="73"/>
      <c r="E802" s="73"/>
      <c r="F802" s="73"/>
      <c r="G802" s="73"/>
      <c r="H802" s="73"/>
      <c r="I802" s="73"/>
      <c r="J802" s="73"/>
      <c r="L802" s="73"/>
    </row>
    <row r="803" spans="2:12">
      <c r="B803" s="73"/>
      <c r="C803" s="73"/>
      <c r="D803" s="73"/>
      <c r="E803" s="73"/>
      <c r="F803" s="73"/>
      <c r="G803" s="73"/>
      <c r="H803" s="73"/>
      <c r="I803" s="73"/>
      <c r="J803" s="73"/>
      <c r="L803" s="73"/>
    </row>
    <row r="804" spans="2:12">
      <c r="B804" s="73"/>
      <c r="C804" s="73"/>
      <c r="D804" s="73"/>
      <c r="E804" s="73"/>
      <c r="F804" s="73"/>
      <c r="G804" s="73"/>
      <c r="H804" s="73"/>
      <c r="I804" s="73"/>
      <c r="J804" s="73"/>
      <c r="L804" s="73"/>
    </row>
    <row r="805" spans="2:12">
      <c r="B805" s="73"/>
      <c r="C805" s="73"/>
      <c r="D805" s="73"/>
      <c r="E805" s="73"/>
      <c r="F805" s="73"/>
      <c r="G805" s="73"/>
      <c r="H805" s="73"/>
      <c r="I805" s="73"/>
      <c r="J805" s="73"/>
      <c r="L805" s="73"/>
    </row>
    <row r="806" spans="2:12">
      <c r="B806" s="73"/>
      <c r="C806" s="73"/>
      <c r="D806" s="73"/>
      <c r="E806" s="73"/>
      <c r="F806" s="73"/>
      <c r="G806" s="73"/>
      <c r="H806" s="73"/>
      <c r="I806" s="73"/>
      <c r="J806" s="73"/>
      <c r="L806" s="73"/>
    </row>
    <row r="807" spans="2:12">
      <c r="B807" s="73"/>
      <c r="C807" s="73"/>
      <c r="D807" s="73"/>
      <c r="E807" s="73"/>
      <c r="F807" s="73"/>
      <c r="G807" s="73"/>
      <c r="H807" s="73"/>
      <c r="I807" s="73"/>
      <c r="J807" s="73"/>
      <c r="L807" s="73"/>
    </row>
    <row r="808" spans="2:12">
      <c r="B808" s="73"/>
      <c r="C808" s="73"/>
      <c r="D808" s="73"/>
      <c r="E808" s="73"/>
      <c r="F808" s="73"/>
      <c r="G808" s="73"/>
      <c r="H808" s="73"/>
      <c r="I808" s="73"/>
      <c r="J808" s="73"/>
      <c r="L808" s="73"/>
    </row>
    <row r="809" spans="2:12">
      <c r="B809" s="73"/>
      <c r="C809" s="73"/>
      <c r="D809" s="73"/>
      <c r="E809" s="73"/>
      <c r="F809" s="73"/>
      <c r="G809" s="73"/>
      <c r="H809" s="73"/>
      <c r="I809" s="73"/>
      <c r="J809" s="73"/>
      <c r="L809" s="73"/>
    </row>
    <row r="810" spans="2:12">
      <c r="B810" s="73"/>
      <c r="C810" s="73"/>
      <c r="D810" s="73"/>
      <c r="E810" s="73"/>
      <c r="F810" s="73"/>
      <c r="G810" s="73"/>
      <c r="H810" s="73"/>
      <c r="I810" s="73"/>
      <c r="J810" s="73"/>
      <c r="L810" s="73"/>
    </row>
    <row r="811" spans="2:12">
      <c r="B811" s="73"/>
      <c r="C811" s="73"/>
      <c r="D811" s="73"/>
      <c r="E811" s="73"/>
      <c r="F811" s="73"/>
      <c r="G811" s="73"/>
      <c r="H811" s="73"/>
      <c r="I811" s="73"/>
      <c r="J811" s="73"/>
      <c r="L811" s="73"/>
    </row>
    <row r="812" spans="2:12">
      <c r="B812" s="73"/>
      <c r="C812" s="73"/>
      <c r="D812" s="73"/>
      <c r="E812" s="73"/>
      <c r="F812" s="73"/>
      <c r="G812" s="73"/>
      <c r="H812" s="73"/>
      <c r="I812" s="73"/>
      <c r="J812" s="73"/>
      <c r="L812" s="73"/>
    </row>
    <row r="813" spans="2:12">
      <c r="B813" s="73"/>
      <c r="C813" s="73"/>
      <c r="D813" s="73"/>
      <c r="E813" s="73"/>
      <c r="F813" s="73"/>
      <c r="G813" s="73"/>
      <c r="H813" s="73"/>
      <c r="I813" s="73"/>
      <c r="J813" s="73"/>
      <c r="L813" s="73"/>
    </row>
    <row r="814" spans="2:12">
      <c r="B814" s="73"/>
      <c r="C814" s="73"/>
      <c r="D814" s="73"/>
      <c r="E814" s="73"/>
      <c r="F814" s="73"/>
      <c r="G814" s="73"/>
      <c r="H814" s="73"/>
      <c r="I814" s="73"/>
      <c r="J814" s="73"/>
      <c r="L814" s="73"/>
    </row>
    <row r="815" spans="2:12">
      <c r="B815" s="73"/>
      <c r="C815" s="73"/>
      <c r="D815" s="73"/>
      <c r="E815" s="73"/>
      <c r="F815" s="73"/>
      <c r="G815" s="73"/>
      <c r="H815" s="73"/>
      <c r="I815" s="73"/>
      <c r="J815" s="73"/>
      <c r="L815" s="73"/>
    </row>
    <row r="816" spans="2:12">
      <c r="B816" s="73"/>
      <c r="C816" s="73"/>
      <c r="D816" s="73"/>
      <c r="E816" s="73"/>
      <c r="F816" s="73"/>
      <c r="G816" s="73"/>
      <c r="H816" s="73"/>
      <c r="I816" s="73"/>
      <c r="J816" s="73"/>
      <c r="L816" s="73"/>
    </row>
    <row r="817" spans="2:12">
      <c r="B817" s="73"/>
      <c r="C817" s="73"/>
      <c r="D817" s="73"/>
      <c r="E817" s="73"/>
      <c r="F817" s="73"/>
      <c r="G817" s="73"/>
      <c r="H817" s="73"/>
      <c r="I817" s="73"/>
      <c r="J817" s="73"/>
      <c r="L817" s="73"/>
    </row>
    <row r="818" spans="2:12">
      <c r="B818" s="73"/>
      <c r="C818" s="73"/>
      <c r="D818" s="73"/>
      <c r="E818" s="73"/>
      <c r="F818" s="73"/>
      <c r="G818" s="73"/>
      <c r="H818" s="73"/>
      <c r="I818" s="73"/>
      <c r="J818" s="73"/>
      <c r="L818" s="73"/>
    </row>
    <row r="819" spans="2:12">
      <c r="B819" s="73"/>
      <c r="C819" s="73"/>
      <c r="D819" s="73"/>
      <c r="E819" s="73"/>
      <c r="F819" s="73"/>
      <c r="G819" s="73"/>
      <c r="H819" s="73"/>
      <c r="I819" s="73"/>
      <c r="J819" s="73"/>
      <c r="L819" s="73"/>
    </row>
    <row r="820" spans="2:12">
      <c r="B820" s="73"/>
      <c r="C820" s="73"/>
      <c r="D820" s="73"/>
      <c r="E820" s="73"/>
      <c r="F820" s="73"/>
      <c r="G820" s="73"/>
      <c r="H820" s="73"/>
      <c r="I820" s="73"/>
      <c r="J820" s="73"/>
      <c r="L820" s="73"/>
    </row>
    <row r="821" spans="2:12">
      <c r="B821" s="73"/>
      <c r="C821" s="73"/>
      <c r="D821" s="73"/>
      <c r="E821" s="73"/>
      <c r="F821" s="73"/>
      <c r="G821" s="73"/>
      <c r="H821" s="73"/>
      <c r="I821" s="73"/>
      <c r="J821" s="73"/>
      <c r="L821" s="73"/>
    </row>
    <row r="822" spans="2:12">
      <c r="B822" s="73"/>
      <c r="C822" s="73"/>
      <c r="D822" s="73"/>
      <c r="E822" s="73"/>
      <c r="F822" s="73"/>
      <c r="G822" s="73"/>
      <c r="H822" s="73"/>
      <c r="I822" s="73"/>
      <c r="J822" s="73"/>
      <c r="L822" s="73"/>
    </row>
    <row r="823" spans="2:12">
      <c r="B823" s="73"/>
      <c r="C823" s="73"/>
      <c r="D823" s="73"/>
      <c r="E823" s="73"/>
      <c r="F823" s="73"/>
      <c r="G823" s="73"/>
      <c r="H823" s="73"/>
      <c r="I823" s="73"/>
      <c r="J823" s="73"/>
      <c r="L823" s="73"/>
    </row>
    <row r="824" spans="2:12">
      <c r="B824" s="73"/>
      <c r="C824" s="73"/>
      <c r="D824" s="73"/>
      <c r="E824" s="73"/>
      <c r="F824" s="73"/>
      <c r="G824" s="73"/>
      <c r="H824" s="73"/>
      <c r="I824" s="73"/>
      <c r="J824" s="73"/>
      <c r="L824" s="73"/>
    </row>
    <row r="825" spans="2:12">
      <c r="B825" s="73"/>
      <c r="C825" s="73"/>
      <c r="D825" s="73"/>
      <c r="E825" s="73"/>
      <c r="F825" s="73"/>
      <c r="G825" s="73"/>
      <c r="H825" s="73"/>
      <c r="I825" s="73"/>
      <c r="J825" s="73"/>
      <c r="L825" s="73"/>
    </row>
    <row r="826" spans="2:12">
      <c r="B826" s="73"/>
      <c r="C826" s="73"/>
      <c r="D826" s="73"/>
      <c r="E826" s="73"/>
      <c r="F826" s="73"/>
      <c r="G826" s="73"/>
      <c r="H826" s="73"/>
      <c r="I826" s="73"/>
      <c r="J826" s="73"/>
      <c r="L826" s="73"/>
    </row>
    <row r="827" spans="2:12">
      <c r="B827" s="73"/>
      <c r="C827" s="73"/>
      <c r="D827" s="73"/>
      <c r="E827" s="73"/>
      <c r="F827" s="73"/>
      <c r="G827" s="73"/>
      <c r="H827" s="73"/>
      <c r="I827" s="73"/>
      <c r="J827" s="73"/>
      <c r="L827" s="73"/>
    </row>
    <row r="828" spans="2:12">
      <c r="B828" s="73"/>
      <c r="C828" s="73"/>
      <c r="D828" s="73"/>
      <c r="E828" s="73"/>
      <c r="F828" s="73"/>
      <c r="G828" s="73"/>
      <c r="H828" s="73"/>
      <c r="I828" s="73"/>
      <c r="J828" s="73"/>
      <c r="L828" s="73"/>
    </row>
    <row r="829" spans="2:12">
      <c r="B829" s="73"/>
      <c r="C829" s="73"/>
      <c r="D829" s="73"/>
      <c r="E829" s="73"/>
      <c r="F829" s="73"/>
      <c r="G829" s="73"/>
      <c r="H829" s="73"/>
      <c r="I829" s="73"/>
      <c r="J829" s="73"/>
      <c r="L829" s="73"/>
    </row>
    <row r="830" spans="2:12">
      <c r="B830" s="73"/>
      <c r="C830" s="73"/>
      <c r="D830" s="73"/>
      <c r="E830" s="73"/>
      <c r="F830" s="73"/>
      <c r="G830" s="73"/>
      <c r="H830" s="73"/>
      <c r="I830" s="73"/>
      <c r="J830" s="73"/>
      <c r="L830" s="73"/>
    </row>
    <row r="831" spans="2:12">
      <c r="B831" s="73"/>
      <c r="C831" s="73"/>
      <c r="D831" s="73"/>
      <c r="E831" s="73"/>
      <c r="F831" s="73"/>
      <c r="G831" s="73"/>
      <c r="H831" s="73"/>
      <c r="I831" s="73"/>
      <c r="J831" s="73"/>
      <c r="L831" s="73"/>
    </row>
    <row r="832" spans="2:12">
      <c r="B832" s="73"/>
      <c r="C832" s="73"/>
      <c r="D832" s="73"/>
      <c r="E832" s="73"/>
      <c r="F832" s="73"/>
      <c r="G832" s="73"/>
      <c r="H832" s="73"/>
      <c r="I832" s="73"/>
      <c r="J832" s="73"/>
      <c r="L832" s="73"/>
    </row>
    <row r="833" spans="2:12">
      <c r="B833" s="73"/>
      <c r="C833" s="73"/>
      <c r="D833" s="73"/>
      <c r="E833" s="73"/>
      <c r="F833" s="73"/>
      <c r="G833" s="73"/>
      <c r="H833" s="73"/>
      <c r="I833" s="73"/>
      <c r="J833" s="73"/>
      <c r="L833" s="73"/>
    </row>
    <row r="834" spans="2:12">
      <c r="B834" s="73"/>
      <c r="C834" s="73"/>
      <c r="D834" s="73"/>
      <c r="E834" s="73"/>
      <c r="F834" s="73"/>
      <c r="G834" s="73"/>
      <c r="H834" s="73"/>
      <c r="I834" s="73"/>
      <c r="J834" s="73"/>
      <c r="L834" s="73"/>
    </row>
    <row r="835" spans="2:12">
      <c r="B835" s="73"/>
      <c r="C835" s="73"/>
      <c r="D835" s="73"/>
      <c r="E835" s="73"/>
      <c r="F835" s="73"/>
      <c r="G835" s="73"/>
      <c r="H835" s="73"/>
      <c r="I835" s="73"/>
      <c r="J835" s="73"/>
      <c r="L835" s="73"/>
    </row>
    <row r="836" spans="2:12">
      <c r="B836" s="73"/>
      <c r="C836" s="73"/>
      <c r="D836" s="73"/>
      <c r="E836" s="73"/>
      <c r="F836" s="73"/>
      <c r="G836" s="73"/>
      <c r="H836" s="73"/>
      <c r="I836" s="73"/>
      <c r="J836" s="73"/>
      <c r="L836" s="73"/>
    </row>
    <row r="837" spans="2:12">
      <c r="B837" s="73"/>
      <c r="C837" s="73"/>
      <c r="D837" s="73"/>
      <c r="E837" s="73"/>
      <c r="F837" s="73"/>
      <c r="G837" s="73"/>
      <c r="H837" s="73"/>
      <c r="I837" s="73"/>
      <c r="J837" s="73"/>
      <c r="L837" s="73"/>
    </row>
    <row r="838" spans="2:12">
      <c r="B838" s="73"/>
      <c r="C838" s="73"/>
      <c r="D838" s="73"/>
      <c r="E838" s="73"/>
      <c r="F838" s="73"/>
      <c r="G838" s="73"/>
      <c r="H838" s="73"/>
      <c r="I838" s="73"/>
      <c r="J838" s="73"/>
      <c r="L838" s="73"/>
    </row>
    <row r="839" spans="2:12">
      <c r="B839" s="73"/>
      <c r="C839" s="73"/>
      <c r="D839" s="73"/>
      <c r="E839" s="73"/>
      <c r="F839" s="73"/>
      <c r="G839" s="73"/>
      <c r="H839" s="73"/>
      <c r="I839" s="73"/>
      <c r="J839" s="73"/>
      <c r="L839" s="73"/>
    </row>
    <row r="840" spans="2:12">
      <c r="B840" s="73"/>
      <c r="C840" s="73"/>
      <c r="D840" s="73"/>
      <c r="E840" s="73"/>
      <c r="F840" s="73"/>
      <c r="G840" s="73"/>
      <c r="H840" s="73"/>
      <c r="I840" s="73"/>
      <c r="J840" s="73"/>
      <c r="L840" s="73"/>
    </row>
    <row r="841" spans="2:12">
      <c r="B841" s="73"/>
      <c r="C841" s="73"/>
      <c r="D841" s="73"/>
      <c r="E841" s="73"/>
      <c r="F841" s="73"/>
      <c r="G841" s="73"/>
      <c r="H841" s="73"/>
      <c r="I841" s="73"/>
      <c r="J841" s="73"/>
      <c r="L841" s="73"/>
    </row>
    <row r="842" spans="2:12">
      <c r="B842" s="73"/>
      <c r="C842" s="73"/>
      <c r="D842" s="73"/>
      <c r="E842" s="73"/>
      <c r="F842" s="73"/>
      <c r="G842" s="73"/>
      <c r="H842" s="73"/>
      <c r="I842" s="73"/>
      <c r="J842" s="73"/>
      <c r="L842" s="73"/>
    </row>
    <row r="843" spans="2:12">
      <c r="B843" s="73"/>
      <c r="C843" s="73"/>
      <c r="D843" s="73"/>
      <c r="E843" s="73"/>
      <c r="F843" s="73"/>
      <c r="G843" s="73"/>
      <c r="H843" s="73"/>
      <c r="I843" s="73"/>
      <c r="J843" s="73"/>
      <c r="L843" s="73"/>
    </row>
    <row r="844" spans="2:12">
      <c r="B844" s="73"/>
      <c r="C844" s="73"/>
      <c r="D844" s="73"/>
      <c r="E844" s="73"/>
      <c r="F844" s="73"/>
      <c r="G844" s="73"/>
      <c r="H844" s="73"/>
      <c r="I844" s="73"/>
      <c r="J844" s="73"/>
      <c r="L844" s="73"/>
    </row>
    <row r="845" spans="2:12">
      <c r="B845" s="73"/>
      <c r="C845" s="73"/>
      <c r="D845" s="73"/>
      <c r="E845" s="73"/>
      <c r="F845" s="73"/>
      <c r="G845" s="73"/>
      <c r="H845" s="73"/>
      <c r="I845" s="73"/>
      <c r="J845" s="73"/>
      <c r="L845" s="73"/>
    </row>
    <row r="846" spans="2:12">
      <c r="B846" s="73"/>
      <c r="C846" s="73"/>
      <c r="D846" s="73"/>
      <c r="E846" s="73"/>
      <c r="F846" s="73"/>
      <c r="G846" s="73"/>
      <c r="H846" s="73"/>
      <c r="I846" s="73"/>
      <c r="J846" s="73"/>
      <c r="L846" s="73"/>
    </row>
    <row r="847" spans="2:12">
      <c r="B847" s="73"/>
      <c r="C847" s="73"/>
      <c r="D847" s="73"/>
      <c r="E847" s="73"/>
      <c r="F847" s="73"/>
      <c r="G847" s="73"/>
      <c r="H847" s="73"/>
      <c r="I847" s="73"/>
      <c r="J847" s="73"/>
      <c r="L847" s="73"/>
    </row>
    <row r="848" spans="2:12">
      <c r="B848" s="73"/>
      <c r="C848" s="73"/>
      <c r="D848" s="73"/>
      <c r="E848" s="73"/>
      <c r="F848" s="73"/>
      <c r="G848" s="73"/>
      <c r="H848" s="73"/>
      <c r="I848" s="73"/>
      <c r="J848" s="73"/>
      <c r="L848" s="73"/>
    </row>
    <row r="849" spans="2:12">
      <c r="B849" s="73"/>
      <c r="C849" s="73"/>
      <c r="D849" s="73"/>
      <c r="E849" s="73"/>
      <c r="F849" s="73"/>
      <c r="G849" s="73"/>
      <c r="H849" s="73"/>
      <c r="I849" s="73"/>
      <c r="J849" s="73"/>
      <c r="L849" s="73"/>
    </row>
    <row r="850" spans="2:12">
      <c r="B850" s="73"/>
      <c r="C850" s="73"/>
      <c r="D850" s="73"/>
      <c r="E850" s="73"/>
      <c r="F850" s="73"/>
      <c r="G850" s="73"/>
      <c r="H850" s="73"/>
      <c r="I850" s="73"/>
      <c r="J850" s="73"/>
      <c r="L850" s="73"/>
    </row>
    <row r="851" spans="2:12">
      <c r="B851" s="73"/>
      <c r="C851" s="73"/>
      <c r="D851" s="73"/>
      <c r="E851" s="73"/>
      <c r="F851" s="73"/>
      <c r="G851" s="73"/>
      <c r="H851" s="73"/>
      <c r="I851" s="73"/>
      <c r="J851" s="73"/>
      <c r="L851" s="73"/>
    </row>
    <row r="852" spans="2:12">
      <c r="B852" s="73"/>
      <c r="C852" s="73"/>
      <c r="D852" s="73"/>
      <c r="E852" s="73"/>
      <c r="F852" s="73"/>
      <c r="G852" s="73"/>
      <c r="H852" s="73"/>
      <c r="I852" s="73"/>
      <c r="J852" s="73"/>
      <c r="L852" s="73"/>
    </row>
    <row r="853" spans="2:12">
      <c r="B853" s="73"/>
      <c r="C853" s="73"/>
      <c r="D853" s="73"/>
      <c r="E853" s="73"/>
      <c r="F853" s="73"/>
      <c r="G853" s="73"/>
      <c r="H853" s="73"/>
      <c r="I853" s="73"/>
      <c r="J853" s="73"/>
      <c r="L853" s="73"/>
    </row>
    <row r="854" spans="2:12">
      <c r="B854" s="73"/>
      <c r="C854" s="73"/>
      <c r="D854" s="73"/>
      <c r="E854" s="73"/>
      <c r="F854" s="73"/>
      <c r="G854" s="73"/>
      <c r="H854" s="73"/>
      <c r="I854" s="73"/>
      <c r="J854" s="73"/>
      <c r="L854" s="73"/>
    </row>
    <row r="855" spans="2:12">
      <c r="B855" s="73"/>
      <c r="C855" s="73"/>
      <c r="D855" s="73"/>
      <c r="E855" s="73"/>
      <c r="F855" s="73"/>
      <c r="G855" s="73"/>
      <c r="H855" s="73"/>
      <c r="I855" s="73"/>
      <c r="J855" s="73"/>
      <c r="L855" s="73"/>
    </row>
    <row r="856" spans="2:12">
      <c r="B856" s="73"/>
      <c r="C856" s="73"/>
      <c r="D856" s="73"/>
      <c r="E856" s="73"/>
      <c r="F856" s="73"/>
      <c r="G856" s="73"/>
      <c r="H856" s="73"/>
      <c r="I856" s="73"/>
      <c r="J856" s="73"/>
      <c r="L856" s="73"/>
    </row>
    <row r="857" spans="2:12">
      <c r="B857" s="73"/>
      <c r="C857" s="73"/>
      <c r="D857" s="73"/>
      <c r="E857" s="73"/>
      <c r="F857" s="73"/>
      <c r="G857" s="73"/>
      <c r="H857" s="73"/>
      <c r="I857" s="73"/>
      <c r="J857" s="73"/>
      <c r="L857" s="73"/>
    </row>
    <row r="858" spans="2:12">
      <c r="B858" s="73"/>
      <c r="C858" s="73"/>
      <c r="D858" s="73"/>
      <c r="E858" s="73"/>
      <c r="F858" s="73"/>
      <c r="G858" s="73"/>
      <c r="H858" s="73"/>
      <c r="I858" s="73"/>
      <c r="J858" s="73"/>
      <c r="L858" s="73"/>
    </row>
    <row r="859" spans="2:12">
      <c r="B859" s="73"/>
      <c r="C859" s="73"/>
      <c r="D859" s="73"/>
      <c r="E859" s="73"/>
      <c r="F859" s="73"/>
      <c r="G859" s="73"/>
      <c r="H859" s="73"/>
      <c r="I859" s="73"/>
      <c r="J859" s="73"/>
      <c r="L859" s="73"/>
    </row>
    <row r="860" spans="2:12">
      <c r="B860" s="73"/>
      <c r="C860" s="73"/>
      <c r="D860" s="73"/>
      <c r="E860" s="73"/>
      <c r="F860" s="73"/>
      <c r="G860" s="73"/>
      <c r="H860" s="73"/>
      <c r="I860" s="73"/>
      <c r="J860" s="73"/>
      <c r="L860" s="73"/>
    </row>
    <row r="861" spans="2:12">
      <c r="B861" s="73"/>
      <c r="C861" s="73"/>
      <c r="D861" s="73"/>
      <c r="E861" s="73"/>
      <c r="F861" s="73"/>
      <c r="G861" s="73"/>
      <c r="H861" s="73"/>
      <c r="I861" s="73"/>
      <c r="J861" s="73"/>
      <c r="L861" s="73"/>
    </row>
    <row r="862" spans="2:12">
      <c r="B862" s="73"/>
      <c r="C862" s="73"/>
      <c r="D862" s="73"/>
      <c r="E862" s="73"/>
      <c r="F862" s="73"/>
      <c r="G862" s="73"/>
      <c r="H862" s="73"/>
      <c r="I862" s="73"/>
      <c r="J862" s="73"/>
      <c r="L862" s="73"/>
    </row>
    <row r="863" spans="2:12">
      <c r="B863" s="73"/>
      <c r="C863" s="73"/>
      <c r="D863" s="73"/>
      <c r="E863" s="73"/>
      <c r="F863" s="73"/>
      <c r="G863" s="73"/>
      <c r="H863" s="73"/>
      <c r="I863" s="73"/>
      <c r="J863" s="73"/>
      <c r="L863" s="73"/>
    </row>
    <row r="864" spans="2:12">
      <c r="B864" s="73"/>
      <c r="C864" s="73"/>
      <c r="D864" s="73"/>
      <c r="E864" s="73"/>
      <c r="F864" s="73"/>
      <c r="G864" s="73"/>
      <c r="H864" s="73"/>
      <c r="I864" s="73"/>
      <c r="J864" s="73"/>
      <c r="L864" s="73"/>
    </row>
    <row r="865" spans="2:12">
      <c r="B865" s="73"/>
      <c r="C865" s="73"/>
      <c r="D865" s="73"/>
      <c r="E865" s="73"/>
      <c r="F865" s="73"/>
      <c r="G865" s="73"/>
      <c r="H865" s="73"/>
      <c r="I865" s="73"/>
      <c r="J865" s="73"/>
      <c r="L865" s="73"/>
    </row>
    <row r="866" spans="2:12">
      <c r="B866" s="73"/>
      <c r="C866" s="73"/>
      <c r="D866" s="73"/>
      <c r="E866" s="73"/>
      <c r="F866" s="73"/>
      <c r="G866" s="73"/>
      <c r="H866" s="73"/>
      <c r="I866" s="73"/>
      <c r="J866" s="73"/>
      <c r="L866" s="73"/>
    </row>
    <row r="867" spans="2:12">
      <c r="B867" s="73"/>
      <c r="C867" s="73"/>
      <c r="D867" s="73"/>
      <c r="E867" s="73"/>
      <c r="F867" s="73"/>
      <c r="G867" s="73"/>
      <c r="H867" s="73"/>
      <c r="I867" s="73"/>
      <c r="J867" s="73"/>
      <c r="L867" s="73"/>
    </row>
    <row r="868" spans="2:12">
      <c r="B868" s="73"/>
      <c r="C868" s="73"/>
      <c r="D868" s="73"/>
      <c r="E868" s="73"/>
      <c r="F868" s="73"/>
      <c r="G868" s="73"/>
      <c r="H868" s="73"/>
      <c r="I868" s="73"/>
      <c r="J868" s="73"/>
      <c r="L868" s="73"/>
    </row>
    <row r="869" spans="2:12">
      <c r="B869" s="73"/>
      <c r="C869" s="73"/>
      <c r="D869" s="73"/>
      <c r="E869" s="73"/>
      <c r="F869" s="73"/>
      <c r="G869" s="73"/>
      <c r="H869" s="73"/>
      <c r="I869" s="73"/>
      <c r="J869" s="73"/>
      <c r="L869" s="73"/>
    </row>
    <row r="870" spans="2:12">
      <c r="B870" s="73"/>
      <c r="C870" s="73"/>
      <c r="D870" s="73"/>
      <c r="E870" s="73"/>
      <c r="F870" s="73"/>
      <c r="G870" s="73"/>
      <c r="H870" s="73"/>
      <c r="I870" s="73"/>
      <c r="J870" s="73"/>
      <c r="L870" s="73"/>
    </row>
    <row r="871" spans="2:12">
      <c r="B871" s="73"/>
      <c r="C871" s="73"/>
      <c r="D871" s="73"/>
      <c r="E871" s="73"/>
      <c r="F871" s="73"/>
      <c r="G871" s="73"/>
      <c r="H871" s="73"/>
      <c r="I871" s="73"/>
      <c r="J871" s="73"/>
      <c r="L871" s="73"/>
    </row>
    <row r="872" spans="2:12">
      <c r="B872" s="73"/>
      <c r="C872" s="73"/>
      <c r="D872" s="73"/>
      <c r="E872" s="73"/>
      <c r="F872" s="73"/>
      <c r="G872" s="73"/>
      <c r="H872" s="73"/>
      <c r="I872" s="73"/>
      <c r="J872" s="73"/>
      <c r="L872" s="73"/>
    </row>
    <row r="873" spans="2:12">
      <c r="B873" s="73"/>
      <c r="C873" s="73"/>
      <c r="D873" s="73"/>
      <c r="E873" s="73"/>
      <c r="F873" s="73"/>
      <c r="G873" s="73"/>
      <c r="H873" s="73"/>
      <c r="I873" s="73"/>
      <c r="J873" s="73"/>
      <c r="L873" s="73"/>
    </row>
    <row r="874" spans="2:12">
      <c r="B874" s="73"/>
      <c r="C874" s="73"/>
      <c r="D874" s="73"/>
      <c r="E874" s="73"/>
      <c r="F874" s="73"/>
      <c r="G874" s="73"/>
      <c r="H874" s="73"/>
      <c r="I874" s="73"/>
      <c r="J874" s="73"/>
      <c r="L874" s="73"/>
    </row>
    <row r="875" spans="2:12">
      <c r="B875" s="73"/>
      <c r="C875" s="73"/>
      <c r="D875" s="73"/>
      <c r="E875" s="73"/>
      <c r="F875" s="73"/>
      <c r="G875" s="73"/>
      <c r="H875" s="73"/>
      <c r="I875" s="73"/>
      <c r="J875" s="73"/>
      <c r="L875" s="73"/>
    </row>
    <row r="876" spans="2:12">
      <c r="B876" s="73"/>
      <c r="C876" s="73"/>
      <c r="D876" s="73"/>
      <c r="E876" s="73"/>
      <c r="F876" s="73"/>
      <c r="G876" s="73"/>
      <c r="H876" s="73"/>
      <c r="I876" s="73"/>
      <c r="J876" s="73"/>
      <c r="L876" s="73"/>
    </row>
    <row r="877" spans="2:12">
      <c r="B877" s="73"/>
      <c r="C877" s="73"/>
      <c r="D877" s="73"/>
      <c r="E877" s="73"/>
      <c r="F877" s="73"/>
      <c r="G877" s="73"/>
      <c r="H877" s="73"/>
      <c r="I877" s="73"/>
      <c r="J877" s="73"/>
      <c r="L877" s="73"/>
    </row>
    <row r="878" spans="2:12">
      <c r="B878" s="73"/>
      <c r="C878" s="73"/>
      <c r="D878" s="73"/>
      <c r="E878" s="73"/>
      <c r="F878" s="73"/>
      <c r="G878" s="73"/>
      <c r="H878" s="73"/>
      <c r="I878" s="73"/>
      <c r="J878" s="73"/>
      <c r="L878" s="73"/>
    </row>
    <row r="879" spans="2:12">
      <c r="B879" s="73"/>
      <c r="C879" s="73"/>
      <c r="D879" s="73"/>
      <c r="E879" s="73"/>
      <c r="F879" s="73"/>
      <c r="G879" s="73"/>
      <c r="H879" s="73"/>
      <c r="I879" s="73"/>
      <c r="J879" s="73"/>
      <c r="L879" s="73"/>
    </row>
    <row r="880" spans="2:12">
      <c r="B880" s="73"/>
      <c r="C880" s="73"/>
      <c r="D880" s="73"/>
      <c r="E880" s="73"/>
      <c r="F880" s="73"/>
      <c r="G880" s="73"/>
      <c r="H880" s="73"/>
      <c r="I880" s="73"/>
      <c r="J880" s="73"/>
      <c r="L880" s="73"/>
    </row>
    <row r="881" spans="2:12">
      <c r="B881" s="73"/>
      <c r="C881" s="73"/>
      <c r="D881" s="73"/>
      <c r="E881" s="73"/>
      <c r="F881" s="73"/>
      <c r="G881" s="73"/>
      <c r="H881" s="73"/>
      <c r="I881" s="73"/>
      <c r="J881" s="73"/>
      <c r="L881" s="73"/>
    </row>
    <row r="882" spans="2:12">
      <c r="B882" s="73"/>
      <c r="C882" s="73"/>
      <c r="D882" s="73"/>
      <c r="E882" s="73"/>
      <c r="F882" s="73"/>
      <c r="G882" s="73"/>
      <c r="H882" s="73"/>
      <c r="I882" s="73"/>
      <c r="J882" s="73"/>
      <c r="L882" s="73"/>
    </row>
    <row r="883" spans="2:12">
      <c r="B883" s="73"/>
      <c r="C883" s="73"/>
      <c r="D883" s="73"/>
      <c r="E883" s="73"/>
      <c r="F883" s="73"/>
      <c r="G883" s="73"/>
      <c r="H883" s="73"/>
      <c r="I883" s="73"/>
      <c r="J883" s="73"/>
      <c r="L883" s="73"/>
    </row>
    <row r="884" spans="2:12">
      <c r="B884" s="73"/>
      <c r="C884" s="73"/>
      <c r="D884" s="73"/>
      <c r="E884" s="73"/>
      <c r="F884" s="73"/>
      <c r="G884" s="73"/>
      <c r="H884" s="73"/>
      <c r="I884" s="73"/>
      <c r="J884" s="73"/>
      <c r="L884" s="73"/>
    </row>
    <row r="885" spans="2:12">
      <c r="B885" s="73"/>
      <c r="C885" s="73"/>
      <c r="D885" s="73"/>
      <c r="E885" s="73"/>
      <c r="F885" s="73"/>
      <c r="G885" s="73"/>
      <c r="H885" s="73"/>
      <c r="I885" s="73"/>
      <c r="J885" s="73"/>
      <c r="L885" s="73"/>
    </row>
    <row r="886" spans="2:12">
      <c r="B886" s="73"/>
      <c r="C886" s="73"/>
      <c r="D886" s="73"/>
      <c r="E886" s="73"/>
      <c r="F886" s="73"/>
      <c r="G886" s="73"/>
      <c r="H886" s="73"/>
      <c r="I886" s="73"/>
      <c r="J886" s="73"/>
      <c r="L886" s="73"/>
    </row>
    <row r="887" spans="2:12">
      <c r="B887" s="73"/>
      <c r="C887" s="73"/>
      <c r="D887" s="73"/>
      <c r="E887" s="73"/>
      <c r="F887" s="73"/>
      <c r="G887" s="73"/>
      <c r="H887" s="73"/>
      <c r="I887" s="73"/>
      <c r="J887" s="73"/>
      <c r="L887" s="73"/>
    </row>
    <row r="888" spans="2:12">
      <c r="B888" s="73"/>
      <c r="C888" s="73"/>
      <c r="D888" s="73"/>
      <c r="E888" s="73"/>
      <c r="F888" s="73"/>
      <c r="G888" s="73"/>
      <c r="H888" s="73"/>
      <c r="I888" s="73"/>
      <c r="J888" s="73"/>
      <c r="L888" s="73"/>
    </row>
    <row r="889" spans="2:12">
      <c r="B889" s="73"/>
      <c r="C889" s="73"/>
      <c r="D889" s="73"/>
      <c r="E889" s="73"/>
      <c r="F889" s="73"/>
      <c r="G889" s="73"/>
      <c r="H889" s="73"/>
      <c r="I889" s="73"/>
      <c r="J889" s="73"/>
      <c r="L889" s="73"/>
    </row>
    <row r="890" spans="2:12">
      <c r="B890" s="73"/>
      <c r="C890" s="73"/>
      <c r="D890" s="73"/>
      <c r="E890" s="73"/>
      <c r="F890" s="73"/>
      <c r="G890" s="73"/>
      <c r="H890" s="73"/>
      <c r="I890" s="73"/>
      <c r="J890" s="73"/>
      <c r="L890" s="73"/>
    </row>
    <row r="891" spans="2:12">
      <c r="B891" s="73"/>
      <c r="C891" s="73"/>
      <c r="D891" s="73"/>
      <c r="E891" s="73"/>
      <c r="F891" s="73"/>
      <c r="G891" s="73"/>
      <c r="H891" s="73"/>
      <c r="I891" s="73"/>
      <c r="J891" s="73"/>
      <c r="L891" s="73"/>
    </row>
    <row r="892" spans="2:12">
      <c r="B892" s="73"/>
      <c r="C892" s="73"/>
      <c r="D892" s="73"/>
      <c r="E892" s="73"/>
      <c r="F892" s="73"/>
      <c r="G892" s="73"/>
      <c r="H892" s="73"/>
      <c r="I892" s="73"/>
      <c r="J892" s="73"/>
      <c r="L892" s="73"/>
    </row>
    <row r="893" spans="2:12">
      <c r="B893" s="73"/>
      <c r="C893" s="73"/>
      <c r="D893" s="73"/>
      <c r="E893" s="73"/>
      <c r="F893" s="73"/>
      <c r="G893" s="73"/>
      <c r="H893" s="73"/>
      <c r="I893" s="73"/>
      <c r="J893" s="73"/>
      <c r="L893" s="73"/>
    </row>
    <row r="894" spans="2:12">
      <c r="B894" s="73"/>
      <c r="C894" s="73"/>
      <c r="D894" s="73"/>
      <c r="E894" s="73"/>
      <c r="F894" s="73"/>
      <c r="G894" s="73"/>
      <c r="H894" s="73"/>
      <c r="I894" s="73"/>
      <c r="J894" s="73"/>
      <c r="L894" s="73"/>
    </row>
    <row r="895" spans="2:12">
      <c r="B895" s="73"/>
      <c r="C895" s="73"/>
      <c r="D895" s="73"/>
      <c r="E895" s="73"/>
      <c r="F895" s="73"/>
      <c r="G895" s="73"/>
      <c r="H895" s="73"/>
      <c r="I895" s="73"/>
      <c r="J895" s="73"/>
      <c r="L895" s="73"/>
    </row>
    <row r="896" spans="2:12">
      <c r="B896" s="73"/>
      <c r="C896" s="73"/>
      <c r="D896" s="73"/>
      <c r="E896" s="73"/>
      <c r="F896" s="73"/>
      <c r="G896" s="73"/>
      <c r="H896" s="73"/>
      <c r="I896" s="73"/>
      <c r="J896" s="73"/>
      <c r="L896" s="73"/>
    </row>
    <row r="897" spans="2:12">
      <c r="B897" s="73"/>
      <c r="C897" s="73"/>
      <c r="D897" s="73"/>
      <c r="E897" s="73"/>
      <c r="F897" s="73"/>
      <c r="G897" s="73"/>
      <c r="H897" s="73"/>
      <c r="I897" s="73"/>
      <c r="J897" s="73"/>
      <c r="L897" s="73"/>
    </row>
    <row r="898" spans="2:12">
      <c r="B898" s="73"/>
      <c r="C898" s="73"/>
      <c r="D898" s="73"/>
      <c r="E898" s="73"/>
      <c r="F898" s="73"/>
      <c r="G898" s="73"/>
      <c r="H898" s="73"/>
      <c r="I898" s="73"/>
      <c r="J898" s="73"/>
      <c r="L898" s="73"/>
    </row>
    <row r="899" spans="2:12">
      <c r="B899" s="73"/>
      <c r="C899" s="73"/>
      <c r="D899" s="73"/>
      <c r="E899" s="73"/>
      <c r="F899" s="73"/>
      <c r="G899" s="73"/>
      <c r="H899" s="73"/>
      <c r="I899" s="73"/>
      <c r="J899" s="73"/>
      <c r="L899" s="73"/>
    </row>
    <row r="900" spans="2:12">
      <c r="B900" s="73"/>
      <c r="C900" s="73"/>
      <c r="D900" s="73"/>
      <c r="E900" s="73"/>
      <c r="F900" s="73"/>
      <c r="G900" s="73"/>
      <c r="H900" s="73"/>
      <c r="I900" s="73"/>
      <c r="J900" s="73"/>
      <c r="L900" s="73"/>
    </row>
    <row r="901" spans="2:12">
      <c r="B901" s="73"/>
      <c r="C901" s="73"/>
      <c r="D901" s="73"/>
      <c r="E901" s="73"/>
      <c r="F901" s="73"/>
      <c r="G901" s="73"/>
      <c r="H901" s="73"/>
      <c r="I901" s="73"/>
      <c r="J901" s="73"/>
      <c r="L901" s="73"/>
    </row>
    <row r="902" spans="2:12">
      <c r="B902" s="73"/>
      <c r="C902" s="73"/>
      <c r="D902" s="73"/>
      <c r="E902" s="73"/>
      <c r="F902" s="73"/>
      <c r="G902" s="73"/>
      <c r="H902" s="73"/>
      <c r="I902" s="73"/>
      <c r="J902" s="73"/>
      <c r="L902" s="73"/>
    </row>
    <row r="903" spans="2:12">
      <c r="B903" s="73"/>
      <c r="C903" s="73"/>
      <c r="D903" s="73"/>
      <c r="E903" s="73"/>
      <c r="F903" s="73"/>
      <c r="G903" s="73"/>
      <c r="H903" s="73"/>
      <c r="I903" s="73"/>
      <c r="J903" s="73"/>
      <c r="L903" s="73"/>
    </row>
    <row r="904" spans="2:12">
      <c r="B904" s="73"/>
      <c r="C904" s="73"/>
      <c r="D904" s="73"/>
      <c r="E904" s="73"/>
      <c r="F904" s="73"/>
      <c r="G904" s="73"/>
      <c r="H904" s="73"/>
      <c r="I904" s="73"/>
      <c r="J904" s="73"/>
      <c r="L904" s="73"/>
    </row>
    <row r="905" spans="2:12">
      <c r="B905" s="73"/>
      <c r="C905" s="73"/>
      <c r="D905" s="73"/>
      <c r="E905" s="73"/>
      <c r="F905" s="73"/>
      <c r="G905" s="73"/>
      <c r="H905" s="73"/>
      <c r="I905" s="73"/>
      <c r="J905" s="73"/>
      <c r="L905" s="73"/>
    </row>
    <row r="906" spans="2:12">
      <c r="B906" s="73"/>
      <c r="C906" s="73"/>
      <c r="D906" s="73"/>
      <c r="E906" s="73"/>
      <c r="F906" s="73"/>
      <c r="G906" s="73"/>
      <c r="H906" s="73"/>
      <c r="I906" s="73"/>
      <c r="J906" s="73"/>
      <c r="L906" s="73"/>
    </row>
    <row r="907" spans="2:12">
      <c r="B907" s="73"/>
      <c r="C907" s="73"/>
      <c r="D907" s="73"/>
      <c r="E907" s="73"/>
      <c r="F907" s="73"/>
      <c r="G907" s="73"/>
      <c r="H907" s="73"/>
      <c r="I907" s="73"/>
      <c r="J907" s="73"/>
      <c r="L907" s="73"/>
    </row>
    <row r="908" spans="2:12">
      <c r="B908" s="73"/>
      <c r="C908" s="73"/>
      <c r="D908" s="73"/>
      <c r="E908" s="73"/>
      <c r="F908" s="73"/>
      <c r="G908" s="73"/>
      <c r="H908" s="73"/>
      <c r="I908" s="73"/>
      <c r="J908" s="73"/>
      <c r="L908" s="73"/>
    </row>
    <row r="909" spans="2:12">
      <c r="B909" s="73"/>
      <c r="C909" s="73"/>
      <c r="D909" s="73"/>
      <c r="E909" s="73"/>
      <c r="F909" s="73"/>
      <c r="G909" s="73"/>
      <c r="H909" s="73"/>
      <c r="I909" s="73"/>
      <c r="J909" s="73"/>
      <c r="L909" s="73"/>
    </row>
    <row r="910" spans="2:12">
      <c r="B910" s="73"/>
      <c r="C910" s="73"/>
      <c r="D910" s="73"/>
      <c r="E910" s="73"/>
      <c r="F910" s="73"/>
      <c r="G910" s="73"/>
      <c r="H910" s="73"/>
      <c r="I910" s="73"/>
      <c r="J910" s="73"/>
      <c r="L910" s="73"/>
    </row>
    <row r="911" spans="2:12">
      <c r="B911" s="73"/>
      <c r="C911" s="73"/>
      <c r="D911" s="73"/>
      <c r="E911" s="73"/>
      <c r="F911" s="73"/>
      <c r="G911" s="73"/>
      <c r="H911" s="73"/>
      <c r="I911" s="73"/>
      <c r="J911" s="73"/>
      <c r="L911" s="73"/>
    </row>
    <row r="912" spans="2:12">
      <c r="B912" s="73"/>
      <c r="C912" s="73"/>
      <c r="D912" s="73"/>
      <c r="E912" s="73"/>
      <c r="F912" s="73"/>
      <c r="G912" s="73"/>
      <c r="H912" s="73"/>
      <c r="I912" s="73"/>
      <c r="J912" s="73"/>
      <c r="L912" s="73"/>
    </row>
    <row r="913" spans="2:12">
      <c r="B913" s="73"/>
      <c r="C913" s="73"/>
      <c r="D913" s="73"/>
      <c r="E913" s="73"/>
      <c r="F913" s="73"/>
      <c r="G913" s="73"/>
      <c r="H913" s="73"/>
      <c r="I913" s="73"/>
      <c r="J913" s="73"/>
      <c r="L913" s="73"/>
    </row>
    <row r="914" spans="2:12">
      <c r="B914" s="73"/>
      <c r="C914" s="73"/>
      <c r="D914" s="73"/>
      <c r="E914" s="73"/>
      <c r="F914" s="73"/>
      <c r="G914" s="73"/>
      <c r="H914" s="73"/>
      <c r="I914" s="73"/>
      <c r="J914" s="73"/>
      <c r="L914" s="73"/>
    </row>
    <row r="915" spans="2:12">
      <c r="B915" s="73"/>
      <c r="C915" s="73"/>
      <c r="D915" s="73"/>
      <c r="E915" s="73"/>
      <c r="F915" s="73"/>
      <c r="G915" s="73"/>
      <c r="H915" s="73"/>
      <c r="I915" s="73"/>
      <c r="J915" s="73"/>
      <c r="L915" s="73"/>
    </row>
    <row r="916" spans="2:12">
      <c r="B916" s="73"/>
      <c r="C916" s="73"/>
      <c r="D916" s="73"/>
      <c r="E916" s="73"/>
      <c r="F916" s="73"/>
      <c r="G916" s="73"/>
      <c r="H916" s="73"/>
      <c r="I916" s="73"/>
      <c r="J916" s="73"/>
      <c r="L916" s="73"/>
    </row>
    <row r="917" spans="2:12">
      <c r="B917" s="73"/>
      <c r="C917" s="73"/>
      <c r="D917" s="73"/>
      <c r="E917" s="73"/>
      <c r="F917" s="73"/>
      <c r="G917" s="73"/>
      <c r="H917" s="73"/>
      <c r="I917" s="73"/>
      <c r="J917" s="73"/>
      <c r="L917" s="73"/>
    </row>
    <row r="918" spans="2:12">
      <c r="B918" s="73"/>
      <c r="C918" s="73"/>
      <c r="D918" s="73"/>
      <c r="E918" s="73"/>
      <c r="F918" s="73"/>
      <c r="G918" s="73"/>
      <c r="H918" s="73"/>
      <c r="I918" s="73"/>
      <c r="J918" s="73"/>
      <c r="L918" s="73"/>
    </row>
    <row r="919" spans="2:12">
      <c r="B919" s="73"/>
      <c r="C919" s="73"/>
      <c r="D919" s="73"/>
      <c r="E919" s="73"/>
      <c r="F919" s="73"/>
      <c r="G919" s="73"/>
      <c r="H919" s="73"/>
      <c r="I919" s="73"/>
      <c r="J919" s="73"/>
      <c r="L919" s="73"/>
    </row>
    <row r="920" spans="2:12">
      <c r="B920" s="73"/>
      <c r="C920" s="73"/>
      <c r="D920" s="73"/>
      <c r="E920" s="73"/>
      <c r="F920" s="73"/>
      <c r="G920" s="73"/>
      <c r="H920" s="73"/>
      <c r="I920" s="73"/>
      <c r="J920" s="73"/>
      <c r="L920" s="73"/>
    </row>
    <row r="921" spans="2:12">
      <c r="B921" s="73"/>
      <c r="C921" s="73"/>
      <c r="D921" s="73"/>
      <c r="E921" s="73"/>
      <c r="F921" s="73"/>
      <c r="G921" s="73"/>
      <c r="H921" s="73"/>
      <c r="I921" s="73"/>
      <c r="J921" s="73"/>
      <c r="L921" s="73"/>
    </row>
    <row r="922" spans="2:12">
      <c r="B922" s="73"/>
      <c r="C922" s="73"/>
      <c r="D922" s="73"/>
      <c r="E922" s="73"/>
      <c r="F922" s="73"/>
      <c r="G922" s="73"/>
      <c r="H922" s="73"/>
      <c r="I922" s="73"/>
      <c r="J922" s="73"/>
      <c r="L922" s="73"/>
    </row>
    <row r="923" spans="2:12">
      <c r="B923" s="73"/>
      <c r="C923" s="73"/>
      <c r="D923" s="73"/>
      <c r="E923" s="73"/>
      <c r="F923" s="73"/>
      <c r="G923" s="73"/>
      <c r="H923" s="73"/>
      <c r="I923" s="73"/>
      <c r="J923" s="73"/>
      <c r="L923" s="73"/>
    </row>
    <row r="924" spans="2:12">
      <c r="B924" s="73"/>
      <c r="C924" s="73"/>
      <c r="D924" s="73"/>
      <c r="E924" s="73"/>
      <c r="F924" s="73"/>
      <c r="G924" s="73"/>
      <c r="H924" s="73"/>
      <c r="I924" s="73"/>
      <c r="J924" s="73"/>
      <c r="L924" s="73"/>
    </row>
    <row r="925" spans="2:12">
      <c r="B925" s="73"/>
      <c r="C925" s="73"/>
      <c r="D925" s="73"/>
      <c r="E925" s="73"/>
      <c r="F925" s="73"/>
      <c r="G925" s="73"/>
      <c r="H925" s="73"/>
      <c r="I925" s="73"/>
      <c r="J925" s="73"/>
      <c r="L925" s="73"/>
    </row>
    <row r="926" spans="2:12">
      <c r="B926" s="73"/>
      <c r="C926" s="73"/>
      <c r="D926" s="73"/>
      <c r="E926" s="73"/>
      <c r="F926" s="73"/>
      <c r="G926" s="73"/>
      <c r="H926" s="73"/>
      <c r="I926" s="73"/>
      <c r="J926" s="73"/>
      <c r="L926" s="73"/>
    </row>
    <row r="927" spans="2:12">
      <c r="B927" s="73"/>
      <c r="C927" s="73"/>
      <c r="D927" s="73"/>
      <c r="E927" s="73"/>
      <c r="F927" s="73"/>
      <c r="G927" s="73"/>
      <c r="H927" s="73"/>
      <c r="I927" s="73"/>
      <c r="J927" s="73"/>
      <c r="L927" s="73"/>
    </row>
    <row r="928" spans="2:12">
      <c r="B928" s="73"/>
      <c r="C928" s="73"/>
      <c r="D928" s="73"/>
      <c r="E928" s="73"/>
      <c r="F928" s="73"/>
      <c r="G928" s="73"/>
      <c r="H928" s="73"/>
      <c r="I928" s="73"/>
      <c r="J928" s="73"/>
      <c r="L928" s="73"/>
    </row>
    <row r="929" spans="2:12">
      <c r="B929" s="73"/>
      <c r="C929" s="73"/>
      <c r="D929" s="73"/>
      <c r="E929" s="73"/>
      <c r="F929" s="73"/>
      <c r="G929" s="73"/>
      <c r="H929" s="73"/>
      <c r="I929" s="73"/>
      <c r="J929" s="73"/>
      <c r="L929" s="73"/>
    </row>
    <row r="930" spans="2:12">
      <c r="B930" s="73"/>
      <c r="C930" s="73"/>
      <c r="D930" s="73"/>
      <c r="E930" s="73"/>
      <c r="F930" s="73"/>
      <c r="G930" s="73"/>
      <c r="H930" s="73"/>
      <c r="I930" s="73"/>
      <c r="J930" s="73"/>
      <c r="L930" s="73"/>
    </row>
    <row r="931" spans="2:12">
      <c r="B931" s="73"/>
      <c r="C931" s="73"/>
      <c r="D931" s="73"/>
      <c r="E931" s="73"/>
      <c r="F931" s="73"/>
      <c r="G931" s="73"/>
      <c r="H931" s="73"/>
      <c r="I931" s="73"/>
      <c r="J931" s="73"/>
      <c r="L931" s="73"/>
    </row>
    <row r="932" spans="2:12">
      <c r="B932" s="73"/>
      <c r="C932" s="73"/>
      <c r="D932" s="73"/>
      <c r="E932" s="73"/>
      <c r="F932" s="73"/>
      <c r="G932" s="73"/>
      <c r="H932" s="73"/>
      <c r="I932" s="73"/>
      <c r="J932" s="73"/>
      <c r="L932" s="73"/>
    </row>
    <row r="933" spans="2:12">
      <c r="B933" s="73"/>
      <c r="C933" s="73"/>
      <c r="D933" s="73"/>
      <c r="E933" s="73"/>
      <c r="F933" s="73"/>
      <c r="G933" s="73"/>
      <c r="H933" s="73"/>
      <c r="I933" s="73"/>
      <c r="J933" s="73"/>
      <c r="L933" s="73"/>
    </row>
    <row r="934" spans="2:12">
      <c r="B934" s="73"/>
      <c r="C934" s="73"/>
      <c r="D934" s="73"/>
      <c r="E934" s="73"/>
      <c r="F934" s="73"/>
      <c r="G934" s="73"/>
      <c r="H934" s="73"/>
      <c r="I934" s="73"/>
      <c r="J934" s="73"/>
      <c r="L934" s="73"/>
    </row>
    <row r="935" spans="2:12">
      <c r="B935" s="73"/>
      <c r="C935" s="73"/>
      <c r="D935" s="73"/>
      <c r="E935" s="73"/>
      <c r="F935" s="73"/>
      <c r="G935" s="73"/>
      <c r="H935" s="73"/>
      <c r="I935" s="73"/>
      <c r="J935" s="73"/>
      <c r="L935" s="73"/>
    </row>
    <row r="936" spans="2:12">
      <c r="B936" s="73"/>
      <c r="C936" s="73"/>
      <c r="D936" s="73"/>
      <c r="E936" s="73"/>
      <c r="F936" s="73"/>
      <c r="G936" s="73"/>
      <c r="H936" s="73"/>
      <c r="I936" s="73"/>
      <c r="J936" s="73"/>
      <c r="L936" s="73"/>
    </row>
    <row r="937" spans="2:12">
      <c r="B937" s="73"/>
      <c r="C937" s="73"/>
      <c r="D937" s="73"/>
      <c r="E937" s="73"/>
      <c r="F937" s="73"/>
      <c r="G937" s="73"/>
      <c r="H937" s="73"/>
      <c r="I937" s="73"/>
      <c r="J937" s="73"/>
      <c r="L937" s="73"/>
    </row>
    <row r="938" spans="2:12">
      <c r="B938" s="73"/>
      <c r="C938" s="73"/>
      <c r="D938" s="73"/>
      <c r="E938" s="73"/>
      <c r="F938" s="73"/>
      <c r="G938" s="73"/>
      <c r="H938" s="73"/>
      <c r="I938" s="73"/>
      <c r="J938" s="73"/>
      <c r="L938" s="73"/>
    </row>
    <row r="939" spans="2:12">
      <c r="B939" s="73"/>
      <c r="C939" s="73"/>
      <c r="D939" s="73"/>
      <c r="E939" s="73"/>
      <c r="F939" s="73"/>
      <c r="G939" s="73"/>
      <c r="H939" s="73"/>
      <c r="I939" s="73"/>
      <c r="J939" s="73"/>
      <c r="L939" s="73"/>
    </row>
    <row r="940" spans="2:12">
      <c r="B940" s="73"/>
      <c r="C940" s="73"/>
      <c r="D940" s="73"/>
      <c r="E940" s="73"/>
      <c r="F940" s="73"/>
      <c r="G940" s="73"/>
      <c r="H940" s="73"/>
      <c r="I940" s="73"/>
      <c r="J940" s="73"/>
      <c r="L940" s="73"/>
    </row>
    <row r="941" spans="2:12">
      <c r="B941" s="73"/>
      <c r="C941" s="73"/>
      <c r="D941" s="73"/>
      <c r="E941" s="73"/>
      <c r="F941" s="73"/>
      <c r="G941" s="73"/>
      <c r="H941" s="73"/>
      <c r="I941" s="73"/>
      <c r="J941" s="73"/>
      <c r="L941" s="73"/>
    </row>
    <row r="942" spans="2:12">
      <c r="B942" s="73"/>
      <c r="C942" s="73"/>
      <c r="D942" s="73"/>
      <c r="E942" s="73"/>
      <c r="F942" s="73"/>
      <c r="G942" s="73"/>
      <c r="H942" s="73"/>
      <c r="I942" s="73"/>
      <c r="J942" s="73"/>
      <c r="L942" s="73"/>
    </row>
    <row r="943" spans="2:12">
      <c r="B943" s="73"/>
      <c r="C943" s="73"/>
      <c r="D943" s="73"/>
      <c r="E943" s="73"/>
      <c r="F943" s="73"/>
      <c r="G943" s="73"/>
      <c r="H943" s="73"/>
      <c r="I943" s="73"/>
      <c r="J943" s="73"/>
      <c r="L943" s="73"/>
    </row>
    <row r="944" spans="2:12">
      <c r="B944" s="73"/>
      <c r="C944" s="73"/>
      <c r="D944" s="73"/>
      <c r="E944" s="73"/>
      <c r="F944" s="73"/>
      <c r="G944" s="73"/>
      <c r="H944" s="73"/>
      <c r="I944" s="73"/>
      <c r="J944" s="73"/>
      <c r="L944" s="73"/>
    </row>
    <row r="945" spans="2:12">
      <c r="B945" s="73"/>
      <c r="C945" s="73"/>
      <c r="D945" s="73"/>
      <c r="E945" s="73"/>
      <c r="F945" s="73"/>
      <c r="G945" s="73"/>
      <c r="H945" s="73"/>
      <c r="I945" s="73"/>
      <c r="J945" s="73"/>
      <c r="L945" s="73"/>
    </row>
    <row r="946" spans="2:12">
      <c r="B946" s="73"/>
      <c r="C946" s="73"/>
      <c r="D946" s="73"/>
      <c r="E946" s="73"/>
      <c r="F946" s="73"/>
      <c r="G946" s="73"/>
      <c r="H946" s="73"/>
      <c r="I946" s="73"/>
      <c r="J946" s="73"/>
      <c r="L946" s="73"/>
    </row>
    <row r="947" spans="2:12">
      <c r="B947" s="73"/>
      <c r="C947" s="73"/>
      <c r="D947" s="73"/>
      <c r="E947" s="73"/>
      <c r="F947" s="73"/>
      <c r="G947" s="73"/>
      <c r="H947" s="73"/>
      <c r="I947" s="73"/>
      <c r="J947" s="73"/>
      <c r="L947" s="73"/>
    </row>
    <row r="948" spans="2:12">
      <c r="B948" s="73"/>
      <c r="C948" s="73"/>
      <c r="D948" s="73"/>
      <c r="E948" s="73"/>
      <c r="F948" s="73"/>
      <c r="G948" s="73"/>
      <c r="H948" s="73"/>
      <c r="I948" s="73"/>
      <c r="J948" s="73"/>
      <c r="L948" s="73"/>
    </row>
    <row r="949" spans="2:12">
      <c r="B949" s="73"/>
      <c r="C949" s="73"/>
      <c r="D949" s="73"/>
      <c r="E949" s="73"/>
      <c r="F949" s="73"/>
      <c r="G949" s="73"/>
      <c r="H949" s="73"/>
      <c r="I949" s="73"/>
      <c r="J949" s="73"/>
      <c r="L949" s="73"/>
    </row>
    <row r="950" spans="2:12">
      <c r="B950" s="73"/>
      <c r="C950" s="73"/>
      <c r="D950" s="73"/>
      <c r="E950" s="73"/>
      <c r="F950" s="73"/>
      <c r="G950" s="73"/>
      <c r="H950" s="73"/>
      <c r="I950" s="73"/>
      <c r="J950" s="73"/>
      <c r="L950" s="73"/>
    </row>
    <row r="951" spans="2:12">
      <c r="B951" s="73"/>
      <c r="C951" s="73"/>
      <c r="D951" s="73"/>
      <c r="E951" s="73"/>
      <c r="F951" s="73"/>
      <c r="G951" s="73"/>
      <c r="H951" s="73"/>
      <c r="I951" s="73"/>
      <c r="J951" s="73"/>
      <c r="L951" s="73"/>
    </row>
    <row r="952" spans="2:12">
      <c r="B952" s="73"/>
      <c r="C952" s="73"/>
      <c r="D952" s="73"/>
      <c r="E952" s="73"/>
      <c r="F952" s="73"/>
      <c r="G952" s="73"/>
      <c r="H952" s="73"/>
      <c r="I952" s="73"/>
      <c r="J952" s="73"/>
      <c r="L952" s="73"/>
    </row>
    <row r="953" spans="2:12">
      <c r="B953" s="73"/>
      <c r="C953" s="73"/>
      <c r="D953" s="73"/>
      <c r="E953" s="73"/>
      <c r="F953" s="73"/>
      <c r="G953" s="73"/>
      <c r="H953" s="73"/>
      <c r="I953" s="73"/>
      <c r="J953" s="73"/>
      <c r="L953" s="73"/>
    </row>
    <row r="954" spans="2:12">
      <c r="B954" s="73"/>
      <c r="C954" s="73"/>
      <c r="D954" s="73"/>
      <c r="E954" s="73"/>
      <c r="F954" s="73"/>
      <c r="G954" s="73"/>
      <c r="H954" s="73"/>
      <c r="I954" s="73"/>
      <c r="J954" s="73"/>
      <c r="L954" s="73"/>
    </row>
    <row r="955" spans="2:12">
      <c r="B955" s="73"/>
      <c r="C955" s="73"/>
      <c r="D955" s="73"/>
      <c r="E955" s="73"/>
      <c r="F955" s="73"/>
      <c r="G955" s="73"/>
      <c r="H955" s="73"/>
      <c r="I955" s="73"/>
      <c r="J955" s="73"/>
      <c r="L955" s="73"/>
    </row>
    <row r="956" spans="2:12">
      <c r="B956" s="73"/>
      <c r="C956" s="73"/>
      <c r="D956" s="73"/>
      <c r="E956" s="73"/>
      <c r="F956" s="73"/>
      <c r="G956" s="73"/>
      <c r="H956" s="73"/>
      <c r="I956" s="73"/>
      <c r="J956" s="73"/>
      <c r="L956" s="73"/>
    </row>
    <row r="957" spans="2:12">
      <c r="B957" s="73"/>
      <c r="C957" s="73"/>
      <c r="D957" s="73"/>
      <c r="E957" s="73"/>
      <c r="F957" s="73"/>
      <c r="G957" s="73"/>
      <c r="H957" s="73"/>
      <c r="I957" s="73"/>
      <c r="J957" s="73"/>
      <c r="L957" s="73"/>
    </row>
    <row r="958" spans="2:12">
      <c r="B958" s="73"/>
      <c r="C958" s="73"/>
      <c r="D958" s="73"/>
      <c r="E958" s="73"/>
      <c r="F958" s="73"/>
      <c r="G958" s="73"/>
      <c r="H958" s="73"/>
      <c r="I958" s="73"/>
      <c r="J958" s="73"/>
      <c r="L958" s="73"/>
    </row>
    <row r="959" spans="2:12">
      <c r="B959" s="73"/>
      <c r="C959" s="73"/>
      <c r="D959" s="73"/>
      <c r="E959" s="73"/>
      <c r="F959" s="73"/>
      <c r="G959" s="73"/>
      <c r="H959" s="73"/>
      <c r="I959" s="73"/>
      <c r="J959" s="73"/>
      <c r="L959" s="73"/>
    </row>
    <row r="960" spans="2:12">
      <c r="B960" s="73"/>
      <c r="C960" s="73"/>
      <c r="D960" s="73"/>
      <c r="E960" s="73"/>
      <c r="F960" s="73"/>
      <c r="G960" s="73"/>
      <c r="H960" s="73"/>
      <c r="I960" s="73"/>
      <c r="J960" s="73"/>
      <c r="L960" s="73"/>
    </row>
    <row r="961" spans="2:12">
      <c r="B961" s="73"/>
      <c r="C961" s="73"/>
      <c r="D961" s="73"/>
      <c r="E961" s="73"/>
      <c r="F961" s="73"/>
      <c r="G961" s="73"/>
      <c r="H961" s="73"/>
      <c r="I961" s="73"/>
      <c r="J961" s="73"/>
      <c r="L961" s="73"/>
    </row>
    <row r="962" spans="2:12">
      <c r="B962" s="73"/>
      <c r="C962" s="73"/>
      <c r="D962" s="73"/>
      <c r="E962" s="73"/>
      <c r="F962" s="73"/>
      <c r="G962" s="73"/>
      <c r="H962" s="73"/>
      <c r="I962" s="73"/>
      <c r="J962" s="73"/>
      <c r="L962" s="73"/>
    </row>
    <row r="963" spans="2:12">
      <c r="B963" s="73"/>
      <c r="C963" s="73"/>
      <c r="D963" s="73"/>
      <c r="E963" s="73"/>
      <c r="F963" s="73"/>
      <c r="G963" s="73"/>
      <c r="H963" s="73"/>
      <c r="I963" s="73"/>
      <c r="J963" s="73"/>
      <c r="L963" s="73"/>
    </row>
    <row r="964" spans="2:12">
      <c r="B964" s="73"/>
      <c r="C964" s="73"/>
      <c r="D964" s="73"/>
      <c r="E964" s="73"/>
      <c r="F964" s="73"/>
      <c r="G964" s="73"/>
      <c r="H964" s="73"/>
      <c r="I964" s="73"/>
      <c r="J964" s="73"/>
      <c r="L964" s="73"/>
    </row>
    <row r="965" spans="2:12">
      <c r="B965" s="73"/>
      <c r="C965" s="73"/>
      <c r="D965" s="73"/>
      <c r="E965" s="73"/>
      <c r="F965" s="73"/>
      <c r="G965" s="73"/>
      <c r="H965" s="73"/>
      <c r="I965" s="73"/>
      <c r="J965" s="73"/>
      <c r="L965" s="73"/>
    </row>
    <row r="966" spans="2:12">
      <c r="B966" s="73"/>
      <c r="C966" s="73"/>
      <c r="D966" s="73"/>
      <c r="E966" s="73"/>
      <c r="F966" s="73"/>
      <c r="G966" s="73"/>
      <c r="H966" s="73"/>
      <c r="I966" s="73"/>
      <c r="J966" s="73"/>
      <c r="L966" s="73"/>
    </row>
    <row r="967" spans="2:12">
      <c r="B967" s="73"/>
      <c r="C967" s="73"/>
      <c r="D967" s="73"/>
      <c r="E967" s="73"/>
      <c r="F967" s="73"/>
      <c r="G967" s="73"/>
      <c r="H967" s="73"/>
      <c r="I967" s="73"/>
      <c r="J967" s="73"/>
      <c r="L967" s="73"/>
    </row>
    <row r="968" spans="2:12">
      <c r="B968" s="73"/>
      <c r="C968" s="73"/>
      <c r="D968" s="73"/>
      <c r="E968" s="73"/>
      <c r="F968" s="73"/>
      <c r="G968" s="73"/>
      <c r="H968" s="73"/>
      <c r="I968" s="73"/>
      <c r="J968" s="73"/>
      <c r="L968" s="73"/>
    </row>
    <row r="969" spans="2:12">
      <c r="B969" s="73"/>
      <c r="C969" s="73"/>
      <c r="D969" s="73"/>
      <c r="E969" s="73"/>
      <c r="F969" s="73"/>
      <c r="G969" s="73"/>
      <c r="H969" s="73"/>
      <c r="I969" s="73"/>
      <c r="J969" s="73"/>
      <c r="L969" s="73"/>
    </row>
    <row r="970" spans="2:12">
      <c r="B970" s="73"/>
      <c r="C970" s="73"/>
      <c r="D970" s="73"/>
      <c r="E970" s="73"/>
      <c r="F970" s="73"/>
      <c r="G970" s="73"/>
      <c r="H970" s="73"/>
      <c r="I970" s="73"/>
      <c r="J970" s="73"/>
      <c r="L970" s="73"/>
    </row>
    <row r="971" spans="2:12">
      <c r="B971" s="73"/>
      <c r="C971" s="73"/>
      <c r="D971" s="73"/>
      <c r="E971" s="73"/>
      <c r="F971" s="73"/>
      <c r="G971" s="73"/>
      <c r="H971" s="73"/>
      <c r="I971" s="73"/>
      <c r="J971" s="73"/>
      <c r="L971" s="73"/>
    </row>
    <row r="972" spans="2:12">
      <c r="B972" s="73"/>
      <c r="C972" s="73"/>
      <c r="D972" s="73"/>
      <c r="E972" s="73"/>
      <c r="F972" s="73"/>
      <c r="G972" s="73"/>
      <c r="H972" s="73"/>
      <c r="I972" s="73"/>
      <c r="J972" s="73"/>
      <c r="L972" s="73"/>
    </row>
    <row r="973" spans="2:12">
      <c r="B973" s="73"/>
      <c r="C973" s="73"/>
      <c r="D973" s="73"/>
      <c r="E973" s="73"/>
      <c r="F973" s="73"/>
      <c r="G973" s="73"/>
      <c r="H973" s="73"/>
      <c r="I973" s="73"/>
      <c r="J973" s="73"/>
      <c r="L973" s="73"/>
    </row>
    <row r="974" spans="2:12">
      <c r="B974" s="73"/>
      <c r="C974" s="73"/>
      <c r="D974" s="73"/>
      <c r="E974" s="73"/>
      <c r="F974" s="73"/>
      <c r="G974" s="73"/>
      <c r="H974" s="73"/>
      <c r="I974" s="73"/>
      <c r="J974" s="73"/>
      <c r="L974" s="73"/>
    </row>
    <row r="975" spans="2:12">
      <c r="B975" s="73"/>
      <c r="C975" s="73"/>
      <c r="D975" s="73"/>
      <c r="E975" s="73"/>
      <c r="F975" s="73"/>
      <c r="G975" s="73"/>
      <c r="H975" s="73"/>
      <c r="I975" s="73"/>
      <c r="J975" s="73"/>
      <c r="L975" s="73"/>
    </row>
    <row r="976" spans="2:12">
      <c r="B976" s="73"/>
      <c r="C976" s="73"/>
      <c r="D976" s="73"/>
      <c r="E976" s="73"/>
      <c r="F976" s="73"/>
      <c r="G976" s="73"/>
      <c r="H976" s="73"/>
      <c r="I976" s="73"/>
      <c r="J976" s="73"/>
      <c r="L976" s="73"/>
    </row>
    <row r="977" spans="2:12">
      <c r="B977" s="73"/>
      <c r="C977" s="73"/>
      <c r="D977" s="73"/>
      <c r="E977" s="73"/>
      <c r="F977" s="73"/>
      <c r="G977" s="73"/>
      <c r="H977" s="73"/>
      <c r="I977" s="73"/>
      <c r="J977" s="73"/>
      <c r="L977" s="73"/>
    </row>
    <row r="978" spans="2:12">
      <c r="B978" s="73"/>
      <c r="C978" s="73"/>
      <c r="D978" s="73"/>
      <c r="E978" s="73"/>
      <c r="F978" s="73"/>
      <c r="G978" s="73"/>
      <c r="H978" s="73"/>
      <c r="I978" s="73"/>
      <c r="J978" s="73"/>
      <c r="L978" s="73"/>
    </row>
    <row r="979" spans="2:12">
      <c r="B979" s="73"/>
      <c r="C979" s="73"/>
      <c r="D979" s="73"/>
      <c r="E979" s="73"/>
      <c r="F979" s="73"/>
      <c r="G979" s="73"/>
      <c r="H979" s="73"/>
      <c r="I979" s="73"/>
      <c r="J979" s="73"/>
      <c r="L979" s="73"/>
    </row>
    <row r="980" spans="2:12">
      <c r="B980" s="73"/>
      <c r="C980" s="73"/>
      <c r="D980" s="73"/>
      <c r="E980" s="73"/>
      <c r="F980" s="73"/>
      <c r="G980" s="73"/>
      <c r="H980" s="73"/>
      <c r="I980" s="73"/>
      <c r="J980" s="73"/>
      <c r="L980" s="73"/>
    </row>
    <row r="981" spans="2:12">
      <c r="B981" s="73"/>
      <c r="C981" s="73"/>
      <c r="D981" s="73"/>
      <c r="E981" s="73"/>
      <c r="F981" s="73"/>
      <c r="G981" s="73"/>
      <c r="H981" s="73"/>
      <c r="I981" s="73"/>
      <c r="J981" s="73"/>
      <c r="L981" s="73"/>
    </row>
    <row r="982" spans="2:12">
      <c r="B982" s="73"/>
      <c r="C982" s="73"/>
      <c r="D982" s="73"/>
      <c r="E982" s="73"/>
      <c r="F982" s="73"/>
      <c r="G982" s="73"/>
      <c r="H982" s="73"/>
      <c r="I982" s="73"/>
      <c r="J982" s="73"/>
      <c r="L982" s="73"/>
    </row>
    <row r="983" spans="2:12">
      <c r="B983" s="73"/>
      <c r="C983" s="73"/>
      <c r="D983" s="73"/>
      <c r="E983" s="73"/>
      <c r="F983" s="73"/>
      <c r="G983" s="73"/>
      <c r="H983" s="73"/>
      <c r="I983" s="73"/>
      <c r="J983" s="73"/>
      <c r="L983" s="73"/>
    </row>
    <row r="984" spans="2:12">
      <c r="B984" s="73"/>
      <c r="C984" s="73"/>
      <c r="D984" s="73"/>
      <c r="E984" s="73"/>
      <c r="F984" s="73"/>
      <c r="G984" s="73"/>
      <c r="H984" s="73"/>
      <c r="I984" s="73"/>
      <c r="J984" s="73"/>
      <c r="L984" s="73"/>
    </row>
    <row r="985" spans="2:12">
      <c r="B985" s="73"/>
      <c r="C985" s="73"/>
      <c r="D985" s="73"/>
      <c r="E985" s="73"/>
      <c r="F985" s="73"/>
      <c r="G985" s="73"/>
      <c r="H985" s="73"/>
      <c r="I985" s="73"/>
      <c r="J985" s="73"/>
      <c r="L985" s="73"/>
    </row>
    <row r="986" spans="2:12">
      <c r="B986" s="73"/>
      <c r="C986" s="73"/>
      <c r="D986" s="73"/>
      <c r="E986" s="73"/>
      <c r="F986" s="73"/>
      <c r="G986" s="73"/>
      <c r="H986" s="73"/>
      <c r="I986" s="73"/>
      <c r="J986" s="73"/>
      <c r="L986" s="73"/>
    </row>
    <row r="987" spans="2:12">
      <c r="B987" s="73"/>
      <c r="C987" s="73"/>
      <c r="D987" s="73"/>
      <c r="E987" s="73"/>
      <c r="F987" s="73"/>
      <c r="G987" s="73"/>
      <c r="H987" s="73"/>
      <c r="I987" s="73"/>
      <c r="J987" s="73"/>
      <c r="L987" s="73"/>
    </row>
    <row r="988" spans="2:12">
      <c r="B988" s="73"/>
      <c r="C988" s="73"/>
      <c r="D988" s="73"/>
      <c r="E988" s="73"/>
      <c r="F988" s="73"/>
      <c r="G988" s="73"/>
      <c r="H988" s="73"/>
      <c r="I988" s="73"/>
      <c r="J988" s="73"/>
      <c r="L988" s="73"/>
    </row>
    <row r="989" spans="2:12">
      <c r="B989" s="73"/>
      <c r="C989" s="73"/>
      <c r="D989" s="73"/>
      <c r="E989" s="73"/>
      <c r="F989" s="73"/>
      <c r="G989" s="73"/>
      <c r="H989" s="73"/>
      <c r="I989" s="73"/>
      <c r="J989" s="73"/>
      <c r="L989" s="73"/>
    </row>
    <row r="990" spans="2:12">
      <c r="B990" s="73"/>
      <c r="C990" s="73"/>
      <c r="D990" s="73"/>
      <c r="E990" s="73"/>
      <c r="F990" s="73"/>
      <c r="G990" s="73"/>
      <c r="H990" s="73"/>
      <c r="I990" s="73"/>
      <c r="J990" s="73"/>
      <c r="L990" s="73"/>
    </row>
    <row r="991" spans="2:12">
      <c r="B991" s="73"/>
      <c r="C991" s="73"/>
      <c r="D991" s="73"/>
      <c r="E991" s="73"/>
      <c r="F991" s="73"/>
      <c r="G991" s="73"/>
      <c r="H991" s="73"/>
      <c r="I991" s="73"/>
      <c r="J991" s="73"/>
      <c r="L991" s="73"/>
    </row>
    <row r="992" spans="2:12">
      <c r="B992" s="73"/>
      <c r="C992" s="73"/>
      <c r="D992" s="73"/>
      <c r="E992" s="73"/>
      <c r="F992" s="73"/>
      <c r="G992" s="73"/>
      <c r="H992" s="73"/>
      <c r="I992" s="73"/>
      <c r="J992" s="73"/>
      <c r="L992" s="73"/>
    </row>
    <row r="993" spans="2:12">
      <c r="B993" s="73"/>
      <c r="C993" s="73"/>
      <c r="D993" s="73"/>
      <c r="E993" s="73"/>
      <c r="F993" s="73"/>
      <c r="G993" s="73"/>
      <c r="H993" s="73"/>
      <c r="I993" s="73"/>
      <c r="J993" s="73"/>
      <c r="L993" s="73"/>
    </row>
    <row r="994" spans="2:12">
      <c r="B994" s="73"/>
      <c r="C994" s="73"/>
      <c r="D994" s="73"/>
      <c r="E994" s="73"/>
      <c r="F994" s="73"/>
      <c r="G994" s="73"/>
      <c r="H994" s="73"/>
      <c r="I994" s="73"/>
      <c r="J994" s="73"/>
      <c r="L994" s="73"/>
    </row>
    <row r="995" spans="2:12">
      <c r="B995" s="73"/>
      <c r="C995" s="73"/>
      <c r="D995" s="73"/>
      <c r="E995" s="73"/>
      <c r="F995" s="73"/>
      <c r="G995" s="73"/>
      <c r="H995" s="73"/>
      <c r="I995" s="73"/>
      <c r="J995" s="73"/>
      <c r="L995" s="73"/>
    </row>
    <row r="996" spans="2:12">
      <c r="B996" s="73"/>
      <c r="C996" s="73"/>
      <c r="D996" s="73"/>
      <c r="E996" s="73"/>
      <c r="F996" s="73"/>
      <c r="G996" s="73"/>
      <c r="H996" s="73"/>
      <c r="I996" s="73"/>
      <c r="J996" s="73"/>
      <c r="L996" s="73"/>
    </row>
    <row r="997" spans="2:12">
      <c r="B997" s="73"/>
      <c r="C997" s="73"/>
      <c r="D997" s="73"/>
      <c r="E997" s="73"/>
      <c r="F997" s="73"/>
      <c r="G997" s="73"/>
      <c r="H997" s="73"/>
      <c r="I997" s="73"/>
      <c r="J997" s="73"/>
      <c r="L997" s="73"/>
    </row>
    <row r="998" spans="2:12">
      <c r="B998" s="73"/>
      <c r="C998" s="73"/>
      <c r="D998" s="73"/>
      <c r="E998" s="73"/>
      <c r="F998" s="73"/>
      <c r="G998" s="73"/>
      <c r="H998" s="73"/>
      <c r="I998" s="73"/>
      <c r="J998" s="73"/>
      <c r="L998" s="73"/>
    </row>
    <row r="999" spans="2:12">
      <c r="B999" s="73"/>
      <c r="C999" s="73"/>
      <c r="D999" s="73"/>
      <c r="E999" s="73"/>
      <c r="F999" s="73"/>
      <c r="G999" s="73"/>
      <c r="H999" s="73"/>
      <c r="I999" s="73"/>
      <c r="J999" s="73"/>
      <c r="L999" s="73"/>
    </row>
    <row r="1000" spans="2:12">
      <c r="B1000" s="73"/>
      <c r="C1000" s="73"/>
      <c r="D1000" s="73"/>
      <c r="E1000" s="73"/>
      <c r="F1000" s="73"/>
      <c r="G1000" s="73"/>
      <c r="H1000" s="73"/>
      <c r="I1000" s="73"/>
      <c r="J1000" s="73"/>
      <c r="L1000" s="73"/>
    </row>
    <row r="1001" spans="2:12">
      <c r="B1001" s="73"/>
      <c r="C1001" s="73"/>
      <c r="D1001" s="73"/>
      <c r="E1001" s="73"/>
      <c r="F1001" s="73"/>
      <c r="G1001" s="73"/>
      <c r="H1001" s="73"/>
      <c r="I1001" s="73"/>
      <c r="J1001" s="73"/>
      <c r="L1001" s="73"/>
    </row>
    <row r="1002" spans="2:12">
      <c r="B1002" s="73"/>
      <c r="C1002" s="73"/>
      <c r="D1002" s="73"/>
      <c r="E1002" s="73"/>
      <c r="F1002" s="73"/>
      <c r="G1002" s="73"/>
      <c r="H1002" s="73"/>
      <c r="I1002" s="73"/>
      <c r="J1002" s="73"/>
      <c r="L1002" s="73"/>
    </row>
    <row r="1003" spans="2:12">
      <c r="B1003" s="73"/>
      <c r="C1003" s="73"/>
      <c r="D1003" s="73"/>
      <c r="E1003" s="73"/>
      <c r="F1003" s="73"/>
      <c r="G1003" s="73"/>
      <c r="H1003" s="73"/>
      <c r="I1003" s="73"/>
      <c r="J1003" s="73"/>
      <c r="L1003" s="73"/>
    </row>
    <row r="1004" spans="2:12">
      <c r="B1004" s="73"/>
      <c r="C1004" s="73"/>
      <c r="D1004" s="73"/>
      <c r="E1004" s="73"/>
      <c r="F1004" s="73"/>
      <c r="G1004" s="73"/>
      <c r="H1004" s="73"/>
      <c r="I1004" s="73"/>
      <c r="J1004" s="73"/>
      <c r="L1004" s="73"/>
    </row>
    <row r="1005" spans="2:12">
      <c r="B1005" s="73"/>
      <c r="C1005" s="73"/>
      <c r="D1005" s="73"/>
      <c r="E1005" s="73"/>
      <c r="F1005" s="73"/>
      <c r="G1005" s="73"/>
      <c r="H1005" s="73"/>
      <c r="I1005" s="73"/>
      <c r="J1005" s="73"/>
      <c r="L1005" s="73"/>
    </row>
    <row r="1006" spans="2:12">
      <c r="B1006" s="73"/>
      <c r="C1006" s="73"/>
      <c r="D1006" s="73"/>
      <c r="E1006" s="73"/>
      <c r="F1006" s="73"/>
      <c r="G1006" s="73"/>
      <c r="H1006" s="73"/>
      <c r="I1006" s="73"/>
      <c r="J1006" s="73"/>
      <c r="L1006" s="73"/>
    </row>
    <row r="1007" spans="2:12">
      <c r="B1007" s="73"/>
      <c r="C1007" s="73"/>
      <c r="D1007" s="73"/>
      <c r="E1007" s="73"/>
      <c r="F1007" s="73"/>
      <c r="G1007" s="73"/>
      <c r="H1007" s="73"/>
      <c r="I1007" s="73"/>
      <c r="J1007" s="73"/>
      <c r="L1007" s="73"/>
    </row>
    <row r="1008" spans="2:12">
      <c r="B1008" s="73"/>
      <c r="C1008" s="73"/>
      <c r="D1008" s="73"/>
      <c r="E1008" s="73"/>
      <c r="F1008" s="73"/>
      <c r="G1008" s="73"/>
      <c r="H1008" s="73"/>
      <c r="I1008" s="73"/>
      <c r="J1008" s="73"/>
      <c r="L1008" s="73"/>
    </row>
    <row r="1009" spans="2:12">
      <c r="B1009" s="73"/>
      <c r="C1009" s="73"/>
      <c r="D1009" s="73"/>
      <c r="E1009" s="73"/>
      <c r="F1009" s="73"/>
      <c r="G1009" s="73"/>
      <c r="H1009" s="73"/>
      <c r="I1009" s="73"/>
      <c r="J1009" s="73"/>
      <c r="L1009" s="73"/>
    </row>
    <row r="1010" spans="2:12">
      <c r="B1010" s="73"/>
      <c r="C1010" s="73"/>
      <c r="D1010" s="73"/>
      <c r="E1010" s="73"/>
      <c r="F1010" s="73"/>
      <c r="G1010" s="73"/>
      <c r="H1010" s="73"/>
      <c r="I1010" s="73"/>
      <c r="J1010" s="73"/>
      <c r="L1010" s="73"/>
    </row>
    <row r="1011" spans="2:12">
      <c r="B1011" s="73"/>
      <c r="C1011" s="73"/>
      <c r="D1011" s="73"/>
      <c r="E1011" s="73"/>
      <c r="F1011" s="73"/>
      <c r="G1011" s="73"/>
      <c r="H1011" s="73"/>
      <c r="I1011" s="73"/>
      <c r="J1011" s="73"/>
      <c r="L1011" s="73"/>
    </row>
    <row r="1012" spans="2:12">
      <c r="B1012" s="73"/>
      <c r="C1012" s="73"/>
      <c r="D1012" s="73"/>
      <c r="E1012" s="73"/>
      <c r="F1012" s="73"/>
      <c r="G1012" s="73"/>
      <c r="H1012" s="73"/>
      <c r="I1012" s="73"/>
      <c r="J1012" s="73"/>
      <c r="L1012" s="73"/>
    </row>
    <row r="1013" spans="2:12">
      <c r="B1013" s="73"/>
      <c r="C1013" s="73"/>
      <c r="D1013" s="73"/>
      <c r="E1013" s="73"/>
      <c r="F1013" s="73"/>
      <c r="G1013" s="73"/>
      <c r="H1013" s="73"/>
      <c r="I1013" s="73"/>
      <c r="J1013" s="73"/>
      <c r="L1013" s="73"/>
    </row>
    <row r="1014" spans="2:12">
      <c r="B1014" s="73"/>
      <c r="C1014" s="73"/>
      <c r="D1014" s="73"/>
      <c r="E1014" s="73"/>
      <c r="F1014" s="73"/>
      <c r="G1014" s="73"/>
      <c r="H1014" s="73"/>
      <c r="I1014" s="73"/>
      <c r="J1014" s="73"/>
      <c r="L1014" s="73"/>
    </row>
    <row r="1015" spans="2:12">
      <c r="B1015" s="73"/>
      <c r="C1015" s="73"/>
      <c r="D1015" s="73"/>
      <c r="E1015" s="73"/>
      <c r="F1015" s="73"/>
      <c r="G1015" s="73"/>
      <c r="H1015" s="73"/>
      <c r="I1015" s="73"/>
      <c r="J1015" s="73"/>
      <c r="L1015" s="73"/>
    </row>
    <row r="1016" spans="2:12">
      <c r="B1016" s="73"/>
      <c r="C1016" s="73"/>
      <c r="D1016" s="73"/>
      <c r="E1016" s="73"/>
      <c r="F1016" s="73"/>
      <c r="G1016" s="73"/>
      <c r="H1016" s="73"/>
      <c r="I1016" s="73"/>
      <c r="J1016" s="73"/>
      <c r="L1016" s="73"/>
    </row>
    <row r="1017" spans="2:12">
      <c r="B1017" s="73"/>
      <c r="C1017" s="73"/>
      <c r="D1017" s="73"/>
      <c r="E1017" s="73"/>
      <c r="F1017" s="73"/>
      <c r="G1017" s="73"/>
      <c r="H1017" s="73"/>
      <c r="I1017" s="73"/>
      <c r="J1017" s="73"/>
      <c r="L1017" s="73"/>
    </row>
    <row r="1018" spans="2:12">
      <c r="B1018" s="73"/>
      <c r="C1018" s="73"/>
      <c r="D1018" s="73"/>
      <c r="E1018" s="73"/>
      <c r="F1018" s="73"/>
      <c r="G1018" s="73"/>
      <c r="H1018" s="73"/>
      <c r="I1018" s="73"/>
      <c r="J1018" s="73"/>
      <c r="L1018" s="73"/>
    </row>
    <row r="1019" spans="2:12">
      <c r="B1019" s="73"/>
      <c r="C1019" s="73"/>
      <c r="D1019" s="73"/>
      <c r="E1019" s="73"/>
      <c r="F1019" s="73"/>
      <c r="G1019" s="73"/>
      <c r="H1019" s="73"/>
      <c r="I1019" s="73"/>
      <c r="J1019" s="73"/>
      <c r="L1019" s="73"/>
    </row>
    <row r="1020" spans="2:12">
      <c r="B1020" s="73"/>
      <c r="C1020" s="73"/>
      <c r="D1020" s="73"/>
      <c r="E1020" s="73"/>
      <c r="F1020" s="73"/>
      <c r="G1020" s="73"/>
      <c r="H1020" s="73"/>
      <c r="I1020" s="73"/>
      <c r="J1020" s="73"/>
      <c r="L1020" s="73"/>
    </row>
    <row r="1021" spans="2:12">
      <c r="B1021" s="73"/>
      <c r="C1021" s="73"/>
      <c r="D1021" s="73"/>
      <c r="E1021" s="73"/>
      <c r="F1021" s="73"/>
      <c r="G1021" s="73"/>
      <c r="H1021" s="73"/>
      <c r="I1021" s="73"/>
      <c r="J1021" s="73"/>
      <c r="L1021" s="73"/>
    </row>
    <row r="1022" spans="2:12">
      <c r="B1022" s="73"/>
      <c r="C1022" s="73"/>
      <c r="D1022" s="73"/>
      <c r="E1022" s="73"/>
      <c r="F1022" s="73"/>
      <c r="G1022" s="73"/>
      <c r="H1022" s="73"/>
      <c r="I1022" s="73"/>
      <c r="J1022" s="73"/>
      <c r="L1022" s="73"/>
    </row>
    <row r="1023" spans="2:12">
      <c r="B1023" s="73"/>
      <c r="C1023" s="73"/>
      <c r="D1023" s="73"/>
      <c r="E1023" s="73"/>
      <c r="F1023" s="73"/>
      <c r="G1023" s="73"/>
      <c r="H1023" s="73"/>
      <c r="I1023" s="73"/>
      <c r="J1023" s="73"/>
      <c r="L1023" s="73"/>
    </row>
    <row r="1024" spans="2:12">
      <c r="B1024" s="73"/>
      <c r="C1024" s="73"/>
      <c r="D1024" s="73"/>
      <c r="E1024" s="73"/>
      <c r="F1024" s="73"/>
      <c r="G1024" s="73"/>
      <c r="H1024" s="73"/>
      <c r="I1024" s="73"/>
      <c r="J1024" s="73"/>
      <c r="L1024" s="73"/>
    </row>
    <row r="1025" spans="2:12">
      <c r="B1025" s="73"/>
      <c r="C1025" s="73"/>
      <c r="D1025" s="73"/>
      <c r="E1025" s="73"/>
      <c r="F1025" s="73"/>
      <c r="G1025" s="73"/>
      <c r="H1025" s="73"/>
      <c r="I1025" s="73"/>
      <c r="J1025" s="73"/>
      <c r="L1025" s="73"/>
    </row>
    <row r="1026" spans="2:12">
      <c r="B1026" s="73"/>
      <c r="C1026" s="73"/>
      <c r="D1026" s="73"/>
      <c r="E1026" s="73"/>
      <c r="F1026" s="73"/>
      <c r="G1026" s="73"/>
      <c r="H1026" s="73"/>
      <c r="I1026" s="73"/>
      <c r="J1026" s="73"/>
      <c r="L1026" s="73"/>
    </row>
    <row r="1027" spans="2:12">
      <c r="B1027" s="73"/>
      <c r="C1027" s="73"/>
      <c r="D1027" s="73"/>
      <c r="E1027" s="73"/>
      <c r="F1027" s="73"/>
      <c r="G1027" s="73"/>
      <c r="H1027" s="73"/>
      <c r="I1027" s="73"/>
      <c r="J1027" s="73"/>
      <c r="L1027" s="73"/>
    </row>
    <row r="1028" spans="2:12">
      <c r="B1028" s="73"/>
      <c r="C1028" s="73"/>
      <c r="D1028" s="73"/>
      <c r="E1028" s="73"/>
      <c r="F1028" s="73"/>
      <c r="G1028" s="73"/>
      <c r="H1028" s="73"/>
      <c r="I1028" s="73"/>
      <c r="J1028" s="73"/>
      <c r="L1028" s="73"/>
    </row>
    <row r="1029" spans="2:12">
      <c r="B1029" s="73"/>
      <c r="C1029" s="73"/>
      <c r="D1029" s="73"/>
      <c r="E1029" s="73"/>
      <c r="F1029" s="73"/>
      <c r="G1029" s="73"/>
      <c r="H1029" s="73"/>
      <c r="I1029" s="73"/>
      <c r="J1029" s="73"/>
      <c r="L1029" s="73"/>
    </row>
    <row r="1030" spans="2:12">
      <c r="B1030" s="73"/>
      <c r="C1030" s="73"/>
      <c r="D1030" s="73"/>
      <c r="E1030" s="73"/>
      <c r="F1030" s="73"/>
      <c r="G1030" s="73"/>
      <c r="H1030" s="73"/>
      <c r="I1030" s="73"/>
      <c r="J1030" s="73"/>
      <c r="L1030" s="73"/>
    </row>
    <row r="1031" spans="2:12">
      <c r="B1031" s="73"/>
      <c r="C1031" s="73"/>
      <c r="D1031" s="73"/>
      <c r="E1031" s="73"/>
      <c r="F1031" s="73"/>
      <c r="G1031" s="73"/>
      <c r="H1031" s="73"/>
      <c r="I1031" s="73"/>
      <c r="J1031" s="73"/>
      <c r="L1031" s="73"/>
    </row>
    <row r="1032" spans="2:12">
      <c r="B1032" s="73"/>
      <c r="C1032" s="73"/>
      <c r="D1032" s="73"/>
      <c r="E1032" s="73"/>
      <c r="F1032" s="73"/>
      <c r="G1032" s="73"/>
      <c r="H1032" s="73"/>
      <c r="I1032" s="73"/>
      <c r="J1032" s="73"/>
      <c r="L1032" s="73"/>
    </row>
    <row r="1033" spans="2:12">
      <c r="B1033" s="73"/>
      <c r="C1033" s="73"/>
      <c r="D1033" s="73"/>
      <c r="E1033" s="73"/>
      <c r="F1033" s="73"/>
      <c r="G1033" s="73"/>
      <c r="H1033" s="73"/>
      <c r="I1033" s="73"/>
      <c r="J1033" s="73"/>
      <c r="L1033" s="73"/>
    </row>
    <row r="1034" spans="2:12">
      <c r="B1034" s="73"/>
      <c r="C1034" s="73"/>
      <c r="D1034" s="73"/>
      <c r="E1034" s="73"/>
      <c r="F1034" s="73"/>
      <c r="G1034" s="73"/>
      <c r="H1034" s="73"/>
      <c r="I1034" s="73"/>
      <c r="J1034" s="73"/>
      <c r="L1034" s="73"/>
    </row>
    <row r="1035" spans="2:12">
      <c r="B1035" s="73"/>
      <c r="C1035" s="73"/>
      <c r="D1035" s="73"/>
      <c r="E1035" s="73"/>
      <c r="F1035" s="73"/>
      <c r="G1035" s="73"/>
      <c r="H1035" s="73"/>
      <c r="I1035" s="73"/>
      <c r="J1035" s="73"/>
      <c r="L1035" s="73"/>
    </row>
    <row r="1036" spans="2:12">
      <c r="B1036" s="73"/>
      <c r="C1036" s="73"/>
      <c r="D1036" s="73"/>
      <c r="E1036" s="73"/>
      <c r="F1036" s="73"/>
      <c r="G1036" s="73"/>
      <c r="H1036" s="73"/>
      <c r="I1036" s="73"/>
      <c r="J1036" s="73"/>
      <c r="L1036" s="73"/>
    </row>
    <row r="1037" spans="2:12">
      <c r="B1037" s="73"/>
      <c r="C1037" s="73"/>
      <c r="D1037" s="73"/>
      <c r="E1037" s="73"/>
      <c r="F1037" s="73"/>
      <c r="G1037" s="73"/>
      <c r="H1037" s="73"/>
      <c r="I1037" s="73"/>
      <c r="J1037" s="73"/>
      <c r="L1037" s="73"/>
    </row>
    <row r="1038" spans="2:12">
      <c r="B1038" s="73"/>
      <c r="C1038" s="73"/>
      <c r="D1038" s="73"/>
      <c r="E1038" s="73"/>
      <c r="F1038" s="73"/>
      <c r="G1038" s="73"/>
      <c r="H1038" s="73"/>
      <c r="I1038" s="73"/>
      <c r="J1038" s="73"/>
      <c r="L1038" s="73"/>
    </row>
    <row r="1039" spans="2:12">
      <c r="B1039" s="73"/>
      <c r="C1039" s="73"/>
      <c r="D1039" s="73"/>
      <c r="E1039" s="73"/>
      <c r="F1039" s="73"/>
      <c r="G1039" s="73"/>
      <c r="H1039" s="73"/>
      <c r="I1039" s="73"/>
      <c r="J1039" s="73"/>
      <c r="L1039" s="73"/>
    </row>
    <row r="1040" spans="2:12">
      <c r="B1040" s="73"/>
      <c r="C1040" s="73"/>
      <c r="D1040" s="73"/>
      <c r="E1040" s="73"/>
      <c r="F1040" s="73"/>
      <c r="G1040" s="73"/>
      <c r="H1040" s="73"/>
      <c r="I1040" s="73"/>
      <c r="J1040" s="73"/>
      <c r="L1040" s="73"/>
    </row>
    <row r="1041" spans="2:12">
      <c r="B1041" s="73"/>
      <c r="C1041" s="73"/>
      <c r="D1041" s="73"/>
      <c r="E1041" s="73"/>
      <c r="F1041" s="73"/>
      <c r="G1041" s="73"/>
      <c r="H1041" s="73"/>
      <c r="I1041" s="73"/>
      <c r="J1041" s="73"/>
      <c r="L1041" s="73"/>
    </row>
    <row r="1042" spans="2:12">
      <c r="B1042" s="73"/>
      <c r="C1042" s="73"/>
      <c r="D1042" s="73"/>
      <c r="E1042" s="73"/>
      <c r="F1042" s="73"/>
      <c r="G1042" s="73"/>
      <c r="H1042" s="73"/>
      <c r="I1042" s="73"/>
      <c r="J1042" s="73"/>
      <c r="L1042" s="73"/>
    </row>
    <row r="1043" spans="2:12">
      <c r="B1043" s="73"/>
      <c r="C1043" s="73"/>
      <c r="D1043" s="73"/>
      <c r="E1043" s="73"/>
      <c r="F1043" s="73"/>
      <c r="G1043" s="73"/>
      <c r="H1043" s="73"/>
      <c r="I1043" s="73"/>
      <c r="J1043" s="73"/>
      <c r="L1043" s="73"/>
    </row>
    <row r="1044" spans="2:12">
      <c r="B1044" s="73"/>
      <c r="C1044" s="73"/>
      <c r="D1044" s="73"/>
      <c r="E1044" s="73"/>
      <c r="F1044" s="73"/>
      <c r="G1044" s="73"/>
      <c r="H1044" s="73"/>
      <c r="I1044" s="73"/>
      <c r="J1044" s="73"/>
      <c r="L1044" s="73"/>
    </row>
    <row r="1045" spans="2:12">
      <c r="B1045" s="73"/>
      <c r="C1045" s="73"/>
      <c r="D1045" s="73"/>
      <c r="E1045" s="73"/>
      <c r="F1045" s="73"/>
      <c r="G1045" s="73"/>
      <c r="H1045" s="73"/>
      <c r="I1045" s="73"/>
      <c r="J1045" s="73"/>
      <c r="L1045" s="73"/>
    </row>
    <row r="1046" spans="2:12">
      <c r="B1046" s="73"/>
      <c r="C1046" s="73"/>
      <c r="D1046" s="73"/>
      <c r="E1046" s="73"/>
      <c r="F1046" s="73"/>
      <c r="G1046" s="73"/>
      <c r="H1046" s="73"/>
      <c r="I1046" s="73"/>
      <c r="J1046" s="73"/>
      <c r="L1046" s="73"/>
    </row>
    <row r="1047" spans="2:12">
      <c r="B1047" s="73"/>
      <c r="C1047" s="73"/>
      <c r="D1047" s="73"/>
      <c r="E1047" s="73"/>
      <c r="F1047" s="73"/>
      <c r="G1047" s="73"/>
      <c r="H1047" s="73"/>
      <c r="I1047" s="73"/>
      <c r="J1047" s="73"/>
      <c r="L1047" s="73"/>
    </row>
    <row r="1048" spans="2:12">
      <c r="B1048" s="73"/>
      <c r="C1048" s="73"/>
      <c r="D1048" s="73"/>
      <c r="E1048" s="73"/>
      <c r="F1048" s="73"/>
      <c r="G1048" s="73"/>
      <c r="H1048" s="73"/>
      <c r="I1048" s="73"/>
      <c r="J1048" s="73"/>
      <c r="L1048" s="73"/>
    </row>
    <row r="1049" spans="2:12">
      <c r="B1049" s="73"/>
      <c r="C1049" s="73"/>
      <c r="D1049" s="73"/>
      <c r="E1049" s="73"/>
      <c r="F1049" s="73"/>
      <c r="G1049" s="73"/>
      <c r="H1049" s="73"/>
      <c r="I1049" s="73"/>
      <c r="J1049" s="73"/>
      <c r="L1049" s="73"/>
    </row>
    <row r="1050" spans="2:12">
      <c r="B1050" s="73"/>
      <c r="C1050" s="73"/>
      <c r="D1050" s="73"/>
      <c r="E1050" s="73"/>
      <c r="F1050" s="73"/>
      <c r="G1050" s="73"/>
      <c r="H1050" s="73"/>
      <c r="I1050" s="73"/>
      <c r="J1050" s="73"/>
      <c r="L1050" s="73"/>
    </row>
    <row r="1051" spans="2:12">
      <c r="B1051" s="73"/>
      <c r="C1051" s="73"/>
      <c r="D1051" s="73"/>
      <c r="E1051" s="73"/>
      <c r="F1051" s="73"/>
      <c r="G1051" s="73"/>
      <c r="H1051" s="73"/>
      <c r="I1051" s="73"/>
      <c r="J1051" s="73"/>
      <c r="L1051" s="73"/>
    </row>
    <row r="1052" spans="2:12">
      <c r="B1052" s="73"/>
      <c r="C1052" s="73"/>
      <c r="D1052" s="73"/>
      <c r="E1052" s="73"/>
      <c r="F1052" s="73"/>
      <c r="G1052" s="73"/>
      <c r="H1052" s="73"/>
      <c r="I1052" s="73"/>
      <c r="J1052" s="73"/>
      <c r="L1052" s="73"/>
    </row>
    <row r="1053" spans="2:12">
      <c r="B1053" s="73"/>
      <c r="C1053" s="73"/>
      <c r="D1053" s="73"/>
      <c r="E1053" s="73"/>
      <c r="F1053" s="73"/>
      <c r="G1053" s="73"/>
      <c r="H1053" s="73"/>
      <c r="I1053" s="73"/>
      <c r="J1053" s="73"/>
      <c r="L1053" s="73"/>
    </row>
    <row r="1054" spans="2:12">
      <c r="B1054" s="73"/>
      <c r="C1054" s="73"/>
      <c r="D1054" s="73"/>
      <c r="E1054" s="73"/>
      <c r="F1054" s="73"/>
      <c r="G1054" s="73"/>
      <c r="H1054" s="73"/>
      <c r="I1054" s="73"/>
      <c r="J1054" s="73"/>
      <c r="L1054" s="73"/>
    </row>
    <row r="1055" spans="2:12">
      <c r="B1055" s="73"/>
      <c r="C1055" s="73"/>
      <c r="D1055" s="73"/>
      <c r="E1055" s="73"/>
      <c r="F1055" s="73"/>
      <c r="G1055" s="73"/>
      <c r="H1055" s="73"/>
      <c r="I1055" s="73"/>
      <c r="J1055" s="73"/>
      <c r="L1055" s="73"/>
    </row>
    <row r="1056" spans="2:12">
      <c r="B1056" s="73"/>
      <c r="C1056" s="73"/>
      <c r="D1056" s="73"/>
      <c r="E1056" s="73"/>
      <c r="F1056" s="73"/>
      <c r="G1056" s="73"/>
      <c r="H1056" s="73"/>
      <c r="I1056" s="73"/>
      <c r="J1056" s="73"/>
      <c r="L1056" s="73"/>
    </row>
    <row r="1057" spans="2:12">
      <c r="B1057" s="73"/>
      <c r="C1057" s="73"/>
      <c r="D1057" s="73"/>
      <c r="E1057" s="73"/>
      <c r="F1057" s="73"/>
      <c r="G1057" s="73"/>
      <c r="H1057" s="73"/>
      <c r="I1057" s="73"/>
      <c r="J1057" s="73"/>
      <c r="L1057" s="73"/>
    </row>
    <row r="1058" spans="2:12">
      <c r="B1058" s="73"/>
      <c r="C1058" s="73"/>
      <c r="D1058" s="73"/>
      <c r="E1058" s="73"/>
      <c r="F1058" s="73"/>
      <c r="G1058" s="73"/>
      <c r="H1058" s="73"/>
      <c r="I1058" s="73"/>
      <c r="J1058" s="73"/>
      <c r="L1058" s="73"/>
    </row>
    <row r="1059" spans="2:12">
      <c r="B1059" s="73"/>
      <c r="C1059" s="73"/>
      <c r="D1059" s="73"/>
      <c r="E1059" s="73"/>
      <c r="F1059" s="73"/>
      <c r="G1059" s="73"/>
      <c r="H1059" s="73"/>
      <c r="I1059" s="73"/>
      <c r="J1059" s="73"/>
      <c r="L1059" s="73"/>
    </row>
    <row r="1060" spans="2:12">
      <c r="B1060" s="73"/>
      <c r="C1060" s="73"/>
      <c r="D1060" s="73"/>
      <c r="E1060" s="73"/>
      <c r="F1060" s="73"/>
      <c r="G1060" s="73"/>
      <c r="H1060" s="73"/>
      <c r="I1060" s="73"/>
      <c r="J1060" s="73"/>
      <c r="L1060" s="73"/>
    </row>
    <row r="1061" spans="2:12">
      <c r="B1061" s="73"/>
      <c r="C1061" s="73"/>
      <c r="D1061" s="73"/>
      <c r="E1061" s="73"/>
      <c r="F1061" s="73"/>
      <c r="G1061" s="73"/>
      <c r="H1061" s="73"/>
      <c r="I1061" s="73"/>
      <c r="J1061" s="73"/>
      <c r="L1061" s="73"/>
    </row>
    <row r="1062" spans="2:12">
      <c r="B1062" s="73"/>
      <c r="C1062" s="73"/>
      <c r="D1062" s="73"/>
      <c r="E1062" s="73"/>
      <c r="F1062" s="73"/>
      <c r="G1062" s="73"/>
      <c r="H1062" s="73"/>
      <c r="I1062" s="73"/>
      <c r="J1062" s="73"/>
      <c r="L1062" s="73"/>
    </row>
    <row r="1063" spans="2:12">
      <c r="B1063" s="73"/>
      <c r="C1063" s="73"/>
      <c r="D1063" s="73"/>
      <c r="E1063" s="73"/>
      <c r="F1063" s="73"/>
      <c r="G1063" s="73"/>
      <c r="H1063" s="73"/>
      <c r="I1063" s="73"/>
      <c r="J1063" s="73"/>
      <c r="L1063" s="73"/>
    </row>
    <row r="1064" spans="2:12">
      <c r="B1064" s="73"/>
      <c r="C1064" s="73"/>
      <c r="D1064" s="73"/>
      <c r="E1064" s="73"/>
      <c r="F1064" s="73"/>
      <c r="G1064" s="73"/>
      <c r="H1064" s="73"/>
      <c r="I1064" s="73"/>
      <c r="J1064" s="73"/>
      <c r="L1064" s="73"/>
    </row>
    <row r="1065" spans="2:12">
      <c r="B1065" s="73"/>
      <c r="C1065" s="73"/>
      <c r="D1065" s="73"/>
      <c r="E1065" s="73"/>
      <c r="F1065" s="73"/>
      <c r="G1065" s="73"/>
      <c r="H1065" s="73"/>
      <c r="I1065" s="73"/>
      <c r="J1065" s="73"/>
      <c r="L1065" s="73"/>
    </row>
    <row r="1066" spans="2:12">
      <c r="B1066" s="73"/>
      <c r="C1066" s="73"/>
      <c r="D1066" s="73"/>
      <c r="E1066" s="73"/>
      <c r="F1066" s="73"/>
      <c r="G1066" s="73"/>
      <c r="H1066" s="73"/>
      <c r="I1066" s="73"/>
      <c r="J1066" s="73"/>
      <c r="L1066" s="73"/>
    </row>
    <row r="1067" spans="2:12">
      <c r="B1067" s="73"/>
      <c r="C1067" s="73"/>
      <c r="D1067" s="73"/>
      <c r="E1067" s="73"/>
      <c r="F1067" s="73"/>
      <c r="G1067" s="73"/>
      <c r="H1067" s="73"/>
      <c r="I1067" s="73"/>
      <c r="J1067" s="73"/>
      <c r="L1067" s="73"/>
    </row>
    <row r="1068" spans="2:12">
      <c r="B1068" s="73"/>
      <c r="C1068" s="73"/>
      <c r="D1068" s="73"/>
      <c r="E1068" s="73"/>
      <c r="F1068" s="73"/>
      <c r="G1068" s="73"/>
      <c r="H1068" s="73"/>
      <c r="I1068" s="73"/>
      <c r="J1068" s="73"/>
      <c r="L1068" s="73"/>
    </row>
    <row r="1069" spans="2:12">
      <c r="B1069" s="73"/>
      <c r="C1069" s="73"/>
      <c r="D1069" s="73"/>
      <c r="E1069" s="73"/>
      <c r="F1069" s="73"/>
      <c r="G1069" s="73"/>
      <c r="H1069" s="73"/>
      <c r="I1069" s="73"/>
      <c r="J1069" s="73"/>
      <c r="L1069" s="73"/>
    </row>
    <row r="1070" spans="2:12">
      <c r="B1070" s="73"/>
      <c r="C1070" s="73"/>
      <c r="D1070" s="73"/>
      <c r="E1070" s="73"/>
      <c r="F1070" s="73"/>
      <c r="G1070" s="73"/>
      <c r="H1070" s="73"/>
      <c r="I1070" s="73"/>
      <c r="J1070" s="73"/>
      <c r="L1070" s="73"/>
    </row>
    <row r="1071" spans="2:12">
      <c r="B1071" s="73"/>
      <c r="C1071" s="73"/>
      <c r="D1071" s="73"/>
      <c r="E1071" s="73"/>
      <c r="F1071" s="73"/>
      <c r="G1071" s="73"/>
      <c r="H1071" s="73"/>
      <c r="I1071" s="73"/>
      <c r="J1071" s="73"/>
      <c r="L1071" s="73"/>
    </row>
    <row r="1072" spans="2:12">
      <c r="B1072" s="73"/>
      <c r="C1072" s="73"/>
      <c r="D1072" s="73"/>
      <c r="E1072" s="73"/>
      <c r="F1072" s="73"/>
      <c r="G1072" s="73"/>
      <c r="H1072" s="73"/>
      <c r="I1072" s="73"/>
      <c r="J1072" s="73"/>
      <c r="L1072" s="73"/>
    </row>
    <row r="1073" spans="2:12">
      <c r="B1073" s="73"/>
      <c r="C1073" s="73"/>
      <c r="D1073" s="73"/>
      <c r="E1073" s="73"/>
      <c r="F1073" s="73"/>
      <c r="G1073" s="73"/>
      <c r="H1073" s="73"/>
      <c r="I1073" s="73"/>
      <c r="J1073" s="73"/>
      <c r="L1073" s="73"/>
    </row>
    <row r="1074" spans="2:12">
      <c r="B1074" s="73"/>
      <c r="C1074" s="73"/>
      <c r="D1074" s="73"/>
      <c r="E1074" s="73"/>
      <c r="F1074" s="73"/>
      <c r="G1074" s="73"/>
      <c r="H1074" s="73"/>
      <c r="I1074" s="73"/>
      <c r="J1074" s="73"/>
      <c r="L1074" s="73"/>
    </row>
    <row r="1075" spans="2:12">
      <c r="B1075" s="73"/>
      <c r="C1075" s="73"/>
      <c r="D1075" s="73"/>
      <c r="E1075" s="73"/>
      <c r="F1075" s="73"/>
      <c r="G1075" s="73"/>
      <c r="H1075" s="73"/>
      <c r="I1075" s="73"/>
      <c r="J1075" s="73"/>
      <c r="L1075" s="73"/>
    </row>
    <row r="1076" spans="2:12">
      <c r="B1076" s="73"/>
      <c r="C1076" s="73"/>
      <c r="D1076" s="73"/>
      <c r="E1076" s="73"/>
      <c r="F1076" s="73"/>
      <c r="G1076" s="73"/>
      <c r="H1076" s="73"/>
      <c r="I1076" s="73"/>
      <c r="J1076" s="73"/>
      <c r="L1076" s="73"/>
    </row>
    <row r="1077" spans="2:12">
      <c r="B1077" s="73"/>
      <c r="C1077" s="73"/>
      <c r="D1077" s="73"/>
      <c r="E1077" s="73"/>
      <c r="F1077" s="73"/>
      <c r="G1077" s="73"/>
      <c r="H1077" s="73"/>
      <c r="I1077" s="73"/>
      <c r="J1077" s="73"/>
      <c r="L1077" s="73"/>
    </row>
    <row r="1078" spans="2:12">
      <c r="B1078" s="73"/>
      <c r="C1078" s="73"/>
      <c r="D1078" s="73"/>
      <c r="E1078" s="73"/>
      <c r="F1078" s="73"/>
      <c r="G1078" s="73"/>
      <c r="H1078" s="73"/>
      <c r="I1078" s="73"/>
      <c r="J1078" s="73"/>
      <c r="L1078" s="73"/>
    </row>
    <row r="1079" spans="2:12">
      <c r="B1079" s="73"/>
      <c r="C1079" s="73"/>
      <c r="D1079" s="73"/>
      <c r="E1079" s="73"/>
      <c r="F1079" s="73"/>
      <c r="G1079" s="73"/>
      <c r="H1079" s="73"/>
      <c r="I1079" s="73"/>
      <c r="J1079" s="73"/>
      <c r="L1079" s="73"/>
    </row>
    <row r="1080" spans="2:12">
      <c r="B1080" s="73"/>
      <c r="C1080" s="73"/>
      <c r="D1080" s="73"/>
      <c r="E1080" s="73"/>
      <c r="F1080" s="73"/>
      <c r="G1080" s="73"/>
      <c r="H1080" s="73"/>
      <c r="I1080" s="73"/>
      <c r="J1080" s="73"/>
      <c r="L1080" s="73"/>
    </row>
    <row r="1081" spans="2:12">
      <c r="B1081" s="73"/>
      <c r="C1081" s="73"/>
      <c r="D1081" s="73"/>
      <c r="E1081" s="73"/>
      <c r="F1081" s="73"/>
      <c r="G1081" s="73"/>
      <c r="H1081" s="73"/>
      <c r="I1081" s="73"/>
      <c r="J1081" s="73"/>
      <c r="L1081" s="73"/>
    </row>
    <row r="1082" spans="2:12">
      <c r="B1082" s="73"/>
      <c r="C1082" s="73"/>
      <c r="D1082" s="73"/>
      <c r="E1082" s="73"/>
      <c r="F1082" s="73"/>
      <c r="G1082" s="73"/>
      <c r="H1082" s="73"/>
      <c r="I1082" s="73"/>
      <c r="J1082" s="73"/>
      <c r="L1082" s="73"/>
    </row>
    <row r="1083" spans="2:12">
      <c r="B1083" s="73"/>
      <c r="C1083" s="73"/>
      <c r="D1083" s="73"/>
      <c r="E1083" s="73"/>
      <c r="F1083" s="73"/>
      <c r="G1083" s="73"/>
      <c r="H1083" s="73"/>
      <c r="I1083" s="73"/>
      <c r="J1083" s="73"/>
      <c r="L1083" s="73"/>
    </row>
    <row r="1084" spans="2:12">
      <c r="B1084" s="73"/>
      <c r="C1084" s="73"/>
      <c r="D1084" s="73"/>
      <c r="E1084" s="73"/>
      <c r="F1084" s="73"/>
      <c r="G1084" s="73"/>
      <c r="H1084" s="73"/>
      <c r="I1084" s="73"/>
      <c r="J1084" s="73"/>
      <c r="L1084" s="73"/>
    </row>
    <row r="1085" spans="2:12">
      <c r="B1085" s="73"/>
      <c r="C1085" s="73"/>
      <c r="D1085" s="73"/>
      <c r="E1085" s="73"/>
      <c r="F1085" s="73"/>
      <c r="G1085" s="73"/>
      <c r="H1085" s="73"/>
      <c r="I1085" s="73"/>
      <c r="J1085" s="73"/>
      <c r="L1085" s="73"/>
    </row>
    <row r="1086" spans="2:12">
      <c r="B1086" s="73"/>
      <c r="C1086" s="73"/>
      <c r="D1086" s="73"/>
      <c r="E1086" s="73"/>
      <c r="F1086" s="73"/>
      <c r="G1086" s="73"/>
      <c r="H1086" s="73"/>
      <c r="I1086" s="73"/>
      <c r="J1086" s="73"/>
      <c r="L1086" s="73"/>
    </row>
    <row r="1087" spans="2:12">
      <c r="B1087" s="73"/>
      <c r="C1087" s="73"/>
      <c r="D1087" s="73"/>
      <c r="E1087" s="73"/>
      <c r="F1087" s="73"/>
      <c r="G1087" s="73"/>
      <c r="H1087" s="73"/>
      <c r="I1087" s="73"/>
      <c r="J1087" s="73"/>
      <c r="L1087" s="73"/>
    </row>
    <row r="1088" spans="2:12">
      <c r="B1088" s="73"/>
      <c r="C1088" s="73"/>
      <c r="D1088" s="73"/>
      <c r="E1088" s="73"/>
      <c r="F1088" s="73"/>
      <c r="G1088" s="73"/>
      <c r="H1088" s="73"/>
      <c r="I1088" s="73"/>
      <c r="J1088" s="73"/>
      <c r="L1088" s="73"/>
    </row>
    <row r="1089" spans="2:12">
      <c r="B1089" s="73"/>
      <c r="C1089" s="73"/>
      <c r="D1089" s="73"/>
      <c r="E1089" s="73"/>
      <c r="F1089" s="73"/>
      <c r="G1089" s="73"/>
      <c r="H1089" s="73"/>
      <c r="I1089" s="73"/>
      <c r="J1089" s="73"/>
      <c r="L1089" s="73"/>
    </row>
    <row r="1090" spans="2:12">
      <c r="B1090" s="73"/>
      <c r="C1090" s="73"/>
      <c r="D1090" s="73"/>
      <c r="E1090" s="73"/>
      <c r="F1090" s="73"/>
      <c r="G1090" s="73"/>
      <c r="H1090" s="73"/>
      <c r="I1090" s="73"/>
      <c r="J1090" s="73"/>
      <c r="L1090" s="73"/>
    </row>
    <row r="1091" spans="2:12">
      <c r="B1091" s="73"/>
      <c r="C1091" s="73"/>
      <c r="D1091" s="73"/>
      <c r="E1091" s="73"/>
      <c r="F1091" s="73"/>
      <c r="G1091" s="73"/>
      <c r="H1091" s="73"/>
      <c r="I1091" s="73"/>
      <c r="J1091" s="73"/>
      <c r="L1091" s="73"/>
    </row>
    <row r="1092" spans="2:12">
      <c r="B1092" s="73"/>
      <c r="C1092" s="73"/>
      <c r="D1092" s="73"/>
      <c r="E1092" s="73"/>
      <c r="F1092" s="73"/>
      <c r="G1092" s="73"/>
      <c r="H1092" s="73"/>
      <c r="I1092" s="73"/>
      <c r="J1092" s="73"/>
      <c r="L1092" s="73"/>
    </row>
    <row r="1093" spans="2:12">
      <c r="B1093" s="73"/>
      <c r="C1093" s="73"/>
      <c r="D1093" s="73"/>
      <c r="E1093" s="73"/>
      <c r="F1093" s="73"/>
      <c r="G1093" s="73"/>
      <c r="H1093" s="73"/>
      <c r="I1093" s="73"/>
      <c r="J1093" s="73"/>
      <c r="L1093" s="73"/>
    </row>
    <row r="1094" spans="2:12">
      <c r="B1094" s="73"/>
      <c r="C1094" s="73"/>
      <c r="D1094" s="73"/>
      <c r="E1094" s="73"/>
      <c r="F1094" s="73"/>
      <c r="G1094" s="73"/>
      <c r="H1094" s="73"/>
      <c r="I1094" s="73"/>
      <c r="J1094" s="73"/>
      <c r="L1094" s="73"/>
    </row>
    <row r="1095" spans="2:12">
      <c r="B1095" s="73"/>
      <c r="C1095" s="73"/>
      <c r="D1095" s="73"/>
      <c r="E1095" s="73"/>
      <c r="F1095" s="73"/>
      <c r="G1095" s="73"/>
      <c r="H1095" s="73"/>
      <c r="I1095" s="73"/>
      <c r="J1095" s="73"/>
      <c r="L1095" s="73"/>
    </row>
    <row r="1096" spans="2:12">
      <c r="B1096" s="73"/>
      <c r="C1096" s="73"/>
      <c r="D1096" s="73"/>
      <c r="E1096" s="73"/>
      <c r="F1096" s="73"/>
      <c r="G1096" s="73"/>
      <c r="H1096" s="73"/>
      <c r="I1096" s="73"/>
      <c r="J1096" s="73"/>
      <c r="L1096" s="73"/>
    </row>
    <row r="1097" spans="2:12">
      <c r="B1097" s="73"/>
      <c r="C1097" s="73"/>
      <c r="D1097" s="73"/>
      <c r="E1097" s="73"/>
      <c r="F1097" s="73"/>
      <c r="G1097" s="73"/>
      <c r="H1097" s="73"/>
      <c r="I1097" s="73"/>
      <c r="J1097" s="73"/>
      <c r="L1097" s="73"/>
    </row>
    <row r="1098" spans="2:12">
      <c r="B1098" s="73"/>
      <c r="C1098" s="73"/>
      <c r="D1098" s="73"/>
      <c r="E1098" s="73"/>
      <c r="F1098" s="73"/>
      <c r="G1098" s="73"/>
      <c r="H1098" s="73"/>
      <c r="I1098" s="73"/>
      <c r="J1098" s="73"/>
      <c r="L1098" s="73"/>
    </row>
    <row r="1099" spans="2:12">
      <c r="B1099" s="73"/>
      <c r="C1099" s="73"/>
      <c r="D1099" s="73"/>
      <c r="E1099" s="73"/>
      <c r="F1099" s="73"/>
      <c r="G1099" s="73"/>
      <c r="H1099" s="73"/>
      <c r="I1099" s="73"/>
      <c r="J1099" s="73"/>
      <c r="L1099" s="73"/>
    </row>
    <row r="1100" spans="2:12">
      <c r="B1100" s="73"/>
      <c r="C1100" s="73"/>
      <c r="D1100" s="73"/>
      <c r="E1100" s="73"/>
      <c r="F1100" s="73"/>
      <c r="G1100" s="73"/>
      <c r="H1100" s="73"/>
      <c r="I1100" s="73"/>
      <c r="J1100" s="73"/>
      <c r="L1100" s="73"/>
    </row>
    <row r="1101" spans="2:12">
      <c r="B1101" s="73"/>
      <c r="C1101" s="73"/>
      <c r="D1101" s="73"/>
      <c r="E1101" s="73"/>
      <c r="F1101" s="73"/>
      <c r="G1101" s="73"/>
      <c r="H1101" s="73"/>
      <c r="I1101" s="73"/>
      <c r="J1101" s="73"/>
      <c r="L1101" s="73"/>
    </row>
    <row r="1102" spans="2:12">
      <c r="B1102" s="73"/>
      <c r="C1102" s="73"/>
      <c r="D1102" s="73"/>
      <c r="E1102" s="73"/>
      <c r="F1102" s="73"/>
      <c r="G1102" s="73"/>
      <c r="H1102" s="73"/>
      <c r="I1102" s="73"/>
      <c r="J1102" s="73"/>
      <c r="L1102" s="73"/>
    </row>
    <row r="1103" spans="2:12">
      <c r="B1103" s="73"/>
      <c r="C1103" s="73"/>
      <c r="D1103" s="73"/>
      <c r="E1103" s="73"/>
      <c r="F1103" s="73"/>
      <c r="G1103" s="73"/>
      <c r="H1103" s="73"/>
      <c r="I1103" s="73"/>
      <c r="J1103" s="73"/>
      <c r="L1103" s="73"/>
    </row>
    <row r="1104" spans="2:12">
      <c r="B1104" s="73"/>
      <c r="C1104" s="73"/>
      <c r="D1104" s="73"/>
      <c r="E1104" s="73"/>
      <c r="F1104" s="73"/>
      <c r="G1104" s="73"/>
      <c r="H1104" s="73"/>
      <c r="I1104" s="73"/>
      <c r="J1104" s="73"/>
      <c r="L1104" s="73"/>
    </row>
    <row r="1105" spans="2:12">
      <c r="B1105" s="73"/>
      <c r="C1105" s="73"/>
      <c r="D1105" s="73"/>
      <c r="E1105" s="73"/>
      <c r="F1105" s="73"/>
      <c r="G1105" s="73"/>
      <c r="H1105" s="73"/>
      <c r="I1105" s="73"/>
      <c r="J1105" s="73"/>
      <c r="L1105" s="73"/>
    </row>
    <row r="1106" spans="2:12">
      <c r="B1106" s="73"/>
      <c r="C1106" s="73"/>
      <c r="D1106" s="73"/>
      <c r="E1106" s="73"/>
      <c r="F1106" s="73"/>
      <c r="G1106" s="73"/>
      <c r="H1106" s="73"/>
      <c r="I1106" s="73"/>
      <c r="J1106" s="73"/>
      <c r="L1106" s="73"/>
    </row>
    <row r="1107" spans="2:12">
      <c r="B1107" s="73"/>
      <c r="C1107" s="73"/>
      <c r="D1107" s="73"/>
      <c r="E1107" s="73"/>
      <c r="F1107" s="73"/>
      <c r="G1107" s="73"/>
      <c r="H1107" s="73"/>
      <c r="I1107" s="73"/>
      <c r="J1107" s="73"/>
      <c r="L1107" s="73"/>
    </row>
    <row r="1108" spans="2:12">
      <c r="B1108" s="73"/>
      <c r="C1108" s="73"/>
      <c r="D1108" s="73"/>
      <c r="E1108" s="73"/>
      <c r="F1108" s="73"/>
      <c r="G1108" s="73"/>
      <c r="H1108" s="73"/>
      <c r="I1108" s="73"/>
      <c r="J1108" s="73"/>
      <c r="L1108" s="73"/>
    </row>
    <row r="1109" spans="2:12">
      <c r="B1109" s="73"/>
      <c r="C1109" s="73"/>
      <c r="D1109" s="73"/>
      <c r="E1109" s="73"/>
      <c r="F1109" s="73"/>
      <c r="G1109" s="73"/>
      <c r="H1109" s="73"/>
      <c r="I1109" s="73"/>
      <c r="J1109" s="73"/>
      <c r="L1109" s="73"/>
    </row>
    <row r="1110" spans="2:12">
      <c r="B1110" s="73"/>
      <c r="C1110" s="73"/>
      <c r="D1110" s="73"/>
      <c r="E1110" s="73"/>
      <c r="F1110" s="73"/>
      <c r="G1110" s="73"/>
      <c r="H1110" s="73"/>
      <c r="I1110" s="73"/>
      <c r="J1110" s="73"/>
      <c r="L1110" s="73"/>
    </row>
    <row r="1111" spans="2:12">
      <c r="B1111" s="73"/>
      <c r="C1111" s="73"/>
      <c r="D1111" s="73"/>
      <c r="E1111" s="73"/>
      <c r="F1111" s="73"/>
      <c r="G1111" s="73"/>
      <c r="H1111" s="73"/>
      <c r="I1111" s="73"/>
      <c r="J1111" s="73"/>
      <c r="L1111" s="73"/>
    </row>
    <row r="1112" spans="2:12">
      <c r="B1112" s="73"/>
      <c r="C1112" s="73"/>
      <c r="D1112" s="73"/>
      <c r="E1112" s="73"/>
      <c r="F1112" s="73"/>
      <c r="G1112" s="73"/>
      <c r="H1112" s="73"/>
      <c r="I1112" s="73"/>
      <c r="J1112" s="73"/>
      <c r="L1112" s="73"/>
    </row>
    <row r="1113" spans="2:12">
      <c r="B1113" s="73"/>
      <c r="C1113" s="73"/>
      <c r="D1113" s="73"/>
      <c r="E1113" s="73"/>
      <c r="F1113" s="73"/>
      <c r="G1113" s="73"/>
      <c r="H1113" s="73"/>
      <c r="I1113" s="73"/>
      <c r="J1113" s="73"/>
      <c r="L1113" s="73"/>
    </row>
    <row r="1114" spans="2:12">
      <c r="B1114" s="73"/>
      <c r="C1114" s="73"/>
      <c r="D1114" s="73"/>
      <c r="E1114" s="73"/>
      <c r="F1114" s="73"/>
      <c r="G1114" s="73"/>
      <c r="H1114" s="73"/>
      <c r="I1114" s="73"/>
      <c r="J1114" s="73"/>
      <c r="L1114" s="73"/>
    </row>
    <row r="1115" spans="2:12">
      <c r="B1115" s="73"/>
      <c r="C1115" s="73"/>
      <c r="D1115" s="73"/>
      <c r="E1115" s="73"/>
      <c r="F1115" s="73"/>
      <c r="G1115" s="73"/>
      <c r="H1115" s="73"/>
      <c r="I1115" s="73"/>
      <c r="J1115" s="73"/>
      <c r="L1115" s="73"/>
    </row>
    <row r="1116" spans="2:12">
      <c r="B1116" s="73"/>
      <c r="C1116" s="73"/>
      <c r="D1116" s="73"/>
      <c r="E1116" s="73"/>
      <c r="F1116" s="73"/>
      <c r="G1116" s="73"/>
      <c r="H1116" s="73"/>
      <c r="I1116" s="73"/>
      <c r="J1116" s="73"/>
      <c r="L1116" s="73"/>
    </row>
    <row r="1117" spans="2:12">
      <c r="B1117" s="73"/>
      <c r="C1117" s="73"/>
      <c r="D1117" s="73"/>
      <c r="E1117" s="73"/>
      <c r="F1117" s="73"/>
      <c r="G1117" s="73"/>
      <c r="H1117" s="73"/>
      <c r="I1117" s="73"/>
      <c r="J1117" s="73"/>
      <c r="L1117" s="73"/>
    </row>
    <row r="1118" spans="2:12">
      <c r="B1118" s="73"/>
      <c r="C1118" s="73"/>
      <c r="D1118" s="73"/>
      <c r="E1118" s="73"/>
      <c r="F1118" s="73"/>
      <c r="G1118" s="73"/>
      <c r="H1118" s="73"/>
      <c r="I1118" s="73"/>
      <c r="J1118" s="73"/>
      <c r="L1118" s="73"/>
    </row>
    <row r="1119" spans="2:12">
      <c r="B1119" s="73"/>
      <c r="C1119" s="73"/>
      <c r="D1119" s="73"/>
      <c r="E1119" s="73"/>
      <c r="F1119" s="73"/>
      <c r="G1119" s="73"/>
      <c r="H1119" s="73"/>
      <c r="I1119" s="73"/>
      <c r="J1119" s="73"/>
      <c r="L1119" s="73"/>
    </row>
    <row r="1120" spans="2:12">
      <c r="B1120" s="73"/>
      <c r="C1120" s="73"/>
      <c r="D1120" s="73"/>
      <c r="E1120" s="73"/>
      <c r="F1120" s="73"/>
      <c r="G1120" s="73"/>
      <c r="H1120" s="73"/>
      <c r="I1120" s="73"/>
      <c r="J1120" s="73"/>
      <c r="L1120" s="73"/>
    </row>
    <row r="1121" spans="2:12">
      <c r="B1121" s="73"/>
      <c r="C1121" s="73"/>
      <c r="D1121" s="73"/>
      <c r="E1121" s="73"/>
      <c r="F1121" s="73"/>
      <c r="G1121" s="73"/>
      <c r="H1121" s="73"/>
      <c r="I1121" s="73"/>
      <c r="J1121" s="73"/>
      <c r="L1121" s="73"/>
    </row>
    <row r="1122" spans="2:12">
      <c r="B1122" s="73"/>
      <c r="C1122" s="73"/>
      <c r="D1122" s="73"/>
      <c r="E1122" s="73"/>
      <c r="F1122" s="73"/>
      <c r="G1122" s="73"/>
      <c r="H1122" s="73"/>
      <c r="I1122" s="73"/>
      <c r="J1122" s="73"/>
      <c r="L1122" s="73"/>
    </row>
    <row r="1123" spans="2:12">
      <c r="B1123" s="73"/>
      <c r="C1123" s="73"/>
      <c r="D1123" s="73"/>
      <c r="E1123" s="73"/>
      <c r="F1123" s="73"/>
      <c r="G1123" s="73"/>
      <c r="H1123" s="73"/>
      <c r="I1123" s="73"/>
      <c r="J1123" s="73"/>
      <c r="L1123" s="73"/>
    </row>
    <row r="1124" spans="2:12">
      <c r="B1124" s="73"/>
      <c r="C1124" s="73"/>
      <c r="D1124" s="73"/>
      <c r="E1124" s="73"/>
      <c r="F1124" s="73"/>
      <c r="G1124" s="73"/>
      <c r="H1124" s="73"/>
      <c r="I1124" s="73"/>
      <c r="J1124" s="73"/>
      <c r="L1124" s="73"/>
    </row>
    <row r="1125" spans="2:12">
      <c r="B1125" s="73"/>
      <c r="C1125" s="73"/>
      <c r="D1125" s="73"/>
      <c r="E1125" s="73"/>
      <c r="F1125" s="73"/>
      <c r="G1125" s="73"/>
      <c r="H1125" s="73"/>
      <c r="I1125" s="73"/>
      <c r="J1125" s="73"/>
      <c r="L1125" s="73"/>
    </row>
    <row r="1126" spans="2:12">
      <c r="B1126" s="73"/>
      <c r="C1126" s="73"/>
      <c r="D1126" s="73"/>
      <c r="E1126" s="73"/>
      <c r="F1126" s="73"/>
      <c r="G1126" s="73"/>
      <c r="H1126" s="73"/>
      <c r="I1126" s="73"/>
      <c r="J1126" s="73"/>
      <c r="L1126" s="73"/>
    </row>
    <row r="1127" spans="2:12">
      <c r="B1127" s="73"/>
      <c r="C1127" s="73"/>
      <c r="D1127" s="73"/>
      <c r="E1127" s="73"/>
      <c r="F1127" s="73"/>
      <c r="G1127" s="73"/>
      <c r="H1127" s="73"/>
      <c r="I1127" s="73"/>
      <c r="J1127" s="73"/>
      <c r="L1127" s="73"/>
    </row>
    <row r="1128" spans="2:12">
      <c r="B1128" s="73"/>
      <c r="C1128" s="73"/>
      <c r="D1128" s="73"/>
      <c r="E1128" s="73"/>
      <c r="F1128" s="73"/>
      <c r="G1128" s="73"/>
      <c r="H1128" s="73"/>
      <c r="I1128" s="73"/>
      <c r="J1128" s="73"/>
      <c r="L1128" s="73"/>
    </row>
    <row r="1129" spans="2:12">
      <c r="B1129" s="73"/>
      <c r="C1129" s="73"/>
      <c r="D1129" s="73"/>
      <c r="E1129" s="73"/>
      <c r="F1129" s="73"/>
      <c r="G1129" s="73"/>
      <c r="H1129" s="73"/>
      <c r="I1129" s="73"/>
      <c r="J1129" s="73"/>
      <c r="L1129" s="73"/>
    </row>
    <row r="1130" spans="2:12">
      <c r="B1130" s="73"/>
      <c r="C1130" s="73"/>
      <c r="D1130" s="73"/>
      <c r="E1130" s="73"/>
      <c r="F1130" s="73"/>
      <c r="G1130" s="73"/>
      <c r="H1130" s="73"/>
      <c r="I1130" s="73"/>
      <c r="J1130" s="73"/>
      <c r="L1130" s="73"/>
    </row>
    <row r="1131" spans="2:12">
      <c r="B1131" s="73"/>
      <c r="C1131" s="73"/>
      <c r="D1131" s="73"/>
      <c r="E1131" s="73"/>
      <c r="F1131" s="73"/>
      <c r="G1131" s="73"/>
      <c r="H1131" s="73"/>
      <c r="I1131" s="73"/>
      <c r="J1131" s="73"/>
      <c r="L1131" s="73"/>
    </row>
    <row r="1132" spans="2:12">
      <c r="B1132" s="73"/>
      <c r="C1132" s="73"/>
      <c r="D1132" s="73"/>
      <c r="E1132" s="73"/>
      <c r="F1132" s="73"/>
      <c r="G1132" s="73"/>
      <c r="H1132" s="73"/>
      <c r="I1132" s="73"/>
      <c r="J1132" s="73"/>
      <c r="L1132" s="73"/>
    </row>
    <row r="1133" spans="2:12">
      <c r="B1133" s="73"/>
      <c r="C1133" s="73"/>
      <c r="D1133" s="73"/>
      <c r="E1133" s="73"/>
      <c r="F1133" s="73"/>
      <c r="G1133" s="73"/>
      <c r="H1133" s="73"/>
      <c r="I1133" s="73"/>
      <c r="J1133" s="73"/>
      <c r="L1133" s="73"/>
    </row>
    <row r="1134" spans="2:12">
      <c r="B1134" s="73"/>
      <c r="C1134" s="73"/>
      <c r="D1134" s="73"/>
      <c r="E1134" s="73"/>
      <c r="F1134" s="73"/>
      <c r="G1134" s="73"/>
      <c r="H1134" s="73"/>
      <c r="I1134" s="73"/>
      <c r="J1134" s="73"/>
      <c r="L1134" s="73"/>
    </row>
    <row r="1135" spans="2:12">
      <c r="B1135" s="73"/>
      <c r="C1135" s="73"/>
      <c r="D1135" s="73"/>
      <c r="E1135" s="73"/>
      <c r="F1135" s="73"/>
      <c r="G1135" s="73"/>
      <c r="H1135" s="73"/>
      <c r="I1135" s="73"/>
      <c r="J1135" s="73"/>
      <c r="L1135" s="73"/>
    </row>
    <row r="1136" spans="2:12">
      <c r="B1136" s="73"/>
      <c r="C1136" s="73"/>
      <c r="D1136" s="73"/>
      <c r="E1136" s="73"/>
      <c r="F1136" s="73"/>
      <c r="G1136" s="73"/>
      <c r="H1136" s="73"/>
      <c r="I1136" s="73"/>
      <c r="J1136" s="73"/>
      <c r="L1136" s="73"/>
    </row>
    <row r="1137" spans="2:12">
      <c r="B1137" s="73"/>
      <c r="C1137" s="73"/>
      <c r="D1137" s="73"/>
      <c r="E1137" s="73"/>
      <c r="F1137" s="73"/>
      <c r="G1137" s="73"/>
      <c r="H1137" s="73"/>
      <c r="I1137" s="73"/>
      <c r="J1137" s="73"/>
      <c r="L1137" s="73"/>
    </row>
    <row r="1138" spans="2:12">
      <c r="B1138" s="73"/>
      <c r="C1138" s="73"/>
      <c r="D1138" s="73"/>
      <c r="E1138" s="73"/>
      <c r="F1138" s="73"/>
      <c r="G1138" s="73"/>
      <c r="H1138" s="73"/>
      <c r="I1138" s="73"/>
      <c r="J1138" s="73"/>
      <c r="L1138" s="73"/>
    </row>
    <row r="1139" spans="2:12">
      <c r="B1139" s="73"/>
      <c r="C1139" s="73"/>
      <c r="D1139" s="73"/>
      <c r="E1139" s="73"/>
      <c r="F1139" s="73"/>
      <c r="G1139" s="73"/>
      <c r="H1139" s="73"/>
      <c r="I1139" s="73"/>
      <c r="J1139" s="73"/>
      <c r="L1139" s="73"/>
    </row>
    <row r="1140" spans="2:12">
      <c r="B1140" s="73"/>
      <c r="C1140" s="73"/>
      <c r="D1140" s="73"/>
      <c r="E1140" s="73"/>
      <c r="F1140" s="73"/>
      <c r="G1140" s="73"/>
      <c r="H1140" s="73"/>
      <c r="I1140" s="73"/>
      <c r="J1140" s="73"/>
      <c r="L1140" s="73"/>
    </row>
    <row r="1141" spans="2:12">
      <c r="B1141" s="73"/>
      <c r="C1141" s="73"/>
      <c r="D1141" s="73"/>
      <c r="E1141" s="73"/>
      <c r="F1141" s="73"/>
      <c r="G1141" s="73"/>
      <c r="H1141" s="73"/>
      <c r="I1141" s="73"/>
      <c r="J1141" s="73"/>
      <c r="L1141" s="73"/>
    </row>
    <row r="1142" spans="2:12">
      <c r="B1142" s="73"/>
      <c r="C1142" s="73"/>
      <c r="D1142" s="73"/>
      <c r="E1142" s="73"/>
      <c r="F1142" s="73"/>
      <c r="G1142" s="73"/>
      <c r="H1142" s="73"/>
      <c r="I1142" s="73"/>
      <c r="J1142" s="73"/>
      <c r="L1142" s="73"/>
    </row>
    <row r="1143" spans="2:12">
      <c r="B1143" s="73"/>
      <c r="C1143" s="73"/>
      <c r="D1143" s="73"/>
      <c r="E1143" s="73"/>
      <c r="F1143" s="73"/>
      <c r="G1143" s="73"/>
      <c r="H1143" s="73"/>
      <c r="I1143" s="73"/>
      <c r="J1143" s="73"/>
      <c r="L1143" s="73"/>
    </row>
    <row r="1144" spans="2:12">
      <c r="B1144" s="73"/>
      <c r="C1144" s="73"/>
      <c r="D1144" s="73"/>
      <c r="E1144" s="73"/>
      <c r="F1144" s="73"/>
      <c r="G1144" s="73"/>
      <c r="H1144" s="73"/>
      <c r="I1144" s="73"/>
      <c r="J1144" s="73"/>
      <c r="L1144" s="73"/>
    </row>
    <row r="1145" spans="2:12">
      <c r="B1145" s="73"/>
      <c r="C1145" s="73"/>
      <c r="D1145" s="73"/>
      <c r="E1145" s="73"/>
      <c r="F1145" s="73"/>
      <c r="G1145" s="73"/>
      <c r="H1145" s="73"/>
      <c r="I1145" s="73"/>
      <c r="J1145" s="73"/>
      <c r="L1145" s="73"/>
    </row>
    <row r="1146" spans="2:12">
      <c r="B1146" s="73"/>
      <c r="C1146" s="73"/>
      <c r="D1146" s="73"/>
      <c r="E1146" s="73"/>
      <c r="F1146" s="73"/>
      <c r="G1146" s="73"/>
      <c r="H1146" s="73"/>
      <c r="I1146" s="73"/>
      <c r="J1146" s="73"/>
      <c r="L1146" s="73"/>
    </row>
    <row r="1147" spans="2:12">
      <c r="B1147" s="73"/>
      <c r="C1147" s="73"/>
      <c r="D1147" s="73"/>
      <c r="E1147" s="73"/>
      <c r="F1147" s="73"/>
      <c r="G1147" s="73"/>
      <c r="H1147" s="73"/>
      <c r="I1147" s="73"/>
      <c r="J1147" s="73"/>
      <c r="L1147" s="73"/>
    </row>
    <row r="1148" spans="2:12">
      <c r="B1148" s="73"/>
      <c r="C1148" s="73"/>
      <c r="D1148" s="73"/>
      <c r="E1148" s="73"/>
      <c r="F1148" s="73"/>
      <c r="G1148" s="73"/>
      <c r="H1148" s="73"/>
      <c r="I1148" s="73"/>
      <c r="J1148" s="73"/>
      <c r="L1148" s="73"/>
    </row>
    <row r="1149" spans="2:12">
      <c r="B1149" s="73"/>
      <c r="C1149" s="73"/>
      <c r="D1149" s="73"/>
      <c r="E1149" s="73"/>
      <c r="F1149" s="73"/>
      <c r="G1149" s="73"/>
      <c r="H1149" s="73"/>
      <c r="I1149" s="73"/>
      <c r="J1149" s="73"/>
      <c r="L1149" s="73"/>
    </row>
    <row r="1150" spans="2:12">
      <c r="B1150" s="73"/>
      <c r="C1150" s="73"/>
      <c r="D1150" s="73"/>
      <c r="E1150" s="73"/>
      <c r="F1150" s="73"/>
      <c r="G1150" s="73"/>
      <c r="H1150" s="73"/>
      <c r="I1150" s="73"/>
      <c r="J1150" s="73"/>
      <c r="L1150" s="73"/>
    </row>
    <row r="1151" spans="2:12">
      <c r="B1151" s="73"/>
      <c r="C1151" s="73"/>
      <c r="D1151" s="73"/>
      <c r="E1151" s="73"/>
      <c r="F1151" s="73"/>
      <c r="G1151" s="73"/>
      <c r="H1151" s="73"/>
      <c r="I1151" s="73"/>
      <c r="J1151" s="73"/>
      <c r="L1151" s="73"/>
    </row>
    <row r="1152" spans="2:12">
      <c r="B1152" s="73"/>
      <c r="C1152" s="73"/>
      <c r="D1152" s="73"/>
      <c r="E1152" s="73"/>
      <c r="F1152" s="73"/>
      <c r="G1152" s="73"/>
      <c r="H1152" s="73"/>
      <c r="I1152" s="73"/>
      <c r="J1152" s="73"/>
      <c r="L1152" s="73"/>
    </row>
    <row r="1153" spans="2:12">
      <c r="B1153" s="73"/>
      <c r="C1153" s="73"/>
      <c r="D1153" s="73"/>
      <c r="E1153" s="73"/>
      <c r="F1153" s="73"/>
      <c r="G1153" s="73"/>
      <c r="H1153" s="73"/>
      <c r="I1153" s="73"/>
      <c r="J1153" s="73"/>
      <c r="L1153" s="73"/>
    </row>
    <row r="1154" spans="2:12">
      <c r="B1154" s="73"/>
      <c r="C1154" s="73"/>
      <c r="D1154" s="73"/>
      <c r="E1154" s="73"/>
      <c r="F1154" s="73"/>
      <c r="G1154" s="73"/>
      <c r="H1154" s="73"/>
      <c r="I1154" s="73"/>
      <c r="J1154" s="73"/>
      <c r="L1154" s="73"/>
    </row>
    <row r="1155" spans="2:12">
      <c r="B1155" s="73"/>
      <c r="C1155" s="73"/>
      <c r="D1155" s="73"/>
      <c r="E1155" s="73"/>
      <c r="F1155" s="73"/>
      <c r="G1155" s="73"/>
      <c r="H1155" s="73"/>
      <c r="I1155" s="73"/>
      <c r="J1155" s="73"/>
      <c r="L1155" s="73"/>
    </row>
    <row r="1156" spans="2:12">
      <c r="B1156" s="73"/>
      <c r="C1156" s="73"/>
      <c r="D1156" s="73"/>
      <c r="E1156" s="73"/>
      <c r="F1156" s="73"/>
      <c r="G1156" s="73"/>
      <c r="H1156" s="73"/>
      <c r="I1156" s="73"/>
      <c r="J1156" s="73"/>
      <c r="L1156" s="73"/>
    </row>
    <row r="1157" spans="2:12">
      <c r="B1157" s="73"/>
      <c r="C1157" s="73"/>
      <c r="D1157" s="73"/>
      <c r="E1157" s="73"/>
      <c r="F1157" s="73"/>
      <c r="G1157" s="73"/>
      <c r="H1157" s="73"/>
      <c r="I1157" s="73"/>
      <c r="J1157" s="73"/>
      <c r="L1157" s="73"/>
    </row>
    <row r="1158" spans="2:12">
      <c r="B1158" s="73"/>
      <c r="C1158" s="73"/>
      <c r="D1158" s="73"/>
      <c r="E1158" s="73"/>
      <c r="F1158" s="73"/>
      <c r="G1158" s="73"/>
      <c r="H1158" s="73"/>
      <c r="I1158" s="73"/>
      <c r="J1158" s="73"/>
      <c r="L1158" s="73"/>
    </row>
    <row r="1159" spans="2:12">
      <c r="B1159" s="73"/>
      <c r="C1159" s="73"/>
      <c r="D1159" s="73"/>
      <c r="E1159" s="73"/>
      <c r="F1159" s="73"/>
      <c r="G1159" s="73"/>
      <c r="H1159" s="73"/>
      <c r="I1159" s="73"/>
      <c r="J1159" s="73"/>
      <c r="L1159" s="73"/>
    </row>
    <row r="1160" spans="2:12">
      <c r="B1160" s="73"/>
      <c r="C1160" s="73"/>
      <c r="D1160" s="73"/>
      <c r="E1160" s="73"/>
      <c r="F1160" s="73"/>
      <c r="G1160" s="73"/>
      <c r="H1160" s="73"/>
      <c r="I1160" s="73"/>
      <c r="J1160" s="73"/>
      <c r="L1160" s="73"/>
    </row>
    <row r="1161" spans="2:12">
      <c r="B1161" s="73"/>
      <c r="C1161" s="73"/>
      <c r="D1161" s="73"/>
      <c r="E1161" s="73"/>
      <c r="F1161" s="73"/>
      <c r="G1161" s="73"/>
      <c r="H1161" s="73"/>
      <c r="I1161" s="73"/>
      <c r="J1161" s="73"/>
      <c r="L1161" s="73"/>
    </row>
    <row r="1162" spans="2:12">
      <c r="B1162" s="73"/>
      <c r="C1162" s="73"/>
      <c r="D1162" s="73"/>
      <c r="E1162" s="73"/>
      <c r="F1162" s="73"/>
      <c r="G1162" s="73"/>
      <c r="H1162" s="73"/>
      <c r="I1162" s="73"/>
      <c r="J1162" s="73"/>
      <c r="L1162" s="73"/>
    </row>
    <row r="1163" spans="2:12">
      <c r="B1163" s="73"/>
      <c r="C1163" s="73"/>
      <c r="D1163" s="73"/>
      <c r="E1163" s="73"/>
      <c r="F1163" s="73"/>
      <c r="G1163" s="73"/>
      <c r="H1163" s="73"/>
      <c r="I1163" s="73"/>
      <c r="J1163" s="73"/>
      <c r="L1163" s="73"/>
    </row>
    <row r="1164" spans="2:12">
      <c r="B1164" s="73"/>
      <c r="C1164" s="73"/>
      <c r="D1164" s="73"/>
      <c r="E1164" s="73"/>
      <c r="F1164" s="73"/>
      <c r="G1164" s="73"/>
      <c r="H1164" s="73"/>
      <c r="I1164" s="73"/>
      <c r="J1164" s="73"/>
      <c r="L1164" s="73"/>
    </row>
    <row r="1165" spans="2:12">
      <c r="B1165" s="73"/>
      <c r="C1165" s="73"/>
      <c r="D1165" s="73"/>
      <c r="E1165" s="73"/>
      <c r="F1165" s="73"/>
      <c r="G1165" s="73"/>
      <c r="H1165" s="73"/>
      <c r="I1165" s="73"/>
      <c r="J1165" s="73"/>
      <c r="L1165" s="73"/>
    </row>
    <row r="1166" spans="2:12">
      <c r="B1166" s="73"/>
      <c r="C1166" s="73"/>
      <c r="D1166" s="73"/>
      <c r="E1166" s="73"/>
      <c r="F1166" s="73"/>
      <c r="G1166" s="73"/>
      <c r="H1166" s="73"/>
      <c r="I1166" s="73"/>
      <c r="J1166" s="73"/>
      <c r="L1166" s="73"/>
    </row>
    <row r="1167" spans="2:12">
      <c r="B1167" s="73"/>
      <c r="C1167" s="73"/>
      <c r="D1167" s="73"/>
      <c r="E1167" s="73"/>
      <c r="F1167" s="73"/>
      <c r="G1167" s="73"/>
      <c r="H1167" s="73"/>
      <c r="I1167" s="73"/>
      <c r="J1167" s="73"/>
      <c r="L1167" s="73"/>
    </row>
    <row r="1168" spans="2:12">
      <c r="B1168" s="73"/>
      <c r="C1168" s="73"/>
      <c r="D1168" s="73"/>
      <c r="E1168" s="73"/>
      <c r="F1168" s="73"/>
      <c r="G1168" s="73"/>
      <c r="H1168" s="73"/>
      <c r="I1168" s="73"/>
      <c r="J1168" s="73"/>
      <c r="L1168" s="73"/>
    </row>
    <row r="1169" spans="2:12">
      <c r="B1169" s="73"/>
      <c r="C1169" s="73"/>
      <c r="D1169" s="73"/>
      <c r="E1169" s="73"/>
      <c r="F1169" s="73"/>
      <c r="G1169" s="73"/>
      <c r="H1169" s="73"/>
      <c r="I1169" s="73"/>
      <c r="J1169" s="73"/>
      <c r="L1169" s="73"/>
    </row>
    <row r="1170" spans="2:12">
      <c r="B1170" s="73"/>
      <c r="C1170" s="73"/>
      <c r="D1170" s="73"/>
      <c r="E1170" s="73"/>
      <c r="F1170" s="73"/>
      <c r="G1170" s="73"/>
      <c r="H1170" s="73"/>
      <c r="I1170" s="73"/>
      <c r="J1170" s="73"/>
      <c r="L1170" s="73"/>
    </row>
    <row r="1171" spans="2:12">
      <c r="B1171" s="73"/>
      <c r="C1171" s="73"/>
      <c r="D1171" s="73"/>
      <c r="E1171" s="73"/>
      <c r="F1171" s="73"/>
      <c r="G1171" s="73"/>
      <c r="H1171" s="73"/>
      <c r="I1171" s="73"/>
      <c r="J1171" s="73"/>
      <c r="L1171" s="73"/>
    </row>
    <row r="1172" spans="2:12">
      <c r="B1172" s="73"/>
      <c r="C1172" s="73"/>
      <c r="D1172" s="73"/>
      <c r="E1172" s="73"/>
      <c r="F1172" s="73"/>
      <c r="G1172" s="73"/>
      <c r="H1172" s="73"/>
      <c r="I1172" s="73"/>
      <c r="J1172" s="73"/>
      <c r="L1172" s="73"/>
    </row>
    <row r="1173" spans="2:12">
      <c r="B1173" s="73"/>
      <c r="C1173" s="73"/>
      <c r="D1173" s="73"/>
      <c r="E1173" s="73"/>
      <c r="F1173" s="73"/>
      <c r="G1173" s="73"/>
      <c r="H1173" s="73"/>
      <c r="I1173" s="73"/>
      <c r="J1173" s="73"/>
      <c r="L1173" s="73"/>
    </row>
    <row r="1174" spans="2:12">
      <c r="B1174" s="73"/>
      <c r="C1174" s="73"/>
      <c r="D1174" s="73"/>
      <c r="E1174" s="73"/>
      <c r="F1174" s="73"/>
      <c r="G1174" s="73"/>
      <c r="H1174" s="73"/>
      <c r="I1174" s="73"/>
      <c r="J1174" s="73"/>
      <c r="L1174" s="73"/>
    </row>
    <row r="1175" spans="2:12">
      <c r="B1175" s="73"/>
      <c r="C1175" s="73"/>
      <c r="D1175" s="73"/>
      <c r="E1175" s="73"/>
      <c r="F1175" s="73"/>
      <c r="G1175" s="73"/>
      <c r="H1175" s="73"/>
      <c r="I1175" s="73"/>
      <c r="J1175" s="73"/>
      <c r="L1175" s="73"/>
    </row>
    <row r="1176" spans="2:12">
      <c r="B1176" s="73"/>
      <c r="C1176" s="73"/>
      <c r="D1176" s="73"/>
      <c r="E1176" s="73"/>
      <c r="F1176" s="73"/>
      <c r="G1176" s="73"/>
      <c r="H1176" s="73"/>
      <c r="I1176" s="73"/>
      <c r="J1176" s="73"/>
      <c r="L1176" s="73"/>
    </row>
    <row r="1177" spans="2:12">
      <c r="B1177" s="73"/>
      <c r="C1177" s="73"/>
      <c r="D1177" s="73"/>
      <c r="E1177" s="73"/>
      <c r="F1177" s="73"/>
      <c r="G1177" s="73"/>
      <c r="H1177" s="73"/>
      <c r="I1177" s="73"/>
      <c r="J1177" s="73"/>
      <c r="L1177" s="73"/>
    </row>
    <row r="1178" spans="2:12">
      <c r="B1178" s="73"/>
      <c r="C1178" s="73"/>
      <c r="D1178" s="73"/>
      <c r="E1178" s="73"/>
      <c r="F1178" s="73"/>
      <c r="G1178" s="73"/>
      <c r="H1178" s="73"/>
      <c r="I1178" s="73"/>
      <c r="J1178" s="73"/>
      <c r="L1178" s="73"/>
    </row>
    <row r="1179" spans="2:12">
      <c r="B1179" s="73"/>
      <c r="C1179" s="73"/>
      <c r="D1179" s="73"/>
      <c r="E1179" s="73"/>
      <c r="F1179" s="73"/>
      <c r="G1179" s="73"/>
      <c r="H1179" s="73"/>
      <c r="I1179" s="73"/>
      <c r="J1179" s="73"/>
      <c r="L1179" s="73"/>
    </row>
    <row r="1180" spans="2:12">
      <c r="B1180" s="73"/>
      <c r="C1180" s="73"/>
      <c r="D1180" s="73"/>
      <c r="E1180" s="73"/>
      <c r="F1180" s="73"/>
      <c r="G1180" s="73"/>
      <c r="H1180" s="73"/>
      <c r="I1180" s="73"/>
      <c r="J1180" s="73"/>
      <c r="L1180" s="73"/>
    </row>
    <row r="1181" spans="2:12">
      <c r="B1181" s="73"/>
      <c r="C1181" s="73"/>
      <c r="D1181" s="73"/>
      <c r="E1181" s="73"/>
      <c r="F1181" s="73"/>
      <c r="G1181" s="73"/>
      <c r="H1181" s="73"/>
      <c r="I1181" s="73"/>
      <c r="J1181" s="73"/>
      <c r="L1181" s="73"/>
    </row>
    <row r="1182" spans="2:12">
      <c r="B1182" s="73"/>
      <c r="C1182" s="73"/>
      <c r="D1182" s="73"/>
      <c r="E1182" s="73"/>
      <c r="F1182" s="73"/>
      <c r="G1182" s="73"/>
      <c r="H1182" s="73"/>
      <c r="I1182" s="73"/>
      <c r="J1182" s="73"/>
      <c r="L1182" s="73"/>
    </row>
    <row r="1183" spans="2:12">
      <c r="B1183" s="73"/>
      <c r="C1183" s="73"/>
      <c r="D1183" s="73"/>
      <c r="E1183" s="73"/>
      <c r="F1183" s="73"/>
      <c r="G1183" s="73"/>
      <c r="H1183" s="73"/>
      <c r="I1183" s="73"/>
      <c r="J1183" s="73"/>
      <c r="L1183" s="73"/>
    </row>
    <row r="1184" spans="2:12">
      <c r="B1184" s="73"/>
      <c r="C1184" s="73"/>
      <c r="D1184" s="73"/>
      <c r="E1184" s="73"/>
      <c r="F1184" s="73"/>
      <c r="G1184" s="73"/>
      <c r="H1184" s="73"/>
      <c r="I1184" s="73"/>
      <c r="J1184" s="73"/>
      <c r="L1184" s="73"/>
    </row>
    <row r="1185" spans="2:12">
      <c r="B1185" s="73"/>
      <c r="C1185" s="73"/>
      <c r="D1185" s="73"/>
      <c r="E1185" s="73"/>
      <c r="F1185" s="73"/>
      <c r="G1185" s="73"/>
      <c r="H1185" s="73"/>
      <c r="I1185" s="73"/>
      <c r="J1185" s="73"/>
      <c r="L1185" s="73"/>
    </row>
    <row r="1186" spans="2:12">
      <c r="B1186" s="73"/>
      <c r="C1186" s="73"/>
      <c r="D1186" s="73"/>
      <c r="E1186" s="73"/>
      <c r="F1186" s="73"/>
      <c r="G1186" s="73"/>
      <c r="H1186" s="73"/>
      <c r="I1186" s="73"/>
      <c r="J1186" s="73"/>
      <c r="L1186" s="73"/>
    </row>
    <row r="1187" spans="2:12">
      <c r="B1187" s="73"/>
      <c r="C1187" s="73"/>
      <c r="D1187" s="73"/>
      <c r="E1187" s="73"/>
      <c r="F1187" s="73"/>
      <c r="G1187" s="73"/>
      <c r="H1187" s="73"/>
      <c r="I1187" s="73"/>
      <c r="J1187" s="73"/>
      <c r="L1187" s="73"/>
    </row>
    <row r="1188" spans="2:12">
      <c r="B1188" s="73"/>
      <c r="C1188" s="73"/>
      <c r="D1188" s="73"/>
      <c r="E1188" s="73"/>
      <c r="F1188" s="73"/>
      <c r="G1188" s="73"/>
      <c r="H1188" s="73"/>
      <c r="I1188" s="73"/>
      <c r="J1188" s="73"/>
      <c r="L1188" s="73"/>
    </row>
    <row r="1189" spans="2:12">
      <c r="B1189" s="73"/>
      <c r="C1189" s="73"/>
      <c r="D1189" s="73"/>
      <c r="E1189" s="73"/>
      <c r="F1189" s="73"/>
      <c r="G1189" s="73"/>
      <c r="H1189" s="73"/>
      <c r="I1189" s="73"/>
      <c r="J1189" s="73"/>
      <c r="L1189" s="73"/>
    </row>
    <row r="1190" spans="2:12">
      <c r="B1190" s="73"/>
      <c r="C1190" s="73"/>
      <c r="D1190" s="73"/>
      <c r="E1190" s="73"/>
      <c r="F1190" s="73"/>
      <c r="G1190" s="73"/>
      <c r="H1190" s="73"/>
      <c r="I1190" s="73"/>
      <c r="J1190" s="73"/>
      <c r="L1190" s="73"/>
    </row>
    <row r="1191" spans="2:12">
      <c r="B1191" s="73"/>
      <c r="C1191" s="73"/>
      <c r="D1191" s="73"/>
      <c r="E1191" s="73"/>
      <c r="F1191" s="73"/>
      <c r="G1191" s="73"/>
      <c r="H1191" s="73"/>
      <c r="I1191" s="73"/>
      <c r="J1191" s="73"/>
      <c r="L1191" s="73"/>
    </row>
    <row r="1192" spans="2:12">
      <c r="B1192" s="73"/>
      <c r="C1192" s="73"/>
      <c r="D1192" s="73"/>
      <c r="E1192" s="73"/>
      <c r="F1192" s="73"/>
      <c r="G1192" s="73"/>
      <c r="H1192" s="73"/>
      <c r="I1192" s="73"/>
      <c r="J1192" s="73"/>
      <c r="L1192" s="73"/>
    </row>
    <row r="1193" spans="2:12">
      <c r="B1193" s="73"/>
      <c r="C1193" s="73"/>
      <c r="D1193" s="73"/>
      <c r="E1193" s="73"/>
      <c r="F1193" s="73"/>
      <c r="G1193" s="73"/>
      <c r="H1193" s="73"/>
      <c r="I1193" s="73"/>
      <c r="J1193" s="73"/>
      <c r="L1193" s="73"/>
    </row>
    <row r="1194" spans="2:12">
      <c r="B1194" s="73"/>
      <c r="C1194" s="73"/>
      <c r="D1194" s="73"/>
      <c r="E1194" s="73"/>
      <c r="F1194" s="73"/>
      <c r="G1194" s="73"/>
      <c r="H1194" s="73"/>
      <c r="I1194" s="73"/>
      <c r="J1194" s="73"/>
      <c r="L1194" s="73"/>
    </row>
    <row r="1195" spans="2:12">
      <c r="B1195" s="73"/>
      <c r="C1195" s="73"/>
      <c r="D1195" s="73"/>
      <c r="E1195" s="73"/>
      <c r="F1195" s="73"/>
      <c r="G1195" s="73"/>
      <c r="H1195" s="73"/>
      <c r="I1195" s="73"/>
      <c r="J1195" s="73"/>
      <c r="L1195" s="73"/>
    </row>
    <row r="1196" spans="2:12">
      <c r="B1196" s="73"/>
      <c r="C1196" s="73"/>
      <c r="D1196" s="73"/>
      <c r="E1196" s="73"/>
      <c r="F1196" s="73"/>
      <c r="G1196" s="73"/>
      <c r="H1196" s="73"/>
      <c r="I1196" s="73"/>
      <c r="J1196" s="73"/>
      <c r="L1196" s="73"/>
    </row>
    <row r="1197" spans="2:12">
      <c r="B1197" s="73"/>
      <c r="C1197" s="73"/>
      <c r="D1197" s="73"/>
      <c r="E1197" s="73"/>
      <c r="F1197" s="73"/>
      <c r="G1197" s="73"/>
      <c r="H1197" s="73"/>
      <c r="I1197" s="73"/>
      <c r="J1197" s="73"/>
      <c r="L1197" s="73"/>
    </row>
    <row r="1198" spans="2:12">
      <c r="B1198" s="73"/>
      <c r="C1198" s="73"/>
      <c r="D1198" s="73"/>
      <c r="E1198" s="73"/>
      <c r="F1198" s="73"/>
      <c r="G1198" s="73"/>
      <c r="H1198" s="73"/>
      <c r="I1198" s="73"/>
      <c r="J1198" s="73"/>
      <c r="L1198" s="73"/>
    </row>
    <row r="1199" spans="2:12">
      <c r="B1199" s="73"/>
      <c r="C1199" s="73"/>
      <c r="D1199" s="73"/>
      <c r="E1199" s="73"/>
      <c r="F1199" s="73"/>
      <c r="G1199" s="73"/>
      <c r="H1199" s="73"/>
      <c r="I1199" s="73"/>
      <c r="J1199" s="73"/>
      <c r="L1199" s="73"/>
    </row>
    <row r="1200" spans="2:12">
      <c r="B1200" s="73"/>
      <c r="C1200" s="73"/>
      <c r="D1200" s="73"/>
      <c r="E1200" s="73"/>
      <c r="F1200" s="73"/>
      <c r="G1200" s="73"/>
      <c r="H1200" s="73"/>
      <c r="I1200" s="73"/>
      <c r="J1200" s="73"/>
      <c r="L1200" s="73"/>
    </row>
    <row r="1201" spans="2:12">
      <c r="B1201" s="73"/>
      <c r="C1201" s="73"/>
      <c r="D1201" s="73"/>
      <c r="E1201" s="73"/>
      <c r="F1201" s="73"/>
      <c r="G1201" s="73"/>
      <c r="H1201" s="73"/>
      <c r="I1201" s="73"/>
      <c r="J1201" s="73"/>
      <c r="L1201" s="73"/>
    </row>
    <row r="1202" spans="2:12">
      <c r="B1202" s="73"/>
      <c r="C1202" s="73"/>
      <c r="D1202" s="73"/>
      <c r="E1202" s="73"/>
      <c r="F1202" s="73"/>
      <c r="G1202" s="73"/>
      <c r="H1202" s="73"/>
      <c r="I1202" s="73"/>
      <c r="J1202" s="73"/>
      <c r="L1202" s="73"/>
    </row>
    <row r="1203" spans="2:12">
      <c r="B1203" s="73"/>
      <c r="C1203" s="73"/>
      <c r="D1203" s="73"/>
      <c r="E1203" s="73"/>
      <c r="F1203" s="73"/>
      <c r="G1203" s="73"/>
      <c r="H1203" s="73"/>
      <c r="I1203" s="73"/>
      <c r="J1203" s="73"/>
      <c r="L1203" s="73"/>
    </row>
    <row r="1204" spans="2:12">
      <c r="B1204" s="73"/>
      <c r="C1204" s="73"/>
      <c r="D1204" s="73"/>
      <c r="E1204" s="73"/>
      <c r="F1204" s="73"/>
      <c r="G1204" s="73"/>
      <c r="H1204" s="73"/>
      <c r="I1204" s="73"/>
      <c r="J1204" s="73"/>
      <c r="L1204" s="73"/>
    </row>
    <row r="1205" spans="2:12">
      <c r="B1205" s="73"/>
      <c r="C1205" s="73"/>
      <c r="D1205" s="73"/>
      <c r="E1205" s="73"/>
      <c r="F1205" s="73"/>
      <c r="G1205" s="73"/>
      <c r="H1205" s="73"/>
      <c r="I1205" s="73"/>
      <c r="J1205" s="73"/>
      <c r="L1205" s="73"/>
    </row>
    <row r="1206" spans="2:12">
      <c r="B1206" s="73"/>
      <c r="C1206" s="73"/>
      <c r="D1206" s="73"/>
      <c r="E1206" s="73"/>
      <c r="F1206" s="73"/>
      <c r="G1206" s="73"/>
      <c r="H1206" s="73"/>
      <c r="I1206" s="73"/>
      <c r="J1206" s="73"/>
      <c r="L1206" s="73"/>
    </row>
    <row r="1207" spans="2:12">
      <c r="B1207" s="73"/>
      <c r="C1207" s="73"/>
      <c r="D1207" s="73"/>
      <c r="E1207" s="73"/>
      <c r="F1207" s="73"/>
      <c r="G1207" s="73"/>
      <c r="H1207" s="73"/>
      <c r="I1207" s="73"/>
      <c r="J1207" s="73"/>
      <c r="L1207" s="73"/>
    </row>
    <row r="1208" spans="2:12">
      <c r="B1208" s="73"/>
      <c r="C1208" s="73"/>
      <c r="D1208" s="73"/>
      <c r="E1208" s="73"/>
      <c r="F1208" s="73"/>
      <c r="G1208" s="73"/>
      <c r="H1208" s="73"/>
      <c r="I1208" s="73"/>
      <c r="J1208" s="73"/>
      <c r="L1208" s="73"/>
    </row>
    <row r="1209" spans="2:12">
      <c r="B1209" s="73"/>
      <c r="C1209" s="73"/>
      <c r="D1209" s="73"/>
      <c r="E1209" s="73"/>
      <c r="F1209" s="73"/>
      <c r="G1209" s="73"/>
      <c r="H1209" s="73"/>
      <c r="I1209" s="73"/>
      <c r="J1209" s="73"/>
      <c r="L1209" s="73"/>
    </row>
    <row r="1210" spans="2:12">
      <c r="B1210" s="73"/>
      <c r="C1210" s="73"/>
      <c r="D1210" s="73"/>
      <c r="E1210" s="73"/>
      <c r="F1210" s="73"/>
      <c r="G1210" s="73"/>
      <c r="H1210" s="73"/>
      <c r="I1210" s="73"/>
      <c r="J1210" s="73"/>
      <c r="L1210" s="73"/>
    </row>
    <row r="1211" spans="2:12">
      <c r="B1211" s="73"/>
      <c r="C1211" s="73"/>
      <c r="D1211" s="73"/>
      <c r="E1211" s="73"/>
      <c r="F1211" s="73"/>
      <c r="G1211" s="73"/>
      <c r="H1211" s="73"/>
      <c r="I1211" s="73"/>
      <c r="J1211" s="73"/>
      <c r="L1211" s="73"/>
    </row>
    <row r="1212" spans="2:12">
      <c r="B1212" s="73"/>
      <c r="C1212" s="73"/>
      <c r="D1212" s="73"/>
      <c r="E1212" s="73"/>
      <c r="F1212" s="73"/>
      <c r="G1212" s="73"/>
      <c r="H1212" s="73"/>
      <c r="I1212" s="73"/>
      <c r="J1212" s="73"/>
      <c r="L1212" s="73"/>
    </row>
    <row r="1213" spans="2:12">
      <c r="B1213" s="73"/>
      <c r="C1213" s="73"/>
      <c r="D1213" s="73"/>
      <c r="E1213" s="73"/>
      <c r="F1213" s="73"/>
      <c r="G1213" s="73"/>
      <c r="H1213" s="73"/>
      <c r="I1213" s="73"/>
      <c r="J1213" s="73"/>
      <c r="L1213" s="73"/>
    </row>
    <row r="1214" spans="2:12">
      <c r="B1214" s="73"/>
      <c r="C1214" s="73"/>
      <c r="D1214" s="73"/>
      <c r="E1214" s="73"/>
      <c r="F1214" s="73"/>
      <c r="G1214" s="73"/>
      <c r="H1214" s="73"/>
      <c r="I1214" s="73"/>
      <c r="J1214" s="73"/>
      <c r="L1214" s="73"/>
    </row>
    <row r="1215" spans="2:12">
      <c r="B1215" s="73"/>
      <c r="C1215" s="73"/>
      <c r="D1215" s="73"/>
      <c r="E1215" s="73"/>
      <c r="F1215" s="73"/>
      <c r="G1215" s="73"/>
      <c r="H1215" s="73"/>
      <c r="I1215" s="73"/>
      <c r="J1215" s="73"/>
      <c r="L1215" s="73"/>
    </row>
    <row r="1216" spans="2:12">
      <c r="B1216" s="73"/>
      <c r="C1216" s="73"/>
      <c r="D1216" s="73"/>
      <c r="E1216" s="73"/>
      <c r="F1216" s="73"/>
      <c r="G1216" s="73"/>
      <c r="H1216" s="73"/>
      <c r="I1216" s="73"/>
      <c r="J1216" s="73"/>
      <c r="L1216" s="73"/>
    </row>
    <row r="1217" spans="2:12">
      <c r="B1217" s="73"/>
      <c r="C1217" s="73"/>
      <c r="D1217" s="73"/>
      <c r="E1217" s="73"/>
      <c r="F1217" s="73"/>
      <c r="G1217" s="73"/>
      <c r="H1217" s="73"/>
      <c r="I1217" s="73"/>
      <c r="J1217" s="73"/>
      <c r="L1217" s="73"/>
    </row>
    <row r="1218" spans="2:12">
      <c r="B1218" s="73"/>
      <c r="C1218" s="73"/>
      <c r="D1218" s="73"/>
      <c r="E1218" s="73"/>
      <c r="F1218" s="73"/>
      <c r="G1218" s="73"/>
      <c r="H1218" s="73"/>
      <c r="I1218" s="73"/>
      <c r="J1218" s="73"/>
      <c r="L1218" s="73"/>
    </row>
    <row r="1219" spans="2:12">
      <c r="B1219" s="73"/>
      <c r="C1219" s="73"/>
      <c r="D1219" s="73"/>
      <c r="E1219" s="73"/>
      <c r="F1219" s="73"/>
      <c r="G1219" s="73"/>
      <c r="H1219" s="73"/>
      <c r="I1219" s="73"/>
      <c r="J1219" s="73"/>
      <c r="L1219" s="73"/>
    </row>
    <row r="1220" spans="2:12">
      <c r="B1220" s="73"/>
      <c r="C1220" s="73"/>
      <c r="D1220" s="73"/>
      <c r="E1220" s="73"/>
      <c r="F1220" s="73"/>
      <c r="G1220" s="73"/>
      <c r="H1220" s="73"/>
      <c r="I1220" s="73"/>
      <c r="J1220" s="73"/>
      <c r="L1220" s="73"/>
    </row>
    <row r="1221" spans="2:12">
      <c r="B1221" s="73"/>
      <c r="C1221" s="73"/>
      <c r="D1221" s="73"/>
      <c r="E1221" s="73"/>
      <c r="F1221" s="73"/>
      <c r="G1221" s="73"/>
      <c r="H1221" s="73"/>
      <c r="I1221" s="73"/>
      <c r="J1221" s="73"/>
      <c r="L1221" s="73"/>
    </row>
    <row r="1222" spans="2:12">
      <c r="B1222" s="73"/>
      <c r="C1222" s="73"/>
      <c r="D1222" s="73"/>
      <c r="E1222" s="73"/>
      <c r="F1222" s="73"/>
      <c r="G1222" s="73"/>
      <c r="H1222" s="73"/>
      <c r="I1222" s="73"/>
      <c r="J1222" s="73"/>
      <c r="L1222" s="73"/>
    </row>
    <row r="1223" spans="2:12">
      <c r="B1223" s="73"/>
      <c r="C1223" s="73"/>
      <c r="D1223" s="73"/>
      <c r="E1223" s="73"/>
      <c r="F1223" s="73"/>
      <c r="G1223" s="73"/>
      <c r="H1223" s="73"/>
      <c r="I1223" s="73"/>
      <c r="J1223" s="73"/>
      <c r="L1223" s="73"/>
    </row>
    <row r="1224" spans="2:12">
      <c r="B1224" s="73"/>
      <c r="C1224" s="73"/>
      <c r="D1224" s="73"/>
      <c r="E1224" s="73"/>
      <c r="F1224" s="73"/>
      <c r="G1224" s="73"/>
      <c r="H1224" s="73"/>
      <c r="I1224" s="73"/>
      <c r="J1224" s="73"/>
      <c r="L1224" s="73"/>
    </row>
    <row r="1225" spans="2:12">
      <c r="B1225" s="73"/>
      <c r="C1225" s="73"/>
      <c r="D1225" s="73"/>
      <c r="E1225" s="73"/>
      <c r="F1225" s="73"/>
      <c r="G1225" s="73"/>
      <c r="H1225" s="73"/>
      <c r="I1225" s="73"/>
      <c r="J1225" s="73"/>
      <c r="L1225" s="73"/>
    </row>
    <row r="1226" spans="2:12">
      <c r="B1226" s="73"/>
      <c r="C1226" s="73"/>
      <c r="D1226" s="73"/>
      <c r="E1226" s="73"/>
      <c r="F1226" s="73"/>
      <c r="G1226" s="73"/>
      <c r="H1226" s="73"/>
      <c r="I1226" s="73"/>
      <c r="J1226" s="73"/>
      <c r="L1226" s="73"/>
    </row>
    <row r="1227" spans="2:12">
      <c r="B1227" s="73"/>
      <c r="C1227" s="73"/>
      <c r="D1227" s="73"/>
      <c r="E1227" s="73"/>
      <c r="F1227" s="73"/>
      <c r="G1227" s="73"/>
      <c r="H1227" s="73"/>
      <c r="I1227" s="73"/>
      <c r="J1227" s="73"/>
      <c r="L1227" s="73"/>
    </row>
    <row r="1228" spans="2:12">
      <c r="B1228" s="73"/>
      <c r="C1228" s="73"/>
      <c r="D1228" s="73"/>
      <c r="E1228" s="73"/>
      <c r="F1228" s="73"/>
      <c r="G1228" s="73"/>
      <c r="H1228" s="73"/>
      <c r="I1228" s="73"/>
      <c r="J1228" s="73"/>
      <c r="L1228" s="73"/>
    </row>
    <row r="1229" spans="2:12">
      <c r="B1229" s="73"/>
      <c r="C1229" s="73"/>
      <c r="D1229" s="73"/>
      <c r="E1229" s="73"/>
      <c r="F1229" s="73"/>
      <c r="G1229" s="73"/>
      <c r="H1229" s="73"/>
      <c r="I1229" s="73"/>
      <c r="J1229" s="73"/>
      <c r="L1229" s="73"/>
    </row>
    <row r="1230" spans="2:12">
      <c r="B1230" s="73"/>
      <c r="C1230" s="73"/>
      <c r="D1230" s="73"/>
      <c r="E1230" s="73"/>
      <c r="F1230" s="73"/>
      <c r="G1230" s="73"/>
      <c r="H1230" s="73"/>
      <c r="I1230" s="73"/>
      <c r="J1230" s="73"/>
      <c r="L1230" s="73"/>
    </row>
    <row r="1231" spans="2:12">
      <c r="B1231" s="73"/>
      <c r="C1231" s="73"/>
      <c r="D1231" s="73"/>
      <c r="E1231" s="73"/>
      <c r="F1231" s="73"/>
      <c r="G1231" s="73"/>
      <c r="H1231" s="73"/>
      <c r="I1231" s="73"/>
      <c r="J1231" s="73"/>
      <c r="L1231" s="73"/>
    </row>
    <row r="1232" spans="2:12">
      <c r="B1232" s="73"/>
      <c r="C1232" s="73"/>
      <c r="D1232" s="73"/>
      <c r="E1232" s="73"/>
      <c r="F1232" s="73"/>
      <c r="G1232" s="73"/>
      <c r="H1232" s="73"/>
      <c r="I1232" s="73"/>
      <c r="J1232" s="73"/>
      <c r="L1232" s="73"/>
    </row>
    <row r="1233" spans="2:12">
      <c r="B1233" s="73"/>
      <c r="C1233" s="73"/>
      <c r="D1233" s="73"/>
      <c r="E1233" s="73"/>
      <c r="F1233" s="73"/>
      <c r="G1233" s="73"/>
      <c r="H1233" s="73"/>
      <c r="I1233" s="73"/>
      <c r="J1233" s="73"/>
      <c r="L1233" s="73"/>
    </row>
    <row r="1234" spans="2:12">
      <c r="B1234" s="73"/>
      <c r="C1234" s="73"/>
      <c r="D1234" s="73"/>
      <c r="E1234" s="73"/>
      <c r="F1234" s="73"/>
      <c r="G1234" s="73"/>
      <c r="H1234" s="73"/>
      <c r="I1234" s="73"/>
      <c r="J1234" s="73"/>
      <c r="L1234" s="73"/>
    </row>
    <row r="1235" spans="2:12">
      <c r="B1235" s="73"/>
      <c r="C1235" s="73"/>
      <c r="D1235" s="73"/>
      <c r="E1235" s="73"/>
      <c r="F1235" s="73"/>
      <c r="G1235" s="73"/>
      <c r="H1235" s="73"/>
      <c r="I1235" s="73"/>
      <c r="J1235" s="73"/>
      <c r="L1235" s="73"/>
    </row>
    <row r="1236" spans="2:12">
      <c r="B1236" s="73"/>
      <c r="C1236" s="73"/>
      <c r="D1236" s="73"/>
      <c r="E1236" s="73"/>
      <c r="F1236" s="73"/>
      <c r="G1236" s="73"/>
      <c r="H1236" s="73"/>
      <c r="I1236" s="73"/>
      <c r="J1236" s="73"/>
      <c r="L1236" s="73"/>
    </row>
    <row r="1237" spans="2:12">
      <c r="B1237" s="73"/>
      <c r="C1237" s="73"/>
      <c r="D1237" s="73"/>
      <c r="E1237" s="73"/>
      <c r="F1237" s="73"/>
      <c r="G1237" s="73"/>
      <c r="H1237" s="73"/>
      <c r="I1237" s="73"/>
      <c r="J1237" s="73"/>
      <c r="L1237" s="73"/>
    </row>
    <row r="1238" spans="2:12">
      <c r="B1238" s="73"/>
      <c r="C1238" s="73"/>
      <c r="D1238" s="73"/>
      <c r="E1238" s="73"/>
      <c r="F1238" s="73"/>
      <c r="G1238" s="73"/>
      <c r="H1238" s="73"/>
      <c r="I1238" s="73"/>
      <c r="J1238" s="73"/>
      <c r="L1238" s="73"/>
    </row>
    <row r="1239" spans="2:12">
      <c r="B1239" s="73"/>
      <c r="C1239" s="73"/>
      <c r="D1239" s="73"/>
      <c r="E1239" s="73"/>
      <c r="F1239" s="73"/>
      <c r="G1239" s="73"/>
      <c r="H1239" s="73"/>
      <c r="I1239" s="73"/>
      <c r="J1239" s="73"/>
      <c r="L1239" s="73"/>
    </row>
    <row r="1240" spans="2:12">
      <c r="B1240" s="73"/>
      <c r="C1240" s="73"/>
      <c r="D1240" s="73"/>
      <c r="E1240" s="73"/>
      <c r="F1240" s="73"/>
      <c r="G1240" s="73"/>
      <c r="H1240" s="73"/>
      <c r="I1240" s="73"/>
      <c r="J1240" s="73"/>
      <c r="L1240" s="73"/>
    </row>
    <row r="1241" spans="2:12">
      <c r="B1241" s="73"/>
      <c r="C1241" s="73"/>
      <c r="D1241" s="73"/>
      <c r="E1241" s="73"/>
      <c r="F1241" s="73"/>
      <c r="G1241" s="73"/>
      <c r="H1241" s="73"/>
      <c r="I1241" s="73"/>
      <c r="J1241" s="73"/>
      <c r="L1241" s="73"/>
    </row>
    <row r="1242" spans="2:12">
      <c r="B1242" s="73"/>
      <c r="C1242" s="73"/>
      <c r="D1242" s="73"/>
      <c r="E1242" s="73"/>
      <c r="F1242" s="73"/>
      <c r="G1242" s="73"/>
      <c r="H1242" s="73"/>
      <c r="I1242" s="73"/>
      <c r="J1242" s="73"/>
      <c r="L1242" s="73"/>
    </row>
    <row r="1243" spans="2:12">
      <c r="B1243" s="73"/>
      <c r="C1243" s="73"/>
      <c r="D1243" s="73"/>
      <c r="E1243" s="73"/>
      <c r="F1243" s="73"/>
      <c r="G1243" s="73"/>
      <c r="H1243" s="73"/>
      <c r="I1243" s="73"/>
      <c r="J1243" s="73"/>
      <c r="L1243" s="73"/>
    </row>
    <row r="1244" spans="2:12">
      <c r="B1244" s="73"/>
      <c r="C1244" s="73"/>
      <c r="D1244" s="73"/>
      <c r="E1244" s="73"/>
      <c r="F1244" s="73"/>
      <c r="G1244" s="73"/>
      <c r="H1244" s="73"/>
      <c r="I1244" s="73"/>
      <c r="J1244" s="73"/>
      <c r="L1244" s="73"/>
    </row>
    <row r="1245" spans="2:12">
      <c r="B1245" s="73"/>
      <c r="C1245" s="73"/>
      <c r="D1245" s="73"/>
      <c r="E1245" s="73"/>
      <c r="F1245" s="73"/>
      <c r="G1245" s="73"/>
      <c r="H1245" s="73"/>
      <c r="I1245" s="73"/>
      <c r="J1245" s="73"/>
      <c r="L1245" s="73"/>
    </row>
    <row r="1246" spans="2:12">
      <c r="B1246" s="73"/>
      <c r="C1246" s="73"/>
      <c r="D1246" s="73"/>
      <c r="E1246" s="73"/>
      <c r="F1246" s="73"/>
      <c r="G1246" s="73"/>
      <c r="H1246" s="73"/>
      <c r="I1246" s="73"/>
      <c r="J1246" s="73"/>
      <c r="L1246" s="73"/>
    </row>
    <row r="1247" spans="2:12">
      <c r="B1247" s="73"/>
      <c r="C1247" s="73"/>
      <c r="D1247" s="73"/>
      <c r="E1247" s="73"/>
      <c r="F1247" s="73"/>
      <c r="G1247" s="73"/>
      <c r="H1247" s="73"/>
      <c r="I1247" s="73"/>
      <c r="J1247" s="73"/>
      <c r="L1247" s="73"/>
    </row>
    <row r="1248" spans="2:12">
      <c r="B1248" s="73"/>
      <c r="C1248" s="73"/>
      <c r="D1248" s="73"/>
      <c r="E1248" s="73"/>
      <c r="F1248" s="73"/>
      <c r="G1248" s="73"/>
      <c r="H1248" s="73"/>
      <c r="I1248" s="73"/>
      <c r="J1248" s="73"/>
      <c r="L1248" s="73"/>
    </row>
    <row r="1249" spans="2:12">
      <c r="B1249" s="73"/>
      <c r="C1249" s="73"/>
      <c r="D1249" s="73"/>
      <c r="E1249" s="73"/>
      <c r="F1249" s="73"/>
      <c r="G1249" s="73"/>
      <c r="H1249" s="73"/>
      <c r="I1249" s="73"/>
      <c r="J1249" s="73"/>
      <c r="L1249" s="73"/>
    </row>
    <row r="1250" spans="2:12">
      <c r="B1250" s="73"/>
      <c r="C1250" s="73"/>
      <c r="D1250" s="73"/>
      <c r="E1250" s="73"/>
      <c r="F1250" s="73"/>
      <c r="G1250" s="73"/>
      <c r="H1250" s="73"/>
      <c r="I1250" s="73"/>
      <c r="J1250" s="73"/>
      <c r="L1250" s="73"/>
    </row>
    <row r="1251" spans="2:12">
      <c r="B1251" s="73"/>
      <c r="C1251" s="73"/>
      <c r="D1251" s="73"/>
      <c r="E1251" s="73"/>
      <c r="F1251" s="73"/>
      <c r="G1251" s="73"/>
      <c r="H1251" s="73"/>
      <c r="I1251" s="73"/>
      <c r="J1251" s="73"/>
      <c r="L1251" s="73"/>
    </row>
    <row r="1252" spans="2:12">
      <c r="B1252" s="73"/>
      <c r="C1252" s="73"/>
      <c r="D1252" s="73"/>
      <c r="E1252" s="73"/>
      <c r="F1252" s="73"/>
      <c r="G1252" s="73"/>
      <c r="H1252" s="73"/>
      <c r="I1252" s="73"/>
      <c r="J1252" s="73"/>
      <c r="L1252" s="73"/>
    </row>
    <row r="1253" spans="2:12">
      <c r="B1253" s="73"/>
      <c r="C1253" s="73"/>
      <c r="D1253" s="73"/>
      <c r="E1253" s="73"/>
      <c r="F1253" s="73"/>
      <c r="G1253" s="73"/>
      <c r="H1253" s="73"/>
      <c r="I1253" s="73"/>
      <c r="J1253" s="73"/>
      <c r="L1253" s="73"/>
    </row>
    <row r="1254" spans="2:12">
      <c r="B1254" s="73"/>
      <c r="C1254" s="73"/>
      <c r="D1254" s="73"/>
      <c r="E1254" s="73"/>
      <c r="F1254" s="73"/>
      <c r="G1254" s="73"/>
      <c r="H1254" s="73"/>
      <c r="I1254" s="73"/>
      <c r="J1254" s="73"/>
      <c r="L1254" s="73"/>
    </row>
    <row r="1255" spans="2:12">
      <c r="B1255" s="73"/>
      <c r="C1255" s="73"/>
      <c r="D1255" s="73"/>
      <c r="E1255" s="73"/>
      <c r="F1255" s="73"/>
      <c r="G1255" s="73"/>
      <c r="H1255" s="73"/>
      <c r="I1255" s="73"/>
      <c r="J1255" s="73"/>
      <c r="L1255" s="73"/>
    </row>
    <row r="1256" spans="2:12">
      <c r="B1256" s="73"/>
      <c r="C1256" s="73"/>
      <c r="D1256" s="73"/>
      <c r="E1256" s="73"/>
      <c r="F1256" s="73"/>
      <c r="G1256" s="73"/>
      <c r="H1256" s="73"/>
      <c r="I1256" s="73"/>
      <c r="J1256" s="73"/>
      <c r="L1256" s="73"/>
    </row>
    <row r="1257" spans="2:12">
      <c r="B1257" s="73"/>
      <c r="C1257" s="73"/>
      <c r="D1257" s="73"/>
      <c r="E1257" s="73"/>
      <c r="F1257" s="73"/>
      <c r="G1257" s="73"/>
      <c r="H1257" s="73"/>
      <c r="I1257" s="73"/>
      <c r="J1257" s="73"/>
      <c r="L1257" s="73"/>
    </row>
    <row r="1258" spans="2:12">
      <c r="B1258" s="73"/>
      <c r="C1258" s="73"/>
      <c r="D1258" s="73"/>
      <c r="E1258" s="73"/>
      <c r="F1258" s="73"/>
      <c r="G1258" s="73"/>
      <c r="H1258" s="73"/>
      <c r="I1258" s="73"/>
      <c r="J1258" s="73"/>
      <c r="L1258" s="73"/>
    </row>
    <row r="1259" spans="2:12">
      <c r="B1259" s="73"/>
      <c r="C1259" s="73"/>
      <c r="D1259" s="73"/>
      <c r="E1259" s="73"/>
      <c r="F1259" s="73"/>
      <c r="G1259" s="73"/>
      <c r="H1259" s="73"/>
      <c r="I1259" s="73"/>
      <c r="J1259" s="73"/>
      <c r="L1259" s="73"/>
    </row>
    <row r="1260" spans="2:12">
      <c r="B1260" s="73"/>
      <c r="C1260" s="73"/>
      <c r="D1260" s="73"/>
      <c r="E1260" s="73"/>
      <c r="F1260" s="73"/>
      <c r="G1260" s="73"/>
      <c r="H1260" s="73"/>
      <c r="I1260" s="73"/>
      <c r="J1260" s="73"/>
      <c r="L1260" s="73"/>
    </row>
    <row r="1261" spans="2:12">
      <c r="B1261" s="73"/>
      <c r="C1261" s="73"/>
      <c r="D1261" s="73"/>
      <c r="E1261" s="73"/>
      <c r="F1261" s="73"/>
      <c r="G1261" s="73"/>
      <c r="H1261" s="73"/>
      <c r="I1261" s="73"/>
      <c r="J1261" s="73"/>
      <c r="L1261" s="73"/>
    </row>
    <row r="1262" spans="2:12">
      <c r="B1262" s="73"/>
      <c r="C1262" s="73"/>
      <c r="D1262" s="73"/>
      <c r="E1262" s="73"/>
      <c r="F1262" s="73"/>
      <c r="G1262" s="73"/>
      <c r="H1262" s="73"/>
      <c r="I1262" s="73"/>
      <c r="J1262" s="73"/>
      <c r="L1262" s="73"/>
    </row>
    <row r="1263" spans="2:12">
      <c r="B1263" s="73"/>
      <c r="C1263" s="73"/>
      <c r="D1263" s="73"/>
      <c r="E1263" s="73"/>
      <c r="F1263" s="73"/>
      <c r="G1263" s="73"/>
      <c r="H1263" s="73"/>
      <c r="I1263" s="73"/>
      <c r="J1263" s="73"/>
      <c r="L1263" s="73"/>
    </row>
    <row r="1264" spans="2:12">
      <c r="B1264" s="73"/>
      <c r="C1264" s="73"/>
      <c r="D1264" s="73"/>
      <c r="E1264" s="73"/>
      <c r="F1264" s="73"/>
      <c r="G1264" s="73"/>
      <c r="H1264" s="73"/>
      <c r="I1264" s="73"/>
      <c r="J1264" s="73"/>
      <c r="L1264" s="73"/>
    </row>
    <row r="1265" spans="2:12">
      <c r="B1265" s="73"/>
      <c r="C1265" s="73"/>
      <c r="D1265" s="73"/>
      <c r="E1265" s="73"/>
      <c r="F1265" s="73"/>
      <c r="G1265" s="73"/>
      <c r="H1265" s="73"/>
      <c r="I1265" s="73"/>
      <c r="J1265" s="73"/>
      <c r="L1265" s="73"/>
    </row>
    <row r="1266" spans="2:12">
      <c r="B1266" s="73"/>
      <c r="C1266" s="73"/>
      <c r="D1266" s="73"/>
      <c r="E1266" s="73"/>
      <c r="F1266" s="73"/>
      <c r="G1266" s="73"/>
      <c r="H1266" s="73"/>
      <c r="I1266" s="73"/>
      <c r="J1266" s="73"/>
      <c r="L1266" s="73"/>
    </row>
    <row r="1267" spans="2:12">
      <c r="B1267" s="73"/>
      <c r="C1267" s="73"/>
      <c r="D1267" s="73"/>
      <c r="E1267" s="73"/>
      <c r="F1267" s="73"/>
      <c r="G1267" s="73"/>
      <c r="H1267" s="73"/>
      <c r="I1267" s="73"/>
      <c r="J1267" s="73"/>
      <c r="L1267" s="73"/>
    </row>
    <row r="1268" spans="2:12">
      <c r="B1268" s="73"/>
      <c r="C1268" s="73"/>
      <c r="D1268" s="73"/>
      <c r="E1268" s="73"/>
      <c r="F1268" s="73"/>
      <c r="G1268" s="73"/>
      <c r="H1268" s="73"/>
      <c r="I1268" s="73"/>
      <c r="J1268" s="73"/>
      <c r="L1268" s="73"/>
    </row>
    <row r="1269" spans="2:12">
      <c r="B1269" s="73"/>
      <c r="C1269" s="73"/>
      <c r="D1269" s="73"/>
      <c r="E1269" s="73"/>
      <c r="F1269" s="73"/>
      <c r="G1269" s="73"/>
      <c r="H1269" s="73"/>
      <c r="I1269" s="73"/>
      <c r="J1269" s="73"/>
      <c r="L1269" s="73"/>
    </row>
    <row r="1270" spans="2:12">
      <c r="B1270" s="73"/>
      <c r="C1270" s="73"/>
      <c r="D1270" s="73"/>
      <c r="E1270" s="73"/>
      <c r="F1270" s="73"/>
      <c r="G1270" s="73"/>
      <c r="H1270" s="73"/>
      <c r="I1270" s="73"/>
      <c r="J1270" s="73"/>
      <c r="L1270" s="73"/>
    </row>
    <row r="1271" spans="2:12">
      <c r="B1271" s="73"/>
      <c r="C1271" s="73"/>
      <c r="D1271" s="73"/>
      <c r="E1271" s="73"/>
      <c r="F1271" s="73"/>
      <c r="G1271" s="73"/>
      <c r="H1271" s="73"/>
      <c r="I1271" s="73"/>
      <c r="J1271" s="73"/>
      <c r="L1271" s="73"/>
    </row>
    <row r="1272" spans="2:12">
      <c r="B1272" s="73"/>
      <c r="C1272" s="73"/>
      <c r="D1272" s="73"/>
      <c r="E1272" s="73"/>
      <c r="F1272" s="73"/>
      <c r="G1272" s="73"/>
      <c r="H1272" s="73"/>
      <c r="I1272" s="73"/>
      <c r="J1272" s="73"/>
      <c r="L1272" s="73"/>
    </row>
    <row r="1273" spans="2:12">
      <c r="B1273" s="73"/>
      <c r="C1273" s="73"/>
      <c r="D1273" s="73"/>
      <c r="E1273" s="73"/>
      <c r="F1273" s="73"/>
      <c r="G1273" s="73"/>
      <c r="H1273" s="73"/>
      <c r="I1273" s="73"/>
      <c r="J1273" s="73"/>
      <c r="L1273" s="73"/>
    </row>
    <row r="1274" spans="2:12">
      <c r="B1274" s="73"/>
      <c r="C1274" s="73"/>
      <c r="D1274" s="73"/>
      <c r="E1274" s="73"/>
      <c r="F1274" s="73"/>
      <c r="G1274" s="73"/>
      <c r="H1274" s="73"/>
      <c r="I1274" s="73"/>
      <c r="J1274" s="73"/>
      <c r="L1274" s="73"/>
    </row>
    <row r="1275" spans="2:12">
      <c r="B1275" s="73"/>
      <c r="C1275" s="73"/>
      <c r="D1275" s="73"/>
      <c r="E1275" s="73"/>
      <c r="F1275" s="73"/>
      <c r="G1275" s="73"/>
      <c r="H1275" s="73"/>
      <c r="I1275" s="73"/>
      <c r="J1275" s="73"/>
      <c r="L1275" s="73"/>
    </row>
    <row r="1276" spans="2:12">
      <c r="B1276" s="73"/>
      <c r="C1276" s="73"/>
      <c r="D1276" s="73"/>
      <c r="E1276" s="73"/>
      <c r="F1276" s="73"/>
      <c r="G1276" s="73"/>
      <c r="H1276" s="73"/>
      <c r="I1276" s="73"/>
      <c r="J1276" s="73"/>
      <c r="L1276" s="73"/>
    </row>
    <row r="1277" spans="2:12">
      <c r="B1277" s="73"/>
      <c r="C1277" s="73"/>
      <c r="D1277" s="73"/>
      <c r="E1277" s="73"/>
      <c r="F1277" s="73"/>
      <c r="G1277" s="73"/>
      <c r="H1277" s="73"/>
      <c r="I1277" s="73"/>
      <c r="J1277" s="73"/>
      <c r="L1277" s="73"/>
    </row>
    <row r="1278" spans="2:12">
      <c r="B1278" s="73"/>
      <c r="C1278" s="73"/>
      <c r="D1278" s="73"/>
      <c r="E1278" s="73"/>
      <c r="F1278" s="73"/>
      <c r="G1278" s="73"/>
      <c r="H1278" s="73"/>
      <c r="I1278" s="73"/>
      <c r="J1278" s="73"/>
      <c r="L1278" s="73"/>
    </row>
    <row r="1279" spans="2:12">
      <c r="B1279" s="73"/>
      <c r="C1279" s="73"/>
      <c r="D1279" s="73"/>
      <c r="E1279" s="73"/>
      <c r="F1279" s="73"/>
      <c r="G1279" s="73"/>
      <c r="H1279" s="73"/>
      <c r="I1279" s="73"/>
      <c r="J1279" s="73"/>
      <c r="L1279" s="73"/>
    </row>
    <row r="1280" spans="2:12">
      <c r="B1280" s="73"/>
      <c r="C1280" s="73"/>
      <c r="D1280" s="73"/>
      <c r="E1280" s="73"/>
      <c r="F1280" s="73"/>
      <c r="G1280" s="73"/>
      <c r="H1280" s="73"/>
      <c r="I1280" s="73"/>
      <c r="J1280" s="73"/>
      <c r="L1280" s="73"/>
    </row>
    <row r="1281" spans="2:12">
      <c r="B1281" s="73"/>
      <c r="C1281" s="73"/>
      <c r="D1281" s="73"/>
      <c r="E1281" s="73"/>
      <c r="F1281" s="73"/>
      <c r="G1281" s="73"/>
      <c r="H1281" s="73"/>
      <c r="I1281" s="73"/>
      <c r="J1281" s="73"/>
      <c r="L1281" s="73"/>
    </row>
    <row r="1282" spans="2:12">
      <c r="B1282" s="73"/>
      <c r="C1282" s="73"/>
      <c r="D1282" s="73"/>
      <c r="E1282" s="73"/>
      <c r="F1282" s="73"/>
      <c r="G1282" s="73"/>
      <c r="H1282" s="73"/>
      <c r="I1282" s="73"/>
      <c r="J1282" s="73"/>
      <c r="L1282" s="73"/>
    </row>
    <row r="1283" spans="2:12">
      <c r="B1283" s="73"/>
      <c r="C1283" s="73"/>
      <c r="D1283" s="73"/>
      <c r="E1283" s="73"/>
      <c r="F1283" s="73"/>
      <c r="G1283" s="73"/>
      <c r="H1283" s="73"/>
      <c r="I1283" s="73"/>
      <c r="J1283" s="73"/>
      <c r="L1283" s="73"/>
    </row>
    <row r="1284" spans="2:12">
      <c r="B1284" s="73"/>
      <c r="C1284" s="73"/>
      <c r="D1284" s="73"/>
      <c r="E1284" s="73"/>
      <c r="F1284" s="73"/>
      <c r="G1284" s="73"/>
      <c r="H1284" s="73"/>
      <c r="I1284" s="73"/>
      <c r="J1284" s="73"/>
      <c r="L1284" s="73"/>
    </row>
    <row r="1285" spans="2:12">
      <c r="B1285" s="73"/>
      <c r="C1285" s="73"/>
      <c r="D1285" s="73"/>
      <c r="E1285" s="73"/>
      <c r="F1285" s="73"/>
      <c r="G1285" s="73"/>
      <c r="H1285" s="73"/>
      <c r="I1285" s="73"/>
      <c r="J1285" s="73"/>
      <c r="L1285" s="73"/>
    </row>
    <row r="1286" spans="2:12">
      <c r="B1286" s="73"/>
      <c r="C1286" s="73"/>
      <c r="D1286" s="73"/>
      <c r="E1286" s="73"/>
      <c r="F1286" s="73"/>
      <c r="G1286" s="73"/>
      <c r="H1286" s="73"/>
      <c r="I1286" s="73"/>
      <c r="J1286" s="73"/>
      <c r="L1286" s="73"/>
    </row>
    <row r="1287" spans="2:12">
      <c r="B1287" s="73"/>
      <c r="C1287" s="73"/>
      <c r="D1287" s="73"/>
      <c r="E1287" s="73"/>
      <c r="F1287" s="73"/>
      <c r="G1287" s="73"/>
      <c r="H1287" s="73"/>
      <c r="I1287" s="73"/>
      <c r="J1287" s="73"/>
      <c r="L1287" s="73"/>
    </row>
    <row r="1288" spans="2:12">
      <c r="B1288" s="73"/>
      <c r="C1288" s="73"/>
      <c r="D1288" s="73"/>
      <c r="E1288" s="73"/>
      <c r="F1288" s="73"/>
      <c r="G1288" s="73"/>
      <c r="H1288" s="73"/>
      <c r="I1288" s="73"/>
      <c r="J1288" s="73"/>
      <c r="L1288" s="73"/>
    </row>
    <row r="1289" spans="2:12">
      <c r="B1289" s="73"/>
      <c r="C1289" s="73"/>
      <c r="D1289" s="73"/>
      <c r="E1289" s="73"/>
      <c r="F1289" s="73"/>
      <c r="G1289" s="73"/>
      <c r="H1289" s="73"/>
      <c r="I1289" s="73"/>
      <c r="J1289" s="73"/>
      <c r="L1289" s="73"/>
    </row>
    <row r="1290" spans="2:12">
      <c r="B1290" s="73"/>
      <c r="C1290" s="73"/>
      <c r="D1290" s="73"/>
      <c r="E1290" s="73"/>
      <c r="F1290" s="73"/>
      <c r="G1290" s="73"/>
      <c r="H1290" s="73"/>
      <c r="I1290" s="73"/>
      <c r="J1290" s="73"/>
      <c r="L1290" s="73"/>
    </row>
    <row r="1291" spans="2:12">
      <c r="B1291" s="73"/>
      <c r="C1291" s="73"/>
      <c r="D1291" s="73"/>
      <c r="E1291" s="73"/>
      <c r="F1291" s="73"/>
      <c r="G1291" s="73"/>
      <c r="H1291" s="73"/>
      <c r="I1291" s="73"/>
      <c r="J1291" s="73"/>
      <c r="L1291" s="73"/>
    </row>
    <row r="1292" spans="2:12">
      <c r="B1292" s="73"/>
      <c r="C1292" s="73"/>
      <c r="D1292" s="73"/>
      <c r="E1292" s="73"/>
      <c r="F1292" s="73"/>
      <c r="G1292" s="73"/>
      <c r="H1292" s="73"/>
      <c r="I1292" s="73"/>
      <c r="J1292" s="73"/>
      <c r="L1292" s="73"/>
    </row>
    <row r="1293" spans="2:12">
      <c r="B1293" s="73"/>
      <c r="C1293" s="73"/>
      <c r="D1293" s="73"/>
      <c r="E1293" s="73"/>
      <c r="F1293" s="73"/>
      <c r="G1293" s="73"/>
      <c r="H1293" s="73"/>
      <c r="I1293" s="73"/>
      <c r="J1293" s="73"/>
      <c r="L1293" s="73"/>
    </row>
    <row r="1294" spans="2:12">
      <c r="B1294" s="73"/>
      <c r="C1294" s="73"/>
      <c r="D1294" s="73"/>
      <c r="E1294" s="73"/>
      <c r="F1294" s="73"/>
      <c r="G1294" s="73"/>
      <c r="H1294" s="73"/>
      <c r="I1294" s="73"/>
      <c r="J1294" s="73"/>
      <c r="L1294" s="73"/>
    </row>
    <row r="1295" spans="2:12">
      <c r="B1295" s="73"/>
      <c r="C1295" s="73"/>
      <c r="D1295" s="73"/>
      <c r="E1295" s="73"/>
      <c r="F1295" s="73"/>
      <c r="G1295" s="73"/>
      <c r="H1295" s="73"/>
      <c r="I1295" s="73"/>
      <c r="J1295" s="73"/>
      <c r="L1295" s="73"/>
    </row>
    <row r="1296" spans="2:12">
      <c r="B1296" s="73"/>
      <c r="C1296" s="73"/>
      <c r="D1296" s="73"/>
      <c r="E1296" s="73"/>
      <c r="F1296" s="73"/>
      <c r="G1296" s="73"/>
      <c r="H1296" s="73"/>
      <c r="I1296" s="73"/>
      <c r="J1296" s="73"/>
      <c r="L1296" s="73"/>
    </row>
    <row r="1297" spans="2:12">
      <c r="B1297" s="73"/>
      <c r="C1297" s="73"/>
      <c r="D1297" s="73"/>
      <c r="E1297" s="73"/>
      <c r="F1297" s="73"/>
      <c r="G1297" s="73"/>
      <c r="H1297" s="73"/>
      <c r="I1297" s="73"/>
      <c r="J1297" s="73"/>
      <c r="L1297" s="73"/>
    </row>
    <row r="1298" spans="2:12">
      <c r="B1298" s="73"/>
      <c r="C1298" s="73"/>
      <c r="D1298" s="73"/>
      <c r="E1298" s="73"/>
      <c r="F1298" s="73"/>
      <c r="G1298" s="73"/>
      <c r="H1298" s="73"/>
      <c r="I1298" s="73"/>
      <c r="J1298" s="73"/>
      <c r="L1298" s="73"/>
    </row>
    <row r="1299" spans="2:12">
      <c r="B1299" s="73"/>
      <c r="C1299" s="73"/>
      <c r="D1299" s="73"/>
      <c r="E1299" s="73"/>
      <c r="F1299" s="73"/>
      <c r="G1299" s="73"/>
      <c r="H1299" s="73"/>
      <c r="I1299" s="73"/>
      <c r="J1299" s="73"/>
      <c r="L1299" s="73"/>
    </row>
    <row r="1300" spans="2:12">
      <c r="B1300" s="73"/>
      <c r="C1300" s="73"/>
      <c r="D1300" s="73"/>
      <c r="E1300" s="73"/>
      <c r="F1300" s="73"/>
      <c r="G1300" s="73"/>
      <c r="H1300" s="73"/>
      <c r="I1300" s="73"/>
      <c r="J1300" s="73"/>
      <c r="L1300" s="73"/>
    </row>
    <row r="1301" spans="2:12">
      <c r="B1301" s="73"/>
      <c r="C1301" s="73"/>
      <c r="D1301" s="73"/>
      <c r="E1301" s="73"/>
      <c r="F1301" s="73"/>
      <c r="G1301" s="73"/>
      <c r="H1301" s="73"/>
      <c r="I1301" s="73"/>
      <c r="J1301" s="73"/>
      <c r="L1301" s="73"/>
    </row>
    <row r="1302" spans="2:12">
      <c r="B1302" s="73"/>
      <c r="C1302" s="73"/>
      <c r="D1302" s="73"/>
      <c r="E1302" s="73"/>
      <c r="F1302" s="73"/>
      <c r="G1302" s="73"/>
      <c r="H1302" s="73"/>
      <c r="I1302" s="73"/>
      <c r="J1302" s="73"/>
      <c r="L1302" s="73"/>
    </row>
    <row r="1303" spans="2:12">
      <c r="B1303" s="73"/>
      <c r="C1303" s="73"/>
      <c r="D1303" s="73"/>
      <c r="E1303" s="73"/>
      <c r="F1303" s="73"/>
      <c r="G1303" s="73"/>
      <c r="H1303" s="73"/>
      <c r="I1303" s="73"/>
      <c r="J1303" s="73"/>
      <c r="L1303" s="73"/>
    </row>
    <row r="1304" spans="2:12">
      <c r="B1304" s="73"/>
      <c r="C1304" s="73"/>
      <c r="D1304" s="73"/>
      <c r="E1304" s="73"/>
      <c r="F1304" s="73"/>
      <c r="G1304" s="73"/>
      <c r="H1304" s="73"/>
      <c r="I1304" s="73"/>
      <c r="J1304" s="73"/>
      <c r="L1304" s="73"/>
    </row>
    <row r="1305" spans="2:12">
      <c r="B1305" s="73"/>
      <c r="C1305" s="73"/>
      <c r="D1305" s="73"/>
      <c r="E1305" s="73"/>
      <c r="F1305" s="73"/>
      <c r="G1305" s="73"/>
      <c r="H1305" s="73"/>
      <c r="I1305" s="73"/>
      <c r="J1305" s="73"/>
      <c r="L1305" s="73"/>
    </row>
    <row r="1306" spans="2:12">
      <c r="B1306" s="73"/>
      <c r="C1306" s="73"/>
      <c r="D1306" s="73"/>
      <c r="E1306" s="73"/>
      <c r="F1306" s="73"/>
      <c r="G1306" s="73"/>
      <c r="H1306" s="73"/>
      <c r="I1306" s="73"/>
      <c r="J1306" s="73"/>
      <c r="L1306" s="73"/>
    </row>
    <row r="1307" spans="2:12">
      <c r="B1307" s="73"/>
      <c r="C1307" s="73"/>
      <c r="D1307" s="73"/>
      <c r="E1307" s="73"/>
      <c r="F1307" s="73"/>
      <c r="G1307" s="73"/>
      <c r="H1307" s="73"/>
      <c r="I1307" s="73"/>
      <c r="J1307" s="73"/>
      <c r="L1307" s="73"/>
    </row>
    <row r="1308" spans="2:12">
      <c r="B1308" s="73"/>
      <c r="C1308" s="73"/>
      <c r="D1308" s="73"/>
      <c r="E1308" s="73"/>
      <c r="F1308" s="73"/>
      <c r="G1308" s="73"/>
      <c r="H1308" s="73"/>
      <c r="I1308" s="73"/>
      <c r="J1308" s="73"/>
      <c r="L1308" s="73"/>
    </row>
    <row r="1309" spans="2:12">
      <c r="B1309" s="73"/>
      <c r="C1309" s="73"/>
      <c r="D1309" s="73"/>
      <c r="E1309" s="73"/>
      <c r="F1309" s="73"/>
      <c r="G1309" s="73"/>
      <c r="H1309" s="73"/>
      <c r="I1309" s="73"/>
      <c r="J1309" s="73"/>
      <c r="L1309" s="73"/>
    </row>
    <row r="1310" spans="2:12">
      <c r="B1310" s="73"/>
      <c r="C1310" s="73"/>
      <c r="D1310" s="73"/>
      <c r="E1310" s="73"/>
      <c r="F1310" s="73"/>
      <c r="G1310" s="73"/>
      <c r="H1310" s="73"/>
      <c r="I1310" s="73"/>
      <c r="J1310" s="73"/>
      <c r="L1310" s="73"/>
    </row>
    <row r="1311" spans="2:12">
      <c r="B1311" s="73"/>
      <c r="C1311" s="73"/>
      <c r="D1311" s="73"/>
      <c r="E1311" s="73"/>
      <c r="F1311" s="73"/>
      <c r="G1311" s="73"/>
      <c r="H1311" s="73"/>
      <c r="I1311" s="73"/>
      <c r="J1311" s="73"/>
      <c r="L1311" s="73"/>
    </row>
    <row r="1312" spans="2:12">
      <c r="B1312" s="73"/>
      <c r="C1312" s="73"/>
      <c r="D1312" s="73"/>
      <c r="E1312" s="73"/>
      <c r="F1312" s="73"/>
      <c r="G1312" s="73"/>
      <c r="H1312" s="73"/>
      <c r="I1312" s="73"/>
      <c r="J1312" s="73"/>
      <c r="L1312" s="73"/>
    </row>
    <row r="1313" spans="2:12">
      <c r="B1313" s="73"/>
      <c r="C1313" s="73"/>
      <c r="D1313" s="73"/>
      <c r="E1313" s="73"/>
      <c r="F1313" s="73"/>
      <c r="G1313" s="73"/>
      <c r="H1313" s="73"/>
      <c r="I1313" s="73"/>
      <c r="J1313" s="73"/>
      <c r="L1313" s="73"/>
    </row>
    <row r="1314" spans="2:12">
      <c r="B1314" s="73"/>
      <c r="C1314" s="73"/>
      <c r="D1314" s="73"/>
      <c r="E1314" s="73"/>
      <c r="F1314" s="73"/>
      <c r="G1314" s="73"/>
      <c r="H1314" s="73"/>
      <c r="I1314" s="73"/>
      <c r="J1314" s="73"/>
      <c r="L1314" s="73"/>
    </row>
    <row r="1315" spans="2:12">
      <c r="B1315" s="73"/>
      <c r="C1315" s="73"/>
      <c r="D1315" s="73"/>
      <c r="E1315" s="73"/>
      <c r="F1315" s="73"/>
      <c r="G1315" s="73"/>
      <c r="H1315" s="73"/>
      <c r="I1315" s="73"/>
      <c r="J1315" s="73"/>
      <c r="L1315" s="73"/>
    </row>
    <row r="1316" spans="2:12">
      <c r="B1316" s="73"/>
      <c r="C1316" s="73"/>
      <c r="D1316" s="73"/>
      <c r="E1316" s="73"/>
      <c r="F1316" s="73"/>
      <c r="G1316" s="73"/>
      <c r="H1316" s="73"/>
      <c r="I1316" s="73"/>
      <c r="J1316" s="73"/>
      <c r="L1316" s="73"/>
    </row>
    <row r="1317" spans="2:12">
      <c r="B1317" s="73"/>
      <c r="C1317" s="73"/>
      <c r="D1317" s="73"/>
      <c r="E1317" s="73"/>
      <c r="F1317" s="73"/>
      <c r="G1317" s="73"/>
      <c r="H1317" s="73"/>
      <c r="I1317" s="73"/>
      <c r="J1317" s="73"/>
      <c r="L1317" s="73"/>
    </row>
    <row r="1318" spans="2:12">
      <c r="B1318" s="73"/>
      <c r="C1318" s="73"/>
      <c r="D1318" s="73"/>
      <c r="E1318" s="73"/>
      <c r="F1318" s="73"/>
      <c r="G1318" s="73"/>
      <c r="H1318" s="73"/>
      <c r="I1318" s="73"/>
      <c r="J1318" s="73"/>
      <c r="L1318" s="73"/>
    </row>
    <row r="1319" spans="2:12">
      <c r="B1319" s="73"/>
      <c r="C1319" s="73"/>
      <c r="D1319" s="73"/>
      <c r="E1319" s="73"/>
      <c r="F1319" s="73"/>
      <c r="G1319" s="73"/>
      <c r="H1319" s="73"/>
      <c r="I1319" s="73"/>
      <c r="J1319" s="73"/>
      <c r="L1319" s="73"/>
    </row>
    <row r="1320" spans="2:12">
      <c r="B1320" s="73"/>
      <c r="C1320" s="73"/>
      <c r="D1320" s="73"/>
      <c r="E1320" s="73"/>
      <c r="F1320" s="73"/>
      <c r="G1320" s="73"/>
      <c r="H1320" s="73"/>
      <c r="I1320" s="73"/>
      <c r="J1320" s="73"/>
      <c r="L1320" s="73"/>
    </row>
    <row r="1321" spans="2:12">
      <c r="B1321" s="73"/>
      <c r="C1321" s="73"/>
      <c r="D1321" s="73"/>
      <c r="E1321" s="73"/>
      <c r="F1321" s="73"/>
      <c r="G1321" s="73"/>
      <c r="H1321" s="73"/>
      <c r="I1321" s="73"/>
      <c r="J1321" s="73"/>
      <c r="L1321" s="73"/>
    </row>
    <row r="1322" spans="2:12">
      <c r="B1322" s="73"/>
      <c r="C1322" s="73"/>
      <c r="D1322" s="73"/>
      <c r="E1322" s="73"/>
      <c r="F1322" s="73"/>
      <c r="G1322" s="73"/>
      <c r="H1322" s="73"/>
      <c r="I1322" s="73"/>
      <c r="J1322" s="73"/>
      <c r="L1322" s="73"/>
    </row>
    <row r="1323" spans="2:12">
      <c r="B1323" s="73"/>
      <c r="C1323" s="73"/>
      <c r="D1323" s="73"/>
      <c r="E1323" s="73"/>
      <c r="F1323" s="73"/>
      <c r="G1323" s="73"/>
      <c r="H1323" s="73"/>
      <c r="I1323" s="73"/>
      <c r="J1323" s="73"/>
      <c r="L1323" s="73"/>
    </row>
    <row r="1324" spans="2:12">
      <c r="B1324" s="73"/>
      <c r="C1324" s="73"/>
      <c r="D1324" s="73"/>
      <c r="E1324" s="73"/>
      <c r="F1324" s="73"/>
      <c r="G1324" s="73"/>
      <c r="H1324" s="73"/>
      <c r="I1324" s="73"/>
      <c r="J1324" s="73"/>
      <c r="L1324" s="73"/>
    </row>
    <row r="1325" spans="2:12">
      <c r="B1325" s="73"/>
      <c r="C1325" s="73"/>
      <c r="D1325" s="73"/>
      <c r="E1325" s="73"/>
      <c r="F1325" s="73"/>
      <c r="G1325" s="73"/>
      <c r="H1325" s="73"/>
      <c r="I1325" s="73"/>
      <c r="J1325" s="73"/>
      <c r="L1325" s="73"/>
    </row>
    <row r="1326" spans="2:12">
      <c r="B1326" s="73"/>
      <c r="C1326" s="73"/>
      <c r="D1326" s="73"/>
      <c r="E1326" s="73"/>
      <c r="F1326" s="73"/>
      <c r="G1326" s="73"/>
      <c r="H1326" s="73"/>
      <c r="I1326" s="73"/>
      <c r="J1326" s="73"/>
      <c r="L1326" s="73"/>
    </row>
    <row r="1327" spans="2:12">
      <c r="B1327" s="73"/>
      <c r="C1327" s="73"/>
      <c r="D1327" s="73"/>
      <c r="E1327" s="73"/>
      <c r="F1327" s="73"/>
      <c r="G1327" s="73"/>
      <c r="H1327" s="73"/>
      <c r="I1327" s="73"/>
      <c r="J1327" s="73"/>
      <c r="L1327" s="73"/>
    </row>
    <row r="1328" spans="2:12">
      <c r="B1328" s="73"/>
      <c r="C1328" s="73"/>
      <c r="D1328" s="73"/>
      <c r="E1328" s="73"/>
      <c r="F1328" s="73"/>
      <c r="G1328" s="73"/>
      <c r="H1328" s="73"/>
      <c r="I1328" s="73"/>
      <c r="J1328" s="73"/>
      <c r="L1328" s="73"/>
    </row>
    <row r="1329" spans="2:12">
      <c r="B1329" s="73"/>
      <c r="C1329" s="73"/>
      <c r="D1329" s="73"/>
      <c r="E1329" s="73"/>
      <c r="F1329" s="73"/>
      <c r="G1329" s="73"/>
      <c r="H1329" s="73"/>
      <c r="I1329" s="73"/>
      <c r="J1329" s="73"/>
      <c r="L1329" s="73"/>
    </row>
    <row r="1330" spans="2:12">
      <c r="B1330" s="73"/>
      <c r="C1330" s="73"/>
      <c r="D1330" s="73"/>
      <c r="E1330" s="73"/>
      <c r="F1330" s="73"/>
      <c r="G1330" s="73"/>
      <c r="H1330" s="73"/>
      <c r="I1330" s="73"/>
      <c r="J1330" s="73"/>
      <c r="L1330" s="73"/>
    </row>
    <row r="1331" spans="2:12">
      <c r="B1331" s="73"/>
      <c r="C1331" s="73"/>
      <c r="D1331" s="73"/>
      <c r="E1331" s="73"/>
      <c r="F1331" s="73"/>
      <c r="G1331" s="73"/>
      <c r="H1331" s="73"/>
      <c r="I1331" s="73"/>
      <c r="J1331" s="73"/>
      <c r="L1331" s="73"/>
    </row>
    <row r="1332" spans="2:12">
      <c r="B1332" s="73"/>
      <c r="C1332" s="73"/>
      <c r="D1332" s="73"/>
      <c r="E1332" s="73"/>
      <c r="F1332" s="73"/>
      <c r="G1332" s="73"/>
      <c r="H1332" s="73"/>
      <c r="I1332" s="73"/>
      <c r="J1332" s="73"/>
      <c r="L1332" s="73"/>
    </row>
    <row r="1333" spans="2:12">
      <c r="B1333" s="73"/>
      <c r="C1333" s="73"/>
      <c r="D1333" s="73"/>
      <c r="E1333" s="73"/>
      <c r="F1333" s="73"/>
      <c r="G1333" s="73"/>
      <c r="H1333" s="73"/>
      <c r="I1333" s="73"/>
      <c r="J1333" s="73"/>
      <c r="L1333" s="73"/>
    </row>
    <row r="1334" spans="2:12">
      <c r="B1334" s="73"/>
      <c r="C1334" s="73"/>
      <c r="D1334" s="73"/>
      <c r="E1334" s="73"/>
      <c r="F1334" s="73"/>
      <c r="G1334" s="73"/>
      <c r="H1334" s="73"/>
      <c r="I1334" s="73"/>
      <c r="J1334" s="73"/>
      <c r="L1334" s="73"/>
    </row>
    <row r="1335" spans="2:12">
      <c r="B1335" s="73"/>
      <c r="C1335" s="73"/>
      <c r="D1335" s="73"/>
      <c r="E1335" s="73"/>
      <c r="F1335" s="73"/>
      <c r="G1335" s="73"/>
      <c r="H1335" s="73"/>
      <c r="I1335" s="73"/>
      <c r="J1335" s="73"/>
      <c r="L1335" s="73"/>
    </row>
    <row r="1336" spans="2:12">
      <c r="B1336" s="73"/>
      <c r="C1336" s="73"/>
      <c r="D1336" s="73"/>
      <c r="E1336" s="73"/>
      <c r="F1336" s="73"/>
      <c r="G1336" s="73"/>
      <c r="H1336" s="73"/>
      <c r="I1336" s="73"/>
      <c r="J1336" s="73"/>
      <c r="L1336" s="73"/>
    </row>
    <row r="1337" spans="2:12">
      <c r="B1337" s="73"/>
      <c r="C1337" s="73"/>
      <c r="D1337" s="73"/>
      <c r="E1337" s="73"/>
      <c r="F1337" s="73"/>
      <c r="G1337" s="73"/>
      <c r="H1337" s="73"/>
      <c r="I1337" s="73"/>
      <c r="J1337" s="73"/>
      <c r="L1337" s="73"/>
    </row>
    <row r="1338" spans="2:12">
      <c r="B1338" s="73"/>
      <c r="C1338" s="73"/>
      <c r="D1338" s="73"/>
      <c r="E1338" s="73"/>
      <c r="F1338" s="73"/>
      <c r="G1338" s="73"/>
      <c r="H1338" s="73"/>
      <c r="I1338" s="73"/>
      <c r="J1338" s="73"/>
      <c r="L1338" s="73"/>
    </row>
    <row r="1339" spans="2:12">
      <c r="B1339" s="73"/>
      <c r="C1339" s="73"/>
      <c r="D1339" s="73"/>
      <c r="E1339" s="73"/>
      <c r="F1339" s="73"/>
      <c r="G1339" s="73"/>
      <c r="H1339" s="73"/>
      <c r="I1339" s="73"/>
      <c r="J1339" s="73"/>
      <c r="L1339" s="73"/>
    </row>
    <row r="1340" spans="2:12">
      <c r="B1340" s="73"/>
      <c r="C1340" s="73"/>
      <c r="D1340" s="73"/>
      <c r="E1340" s="73"/>
      <c r="F1340" s="73"/>
      <c r="G1340" s="73"/>
      <c r="H1340" s="73"/>
      <c r="I1340" s="73"/>
      <c r="J1340" s="73"/>
      <c r="L1340" s="73"/>
    </row>
    <row r="1341" spans="2:12">
      <c r="B1341" s="73"/>
      <c r="C1341" s="73"/>
      <c r="D1341" s="73"/>
      <c r="E1341" s="73"/>
      <c r="F1341" s="73"/>
      <c r="G1341" s="73"/>
      <c r="H1341" s="73"/>
      <c r="I1341" s="73"/>
      <c r="J1341" s="73"/>
      <c r="L1341" s="73"/>
    </row>
    <row r="1342" spans="2:12">
      <c r="B1342" s="73"/>
      <c r="C1342" s="73"/>
      <c r="D1342" s="73"/>
      <c r="E1342" s="73"/>
      <c r="F1342" s="73"/>
      <c r="G1342" s="73"/>
      <c r="H1342" s="73"/>
      <c r="I1342" s="73"/>
      <c r="J1342" s="73"/>
      <c r="L1342" s="73"/>
    </row>
    <row r="1343" spans="2:12">
      <c r="B1343" s="73"/>
      <c r="C1343" s="73"/>
      <c r="D1343" s="73"/>
      <c r="E1343" s="73"/>
      <c r="F1343" s="73"/>
      <c r="G1343" s="73"/>
      <c r="H1343" s="73"/>
      <c r="I1343" s="73"/>
      <c r="J1343" s="73"/>
      <c r="L1343" s="73"/>
    </row>
    <row r="1344" spans="2:12">
      <c r="B1344" s="73"/>
      <c r="C1344" s="73"/>
      <c r="D1344" s="73"/>
      <c r="E1344" s="73"/>
      <c r="F1344" s="73"/>
      <c r="G1344" s="73"/>
      <c r="H1344" s="73"/>
      <c r="I1344" s="73"/>
      <c r="J1344" s="73"/>
      <c r="L1344" s="73"/>
    </row>
    <row r="1345" spans="2:12">
      <c r="B1345" s="73"/>
      <c r="C1345" s="73"/>
      <c r="D1345" s="73"/>
      <c r="E1345" s="73"/>
      <c r="F1345" s="73"/>
      <c r="G1345" s="73"/>
      <c r="H1345" s="73"/>
      <c r="I1345" s="73"/>
      <c r="J1345" s="73"/>
      <c r="L1345" s="73"/>
    </row>
    <row r="1346" spans="2:12">
      <c r="B1346" s="73"/>
      <c r="C1346" s="73"/>
      <c r="D1346" s="73"/>
      <c r="E1346" s="73"/>
      <c r="F1346" s="73"/>
      <c r="G1346" s="73"/>
      <c r="H1346" s="73"/>
      <c r="I1346" s="73"/>
      <c r="J1346" s="73"/>
      <c r="L1346" s="73"/>
    </row>
    <row r="1347" spans="2:12">
      <c r="B1347" s="73"/>
      <c r="C1347" s="73"/>
      <c r="D1347" s="73"/>
      <c r="E1347" s="73"/>
      <c r="F1347" s="73"/>
      <c r="G1347" s="73"/>
      <c r="H1347" s="73"/>
      <c r="I1347" s="73"/>
      <c r="J1347" s="73"/>
      <c r="L1347" s="73"/>
    </row>
    <row r="1348" spans="2:12">
      <c r="B1348" s="73"/>
      <c r="C1348" s="73"/>
      <c r="D1348" s="73"/>
      <c r="E1348" s="73"/>
      <c r="F1348" s="73"/>
      <c r="G1348" s="73"/>
      <c r="H1348" s="73"/>
      <c r="I1348" s="73"/>
      <c r="J1348" s="73"/>
      <c r="L1348" s="73"/>
    </row>
    <row r="1349" spans="2:12">
      <c r="B1349" s="73"/>
      <c r="C1349" s="73"/>
      <c r="D1349" s="73"/>
      <c r="E1349" s="73"/>
      <c r="F1349" s="73"/>
      <c r="G1349" s="73"/>
      <c r="H1349" s="73"/>
      <c r="I1349" s="73"/>
      <c r="J1349" s="73"/>
      <c r="L1349" s="73"/>
    </row>
    <row r="1350" spans="2:12">
      <c r="B1350" s="73"/>
      <c r="C1350" s="73"/>
      <c r="D1350" s="73"/>
      <c r="E1350" s="73"/>
      <c r="F1350" s="73"/>
      <c r="G1350" s="73"/>
      <c r="H1350" s="73"/>
      <c r="I1350" s="73"/>
      <c r="J1350" s="73"/>
      <c r="L1350" s="73"/>
    </row>
    <row r="1351" spans="2:12">
      <c r="B1351" s="73"/>
      <c r="C1351" s="73"/>
      <c r="D1351" s="73"/>
      <c r="E1351" s="73"/>
      <c r="F1351" s="73"/>
      <c r="G1351" s="73"/>
      <c r="H1351" s="73"/>
      <c r="I1351" s="73"/>
      <c r="J1351" s="73"/>
      <c r="L1351" s="73"/>
    </row>
    <row r="1352" spans="2:12">
      <c r="B1352" s="73"/>
      <c r="C1352" s="73"/>
      <c r="D1352" s="73"/>
      <c r="E1352" s="73"/>
      <c r="F1352" s="73"/>
      <c r="G1352" s="73"/>
      <c r="H1352" s="73"/>
      <c r="I1352" s="73"/>
      <c r="J1352" s="73"/>
      <c r="L1352" s="73"/>
    </row>
    <row r="1353" spans="2:12">
      <c r="B1353" s="73"/>
      <c r="C1353" s="73"/>
      <c r="D1353" s="73"/>
      <c r="E1353" s="73"/>
      <c r="F1353" s="73"/>
      <c r="G1353" s="73"/>
      <c r="H1353" s="73"/>
      <c r="I1353" s="73"/>
      <c r="J1353" s="73"/>
      <c r="L1353" s="73"/>
    </row>
    <row r="1354" spans="2:12">
      <c r="B1354" s="73"/>
      <c r="C1354" s="73"/>
      <c r="D1354" s="73"/>
      <c r="E1354" s="73"/>
      <c r="F1354" s="73"/>
      <c r="G1354" s="73"/>
      <c r="H1354" s="73"/>
      <c r="I1354" s="73"/>
      <c r="J1354" s="73"/>
      <c r="L1354" s="73"/>
    </row>
    <row r="1355" spans="2:12">
      <c r="B1355" s="73"/>
      <c r="C1355" s="73"/>
      <c r="D1355" s="73"/>
      <c r="E1355" s="73"/>
      <c r="F1355" s="73"/>
      <c r="G1355" s="73"/>
      <c r="H1355" s="73"/>
      <c r="I1355" s="73"/>
      <c r="J1355" s="73"/>
      <c r="L1355" s="73"/>
    </row>
    <row r="1356" spans="2:12">
      <c r="B1356" s="73"/>
      <c r="C1356" s="73"/>
      <c r="D1356" s="73"/>
      <c r="E1356" s="73"/>
      <c r="F1356" s="73"/>
      <c r="G1356" s="73"/>
      <c r="H1356" s="73"/>
      <c r="I1356" s="73"/>
      <c r="J1356" s="73"/>
      <c r="L1356" s="73"/>
    </row>
    <row r="1357" spans="2:12">
      <c r="B1357" s="73"/>
      <c r="C1357" s="73"/>
      <c r="D1357" s="73"/>
      <c r="E1357" s="73"/>
      <c r="F1357" s="73"/>
      <c r="G1357" s="73"/>
      <c r="H1357" s="73"/>
      <c r="I1357" s="73"/>
      <c r="J1357" s="73"/>
      <c r="L1357" s="73"/>
    </row>
    <row r="1358" spans="2:12">
      <c r="B1358" s="73"/>
      <c r="C1358" s="73"/>
      <c r="D1358" s="73"/>
      <c r="E1358" s="73"/>
      <c r="F1358" s="73"/>
      <c r="G1358" s="73"/>
      <c r="H1358" s="73"/>
      <c r="I1358" s="73"/>
      <c r="J1358" s="73"/>
      <c r="L1358" s="73"/>
    </row>
    <row r="1359" spans="2:12">
      <c r="B1359" s="73"/>
      <c r="C1359" s="73"/>
      <c r="D1359" s="73"/>
      <c r="E1359" s="73"/>
      <c r="F1359" s="73"/>
      <c r="G1359" s="73"/>
      <c r="H1359" s="73"/>
      <c r="I1359" s="73"/>
      <c r="J1359" s="73"/>
      <c r="L1359" s="73"/>
    </row>
    <row r="1360" spans="2:12">
      <c r="B1360" s="73"/>
      <c r="C1360" s="73"/>
      <c r="D1360" s="73"/>
      <c r="E1360" s="73"/>
      <c r="F1360" s="73"/>
      <c r="G1360" s="73"/>
      <c r="H1360" s="73"/>
      <c r="I1360" s="73"/>
      <c r="J1360" s="73"/>
      <c r="L1360" s="73"/>
    </row>
    <row r="1361" spans="2:12">
      <c r="B1361" s="73"/>
      <c r="C1361" s="73"/>
      <c r="D1361" s="73"/>
      <c r="E1361" s="73"/>
      <c r="F1361" s="73"/>
      <c r="G1361" s="73"/>
      <c r="H1361" s="73"/>
      <c r="I1361" s="73"/>
      <c r="J1361" s="73"/>
      <c r="L1361" s="73"/>
    </row>
    <row r="1362" spans="2:12">
      <c r="B1362" s="73"/>
      <c r="C1362" s="73"/>
      <c r="D1362" s="73"/>
      <c r="E1362" s="73"/>
      <c r="F1362" s="73"/>
      <c r="G1362" s="73"/>
      <c r="H1362" s="73"/>
      <c r="I1362" s="73"/>
      <c r="J1362" s="73"/>
      <c r="L1362" s="73"/>
    </row>
    <row r="1363" spans="2:12">
      <c r="B1363" s="73"/>
      <c r="C1363" s="73"/>
      <c r="D1363" s="73"/>
      <c r="E1363" s="73"/>
      <c r="F1363" s="73"/>
      <c r="G1363" s="73"/>
      <c r="H1363" s="73"/>
      <c r="I1363" s="73"/>
      <c r="J1363" s="73"/>
      <c r="L1363" s="73"/>
    </row>
    <row r="1364" spans="2:12">
      <c r="B1364" s="73"/>
      <c r="C1364" s="73"/>
      <c r="D1364" s="73"/>
      <c r="E1364" s="73"/>
      <c r="F1364" s="73"/>
      <c r="G1364" s="73"/>
      <c r="H1364" s="73"/>
      <c r="I1364" s="73"/>
      <c r="J1364" s="73"/>
      <c r="L1364" s="73"/>
    </row>
    <row r="1365" spans="2:12">
      <c r="B1365" s="73"/>
      <c r="C1365" s="73"/>
      <c r="D1365" s="73"/>
      <c r="E1365" s="73"/>
      <c r="F1365" s="73"/>
      <c r="G1365" s="73"/>
      <c r="H1365" s="73"/>
      <c r="I1365" s="73"/>
      <c r="J1365" s="73"/>
      <c r="L1365" s="73"/>
    </row>
    <row r="1366" spans="2:12">
      <c r="B1366" s="73"/>
      <c r="C1366" s="73"/>
      <c r="D1366" s="73"/>
      <c r="E1366" s="73"/>
      <c r="F1366" s="73"/>
      <c r="G1366" s="73"/>
      <c r="H1366" s="73"/>
      <c r="I1366" s="73"/>
      <c r="J1366" s="73"/>
      <c r="L1366" s="73"/>
    </row>
    <row r="1367" spans="2:12">
      <c r="B1367" s="73"/>
      <c r="C1367" s="73"/>
      <c r="D1367" s="73"/>
      <c r="E1367" s="73"/>
      <c r="F1367" s="73"/>
      <c r="G1367" s="73"/>
      <c r="H1367" s="73"/>
      <c r="I1367" s="73"/>
      <c r="J1367" s="73"/>
      <c r="L1367" s="73"/>
    </row>
    <row r="1368" spans="2:12">
      <c r="B1368" s="73"/>
      <c r="C1368" s="73"/>
      <c r="D1368" s="73"/>
      <c r="E1368" s="73"/>
      <c r="F1368" s="73"/>
      <c r="G1368" s="73"/>
      <c r="H1368" s="73"/>
      <c r="I1368" s="73"/>
      <c r="J1368" s="73"/>
      <c r="L1368" s="73"/>
    </row>
    <row r="1369" spans="2:12">
      <c r="B1369" s="73"/>
      <c r="C1369" s="73"/>
      <c r="D1369" s="73"/>
      <c r="E1369" s="73"/>
      <c r="F1369" s="73"/>
      <c r="G1369" s="73"/>
      <c r="H1369" s="73"/>
      <c r="I1369" s="73"/>
      <c r="J1369" s="73"/>
      <c r="L1369" s="73"/>
    </row>
    <row r="1370" spans="2:12">
      <c r="B1370" s="73"/>
      <c r="C1370" s="73"/>
      <c r="D1370" s="73"/>
      <c r="E1370" s="73"/>
      <c r="F1370" s="73"/>
      <c r="G1370" s="73"/>
      <c r="H1370" s="73"/>
      <c r="I1370" s="73"/>
      <c r="J1370" s="73"/>
      <c r="L1370" s="73"/>
    </row>
    <row r="1371" spans="2:12">
      <c r="B1371" s="73"/>
      <c r="C1371" s="73"/>
      <c r="D1371" s="73"/>
      <c r="E1371" s="73"/>
      <c r="F1371" s="73"/>
      <c r="G1371" s="73"/>
      <c r="H1371" s="73"/>
      <c r="I1371" s="73"/>
      <c r="J1371" s="73"/>
      <c r="L1371" s="73"/>
    </row>
    <row r="1372" spans="2:12">
      <c r="B1372" s="73"/>
      <c r="C1372" s="73"/>
      <c r="D1372" s="73"/>
      <c r="E1372" s="73"/>
      <c r="F1372" s="73"/>
      <c r="G1372" s="73"/>
      <c r="H1372" s="73"/>
      <c r="I1372" s="73"/>
      <c r="J1372" s="73"/>
      <c r="L1372" s="73"/>
    </row>
    <row r="1373" spans="2:12">
      <c r="B1373" s="73"/>
      <c r="C1373" s="73"/>
      <c r="D1373" s="73"/>
      <c r="E1373" s="73"/>
      <c r="F1373" s="73"/>
      <c r="G1373" s="73"/>
      <c r="H1373" s="73"/>
      <c r="I1373" s="73"/>
      <c r="J1373" s="73"/>
      <c r="L1373" s="73"/>
    </row>
    <row r="1374" spans="2:12">
      <c r="B1374" s="73"/>
      <c r="C1374" s="73"/>
      <c r="D1374" s="73"/>
      <c r="E1374" s="73"/>
      <c r="F1374" s="73"/>
      <c r="G1374" s="73"/>
      <c r="H1374" s="73"/>
      <c r="I1374" s="73"/>
      <c r="J1374" s="73"/>
      <c r="L1374" s="73"/>
    </row>
    <row r="1375" spans="2:12">
      <c r="B1375" s="73"/>
      <c r="C1375" s="73"/>
      <c r="D1375" s="73"/>
      <c r="E1375" s="73"/>
      <c r="F1375" s="73"/>
      <c r="G1375" s="73"/>
      <c r="H1375" s="73"/>
      <c r="I1375" s="73"/>
      <c r="J1375" s="73"/>
      <c r="L1375" s="73"/>
    </row>
    <row r="1376" spans="2:12">
      <c r="B1376" s="73"/>
      <c r="C1376" s="73"/>
      <c r="D1376" s="73"/>
      <c r="E1376" s="73"/>
      <c r="F1376" s="73"/>
      <c r="G1376" s="73"/>
      <c r="H1376" s="73"/>
      <c r="I1376" s="73"/>
      <c r="J1376" s="73"/>
      <c r="L1376" s="73"/>
    </row>
    <row r="1377" spans="2:12">
      <c r="B1377" s="73"/>
      <c r="C1377" s="73"/>
      <c r="D1377" s="73"/>
      <c r="E1377" s="73"/>
      <c r="F1377" s="73"/>
      <c r="G1377" s="73"/>
      <c r="H1377" s="73"/>
      <c r="I1377" s="73"/>
      <c r="J1377" s="73"/>
      <c r="L1377" s="73"/>
    </row>
    <row r="1378" spans="2:12">
      <c r="B1378" s="73"/>
      <c r="C1378" s="73"/>
      <c r="D1378" s="73"/>
      <c r="E1378" s="73"/>
      <c r="F1378" s="73"/>
      <c r="G1378" s="73"/>
      <c r="H1378" s="73"/>
      <c r="I1378" s="73"/>
      <c r="J1378" s="73"/>
      <c r="L1378" s="73"/>
    </row>
    <row r="1379" spans="2:12">
      <c r="B1379" s="73"/>
      <c r="C1379" s="73"/>
      <c r="D1379" s="73"/>
      <c r="E1379" s="73"/>
      <c r="F1379" s="73"/>
      <c r="G1379" s="73"/>
      <c r="H1379" s="73"/>
      <c r="I1379" s="73"/>
      <c r="J1379" s="73"/>
      <c r="L1379" s="73"/>
    </row>
    <row r="1380" spans="2:12">
      <c r="B1380" s="73"/>
      <c r="C1380" s="73"/>
      <c r="D1380" s="73"/>
      <c r="E1380" s="73"/>
      <c r="F1380" s="73"/>
      <c r="G1380" s="73"/>
      <c r="H1380" s="73"/>
      <c r="I1380" s="73"/>
      <c r="J1380" s="73"/>
      <c r="L1380" s="73"/>
    </row>
    <row r="1381" spans="2:12">
      <c r="B1381" s="73"/>
      <c r="C1381" s="73"/>
      <c r="D1381" s="73"/>
      <c r="E1381" s="73"/>
      <c r="F1381" s="73"/>
      <c r="G1381" s="73"/>
      <c r="H1381" s="73"/>
      <c r="I1381" s="73"/>
      <c r="J1381" s="73"/>
      <c r="L1381" s="73"/>
    </row>
    <row r="1382" spans="2:12">
      <c r="B1382" s="73"/>
      <c r="C1382" s="73"/>
      <c r="D1382" s="73"/>
      <c r="E1382" s="73"/>
      <c r="F1382" s="73"/>
      <c r="G1382" s="73"/>
      <c r="H1382" s="73"/>
      <c r="I1382" s="73"/>
      <c r="J1382" s="73"/>
      <c r="L1382" s="73"/>
    </row>
    <row r="1383" spans="2:12">
      <c r="B1383" s="73"/>
      <c r="C1383" s="73"/>
      <c r="D1383" s="73"/>
      <c r="E1383" s="73"/>
      <c r="F1383" s="73"/>
      <c r="G1383" s="73"/>
      <c r="H1383" s="73"/>
      <c r="I1383" s="73"/>
      <c r="J1383" s="73"/>
      <c r="L1383" s="73"/>
    </row>
    <row r="1384" spans="2:12">
      <c r="B1384" s="73"/>
      <c r="C1384" s="73"/>
      <c r="D1384" s="73"/>
      <c r="E1384" s="73"/>
      <c r="F1384" s="73"/>
      <c r="G1384" s="73"/>
      <c r="H1384" s="73"/>
      <c r="I1384" s="73"/>
      <c r="J1384" s="73"/>
      <c r="L1384" s="73"/>
    </row>
    <row r="1385" spans="2:12">
      <c r="B1385" s="73"/>
      <c r="C1385" s="73"/>
      <c r="D1385" s="73"/>
      <c r="E1385" s="73"/>
      <c r="F1385" s="73"/>
      <c r="G1385" s="73"/>
      <c r="H1385" s="73"/>
      <c r="I1385" s="73"/>
      <c r="J1385" s="73"/>
      <c r="L1385" s="73"/>
    </row>
    <row r="1386" spans="2:12">
      <c r="B1386" s="73"/>
      <c r="C1386" s="73"/>
      <c r="D1386" s="73"/>
      <c r="E1386" s="73"/>
      <c r="F1386" s="73"/>
      <c r="G1386" s="73"/>
      <c r="H1386" s="73"/>
      <c r="I1386" s="73"/>
      <c r="J1386" s="73"/>
      <c r="L1386" s="73"/>
    </row>
    <row r="1387" spans="2:12">
      <c r="B1387" s="73"/>
      <c r="C1387" s="73"/>
      <c r="D1387" s="73"/>
      <c r="E1387" s="73"/>
      <c r="F1387" s="73"/>
      <c r="G1387" s="73"/>
      <c r="H1387" s="73"/>
      <c r="I1387" s="73"/>
      <c r="J1387" s="73"/>
      <c r="L1387" s="73"/>
    </row>
    <row r="1388" spans="2:12">
      <c r="B1388" s="73"/>
      <c r="C1388" s="73"/>
      <c r="D1388" s="73"/>
      <c r="E1388" s="73"/>
      <c r="F1388" s="73"/>
      <c r="G1388" s="73"/>
      <c r="H1388" s="73"/>
      <c r="I1388" s="73"/>
      <c r="J1388" s="73"/>
      <c r="L1388" s="73"/>
    </row>
    <row r="1389" spans="2:12">
      <c r="B1389" s="73"/>
      <c r="C1389" s="73"/>
      <c r="D1389" s="73"/>
      <c r="E1389" s="73"/>
      <c r="F1389" s="73"/>
      <c r="G1389" s="73"/>
      <c r="H1389" s="73"/>
      <c r="I1389" s="73"/>
      <c r="J1389" s="73"/>
      <c r="L1389" s="73"/>
    </row>
    <row r="1390" spans="2:12">
      <c r="B1390" s="73"/>
      <c r="C1390" s="73"/>
      <c r="D1390" s="73"/>
      <c r="E1390" s="73"/>
      <c r="F1390" s="73"/>
      <c r="G1390" s="73"/>
      <c r="H1390" s="73"/>
      <c r="I1390" s="73"/>
      <c r="J1390" s="73"/>
      <c r="L1390" s="73"/>
    </row>
    <row r="1391" spans="2:12">
      <c r="B1391" s="73"/>
      <c r="C1391" s="73"/>
      <c r="D1391" s="73"/>
      <c r="E1391" s="73"/>
      <c r="F1391" s="73"/>
      <c r="G1391" s="73"/>
      <c r="H1391" s="73"/>
      <c r="I1391" s="73"/>
      <c r="J1391" s="73"/>
      <c r="L1391" s="73"/>
    </row>
    <row r="1392" spans="2:12">
      <c r="B1392" s="73"/>
      <c r="C1392" s="73"/>
      <c r="D1392" s="73"/>
      <c r="E1392" s="73"/>
      <c r="F1392" s="73"/>
      <c r="G1392" s="73"/>
      <c r="H1392" s="73"/>
      <c r="I1392" s="73"/>
      <c r="J1392" s="73"/>
      <c r="L1392" s="73"/>
    </row>
    <row r="1393" spans="2:12">
      <c r="B1393" s="73"/>
      <c r="C1393" s="73"/>
      <c r="D1393" s="73"/>
      <c r="E1393" s="73"/>
      <c r="F1393" s="73"/>
      <c r="G1393" s="73"/>
      <c r="H1393" s="73"/>
      <c r="I1393" s="73"/>
      <c r="J1393" s="73"/>
      <c r="L1393" s="73"/>
    </row>
    <row r="1394" spans="2:12">
      <c r="B1394" s="73"/>
      <c r="C1394" s="73"/>
      <c r="D1394" s="73"/>
      <c r="E1394" s="73"/>
      <c r="F1394" s="73"/>
      <c r="G1394" s="73"/>
      <c r="H1394" s="73"/>
      <c r="I1394" s="73"/>
      <c r="J1394" s="73"/>
      <c r="L1394" s="73"/>
    </row>
    <row r="1395" spans="2:12">
      <c r="B1395" s="73"/>
      <c r="C1395" s="73"/>
      <c r="D1395" s="73"/>
      <c r="E1395" s="73"/>
      <c r="F1395" s="73"/>
      <c r="G1395" s="73"/>
      <c r="H1395" s="73"/>
      <c r="I1395" s="73"/>
      <c r="J1395" s="73"/>
      <c r="L1395" s="73"/>
    </row>
    <row r="1396" spans="2:12">
      <c r="B1396" s="73"/>
      <c r="C1396" s="73"/>
      <c r="D1396" s="73"/>
      <c r="E1396" s="73"/>
      <c r="F1396" s="73"/>
      <c r="G1396" s="73"/>
      <c r="H1396" s="73"/>
      <c r="I1396" s="73"/>
      <c r="J1396" s="73"/>
      <c r="L1396" s="73"/>
    </row>
    <row r="1397" spans="2:12">
      <c r="B1397" s="73"/>
      <c r="C1397" s="73"/>
      <c r="D1397" s="73"/>
      <c r="E1397" s="73"/>
      <c r="F1397" s="73"/>
      <c r="G1397" s="73"/>
      <c r="H1397" s="73"/>
      <c r="I1397" s="73"/>
      <c r="J1397" s="73"/>
      <c r="L1397" s="73"/>
    </row>
    <row r="1398" spans="2:12">
      <c r="B1398" s="73"/>
      <c r="C1398" s="73"/>
      <c r="D1398" s="73"/>
      <c r="E1398" s="73"/>
      <c r="F1398" s="73"/>
      <c r="G1398" s="73"/>
      <c r="H1398" s="73"/>
      <c r="I1398" s="73"/>
      <c r="J1398" s="73"/>
      <c r="L1398" s="73"/>
    </row>
    <row r="1399" spans="2:12">
      <c r="B1399" s="73"/>
      <c r="C1399" s="73"/>
      <c r="D1399" s="73"/>
      <c r="E1399" s="73"/>
      <c r="F1399" s="73"/>
      <c r="G1399" s="73"/>
      <c r="H1399" s="73"/>
      <c r="I1399" s="73"/>
      <c r="J1399" s="73"/>
      <c r="L1399" s="73"/>
    </row>
    <row r="1400" spans="2:12">
      <c r="B1400" s="73"/>
      <c r="C1400" s="73"/>
      <c r="D1400" s="73"/>
      <c r="E1400" s="73"/>
      <c r="F1400" s="73"/>
      <c r="G1400" s="73"/>
      <c r="H1400" s="73"/>
      <c r="I1400" s="73"/>
      <c r="J1400" s="73"/>
      <c r="L1400" s="73"/>
    </row>
    <row r="1401" spans="2:12">
      <c r="B1401" s="73"/>
      <c r="C1401" s="73"/>
      <c r="D1401" s="73"/>
      <c r="E1401" s="73"/>
      <c r="F1401" s="73"/>
      <c r="G1401" s="73"/>
      <c r="H1401" s="73"/>
      <c r="I1401" s="73"/>
      <c r="J1401" s="73"/>
      <c r="L1401" s="73"/>
    </row>
    <row r="1402" spans="2:12">
      <c r="B1402" s="73"/>
      <c r="C1402" s="73"/>
      <c r="D1402" s="73"/>
      <c r="E1402" s="73"/>
      <c r="F1402" s="73"/>
      <c r="G1402" s="73"/>
      <c r="H1402" s="73"/>
      <c r="I1402" s="73"/>
      <c r="J1402" s="73"/>
      <c r="L1402" s="73"/>
    </row>
    <row r="1403" spans="2:12">
      <c r="B1403" s="73"/>
      <c r="C1403" s="73"/>
      <c r="D1403" s="73"/>
      <c r="E1403" s="73"/>
      <c r="F1403" s="73"/>
      <c r="G1403" s="73"/>
      <c r="H1403" s="73"/>
      <c r="I1403" s="73"/>
      <c r="J1403" s="73"/>
      <c r="L1403" s="73"/>
    </row>
    <row r="1404" spans="2:12">
      <c r="B1404" s="73"/>
      <c r="C1404" s="73"/>
      <c r="D1404" s="73"/>
      <c r="E1404" s="73"/>
      <c r="F1404" s="73"/>
      <c r="G1404" s="73"/>
      <c r="H1404" s="73"/>
      <c r="I1404" s="73"/>
      <c r="J1404" s="73"/>
      <c r="L1404" s="73"/>
    </row>
    <row r="1405" spans="2:12">
      <c r="B1405" s="73"/>
      <c r="C1405" s="73"/>
      <c r="D1405" s="73"/>
      <c r="E1405" s="73"/>
      <c r="F1405" s="73"/>
      <c r="G1405" s="73"/>
      <c r="H1405" s="73"/>
      <c r="I1405" s="73"/>
      <c r="J1405" s="73"/>
      <c r="L1405" s="73"/>
    </row>
    <row r="1406" spans="2:12">
      <c r="B1406" s="73"/>
      <c r="C1406" s="73"/>
      <c r="D1406" s="73"/>
      <c r="E1406" s="73"/>
      <c r="F1406" s="73"/>
      <c r="G1406" s="73"/>
      <c r="H1406" s="73"/>
      <c r="I1406" s="73"/>
      <c r="J1406" s="73"/>
      <c r="L1406" s="73"/>
    </row>
    <row r="1407" spans="2:12">
      <c r="B1407" s="73"/>
      <c r="C1407" s="73"/>
      <c r="D1407" s="73"/>
      <c r="E1407" s="73"/>
      <c r="F1407" s="73"/>
      <c r="G1407" s="73"/>
      <c r="H1407" s="73"/>
      <c r="I1407" s="73"/>
      <c r="J1407" s="73"/>
      <c r="L1407" s="73"/>
    </row>
    <row r="1408" spans="2:12">
      <c r="B1408" s="73"/>
      <c r="C1408" s="73"/>
      <c r="D1408" s="73"/>
      <c r="E1408" s="73"/>
      <c r="F1408" s="73"/>
      <c r="G1408" s="73"/>
      <c r="H1408" s="73"/>
      <c r="I1408" s="73"/>
      <c r="J1408" s="73"/>
      <c r="L1408" s="73"/>
    </row>
    <row r="1409" spans="2:12">
      <c r="B1409" s="73"/>
      <c r="C1409" s="73"/>
      <c r="D1409" s="73"/>
      <c r="E1409" s="73"/>
      <c r="F1409" s="73"/>
      <c r="G1409" s="73"/>
      <c r="H1409" s="73"/>
      <c r="I1409" s="73"/>
      <c r="J1409" s="73"/>
      <c r="L1409" s="73"/>
    </row>
    <row r="1410" spans="2:12">
      <c r="B1410" s="73"/>
      <c r="C1410" s="73"/>
      <c r="D1410" s="73"/>
      <c r="E1410" s="73"/>
      <c r="F1410" s="73"/>
      <c r="G1410" s="73"/>
      <c r="H1410" s="73"/>
      <c r="I1410" s="73"/>
      <c r="J1410" s="73"/>
      <c r="L1410" s="73"/>
    </row>
    <row r="1411" spans="2:12">
      <c r="B1411" s="73"/>
      <c r="C1411" s="73"/>
      <c r="D1411" s="73"/>
      <c r="E1411" s="73"/>
      <c r="F1411" s="73"/>
      <c r="G1411" s="73"/>
      <c r="H1411" s="73"/>
      <c r="I1411" s="73"/>
      <c r="J1411" s="73"/>
      <c r="L1411" s="73"/>
    </row>
    <row r="1412" spans="2:12">
      <c r="B1412" s="73"/>
      <c r="C1412" s="73"/>
      <c r="D1412" s="73"/>
      <c r="E1412" s="73"/>
      <c r="F1412" s="73"/>
      <c r="G1412" s="73"/>
      <c r="H1412" s="73"/>
      <c r="I1412" s="73"/>
      <c r="J1412" s="73"/>
      <c r="L1412" s="73"/>
    </row>
    <row r="1413" spans="2:12">
      <c r="B1413" s="73"/>
      <c r="C1413" s="73"/>
      <c r="D1413" s="73"/>
      <c r="E1413" s="73"/>
      <c r="F1413" s="73"/>
      <c r="G1413" s="73"/>
      <c r="H1413" s="73"/>
      <c r="I1413" s="73"/>
      <c r="J1413" s="73"/>
      <c r="L1413" s="73"/>
    </row>
    <row r="1414" spans="2:12">
      <c r="B1414" s="73"/>
      <c r="C1414" s="73"/>
      <c r="D1414" s="73"/>
      <c r="E1414" s="73"/>
      <c r="F1414" s="73"/>
      <c r="G1414" s="73"/>
      <c r="H1414" s="73"/>
      <c r="I1414" s="73"/>
      <c r="J1414" s="73"/>
      <c r="L1414" s="73"/>
    </row>
    <row r="1415" spans="2:12">
      <c r="B1415" s="73"/>
      <c r="C1415" s="73"/>
      <c r="D1415" s="73"/>
      <c r="E1415" s="73"/>
      <c r="F1415" s="73"/>
      <c r="G1415" s="73"/>
      <c r="H1415" s="73"/>
      <c r="I1415" s="73"/>
      <c r="J1415" s="73"/>
      <c r="L1415" s="73"/>
    </row>
    <row r="1416" spans="2:12">
      <c r="B1416" s="73"/>
      <c r="C1416" s="73"/>
      <c r="D1416" s="73"/>
      <c r="E1416" s="73"/>
      <c r="F1416" s="73"/>
      <c r="G1416" s="73"/>
      <c r="H1416" s="73"/>
      <c r="I1416" s="73"/>
      <c r="J1416" s="73"/>
      <c r="L1416" s="73"/>
    </row>
    <row r="1417" spans="2:12">
      <c r="B1417" s="73"/>
      <c r="C1417" s="73"/>
      <c r="D1417" s="73"/>
      <c r="E1417" s="73"/>
      <c r="F1417" s="73"/>
      <c r="G1417" s="73"/>
      <c r="H1417" s="73"/>
      <c r="I1417" s="73"/>
      <c r="J1417" s="73"/>
      <c r="L1417" s="73"/>
    </row>
    <row r="1418" spans="2:12">
      <c r="B1418" s="73"/>
      <c r="C1418" s="73"/>
      <c r="D1418" s="73"/>
      <c r="E1418" s="73"/>
      <c r="F1418" s="73"/>
      <c r="G1418" s="73"/>
      <c r="H1418" s="73"/>
      <c r="I1418" s="73"/>
      <c r="J1418" s="73"/>
      <c r="L1418" s="73"/>
    </row>
    <row r="1419" spans="2:12">
      <c r="B1419" s="73"/>
      <c r="C1419" s="73"/>
      <c r="D1419" s="73"/>
      <c r="E1419" s="73"/>
      <c r="F1419" s="73"/>
      <c r="G1419" s="73"/>
      <c r="H1419" s="73"/>
      <c r="I1419" s="73"/>
      <c r="J1419" s="73"/>
      <c r="L1419" s="73"/>
    </row>
    <row r="1420" spans="2:12">
      <c r="B1420" s="73"/>
      <c r="C1420" s="73"/>
      <c r="D1420" s="73"/>
      <c r="E1420" s="73"/>
      <c r="F1420" s="73"/>
      <c r="G1420" s="73"/>
      <c r="H1420" s="73"/>
      <c r="I1420" s="73"/>
      <c r="J1420" s="73"/>
      <c r="L1420" s="73"/>
    </row>
    <row r="1421" spans="2:12">
      <c r="B1421" s="73"/>
      <c r="C1421" s="73"/>
      <c r="D1421" s="73"/>
      <c r="E1421" s="73"/>
      <c r="F1421" s="73"/>
      <c r="G1421" s="73"/>
      <c r="H1421" s="73"/>
      <c r="I1421" s="73"/>
      <c r="J1421" s="73"/>
      <c r="L1421" s="73"/>
    </row>
    <row r="1422" spans="2:12">
      <c r="B1422" s="73"/>
      <c r="C1422" s="73"/>
      <c r="D1422" s="73"/>
      <c r="E1422" s="73"/>
      <c r="F1422" s="73"/>
      <c r="G1422" s="73"/>
      <c r="H1422" s="73"/>
      <c r="I1422" s="73"/>
      <c r="J1422" s="73"/>
      <c r="L1422" s="73"/>
    </row>
    <row r="1423" spans="2:12">
      <c r="B1423" s="73"/>
      <c r="C1423" s="73"/>
      <c r="D1423" s="73"/>
      <c r="E1423" s="73"/>
      <c r="F1423" s="73"/>
      <c r="G1423" s="73"/>
      <c r="H1423" s="73"/>
      <c r="I1423" s="73"/>
      <c r="J1423" s="73"/>
      <c r="L1423" s="73"/>
    </row>
    <row r="1424" spans="2:12">
      <c r="B1424" s="73"/>
      <c r="C1424" s="73"/>
      <c r="D1424" s="73"/>
      <c r="E1424" s="73"/>
      <c r="F1424" s="73"/>
      <c r="G1424" s="73"/>
      <c r="H1424" s="73"/>
      <c r="I1424" s="73"/>
      <c r="J1424" s="73"/>
      <c r="L1424" s="73"/>
    </row>
    <row r="1425" spans="2:12">
      <c r="B1425" s="73"/>
      <c r="C1425" s="73"/>
      <c r="D1425" s="73"/>
      <c r="E1425" s="73"/>
      <c r="F1425" s="73"/>
      <c r="G1425" s="73"/>
      <c r="H1425" s="73"/>
      <c r="I1425" s="73"/>
      <c r="J1425" s="73"/>
      <c r="L1425" s="73"/>
    </row>
    <row r="1426" spans="2:12">
      <c r="B1426" s="73"/>
      <c r="C1426" s="73"/>
      <c r="D1426" s="73"/>
      <c r="E1426" s="73"/>
      <c r="F1426" s="73"/>
      <c r="G1426" s="73"/>
      <c r="H1426" s="73"/>
      <c r="I1426" s="73"/>
      <c r="J1426" s="73"/>
      <c r="L1426" s="73"/>
    </row>
    <row r="1427" spans="2:12">
      <c r="B1427" s="73"/>
      <c r="C1427" s="73"/>
      <c r="D1427" s="73"/>
      <c r="E1427" s="73"/>
      <c r="F1427" s="73"/>
      <c r="G1427" s="73"/>
      <c r="H1427" s="73"/>
      <c r="I1427" s="73"/>
      <c r="J1427" s="73"/>
      <c r="L1427" s="73"/>
    </row>
    <row r="1428" spans="2:12">
      <c r="B1428" s="73"/>
      <c r="C1428" s="73"/>
      <c r="D1428" s="73"/>
      <c r="E1428" s="73"/>
      <c r="F1428" s="73"/>
      <c r="G1428" s="73"/>
      <c r="H1428" s="73"/>
      <c r="I1428" s="73"/>
      <c r="J1428" s="73"/>
      <c r="L1428" s="73"/>
    </row>
    <row r="1429" spans="2:12">
      <c r="B1429" s="73"/>
      <c r="C1429" s="73"/>
      <c r="D1429" s="73"/>
      <c r="E1429" s="73"/>
      <c r="F1429" s="73"/>
      <c r="G1429" s="73"/>
      <c r="H1429" s="73"/>
      <c r="I1429" s="73"/>
      <c r="J1429" s="73"/>
      <c r="L1429" s="73"/>
    </row>
    <row r="1430" spans="2:12">
      <c r="B1430" s="73"/>
      <c r="C1430" s="73"/>
      <c r="D1430" s="73"/>
      <c r="E1430" s="73"/>
      <c r="F1430" s="73"/>
      <c r="G1430" s="73"/>
      <c r="H1430" s="73"/>
      <c r="I1430" s="73"/>
      <c r="J1430" s="73"/>
      <c r="L1430" s="73"/>
    </row>
    <row r="1431" spans="2:12">
      <c r="B1431" s="73"/>
      <c r="C1431" s="73"/>
      <c r="D1431" s="73"/>
      <c r="E1431" s="73"/>
      <c r="F1431" s="73"/>
      <c r="G1431" s="73"/>
      <c r="H1431" s="73"/>
      <c r="I1431" s="73"/>
      <c r="J1431" s="73"/>
      <c r="L1431" s="73"/>
    </row>
    <row r="1432" spans="2:12">
      <c r="B1432" s="73"/>
      <c r="C1432" s="73"/>
      <c r="D1432" s="73"/>
      <c r="E1432" s="73"/>
      <c r="F1432" s="73"/>
      <c r="G1432" s="73"/>
      <c r="H1432" s="73"/>
      <c r="I1432" s="73"/>
      <c r="J1432" s="73"/>
      <c r="L1432" s="73"/>
    </row>
    <row r="1433" spans="2:12">
      <c r="B1433" s="73"/>
      <c r="C1433" s="73"/>
      <c r="D1433" s="73"/>
      <c r="E1433" s="73"/>
      <c r="F1433" s="73"/>
      <c r="G1433" s="73"/>
      <c r="H1433" s="73"/>
      <c r="I1433" s="73"/>
      <c r="J1433" s="73"/>
      <c r="L1433" s="73"/>
    </row>
    <row r="1434" spans="2:12">
      <c r="B1434" s="73"/>
      <c r="C1434" s="73"/>
      <c r="D1434" s="73"/>
      <c r="E1434" s="73"/>
      <c r="F1434" s="73"/>
      <c r="G1434" s="73"/>
      <c r="H1434" s="73"/>
      <c r="I1434" s="73"/>
      <c r="J1434" s="73"/>
      <c r="L1434" s="73"/>
    </row>
    <row r="1435" spans="2:12">
      <c r="B1435" s="73"/>
      <c r="C1435" s="73"/>
      <c r="D1435" s="73"/>
      <c r="E1435" s="73"/>
      <c r="F1435" s="73"/>
      <c r="G1435" s="73"/>
      <c r="H1435" s="73"/>
      <c r="I1435" s="73"/>
      <c r="J1435" s="73"/>
      <c r="L1435" s="73"/>
    </row>
    <row r="1436" spans="2:12">
      <c r="B1436" s="73"/>
      <c r="C1436" s="73"/>
      <c r="D1436" s="73"/>
      <c r="E1436" s="73"/>
      <c r="F1436" s="73"/>
      <c r="G1436" s="73"/>
      <c r="H1436" s="73"/>
      <c r="I1436" s="73"/>
      <c r="J1436" s="73"/>
      <c r="L1436" s="73"/>
    </row>
    <row r="1437" spans="2:12">
      <c r="B1437" s="73"/>
      <c r="C1437" s="73"/>
      <c r="D1437" s="73"/>
      <c r="E1437" s="73"/>
      <c r="F1437" s="73"/>
      <c r="G1437" s="73"/>
      <c r="H1437" s="73"/>
      <c r="I1437" s="73"/>
      <c r="J1437" s="73"/>
      <c r="L1437" s="73"/>
    </row>
    <row r="1438" spans="2:12">
      <c r="B1438" s="73"/>
      <c r="C1438" s="73"/>
      <c r="D1438" s="73"/>
      <c r="E1438" s="73"/>
      <c r="F1438" s="73"/>
      <c r="G1438" s="73"/>
      <c r="H1438" s="73"/>
      <c r="I1438" s="73"/>
      <c r="J1438" s="73"/>
      <c r="L1438" s="73"/>
    </row>
    <row r="1439" spans="2:12">
      <c r="B1439" s="73"/>
      <c r="C1439" s="73"/>
      <c r="D1439" s="73"/>
      <c r="E1439" s="73"/>
      <c r="F1439" s="73"/>
      <c r="G1439" s="73"/>
      <c r="H1439" s="73"/>
      <c r="I1439" s="73"/>
      <c r="J1439" s="73"/>
      <c r="L1439" s="73"/>
    </row>
    <row r="1440" spans="2:12">
      <c r="B1440" s="73"/>
      <c r="C1440" s="73"/>
      <c r="D1440" s="73"/>
      <c r="E1440" s="73"/>
      <c r="F1440" s="73"/>
      <c r="G1440" s="73"/>
      <c r="H1440" s="73"/>
      <c r="I1440" s="73"/>
      <c r="J1440" s="73"/>
      <c r="L1440" s="73"/>
    </row>
    <row r="1441" spans="2:12">
      <c r="B1441" s="73"/>
      <c r="C1441" s="73"/>
      <c r="D1441" s="73"/>
      <c r="E1441" s="73"/>
      <c r="F1441" s="73"/>
      <c r="G1441" s="73"/>
      <c r="H1441" s="73"/>
      <c r="I1441" s="73"/>
      <c r="J1441" s="73"/>
      <c r="L1441" s="73"/>
    </row>
    <row r="1442" spans="2:12">
      <c r="B1442" s="73"/>
      <c r="C1442" s="73"/>
      <c r="D1442" s="73"/>
      <c r="E1442" s="73"/>
      <c r="F1442" s="73"/>
      <c r="G1442" s="73"/>
      <c r="H1442" s="73"/>
      <c r="I1442" s="73"/>
      <c r="J1442" s="73"/>
      <c r="L1442" s="73"/>
    </row>
    <row r="1443" spans="2:12">
      <c r="B1443" s="73"/>
      <c r="C1443" s="73"/>
      <c r="D1443" s="73"/>
      <c r="E1443" s="73"/>
      <c r="F1443" s="73"/>
      <c r="G1443" s="73"/>
      <c r="H1443" s="73"/>
      <c r="I1443" s="73"/>
      <c r="J1443" s="73"/>
      <c r="L1443" s="73"/>
    </row>
    <row r="1444" spans="2:12">
      <c r="B1444" s="73"/>
      <c r="C1444" s="73"/>
      <c r="D1444" s="73"/>
      <c r="E1444" s="73"/>
      <c r="F1444" s="73"/>
      <c r="G1444" s="73"/>
      <c r="H1444" s="73"/>
      <c r="I1444" s="73"/>
      <c r="J1444" s="73"/>
      <c r="L1444" s="73"/>
    </row>
    <row r="1445" spans="2:12">
      <c r="B1445" s="73"/>
      <c r="C1445" s="73"/>
      <c r="D1445" s="73"/>
      <c r="E1445" s="73"/>
      <c r="F1445" s="73"/>
      <c r="G1445" s="73"/>
      <c r="H1445" s="73"/>
      <c r="I1445" s="73"/>
      <c r="J1445" s="73"/>
      <c r="L1445" s="73"/>
    </row>
    <row r="1446" spans="2:12">
      <c r="B1446" s="73"/>
      <c r="C1446" s="73"/>
      <c r="D1446" s="73"/>
      <c r="E1446" s="73"/>
      <c r="F1446" s="73"/>
      <c r="G1446" s="73"/>
      <c r="H1446" s="73"/>
      <c r="I1446" s="73"/>
      <c r="J1446" s="73"/>
      <c r="L1446" s="73"/>
    </row>
    <row r="1447" spans="2:12">
      <c r="B1447" s="73"/>
      <c r="C1447" s="73"/>
      <c r="D1447" s="73"/>
      <c r="E1447" s="73"/>
      <c r="F1447" s="73"/>
      <c r="G1447" s="73"/>
      <c r="H1447" s="73"/>
      <c r="I1447" s="73"/>
      <c r="J1447" s="73"/>
      <c r="L1447" s="73"/>
    </row>
    <row r="1448" spans="2:12">
      <c r="B1448" s="73"/>
      <c r="C1448" s="73"/>
      <c r="D1448" s="73"/>
      <c r="E1448" s="73"/>
      <c r="F1448" s="73"/>
      <c r="G1448" s="73"/>
      <c r="H1448" s="73"/>
      <c r="I1448" s="73"/>
      <c r="J1448" s="73"/>
      <c r="L1448" s="73"/>
    </row>
    <row r="1449" spans="2:12">
      <c r="B1449" s="73"/>
      <c r="C1449" s="73"/>
      <c r="D1449" s="73"/>
      <c r="E1449" s="73"/>
      <c r="F1449" s="73"/>
      <c r="G1449" s="73"/>
      <c r="H1449" s="73"/>
      <c r="I1449" s="73"/>
      <c r="J1449" s="73"/>
      <c r="L1449" s="73"/>
    </row>
    <row r="1450" spans="2:12">
      <c r="B1450" s="73"/>
      <c r="C1450" s="73"/>
      <c r="D1450" s="73"/>
      <c r="E1450" s="73"/>
      <c r="F1450" s="73"/>
      <c r="G1450" s="73"/>
      <c r="H1450" s="73"/>
      <c r="I1450" s="73"/>
      <c r="J1450" s="73"/>
      <c r="L1450" s="73"/>
    </row>
    <row r="1451" spans="2:12">
      <c r="B1451" s="73"/>
      <c r="C1451" s="73"/>
      <c r="D1451" s="73"/>
      <c r="E1451" s="73"/>
      <c r="F1451" s="73"/>
      <c r="G1451" s="73"/>
      <c r="H1451" s="73"/>
      <c r="I1451" s="73"/>
      <c r="J1451" s="73"/>
      <c r="L1451" s="73"/>
    </row>
    <row r="1452" spans="2:12">
      <c r="B1452" s="73"/>
      <c r="C1452" s="73"/>
      <c r="D1452" s="73"/>
      <c r="E1452" s="73"/>
      <c r="F1452" s="73"/>
      <c r="G1452" s="73"/>
      <c r="H1452" s="73"/>
      <c r="I1452" s="73"/>
      <c r="J1452" s="73"/>
      <c r="L1452" s="73"/>
    </row>
    <row r="1453" spans="2:12">
      <c r="B1453" s="73"/>
      <c r="C1453" s="73"/>
      <c r="D1453" s="73"/>
      <c r="E1453" s="73"/>
      <c r="F1453" s="73"/>
      <c r="G1453" s="73"/>
      <c r="H1453" s="73"/>
      <c r="I1453" s="73"/>
      <c r="J1453" s="73"/>
      <c r="L1453" s="73"/>
    </row>
    <row r="1454" spans="2:12">
      <c r="B1454" s="73"/>
      <c r="C1454" s="73"/>
      <c r="D1454" s="73"/>
      <c r="E1454" s="73"/>
      <c r="F1454" s="73"/>
      <c r="G1454" s="73"/>
      <c r="H1454" s="73"/>
      <c r="I1454" s="73"/>
      <c r="J1454" s="73"/>
      <c r="L1454" s="73"/>
    </row>
    <row r="1455" spans="2:12">
      <c r="B1455" s="73"/>
      <c r="C1455" s="73"/>
      <c r="D1455" s="73"/>
      <c r="E1455" s="73"/>
      <c r="F1455" s="73"/>
      <c r="G1455" s="73"/>
      <c r="H1455" s="73"/>
      <c r="I1455" s="73"/>
      <c r="J1455" s="73"/>
      <c r="L1455" s="73"/>
    </row>
    <row r="1456" spans="2:12">
      <c r="B1456" s="73"/>
      <c r="C1456" s="73"/>
      <c r="D1456" s="73"/>
      <c r="E1456" s="73"/>
      <c r="F1456" s="73"/>
      <c r="G1456" s="73"/>
      <c r="H1456" s="73"/>
      <c r="I1456" s="73"/>
      <c r="J1456" s="73"/>
      <c r="L1456" s="73"/>
    </row>
    <row r="1457" spans="2:12">
      <c r="B1457" s="73"/>
      <c r="C1457" s="73"/>
      <c r="D1457" s="73"/>
      <c r="E1457" s="73"/>
      <c r="F1457" s="73"/>
      <c r="G1457" s="73"/>
      <c r="H1457" s="73"/>
      <c r="I1457" s="73"/>
      <c r="J1457" s="73"/>
      <c r="L1457" s="73"/>
    </row>
    <row r="1458" spans="2:12">
      <c r="B1458" s="73"/>
      <c r="C1458" s="73"/>
      <c r="D1458" s="73"/>
      <c r="E1458" s="73"/>
      <c r="F1458" s="73"/>
      <c r="G1458" s="73"/>
      <c r="H1458" s="73"/>
      <c r="I1458" s="73"/>
      <c r="J1458" s="73"/>
      <c r="L1458" s="73"/>
    </row>
    <row r="1459" spans="2:12">
      <c r="B1459" s="73"/>
      <c r="C1459" s="73"/>
      <c r="D1459" s="73"/>
      <c r="E1459" s="73"/>
      <c r="F1459" s="73"/>
      <c r="G1459" s="73"/>
      <c r="H1459" s="73"/>
      <c r="I1459" s="73"/>
      <c r="J1459" s="73"/>
      <c r="L1459" s="73"/>
    </row>
    <row r="1460" spans="2:12">
      <c r="B1460" s="73"/>
      <c r="C1460" s="73"/>
      <c r="D1460" s="73"/>
      <c r="E1460" s="73"/>
      <c r="F1460" s="73"/>
      <c r="G1460" s="73"/>
      <c r="H1460" s="73"/>
      <c r="I1460" s="73"/>
      <c r="J1460" s="73"/>
      <c r="L1460" s="73"/>
    </row>
    <row r="1461" spans="2:12">
      <c r="B1461" s="73"/>
      <c r="C1461" s="73"/>
      <c r="D1461" s="73"/>
      <c r="E1461" s="73"/>
      <c r="F1461" s="73"/>
      <c r="G1461" s="73"/>
      <c r="H1461" s="73"/>
      <c r="I1461" s="73"/>
      <c r="J1461" s="73"/>
      <c r="L1461" s="73"/>
    </row>
    <row r="1462" spans="2:12">
      <c r="B1462" s="73"/>
      <c r="C1462" s="73"/>
      <c r="D1462" s="73"/>
      <c r="E1462" s="73"/>
      <c r="F1462" s="73"/>
      <c r="G1462" s="73"/>
      <c r="H1462" s="73"/>
      <c r="I1462" s="73"/>
      <c r="J1462" s="73"/>
      <c r="L1462" s="73"/>
    </row>
    <row r="1463" spans="2:12">
      <c r="B1463" s="73"/>
      <c r="C1463" s="73"/>
      <c r="D1463" s="73"/>
      <c r="E1463" s="73"/>
      <c r="F1463" s="73"/>
      <c r="G1463" s="73"/>
      <c r="H1463" s="73"/>
      <c r="I1463" s="73"/>
      <c r="J1463" s="73"/>
      <c r="L1463" s="73"/>
    </row>
    <row r="1464" spans="2:12">
      <c r="B1464" s="73"/>
      <c r="C1464" s="73"/>
      <c r="D1464" s="73"/>
      <c r="E1464" s="73"/>
      <c r="F1464" s="73"/>
      <c r="G1464" s="73"/>
      <c r="H1464" s="73"/>
      <c r="I1464" s="73"/>
      <c r="J1464" s="73"/>
      <c r="L1464" s="73"/>
    </row>
    <row r="1465" spans="2:12">
      <c r="B1465" s="73"/>
      <c r="C1465" s="73"/>
      <c r="D1465" s="73"/>
      <c r="E1465" s="73"/>
      <c r="F1465" s="73"/>
      <c r="G1465" s="73"/>
      <c r="H1465" s="73"/>
      <c r="I1465" s="73"/>
      <c r="J1465" s="73"/>
      <c r="L1465" s="73"/>
    </row>
    <row r="1466" spans="2:12">
      <c r="B1466" s="73"/>
      <c r="C1466" s="73"/>
      <c r="D1466" s="73"/>
      <c r="E1466" s="73"/>
      <c r="F1466" s="73"/>
      <c r="G1466" s="73"/>
      <c r="H1466" s="73"/>
      <c r="I1466" s="73"/>
      <c r="J1466" s="73"/>
      <c r="L1466" s="73"/>
    </row>
    <row r="1467" spans="2:12">
      <c r="B1467" s="73"/>
      <c r="C1467" s="73"/>
      <c r="D1467" s="73"/>
      <c r="E1467" s="73"/>
      <c r="F1467" s="73"/>
      <c r="G1467" s="73"/>
      <c r="H1467" s="73"/>
      <c r="I1467" s="73"/>
      <c r="J1467" s="73"/>
      <c r="L1467" s="73"/>
    </row>
    <row r="1468" spans="2:12">
      <c r="B1468" s="73"/>
      <c r="C1468" s="73"/>
      <c r="D1468" s="73"/>
      <c r="E1468" s="73"/>
      <c r="F1468" s="73"/>
      <c r="G1468" s="73"/>
      <c r="H1468" s="73"/>
      <c r="I1468" s="73"/>
      <c r="J1468" s="73"/>
      <c r="L1468" s="73"/>
    </row>
    <row r="1469" spans="2:12">
      <c r="B1469" s="73"/>
      <c r="C1469" s="73"/>
      <c r="D1469" s="73"/>
      <c r="E1469" s="73"/>
      <c r="F1469" s="73"/>
      <c r="G1469" s="73"/>
      <c r="H1469" s="73"/>
      <c r="I1469" s="73"/>
      <c r="J1469" s="73"/>
      <c r="L1469" s="73"/>
    </row>
    <row r="1470" spans="2:12">
      <c r="B1470" s="73"/>
      <c r="C1470" s="73"/>
      <c r="D1470" s="73"/>
      <c r="E1470" s="73"/>
      <c r="F1470" s="73"/>
      <c r="G1470" s="73"/>
      <c r="H1470" s="73"/>
      <c r="I1470" s="73"/>
      <c r="J1470" s="73"/>
      <c r="L1470" s="73"/>
    </row>
    <row r="1471" spans="2:12">
      <c r="B1471" s="73"/>
      <c r="C1471" s="73"/>
      <c r="D1471" s="73"/>
      <c r="E1471" s="73"/>
      <c r="F1471" s="73"/>
      <c r="G1471" s="73"/>
      <c r="H1471" s="73"/>
      <c r="I1471" s="73"/>
      <c r="J1471" s="73"/>
      <c r="L1471" s="73"/>
    </row>
    <row r="1472" spans="2:12">
      <c r="B1472" s="73"/>
      <c r="C1472" s="73"/>
      <c r="D1472" s="73"/>
      <c r="E1472" s="73"/>
      <c r="F1472" s="73"/>
      <c r="G1472" s="73"/>
      <c r="H1472" s="73"/>
      <c r="I1472" s="73"/>
      <c r="J1472" s="73"/>
      <c r="L1472" s="73"/>
    </row>
    <row r="1473" spans="2:12">
      <c r="B1473" s="73"/>
      <c r="C1473" s="73"/>
      <c r="D1473" s="73"/>
      <c r="E1473" s="73"/>
      <c r="F1473" s="73"/>
      <c r="G1473" s="73"/>
      <c r="H1473" s="73"/>
      <c r="I1473" s="73"/>
      <c r="J1473" s="73"/>
      <c r="L1473" s="73"/>
    </row>
    <row r="1474" spans="2:12">
      <c r="B1474" s="73"/>
      <c r="C1474" s="73"/>
      <c r="D1474" s="73"/>
      <c r="E1474" s="73"/>
      <c r="F1474" s="73"/>
      <c r="G1474" s="73"/>
      <c r="H1474" s="73"/>
      <c r="I1474" s="73"/>
      <c r="J1474" s="73"/>
      <c r="L1474" s="73"/>
    </row>
    <row r="1475" spans="2:12">
      <c r="B1475" s="73"/>
      <c r="C1475" s="73"/>
      <c r="D1475" s="73"/>
      <c r="E1475" s="73"/>
      <c r="F1475" s="73"/>
      <c r="G1475" s="73"/>
      <c r="H1475" s="73"/>
      <c r="I1475" s="73"/>
      <c r="J1475" s="73"/>
      <c r="L1475" s="73"/>
    </row>
    <row r="1476" spans="2:12">
      <c r="B1476" s="73"/>
      <c r="C1476" s="73"/>
      <c r="D1476" s="73"/>
      <c r="E1476" s="73"/>
      <c r="F1476" s="73"/>
      <c r="G1476" s="73"/>
      <c r="H1476" s="73"/>
      <c r="I1476" s="73"/>
      <c r="J1476" s="73"/>
      <c r="L1476" s="73"/>
    </row>
    <row r="1477" spans="2:12">
      <c r="B1477" s="73"/>
      <c r="C1477" s="73"/>
      <c r="D1477" s="73"/>
      <c r="E1477" s="73"/>
      <c r="F1477" s="73"/>
      <c r="G1477" s="73"/>
      <c r="H1477" s="73"/>
      <c r="I1477" s="73"/>
      <c r="J1477" s="73"/>
      <c r="L1477" s="73"/>
    </row>
    <row r="1478" spans="2:12">
      <c r="B1478" s="73"/>
      <c r="C1478" s="73"/>
      <c r="D1478" s="73"/>
      <c r="E1478" s="73"/>
      <c r="F1478" s="73"/>
      <c r="G1478" s="73"/>
      <c r="H1478" s="73"/>
      <c r="I1478" s="73"/>
      <c r="J1478" s="73"/>
      <c r="L1478" s="73"/>
    </row>
    <row r="1479" spans="2:12">
      <c r="B1479" s="73"/>
      <c r="C1479" s="73"/>
      <c r="D1479" s="73"/>
      <c r="E1479" s="73"/>
      <c r="F1479" s="73"/>
      <c r="G1479" s="73"/>
      <c r="H1479" s="73"/>
      <c r="I1479" s="73"/>
      <c r="J1479" s="73"/>
      <c r="L1479" s="73"/>
    </row>
    <row r="1480" spans="2:12">
      <c r="B1480" s="73"/>
      <c r="C1480" s="73"/>
      <c r="D1480" s="73"/>
      <c r="E1480" s="73"/>
      <c r="F1480" s="73"/>
      <c r="G1480" s="73"/>
      <c r="H1480" s="73"/>
      <c r="I1480" s="73"/>
      <c r="J1480" s="73"/>
      <c r="L1480" s="73"/>
    </row>
    <row r="1481" spans="2:12">
      <c r="B1481" s="73"/>
      <c r="C1481" s="73"/>
      <c r="D1481" s="73"/>
      <c r="E1481" s="73"/>
      <c r="F1481" s="73"/>
      <c r="G1481" s="73"/>
      <c r="H1481" s="73"/>
      <c r="I1481" s="73"/>
      <c r="J1481" s="73"/>
      <c r="L1481" s="73"/>
    </row>
    <row r="1482" spans="2:12">
      <c r="B1482" s="73"/>
      <c r="C1482" s="73"/>
      <c r="D1482" s="73"/>
      <c r="E1482" s="73"/>
      <c r="F1482" s="73"/>
      <c r="G1482" s="73"/>
      <c r="H1482" s="73"/>
      <c r="I1482" s="73"/>
      <c r="J1482" s="73"/>
      <c r="L1482" s="73"/>
    </row>
    <row r="1483" spans="2:12">
      <c r="B1483" s="73"/>
      <c r="C1483" s="73"/>
      <c r="D1483" s="73"/>
      <c r="E1483" s="73"/>
      <c r="F1483" s="73"/>
      <c r="G1483" s="73"/>
      <c r="H1483" s="73"/>
      <c r="I1483" s="73"/>
      <c r="J1483" s="73"/>
      <c r="L1483" s="73"/>
    </row>
    <row r="1484" spans="2:12">
      <c r="B1484" s="73"/>
      <c r="C1484" s="73"/>
      <c r="D1484" s="73"/>
      <c r="E1484" s="73"/>
      <c r="F1484" s="73"/>
      <c r="G1484" s="73"/>
      <c r="H1484" s="73"/>
      <c r="I1484" s="73"/>
      <c r="J1484" s="73"/>
      <c r="L1484" s="73"/>
    </row>
    <row r="1485" spans="2:12">
      <c r="B1485" s="73"/>
      <c r="C1485" s="73"/>
      <c r="D1485" s="73"/>
      <c r="E1485" s="73"/>
      <c r="F1485" s="73"/>
      <c r="G1485" s="73"/>
      <c r="H1485" s="73"/>
      <c r="I1485" s="73"/>
      <c r="J1485" s="73"/>
      <c r="L1485" s="73"/>
    </row>
    <row r="1486" spans="2:12">
      <c r="B1486" s="73"/>
      <c r="C1486" s="73"/>
      <c r="D1486" s="73"/>
      <c r="E1486" s="73"/>
      <c r="F1486" s="73"/>
      <c r="G1486" s="73"/>
      <c r="H1486" s="73"/>
      <c r="I1486" s="73"/>
      <c r="J1486" s="73"/>
      <c r="L1486" s="73"/>
    </row>
    <row r="1487" spans="2:12">
      <c r="B1487" s="73"/>
      <c r="C1487" s="73"/>
      <c r="D1487" s="73"/>
      <c r="E1487" s="73"/>
      <c r="F1487" s="73"/>
      <c r="G1487" s="73"/>
      <c r="H1487" s="73"/>
      <c r="I1487" s="73"/>
      <c r="J1487" s="73"/>
      <c r="L1487" s="73"/>
    </row>
    <row r="1488" spans="2:12">
      <c r="B1488" s="73"/>
      <c r="C1488" s="73"/>
      <c r="D1488" s="73"/>
      <c r="E1488" s="73"/>
      <c r="F1488" s="73"/>
      <c r="G1488" s="73"/>
      <c r="H1488" s="73"/>
      <c r="I1488" s="73"/>
      <c r="J1488" s="73"/>
      <c r="L1488" s="73"/>
    </row>
    <row r="1489" spans="2:12">
      <c r="B1489" s="73"/>
      <c r="C1489" s="73"/>
      <c r="D1489" s="73"/>
      <c r="E1489" s="73"/>
      <c r="F1489" s="73"/>
      <c r="G1489" s="73"/>
      <c r="H1489" s="73"/>
      <c r="I1489" s="73"/>
      <c r="J1489" s="73"/>
      <c r="L1489" s="73"/>
    </row>
    <row r="1490" spans="2:12">
      <c r="B1490" s="73"/>
      <c r="C1490" s="73"/>
      <c r="D1490" s="73"/>
      <c r="E1490" s="73"/>
      <c r="F1490" s="73"/>
      <c r="G1490" s="73"/>
      <c r="H1490" s="73"/>
      <c r="I1490" s="73"/>
      <c r="J1490" s="73"/>
      <c r="L1490" s="73"/>
    </row>
    <row r="1491" spans="2:12">
      <c r="B1491" s="73"/>
      <c r="C1491" s="73"/>
      <c r="D1491" s="73"/>
      <c r="E1491" s="73"/>
      <c r="F1491" s="73"/>
      <c r="G1491" s="73"/>
      <c r="H1491" s="73"/>
      <c r="I1491" s="73"/>
      <c r="J1491" s="73"/>
      <c r="L1491" s="73"/>
    </row>
    <row r="1492" spans="2:12">
      <c r="B1492" s="73"/>
      <c r="C1492" s="73"/>
      <c r="D1492" s="73"/>
      <c r="E1492" s="73"/>
      <c r="F1492" s="73"/>
      <c r="G1492" s="73"/>
      <c r="H1492" s="73"/>
      <c r="I1492" s="73"/>
      <c r="J1492" s="73"/>
      <c r="L1492" s="73"/>
    </row>
    <row r="1493" spans="2:12">
      <c r="B1493" s="73"/>
      <c r="C1493" s="73"/>
      <c r="D1493" s="73"/>
      <c r="E1493" s="73"/>
      <c r="F1493" s="73"/>
      <c r="G1493" s="73"/>
      <c r="H1493" s="73"/>
      <c r="I1493" s="73"/>
      <c r="J1493" s="73"/>
      <c r="L1493" s="73"/>
    </row>
    <row r="1494" spans="2:12">
      <c r="B1494" s="73"/>
      <c r="C1494" s="73"/>
      <c r="D1494" s="73"/>
      <c r="E1494" s="73"/>
      <c r="F1494" s="73"/>
      <c r="G1494" s="73"/>
      <c r="H1494" s="73"/>
      <c r="I1494" s="73"/>
      <c r="J1494" s="73"/>
      <c r="L1494" s="73"/>
    </row>
    <row r="1495" spans="2:12">
      <c r="B1495" s="73"/>
      <c r="C1495" s="73"/>
      <c r="D1495" s="73"/>
      <c r="E1495" s="73"/>
      <c r="F1495" s="73"/>
      <c r="G1495" s="73"/>
      <c r="H1495" s="73"/>
      <c r="I1495" s="73"/>
      <c r="J1495" s="73"/>
      <c r="L1495" s="73"/>
    </row>
    <row r="1496" spans="2:12">
      <c r="B1496" s="73"/>
      <c r="C1496" s="73"/>
      <c r="D1496" s="73"/>
      <c r="E1496" s="73"/>
      <c r="F1496" s="73"/>
      <c r="G1496" s="73"/>
      <c r="H1496" s="73"/>
      <c r="I1496" s="73"/>
      <c r="J1496" s="73"/>
      <c r="L1496" s="73"/>
    </row>
    <row r="1497" spans="2:12">
      <c r="B1497" s="73"/>
      <c r="C1497" s="73"/>
      <c r="D1497" s="73"/>
      <c r="E1497" s="73"/>
      <c r="F1497" s="73"/>
      <c r="G1497" s="73"/>
      <c r="H1497" s="73"/>
      <c r="I1497" s="73"/>
      <c r="J1497" s="73"/>
      <c r="L1497" s="73"/>
    </row>
    <row r="1498" spans="2:12">
      <c r="B1498" s="73"/>
      <c r="C1498" s="73"/>
      <c r="D1498" s="73"/>
      <c r="E1498" s="73"/>
      <c r="F1498" s="73"/>
      <c r="G1498" s="73"/>
      <c r="H1498" s="73"/>
      <c r="I1498" s="73"/>
      <c r="J1498" s="73"/>
      <c r="L1498" s="73"/>
    </row>
    <row r="1499" spans="2:12">
      <c r="B1499" s="73"/>
      <c r="C1499" s="73"/>
      <c r="D1499" s="73"/>
      <c r="E1499" s="73"/>
      <c r="F1499" s="73"/>
      <c r="G1499" s="73"/>
      <c r="H1499" s="73"/>
      <c r="I1499" s="73"/>
      <c r="J1499" s="73"/>
      <c r="L1499" s="73"/>
    </row>
    <row r="1500" spans="2:12">
      <c r="B1500" s="73"/>
      <c r="C1500" s="73"/>
      <c r="D1500" s="73"/>
      <c r="E1500" s="73"/>
      <c r="F1500" s="73"/>
      <c r="G1500" s="73"/>
      <c r="H1500" s="73"/>
      <c r="I1500" s="73"/>
      <c r="J1500" s="73"/>
      <c r="L1500" s="73"/>
    </row>
    <row r="1501" spans="2:12">
      <c r="B1501" s="73"/>
      <c r="C1501" s="73"/>
      <c r="D1501" s="73"/>
      <c r="E1501" s="73"/>
      <c r="F1501" s="73"/>
      <c r="G1501" s="73"/>
      <c r="H1501" s="73"/>
      <c r="I1501" s="73"/>
      <c r="J1501" s="73"/>
      <c r="L1501" s="73"/>
    </row>
    <row r="1502" spans="2:12">
      <c r="B1502" s="73"/>
      <c r="C1502" s="73"/>
      <c r="D1502" s="73"/>
      <c r="E1502" s="73"/>
      <c r="F1502" s="73"/>
      <c r="G1502" s="73"/>
      <c r="H1502" s="73"/>
      <c r="I1502" s="73"/>
      <c r="J1502" s="73"/>
      <c r="L1502" s="73"/>
    </row>
    <row r="1503" spans="2:12">
      <c r="B1503" s="73"/>
      <c r="C1503" s="73"/>
      <c r="D1503" s="73"/>
      <c r="E1503" s="73"/>
      <c r="F1503" s="73"/>
      <c r="G1503" s="73"/>
      <c r="H1503" s="73"/>
      <c r="I1503" s="73"/>
      <c r="J1503" s="73"/>
      <c r="L1503" s="73"/>
    </row>
    <row r="1504" spans="2:12">
      <c r="B1504" s="73"/>
      <c r="C1504" s="73"/>
      <c r="D1504" s="73"/>
      <c r="E1504" s="73"/>
      <c r="F1504" s="73"/>
      <c r="G1504" s="73"/>
      <c r="H1504" s="73"/>
      <c r="I1504" s="73"/>
      <c r="J1504" s="73"/>
      <c r="L1504" s="73"/>
    </row>
    <row r="1505" spans="2:12">
      <c r="B1505" s="73"/>
      <c r="C1505" s="73"/>
      <c r="D1505" s="73"/>
      <c r="E1505" s="73"/>
      <c r="F1505" s="73"/>
      <c r="G1505" s="73"/>
      <c r="H1505" s="73"/>
      <c r="I1505" s="73"/>
      <c r="J1505" s="73"/>
      <c r="L1505" s="73"/>
    </row>
    <row r="1506" spans="2:12">
      <c r="B1506" s="73"/>
      <c r="C1506" s="73"/>
      <c r="D1506" s="73"/>
      <c r="E1506" s="73"/>
      <c r="F1506" s="73"/>
      <c r="G1506" s="73"/>
      <c r="H1506" s="73"/>
      <c r="I1506" s="73"/>
      <c r="J1506" s="73"/>
      <c r="L1506" s="73"/>
    </row>
    <row r="1507" spans="2:12">
      <c r="B1507" s="73"/>
      <c r="C1507" s="73"/>
      <c r="D1507" s="73"/>
      <c r="E1507" s="73"/>
      <c r="F1507" s="73"/>
      <c r="G1507" s="73"/>
      <c r="H1507" s="73"/>
      <c r="I1507" s="73"/>
      <c r="J1507" s="73"/>
      <c r="L1507" s="73"/>
    </row>
    <row r="1508" spans="2:12">
      <c r="B1508" s="73"/>
      <c r="C1508" s="73"/>
      <c r="D1508" s="73"/>
      <c r="E1508" s="73"/>
      <c r="F1508" s="73"/>
      <c r="G1508" s="73"/>
      <c r="H1508" s="73"/>
      <c r="I1508" s="73"/>
      <c r="J1508" s="73"/>
      <c r="L1508" s="73"/>
    </row>
    <row r="1509" spans="2:12">
      <c r="B1509" s="73"/>
      <c r="C1509" s="73"/>
      <c r="D1509" s="73"/>
      <c r="E1509" s="73"/>
      <c r="F1509" s="73"/>
      <c r="G1509" s="73"/>
      <c r="H1509" s="73"/>
      <c r="I1509" s="73"/>
      <c r="J1509" s="73"/>
      <c r="L1509" s="73"/>
    </row>
    <row r="1510" spans="2:12">
      <c r="B1510" s="73"/>
      <c r="C1510" s="73"/>
      <c r="D1510" s="73"/>
      <c r="E1510" s="73"/>
      <c r="F1510" s="73"/>
      <c r="G1510" s="73"/>
      <c r="H1510" s="73"/>
      <c r="I1510" s="73"/>
      <c r="J1510" s="73"/>
      <c r="L1510" s="73"/>
    </row>
    <row r="1511" spans="2:12">
      <c r="B1511" s="73"/>
      <c r="C1511" s="73"/>
      <c r="D1511" s="73"/>
      <c r="E1511" s="73"/>
      <c r="F1511" s="73"/>
      <c r="G1511" s="73"/>
      <c r="H1511" s="73"/>
      <c r="I1511" s="73"/>
      <c r="J1511" s="73"/>
      <c r="L1511" s="73"/>
    </row>
    <row r="1512" spans="2:12">
      <c r="B1512" s="73"/>
      <c r="C1512" s="73"/>
      <c r="D1512" s="73"/>
      <c r="E1512" s="73"/>
      <c r="F1512" s="73"/>
      <c r="G1512" s="73"/>
      <c r="H1512" s="73"/>
      <c r="I1512" s="73"/>
      <c r="J1512" s="73"/>
      <c r="L1512" s="73"/>
    </row>
    <row r="1513" spans="2:12">
      <c r="B1513" s="73"/>
      <c r="C1513" s="73"/>
      <c r="D1513" s="73"/>
      <c r="E1513" s="73"/>
      <c r="F1513" s="73"/>
      <c r="G1513" s="73"/>
      <c r="H1513" s="73"/>
      <c r="I1513" s="73"/>
      <c r="J1513" s="73"/>
      <c r="L1513" s="73"/>
    </row>
    <row r="1514" spans="2:12">
      <c r="B1514" s="73"/>
      <c r="C1514" s="73"/>
      <c r="D1514" s="73"/>
      <c r="E1514" s="73"/>
      <c r="F1514" s="73"/>
      <c r="G1514" s="73"/>
      <c r="H1514" s="73"/>
      <c r="I1514" s="73"/>
      <c r="J1514" s="73"/>
      <c r="L1514" s="73"/>
    </row>
    <row r="1515" spans="2:12">
      <c r="B1515" s="73"/>
      <c r="C1515" s="73"/>
      <c r="D1515" s="73"/>
      <c r="E1515" s="73"/>
      <c r="F1515" s="73"/>
      <c r="G1515" s="73"/>
      <c r="H1515" s="73"/>
      <c r="I1515" s="73"/>
      <c r="J1515" s="73"/>
      <c r="L1515" s="73"/>
    </row>
    <row r="1516" spans="2:12">
      <c r="B1516" s="73"/>
      <c r="C1516" s="73"/>
      <c r="D1516" s="73"/>
      <c r="E1516" s="73"/>
      <c r="F1516" s="73"/>
      <c r="G1516" s="73"/>
      <c r="H1516" s="73"/>
      <c r="I1516" s="73"/>
      <c r="J1516" s="73"/>
      <c r="L1516" s="73"/>
    </row>
    <row r="1517" spans="2:12">
      <c r="B1517" s="73"/>
      <c r="C1517" s="73"/>
      <c r="D1517" s="73"/>
      <c r="E1517" s="73"/>
      <c r="F1517" s="73"/>
      <c r="G1517" s="73"/>
      <c r="H1517" s="73"/>
      <c r="I1517" s="73"/>
      <c r="J1517" s="73"/>
      <c r="L1517" s="73"/>
    </row>
    <row r="1518" spans="2:12">
      <c r="B1518" s="73"/>
      <c r="C1518" s="73"/>
      <c r="D1518" s="73"/>
      <c r="E1518" s="73"/>
      <c r="F1518" s="73"/>
      <c r="G1518" s="73"/>
      <c r="H1518" s="73"/>
      <c r="I1518" s="73"/>
      <c r="J1518" s="73"/>
      <c r="L1518" s="73"/>
    </row>
    <row r="1519" spans="2:12">
      <c r="B1519" s="73"/>
      <c r="C1519" s="73"/>
      <c r="D1519" s="73"/>
      <c r="E1519" s="73"/>
      <c r="F1519" s="73"/>
      <c r="G1519" s="73"/>
      <c r="H1519" s="73"/>
      <c r="I1519" s="73"/>
      <c r="J1519" s="73"/>
      <c r="L1519" s="73"/>
    </row>
    <row r="1520" spans="2:12">
      <c r="B1520" s="73"/>
      <c r="C1520" s="73"/>
      <c r="D1520" s="73"/>
      <c r="E1520" s="73"/>
      <c r="F1520" s="73"/>
      <c r="G1520" s="73"/>
      <c r="H1520" s="73"/>
      <c r="I1520" s="73"/>
      <c r="J1520" s="73"/>
      <c r="L1520" s="73"/>
    </row>
    <row r="1521" spans="2:12">
      <c r="B1521" s="73"/>
      <c r="C1521" s="73"/>
      <c r="D1521" s="73"/>
      <c r="E1521" s="73"/>
      <c r="F1521" s="73"/>
      <c r="G1521" s="73"/>
      <c r="H1521" s="73"/>
      <c r="I1521" s="73"/>
      <c r="J1521" s="73"/>
      <c r="L1521" s="73"/>
    </row>
    <row r="1522" spans="2:12">
      <c r="B1522" s="73"/>
      <c r="C1522" s="73"/>
      <c r="D1522" s="73"/>
      <c r="E1522" s="73"/>
      <c r="F1522" s="73"/>
      <c r="G1522" s="73"/>
      <c r="H1522" s="73"/>
      <c r="I1522" s="73"/>
      <c r="J1522" s="73"/>
      <c r="L1522" s="73"/>
    </row>
    <row r="1523" spans="2:12">
      <c r="B1523" s="73"/>
      <c r="C1523" s="73"/>
      <c r="D1523" s="73"/>
      <c r="E1523" s="73"/>
      <c r="F1523" s="73"/>
      <c r="G1523" s="73"/>
      <c r="H1523" s="73"/>
      <c r="I1523" s="73"/>
      <c r="J1523" s="73"/>
      <c r="L1523" s="73"/>
    </row>
    <row r="1524" spans="2:12">
      <c r="B1524" s="73"/>
      <c r="C1524" s="73"/>
      <c r="D1524" s="73"/>
      <c r="E1524" s="73"/>
      <c r="F1524" s="73"/>
      <c r="G1524" s="73"/>
      <c r="H1524" s="73"/>
      <c r="I1524" s="73"/>
      <c r="J1524" s="73"/>
      <c r="L1524" s="73"/>
    </row>
    <row r="1525" spans="2:12">
      <c r="B1525" s="73"/>
      <c r="C1525" s="73"/>
      <c r="D1525" s="73"/>
      <c r="E1525" s="73"/>
      <c r="F1525" s="73"/>
      <c r="G1525" s="73"/>
      <c r="H1525" s="73"/>
      <c r="I1525" s="73"/>
      <c r="J1525" s="73"/>
      <c r="L1525" s="73"/>
    </row>
    <row r="1526" spans="2:12">
      <c r="B1526" s="73"/>
      <c r="C1526" s="73"/>
      <c r="D1526" s="73"/>
      <c r="E1526" s="73"/>
      <c r="F1526" s="73"/>
      <c r="G1526" s="73"/>
      <c r="H1526" s="73"/>
      <c r="I1526" s="73"/>
      <c r="J1526" s="73"/>
      <c r="L1526" s="73"/>
    </row>
    <row r="1527" spans="2:12">
      <c r="B1527" s="73"/>
      <c r="C1527" s="73"/>
      <c r="D1527" s="73"/>
      <c r="E1527" s="73"/>
      <c r="F1527" s="73"/>
      <c r="G1527" s="73"/>
      <c r="H1527" s="73"/>
      <c r="I1527" s="73"/>
      <c r="J1527" s="73"/>
      <c r="L1527" s="73"/>
    </row>
    <row r="1528" spans="2:12">
      <c r="B1528" s="73"/>
      <c r="C1528" s="73"/>
      <c r="D1528" s="73"/>
      <c r="E1528" s="73"/>
      <c r="F1528" s="73"/>
      <c r="G1528" s="73"/>
      <c r="H1528" s="73"/>
      <c r="I1528" s="73"/>
      <c r="J1528" s="73"/>
      <c r="L1528" s="73"/>
    </row>
    <row r="1529" spans="2:12">
      <c r="B1529" s="73"/>
      <c r="C1529" s="73"/>
      <c r="D1529" s="73"/>
      <c r="E1529" s="73"/>
      <c r="F1529" s="73"/>
      <c r="G1529" s="73"/>
      <c r="H1529" s="73"/>
      <c r="I1529" s="73"/>
      <c r="J1529" s="73"/>
      <c r="L1529" s="73"/>
    </row>
    <row r="1530" spans="2:12">
      <c r="B1530" s="73"/>
      <c r="C1530" s="73"/>
      <c r="D1530" s="73"/>
      <c r="E1530" s="73"/>
      <c r="F1530" s="73"/>
      <c r="G1530" s="73"/>
      <c r="H1530" s="73"/>
      <c r="I1530" s="73"/>
      <c r="J1530" s="73"/>
      <c r="L1530" s="73"/>
    </row>
    <row r="1531" spans="2:12">
      <c r="B1531" s="73"/>
      <c r="C1531" s="73"/>
      <c r="D1531" s="73"/>
      <c r="E1531" s="73"/>
      <c r="F1531" s="73"/>
      <c r="G1531" s="73"/>
      <c r="H1531" s="73"/>
      <c r="I1531" s="73"/>
      <c r="J1531" s="73"/>
      <c r="L1531" s="73"/>
    </row>
    <row r="1532" spans="2:12">
      <c r="B1532" s="73"/>
      <c r="C1532" s="73"/>
      <c r="D1532" s="73"/>
      <c r="E1532" s="73"/>
      <c r="F1532" s="73"/>
      <c r="G1532" s="73"/>
      <c r="H1532" s="73"/>
      <c r="I1532" s="73"/>
      <c r="J1532" s="73"/>
      <c r="L1532" s="73"/>
    </row>
    <row r="1533" spans="2:12">
      <c r="B1533" s="73"/>
      <c r="C1533" s="73"/>
      <c r="D1533" s="73"/>
      <c r="E1533" s="73"/>
      <c r="F1533" s="73"/>
      <c r="G1533" s="73"/>
      <c r="H1533" s="73"/>
      <c r="I1533" s="73"/>
      <c r="J1533" s="73"/>
      <c r="L1533" s="73"/>
    </row>
    <row r="1534" spans="2:12">
      <c r="B1534" s="73"/>
      <c r="C1534" s="73"/>
      <c r="D1534" s="73"/>
      <c r="E1534" s="73"/>
      <c r="F1534" s="73"/>
      <c r="G1534" s="73"/>
      <c r="H1534" s="73"/>
      <c r="I1534" s="73"/>
      <c r="J1534" s="73"/>
      <c r="L1534" s="73"/>
    </row>
    <row r="1535" spans="2:12">
      <c r="B1535" s="73"/>
      <c r="C1535" s="73"/>
      <c r="D1535" s="73"/>
      <c r="E1535" s="73"/>
      <c r="F1535" s="73"/>
      <c r="G1535" s="73"/>
      <c r="H1535" s="73"/>
      <c r="I1535" s="73"/>
      <c r="J1535" s="73"/>
      <c r="L1535" s="73"/>
    </row>
    <row r="1536" spans="2:12">
      <c r="B1536" s="73"/>
      <c r="C1536" s="73"/>
      <c r="D1536" s="73"/>
      <c r="E1536" s="73"/>
      <c r="F1536" s="73"/>
      <c r="G1536" s="73"/>
      <c r="H1536" s="73"/>
      <c r="I1536" s="73"/>
      <c r="J1536" s="73"/>
      <c r="L1536" s="73"/>
    </row>
    <row r="1537" spans="2:12">
      <c r="B1537" s="73"/>
      <c r="C1537" s="73"/>
      <c r="D1537" s="73"/>
      <c r="E1537" s="73"/>
      <c r="F1537" s="73"/>
      <c r="G1537" s="73"/>
      <c r="H1537" s="73"/>
      <c r="I1537" s="73"/>
      <c r="J1537" s="73"/>
      <c r="L1537" s="73"/>
    </row>
    <row r="1538" spans="2:12">
      <c r="B1538" s="73"/>
      <c r="C1538" s="73"/>
      <c r="D1538" s="73"/>
      <c r="E1538" s="73"/>
      <c r="F1538" s="73"/>
      <c r="G1538" s="73"/>
      <c r="H1538" s="73"/>
      <c r="I1538" s="73"/>
      <c r="J1538" s="73"/>
      <c r="L1538" s="73"/>
    </row>
    <row r="1539" spans="2:12">
      <c r="B1539" s="73"/>
      <c r="C1539" s="73"/>
      <c r="D1539" s="73"/>
      <c r="E1539" s="73"/>
      <c r="F1539" s="73"/>
      <c r="G1539" s="73"/>
      <c r="H1539" s="73"/>
      <c r="I1539" s="73"/>
      <c r="J1539" s="73"/>
      <c r="L1539" s="73"/>
    </row>
    <row r="1540" spans="2:12">
      <c r="B1540" s="73"/>
      <c r="C1540" s="73"/>
      <c r="D1540" s="73"/>
      <c r="E1540" s="73"/>
      <c r="F1540" s="73"/>
      <c r="G1540" s="73"/>
      <c r="H1540" s="73"/>
      <c r="I1540" s="73"/>
      <c r="J1540" s="73"/>
      <c r="L1540" s="73"/>
    </row>
    <row r="1541" spans="2:12">
      <c r="B1541" s="73"/>
      <c r="C1541" s="73"/>
      <c r="D1541" s="73"/>
      <c r="E1541" s="73"/>
      <c r="F1541" s="73"/>
      <c r="G1541" s="73"/>
      <c r="H1541" s="73"/>
      <c r="I1541" s="73"/>
      <c r="J1541" s="73"/>
      <c r="L1541" s="73"/>
    </row>
    <row r="1542" spans="2:12">
      <c r="B1542" s="73"/>
      <c r="C1542" s="73"/>
      <c r="D1542" s="73"/>
      <c r="E1542" s="73"/>
      <c r="F1542" s="73"/>
      <c r="G1542" s="73"/>
      <c r="H1542" s="73"/>
      <c r="I1542" s="73"/>
      <c r="J1542" s="73"/>
      <c r="L1542" s="73"/>
    </row>
    <row r="1543" spans="2:12">
      <c r="B1543" s="73"/>
      <c r="C1543" s="73"/>
      <c r="D1543" s="73"/>
      <c r="E1543" s="73"/>
      <c r="F1543" s="73"/>
      <c r="G1543" s="73"/>
      <c r="H1543" s="73"/>
      <c r="I1543" s="73"/>
      <c r="J1543" s="73"/>
      <c r="L1543" s="73"/>
    </row>
    <row r="1544" spans="2:12">
      <c r="B1544" s="73"/>
      <c r="C1544" s="73"/>
      <c r="D1544" s="73"/>
      <c r="E1544" s="73"/>
      <c r="F1544" s="73"/>
      <c r="G1544" s="73"/>
      <c r="H1544" s="73"/>
      <c r="I1544" s="73"/>
      <c r="J1544" s="73"/>
      <c r="L1544" s="73"/>
    </row>
    <row r="1545" spans="2:12">
      <c r="B1545" s="73"/>
      <c r="C1545" s="73"/>
      <c r="D1545" s="73"/>
      <c r="E1545" s="73"/>
      <c r="F1545" s="73"/>
      <c r="G1545" s="73"/>
      <c r="H1545" s="73"/>
      <c r="I1545" s="73"/>
      <c r="J1545" s="73"/>
      <c r="L1545" s="73"/>
    </row>
    <row r="1546" spans="2:12">
      <c r="B1546" s="73"/>
      <c r="C1546" s="73"/>
      <c r="D1546" s="73"/>
      <c r="E1546" s="73"/>
      <c r="F1546" s="73"/>
      <c r="G1546" s="73"/>
      <c r="H1546" s="73"/>
      <c r="I1546" s="73"/>
      <c r="J1546" s="73"/>
      <c r="L1546" s="73"/>
    </row>
    <row r="1547" spans="2:12">
      <c r="B1547" s="73"/>
      <c r="C1547" s="73"/>
      <c r="D1547" s="73"/>
      <c r="E1547" s="73"/>
      <c r="F1547" s="73"/>
      <c r="G1547" s="73"/>
      <c r="H1547" s="73"/>
      <c r="I1547" s="73"/>
      <c r="J1547" s="73"/>
      <c r="L1547" s="73"/>
    </row>
    <row r="1548" spans="2:12">
      <c r="B1548" s="73"/>
      <c r="C1548" s="73"/>
      <c r="D1548" s="73"/>
      <c r="E1548" s="73"/>
      <c r="F1548" s="73"/>
      <c r="G1548" s="73"/>
      <c r="H1548" s="73"/>
      <c r="I1548" s="73"/>
      <c r="J1548" s="73"/>
      <c r="L1548" s="73"/>
    </row>
    <row r="1549" spans="2:12">
      <c r="B1549" s="73"/>
      <c r="C1549" s="73"/>
      <c r="D1549" s="73"/>
      <c r="E1549" s="73"/>
      <c r="F1549" s="73"/>
      <c r="G1549" s="73"/>
      <c r="H1549" s="73"/>
      <c r="I1549" s="73"/>
      <c r="J1549" s="73"/>
      <c r="L1549" s="73"/>
    </row>
    <row r="1550" spans="2:12">
      <c r="B1550" s="73"/>
      <c r="C1550" s="73"/>
      <c r="D1550" s="73"/>
      <c r="E1550" s="73"/>
      <c r="F1550" s="73"/>
      <c r="G1550" s="73"/>
      <c r="H1550" s="73"/>
      <c r="I1550" s="73"/>
      <c r="J1550" s="73"/>
      <c r="L1550" s="73"/>
    </row>
    <row r="1551" spans="2:12">
      <c r="B1551" s="73"/>
      <c r="C1551" s="73"/>
      <c r="D1551" s="73"/>
      <c r="E1551" s="73"/>
      <c r="F1551" s="73"/>
      <c r="G1551" s="73"/>
      <c r="H1551" s="73"/>
      <c r="I1551" s="73"/>
      <c r="J1551" s="73"/>
      <c r="L1551" s="73"/>
    </row>
    <row r="1552" spans="2:12">
      <c r="B1552" s="73"/>
      <c r="C1552" s="73"/>
      <c r="D1552" s="73"/>
      <c r="E1552" s="73"/>
      <c r="F1552" s="73"/>
      <c r="G1552" s="73"/>
      <c r="H1552" s="73"/>
      <c r="I1552" s="73"/>
      <c r="J1552" s="73"/>
      <c r="L1552" s="73"/>
    </row>
    <row r="1553" spans="2:12">
      <c r="B1553" s="73"/>
      <c r="C1553" s="73"/>
      <c r="D1553" s="73"/>
      <c r="E1553" s="73"/>
      <c r="F1553" s="73"/>
      <c r="G1553" s="73"/>
      <c r="H1553" s="73"/>
      <c r="I1553" s="73"/>
      <c r="J1553" s="73"/>
      <c r="L1553" s="73"/>
    </row>
    <row r="1554" spans="2:12">
      <c r="B1554" s="73"/>
      <c r="C1554" s="73"/>
      <c r="D1554" s="73"/>
      <c r="E1554" s="73"/>
      <c r="F1554" s="73"/>
      <c r="G1554" s="73"/>
      <c r="H1554" s="73"/>
      <c r="I1554" s="73"/>
      <c r="J1554" s="73"/>
      <c r="L1554" s="73"/>
    </row>
    <row r="1555" spans="2:12">
      <c r="B1555" s="73"/>
      <c r="C1555" s="73"/>
      <c r="D1555" s="73"/>
      <c r="E1555" s="73"/>
      <c r="F1555" s="73"/>
      <c r="G1555" s="73"/>
      <c r="H1555" s="73"/>
      <c r="I1555" s="73"/>
      <c r="J1555" s="73"/>
      <c r="L1555" s="73"/>
    </row>
    <row r="1556" spans="2:12">
      <c r="B1556" s="73"/>
      <c r="C1556" s="73"/>
      <c r="D1556" s="73"/>
      <c r="E1556" s="73"/>
      <c r="F1556" s="73"/>
      <c r="G1556" s="73"/>
      <c r="H1556" s="73"/>
      <c r="I1556" s="73"/>
      <c r="J1556" s="73"/>
      <c r="L1556" s="73"/>
    </row>
    <row r="1557" spans="2:12">
      <c r="B1557" s="73"/>
      <c r="C1557" s="73"/>
      <c r="D1557" s="73"/>
      <c r="E1557" s="73"/>
      <c r="F1557" s="73"/>
      <c r="G1557" s="73"/>
      <c r="H1557" s="73"/>
      <c r="I1557" s="73"/>
      <c r="J1557" s="73"/>
      <c r="L1557" s="73"/>
    </row>
    <row r="1558" spans="2:12">
      <c r="B1558" s="73"/>
      <c r="C1558" s="73"/>
      <c r="D1558" s="73"/>
      <c r="E1558" s="73"/>
      <c r="F1558" s="73"/>
      <c r="G1558" s="73"/>
      <c r="H1558" s="73"/>
      <c r="I1558" s="73"/>
      <c r="J1558" s="73"/>
      <c r="L1558" s="73"/>
    </row>
    <row r="1559" spans="2:12">
      <c r="B1559" s="73"/>
      <c r="C1559" s="73"/>
      <c r="D1559" s="73"/>
      <c r="E1559" s="73"/>
      <c r="F1559" s="73"/>
      <c r="G1559" s="73"/>
      <c r="H1559" s="73"/>
      <c r="I1559" s="73"/>
      <c r="J1559" s="73"/>
      <c r="L1559" s="73"/>
    </row>
    <row r="1560" spans="2:12">
      <c r="B1560" s="73"/>
      <c r="C1560" s="73"/>
      <c r="D1560" s="73"/>
      <c r="E1560" s="73"/>
      <c r="F1560" s="73"/>
      <c r="G1560" s="73"/>
      <c r="H1560" s="73"/>
      <c r="I1560" s="73"/>
      <c r="J1560" s="73"/>
      <c r="L1560" s="73"/>
    </row>
    <row r="1561" spans="2:12">
      <c r="B1561" s="73"/>
      <c r="C1561" s="73"/>
      <c r="D1561" s="73"/>
      <c r="E1561" s="73"/>
      <c r="F1561" s="73"/>
      <c r="G1561" s="73"/>
      <c r="H1561" s="73"/>
      <c r="I1561" s="73"/>
      <c r="J1561" s="73"/>
      <c r="L1561" s="73"/>
    </row>
    <row r="1562" spans="2:12">
      <c r="B1562" s="73"/>
      <c r="C1562" s="73"/>
      <c r="D1562" s="73"/>
      <c r="E1562" s="73"/>
      <c r="F1562" s="73"/>
      <c r="G1562" s="73"/>
      <c r="H1562" s="73"/>
      <c r="I1562" s="73"/>
      <c r="J1562" s="73"/>
      <c r="L1562" s="73"/>
    </row>
    <row r="1563" spans="2:12">
      <c r="B1563" s="73"/>
      <c r="C1563" s="73"/>
      <c r="D1563" s="73"/>
      <c r="E1563" s="73"/>
      <c r="F1563" s="73"/>
      <c r="G1563" s="73"/>
      <c r="H1563" s="73"/>
      <c r="I1563" s="73"/>
      <c r="J1563" s="73"/>
      <c r="L1563" s="73"/>
    </row>
    <row r="1564" spans="2:12">
      <c r="B1564" s="73"/>
      <c r="C1564" s="73"/>
      <c r="D1564" s="73"/>
      <c r="E1564" s="73"/>
      <c r="F1564" s="73"/>
      <c r="G1564" s="73"/>
      <c r="H1564" s="73"/>
      <c r="I1564" s="73"/>
      <c r="J1564" s="73"/>
      <c r="L1564" s="73"/>
    </row>
    <row r="1565" spans="2:12">
      <c r="B1565" s="73"/>
      <c r="C1565" s="73"/>
      <c r="D1565" s="73"/>
      <c r="E1565" s="73"/>
      <c r="F1565" s="73"/>
      <c r="G1565" s="73"/>
      <c r="H1565" s="73"/>
      <c r="I1565" s="73"/>
      <c r="J1565" s="73"/>
      <c r="L1565" s="73"/>
    </row>
    <row r="1566" spans="2:12">
      <c r="B1566" s="73"/>
      <c r="C1566" s="73"/>
      <c r="D1566" s="73"/>
      <c r="E1566" s="73"/>
      <c r="F1566" s="73"/>
      <c r="G1566" s="73"/>
      <c r="H1566" s="73"/>
      <c r="I1566" s="73"/>
      <c r="J1566" s="73"/>
      <c r="L1566" s="73"/>
    </row>
    <row r="1567" spans="2:12">
      <c r="B1567" s="73"/>
      <c r="C1567" s="73"/>
      <c r="D1567" s="73"/>
      <c r="E1567" s="73"/>
      <c r="F1567" s="73"/>
      <c r="G1567" s="73"/>
      <c r="H1567" s="73"/>
      <c r="I1567" s="73"/>
      <c r="J1567" s="73"/>
      <c r="L1567" s="73"/>
    </row>
    <row r="1568" spans="2:12">
      <c r="B1568" s="73"/>
      <c r="C1568" s="73"/>
      <c r="D1568" s="73"/>
      <c r="E1568" s="73"/>
      <c r="F1568" s="73"/>
      <c r="G1568" s="73"/>
      <c r="H1568" s="73"/>
      <c r="I1568" s="73"/>
      <c r="J1568" s="73"/>
      <c r="L1568" s="73"/>
    </row>
    <row r="1569" spans="2:12">
      <c r="B1569" s="73"/>
      <c r="C1569" s="73"/>
      <c r="D1569" s="73"/>
      <c r="E1569" s="73"/>
      <c r="F1569" s="73"/>
      <c r="G1569" s="73"/>
      <c r="H1569" s="73"/>
      <c r="I1569" s="73"/>
      <c r="J1569" s="73"/>
      <c r="L1569" s="73"/>
    </row>
    <row r="1570" spans="2:12">
      <c r="B1570" s="73"/>
      <c r="C1570" s="73"/>
      <c r="D1570" s="73"/>
      <c r="E1570" s="73"/>
      <c r="F1570" s="73"/>
      <c r="G1570" s="73"/>
      <c r="H1570" s="73"/>
      <c r="I1570" s="73"/>
      <c r="J1570" s="73"/>
      <c r="L1570" s="73"/>
    </row>
    <row r="1571" spans="2:12">
      <c r="B1571" s="73"/>
      <c r="C1571" s="73"/>
      <c r="D1571" s="73"/>
      <c r="E1571" s="73"/>
      <c r="F1571" s="73"/>
      <c r="G1571" s="73"/>
      <c r="H1571" s="73"/>
      <c r="I1571" s="73"/>
      <c r="J1571" s="73"/>
      <c r="L1571" s="73"/>
    </row>
    <row r="1572" spans="2:12">
      <c r="B1572" s="73"/>
      <c r="C1572" s="73"/>
      <c r="D1572" s="73"/>
      <c r="E1572" s="73"/>
      <c r="F1572" s="73"/>
      <c r="G1572" s="73"/>
      <c r="H1572" s="73"/>
      <c r="I1572" s="73"/>
      <c r="J1572" s="73"/>
      <c r="L1572" s="73"/>
    </row>
    <row r="1573" spans="2:12">
      <c r="B1573" s="73"/>
      <c r="C1573" s="73"/>
      <c r="D1573" s="73"/>
      <c r="E1573" s="73"/>
      <c r="F1573" s="73"/>
      <c r="G1573" s="73"/>
      <c r="H1573" s="73"/>
      <c r="I1573" s="73"/>
      <c r="J1573" s="73"/>
      <c r="L1573" s="73"/>
    </row>
    <row r="1574" spans="2:12">
      <c r="B1574" s="73"/>
      <c r="C1574" s="73"/>
      <c r="D1574" s="73"/>
      <c r="E1574" s="73"/>
      <c r="F1574" s="73"/>
      <c r="G1574" s="73"/>
      <c r="H1574" s="73"/>
      <c r="I1574" s="73"/>
      <c r="J1574" s="73"/>
      <c r="L1574" s="73"/>
    </row>
    <row r="1575" spans="2:12">
      <c r="B1575" s="73"/>
      <c r="C1575" s="73"/>
      <c r="D1575" s="73"/>
      <c r="E1575" s="73"/>
      <c r="F1575" s="73"/>
      <c r="G1575" s="73"/>
      <c r="H1575" s="73"/>
      <c r="I1575" s="73"/>
      <c r="J1575" s="73"/>
      <c r="L1575" s="73"/>
    </row>
    <row r="1576" spans="2:12">
      <c r="B1576" s="73"/>
      <c r="C1576" s="73"/>
      <c r="D1576" s="73"/>
      <c r="E1576" s="73"/>
      <c r="F1576" s="73"/>
      <c r="G1576" s="73"/>
      <c r="H1576" s="73"/>
      <c r="I1576" s="73"/>
      <c r="J1576" s="73"/>
      <c r="L1576" s="73"/>
    </row>
    <row r="1577" spans="2:12">
      <c r="B1577" s="73"/>
      <c r="C1577" s="73"/>
      <c r="D1577" s="73"/>
      <c r="E1577" s="73"/>
      <c r="F1577" s="73"/>
      <c r="G1577" s="73"/>
      <c r="H1577" s="73"/>
      <c r="I1577" s="73"/>
      <c r="J1577" s="73"/>
      <c r="L1577" s="73"/>
    </row>
    <row r="1578" spans="2:12">
      <c r="B1578" s="73"/>
      <c r="C1578" s="73"/>
      <c r="D1578" s="73"/>
      <c r="E1578" s="73"/>
      <c r="F1578" s="73"/>
      <c r="G1578" s="73"/>
      <c r="H1578" s="73"/>
      <c r="I1578" s="73"/>
      <c r="J1578" s="73"/>
      <c r="L1578" s="73"/>
    </row>
    <row r="1579" spans="2:12">
      <c r="B1579" s="73"/>
      <c r="C1579" s="73"/>
      <c r="D1579" s="73"/>
      <c r="E1579" s="73"/>
      <c r="F1579" s="73"/>
      <c r="G1579" s="73"/>
      <c r="H1579" s="73"/>
      <c r="I1579" s="73"/>
      <c r="J1579" s="73"/>
      <c r="L1579" s="73"/>
    </row>
    <row r="1580" spans="2:12">
      <c r="B1580" s="73"/>
      <c r="C1580" s="73"/>
      <c r="D1580" s="73"/>
      <c r="E1580" s="73"/>
      <c r="F1580" s="73"/>
      <c r="G1580" s="73"/>
      <c r="H1580" s="73"/>
      <c r="I1580" s="73"/>
      <c r="J1580" s="73"/>
      <c r="L1580" s="73"/>
    </row>
    <row r="1581" spans="2:12">
      <c r="B1581" s="73"/>
      <c r="C1581" s="73"/>
      <c r="D1581" s="73"/>
      <c r="E1581" s="73"/>
      <c r="F1581" s="73"/>
      <c r="G1581" s="73"/>
      <c r="H1581" s="73"/>
      <c r="I1581" s="73"/>
      <c r="J1581" s="73"/>
      <c r="L1581" s="73"/>
    </row>
    <row r="1582" spans="2:12">
      <c r="B1582" s="73"/>
      <c r="C1582" s="73"/>
      <c r="D1582" s="73"/>
      <c r="E1582" s="73"/>
      <c r="F1582" s="73"/>
      <c r="G1582" s="73"/>
      <c r="H1582" s="73"/>
      <c r="I1582" s="73"/>
      <c r="J1582" s="73"/>
      <c r="L1582" s="73"/>
    </row>
    <row r="1583" spans="2:12">
      <c r="B1583" s="73"/>
      <c r="C1583" s="73"/>
      <c r="D1583" s="73"/>
      <c r="E1583" s="73"/>
      <c r="F1583" s="73"/>
      <c r="G1583" s="73"/>
      <c r="H1583" s="73"/>
      <c r="I1583" s="73"/>
      <c r="J1583" s="73"/>
      <c r="L1583" s="73"/>
    </row>
    <row r="1584" spans="2:12">
      <c r="B1584" s="73"/>
      <c r="C1584" s="73"/>
      <c r="D1584" s="73"/>
      <c r="E1584" s="73"/>
      <c r="F1584" s="73"/>
      <c r="G1584" s="73"/>
      <c r="H1584" s="73"/>
      <c r="I1584" s="73"/>
      <c r="J1584" s="73"/>
      <c r="L1584" s="73"/>
    </row>
    <row r="1585" spans="2:12">
      <c r="B1585" s="73"/>
      <c r="C1585" s="73"/>
      <c r="D1585" s="73"/>
      <c r="E1585" s="73"/>
      <c r="F1585" s="73"/>
      <c r="G1585" s="73"/>
      <c r="H1585" s="73"/>
      <c r="I1585" s="73"/>
      <c r="J1585" s="73"/>
      <c r="L1585" s="73"/>
    </row>
    <row r="1586" spans="2:12">
      <c r="B1586" s="73"/>
      <c r="C1586" s="73"/>
      <c r="D1586" s="73"/>
      <c r="E1586" s="73"/>
      <c r="F1586" s="73"/>
      <c r="G1586" s="73"/>
      <c r="H1586" s="73"/>
      <c r="I1586" s="73"/>
      <c r="J1586" s="73"/>
      <c r="L1586" s="73"/>
    </row>
    <row r="1587" spans="2:12">
      <c r="B1587" s="73"/>
      <c r="C1587" s="73"/>
      <c r="D1587" s="73"/>
      <c r="E1587" s="73"/>
      <c r="F1587" s="73"/>
      <c r="G1587" s="73"/>
      <c r="H1587" s="73"/>
      <c r="I1587" s="73"/>
      <c r="J1587" s="73"/>
      <c r="L1587" s="73"/>
    </row>
    <row r="1588" spans="2:12">
      <c r="B1588" s="73"/>
      <c r="C1588" s="73"/>
      <c r="D1588" s="73"/>
      <c r="E1588" s="73"/>
      <c r="F1588" s="73"/>
      <c r="G1588" s="73"/>
      <c r="H1588" s="73"/>
      <c r="I1588" s="73"/>
      <c r="J1588" s="73"/>
      <c r="L1588" s="73"/>
    </row>
    <row r="1589" spans="2:12">
      <c r="B1589" s="73"/>
      <c r="C1589" s="73"/>
      <c r="D1589" s="73"/>
      <c r="E1589" s="73"/>
      <c r="F1589" s="73"/>
      <c r="G1589" s="73"/>
      <c r="H1589" s="73"/>
      <c r="I1589" s="73"/>
      <c r="J1589" s="73"/>
      <c r="L1589" s="73"/>
    </row>
    <row r="1590" spans="2:12">
      <c r="B1590" s="73"/>
      <c r="C1590" s="73"/>
      <c r="D1590" s="73"/>
      <c r="E1590" s="73"/>
      <c r="F1590" s="73"/>
      <c r="G1590" s="73"/>
      <c r="H1590" s="73"/>
      <c r="I1590" s="73"/>
      <c r="J1590" s="73"/>
      <c r="L1590" s="73"/>
    </row>
    <row r="1591" spans="2:12">
      <c r="B1591" s="73"/>
      <c r="C1591" s="73"/>
      <c r="D1591" s="73"/>
      <c r="E1591" s="73"/>
      <c r="F1591" s="73"/>
      <c r="G1591" s="73"/>
      <c r="H1591" s="73"/>
      <c r="I1591" s="73"/>
      <c r="J1591" s="73"/>
      <c r="L1591" s="73"/>
    </row>
    <row r="1592" spans="2:12">
      <c r="B1592" s="73"/>
      <c r="C1592" s="73"/>
      <c r="D1592" s="73"/>
      <c r="E1592" s="73"/>
      <c r="F1592" s="73"/>
      <c r="G1592" s="73"/>
      <c r="H1592" s="73"/>
      <c r="I1592" s="73"/>
      <c r="J1592" s="73"/>
      <c r="L1592" s="73"/>
    </row>
    <row r="1593" spans="2:12">
      <c r="B1593" s="73"/>
      <c r="C1593" s="73"/>
      <c r="D1593" s="73"/>
      <c r="E1593" s="73"/>
      <c r="F1593" s="73"/>
      <c r="G1593" s="73"/>
      <c r="H1593" s="73"/>
      <c r="I1593" s="73"/>
      <c r="J1593" s="73"/>
      <c r="L1593" s="73"/>
    </row>
    <row r="1594" spans="2:12">
      <c r="B1594" s="73"/>
      <c r="C1594" s="73"/>
      <c r="D1594" s="73"/>
      <c r="E1594" s="73"/>
      <c r="F1594" s="73"/>
      <c r="G1594" s="73"/>
      <c r="H1594" s="73"/>
      <c r="I1594" s="73"/>
      <c r="J1594" s="73"/>
      <c r="L1594" s="73"/>
    </row>
    <row r="1595" spans="2:12">
      <c r="B1595" s="73"/>
      <c r="C1595" s="73"/>
      <c r="D1595" s="73"/>
      <c r="E1595" s="73"/>
      <c r="F1595" s="73"/>
      <c r="G1595" s="73"/>
      <c r="H1595" s="73"/>
      <c r="I1595" s="73"/>
      <c r="J1595" s="73"/>
      <c r="L1595" s="73"/>
    </row>
    <row r="1596" spans="2:12">
      <c r="B1596" s="73"/>
      <c r="C1596" s="73"/>
      <c r="D1596" s="73"/>
      <c r="E1596" s="73"/>
      <c r="F1596" s="73"/>
      <c r="G1596" s="73"/>
      <c r="H1596" s="73"/>
      <c r="I1596" s="73"/>
      <c r="J1596" s="73"/>
      <c r="L1596" s="73"/>
    </row>
    <row r="1597" spans="2:12">
      <c r="B1597" s="73"/>
      <c r="C1597" s="73"/>
      <c r="D1597" s="73"/>
      <c r="E1597" s="73"/>
      <c r="F1597" s="73"/>
      <c r="G1597" s="73"/>
      <c r="H1597" s="73"/>
      <c r="I1597" s="73"/>
      <c r="J1597" s="73"/>
      <c r="L1597" s="73"/>
    </row>
    <row r="1598" spans="2:12">
      <c r="B1598" s="73"/>
      <c r="C1598" s="73"/>
      <c r="D1598" s="73"/>
      <c r="E1598" s="73"/>
      <c r="F1598" s="73"/>
      <c r="G1598" s="73"/>
      <c r="H1598" s="73"/>
      <c r="I1598" s="73"/>
      <c r="J1598" s="73"/>
      <c r="L1598" s="73"/>
    </row>
    <row r="1599" spans="2:12">
      <c r="B1599" s="73"/>
      <c r="C1599" s="73"/>
      <c r="D1599" s="73"/>
      <c r="E1599" s="73"/>
      <c r="F1599" s="73"/>
      <c r="G1599" s="73"/>
      <c r="H1599" s="73"/>
      <c r="I1599" s="73"/>
      <c r="J1599" s="73"/>
      <c r="L1599" s="73"/>
    </row>
    <row r="1600" spans="2:12">
      <c r="B1600" s="73"/>
      <c r="C1600" s="73"/>
      <c r="D1600" s="73"/>
      <c r="E1600" s="73"/>
      <c r="F1600" s="73"/>
      <c r="G1600" s="73"/>
      <c r="H1600" s="73"/>
      <c r="I1600" s="73"/>
      <c r="J1600" s="73"/>
      <c r="L1600" s="73"/>
    </row>
    <row r="1601" spans="2:12">
      <c r="B1601" s="73"/>
      <c r="C1601" s="73"/>
      <c r="D1601" s="73"/>
      <c r="E1601" s="73"/>
      <c r="F1601" s="73"/>
      <c r="G1601" s="73"/>
      <c r="H1601" s="73"/>
      <c r="I1601" s="73"/>
      <c r="J1601" s="73"/>
      <c r="L1601" s="73"/>
    </row>
    <row r="1602" spans="2:12">
      <c r="B1602" s="73"/>
      <c r="C1602" s="73"/>
      <c r="D1602" s="73"/>
      <c r="E1602" s="73"/>
      <c r="F1602" s="73"/>
      <c r="G1602" s="73"/>
      <c r="H1602" s="73"/>
      <c r="I1602" s="73"/>
      <c r="J1602" s="73"/>
      <c r="L1602" s="73"/>
    </row>
    <row r="1603" spans="2:12">
      <c r="B1603" s="73"/>
      <c r="C1603" s="73"/>
      <c r="D1603" s="73"/>
      <c r="E1603" s="73"/>
      <c r="F1603" s="73"/>
      <c r="G1603" s="73"/>
      <c r="H1603" s="73"/>
      <c r="I1603" s="73"/>
      <c r="J1603" s="73"/>
      <c r="L1603" s="73"/>
    </row>
    <row r="1604" spans="2:12">
      <c r="B1604" s="73"/>
      <c r="C1604" s="73"/>
      <c r="D1604" s="73"/>
      <c r="E1604" s="73"/>
      <c r="F1604" s="73"/>
      <c r="G1604" s="73"/>
      <c r="H1604" s="73"/>
      <c r="I1604" s="73"/>
      <c r="J1604" s="73"/>
      <c r="L1604" s="73"/>
    </row>
    <row r="1605" spans="2:12">
      <c r="B1605" s="73"/>
      <c r="C1605" s="73"/>
      <c r="D1605" s="73"/>
      <c r="E1605" s="73"/>
      <c r="F1605" s="73"/>
      <c r="G1605" s="73"/>
      <c r="H1605" s="73"/>
      <c r="I1605" s="73"/>
      <c r="J1605" s="73"/>
      <c r="L1605" s="73"/>
    </row>
    <row r="1606" spans="2:12">
      <c r="B1606" s="73"/>
      <c r="C1606" s="73"/>
      <c r="D1606" s="73"/>
      <c r="E1606" s="73"/>
      <c r="F1606" s="73"/>
      <c r="G1606" s="73"/>
      <c r="H1606" s="73"/>
      <c r="I1606" s="73"/>
      <c r="J1606" s="73"/>
      <c r="L1606" s="73"/>
    </row>
    <row r="1607" spans="2:12">
      <c r="B1607" s="73"/>
      <c r="C1607" s="73"/>
      <c r="D1607" s="73"/>
      <c r="E1607" s="73"/>
      <c r="F1607" s="73"/>
      <c r="G1607" s="73"/>
      <c r="H1607" s="73"/>
      <c r="I1607" s="73"/>
      <c r="J1607" s="73"/>
      <c r="L1607" s="73"/>
    </row>
    <row r="1608" spans="2:12">
      <c r="B1608" s="73"/>
      <c r="C1608" s="73"/>
      <c r="D1608" s="73"/>
      <c r="E1608" s="73"/>
      <c r="F1608" s="73"/>
      <c r="G1608" s="73"/>
      <c r="H1608" s="73"/>
      <c r="I1608" s="73"/>
      <c r="J1608" s="73"/>
      <c r="L1608" s="73"/>
    </row>
    <row r="1609" spans="2:12">
      <c r="B1609" s="73"/>
      <c r="C1609" s="73"/>
      <c r="D1609" s="73"/>
      <c r="E1609" s="73"/>
      <c r="F1609" s="73"/>
      <c r="G1609" s="73"/>
      <c r="H1609" s="73"/>
      <c r="I1609" s="73"/>
      <c r="J1609" s="73"/>
      <c r="L1609" s="73"/>
    </row>
    <row r="1610" spans="2:12">
      <c r="B1610" s="73"/>
      <c r="C1610" s="73"/>
      <c r="D1610" s="73"/>
      <c r="E1610" s="73"/>
      <c r="F1610" s="73"/>
      <c r="G1610" s="73"/>
      <c r="H1610" s="73"/>
      <c r="I1610" s="73"/>
      <c r="J1610" s="73"/>
      <c r="L1610" s="73"/>
    </row>
    <row r="1611" spans="2:12">
      <c r="B1611" s="73"/>
      <c r="C1611" s="73"/>
      <c r="D1611" s="73"/>
      <c r="E1611" s="73"/>
      <c r="F1611" s="73"/>
      <c r="G1611" s="73"/>
      <c r="H1611" s="73"/>
      <c r="I1611" s="73"/>
      <c r="J1611" s="73"/>
      <c r="L1611" s="73"/>
    </row>
    <row r="1612" spans="2:12">
      <c r="B1612" s="73"/>
      <c r="C1612" s="73"/>
      <c r="D1612" s="73"/>
      <c r="E1612" s="73"/>
      <c r="F1612" s="73"/>
      <c r="G1612" s="73"/>
      <c r="H1612" s="73"/>
      <c r="I1612" s="73"/>
      <c r="J1612" s="73"/>
      <c r="L1612" s="73"/>
    </row>
    <row r="1613" spans="2:12">
      <c r="B1613" s="73"/>
      <c r="C1613" s="73"/>
      <c r="D1613" s="73"/>
      <c r="E1613" s="73"/>
      <c r="F1613" s="73"/>
      <c r="G1613" s="73"/>
      <c r="H1613" s="73"/>
      <c r="I1613" s="73"/>
      <c r="J1613" s="73"/>
      <c r="L1613" s="73"/>
    </row>
    <row r="1614" spans="2:12">
      <c r="B1614" s="73"/>
      <c r="C1614" s="73"/>
      <c r="D1614" s="73"/>
      <c r="E1614" s="73"/>
      <c r="F1614" s="73"/>
      <c r="G1614" s="73"/>
      <c r="H1614" s="73"/>
      <c r="I1614" s="73"/>
      <c r="J1614" s="73"/>
      <c r="L1614" s="73"/>
    </row>
    <row r="1615" spans="2:12">
      <c r="B1615" s="73"/>
      <c r="C1615" s="73"/>
      <c r="D1615" s="73"/>
      <c r="E1615" s="73"/>
      <c r="F1615" s="73"/>
      <c r="G1615" s="73"/>
      <c r="H1615" s="73"/>
      <c r="I1615" s="73"/>
      <c r="J1615" s="73"/>
      <c r="L1615" s="73"/>
    </row>
    <row r="1616" spans="2:12">
      <c r="B1616" s="73"/>
      <c r="C1616" s="73"/>
      <c r="D1616" s="73"/>
      <c r="E1616" s="73"/>
      <c r="F1616" s="73"/>
      <c r="G1616" s="73"/>
      <c r="H1616" s="73"/>
      <c r="I1616" s="73"/>
      <c r="J1616" s="73"/>
      <c r="L1616" s="73"/>
    </row>
    <row r="1617" spans="2:12">
      <c r="B1617" s="73"/>
      <c r="C1617" s="73"/>
      <c r="D1617" s="73"/>
      <c r="E1617" s="73"/>
      <c r="F1617" s="73"/>
      <c r="G1617" s="73"/>
      <c r="H1617" s="73"/>
      <c r="I1617" s="73"/>
      <c r="J1617" s="73"/>
      <c r="L1617" s="73"/>
    </row>
    <row r="1618" spans="2:12">
      <c r="B1618" s="73"/>
      <c r="C1618" s="73"/>
      <c r="D1618" s="73"/>
      <c r="E1618" s="73"/>
      <c r="F1618" s="73"/>
      <c r="G1618" s="73"/>
      <c r="H1618" s="73"/>
      <c r="I1618" s="73"/>
      <c r="J1618" s="73"/>
      <c r="L1618" s="73"/>
    </row>
    <row r="1619" spans="2:12">
      <c r="B1619" s="73"/>
      <c r="C1619" s="73"/>
      <c r="D1619" s="73"/>
      <c r="E1619" s="73"/>
      <c r="F1619" s="73"/>
      <c r="G1619" s="73"/>
      <c r="H1619" s="73"/>
      <c r="I1619" s="73"/>
      <c r="J1619" s="73"/>
      <c r="L1619" s="73"/>
    </row>
    <row r="1620" spans="2:12">
      <c r="B1620" s="73"/>
      <c r="C1620" s="73"/>
      <c r="D1620" s="73"/>
      <c r="E1620" s="73"/>
      <c r="F1620" s="73"/>
      <c r="G1620" s="73"/>
      <c r="H1620" s="73"/>
      <c r="I1620" s="73"/>
      <c r="J1620" s="73"/>
      <c r="L1620" s="73"/>
    </row>
    <row r="1621" spans="2:12">
      <c r="B1621" s="73"/>
      <c r="C1621" s="73"/>
      <c r="D1621" s="73"/>
      <c r="E1621" s="73"/>
      <c r="F1621" s="73"/>
      <c r="G1621" s="73"/>
      <c r="H1621" s="73"/>
      <c r="I1621" s="73"/>
      <c r="J1621" s="73"/>
      <c r="L1621" s="73"/>
    </row>
    <row r="1622" spans="2:12">
      <c r="B1622" s="73"/>
      <c r="C1622" s="73"/>
      <c r="D1622" s="73"/>
      <c r="E1622" s="73"/>
      <c r="F1622" s="73"/>
      <c r="G1622" s="73"/>
      <c r="H1622" s="73"/>
      <c r="I1622" s="73"/>
      <c r="J1622" s="73"/>
      <c r="L1622" s="73"/>
    </row>
    <row r="1623" spans="2:12">
      <c r="B1623" s="73"/>
      <c r="C1623" s="73"/>
      <c r="D1623" s="73"/>
      <c r="E1623" s="73"/>
      <c r="F1623" s="73"/>
      <c r="G1623" s="73"/>
      <c r="H1623" s="73"/>
      <c r="I1623" s="73"/>
      <c r="J1623" s="73"/>
      <c r="L1623" s="73"/>
    </row>
    <row r="1624" spans="2:12">
      <c r="B1624" s="73"/>
      <c r="C1624" s="73"/>
      <c r="D1624" s="73"/>
      <c r="E1624" s="73"/>
      <c r="F1624" s="73"/>
      <c r="G1624" s="73"/>
      <c r="H1624" s="73"/>
      <c r="I1624" s="73"/>
      <c r="J1624" s="73"/>
      <c r="L1624" s="73"/>
    </row>
    <row r="1625" spans="2:12">
      <c r="B1625" s="73"/>
      <c r="C1625" s="73"/>
      <c r="D1625" s="73"/>
      <c r="E1625" s="73"/>
      <c r="F1625" s="73"/>
      <c r="G1625" s="73"/>
      <c r="H1625" s="73"/>
      <c r="I1625" s="73"/>
      <c r="J1625" s="73"/>
      <c r="L1625" s="73"/>
    </row>
    <row r="1626" spans="2:12">
      <c r="B1626" s="73"/>
      <c r="C1626" s="73"/>
      <c r="D1626" s="73"/>
      <c r="E1626" s="73"/>
      <c r="F1626" s="73"/>
      <c r="G1626" s="73"/>
      <c r="H1626" s="73"/>
      <c r="I1626" s="73"/>
      <c r="J1626" s="73"/>
      <c r="L1626" s="73"/>
    </row>
    <row r="1627" spans="2:12">
      <c r="B1627" s="73"/>
      <c r="C1627" s="73"/>
      <c r="D1627" s="73"/>
      <c r="E1627" s="73"/>
      <c r="F1627" s="73"/>
      <c r="G1627" s="73"/>
      <c r="H1627" s="73"/>
      <c r="I1627" s="73"/>
      <c r="J1627" s="73"/>
      <c r="L1627" s="73"/>
    </row>
    <row r="1628" spans="2:12">
      <c r="B1628" s="73"/>
      <c r="C1628" s="73"/>
      <c r="D1628" s="73"/>
      <c r="E1628" s="73"/>
      <c r="F1628" s="73"/>
      <c r="G1628" s="73"/>
      <c r="H1628" s="73"/>
      <c r="I1628" s="73"/>
      <c r="J1628" s="73"/>
      <c r="L1628" s="73"/>
    </row>
    <row r="1629" spans="2:12">
      <c r="B1629" s="73"/>
      <c r="C1629" s="73"/>
      <c r="D1629" s="73"/>
      <c r="E1629" s="73"/>
      <c r="F1629" s="73"/>
      <c r="G1629" s="73"/>
      <c r="H1629" s="73"/>
      <c r="I1629" s="73"/>
      <c r="J1629" s="73"/>
      <c r="L1629" s="73"/>
    </row>
    <row r="1630" spans="2:12">
      <c r="B1630" s="73"/>
      <c r="C1630" s="73"/>
      <c r="D1630" s="73"/>
      <c r="E1630" s="73"/>
      <c r="F1630" s="73"/>
      <c r="G1630" s="73"/>
      <c r="H1630" s="73"/>
      <c r="I1630" s="73"/>
      <c r="J1630" s="73"/>
      <c r="L1630" s="73"/>
    </row>
    <row r="1631" spans="2:12">
      <c r="B1631" s="73"/>
      <c r="C1631" s="73"/>
      <c r="D1631" s="73"/>
      <c r="E1631" s="73"/>
      <c r="F1631" s="73"/>
      <c r="G1631" s="73"/>
      <c r="H1631" s="73"/>
      <c r="I1631" s="73"/>
      <c r="J1631" s="73"/>
      <c r="L1631" s="73"/>
    </row>
    <row r="1632" spans="2:12">
      <c r="B1632" s="73"/>
      <c r="C1632" s="73"/>
      <c r="D1632" s="73"/>
      <c r="E1632" s="73"/>
      <c r="F1632" s="73"/>
      <c r="G1632" s="73"/>
      <c r="H1632" s="73"/>
      <c r="I1632" s="73"/>
      <c r="J1632" s="73"/>
      <c r="L1632" s="73"/>
    </row>
    <row r="1633" spans="2:12">
      <c r="B1633" s="73"/>
      <c r="C1633" s="73"/>
      <c r="D1633" s="73"/>
      <c r="E1633" s="73"/>
      <c r="F1633" s="73"/>
      <c r="G1633" s="73"/>
      <c r="H1633" s="73"/>
      <c r="I1633" s="73"/>
      <c r="J1633" s="73"/>
      <c r="L1633" s="73"/>
    </row>
    <row r="1634" spans="2:12">
      <c r="B1634" s="73"/>
      <c r="C1634" s="73"/>
      <c r="D1634" s="73"/>
      <c r="E1634" s="73"/>
      <c r="F1634" s="73"/>
      <c r="G1634" s="73"/>
      <c r="H1634" s="73"/>
      <c r="I1634" s="73"/>
      <c r="J1634" s="73"/>
      <c r="L1634" s="73"/>
    </row>
    <row r="1635" spans="2:12">
      <c r="B1635" s="73"/>
      <c r="C1635" s="73"/>
      <c r="D1635" s="73"/>
      <c r="E1635" s="73"/>
      <c r="F1635" s="73"/>
      <c r="G1635" s="73"/>
      <c r="H1635" s="73"/>
      <c r="I1635" s="73"/>
      <c r="J1635" s="73"/>
      <c r="L1635" s="73"/>
    </row>
    <row r="1636" spans="2:12">
      <c r="B1636" s="73"/>
      <c r="C1636" s="73"/>
      <c r="D1636" s="73"/>
      <c r="E1636" s="73"/>
      <c r="F1636" s="73"/>
      <c r="G1636" s="73"/>
      <c r="H1636" s="73"/>
      <c r="I1636" s="73"/>
      <c r="J1636" s="73"/>
      <c r="L1636" s="73"/>
    </row>
    <row r="1637" spans="2:12">
      <c r="B1637" s="73"/>
      <c r="C1637" s="73"/>
      <c r="D1637" s="73"/>
      <c r="E1637" s="73"/>
      <c r="F1637" s="73"/>
      <c r="G1637" s="73"/>
      <c r="H1637" s="73"/>
      <c r="I1637" s="73"/>
      <c r="J1637" s="73"/>
      <c r="L1637" s="73"/>
    </row>
    <row r="1638" spans="2:12">
      <c r="B1638" s="73"/>
      <c r="C1638" s="73"/>
      <c r="D1638" s="73"/>
      <c r="E1638" s="73"/>
      <c r="F1638" s="73"/>
      <c r="G1638" s="73"/>
      <c r="H1638" s="73"/>
      <c r="I1638" s="73"/>
      <c r="J1638" s="73"/>
      <c r="L1638" s="73"/>
    </row>
    <row r="1639" spans="2:12">
      <c r="B1639" s="73"/>
      <c r="C1639" s="73"/>
      <c r="D1639" s="73"/>
      <c r="E1639" s="73"/>
      <c r="F1639" s="73"/>
      <c r="G1639" s="73"/>
      <c r="H1639" s="73"/>
      <c r="I1639" s="73"/>
      <c r="J1639" s="73"/>
      <c r="L1639" s="73"/>
    </row>
    <row r="1640" spans="2:12">
      <c r="B1640" s="73"/>
      <c r="C1640" s="73"/>
      <c r="D1640" s="73"/>
      <c r="E1640" s="73"/>
      <c r="F1640" s="73"/>
      <c r="G1640" s="73"/>
      <c r="H1640" s="73"/>
      <c r="I1640" s="73"/>
      <c r="J1640" s="73"/>
      <c r="L1640" s="73"/>
    </row>
    <row r="1641" spans="2:12">
      <c r="B1641" s="73"/>
      <c r="C1641" s="73"/>
      <c r="D1641" s="73"/>
      <c r="E1641" s="73"/>
      <c r="F1641" s="73"/>
      <c r="G1641" s="73"/>
      <c r="H1641" s="73"/>
      <c r="I1641" s="73"/>
      <c r="J1641" s="73"/>
      <c r="L1641" s="73"/>
    </row>
    <row r="1642" spans="2:12">
      <c r="B1642" s="73"/>
      <c r="C1642" s="73"/>
      <c r="D1642" s="73"/>
      <c r="E1642" s="73"/>
      <c r="F1642" s="73"/>
      <c r="G1642" s="73"/>
      <c r="H1642" s="73"/>
      <c r="I1642" s="73"/>
      <c r="J1642" s="73"/>
      <c r="L1642" s="73"/>
    </row>
    <row r="1643" spans="2:12">
      <c r="B1643" s="73"/>
      <c r="C1643" s="73"/>
      <c r="D1643" s="73"/>
      <c r="E1643" s="73"/>
      <c r="F1643" s="73"/>
      <c r="G1643" s="73"/>
      <c r="H1643" s="73"/>
      <c r="I1643" s="73"/>
      <c r="J1643" s="73"/>
      <c r="L1643" s="73"/>
    </row>
    <row r="1644" spans="2:12">
      <c r="B1644" s="73"/>
      <c r="C1644" s="73"/>
      <c r="D1644" s="73"/>
      <c r="E1644" s="73"/>
      <c r="F1644" s="73"/>
      <c r="G1644" s="73"/>
      <c r="H1644" s="73"/>
      <c r="I1644" s="73"/>
      <c r="J1644" s="73"/>
      <c r="L1644" s="73"/>
    </row>
    <row r="1645" spans="2:12">
      <c r="B1645" s="73"/>
      <c r="C1645" s="73"/>
      <c r="D1645" s="73"/>
      <c r="E1645" s="73"/>
      <c r="F1645" s="73"/>
      <c r="G1645" s="73"/>
      <c r="H1645" s="73"/>
      <c r="I1645" s="73"/>
      <c r="J1645" s="73"/>
      <c r="L1645" s="73"/>
    </row>
    <row r="1646" spans="2:12">
      <c r="B1646" s="73"/>
      <c r="C1646" s="73"/>
      <c r="D1646" s="73"/>
      <c r="E1646" s="73"/>
      <c r="F1646" s="73"/>
      <c r="G1646" s="73"/>
      <c r="H1646" s="73"/>
      <c r="I1646" s="73"/>
      <c r="J1646" s="73"/>
      <c r="L1646" s="73"/>
    </row>
    <row r="1647" spans="2:12">
      <c r="B1647" s="73"/>
      <c r="C1647" s="73"/>
      <c r="D1647" s="73"/>
      <c r="E1647" s="73"/>
      <c r="F1647" s="73"/>
      <c r="G1647" s="73"/>
      <c r="H1647" s="73"/>
      <c r="I1647" s="73"/>
      <c r="J1647" s="73"/>
      <c r="L1647" s="73"/>
    </row>
    <row r="1648" spans="2:12">
      <c r="B1648" s="73"/>
      <c r="C1648" s="73"/>
      <c r="D1648" s="73"/>
      <c r="E1648" s="73"/>
      <c r="F1648" s="73"/>
      <c r="G1648" s="73"/>
      <c r="H1648" s="73"/>
      <c r="I1648" s="73"/>
      <c r="J1648" s="73"/>
      <c r="L1648" s="73"/>
    </row>
    <row r="1649" spans="2:12">
      <c r="B1649" s="73"/>
      <c r="C1649" s="73"/>
      <c r="D1649" s="73"/>
      <c r="E1649" s="73"/>
      <c r="F1649" s="73"/>
      <c r="G1649" s="73"/>
      <c r="H1649" s="73"/>
      <c r="I1649" s="73"/>
      <c r="J1649" s="73"/>
      <c r="L1649" s="73"/>
    </row>
    <row r="1650" spans="2:12">
      <c r="B1650" s="73"/>
      <c r="C1650" s="73"/>
      <c r="D1650" s="73"/>
      <c r="E1650" s="73"/>
      <c r="F1650" s="73"/>
      <c r="G1650" s="73"/>
      <c r="H1650" s="73"/>
      <c r="I1650" s="73"/>
      <c r="J1650" s="73"/>
      <c r="L1650" s="73"/>
    </row>
    <row r="1651" spans="2:12">
      <c r="B1651" s="73"/>
      <c r="C1651" s="73"/>
      <c r="D1651" s="73"/>
      <c r="E1651" s="73"/>
      <c r="F1651" s="73"/>
      <c r="G1651" s="73"/>
      <c r="H1651" s="73"/>
      <c r="I1651" s="73"/>
      <c r="J1651" s="73"/>
      <c r="L1651" s="73"/>
    </row>
    <row r="1652" spans="2:12">
      <c r="B1652" s="73"/>
      <c r="C1652" s="73"/>
      <c r="D1652" s="73"/>
      <c r="E1652" s="73"/>
      <c r="F1652" s="73"/>
      <c r="G1652" s="73"/>
      <c r="H1652" s="73"/>
      <c r="I1652" s="73"/>
      <c r="J1652" s="73"/>
      <c r="L1652" s="73"/>
    </row>
    <row r="1653" spans="2:12">
      <c r="B1653" s="73"/>
      <c r="C1653" s="73"/>
      <c r="D1653" s="73"/>
      <c r="E1653" s="73"/>
      <c r="F1653" s="73"/>
      <c r="G1653" s="73"/>
      <c r="H1653" s="73"/>
      <c r="I1653" s="73"/>
      <c r="J1653" s="73"/>
      <c r="L1653" s="73"/>
    </row>
    <row r="1654" spans="2:12">
      <c r="B1654" s="73"/>
      <c r="C1654" s="73"/>
      <c r="D1654" s="73"/>
      <c r="E1654" s="73"/>
      <c r="F1654" s="73"/>
      <c r="G1654" s="73"/>
      <c r="H1654" s="73"/>
      <c r="I1654" s="73"/>
      <c r="J1654" s="73"/>
      <c r="L1654" s="73"/>
    </row>
    <row r="1655" spans="2:12">
      <c r="B1655" s="73"/>
      <c r="C1655" s="73"/>
      <c r="D1655" s="73"/>
      <c r="E1655" s="73"/>
      <c r="F1655" s="73"/>
      <c r="G1655" s="73"/>
      <c r="H1655" s="73"/>
      <c r="I1655" s="73"/>
      <c r="J1655" s="73"/>
      <c r="L1655" s="73"/>
    </row>
    <row r="1656" spans="2:12">
      <c r="B1656" s="73"/>
      <c r="C1656" s="73"/>
      <c r="D1656" s="73"/>
      <c r="E1656" s="73"/>
      <c r="F1656" s="73"/>
      <c r="G1656" s="73"/>
      <c r="H1656" s="73"/>
      <c r="I1656" s="73"/>
      <c r="J1656" s="73"/>
      <c r="L1656" s="73"/>
    </row>
    <row r="1657" spans="2:12">
      <c r="B1657" s="73"/>
      <c r="C1657" s="73"/>
      <c r="D1657" s="73"/>
      <c r="E1657" s="73"/>
      <c r="F1657" s="73"/>
      <c r="G1657" s="73"/>
      <c r="H1657" s="73"/>
      <c r="I1657" s="73"/>
      <c r="J1657" s="73"/>
      <c r="L1657" s="73"/>
    </row>
    <row r="1658" spans="2:12">
      <c r="B1658" s="73"/>
      <c r="C1658" s="73"/>
      <c r="D1658" s="73"/>
      <c r="E1658" s="73"/>
      <c r="F1658" s="73"/>
      <c r="G1658" s="73"/>
      <c r="H1658" s="73"/>
      <c r="I1658" s="73"/>
      <c r="J1658" s="73"/>
      <c r="L1658" s="73"/>
    </row>
    <row r="1659" spans="2:12">
      <c r="B1659" s="73"/>
      <c r="C1659" s="73"/>
      <c r="D1659" s="73"/>
      <c r="E1659" s="73"/>
      <c r="F1659" s="73"/>
      <c r="G1659" s="73"/>
      <c r="H1659" s="73"/>
      <c r="I1659" s="73"/>
      <c r="J1659" s="73"/>
      <c r="L1659" s="73"/>
    </row>
    <row r="1660" spans="2:12">
      <c r="B1660" s="73"/>
      <c r="C1660" s="73"/>
      <c r="D1660" s="73"/>
      <c r="E1660" s="73"/>
      <c r="F1660" s="73"/>
      <c r="G1660" s="73"/>
      <c r="H1660" s="73"/>
      <c r="I1660" s="73"/>
      <c r="J1660" s="73"/>
      <c r="L1660" s="73"/>
    </row>
    <row r="1661" spans="2:12">
      <c r="B1661" s="73"/>
      <c r="C1661" s="73"/>
      <c r="D1661" s="73"/>
      <c r="E1661" s="73"/>
      <c r="F1661" s="73"/>
      <c r="G1661" s="73"/>
      <c r="H1661" s="73"/>
      <c r="I1661" s="73"/>
      <c r="J1661" s="73"/>
      <c r="L1661" s="73"/>
    </row>
    <row r="1662" spans="2:12">
      <c r="B1662" s="73"/>
      <c r="C1662" s="73"/>
      <c r="D1662" s="73"/>
      <c r="E1662" s="73"/>
      <c r="F1662" s="73"/>
      <c r="G1662" s="73"/>
      <c r="H1662" s="73"/>
      <c r="I1662" s="73"/>
      <c r="J1662" s="73"/>
      <c r="L1662" s="73"/>
    </row>
    <row r="1663" spans="2:12">
      <c r="B1663" s="73"/>
      <c r="C1663" s="73"/>
      <c r="D1663" s="73"/>
      <c r="E1663" s="73"/>
      <c r="F1663" s="73"/>
      <c r="G1663" s="73"/>
      <c r="H1663" s="73"/>
      <c r="I1663" s="73"/>
      <c r="J1663" s="73"/>
      <c r="L1663" s="73"/>
    </row>
    <row r="1664" spans="2:12">
      <c r="B1664" s="73"/>
      <c r="C1664" s="73"/>
      <c r="D1664" s="73"/>
      <c r="E1664" s="73"/>
      <c r="F1664" s="73"/>
      <c r="G1664" s="73"/>
      <c r="H1664" s="73"/>
      <c r="I1664" s="73"/>
      <c r="J1664" s="73"/>
      <c r="L1664" s="73"/>
    </row>
    <row r="1665" spans="2:12">
      <c r="B1665" s="73"/>
      <c r="C1665" s="73"/>
      <c r="D1665" s="73"/>
      <c r="E1665" s="73"/>
      <c r="F1665" s="73"/>
      <c r="G1665" s="73"/>
      <c r="H1665" s="73"/>
      <c r="I1665" s="73"/>
      <c r="J1665" s="73"/>
      <c r="L1665" s="73"/>
    </row>
    <row r="1666" spans="2:12">
      <c r="B1666" s="73"/>
      <c r="C1666" s="73"/>
      <c r="D1666" s="73"/>
      <c r="E1666" s="73"/>
      <c r="F1666" s="73"/>
      <c r="G1666" s="73"/>
      <c r="H1666" s="73"/>
      <c r="I1666" s="73"/>
      <c r="J1666" s="73"/>
      <c r="L1666" s="73"/>
    </row>
    <row r="1667" spans="2:12">
      <c r="B1667" s="73"/>
      <c r="C1667" s="73"/>
      <c r="D1667" s="73"/>
      <c r="E1667" s="73"/>
      <c r="F1667" s="73"/>
      <c r="G1667" s="73"/>
      <c r="H1667" s="73"/>
      <c r="I1667" s="73"/>
      <c r="J1667" s="73"/>
      <c r="L1667" s="73"/>
    </row>
    <row r="1668" spans="2:12">
      <c r="B1668" s="73"/>
      <c r="C1668" s="73"/>
      <c r="D1668" s="73"/>
      <c r="E1668" s="73"/>
      <c r="F1668" s="73"/>
      <c r="G1668" s="73"/>
      <c r="H1668" s="73"/>
      <c r="I1668" s="73"/>
      <c r="J1668" s="73"/>
      <c r="L1668" s="73"/>
    </row>
    <row r="1669" spans="2:12">
      <c r="B1669" s="73"/>
      <c r="C1669" s="73"/>
      <c r="D1669" s="73"/>
      <c r="E1669" s="73"/>
      <c r="F1669" s="73"/>
      <c r="G1669" s="73"/>
      <c r="H1669" s="73"/>
      <c r="I1669" s="73"/>
      <c r="J1669" s="73"/>
      <c r="L1669" s="73"/>
    </row>
    <row r="1670" spans="2:12">
      <c r="B1670" s="73"/>
      <c r="C1670" s="73"/>
      <c r="D1670" s="73"/>
      <c r="E1670" s="73"/>
      <c r="F1670" s="73"/>
      <c r="G1670" s="73"/>
      <c r="H1670" s="73"/>
      <c r="I1670" s="73"/>
      <c r="J1670" s="73"/>
      <c r="L1670" s="73"/>
    </row>
    <row r="1671" spans="2:12">
      <c r="B1671" s="73"/>
      <c r="C1671" s="73"/>
      <c r="D1671" s="73"/>
      <c r="E1671" s="73"/>
      <c r="F1671" s="73"/>
      <c r="G1671" s="73"/>
      <c r="H1671" s="73"/>
      <c r="I1671" s="73"/>
      <c r="J1671" s="73"/>
      <c r="L1671" s="73"/>
    </row>
    <row r="1672" spans="2:12">
      <c r="B1672" s="73"/>
      <c r="C1672" s="73"/>
      <c r="D1672" s="73"/>
      <c r="E1672" s="73"/>
      <c r="F1672" s="73"/>
      <c r="G1672" s="73"/>
      <c r="H1672" s="73"/>
      <c r="I1672" s="73"/>
      <c r="J1672" s="73"/>
      <c r="L1672" s="73"/>
    </row>
    <row r="1673" spans="2:12">
      <c r="B1673" s="73"/>
      <c r="C1673" s="73"/>
      <c r="D1673" s="73"/>
      <c r="E1673" s="73"/>
      <c r="F1673" s="73"/>
      <c r="G1673" s="73"/>
      <c r="H1673" s="73"/>
      <c r="I1673" s="73"/>
      <c r="J1673" s="73"/>
      <c r="L1673" s="73"/>
    </row>
    <row r="1674" spans="2:12">
      <c r="B1674" s="73"/>
      <c r="C1674" s="73"/>
      <c r="D1674" s="73"/>
      <c r="E1674" s="73"/>
      <c r="F1674" s="73"/>
      <c r="G1674" s="73"/>
      <c r="H1674" s="73"/>
      <c r="I1674" s="73"/>
      <c r="J1674" s="73"/>
      <c r="L1674" s="73"/>
    </row>
    <row r="1675" spans="2:12">
      <c r="B1675" s="73"/>
      <c r="C1675" s="73"/>
      <c r="D1675" s="73"/>
      <c r="E1675" s="73"/>
      <c r="F1675" s="73"/>
      <c r="G1675" s="73"/>
      <c r="H1675" s="73"/>
      <c r="I1675" s="73"/>
      <c r="J1675" s="73"/>
      <c r="L1675" s="73"/>
    </row>
    <row r="1676" spans="2:12">
      <c r="B1676" s="73"/>
      <c r="C1676" s="73"/>
      <c r="D1676" s="73"/>
      <c r="E1676" s="73"/>
      <c r="F1676" s="73"/>
      <c r="G1676" s="73"/>
      <c r="H1676" s="73"/>
      <c r="I1676" s="73"/>
      <c r="J1676" s="73"/>
      <c r="L1676" s="73"/>
    </row>
    <row r="1677" spans="2:12">
      <c r="B1677" s="73"/>
      <c r="C1677" s="73"/>
      <c r="D1677" s="73"/>
      <c r="E1677" s="73"/>
      <c r="F1677" s="73"/>
      <c r="G1677" s="73"/>
      <c r="H1677" s="73"/>
      <c r="I1677" s="73"/>
      <c r="J1677" s="73"/>
      <c r="L1677" s="73"/>
    </row>
    <row r="1678" spans="2:12">
      <c r="B1678" s="73"/>
      <c r="C1678" s="73"/>
      <c r="D1678" s="73"/>
      <c r="E1678" s="73"/>
      <c r="F1678" s="73"/>
      <c r="G1678" s="73"/>
      <c r="H1678" s="73"/>
      <c r="I1678" s="73"/>
      <c r="J1678" s="73"/>
      <c r="L1678" s="73"/>
    </row>
    <row r="1679" spans="2:12">
      <c r="B1679" s="73"/>
      <c r="C1679" s="73"/>
      <c r="D1679" s="73"/>
      <c r="E1679" s="73"/>
      <c r="F1679" s="73"/>
      <c r="G1679" s="73"/>
      <c r="H1679" s="73"/>
      <c r="I1679" s="73"/>
      <c r="J1679" s="73"/>
      <c r="L1679" s="73"/>
    </row>
    <row r="1680" spans="2:12">
      <c r="B1680" s="73"/>
      <c r="C1680" s="73"/>
      <c r="D1680" s="73"/>
      <c r="E1680" s="73"/>
      <c r="F1680" s="73"/>
      <c r="G1680" s="73"/>
      <c r="H1680" s="73"/>
      <c r="I1680" s="73"/>
      <c r="J1680" s="73"/>
      <c r="L1680" s="73"/>
    </row>
    <row r="1681" spans="2:12">
      <c r="B1681" s="73"/>
      <c r="C1681" s="73"/>
      <c r="D1681" s="73"/>
      <c r="E1681" s="73"/>
      <c r="F1681" s="73"/>
      <c r="G1681" s="73"/>
      <c r="H1681" s="73"/>
      <c r="I1681" s="73"/>
      <c r="J1681" s="73"/>
      <c r="L1681" s="73"/>
    </row>
    <row r="1682" spans="2:12">
      <c r="B1682" s="73"/>
      <c r="C1682" s="73"/>
      <c r="D1682" s="73"/>
      <c r="E1682" s="73"/>
      <c r="F1682" s="73"/>
      <c r="G1682" s="73"/>
      <c r="H1682" s="73"/>
      <c r="I1682" s="73"/>
      <c r="J1682" s="73"/>
      <c r="L1682" s="73"/>
    </row>
    <row r="1683" spans="2:12">
      <c r="B1683" s="73"/>
      <c r="C1683" s="73"/>
      <c r="D1683" s="73"/>
      <c r="E1683" s="73"/>
      <c r="F1683" s="73"/>
      <c r="G1683" s="73"/>
      <c r="H1683" s="73"/>
      <c r="I1683" s="73"/>
      <c r="J1683" s="73"/>
      <c r="L1683" s="73"/>
    </row>
    <row r="1684" spans="2:12">
      <c r="B1684" s="73"/>
      <c r="C1684" s="73"/>
      <c r="D1684" s="73"/>
      <c r="E1684" s="73"/>
      <c r="F1684" s="73"/>
      <c r="G1684" s="73"/>
      <c r="H1684" s="73"/>
      <c r="I1684" s="73"/>
      <c r="J1684" s="73"/>
      <c r="L1684" s="73"/>
    </row>
    <row r="1685" spans="2:12">
      <c r="B1685" s="73"/>
      <c r="C1685" s="73"/>
      <c r="D1685" s="73"/>
      <c r="E1685" s="73"/>
      <c r="F1685" s="73"/>
      <c r="G1685" s="73"/>
      <c r="H1685" s="73"/>
      <c r="I1685" s="73"/>
      <c r="J1685" s="73"/>
      <c r="L1685" s="73"/>
    </row>
    <row r="1686" spans="2:12">
      <c r="B1686" s="73"/>
      <c r="C1686" s="73"/>
      <c r="D1686" s="73"/>
      <c r="E1686" s="73"/>
      <c r="F1686" s="73"/>
      <c r="G1686" s="73"/>
      <c r="H1686" s="73"/>
      <c r="I1686" s="73"/>
      <c r="J1686" s="73"/>
      <c r="L1686" s="73"/>
    </row>
    <row r="1687" spans="2:12">
      <c r="B1687" s="73"/>
      <c r="C1687" s="73"/>
      <c r="D1687" s="73"/>
      <c r="E1687" s="73"/>
      <c r="F1687" s="73"/>
      <c r="G1687" s="73"/>
      <c r="H1687" s="73"/>
      <c r="I1687" s="73"/>
      <c r="J1687" s="73"/>
      <c r="L1687" s="73"/>
    </row>
    <row r="1688" spans="2:12">
      <c r="B1688" s="73"/>
      <c r="C1688" s="73"/>
      <c r="D1688" s="73"/>
      <c r="E1688" s="73"/>
      <c r="F1688" s="73"/>
      <c r="G1688" s="73"/>
      <c r="H1688" s="73"/>
      <c r="I1688" s="73"/>
      <c r="J1688" s="73"/>
      <c r="L1688" s="73"/>
    </row>
    <row r="1689" spans="2:12">
      <c r="B1689" s="73"/>
      <c r="C1689" s="73"/>
      <c r="D1689" s="73"/>
      <c r="E1689" s="73"/>
      <c r="F1689" s="73"/>
      <c r="G1689" s="73"/>
      <c r="H1689" s="73"/>
      <c r="I1689" s="73"/>
      <c r="J1689" s="73"/>
      <c r="L1689" s="73"/>
    </row>
    <row r="1690" spans="2:12">
      <c r="B1690" s="73"/>
      <c r="C1690" s="73"/>
      <c r="D1690" s="73"/>
      <c r="E1690" s="73"/>
      <c r="F1690" s="73"/>
      <c r="G1690" s="73"/>
      <c r="H1690" s="73"/>
      <c r="I1690" s="73"/>
      <c r="J1690" s="73"/>
      <c r="L1690" s="73"/>
    </row>
    <row r="1691" spans="2:12">
      <c r="B1691" s="73"/>
      <c r="C1691" s="73"/>
      <c r="D1691" s="73"/>
      <c r="E1691" s="73"/>
      <c r="F1691" s="73"/>
      <c r="G1691" s="73"/>
      <c r="H1691" s="73"/>
      <c r="I1691" s="73"/>
      <c r="J1691" s="73"/>
      <c r="L1691" s="73"/>
    </row>
    <row r="1692" spans="2:12">
      <c r="B1692" s="73"/>
      <c r="C1692" s="73"/>
      <c r="D1692" s="73"/>
      <c r="E1692" s="73"/>
      <c r="F1692" s="73"/>
      <c r="G1692" s="73"/>
      <c r="H1692" s="73"/>
      <c r="I1692" s="73"/>
      <c r="J1692" s="73"/>
      <c r="L1692" s="73"/>
    </row>
    <row r="1693" spans="2:12">
      <c r="B1693" s="73"/>
      <c r="C1693" s="73"/>
      <c r="D1693" s="73"/>
      <c r="E1693" s="73"/>
      <c r="F1693" s="73"/>
      <c r="G1693" s="73"/>
      <c r="H1693" s="73"/>
      <c r="I1693" s="73"/>
      <c r="J1693" s="73"/>
      <c r="L1693" s="73"/>
    </row>
    <row r="1694" spans="2:12">
      <c r="B1694" s="73"/>
      <c r="C1694" s="73"/>
      <c r="D1694" s="73"/>
      <c r="E1694" s="73"/>
      <c r="F1694" s="73"/>
      <c r="G1694" s="73"/>
      <c r="H1694" s="73"/>
      <c r="I1694" s="73"/>
      <c r="J1694" s="73"/>
      <c r="L1694" s="73"/>
    </row>
    <row r="1695" spans="2:12">
      <c r="B1695" s="73"/>
      <c r="C1695" s="73"/>
      <c r="D1695" s="73"/>
      <c r="E1695" s="73"/>
      <c r="F1695" s="73"/>
      <c r="G1695" s="73"/>
      <c r="H1695" s="73"/>
      <c r="I1695" s="73"/>
      <c r="J1695" s="73"/>
      <c r="L1695" s="73"/>
    </row>
    <row r="1696" spans="2:12">
      <c r="B1696" s="73"/>
      <c r="C1696" s="73"/>
      <c r="D1696" s="73"/>
      <c r="E1696" s="73"/>
      <c r="F1696" s="73"/>
      <c r="G1696" s="73"/>
      <c r="H1696" s="73"/>
      <c r="I1696" s="73"/>
      <c r="J1696" s="73"/>
      <c r="L1696" s="73"/>
    </row>
    <row r="1697" spans="2:12">
      <c r="B1697" s="73"/>
      <c r="C1697" s="73"/>
      <c r="D1697" s="73"/>
      <c r="E1697" s="73"/>
      <c r="F1697" s="73"/>
      <c r="G1697" s="73"/>
      <c r="H1697" s="73"/>
      <c r="I1697" s="73"/>
      <c r="J1697" s="73"/>
      <c r="L1697" s="73"/>
    </row>
    <row r="1698" spans="2:12">
      <c r="B1698" s="73"/>
      <c r="C1698" s="73"/>
      <c r="D1698" s="73"/>
      <c r="E1698" s="73"/>
      <c r="F1698" s="73"/>
      <c r="G1698" s="73"/>
      <c r="H1698" s="73"/>
      <c r="I1698" s="73"/>
      <c r="J1698" s="73"/>
      <c r="L1698" s="73"/>
    </row>
    <row r="1699" spans="2:12">
      <c r="B1699" s="73"/>
      <c r="C1699" s="73"/>
      <c r="D1699" s="73"/>
      <c r="E1699" s="73"/>
      <c r="F1699" s="73"/>
      <c r="G1699" s="73"/>
      <c r="H1699" s="73"/>
      <c r="I1699" s="73"/>
      <c r="J1699" s="73"/>
      <c r="L1699" s="73"/>
    </row>
    <row r="1700" spans="2:12">
      <c r="B1700" s="73"/>
      <c r="C1700" s="73"/>
      <c r="D1700" s="73"/>
      <c r="E1700" s="73"/>
      <c r="F1700" s="73"/>
      <c r="G1700" s="73"/>
      <c r="H1700" s="73"/>
      <c r="I1700" s="73"/>
      <c r="J1700" s="73"/>
      <c r="L1700" s="73"/>
    </row>
    <row r="1701" spans="2:12">
      <c r="B1701" s="73"/>
      <c r="C1701" s="73"/>
      <c r="D1701" s="73"/>
      <c r="E1701" s="73"/>
      <c r="F1701" s="73"/>
      <c r="G1701" s="73"/>
      <c r="H1701" s="73"/>
      <c r="I1701" s="73"/>
      <c r="J1701" s="73"/>
      <c r="L1701" s="73"/>
    </row>
    <row r="1702" spans="2:12">
      <c r="B1702" s="73"/>
      <c r="C1702" s="73"/>
      <c r="D1702" s="73"/>
      <c r="E1702" s="73"/>
      <c r="F1702" s="73"/>
      <c r="G1702" s="73"/>
      <c r="H1702" s="73"/>
      <c r="I1702" s="73"/>
      <c r="J1702" s="73"/>
      <c r="L1702" s="73"/>
    </row>
    <row r="1703" spans="2:12">
      <c r="B1703" s="73"/>
      <c r="C1703" s="73"/>
      <c r="D1703" s="73"/>
      <c r="E1703" s="73"/>
      <c r="F1703" s="73"/>
      <c r="G1703" s="73"/>
      <c r="H1703" s="73"/>
      <c r="I1703" s="73"/>
      <c r="J1703" s="73"/>
      <c r="L1703" s="73"/>
    </row>
    <row r="1704" spans="2:12">
      <c r="B1704" s="73"/>
      <c r="C1704" s="73"/>
      <c r="D1704" s="73"/>
      <c r="E1704" s="73"/>
      <c r="F1704" s="73"/>
      <c r="G1704" s="73"/>
      <c r="H1704" s="73"/>
      <c r="I1704" s="73"/>
      <c r="J1704" s="73"/>
      <c r="L1704" s="73"/>
    </row>
    <row r="1705" spans="2:12">
      <c r="B1705" s="73"/>
      <c r="C1705" s="73"/>
      <c r="D1705" s="73"/>
      <c r="E1705" s="73"/>
      <c r="F1705" s="73"/>
      <c r="G1705" s="73"/>
      <c r="H1705" s="73"/>
      <c r="I1705" s="73"/>
      <c r="J1705" s="73"/>
      <c r="L1705" s="73"/>
    </row>
    <row r="1706" spans="2:12">
      <c r="B1706" s="73"/>
      <c r="C1706" s="73"/>
      <c r="D1706" s="73"/>
      <c r="E1706" s="73"/>
      <c r="F1706" s="73"/>
      <c r="G1706" s="73"/>
      <c r="H1706" s="73"/>
      <c r="I1706" s="73"/>
      <c r="J1706" s="73"/>
      <c r="L1706" s="73"/>
    </row>
    <row r="1707" spans="2:12">
      <c r="B1707" s="73"/>
      <c r="C1707" s="73"/>
      <c r="D1707" s="73"/>
      <c r="E1707" s="73"/>
      <c r="F1707" s="73"/>
      <c r="G1707" s="73"/>
      <c r="H1707" s="73"/>
      <c r="I1707" s="73"/>
      <c r="J1707" s="73"/>
      <c r="L1707" s="73"/>
    </row>
    <row r="1708" spans="2:12">
      <c r="B1708" s="73"/>
      <c r="C1708" s="73"/>
      <c r="D1708" s="73"/>
      <c r="E1708" s="73"/>
      <c r="F1708" s="73"/>
      <c r="G1708" s="73"/>
      <c r="H1708" s="73"/>
      <c r="I1708" s="73"/>
      <c r="J1708" s="73"/>
      <c r="L1708" s="73"/>
    </row>
    <row r="1709" spans="2:12">
      <c r="B1709" s="73"/>
      <c r="C1709" s="73"/>
      <c r="D1709" s="73"/>
      <c r="E1709" s="73"/>
      <c r="F1709" s="73"/>
      <c r="G1709" s="73"/>
      <c r="H1709" s="73"/>
      <c r="I1709" s="73"/>
      <c r="J1709" s="73"/>
      <c r="L1709" s="73"/>
    </row>
    <row r="1710" spans="2:12">
      <c r="B1710" s="73"/>
      <c r="C1710" s="73"/>
      <c r="D1710" s="73"/>
      <c r="E1710" s="73"/>
      <c r="F1710" s="73"/>
      <c r="G1710" s="73"/>
      <c r="H1710" s="73"/>
      <c r="I1710" s="73"/>
      <c r="J1710" s="73"/>
      <c r="L1710" s="73"/>
    </row>
    <row r="1711" spans="2:12">
      <c r="B1711" s="73"/>
      <c r="C1711" s="73"/>
      <c r="D1711" s="73"/>
      <c r="E1711" s="73"/>
      <c r="F1711" s="73"/>
      <c r="G1711" s="73"/>
      <c r="H1711" s="73"/>
      <c r="I1711" s="73"/>
      <c r="J1711" s="73"/>
      <c r="L1711" s="73"/>
    </row>
    <row r="1712" spans="2:12">
      <c r="B1712" s="73"/>
      <c r="C1712" s="73"/>
      <c r="D1712" s="73"/>
      <c r="E1712" s="73"/>
      <c r="F1712" s="73"/>
      <c r="G1712" s="73"/>
      <c r="H1712" s="73"/>
      <c r="I1712" s="73"/>
      <c r="J1712" s="73"/>
      <c r="L1712" s="73"/>
    </row>
    <row r="1713" spans="2:12">
      <c r="B1713" s="73"/>
      <c r="C1713" s="73"/>
      <c r="D1713" s="73"/>
      <c r="E1713" s="73"/>
      <c r="F1713" s="73"/>
      <c r="G1713" s="73"/>
      <c r="H1713" s="73"/>
      <c r="I1713" s="73"/>
      <c r="J1713" s="73"/>
      <c r="L1713" s="73"/>
    </row>
    <row r="1714" spans="2:12">
      <c r="B1714" s="73"/>
      <c r="C1714" s="73"/>
      <c r="D1714" s="73"/>
      <c r="E1714" s="73"/>
      <c r="F1714" s="73"/>
      <c r="G1714" s="73"/>
      <c r="H1714" s="73"/>
      <c r="I1714" s="73"/>
      <c r="J1714" s="73"/>
      <c r="L1714" s="73"/>
    </row>
    <row r="1715" spans="2:12">
      <c r="B1715" s="73"/>
      <c r="C1715" s="73"/>
      <c r="D1715" s="73"/>
      <c r="E1715" s="73"/>
      <c r="F1715" s="73"/>
      <c r="G1715" s="73"/>
      <c r="H1715" s="73"/>
      <c r="I1715" s="73"/>
      <c r="J1715" s="73"/>
      <c r="L1715" s="73"/>
    </row>
    <row r="1716" spans="2:12">
      <c r="B1716" s="73"/>
      <c r="C1716" s="73"/>
      <c r="D1716" s="73"/>
      <c r="E1716" s="73"/>
      <c r="F1716" s="73"/>
      <c r="G1716" s="73"/>
      <c r="H1716" s="73"/>
      <c r="I1716" s="73"/>
      <c r="J1716" s="73"/>
      <c r="L1716" s="73"/>
    </row>
    <row r="1717" spans="2:12">
      <c r="B1717" s="73"/>
      <c r="C1717" s="73"/>
      <c r="D1717" s="73"/>
      <c r="E1717" s="73"/>
      <c r="F1717" s="73"/>
      <c r="G1717" s="73"/>
      <c r="H1717" s="73"/>
      <c r="I1717" s="73"/>
      <c r="J1717" s="73"/>
      <c r="L1717" s="73"/>
    </row>
    <row r="1718" spans="2:12">
      <c r="B1718" s="73"/>
      <c r="C1718" s="73"/>
      <c r="D1718" s="73"/>
      <c r="E1718" s="73"/>
      <c r="F1718" s="73"/>
      <c r="G1718" s="73"/>
      <c r="H1718" s="73"/>
      <c r="I1718" s="73"/>
      <c r="J1718" s="73"/>
      <c r="L1718" s="73"/>
    </row>
    <row r="1719" spans="2:12">
      <c r="B1719" s="73"/>
      <c r="C1719" s="73"/>
      <c r="D1719" s="73"/>
      <c r="E1719" s="73"/>
      <c r="F1719" s="73"/>
      <c r="G1719" s="73"/>
      <c r="H1719" s="73"/>
      <c r="I1719" s="73"/>
      <c r="J1719" s="73"/>
      <c r="L1719" s="73"/>
    </row>
    <row r="1720" spans="2:12">
      <c r="B1720" s="73"/>
      <c r="C1720" s="73"/>
      <c r="D1720" s="73"/>
      <c r="E1720" s="73"/>
      <c r="F1720" s="73"/>
      <c r="G1720" s="73"/>
      <c r="H1720" s="73"/>
      <c r="I1720" s="73"/>
      <c r="J1720" s="73"/>
      <c r="L1720" s="73"/>
    </row>
    <row r="1721" spans="2:12">
      <c r="B1721" s="73"/>
      <c r="C1721" s="73"/>
      <c r="D1721" s="73"/>
      <c r="E1721" s="73"/>
      <c r="F1721" s="73"/>
      <c r="G1721" s="73"/>
      <c r="H1721" s="73"/>
      <c r="I1721" s="73"/>
      <c r="J1721" s="73"/>
      <c r="L1721" s="73"/>
    </row>
    <row r="1722" spans="2:12">
      <c r="B1722" s="73"/>
      <c r="C1722" s="73"/>
      <c r="D1722" s="73"/>
      <c r="E1722" s="73"/>
      <c r="F1722" s="73"/>
      <c r="G1722" s="73"/>
      <c r="H1722" s="73"/>
      <c r="I1722" s="73"/>
      <c r="J1722" s="73"/>
      <c r="L1722" s="73"/>
    </row>
    <row r="1723" spans="2:12">
      <c r="B1723" s="73"/>
      <c r="C1723" s="73"/>
      <c r="D1723" s="73"/>
      <c r="E1723" s="73"/>
      <c r="F1723" s="73"/>
      <c r="G1723" s="73"/>
      <c r="H1723" s="73"/>
      <c r="I1723" s="73"/>
      <c r="J1723" s="73"/>
      <c r="L1723" s="73"/>
    </row>
    <row r="1724" spans="2:12">
      <c r="B1724" s="73"/>
      <c r="C1724" s="73"/>
      <c r="D1724" s="73"/>
      <c r="E1724" s="73"/>
      <c r="F1724" s="73"/>
      <c r="G1724" s="73"/>
      <c r="H1724" s="73"/>
      <c r="I1724" s="73"/>
      <c r="J1724" s="73"/>
      <c r="L1724" s="73"/>
    </row>
    <row r="1725" spans="2:12">
      <c r="B1725" s="73"/>
      <c r="C1725" s="73"/>
      <c r="D1725" s="73"/>
      <c r="E1725" s="73"/>
      <c r="F1725" s="73"/>
      <c r="G1725" s="73"/>
      <c r="H1725" s="73"/>
      <c r="I1725" s="73"/>
      <c r="J1725" s="73"/>
      <c r="L1725" s="73"/>
    </row>
    <row r="1726" spans="2:12">
      <c r="B1726" s="73"/>
      <c r="C1726" s="73"/>
      <c r="D1726" s="73"/>
      <c r="E1726" s="73"/>
      <c r="F1726" s="73"/>
      <c r="G1726" s="73"/>
      <c r="H1726" s="73"/>
      <c r="I1726" s="73"/>
      <c r="J1726" s="73"/>
      <c r="L1726" s="73"/>
    </row>
    <row r="1727" spans="2:12">
      <c r="B1727" s="73"/>
      <c r="C1727" s="73"/>
      <c r="D1727" s="73"/>
      <c r="E1727" s="73"/>
      <c r="F1727" s="73"/>
      <c r="G1727" s="73"/>
      <c r="H1727" s="73"/>
      <c r="I1727" s="73"/>
      <c r="J1727" s="73"/>
      <c r="L1727" s="73"/>
    </row>
    <row r="1728" spans="2:12">
      <c r="B1728" s="73"/>
      <c r="C1728" s="73"/>
      <c r="D1728" s="73"/>
      <c r="E1728" s="73"/>
      <c r="F1728" s="73"/>
      <c r="G1728" s="73"/>
      <c r="H1728" s="73"/>
      <c r="I1728" s="73"/>
      <c r="J1728" s="73"/>
      <c r="L1728" s="73"/>
    </row>
    <row r="1729" spans="2:12">
      <c r="B1729" s="73"/>
      <c r="C1729" s="73"/>
      <c r="D1729" s="73"/>
      <c r="E1729" s="73"/>
      <c r="F1729" s="73"/>
      <c r="G1729" s="73"/>
      <c r="H1729" s="73"/>
      <c r="I1729" s="73"/>
      <c r="J1729" s="73"/>
      <c r="L1729" s="73"/>
    </row>
    <row r="1730" spans="2:12">
      <c r="B1730" s="73"/>
      <c r="C1730" s="73"/>
      <c r="D1730" s="73"/>
      <c r="E1730" s="73"/>
      <c r="F1730" s="73"/>
      <c r="G1730" s="73"/>
      <c r="H1730" s="73"/>
      <c r="I1730" s="73"/>
      <c r="J1730" s="73"/>
      <c r="L1730" s="73"/>
    </row>
    <row r="1731" spans="2:12">
      <c r="B1731" s="73"/>
      <c r="C1731" s="73"/>
      <c r="D1731" s="73"/>
      <c r="E1731" s="73"/>
      <c r="F1731" s="73"/>
      <c r="G1731" s="73"/>
      <c r="H1731" s="73"/>
      <c r="I1731" s="73"/>
      <c r="J1731" s="73"/>
      <c r="L1731" s="73"/>
    </row>
    <row r="1732" spans="2:12">
      <c r="B1732" s="73"/>
      <c r="C1732" s="73"/>
      <c r="D1732" s="73"/>
      <c r="E1732" s="73"/>
      <c r="F1732" s="73"/>
      <c r="G1732" s="73"/>
      <c r="H1732" s="73"/>
      <c r="I1732" s="73"/>
      <c r="J1732" s="73"/>
      <c r="L1732" s="73"/>
    </row>
    <row r="1733" spans="2:12">
      <c r="B1733" s="73"/>
      <c r="C1733" s="73"/>
      <c r="D1733" s="73"/>
      <c r="E1733" s="73"/>
      <c r="F1733" s="73"/>
      <c r="G1733" s="73"/>
      <c r="H1733" s="73"/>
      <c r="I1733" s="73"/>
      <c r="J1733" s="73"/>
      <c r="L1733" s="73"/>
    </row>
    <row r="1734" spans="2:12">
      <c r="B1734" s="73"/>
      <c r="C1734" s="73"/>
      <c r="D1734" s="73"/>
      <c r="E1734" s="73"/>
      <c r="F1734" s="73"/>
      <c r="G1734" s="73"/>
      <c r="H1734" s="73"/>
      <c r="I1734" s="73"/>
      <c r="J1734" s="73"/>
      <c r="L1734" s="73"/>
    </row>
    <row r="1735" spans="2:12">
      <c r="B1735" s="73"/>
      <c r="C1735" s="73"/>
      <c r="D1735" s="73"/>
      <c r="E1735" s="73"/>
      <c r="F1735" s="73"/>
      <c r="G1735" s="73"/>
      <c r="H1735" s="73"/>
      <c r="I1735" s="73"/>
      <c r="J1735" s="73"/>
      <c r="L1735" s="73"/>
    </row>
    <row r="1736" spans="2:12">
      <c r="B1736" s="73"/>
      <c r="C1736" s="73"/>
      <c r="D1736" s="73"/>
      <c r="E1736" s="73"/>
      <c r="F1736" s="73"/>
      <c r="G1736" s="73"/>
      <c r="H1736" s="73"/>
      <c r="I1736" s="73"/>
      <c r="J1736" s="73"/>
      <c r="L1736" s="73"/>
    </row>
    <row r="1737" spans="2:12">
      <c r="B1737" s="73"/>
      <c r="C1737" s="73"/>
      <c r="D1737" s="73"/>
      <c r="E1737" s="73"/>
      <c r="F1737" s="73"/>
      <c r="G1737" s="73"/>
      <c r="H1737" s="73"/>
      <c r="I1737" s="73"/>
      <c r="J1737" s="73"/>
      <c r="L1737" s="73"/>
    </row>
    <row r="1738" spans="2:12">
      <c r="B1738" s="73"/>
      <c r="C1738" s="73"/>
      <c r="D1738" s="73"/>
      <c r="E1738" s="73"/>
      <c r="F1738" s="73"/>
      <c r="G1738" s="73"/>
      <c r="H1738" s="73"/>
      <c r="I1738" s="73"/>
      <c r="J1738" s="73"/>
      <c r="L1738" s="73"/>
    </row>
    <row r="1739" spans="2:12">
      <c r="B1739" s="73"/>
      <c r="C1739" s="73"/>
      <c r="D1739" s="73"/>
      <c r="E1739" s="73"/>
      <c r="F1739" s="73"/>
      <c r="G1739" s="73"/>
      <c r="H1739" s="73"/>
      <c r="I1739" s="73"/>
      <c r="J1739" s="73"/>
      <c r="L1739" s="73"/>
    </row>
    <row r="1740" spans="2:12">
      <c r="B1740" s="73"/>
      <c r="C1740" s="73"/>
      <c r="D1740" s="73"/>
      <c r="E1740" s="73"/>
      <c r="F1740" s="73"/>
      <c r="G1740" s="73"/>
      <c r="H1740" s="73"/>
      <c r="I1740" s="73"/>
      <c r="J1740" s="73"/>
      <c r="L1740" s="73"/>
    </row>
    <row r="1741" spans="2:12">
      <c r="B1741" s="73"/>
      <c r="C1741" s="73"/>
      <c r="D1741" s="73"/>
      <c r="E1741" s="73"/>
      <c r="F1741" s="73"/>
      <c r="G1741" s="73"/>
      <c r="H1741" s="73"/>
      <c r="I1741" s="73"/>
      <c r="J1741" s="73"/>
      <c r="L1741" s="73"/>
    </row>
    <row r="1742" spans="2:12">
      <c r="B1742" s="73"/>
      <c r="C1742" s="73"/>
      <c r="D1742" s="73"/>
      <c r="E1742" s="73"/>
      <c r="F1742" s="73"/>
      <c r="G1742" s="73"/>
      <c r="H1742" s="73"/>
      <c r="I1742" s="73"/>
      <c r="J1742" s="73"/>
      <c r="L1742" s="73"/>
    </row>
    <row r="1743" spans="2:12">
      <c r="B1743" s="73"/>
      <c r="C1743" s="73"/>
      <c r="D1743" s="73"/>
      <c r="E1743" s="73"/>
      <c r="F1743" s="73"/>
      <c r="G1743" s="73"/>
      <c r="H1743" s="73"/>
      <c r="I1743" s="73"/>
      <c r="J1743" s="73"/>
      <c r="L1743" s="73"/>
    </row>
    <row r="1744" spans="2:12">
      <c r="B1744" s="73"/>
      <c r="C1744" s="73"/>
      <c r="D1744" s="73"/>
      <c r="E1744" s="73"/>
      <c r="F1744" s="73"/>
      <c r="G1744" s="73"/>
      <c r="H1744" s="73"/>
      <c r="I1744" s="73"/>
      <c r="J1744" s="73"/>
      <c r="L1744" s="73"/>
    </row>
    <row r="1745" spans="2:12">
      <c r="B1745" s="73"/>
      <c r="C1745" s="73"/>
      <c r="D1745" s="73"/>
      <c r="E1745" s="73"/>
      <c r="F1745" s="73"/>
      <c r="G1745" s="73"/>
      <c r="H1745" s="73"/>
      <c r="I1745" s="73"/>
      <c r="J1745" s="73"/>
      <c r="L1745" s="73"/>
    </row>
    <row r="1746" spans="2:12">
      <c r="B1746" s="73"/>
      <c r="C1746" s="73"/>
      <c r="D1746" s="73"/>
      <c r="E1746" s="73"/>
      <c r="F1746" s="73"/>
      <c r="G1746" s="73"/>
      <c r="H1746" s="73"/>
      <c r="I1746" s="73"/>
      <c r="J1746" s="73"/>
      <c r="L1746" s="73"/>
    </row>
    <row r="1747" spans="2:12">
      <c r="B1747" s="73"/>
      <c r="C1747" s="73"/>
      <c r="D1747" s="73"/>
      <c r="E1747" s="73"/>
      <c r="F1747" s="73"/>
      <c r="G1747" s="73"/>
      <c r="H1747" s="73"/>
      <c r="I1747" s="73"/>
      <c r="J1747" s="73"/>
      <c r="L1747" s="73"/>
    </row>
    <row r="1748" spans="2:12">
      <c r="B1748" s="73"/>
      <c r="C1748" s="73"/>
      <c r="D1748" s="73"/>
      <c r="E1748" s="73"/>
      <c r="F1748" s="73"/>
      <c r="G1748" s="73"/>
      <c r="H1748" s="73"/>
      <c r="I1748" s="73"/>
      <c r="J1748" s="73"/>
      <c r="L1748" s="73"/>
    </row>
    <row r="1749" spans="2:12">
      <c r="B1749" s="73"/>
      <c r="C1749" s="73"/>
      <c r="D1749" s="73"/>
      <c r="E1749" s="73"/>
      <c r="F1749" s="73"/>
      <c r="G1749" s="73"/>
      <c r="H1749" s="73"/>
      <c r="I1749" s="73"/>
      <c r="J1749" s="73"/>
      <c r="L1749" s="73"/>
    </row>
    <row r="1750" spans="2:12">
      <c r="B1750" s="73"/>
      <c r="C1750" s="73"/>
      <c r="D1750" s="73"/>
      <c r="E1750" s="73"/>
      <c r="F1750" s="73"/>
      <c r="G1750" s="73"/>
      <c r="H1750" s="73"/>
      <c r="I1750" s="73"/>
      <c r="J1750" s="73"/>
      <c r="L1750" s="73"/>
    </row>
    <row r="1751" spans="2:12">
      <c r="B1751" s="73"/>
      <c r="C1751" s="73"/>
      <c r="D1751" s="73"/>
      <c r="E1751" s="73"/>
      <c r="F1751" s="73"/>
      <c r="G1751" s="73"/>
      <c r="H1751" s="73"/>
      <c r="I1751" s="73"/>
      <c r="J1751" s="73"/>
      <c r="L1751" s="73"/>
    </row>
    <row r="1752" spans="2:12">
      <c r="B1752" s="73"/>
      <c r="C1752" s="73"/>
      <c r="D1752" s="73"/>
      <c r="E1752" s="73"/>
      <c r="F1752" s="73"/>
      <c r="G1752" s="73"/>
      <c r="H1752" s="73"/>
      <c r="I1752" s="73"/>
      <c r="J1752" s="73"/>
      <c r="L1752" s="73"/>
    </row>
    <row r="1753" spans="2:12">
      <c r="B1753" s="73"/>
      <c r="C1753" s="73"/>
      <c r="D1753" s="73"/>
      <c r="E1753" s="73"/>
      <c r="F1753" s="73"/>
      <c r="G1753" s="73"/>
      <c r="H1753" s="73"/>
      <c r="I1753" s="73"/>
      <c r="J1753" s="73"/>
      <c r="L1753" s="73"/>
    </row>
    <row r="1754" spans="2:12">
      <c r="B1754" s="73"/>
      <c r="C1754" s="73"/>
      <c r="D1754" s="73"/>
      <c r="E1754" s="73"/>
      <c r="F1754" s="73"/>
      <c r="G1754" s="73"/>
      <c r="H1754" s="73"/>
      <c r="I1754" s="73"/>
      <c r="J1754" s="73"/>
      <c r="L1754" s="73"/>
    </row>
    <row r="1755" spans="2:12">
      <c r="B1755" s="73"/>
      <c r="C1755" s="73"/>
      <c r="D1755" s="73"/>
      <c r="E1755" s="73"/>
      <c r="F1755" s="73"/>
      <c r="G1755" s="73"/>
      <c r="H1755" s="73"/>
      <c r="I1755" s="73"/>
      <c r="J1755" s="73"/>
      <c r="L1755" s="73"/>
    </row>
    <row r="1756" spans="2:12">
      <c r="B1756" s="73"/>
      <c r="C1756" s="73"/>
      <c r="D1756" s="73"/>
      <c r="E1756" s="73"/>
      <c r="F1756" s="73"/>
      <c r="G1756" s="73"/>
      <c r="H1756" s="73"/>
      <c r="I1756" s="73"/>
      <c r="J1756" s="73"/>
      <c r="L1756" s="73"/>
    </row>
    <row r="1757" spans="2:12">
      <c r="B1757" s="73"/>
      <c r="C1757" s="73"/>
      <c r="D1757" s="73"/>
      <c r="E1757" s="73"/>
      <c r="F1757" s="73"/>
      <c r="G1757" s="73"/>
      <c r="H1757" s="73"/>
      <c r="I1757" s="73"/>
      <c r="J1757" s="73"/>
      <c r="L1757" s="73"/>
    </row>
    <row r="1758" spans="2:12">
      <c r="B1758" s="73"/>
      <c r="C1758" s="73"/>
      <c r="D1758" s="73"/>
      <c r="E1758" s="73"/>
      <c r="F1758" s="73"/>
      <c r="G1758" s="73"/>
      <c r="H1758" s="73"/>
      <c r="I1758" s="73"/>
      <c r="J1758" s="73"/>
      <c r="L1758" s="73"/>
    </row>
    <row r="1759" spans="2:12">
      <c r="B1759" s="73"/>
      <c r="C1759" s="73"/>
      <c r="D1759" s="73"/>
      <c r="E1759" s="73"/>
      <c r="F1759" s="73"/>
      <c r="G1759" s="73"/>
      <c r="H1759" s="73"/>
      <c r="I1759" s="73"/>
      <c r="J1759" s="73"/>
      <c r="L1759" s="73"/>
    </row>
    <row r="1760" spans="2:12">
      <c r="B1760" s="73"/>
      <c r="C1760" s="73"/>
      <c r="D1760" s="73"/>
      <c r="E1760" s="73"/>
      <c r="F1760" s="73"/>
      <c r="G1760" s="73"/>
      <c r="H1760" s="73"/>
      <c r="I1760" s="73"/>
      <c r="J1760" s="73"/>
      <c r="L1760" s="73"/>
    </row>
    <row r="1761" spans="2:12">
      <c r="B1761" s="73"/>
      <c r="C1761" s="73"/>
      <c r="D1761" s="73"/>
      <c r="E1761" s="73"/>
      <c r="F1761" s="73"/>
      <c r="G1761" s="73"/>
      <c r="H1761" s="73"/>
      <c r="I1761" s="73"/>
      <c r="J1761" s="73"/>
      <c r="L1761" s="73"/>
    </row>
    <row r="1762" spans="2:12">
      <c r="B1762" s="73"/>
      <c r="C1762" s="73"/>
      <c r="D1762" s="73"/>
      <c r="E1762" s="73"/>
      <c r="F1762" s="73"/>
      <c r="G1762" s="73"/>
      <c r="H1762" s="73"/>
      <c r="I1762" s="73"/>
      <c r="J1762" s="73"/>
      <c r="L1762" s="73"/>
    </row>
    <row r="1763" spans="2:12">
      <c r="B1763" s="73"/>
      <c r="C1763" s="73"/>
      <c r="D1763" s="73"/>
      <c r="E1763" s="73"/>
      <c r="F1763" s="73"/>
      <c r="G1763" s="73"/>
      <c r="H1763" s="73"/>
      <c r="I1763" s="73"/>
      <c r="J1763" s="73"/>
      <c r="L1763" s="73"/>
    </row>
    <row r="1764" spans="2:12">
      <c r="B1764" s="73"/>
      <c r="C1764" s="73"/>
      <c r="D1764" s="73"/>
      <c r="E1764" s="73"/>
      <c r="F1764" s="73"/>
      <c r="G1764" s="73"/>
      <c r="H1764" s="73"/>
      <c r="I1764" s="73"/>
      <c r="J1764" s="73"/>
      <c r="L1764" s="73"/>
    </row>
    <row r="1765" spans="2:12">
      <c r="B1765" s="73"/>
      <c r="C1765" s="73"/>
      <c r="D1765" s="73"/>
      <c r="E1765" s="73"/>
      <c r="F1765" s="73"/>
      <c r="G1765" s="73"/>
      <c r="H1765" s="73"/>
      <c r="I1765" s="73"/>
      <c r="J1765" s="73"/>
      <c r="L1765" s="73"/>
    </row>
    <row r="1766" spans="2:12">
      <c r="B1766" s="73"/>
      <c r="C1766" s="73"/>
      <c r="D1766" s="73"/>
      <c r="E1766" s="73"/>
      <c r="F1766" s="73"/>
      <c r="G1766" s="73"/>
      <c r="H1766" s="73"/>
      <c r="I1766" s="73"/>
      <c r="J1766" s="73"/>
      <c r="L1766" s="73"/>
    </row>
    <row r="1767" spans="2:12">
      <c r="B1767" s="73"/>
      <c r="C1767" s="73"/>
      <c r="D1767" s="73"/>
      <c r="E1767" s="73"/>
      <c r="F1767" s="73"/>
      <c r="G1767" s="73"/>
      <c r="H1767" s="73"/>
      <c r="I1767" s="73"/>
      <c r="J1767" s="73"/>
      <c r="L1767" s="73"/>
    </row>
    <row r="1768" spans="2:12">
      <c r="B1768" s="73"/>
      <c r="C1768" s="73"/>
      <c r="D1768" s="73"/>
      <c r="E1768" s="73"/>
      <c r="F1768" s="73"/>
      <c r="G1768" s="73"/>
      <c r="H1768" s="73"/>
      <c r="I1768" s="73"/>
      <c r="J1768" s="73"/>
      <c r="L1768" s="73"/>
    </row>
    <row r="1769" spans="2:12">
      <c r="B1769" s="73"/>
      <c r="C1769" s="73"/>
      <c r="D1769" s="73"/>
      <c r="E1769" s="73"/>
      <c r="F1769" s="73"/>
      <c r="G1769" s="73"/>
      <c r="H1769" s="73"/>
      <c r="I1769" s="73"/>
      <c r="J1769" s="73"/>
      <c r="L1769" s="73"/>
    </row>
    <row r="1770" spans="2:12">
      <c r="B1770" s="73"/>
      <c r="C1770" s="73"/>
      <c r="D1770" s="73"/>
      <c r="E1770" s="73"/>
      <c r="F1770" s="73"/>
      <c r="G1770" s="73"/>
      <c r="H1770" s="73"/>
      <c r="I1770" s="73"/>
      <c r="J1770" s="73"/>
      <c r="L1770" s="73"/>
    </row>
    <row r="1771" spans="2:12">
      <c r="B1771" s="73"/>
      <c r="C1771" s="73"/>
      <c r="D1771" s="73"/>
      <c r="E1771" s="73"/>
      <c r="F1771" s="73"/>
      <c r="G1771" s="73"/>
      <c r="H1771" s="73"/>
      <c r="I1771" s="73"/>
      <c r="J1771" s="73"/>
      <c r="L1771" s="73"/>
    </row>
    <row r="1772" spans="2:12">
      <c r="B1772" s="73"/>
      <c r="C1772" s="73"/>
      <c r="D1772" s="73"/>
      <c r="E1772" s="73"/>
      <c r="F1772" s="73"/>
      <c r="G1772" s="73"/>
      <c r="H1772" s="73"/>
      <c r="I1772" s="73"/>
      <c r="J1772" s="73"/>
      <c r="L1772" s="73"/>
    </row>
    <row r="1773" spans="2:12">
      <c r="B1773" s="73"/>
      <c r="C1773" s="73"/>
      <c r="D1773" s="73"/>
      <c r="E1773" s="73"/>
      <c r="F1773" s="73"/>
      <c r="G1773" s="73"/>
      <c r="H1773" s="73"/>
      <c r="I1773" s="73"/>
      <c r="J1773" s="73"/>
      <c r="L1773" s="73"/>
    </row>
    <row r="1774" spans="2:12">
      <c r="B1774" s="73"/>
      <c r="C1774" s="73"/>
      <c r="D1774" s="73"/>
      <c r="E1774" s="73"/>
      <c r="F1774" s="73"/>
      <c r="G1774" s="73"/>
      <c r="H1774" s="73"/>
      <c r="I1774" s="73"/>
      <c r="J1774" s="73"/>
      <c r="L1774" s="73"/>
    </row>
    <row r="1775" spans="2:12">
      <c r="B1775" s="73"/>
      <c r="C1775" s="73"/>
      <c r="D1775" s="73"/>
      <c r="E1775" s="73"/>
      <c r="F1775" s="73"/>
      <c r="G1775" s="73"/>
      <c r="H1775" s="73"/>
      <c r="I1775" s="73"/>
      <c r="J1775" s="73"/>
      <c r="L1775" s="73"/>
    </row>
    <row r="1776" spans="2:12">
      <c r="B1776" s="73"/>
      <c r="C1776" s="73"/>
      <c r="D1776" s="73"/>
      <c r="E1776" s="73"/>
      <c r="F1776" s="73"/>
      <c r="G1776" s="73"/>
      <c r="H1776" s="73"/>
      <c r="I1776" s="73"/>
      <c r="J1776" s="73"/>
      <c r="L1776" s="73"/>
    </row>
    <row r="1777" spans="2:12">
      <c r="B1777" s="73"/>
      <c r="C1777" s="73"/>
      <c r="D1777" s="73"/>
      <c r="E1777" s="73"/>
      <c r="F1777" s="73"/>
      <c r="G1777" s="73"/>
      <c r="H1777" s="73"/>
      <c r="I1777" s="73"/>
      <c r="J1777" s="73"/>
      <c r="L1777" s="73"/>
    </row>
    <row r="1778" spans="2:12">
      <c r="B1778" s="73"/>
      <c r="C1778" s="73"/>
      <c r="D1778" s="73"/>
      <c r="E1778" s="73"/>
      <c r="F1778" s="73"/>
      <c r="G1778" s="73"/>
      <c r="H1778" s="73"/>
      <c r="I1778" s="73"/>
      <c r="J1778" s="73"/>
      <c r="L1778" s="73"/>
    </row>
    <row r="1779" spans="2:12">
      <c r="B1779" s="73"/>
      <c r="C1779" s="73"/>
      <c r="D1779" s="73"/>
      <c r="E1779" s="73"/>
      <c r="F1779" s="73"/>
      <c r="G1779" s="73"/>
      <c r="H1779" s="73"/>
      <c r="I1779" s="73"/>
      <c r="J1779" s="73"/>
      <c r="L1779" s="73"/>
    </row>
    <row r="1780" spans="2:12">
      <c r="B1780" s="73"/>
      <c r="C1780" s="73"/>
      <c r="D1780" s="73"/>
      <c r="E1780" s="73"/>
      <c r="F1780" s="73"/>
      <c r="G1780" s="73"/>
      <c r="H1780" s="73"/>
      <c r="I1780" s="73"/>
      <c r="J1780" s="73"/>
      <c r="L1780" s="73"/>
    </row>
    <row r="1781" spans="2:12">
      <c r="B1781" s="73"/>
      <c r="C1781" s="73"/>
      <c r="D1781" s="73"/>
      <c r="E1781" s="73"/>
      <c r="F1781" s="73"/>
      <c r="G1781" s="73"/>
      <c r="H1781" s="73"/>
      <c r="I1781" s="73"/>
      <c r="J1781" s="73"/>
      <c r="L1781" s="73"/>
    </row>
    <row r="1782" spans="2:12">
      <c r="B1782" s="73"/>
      <c r="C1782" s="73"/>
      <c r="D1782" s="73"/>
      <c r="E1782" s="73"/>
      <c r="F1782" s="73"/>
      <c r="G1782" s="73"/>
      <c r="H1782" s="73"/>
      <c r="I1782" s="73"/>
      <c r="J1782" s="73"/>
      <c r="L1782" s="73"/>
    </row>
    <row r="1783" spans="2:12">
      <c r="B1783" s="73"/>
      <c r="C1783" s="73"/>
      <c r="D1783" s="73"/>
      <c r="E1783" s="73"/>
      <c r="F1783" s="73"/>
      <c r="G1783" s="73"/>
      <c r="H1783" s="73"/>
      <c r="I1783" s="73"/>
      <c r="J1783" s="73"/>
      <c r="L1783" s="73"/>
    </row>
    <row r="1784" spans="2:12">
      <c r="B1784" s="73"/>
      <c r="C1784" s="73"/>
      <c r="D1784" s="73"/>
      <c r="E1784" s="73"/>
      <c r="F1784" s="73"/>
      <c r="G1784" s="73"/>
      <c r="H1784" s="73"/>
      <c r="I1784" s="73"/>
      <c r="J1784" s="73"/>
      <c r="L1784" s="73"/>
    </row>
    <row r="1785" spans="2:12">
      <c r="B1785" s="73"/>
      <c r="C1785" s="73"/>
      <c r="D1785" s="73"/>
      <c r="E1785" s="73"/>
      <c r="F1785" s="73"/>
      <c r="G1785" s="73"/>
      <c r="H1785" s="73"/>
      <c r="I1785" s="73"/>
      <c r="J1785" s="73"/>
      <c r="L1785" s="73"/>
    </row>
    <row r="1786" spans="2:12">
      <c r="B1786" s="73"/>
      <c r="C1786" s="73"/>
      <c r="D1786" s="73"/>
      <c r="E1786" s="73"/>
      <c r="F1786" s="73"/>
      <c r="G1786" s="73"/>
      <c r="H1786" s="73"/>
      <c r="I1786" s="73"/>
      <c r="J1786" s="73"/>
      <c r="L1786" s="73"/>
    </row>
    <row r="1787" spans="2:12">
      <c r="B1787" s="73"/>
      <c r="C1787" s="73"/>
      <c r="D1787" s="73"/>
      <c r="E1787" s="73"/>
      <c r="F1787" s="73"/>
      <c r="G1787" s="73"/>
      <c r="H1787" s="73"/>
      <c r="I1787" s="73"/>
      <c r="J1787" s="73"/>
      <c r="L1787" s="73"/>
    </row>
    <row r="1788" spans="2:12">
      <c r="B1788" s="73"/>
      <c r="C1788" s="73"/>
      <c r="D1788" s="73"/>
      <c r="E1788" s="73"/>
      <c r="F1788" s="73"/>
      <c r="G1788" s="73"/>
      <c r="H1788" s="73"/>
      <c r="I1788" s="73"/>
      <c r="J1788" s="73"/>
      <c r="L1788" s="73"/>
    </row>
    <row r="1789" spans="2:12">
      <c r="B1789" s="73"/>
      <c r="C1789" s="73"/>
      <c r="D1789" s="73"/>
      <c r="E1789" s="73"/>
      <c r="F1789" s="73"/>
      <c r="G1789" s="73"/>
      <c r="H1789" s="73"/>
      <c r="I1789" s="73"/>
      <c r="J1789" s="73"/>
      <c r="L1789" s="73"/>
    </row>
    <row r="1790" spans="2:12">
      <c r="B1790" s="73"/>
      <c r="C1790" s="73"/>
      <c r="D1790" s="73"/>
      <c r="E1790" s="73"/>
      <c r="F1790" s="73"/>
      <c r="G1790" s="73"/>
      <c r="H1790" s="73"/>
      <c r="I1790" s="73"/>
      <c r="J1790" s="73"/>
      <c r="L1790" s="73"/>
    </row>
    <row r="1791" spans="2:12">
      <c r="B1791" s="73"/>
      <c r="C1791" s="73"/>
      <c r="D1791" s="73"/>
      <c r="E1791" s="73"/>
      <c r="F1791" s="73"/>
      <c r="G1791" s="73"/>
      <c r="H1791" s="73"/>
      <c r="I1791" s="73"/>
      <c r="J1791" s="73"/>
      <c r="L1791" s="73"/>
    </row>
    <row r="1792" spans="2:12">
      <c r="B1792" s="73"/>
      <c r="C1792" s="73"/>
      <c r="D1792" s="73"/>
      <c r="E1792" s="73"/>
      <c r="F1792" s="73"/>
      <c r="G1792" s="73"/>
      <c r="H1792" s="73"/>
      <c r="I1792" s="73"/>
      <c r="J1792" s="73"/>
      <c r="L1792" s="73"/>
    </row>
    <row r="1793" spans="2:12">
      <c r="B1793" s="73"/>
      <c r="C1793" s="73"/>
      <c r="D1793" s="73"/>
      <c r="E1793" s="73"/>
      <c r="F1793" s="73"/>
      <c r="G1793" s="73"/>
      <c r="H1793" s="73"/>
      <c r="I1793" s="73"/>
      <c r="J1793" s="73"/>
      <c r="L1793" s="73"/>
    </row>
    <row r="1794" spans="2:12">
      <c r="B1794" s="73"/>
      <c r="C1794" s="73"/>
      <c r="D1794" s="73"/>
      <c r="E1794" s="73"/>
      <c r="F1794" s="73"/>
      <c r="G1794" s="73"/>
      <c r="H1794" s="73"/>
      <c r="I1794" s="73"/>
      <c r="J1794" s="73"/>
      <c r="L1794" s="73"/>
    </row>
    <row r="1795" spans="2:12">
      <c r="B1795" s="73"/>
      <c r="C1795" s="73"/>
      <c r="D1795" s="73"/>
      <c r="E1795" s="73"/>
      <c r="F1795" s="73"/>
      <c r="G1795" s="73"/>
      <c r="H1795" s="73"/>
      <c r="I1795" s="73"/>
      <c r="J1795" s="73"/>
      <c r="L1795" s="73"/>
    </row>
    <row r="1796" spans="2:12">
      <c r="B1796" s="73"/>
      <c r="C1796" s="73"/>
      <c r="D1796" s="73"/>
      <c r="E1796" s="73"/>
      <c r="F1796" s="73"/>
      <c r="G1796" s="73"/>
      <c r="H1796" s="73"/>
      <c r="I1796" s="73"/>
      <c r="J1796" s="73"/>
      <c r="L1796" s="73"/>
    </row>
    <row r="1797" spans="2:12">
      <c r="B1797" s="73"/>
      <c r="C1797" s="73"/>
      <c r="D1797" s="73"/>
      <c r="E1797" s="73"/>
      <c r="F1797" s="73"/>
      <c r="G1797" s="73"/>
      <c r="H1797" s="73"/>
      <c r="I1797" s="73"/>
      <c r="J1797" s="73"/>
      <c r="L1797" s="73"/>
    </row>
    <row r="1798" spans="2:12">
      <c r="B1798" s="73"/>
      <c r="C1798" s="73"/>
      <c r="D1798" s="73"/>
      <c r="E1798" s="73"/>
      <c r="F1798" s="73"/>
      <c r="G1798" s="73"/>
      <c r="H1798" s="73"/>
      <c r="I1798" s="73"/>
      <c r="J1798" s="73"/>
      <c r="L1798" s="73"/>
    </row>
    <row r="1799" spans="2:12">
      <c r="B1799" s="73"/>
      <c r="C1799" s="73"/>
      <c r="D1799" s="73"/>
      <c r="E1799" s="73"/>
      <c r="F1799" s="73"/>
      <c r="G1799" s="73"/>
      <c r="H1799" s="73"/>
      <c r="I1799" s="73"/>
      <c r="J1799" s="73"/>
      <c r="L1799" s="73"/>
    </row>
    <row r="1800" spans="2:12">
      <c r="B1800" s="73"/>
      <c r="C1800" s="73"/>
      <c r="D1800" s="73"/>
      <c r="E1800" s="73"/>
      <c r="F1800" s="73"/>
      <c r="G1800" s="73"/>
      <c r="H1800" s="73"/>
      <c r="I1800" s="73"/>
      <c r="J1800" s="73"/>
      <c r="L1800" s="73"/>
    </row>
    <row r="1801" spans="2:12">
      <c r="B1801" s="73"/>
      <c r="C1801" s="73"/>
      <c r="D1801" s="73"/>
      <c r="E1801" s="73"/>
      <c r="F1801" s="73"/>
      <c r="G1801" s="73"/>
      <c r="H1801" s="73"/>
      <c r="I1801" s="73"/>
      <c r="J1801" s="73"/>
      <c r="L1801" s="73"/>
    </row>
    <row r="1802" spans="2:12">
      <c r="B1802" s="73"/>
      <c r="C1802" s="73"/>
      <c r="D1802" s="73"/>
      <c r="E1802" s="73"/>
      <c r="F1802" s="73"/>
      <c r="G1802" s="73"/>
      <c r="H1802" s="73"/>
      <c r="I1802" s="73"/>
      <c r="J1802" s="73"/>
      <c r="L1802" s="73"/>
    </row>
    <row r="1803" spans="2:12">
      <c r="B1803" s="73"/>
      <c r="C1803" s="73"/>
      <c r="D1803" s="73"/>
      <c r="E1803" s="73"/>
      <c r="F1803" s="73"/>
      <c r="G1803" s="73"/>
      <c r="H1803" s="73"/>
      <c r="I1803" s="73"/>
      <c r="J1803" s="73"/>
      <c r="L1803" s="73"/>
    </row>
    <row r="1804" spans="2:12">
      <c r="B1804" s="73"/>
      <c r="C1804" s="73"/>
      <c r="D1804" s="73"/>
      <c r="E1804" s="73"/>
      <c r="F1804" s="73"/>
      <c r="G1804" s="73"/>
      <c r="H1804" s="73"/>
      <c r="I1804" s="73"/>
      <c r="J1804" s="73"/>
      <c r="L1804" s="73"/>
    </row>
    <row r="1805" spans="2:12">
      <c r="B1805" s="73"/>
      <c r="C1805" s="73"/>
      <c r="D1805" s="73"/>
      <c r="E1805" s="73"/>
      <c r="F1805" s="73"/>
      <c r="G1805" s="73"/>
      <c r="H1805" s="73"/>
      <c r="I1805" s="73"/>
      <c r="J1805" s="73"/>
      <c r="L1805" s="73"/>
    </row>
    <row r="1806" spans="2:12">
      <c r="B1806" s="73"/>
      <c r="C1806" s="73"/>
      <c r="D1806" s="73"/>
      <c r="E1806" s="73"/>
      <c r="F1806" s="73"/>
      <c r="G1806" s="73"/>
      <c r="H1806" s="73"/>
      <c r="I1806" s="73"/>
      <c r="J1806" s="73"/>
      <c r="L1806" s="73"/>
    </row>
    <row r="1807" spans="2:12">
      <c r="B1807" s="73"/>
      <c r="C1807" s="73"/>
      <c r="D1807" s="73"/>
      <c r="E1807" s="73"/>
      <c r="F1807" s="73"/>
      <c r="G1807" s="73"/>
      <c r="H1807" s="73"/>
      <c r="I1807" s="73"/>
      <c r="J1807" s="73"/>
      <c r="L1807" s="73"/>
    </row>
    <row r="1808" spans="2:12">
      <c r="B1808" s="73"/>
      <c r="C1808" s="73"/>
      <c r="D1808" s="73"/>
      <c r="E1808" s="73"/>
      <c r="F1808" s="73"/>
      <c r="G1808" s="73"/>
      <c r="H1808" s="73"/>
      <c r="I1808" s="73"/>
      <c r="J1808" s="73"/>
      <c r="L1808" s="73"/>
    </row>
    <row r="1809" spans="2:12">
      <c r="B1809" s="73"/>
      <c r="C1809" s="73"/>
      <c r="D1809" s="73"/>
      <c r="E1809" s="73"/>
      <c r="F1809" s="73"/>
      <c r="G1809" s="73"/>
      <c r="H1809" s="73"/>
      <c r="I1809" s="73"/>
      <c r="J1809" s="73"/>
      <c r="L1809" s="73"/>
    </row>
    <row r="1810" spans="2:12">
      <c r="B1810" s="73"/>
      <c r="C1810" s="73"/>
      <c r="D1810" s="73"/>
      <c r="E1810" s="73"/>
      <c r="F1810" s="73"/>
      <c r="G1810" s="73"/>
      <c r="H1810" s="73"/>
      <c r="I1810" s="73"/>
      <c r="J1810" s="73"/>
      <c r="L1810" s="73"/>
    </row>
    <row r="1811" spans="2:12">
      <c r="B1811" s="73"/>
      <c r="C1811" s="73"/>
      <c r="D1811" s="73"/>
      <c r="E1811" s="73"/>
      <c r="F1811" s="73"/>
      <c r="G1811" s="73"/>
      <c r="H1811" s="73"/>
      <c r="I1811" s="73"/>
      <c r="J1811" s="73"/>
      <c r="L1811" s="73"/>
    </row>
    <row r="1812" spans="2:12">
      <c r="B1812" s="73"/>
      <c r="C1812" s="73"/>
      <c r="D1812" s="73"/>
      <c r="E1812" s="73"/>
      <c r="F1812" s="73"/>
      <c r="G1812" s="73"/>
      <c r="H1812" s="73"/>
      <c r="I1812" s="73"/>
      <c r="J1812" s="73"/>
      <c r="L1812" s="73"/>
    </row>
    <row r="1813" spans="2:12">
      <c r="B1813" s="73"/>
      <c r="C1813" s="73"/>
      <c r="D1813" s="73"/>
      <c r="E1813" s="73"/>
      <c r="F1813" s="73"/>
      <c r="G1813" s="73"/>
      <c r="H1813" s="73"/>
      <c r="I1813" s="73"/>
      <c r="J1813" s="73"/>
      <c r="L1813" s="73"/>
    </row>
    <row r="1814" spans="2:12">
      <c r="B1814" s="73"/>
      <c r="C1814" s="73"/>
      <c r="D1814" s="73"/>
      <c r="E1814" s="73"/>
      <c r="F1814" s="73"/>
      <c r="G1814" s="73"/>
      <c r="H1814" s="73"/>
      <c r="I1814" s="73"/>
      <c r="J1814" s="73"/>
      <c r="L1814" s="73"/>
    </row>
    <row r="1815" spans="2:12">
      <c r="B1815" s="73"/>
      <c r="C1815" s="73"/>
      <c r="D1815" s="73"/>
      <c r="E1815" s="73"/>
      <c r="F1815" s="73"/>
      <c r="G1815" s="73"/>
      <c r="H1815" s="73"/>
      <c r="I1815" s="73"/>
      <c r="J1815" s="73"/>
      <c r="L1815" s="73"/>
    </row>
    <row r="1816" spans="2:12">
      <c r="B1816" s="73"/>
      <c r="C1816" s="73"/>
      <c r="D1816" s="73"/>
      <c r="E1816" s="73"/>
      <c r="F1816" s="73"/>
      <c r="G1816" s="73"/>
      <c r="H1816" s="73"/>
      <c r="I1816" s="73"/>
      <c r="J1816" s="73"/>
      <c r="L1816" s="73"/>
    </row>
    <row r="1817" spans="2:12">
      <c r="B1817" s="73"/>
      <c r="C1817" s="73"/>
      <c r="D1817" s="73"/>
      <c r="E1817" s="73"/>
      <c r="F1817" s="73"/>
      <c r="G1817" s="73"/>
      <c r="H1817" s="73"/>
      <c r="I1817" s="73"/>
      <c r="J1817" s="73"/>
      <c r="L1817" s="73"/>
    </row>
    <row r="1818" spans="2:12">
      <c r="B1818" s="73"/>
      <c r="C1818" s="73"/>
      <c r="D1818" s="73"/>
      <c r="E1818" s="73"/>
      <c r="F1818" s="73"/>
      <c r="G1818" s="73"/>
      <c r="H1818" s="73"/>
      <c r="I1818" s="73"/>
      <c r="J1818" s="73"/>
      <c r="L1818" s="73"/>
    </row>
    <row r="1819" spans="2:12">
      <c r="B1819" s="73"/>
      <c r="C1819" s="73"/>
      <c r="D1819" s="73"/>
      <c r="E1819" s="73"/>
      <c r="F1819" s="73"/>
      <c r="G1819" s="73"/>
      <c r="H1819" s="73"/>
      <c r="I1819" s="73"/>
      <c r="J1819" s="73"/>
      <c r="L1819" s="73"/>
    </row>
    <row r="1820" spans="2:12">
      <c r="B1820" s="73"/>
      <c r="C1820" s="73"/>
      <c r="D1820" s="73"/>
      <c r="E1820" s="73"/>
      <c r="F1820" s="73"/>
      <c r="G1820" s="73"/>
      <c r="H1820" s="73"/>
      <c r="I1820" s="73"/>
      <c r="J1820" s="73"/>
      <c r="L1820" s="73"/>
    </row>
    <row r="1821" spans="2:12">
      <c r="B1821" s="73"/>
      <c r="C1821" s="73"/>
      <c r="D1821" s="73"/>
      <c r="E1821" s="73"/>
      <c r="F1821" s="73"/>
      <c r="G1821" s="73"/>
      <c r="H1821" s="73"/>
      <c r="I1821" s="73"/>
      <c r="J1821" s="73"/>
      <c r="L1821" s="73"/>
    </row>
    <row r="1822" spans="2:12">
      <c r="B1822" s="73"/>
      <c r="C1822" s="73"/>
      <c r="D1822" s="73"/>
      <c r="E1822" s="73"/>
      <c r="F1822" s="73"/>
      <c r="G1822" s="73"/>
      <c r="H1822" s="73"/>
      <c r="I1822" s="73"/>
      <c r="J1822" s="73"/>
      <c r="L1822" s="73"/>
    </row>
    <row r="1823" spans="2:12">
      <c r="B1823" s="73"/>
      <c r="C1823" s="73"/>
      <c r="D1823" s="73"/>
      <c r="E1823" s="73"/>
      <c r="F1823" s="73"/>
      <c r="G1823" s="73"/>
      <c r="H1823" s="73"/>
      <c r="I1823" s="73"/>
      <c r="J1823" s="73"/>
      <c r="L1823" s="73"/>
    </row>
    <row r="1824" spans="2:12">
      <c r="B1824" s="73"/>
      <c r="C1824" s="73"/>
      <c r="D1824" s="73"/>
      <c r="E1824" s="73"/>
      <c r="F1824" s="73"/>
      <c r="G1824" s="73"/>
      <c r="H1824" s="73"/>
      <c r="I1824" s="73"/>
      <c r="J1824" s="73"/>
      <c r="L1824" s="73"/>
    </row>
    <row r="1825" spans="2:12">
      <c r="B1825" s="73"/>
      <c r="C1825" s="73"/>
      <c r="D1825" s="73"/>
      <c r="E1825" s="73"/>
      <c r="F1825" s="73"/>
      <c r="G1825" s="73"/>
      <c r="H1825" s="73"/>
      <c r="I1825" s="73"/>
      <c r="J1825" s="73"/>
      <c r="L1825" s="73"/>
    </row>
    <row r="1826" spans="2:12">
      <c r="B1826" s="73"/>
      <c r="C1826" s="73"/>
      <c r="D1826" s="73"/>
      <c r="E1826" s="73"/>
      <c r="F1826" s="73"/>
      <c r="G1826" s="73"/>
      <c r="H1826" s="73"/>
      <c r="I1826" s="73"/>
      <c r="J1826" s="73"/>
      <c r="L1826" s="73"/>
    </row>
    <row r="1827" spans="2:12">
      <c r="B1827" s="73"/>
      <c r="C1827" s="73"/>
      <c r="D1827" s="73"/>
      <c r="E1827" s="73"/>
      <c r="F1827" s="73"/>
      <c r="G1827" s="73"/>
      <c r="H1827" s="73"/>
      <c r="I1827" s="73"/>
      <c r="J1827" s="73"/>
      <c r="L1827" s="73"/>
    </row>
    <row r="1828" spans="2:12">
      <c r="B1828" s="73"/>
      <c r="C1828" s="73"/>
      <c r="D1828" s="73"/>
      <c r="E1828" s="73"/>
      <c r="F1828" s="73"/>
      <c r="G1828" s="73"/>
      <c r="H1828" s="73"/>
      <c r="I1828" s="73"/>
      <c r="J1828" s="73"/>
      <c r="L1828" s="73"/>
    </row>
    <row r="1829" spans="2:12">
      <c r="B1829" s="73"/>
      <c r="C1829" s="73"/>
      <c r="D1829" s="73"/>
      <c r="E1829" s="73"/>
      <c r="F1829" s="73"/>
      <c r="G1829" s="73"/>
      <c r="H1829" s="73"/>
      <c r="I1829" s="73"/>
      <c r="J1829" s="73"/>
      <c r="L1829" s="73"/>
    </row>
    <row r="1830" spans="2:12">
      <c r="B1830" s="73"/>
      <c r="C1830" s="73"/>
      <c r="D1830" s="73"/>
      <c r="E1830" s="73"/>
      <c r="F1830" s="73"/>
      <c r="G1830" s="73"/>
      <c r="H1830" s="73"/>
      <c r="I1830" s="73"/>
      <c r="J1830" s="73"/>
      <c r="L1830" s="73"/>
    </row>
    <row r="1831" spans="2:12">
      <c r="B1831" s="73"/>
      <c r="C1831" s="73"/>
      <c r="D1831" s="73"/>
      <c r="E1831" s="73"/>
      <c r="F1831" s="73"/>
      <c r="G1831" s="73"/>
      <c r="H1831" s="73"/>
      <c r="I1831" s="73"/>
      <c r="J1831" s="73"/>
      <c r="L1831" s="73"/>
    </row>
    <row r="1832" spans="2:12">
      <c r="B1832" s="73"/>
      <c r="C1832" s="73"/>
      <c r="D1832" s="73"/>
      <c r="E1832" s="73"/>
      <c r="F1832" s="73"/>
      <c r="G1832" s="73"/>
      <c r="H1832" s="73"/>
      <c r="I1832" s="73"/>
      <c r="J1832" s="73"/>
      <c r="L1832" s="73"/>
    </row>
    <row r="1833" spans="2:12">
      <c r="B1833" s="73"/>
      <c r="C1833" s="73"/>
      <c r="D1833" s="73"/>
      <c r="E1833" s="73"/>
      <c r="F1833" s="73"/>
      <c r="G1833" s="73"/>
      <c r="H1833" s="73"/>
      <c r="I1833" s="73"/>
      <c r="J1833" s="73"/>
      <c r="L1833" s="73"/>
    </row>
    <row r="1834" spans="2:12">
      <c r="B1834" s="73"/>
      <c r="C1834" s="73"/>
      <c r="D1834" s="73"/>
      <c r="E1834" s="73"/>
      <c r="F1834" s="73"/>
      <c r="G1834" s="73"/>
      <c r="H1834" s="73"/>
      <c r="I1834" s="73"/>
      <c r="J1834" s="73"/>
      <c r="L1834" s="73"/>
    </row>
    <row r="1835" spans="2:12">
      <c r="B1835" s="73"/>
      <c r="C1835" s="73"/>
      <c r="D1835" s="73"/>
      <c r="E1835" s="73"/>
      <c r="F1835" s="73"/>
      <c r="G1835" s="73"/>
      <c r="H1835" s="73"/>
      <c r="I1835" s="73"/>
      <c r="J1835" s="73"/>
      <c r="L1835" s="73"/>
    </row>
    <row r="1836" spans="2:12">
      <c r="B1836" s="73"/>
      <c r="C1836" s="73"/>
      <c r="D1836" s="73"/>
      <c r="E1836" s="73"/>
      <c r="F1836" s="73"/>
      <c r="G1836" s="73"/>
      <c r="H1836" s="73"/>
      <c r="I1836" s="73"/>
      <c r="J1836" s="73"/>
      <c r="L1836" s="73"/>
    </row>
    <row r="1837" spans="2:12">
      <c r="B1837" s="73"/>
      <c r="C1837" s="73"/>
      <c r="D1837" s="73"/>
      <c r="E1837" s="73"/>
      <c r="F1837" s="73"/>
      <c r="G1837" s="73"/>
      <c r="H1837" s="73"/>
      <c r="I1837" s="73"/>
      <c r="J1837" s="73"/>
      <c r="L1837" s="73"/>
    </row>
    <row r="1838" spans="2:12">
      <c r="B1838" s="73"/>
      <c r="C1838" s="73"/>
      <c r="D1838" s="73"/>
      <c r="E1838" s="73"/>
      <c r="F1838" s="73"/>
      <c r="G1838" s="73"/>
      <c r="H1838" s="73"/>
      <c r="I1838" s="73"/>
      <c r="J1838" s="73"/>
      <c r="L1838" s="73"/>
    </row>
    <row r="1839" spans="2:12">
      <c r="B1839" s="73"/>
      <c r="C1839" s="73"/>
      <c r="D1839" s="73"/>
      <c r="E1839" s="73"/>
      <c r="F1839" s="73"/>
      <c r="G1839" s="73"/>
      <c r="H1839" s="73"/>
      <c r="I1839" s="73"/>
      <c r="J1839" s="73"/>
      <c r="L1839" s="73"/>
    </row>
    <row r="1840" spans="2:12">
      <c r="B1840" s="73"/>
      <c r="C1840" s="73"/>
      <c r="D1840" s="73"/>
      <c r="E1840" s="73"/>
      <c r="F1840" s="73"/>
      <c r="G1840" s="73"/>
      <c r="H1840" s="73"/>
      <c r="I1840" s="73"/>
      <c r="J1840" s="73"/>
      <c r="L1840" s="73"/>
    </row>
    <row r="1841" spans="2:12">
      <c r="B1841" s="73"/>
      <c r="C1841" s="73"/>
      <c r="D1841" s="73"/>
      <c r="E1841" s="73"/>
      <c r="F1841" s="73"/>
      <c r="G1841" s="73"/>
      <c r="H1841" s="73"/>
      <c r="I1841" s="73"/>
      <c r="J1841" s="73"/>
      <c r="L1841" s="73"/>
    </row>
    <row r="1842" spans="2:12">
      <c r="B1842" s="73"/>
      <c r="C1842" s="73"/>
      <c r="D1842" s="73"/>
      <c r="E1842" s="73"/>
      <c r="F1842" s="73"/>
      <c r="G1842" s="73"/>
      <c r="H1842" s="73"/>
      <c r="I1842" s="73"/>
      <c r="J1842" s="73"/>
      <c r="L1842" s="73"/>
    </row>
    <row r="1843" spans="2:12">
      <c r="B1843" s="73"/>
      <c r="C1843" s="73"/>
      <c r="D1843" s="73"/>
      <c r="E1843" s="73"/>
      <c r="F1843" s="73"/>
      <c r="G1843" s="73"/>
      <c r="H1843" s="73"/>
      <c r="I1843" s="73"/>
      <c r="J1843" s="73"/>
      <c r="L1843" s="73"/>
    </row>
    <row r="1844" spans="2:12">
      <c r="B1844" s="73"/>
      <c r="C1844" s="73"/>
      <c r="D1844" s="73"/>
      <c r="E1844" s="73"/>
      <c r="F1844" s="73"/>
      <c r="G1844" s="73"/>
      <c r="H1844" s="73"/>
      <c r="I1844" s="73"/>
      <c r="J1844" s="73"/>
      <c r="L1844" s="73"/>
    </row>
    <row r="1845" spans="2:12">
      <c r="B1845" s="73"/>
      <c r="C1845" s="73"/>
      <c r="D1845" s="73"/>
      <c r="E1845" s="73"/>
      <c r="F1845" s="73"/>
      <c r="G1845" s="73"/>
      <c r="H1845" s="73"/>
      <c r="I1845" s="73"/>
      <c r="J1845" s="73"/>
      <c r="L1845" s="73"/>
    </row>
    <row r="1846" spans="2:12">
      <c r="B1846" s="73"/>
      <c r="C1846" s="73"/>
      <c r="D1846" s="73"/>
      <c r="E1846" s="73"/>
      <c r="F1846" s="73"/>
      <c r="G1846" s="73"/>
      <c r="H1846" s="73"/>
      <c r="I1846" s="73"/>
      <c r="J1846" s="73"/>
      <c r="L1846" s="73"/>
    </row>
    <row r="1847" spans="2:12">
      <c r="B1847" s="73"/>
      <c r="C1847" s="73"/>
      <c r="D1847" s="73"/>
      <c r="E1847" s="73"/>
      <c r="F1847" s="73"/>
      <c r="G1847" s="73"/>
      <c r="H1847" s="73"/>
      <c r="I1847" s="73"/>
      <c r="J1847" s="73"/>
      <c r="L1847" s="73"/>
    </row>
    <row r="1848" spans="2:12">
      <c r="B1848" s="73"/>
      <c r="C1848" s="73"/>
      <c r="D1848" s="73"/>
      <c r="E1848" s="73"/>
      <c r="F1848" s="73"/>
      <c r="G1848" s="73"/>
      <c r="H1848" s="73"/>
      <c r="I1848" s="73"/>
      <c r="J1848" s="73"/>
      <c r="L1848" s="73"/>
    </row>
    <row r="1849" spans="2:12">
      <c r="B1849" s="73"/>
      <c r="C1849" s="73"/>
      <c r="D1849" s="73"/>
      <c r="E1849" s="73"/>
      <c r="F1849" s="73"/>
      <c r="G1849" s="73"/>
      <c r="H1849" s="73"/>
      <c r="I1849" s="73"/>
      <c r="J1849" s="73"/>
      <c r="L1849" s="73"/>
    </row>
    <row r="1850" spans="2:12">
      <c r="B1850" s="73"/>
      <c r="C1850" s="73"/>
      <c r="D1850" s="73"/>
      <c r="E1850" s="73"/>
      <c r="F1850" s="73"/>
      <c r="G1850" s="73"/>
      <c r="H1850" s="73"/>
      <c r="I1850" s="73"/>
      <c r="J1850" s="73"/>
      <c r="L1850" s="73"/>
    </row>
    <row r="1851" spans="2:12">
      <c r="B1851" s="73"/>
      <c r="C1851" s="73"/>
      <c r="D1851" s="73"/>
      <c r="E1851" s="73"/>
      <c r="F1851" s="73"/>
      <c r="G1851" s="73"/>
      <c r="H1851" s="73"/>
      <c r="I1851" s="73"/>
      <c r="J1851" s="73"/>
      <c r="L1851" s="73"/>
    </row>
    <row r="1852" spans="2:12">
      <c r="B1852" s="73"/>
      <c r="C1852" s="73"/>
      <c r="D1852" s="73"/>
      <c r="E1852" s="73"/>
      <c r="F1852" s="73"/>
      <c r="G1852" s="73"/>
      <c r="H1852" s="73"/>
      <c r="I1852" s="73"/>
      <c r="J1852" s="73"/>
      <c r="L1852" s="73"/>
    </row>
    <row r="1853" spans="2:12">
      <c r="B1853" s="73"/>
      <c r="C1853" s="73"/>
      <c r="D1853" s="73"/>
      <c r="E1853" s="73"/>
      <c r="F1853" s="73"/>
      <c r="G1853" s="73"/>
      <c r="H1853" s="73"/>
      <c r="I1853" s="73"/>
      <c r="J1853" s="73"/>
      <c r="L1853" s="73"/>
    </row>
    <row r="1854" spans="2:12">
      <c r="B1854" s="73"/>
      <c r="C1854" s="73"/>
      <c r="D1854" s="73"/>
      <c r="E1854" s="73"/>
      <c r="F1854" s="73"/>
      <c r="G1854" s="73"/>
      <c r="H1854" s="73"/>
      <c r="I1854" s="73"/>
      <c r="J1854" s="73"/>
      <c r="L1854" s="73"/>
    </row>
    <row r="1855" spans="2:12">
      <c r="B1855" s="73"/>
      <c r="C1855" s="73"/>
      <c r="D1855" s="73"/>
      <c r="E1855" s="73"/>
      <c r="F1855" s="73"/>
      <c r="G1855" s="73"/>
      <c r="H1855" s="73"/>
      <c r="I1855" s="73"/>
      <c r="J1855" s="73"/>
      <c r="L1855" s="73"/>
    </row>
    <row r="1856" spans="2:12">
      <c r="B1856" s="73"/>
      <c r="C1856" s="73"/>
      <c r="D1856" s="73"/>
      <c r="E1856" s="73"/>
      <c r="F1856" s="73"/>
      <c r="G1856" s="73"/>
      <c r="H1856" s="73"/>
      <c r="I1856" s="73"/>
      <c r="J1856" s="73"/>
      <c r="L1856" s="73"/>
    </row>
    <row r="1857" spans="2:12">
      <c r="B1857" s="73"/>
      <c r="C1857" s="73"/>
      <c r="D1857" s="73"/>
      <c r="E1857" s="73"/>
      <c r="F1857" s="73"/>
      <c r="G1857" s="73"/>
      <c r="H1857" s="73"/>
      <c r="I1857" s="73"/>
      <c r="J1857" s="73"/>
      <c r="L1857" s="73"/>
    </row>
    <row r="1858" spans="2:12">
      <c r="B1858" s="73"/>
      <c r="C1858" s="73"/>
      <c r="D1858" s="73"/>
      <c r="E1858" s="73"/>
      <c r="F1858" s="73"/>
      <c r="G1858" s="73"/>
      <c r="H1858" s="73"/>
      <c r="I1858" s="73"/>
      <c r="J1858" s="73"/>
      <c r="L1858" s="73"/>
    </row>
    <row r="1859" spans="2:12">
      <c r="B1859" s="73"/>
      <c r="C1859" s="73"/>
      <c r="D1859" s="73"/>
      <c r="E1859" s="73"/>
      <c r="F1859" s="73"/>
      <c r="G1859" s="73"/>
      <c r="H1859" s="73"/>
      <c r="I1859" s="73"/>
      <c r="J1859" s="73"/>
      <c r="L1859" s="73"/>
    </row>
    <row r="1860" spans="2:12">
      <c r="B1860" s="73"/>
      <c r="C1860" s="73"/>
      <c r="D1860" s="73"/>
      <c r="E1860" s="73"/>
      <c r="F1860" s="73"/>
      <c r="G1860" s="73"/>
      <c r="H1860" s="73"/>
      <c r="I1860" s="73"/>
      <c r="J1860" s="73"/>
      <c r="L1860" s="73"/>
    </row>
    <row r="1861" spans="2:12">
      <c r="B1861" s="73"/>
      <c r="C1861" s="73"/>
      <c r="D1861" s="73"/>
      <c r="E1861" s="73"/>
      <c r="F1861" s="73"/>
      <c r="G1861" s="73"/>
      <c r="H1861" s="73"/>
      <c r="I1861" s="73"/>
      <c r="J1861" s="73"/>
      <c r="L1861" s="73"/>
    </row>
    <row r="1862" spans="2:12">
      <c r="B1862" s="73"/>
      <c r="C1862" s="73"/>
      <c r="D1862" s="73"/>
      <c r="E1862" s="73"/>
      <c r="F1862" s="73"/>
      <c r="G1862" s="73"/>
      <c r="H1862" s="73"/>
      <c r="I1862" s="73"/>
      <c r="J1862" s="73"/>
      <c r="L1862" s="73"/>
    </row>
    <row r="1863" spans="2:12">
      <c r="B1863" s="73"/>
      <c r="C1863" s="73"/>
      <c r="D1863" s="73"/>
      <c r="E1863" s="73"/>
      <c r="F1863" s="73"/>
      <c r="G1863" s="73"/>
      <c r="H1863" s="73"/>
      <c r="I1863" s="73"/>
      <c r="J1863" s="73"/>
      <c r="L1863" s="73"/>
    </row>
    <row r="1864" spans="2:12">
      <c r="B1864" s="73"/>
      <c r="C1864" s="73"/>
      <c r="D1864" s="73"/>
      <c r="E1864" s="73"/>
      <c r="F1864" s="73"/>
      <c r="G1864" s="73"/>
      <c r="H1864" s="73"/>
      <c r="I1864" s="73"/>
      <c r="J1864" s="73"/>
      <c r="L1864" s="73"/>
    </row>
    <row r="1865" spans="2:12">
      <c r="B1865" s="73"/>
      <c r="C1865" s="73"/>
      <c r="D1865" s="73"/>
      <c r="E1865" s="73"/>
      <c r="F1865" s="73"/>
      <c r="G1865" s="73"/>
      <c r="H1865" s="73"/>
      <c r="I1865" s="73"/>
      <c r="J1865" s="73"/>
      <c r="L1865" s="73"/>
    </row>
    <row r="1866" spans="2:12">
      <c r="B1866" s="73"/>
      <c r="C1866" s="73"/>
      <c r="D1866" s="73"/>
      <c r="E1866" s="73"/>
      <c r="F1866" s="73"/>
      <c r="G1866" s="73"/>
      <c r="H1866" s="73"/>
      <c r="I1866" s="73"/>
      <c r="J1866" s="73"/>
      <c r="L1866" s="73"/>
    </row>
    <row r="1867" spans="2:12">
      <c r="B1867" s="73"/>
      <c r="C1867" s="73"/>
      <c r="D1867" s="73"/>
      <c r="E1867" s="73"/>
      <c r="F1867" s="73"/>
      <c r="G1867" s="73"/>
      <c r="H1867" s="73"/>
      <c r="I1867" s="73"/>
      <c r="J1867" s="73"/>
      <c r="L1867" s="73"/>
    </row>
    <row r="1868" spans="2:12">
      <c r="B1868" s="73"/>
      <c r="C1868" s="73"/>
      <c r="D1868" s="73"/>
      <c r="E1868" s="73"/>
      <c r="F1868" s="73"/>
      <c r="G1868" s="73"/>
      <c r="H1868" s="73"/>
      <c r="I1868" s="73"/>
      <c r="J1868" s="73"/>
      <c r="L1868" s="73"/>
    </row>
    <row r="1869" spans="2:12">
      <c r="B1869" s="73"/>
      <c r="C1869" s="73"/>
      <c r="D1869" s="73"/>
      <c r="E1869" s="73"/>
      <c r="F1869" s="73"/>
      <c r="G1869" s="73"/>
      <c r="H1869" s="73"/>
      <c r="I1869" s="73"/>
      <c r="J1869" s="73"/>
      <c r="L1869" s="73"/>
    </row>
    <row r="1870" spans="2:12">
      <c r="B1870" s="73"/>
      <c r="C1870" s="73"/>
      <c r="D1870" s="73"/>
      <c r="E1870" s="73"/>
      <c r="F1870" s="73"/>
      <c r="G1870" s="73"/>
      <c r="H1870" s="73"/>
      <c r="I1870" s="73"/>
      <c r="J1870" s="73"/>
      <c r="L1870" s="73"/>
    </row>
    <row r="1871" spans="2:12">
      <c r="B1871" s="73"/>
      <c r="C1871" s="73"/>
      <c r="D1871" s="73"/>
      <c r="E1871" s="73"/>
      <c r="F1871" s="73"/>
      <c r="G1871" s="73"/>
      <c r="H1871" s="73"/>
      <c r="I1871" s="73"/>
      <c r="J1871" s="73"/>
      <c r="L1871" s="73"/>
    </row>
    <row r="1872" spans="2:12">
      <c r="B1872" s="73"/>
      <c r="C1872" s="73"/>
      <c r="D1872" s="73"/>
      <c r="E1872" s="73"/>
      <c r="F1872" s="73"/>
      <c r="G1872" s="73"/>
      <c r="H1872" s="73"/>
      <c r="I1872" s="73"/>
      <c r="J1872" s="73"/>
      <c r="L1872" s="73"/>
    </row>
    <row r="1873" spans="2:12">
      <c r="B1873" s="73"/>
      <c r="C1873" s="73"/>
      <c r="D1873" s="73"/>
      <c r="E1873" s="73"/>
      <c r="F1873" s="73"/>
      <c r="G1873" s="73"/>
      <c r="H1873" s="73"/>
      <c r="I1873" s="73"/>
      <c r="J1873" s="73"/>
      <c r="L1873" s="73"/>
    </row>
    <row r="1874" spans="2:12">
      <c r="B1874" s="73"/>
      <c r="C1874" s="73"/>
      <c r="D1874" s="73"/>
      <c r="E1874" s="73"/>
      <c r="F1874" s="73"/>
      <c r="G1874" s="73"/>
      <c r="H1874" s="73"/>
      <c r="I1874" s="73"/>
      <c r="J1874" s="73"/>
      <c r="L1874" s="73"/>
    </row>
    <row r="1875" spans="2:12">
      <c r="B1875" s="73"/>
      <c r="C1875" s="73"/>
      <c r="D1875" s="73"/>
      <c r="E1875" s="73"/>
      <c r="F1875" s="73"/>
      <c r="G1875" s="73"/>
      <c r="H1875" s="73"/>
      <c r="I1875" s="73"/>
      <c r="J1875" s="73"/>
      <c r="L1875" s="73"/>
    </row>
    <row r="1876" spans="2:12">
      <c r="B1876" s="73"/>
      <c r="C1876" s="73"/>
      <c r="D1876" s="73"/>
      <c r="E1876" s="73"/>
      <c r="F1876" s="73"/>
      <c r="G1876" s="73"/>
      <c r="H1876" s="73"/>
      <c r="I1876" s="73"/>
      <c r="J1876" s="73"/>
      <c r="L1876" s="73"/>
    </row>
    <row r="1877" spans="2:12">
      <c r="B1877" s="73"/>
      <c r="C1877" s="73"/>
      <c r="D1877" s="73"/>
      <c r="E1877" s="73"/>
      <c r="F1877" s="73"/>
      <c r="G1877" s="73"/>
      <c r="H1877" s="73"/>
      <c r="I1877" s="73"/>
      <c r="J1877" s="73"/>
      <c r="L1877" s="73"/>
    </row>
    <row r="1878" spans="2:12">
      <c r="B1878" s="73"/>
      <c r="C1878" s="73"/>
      <c r="D1878" s="73"/>
      <c r="E1878" s="73"/>
      <c r="F1878" s="73"/>
      <c r="G1878" s="73"/>
      <c r="H1878" s="73"/>
      <c r="I1878" s="73"/>
      <c r="J1878" s="73"/>
      <c r="L1878" s="73"/>
    </row>
    <row r="1879" spans="2:12">
      <c r="B1879" s="73"/>
      <c r="C1879" s="73"/>
      <c r="D1879" s="73"/>
      <c r="E1879" s="73"/>
      <c r="F1879" s="73"/>
      <c r="G1879" s="73"/>
      <c r="H1879" s="73"/>
      <c r="I1879" s="73"/>
      <c r="J1879" s="73"/>
      <c r="L1879" s="73"/>
    </row>
    <row r="1880" spans="2:12">
      <c r="B1880" s="73"/>
      <c r="C1880" s="73"/>
      <c r="D1880" s="73"/>
      <c r="E1880" s="73"/>
      <c r="F1880" s="73"/>
      <c r="G1880" s="73"/>
      <c r="H1880" s="73"/>
      <c r="I1880" s="73"/>
      <c r="J1880" s="73"/>
      <c r="L1880" s="73"/>
    </row>
    <row r="1881" spans="2:12">
      <c r="B1881" s="73"/>
      <c r="C1881" s="73"/>
      <c r="D1881" s="73"/>
      <c r="E1881" s="73"/>
      <c r="F1881" s="73"/>
      <c r="G1881" s="73"/>
      <c r="H1881" s="73"/>
      <c r="I1881" s="73"/>
      <c r="J1881" s="73"/>
      <c r="L1881" s="73"/>
    </row>
    <row r="1882" spans="2:12">
      <c r="B1882" s="73"/>
      <c r="C1882" s="73"/>
      <c r="D1882" s="73"/>
      <c r="E1882" s="73"/>
      <c r="F1882" s="73"/>
      <c r="G1882" s="73"/>
      <c r="H1882" s="73"/>
      <c r="I1882" s="73"/>
      <c r="J1882" s="73"/>
      <c r="L1882" s="73"/>
    </row>
    <row r="1883" spans="2:12">
      <c r="B1883" s="73"/>
      <c r="C1883" s="73"/>
      <c r="D1883" s="73"/>
      <c r="E1883" s="73"/>
      <c r="F1883" s="73"/>
      <c r="G1883" s="73"/>
      <c r="H1883" s="73"/>
      <c r="I1883" s="73"/>
      <c r="J1883" s="73"/>
      <c r="L1883" s="73"/>
    </row>
    <row r="1884" spans="2:12">
      <c r="B1884" s="73"/>
      <c r="C1884" s="73"/>
      <c r="D1884" s="73"/>
      <c r="E1884" s="73"/>
      <c r="F1884" s="73"/>
      <c r="G1884" s="73"/>
      <c r="H1884" s="73"/>
      <c r="I1884" s="73"/>
      <c r="J1884" s="73"/>
      <c r="L1884" s="73"/>
    </row>
    <row r="1885" spans="2:12">
      <c r="B1885" s="73"/>
      <c r="C1885" s="73"/>
      <c r="D1885" s="73"/>
      <c r="E1885" s="73"/>
      <c r="F1885" s="73"/>
      <c r="G1885" s="73"/>
      <c r="H1885" s="73"/>
      <c r="I1885" s="73"/>
      <c r="J1885" s="73"/>
      <c r="L1885" s="73"/>
    </row>
    <row r="1886" spans="2:12">
      <c r="B1886" s="73"/>
      <c r="C1886" s="73"/>
      <c r="D1886" s="73"/>
      <c r="E1886" s="73"/>
      <c r="F1886" s="73"/>
      <c r="G1886" s="73"/>
      <c r="H1886" s="73"/>
      <c r="I1886" s="73"/>
      <c r="J1886" s="73"/>
      <c r="L1886" s="73"/>
    </row>
    <row r="1887" spans="2:12">
      <c r="B1887" s="73"/>
      <c r="C1887" s="73"/>
      <c r="D1887" s="73"/>
      <c r="E1887" s="73"/>
      <c r="F1887" s="73"/>
      <c r="G1887" s="73"/>
      <c r="H1887" s="73"/>
      <c r="I1887" s="73"/>
      <c r="J1887" s="73"/>
      <c r="L1887" s="73"/>
    </row>
    <row r="1888" spans="2:12">
      <c r="B1888" s="73"/>
      <c r="C1888" s="73"/>
      <c r="D1888" s="73"/>
      <c r="E1888" s="73"/>
      <c r="F1888" s="73"/>
      <c r="G1888" s="73"/>
      <c r="H1888" s="73"/>
      <c r="I1888" s="73"/>
      <c r="J1888" s="73"/>
      <c r="L1888" s="73"/>
    </row>
    <row r="1889" spans="2:12">
      <c r="B1889" s="73"/>
      <c r="C1889" s="73"/>
      <c r="D1889" s="73"/>
      <c r="E1889" s="73"/>
      <c r="F1889" s="73"/>
      <c r="G1889" s="73"/>
      <c r="H1889" s="73"/>
      <c r="I1889" s="73"/>
      <c r="J1889" s="73"/>
      <c r="L1889" s="73"/>
    </row>
    <row r="1890" spans="2:12">
      <c r="B1890" s="73"/>
      <c r="C1890" s="73"/>
      <c r="D1890" s="73"/>
      <c r="E1890" s="73"/>
      <c r="F1890" s="73"/>
      <c r="G1890" s="73"/>
      <c r="H1890" s="73"/>
      <c r="I1890" s="73"/>
      <c r="J1890" s="73"/>
      <c r="L1890" s="73"/>
    </row>
    <row r="1891" spans="2:12">
      <c r="B1891" s="73"/>
      <c r="C1891" s="73"/>
      <c r="D1891" s="73"/>
      <c r="E1891" s="73"/>
      <c r="F1891" s="73"/>
      <c r="G1891" s="73"/>
      <c r="H1891" s="73"/>
      <c r="I1891" s="73"/>
      <c r="J1891" s="73"/>
      <c r="L1891" s="73"/>
    </row>
    <row r="1892" spans="2:12">
      <c r="B1892" s="73"/>
      <c r="C1892" s="73"/>
      <c r="D1892" s="73"/>
      <c r="E1892" s="73"/>
      <c r="F1892" s="73"/>
      <c r="G1892" s="73"/>
      <c r="H1892" s="73"/>
      <c r="I1892" s="73"/>
      <c r="J1892" s="73"/>
      <c r="L1892" s="73"/>
    </row>
    <row r="1893" spans="2:12">
      <c r="B1893" s="73"/>
      <c r="C1893" s="73"/>
      <c r="D1893" s="73"/>
      <c r="E1893" s="73"/>
      <c r="F1893" s="73"/>
      <c r="G1893" s="73"/>
      <c r="H1893" s="73"/>
      <c r="I1893" s="73"/>
      <c r="J1893" s="73"/>
      <c r="L1893" s="73"/>
    </row>
    <row r="1894" spans="2:12">
      <c r="B1894" s="73"/>
      <c r="C1894" s="73"/>
      <c r="D1894" s="73"/>
      <c r="E1894" s="73"/>
      <c r="F1894" s="73"/>
      <c r="G1894" s="73"/>
      <c r="H1894" s="73"/>
      <c r="I1894" s="73"/>
      <c r="J1894" s="73"/>
      <c r="L1894" s="73"/>
    </row>
    <row r="1895" spans="2:12">
      <c r="B1895" s="73"/>
      <c r="C1895" s="73"/>
      <c r="D1895" s="73"/>
      <c r="E1895" s="73"/>
      <c r="F1895" s="73"/>
      <c r="G1895" s="73"/>
      <c r="H1895" s="73"/>
      <c r="I1895" s="73"/>
      <c r="J1895" s="73"/>
      <c r="L1895" s="73"/>
    </row>
    <row r="1896" spans="2:12">
      <c r="B1896" s="73"/>
      <c r="C1896" s="73"/>
      <c r="D1896" s="73"/>
      <c r="E1896" s="73"/>
      <c r="F1896" s="73"/>
      <c r="G1896" s="73"/>
      <c r="H1896" s="73"/>
      <c r="I1896" s="73"/>
      <c r="J1896" s="73"/>
      <c r="L1896" s="73"/>
    </row>
    <row r="1897" spans="2:12">
      <c r="B1897" s="73"/>
      <c r="C1897" s="73"/>
      <c r="D1897" s="73"/>
      <c r="E1897" s="73"/>
      <c r="F1897" s="73"/>
      <c r="G1897" s="73"/>
      <c r="H1897" s="73"/>
      <c r="I1897" s="73"/>
      <c r="J1897" s="73"/>
      <c r="L1897" s="73"/>
    </row>
    <row r="1898" spans="2:12">
      <c r="B1898" s="73"/>
      <c r="C1898" s="73"/>
      <c r="D1898" s="73"/>
      <c r="E1898" s="73"/>
      <c r="F1898" s="73"/>
      <c r="G1898" s="73"/>
      <c r="H1898" s="73"/>
      <c r="I1898" s="73"/>
      <c r="J1898" s="73"/>
      <c r="L1898" s="73"/>
    </row>
    <row r="1899" spans="2:12">
      <c r="B1899" s="73"/>
      <c r="C1899" s="73"/>
      <c r="D1899" s="73"/>
      <c r="E1899" s="73"/>
      <c r="F1899" s="73"/>
      <c r="G1899" s="73"/>
      <c r="H1899" s="73"/>
      <c r="I1899" s="73"/>
      <c r="J1899" s="73"/>
      <c r="L1899" s="73"/>
    </row>
    <row r="1900" spans="2:12">
      <c r="B1900" s="73"/>
      <c r="C1900" s="73"/>
      <c r="D1900" s="73"/>
      <c r="E1900" s="73"/>
      <c r="F1900" s="73"/>
      <c r="G1900" s="73"/>
      <c r="H1900" s="73"/>
      <c r="I1900" s="73"/>
      <c r="J1900" s="73"/>
      <c r="L1900" s="73"/>
    </row>
    <row r="1901" spans="2:12">
      <c r="B1901" s="73"/>
      <c r="C1901" s="73"/>
      <c r="D1901" s="73"/>
      <c r="E1901" s="73"/>
      <c r="F1901" s="73"/>
      <c r="G1901" s="73"/>
      <c r="H1901" s="73"/>
      <c r="I1901" s="73"/>
      <c r="J1901" s="73"/>
      <c r="L1901" s="73"/>
    </row>
    <row r="1902" spans="2:12">
      <c r="B1902" s="73"/>
      <c r="C1902" s="73"/>
      <c r="D1902" s="73"/>
      <c r="E1902" s="73"/>
      <c r="F1902" s="73"/>
      <c r="G1902" s="73"/>
      <c r="H1902" s="73"/>
      <c r="I1902" s="73"/>
      <c r="J1902" s="73"/>
      <c r="L1902" s="73"/>
    </row>
    <row r="1903" spans="2:12">
      <c r="B1903" s="73"/>
      <c r="C1903" s="73"/>
      <c r="D1903" s="73"/>
      <c r="E1903" s="73"/>
      <c r="F1903" s="73"/>
      <c r="G1903" s="73"/>
      <c r="H1903" s="73"/>
      <c r="I1903" s="73"/>
      <c r="J1903" s="73"/>
      <c r="L1903" s="73"/>
    </row>
    <row r="1904" spans="2:12">
      <c r="B1904" s="73"/>
      <c r="C1904" s="73"/>
      <c r="D1904" s="73"/>
      <c r="E1904" s="73"/>
      <c r="F1904" s="73"/>
      <c r="G1904" s="73"/>
      <c r="H1904" s="73"/>
      <c r="I1904" s="73"/>
      <c r="J1904" s="73"/>
      <c r="L1904" s="73"/>
    </row>
    <row r="1905" spans="2:12">
      <c r="B1905" s="73"/>
      <c r="C1905" s="73"/>
      <c r="D1905" s="73"/>
      <c r="E1905" s="73"/>
      <c r="F1905" s="73"/>
      <c r="G1905" s="73"/>
      <c r="H1905" s="73"/>
      <c r="I1905" s="73"/>
      <c r="J1905" s="73"/>
      <c r="L1905" s="73"/>
    </row>
    <row r="1906" spans="2:12">
      <c r="B1906" s="73"/>
      <c r="C1906" s="73"/>
      <c r="D1906" s="73"/>
      <c r="E1906" s="73"/>
      <c r="F1906" s="73"/>
      <c r="G1906" s="73"/>
      <c r="H1906" s="73"/>
      <c r="I1906" s="73"/>
      <c r="J1906" s="73"/>
      <c r="L1906" s="73"/>
    </row>
    <row r="1907" spans="2:12">
      <c r="B1907" s="73"/>
      <c r="C1907" s="73"/>
      <c r="D1907" s="73"/>
      <c r="E1907" s="73"/>
      <c r="F1907" s="73"/>
      <c r="G1907" s="73"/>
      <c r="H1907" s="73"/>
      <c r="I1907" s="73"/>
      <c r="J1907" s="73"/>
      <c r="L1907" s="73"/>
    </row>
    <row r="1908" spans="2:12">
      <c r="B1908" s="73"/>
      <c r="C1908" s="73"/>
      <c r="D1908" s="73"/>
      <c r="E1908" s="73"/>
      <c r="F1908" s="73"/>
      <c r="G1908" s="73"/>
      <c r="H1908" s="73"/>
      <c r="I1908" s="73"/>
      <c r="J1908" s="73"/>
      <c r="L1908" s="73"/>
    </row>
    <row r="1909" spans="2:12">
      <c r="B1909" s="73"/>
      <c r="C1909" s="73"/>
      <c r="D1909" s="73"/>
      <c r="E1909" s="73"/>
      <c r="F1909" s="73"/>
      <c r="G1909" s="73"/>
      <c r="H1909" s="73"/>
      <c r="I1909" s="73"/>
      <c r="J1909" s="73"/>
      <c r="L1909" s="73"/>
    </row>
    <row r="1910" spans="2:12">
      <c r="B1910" s="73"/>
      <c r="C1910" s="73"/>
      <c r="D1910" s="73"/>
      <c r="E1910" s="73"/>
      <c r="F1910" s="73"/>
      <c r="G1910" s="73"/>
      <c r="H1910" s="73"/>
      <c r="I1910" s="73"/>
      <c r="J1910" s="73"/>
      <c r="L1910" s="73"/>
    </row>
    <row r="1911" spans="2:12">
      <c r="B1911" s="73"/>
      <c r="C1911" s="73"/>
      <c r="D1911" s="73"/>
      <c r="E1911" s="73"/>
      <c r="F1911" s="73"/>
      <c r="G1911" s="73"/>
      <c r="H1911" s="73"/>
      <c r="I1911" s="73"/>
      <c r="J1911" s="73"/>
      <c r="L1911" s="73"/>
    </row>
    <row r="1912" spans="2:12">
      <c r="B1912" s="73"/>
      <c r="C1912" s="73"/>
      <c r="D1912" s="73"/>
      <c r="E1912" s="73"/>
      <c r="F1912" s="73"/>
      <c r="G1912" s="73"/>
      <c r="H1912" s="73"/>
      <c r="I1912" s="73"/>
      <c r="J1912" s="73"/>
      <c r="L1912" s="73"/>
    </row>
    <row r="1913" spans="2:12">
      <c r="B1913" s="73"/>
      <c r="C1913" s="73"/>
      <c r="D1913" s="73"/>
      <c r="E1913" s="73"/>
      <c r="F1913" s="73"/>
      <c r="G1913" s="73"/>
      <c r="H1913" s="73"/>
      <c r="I1913" s="73"/>
      <c r="J1913" s="73"/>
      <c r="L1913" s="73"/>
    </row>
    <row r="1914" spans="2:12">
      <c r="B1914" s="73"/>
      <c r="C1914" s="73"/>
      <c r="D1914" s="73"/>
      <c r="E1914" s="73"/>
      <c r="F1914" s="73"/>
      <c r="G1914" s="73"/>
      <c r="H1914" s="73"/>
      <c r="I1914" s="73"/>
      <c r="J1914" s="73"/>
      <c r="L1914" s="73"/>
    </row>
    <row r="1915" spans="2:12">
      <c r="B1915" s="73"/>
      <c r="C1915" s="73"/>
      <c r="D1915" s="73"/>
      <c r="E1915" s="73"/>
      <c r="F1915" s="73"/>
      <c r="G1915" s="73"/>
      <c r="H1915" s="73"/>
      <c r="I1915" s="73"/>
      <c r="J1915" s="73"/>
      <c r="L1915" s="73"/>
    </row>
    <row r="1916" spans="2:12">
      <c r="B1916" s="73"/>
      <c r="C1916" s="73"/>
      <c r="D1916" s="73"/>
      <c r="E1916" s="73"/>
      <c r="F1916" s="73"/>
      <c r="G1916" s="73"/>
      <c r="H1916" s="73"/>
      <c r="I1916" s="73"/>
      <c r="J1916" s="73"/>
      <c r="L1916" s="73"/>
    </row>
    <row r="1917" spans="2:12">
      <c r="B1917" s="73"/>
      <c r="C1917" s="73"/>
      <c r="D1917" s="73"/>
      <c r="E1917" s="73"/>
      <c r="F1917" s="73"/>
      <c r="G1917" s="73"/>
      <c r="H1917" s="73"/>
      <c r="I1917" s="73"/>
      <c r="J1917" s="73"/>
      <c r="L1917" s="73"/>
    </row>
    <row r="1918" spans="2:12">
      <c r="B1918" s="73"/>
      <c r="C1918" s="73"/>
      <c r="D1918" s="73"/>
      <c r="E1918" s="73"/>
      <c r="F1918" s="73"/>
      <c r="G1918" s="73"/>
      <c r="H1918" s="73"/>
      <c r="I1918" s="73"/>
      <c r="J1918" s="73"/>
      <c r="L1918" s="73"/>
    </row>
    <row r="1919" spans="2:12">
      <c r="B1919" s="73"/>
      <c r="C1919" s="73"/>
      <c r="D1919" s="73"/>
      <c r="E1919" s="73"/>
      <c r="F1919" s="73"/>
      <c r="G1919" s="73"/>
      <c r="H1919" s="73"/>
      <c r="I1919" s="73"/>
      <c r="J1919" s="73"/>
      <c r="L1919" s="73"/>
    </row>
    <row r="1920" spans="2:12">
      <c r="B1920" s="73"/>
      <c r="C1920" s="73"/>
      <c r="D1920" s="73"/>
      <c r="E1920" s="73"/>
      <c r="F1920" s="73"/>
      <c r="G1920" s="73"/>
      <c r="H1920" s="73"/>
      <c r="I1920" s="73"/>
      <c r="J1920" s="73"/>
      <c r="L1920" s="73"/>
    </row>
    <row r="1921" spans="2:12">
      <c r="B1921" s="73"/>
      <c r="C1921" s="73"/>
      <c r="D1921" s="73"/>
      <c r="E1921" s="73"/>
      <c r="F1921" s="73"/>
      <c r="G1921" s="73"/>
      <c r="H1921" s="73"/>
      <c r="I1921" s="73"/>
      <c r="J1921" s="73"/>
      <c r="L1921" s="73"/>
    </row>
    <row r="1922" spans="2:12">
      <c r="B1922" s="73"/>
      <c r="C1922" s="73"/>
      <c r="D1922" s="73"/>
      <c r="E1922" s="73"/>
      <c r="F1922" s="73"/>
      <c r="G1922" s="73"/>
      <c r="H1922" s="73"/>
      <c r="I1922" s="73"/>
      <c r="J1922" s="73"/>
      <c r="L1922" s="73"/>
    </row>
    <row r="1923" spans="2:12">
      <c r="B1923" s="73"/>
      <c r="C1923" s="73"/>
      <c r="D1923" s="73"/>
      <c r="E1923" s="73"/>
      <c r="F1923" s="73"/>
      <c r="G1923" s="73"/>
      <c r="H1923" s="73"/>
      <c r="I1923" s="73"/>
      <c r="J1923" s="73"/>
      <c r="L1923" s="73"/>
    </row>
    <row r="1924" spans="2:12">
      <c r="B1924" s="73"/>
      <c r="C1924" s="73"/>
      <c r="D1924" s="73"/>
      <c r="E1924" s="73"/>
      <c r="F1924" s="73"/>
      <c r="G1924" s="73"/>
      <c r="H1924" s="73"/>
      <c r="I1924" s="73"/>
      <c r="J1924" s="73"/>
      <c r="L1924" s="73"/>
    </row>
    <row r="1925" spans="2:12">
      <c r="B1925" s="73"/>
      <c r="C1925" s="73"/>
      <c r="D1925" s="73"/>
      <c r="E1925" s="73"/>
      <c r="F1925" s="73"/>
      <c r="G1925" s="73"/>
      <c r="H1925" s="73"/>
      <c r="I1925" s="73"/>
      <c r="J1925" s="73"/>
      <c r="L1925" s="73"/>
    </row>
    <row r="1926" spans="2:12">
      <c r="B1926" s="73"/>
      <c r="C1926" s="73"/>
      <c r="D1926" s="73"/>
      <c r="E1926" s="73"/>
      <c r="F1926" s="73"/>
      <c r="G1926" s="73"/>
      <c r="H1926" s="73"/>
      <c r="I1926" s="73"/>
      <c r="J1926" s="73"/>
      <c r="L1926" s="73"/>
    </row>
    <row r="1927" spans="2:12">
      <c r="B1927" s="73"/>
      <c r="C1927" s="73"/>
      <c r="D1927" s="73"/>
      <c r="E1927" s="73"/>
      <c r="F1927" s="73"/>
      <c r="G1927" s="73"/>
      <c r="H1927" s="73"/>
      <c r="I1927" s="73"/>
      <c r="J1927" s="73"/>
      <c r="L1927" s="73"/>
    </row>
    <row r="1928" spans="2:12">
      <c r="B1928" s="73"/>
      <c r="C1928" s="73"/>
      <c r="D1928" s="73"/>
      <c r="E1928" s="73"/>
      <c r="F1928" s="73"/>
      <c r="G1928" s="73"/>
      <c r="H1928" s="73"/>
      <c r="I1928" s="73"/>
      <c r="J1928" s="73"/>
      <c r="L1928" s="73"/>
    </row>
    <row r="1929" spans="2:12">
      <c r="B1929" s="73"/>
      <c r="C1929" s="73"/>
      <c r="D1929" s="73"/>
      <c r="E1929" s="73"/>
      <c r="F1929" s="73"/>
      <c r="G1929" s="73"/>
      <c r="H1929" s="73"/>
      <c r="I1929" s="73"/>
      <c r="J1929" s="73"/>
      <c r="L1929" s="73"/>
    </row>
    <row r="1930" spans="2:12">
      <c r="B1930" s="73"/>
      <c r="C1930" s="73"/>
      <c r="D1930" s="73"/>
      <c r="E1930" s="73"/>
      <c r="F1930" s="73"/>
      <c r="G1930" s="73"/>
      <c r="H1930" s="73"/>
      <c r="I1930" s="73"/>
      <c r="J1930" s="73"/>
      <c r="L1930" s="73"/>
    </row>
    <row r="1931" spans="2:12">
      <c r="B1931" s="73"/>
      <c r="C1931" s="73"/>
      <c r="D1931" s="73"/>
      <c r="E1931" s="73"/>
      <c r="F1931" s="73"/>
      <c r="G1931" s="73"/>
      <c r="H1931" s="73"/>
      <c r="I1931" s="73"/>
      <c r="J1931" s="73"/>
      <c r="L1931" s="73"/>
    </row>
    <row r="1932" spans="2:12">
      <c r="B1932" s="73"/>
      <c r="C1932" s="73"/>
      <c r="D1932" s="73"/>
      <c r="E1932" s="73"/>
      <c r="F1932" s="73"/>
      <c r="G1932" s="73"/>
      <c r="H1932" s="73"/>
      <c r="I1932" s="73"/>
      <c r="J1932" s="73"/>
      <c r="L1932" s="73"/>
    </row>
    <row r="1933" spans="2:12">
      <c r="B1933" s="73"/>
      <c r="C1933" s="73"/>
      <c r="D1933" s="73"/>
      <c r="E1933" s="73"/>
      <c r="F1933" s="73"/>
      <c r="G1933" s="73"/>
      <c r="H1933" s="73"/>
      <c r="I1933" s="73"/>
      <c r="J1933" s="73"/>
      <c r="L1933" s="73"/>
    </row>
    <row r="1934" spans="2:12">
      <c r="B1934" s="73"/>
      <c r="C1934" s="73"/>
      <c r="D1934" s="73"/>
      <c r="E1934" s="73"/>
      <c r="F1934" s="73"/>
      <c r="G1934" s="73"/>
      <c r="H1934" s="73"/>
      <c r="I1934" s="73"/>
      <c r="J1934" s="73"/>
      <c r="L1934" s="73"/>
    </row>
    <row r="1935" spans="2:12">
      <c r="B1935" s="73"/>
      <c r="C1935" s="73"/>
      <c r="D1935" s="73"/>
      <c r="E1935" s="73"/>
      <c r="F1935" s="73"/>
      <c r="G1935" s="73"/>
      <c r="H1935" s="73"/>
      <c r="I1935" s="73"/>
      <c r="J1935" s="73"/>
      <c r="L1935" s="73"/>
    </row>
    <row r="1936" spans="2:12">
      <c r="B1936" s="73"/>
      <c r="C1936" s="73"/>
      <c r="D1936" s="73"/>
      <c r="E1936" s="73"/>
      <c r="F1936" s="73"/>
      <c r="G1936" s="73"/>
      <c r="H1936" s="73"/>
      <c r="I1936" s="73"/>
      <c r="J1936" s="73"/>
      <c r="L1936" s="73"/>
    </row>
    <row r="1937" spans="2:12">
      <c r="B1937" s="73"/>
      <c r="C1937" s="73"/>
      <c r="D1937" s="73"/>
      <c r="E1937" s="73"/>
      <c r="F1937" s="73"/>
      <c r="G1937" s="73"/>
      <c r="H1937" s="73"/>
      <c r="I1937" s="73"/>
      <c r="J1937" s="73"/>
      <c r="L1937" s="73"/>
    </row>
    <row r="1938" spans="2:12">
      <c r="B1938" s="73"/>
      <c r="C1938" s="73"/>
      <c r="D1938" s="73"/>
      <c r="E1938" s="73"/>
      <c r="F1938" s="73"/>
      <c r="G1938" s="73"/>
      <c r="H1938" s="73"/>
      <c r="I1938" s="73"/>
      <c r="J1938" s="73"/>
      <c r="L1938" s="73"/>
    </row>
    <row r="1939" spans="2:12">
      <c r="B1939" s="73"/>
      <c r="C1939" s="73"/>
      <c r="D1939" s="73"/>
      <c r="E1939" s="73"/>
      <c r="F1939" s="73"/>
      <c r="G1939" s="73"/>
      <c r="H1939" s="73"/>
      <c r="I1939" s="73"/>
      <c r="J1939" s="73"/>
      <c r="L1939" s="73"/>
    </row>
    <row r="1940" spans="2:12">
      <c r="B1940" s="73"/>
      <c r="C1940" s="73"/>
      <c r="D1940" s="73"/>
      <c r="E1940" s="73"/>
      <c r="F1940" s="73"/>
      <c r="G1940" s="73"/>
      <c r="H1940" s="73"/>
      <c r="I1940" s="73"/>
      <c r="J1940" s="73"/>
      <c r="L1940" s="73"/>
    </row>
    <row r="1941" spans="2:12">
      <c r="B1941" s="73"/>
      <c r="C1941" s="73"/>
      <c r="D1941" s="73"/>
      <c r="E1941" s="73"/>
      <c r="F1941" s="73"/>
      <c r="G1941" s="73"/>
      <c r="H1941" s="73"/>
      <c r="I1941" s="73"/>
      <c r="J1941" s="73"/>
      <c r="L1941" s="73"/>
    </row>
    <row r="1942" spans="2:12">
      <c r="B1942" s="73"/>
      <c r="C1942" s="73"/>
      <c r="D1942" s="73"/>
      <c r="E1942" s="73"/>
      <c r="F1942" s="73"/>
      <c r="G1942" s="73"/>
      <c r="H1942" s="73"/>
      <c r="I1942" s="73"/>
      <c r="J1942" s="73"/>
      <c r="L1942" s="73"/>
    </row>
    <row r="1943" spans="2:12">
      <c r="B1943" s="73"/>
      <c r="C1943" s="73"/>
      <c r="D1943" s="73"/>
      <c r="E1943" s="73"/>
      <c r="F1943" s="73"/>
      <c r="G1943" s="73"/>
      <c r="H1943" s="73"/>
      <c r="I1943" s="73"/>
      <c r="J1943" s="73"/>
      <c r="L1943" s="73"/>
    </row>
    <row r="1944" spans="2:12">
      <c r="B1944" s="73"/>
      <c r="C1944" s="73"/>
      <c r="D1944" s="73"/>
      <c r="E1944" s="73"/>
      <c r="F1944" s="73"/>
      <c r="G1944" s="73"/>
      <c r="H1944" s="73"/>
      <c r="I1944" s="73"/>
      <c r="J1944" s="73"/>
      <c r="L1944" s="73"/>
    </row>
    <row r="1945" spans="2:12">
      <c r="B1945" s="73"/>
      <c r="C1945" s="73"/>
      <c r="D1945" s="73"/>
      <c r="E1945" s="73"/>
      <c r="F1945" s="73"/>
      <c r="G1945" s="73"/>
      <c r="H1945" s="73"/>
      <c r="I1945" s="73"/>
      <c r="J1945" s="73"/>
      <c r="L1945" s="73"/>
    </row>
    <row r="1946" spans="2:12">
      <c r="B1946" s="73"/>
      <c r="C1946" s="73"/>
      <c r="D1946" s="73"/>
      <c r="E1946" s="73"/>
      <c r="F1946" s="73"/>
      <c r="G1946" s="73"/>
      <c r="H1946" s="73"/>
      <c r="I1946" s="73"/>
      <c r="J1946" s="73"/>
      <c r="L1946" s="73"/>
    </row>
    <row r="1947" spans="2:12">
      <c r="B1947" s="73"/>
      <c r="C1947" s="73"/>
      <c r="D1947" s="73"/>
      <c r="E1947" s="73"/>
      <c r="F1947" s="73"/>
      <c r="G1947" s="73"/>
      <c r="H1947" s="73"/>
      <c r="I1947" s="73"/>
      <c r="J1947" s="73"/>
      <c r="L1947" s="73"/>
    </row>
    <row r="1948" spans="2:12">
      <c r="B1948" s="73"/>
      <c r="C1948" s="73"/>
      <c r="D1948" s="73"/>
      <c r="E1948" s="73"/>
      <c r="F1948" s="73"/>
      <c r="G1948" s="73"/>
      <c r="H1948" s="73"/>
      <c r="I1948" s="73"/>
      <c r="J1948" s="73"/>
      <c r="L1948" s="73"/>
    </row>
    <row r="1949" spans="2:12">
      <c r="B1949" s="73"/>
      <c r="C1949" s="73"/>
      <c r="D1949" s="73"/>
      <c r="E1949" s="73"/>
      <c r="F1949" s="73"/>
      <c r="G1949" s="73"/>
      <c r="H1949" s="73"/>
      <c r="I1949" s="73"/>
      <c r="J1949" s="73"/>
      <c r="L1949" s="73"/>
    </row>
    <row r="1950" spans="2:12">
      <c r="B1950" s="73"/>
      <c r="C1950" s="73"/>
      <c r="D1950" s="73"/>
      <c r="E1950" s="73"/>
      <c r="F1950" s="73"/>
      <c r="G1950" s="73"/>
      <c r="H1950" s="73"/>
      <c r="I1950" s="73"/>
      <c r="J1950" s="73"/>
      <c r="L1950" s="73"/>
    </row>
    <row r="1951" spans="2:12">
      <c r="B1951" s="73"/>
      <c r="C1951" s="73"/>
      <c r="D1951" s="73"/>
      <c r="E1951" s="73"/>
      <c r="F1951" s="73"/>
      <c r="G1951" s="73"/>
      <c r="H1951" s="73"/>
      <c r="I1951" s="73"/>
      <c r="J1951" s="73"/>
      <c r="L1951" s="73"/>
    </row>
    <row r="1952" spans="2:12">
      <c r="B1952" s="73"/>
      <c r="C1952" s="73"/>
      <c r="D1952" s="73"/>
      <c r="E1952" s="73"/>
      <c r="F1952" s="73"/>
      <c r="G1952" s="73"/>
      <c r="H1952" s="73"/>
      <c r="I1952" s="73"/>
      <c r="J1952" s="73"/>
      <c r="L1952" s="73"/>
    </row>
    <row r="1953" spans="2:12">
      <c r="B1953" s="73"/>
      <c r="C1953" s="73"/>
      <c r="D1953" s="73"/>
      <c r="E1953" s="73"/>
      <c r="F1953" s="73"/>
      <c r="G1953" s="73"/>
      <c r="H1953" s="73"/>
      <c r="I1953" s="73"/>
      <c r="J1953" s="73"/>
      <c r="L1953" s="73"/>
    </row>
    <row r="1954" spans="2:12">
      <c r="B1954" s="73"/>
      <c r="C1954" s="73"/>
      <c r="D1954" s="73"/>
      <c r="E1954" s="73"/>
      <c r="F1954" s="73"/>
      <c r="G1954" s="73"/>
      <c r="H1954" s="73"/>
      <c r="I1954" s="73"/>
      <c r="J1954" s="73"/>
      <c r="L1954" s="73"/>
    </row>
    <row r="1955" spans="2:12">
      <c r="B1955" s="73"/>
      <c r="C1955" s="73"/>
      <c r="D1955" s="73"/>
      <c r="E1955" s="73"/>
      <c r="F1955" s="73"/>
      <c r="G1955" s="73"/>
      <c r="H1955" s="73"/>
      <c r="I1955" s="73"/>
      <c r="J1955" s="73"/>
      <c r="L1955" s="73"/>
    </row>
    <row r="1956" spans="2:12">
      <c r="B1956" s="73"/>
      <c r="C1956" s="73"/>
      <c r="D1956" s="73"/>
      <c r="E1956" s="73"/>
      <c r="F1956" s="73"/>
      <c r="G1956" s="73"/>
      <c r="H1956" s="73"/>
      <c r="I1956" s="73"/>
      <c r="J1956" s="73"/>
      <c r="L1956" s="73"/>
    </row>
    <row r="1957" spans="2:12">
      <c r="B1957" s="73"/>
      <c r="C1957" s="73"/>
      <c r="D1957" s="73"/>
      <c r="E1957" s="73"/>
      <c r="F1957" s="73"/>
      <c r="G1957" s="73"/>
      <c r="H1957" s="73"/>
      <c r="I1957" s="73"/>
      <c r="J1957" s="73"/>
      <c r="L1957" s="73"/>
    </row>
    <row r="1958" spans="2:12">
      <c r="B1958" s="73"/>
      <c r="C1958" s="73"/>
      <c r="D1958" s="73"/>
      <c r="E1958" s="73"/>
      <c r="F1958" s="73"/>
      <c r="G1958" s="73"/>
      <c r="H1958" s="73"/>
      <c r="I1958" s="73"/>
      <c r="J1958" s="73"/>
      <c r="L1958" s="73"/>
    </row>
    <row r="1959" spans="2:12">
      <c r="B1959" s="73"/>
      <c r="C1959" s="73"/>
      <c r="D1959" s="73"/>
      <c r="E1959" s="73"/>
      <c r="F1959" s="73"/>
      <c r="G1959" s="73"/>
      <c r="H1959" s="73"/>
      <c r="I1959" s="73"/>
      <c r="J1959" s="73"/>
      <c r="L1959" s="73"/>
    </row>
    <row r="1960" spans="2:12">
      <c r="B1960" s="73"/>
      <c r="C1960" s="73"/>
      <c r="D1960" s="73"/>
      <c r="E1960" s="73"/>
      <c r="F1960" s="73"/>
      <c r="G1960" s="73"/>
      <c r="H1960" s="73"/>
      <c r="I1960" s="73"/>
      <c r="J1960" s="73"/>
      <c r="L1960" s="73"/>
    </row>
    <row r="1961" spans="2:12">
      <c r="B1961" s="73"/>
      <c r="C1961" s="73"/>
      <c r="D1961" s="73"/>
      <c r="E1961" s="73"/>
      <c r="F1961" s="73"/>
      <c r="G1961" s="73"/>
      <c r="H1961" s="73"/>
      <c r="I1961" s="73"/>
      <c r="J1961" s="73"/>
      <c r="L1961" s="73"/>
    </row>
    <row r="1962" spans="2:12">
      <c r="B1962" s="73"/>
      <c r="C1962" s="73"/>
      <c r="D1962" s="73"/>
      <c r="E1962" s="73"/>
      <c r="F1962" s="73"/>
      <c r="G1962" s="73"/>
      <c r="H1962" s="73"/>
      <c r="I1962" s="73"/>
      <c r="J1962" s="73"/>
      <c r="L1962" s="73"/>
    </row>
    <row r="1963" spans="2:12">
      <c r="B1963" s="73"/>
      <c r="C1963" s="73"/>
      <c r="D1963" s="73"/>
      <c r="E1963" s="73"/>
      <c r="F1963" s="73"/>
      <c r="G1963" s="73"/>
      <c r="H1963" s="73"/>
      <c r="I1963" s="73"/>
      <c r="J1963" s="73"/>
      <c r="L1963" s="73"/>
    </row>
    <row r="1964" spans="2:12">
      <c r="B1964" s="73"/>
      <c r="C1964" s="73"/>
      <c r="D1964" s="73"/>
      <c r="E1964" s="73"/>
      <c r="F1964" s="73"/>
      <c r="G1964" s="73"/>
      <c r="H1964" s="73"/>
      <c r="I1964" s="73"/>
      <c r="J1964" s="73"/>
      <c r="L1964" s="73"/>
    </row>
    <row r="1965" spans="2:12">
      <c r="B1965" s="73"/>
      <c r="C1965" s="73"/>
      <c r="D1965" s="73"/>
      <c r="E1965" s="73"/>
      <c r="F1965" s="73"/>
      <c r="G1965" s="73"/>
      <c r="H1965" s="73"/>
      <c r="I1965" s="73"/>
      <c r="J1965" s="73"/>
      <c r="L1965" s="73"/>
    </row>
    <row r="1966" spans="2:12">
      <c r="B1966" s="73"/>
      <c r="C1966" s="73"/>
      <c r="D1966" s="73"/>
      <c r="E1966" s="73"/>
      <c r="F1966" s="73"/>
      <c r="G1966" s="73"/>
      <c r="H1966" s="73"/>
      <c r="I1966" s="73"/>
      <c r="J1966" s="73"/>
      <c r="L1966" s="73"/>
    </row>
    <row r="1967" spans="2:12">
      <c r="B1967" s="73"/>
      <c r="C1967" s="73"/>
      <c r="D1967" s="73"/>
      <c r="E1967" s="73"/>
      <c r="F1967" s="73"/>
      <c r="G1967" s="73"/>
      <c r="H1967" s="73"/>
      <c r="I1967" s="73"/>
      <c r="J1967" s="73"/>
      <c r="L1967" s="73"/>
    </row>
    <row r="1968" spans="2:12">
      <c r="B1968" s="73"/>
      <c r="C1968" s="73"/>
      <c r="D1968" s="73"/>
      <c r="E1968" s="73"/>
      <c r="F1968" s="73"/>
      <c r="G1968" s="73"/>
      <c r="H1968" s="73"/>
      <c r="I1968" s="73"/>
      <c r="J1968" s="73"/>
      <c r="L1968" s="73"/>
    </row>
    <row r="1969" spans="2:12">
      <c r="B1969" s="73"/>
      <c r="C1969" s="73"/>
      <c r="D1969" s="73"/>
      <c r="E1969" s="73"/>
      <c r="F1969" s="73"/>
      <c r="G1969" s="73"/>
      <c r="H1969" s="73"/>
      <c r="I1969" s="73"/>
      <c r="J1969" s="73"/>
      <c r="L1969" s="73"/>
    </row>
    <row r="1970" spans="2:12">
      <c r="B1970" s="73"/>
      <c r="C1970" s="73"/>
      <c r="D1970" s="73"/>
      <c r="E1970" s="73"/>
      <c r="F1970" s="73"/>
      <c r="G1970" s="73"/>
      <c r="H1970" s="73"/>
      <c r="I1970" s="73"/>
      <c r="J1970" s="73"/>
      <c r="L1970" s="73"/>
    </row>
    <row r="1971" spans="2:12">
      <c r="B1971" s="73"/>
      <c r="C1971" s="73"/>
      <c r="D1971" s="73"/>
      <c r="E1971" s="73"/>
      <c r="F1971" s="73"/>
      <c r="G1971" s="73"/>
      <c r="H1971" s="73"/>
      <c r="I1971" s="73"/>
      <c r="J1971" s="73"/>
      <c r="L1971" s="73"/>
    </row>
    <row r="1972" spans="2:12">
      <c r="B1972" s="73"/>
      <c r="C1972" s="73"/>
      <c r="D1972" s="73"/>
      <c r="E1972" s="73"/>
      <c r="F1972" s="73"/>
      <c r="G1972" s="73"/>
      <c r="H1972" s="73"/>
      <c r="I1972" s="73"/>
      <c r="J1972" s="73"/>
      <c r="L1972" s="73"/>
    </row>
    <row r="1973" spans="2:12">
      <c r="B1973" s="73"/>
      <c r="C1973" s="73"/>
      <c r="D1973" s="73"/>
      <c r="E1973" s="73"/>
      <c r="F1973" s="73"/>
      <c r="G1973" s="73"/>
      <c r="H1973" s="73"/>
      <c r="I1973" s="73"/>
      <c r="J1973" s="73"/>
      <c r="L1973" s="73"/>
    </row>
    <row r="1974" spans="2:12">
      <c r="B1974" s="73"/>
      <c r="C1974" s="73"/>
      <c r="D1974" s="73"/>
      <c r="E1974" s="73"/>
      <c r="F1974" s="73"/>
      <c r="G1974" s="73"/>
      <c r="H1974" s="73"/>
      <c r="I1974" s="73"/>
      <c r="J1974" s="73"/>
      <c r="L1974" s="73"/>
    </row>
    <row r="1975" spans="2:12">
      <c r="B1975" s="73"/>
      <c r="C1975" s="73"/>
      <c r="D1975" s="73"/>
      <c r="E1975" s="73"/>
      <c r="F1975" s="73"/>
      <c r="G1975" s="73"/>
      <c r="H1975" s="73"/>
      <c r="I1975" s="73"/>
      <c r="J1975" s="73"/>
      <c r="L1975" s="73"/>
    </row>
    <row r="1976" spans="2:12">
      <c r="B1976" s="73"/>
      <c r="C1976" s="73"/>
      <c r="D1976" s="73"/>
      <c r="E1976" s="73"/>
      <c r="F1976" s="73"/>
      <c r="G1976" s="73"/>
      <c r="H1976" s="73"/>
      <c r="I1976" s="73"/>
      <c r="J1976" s="73"/>
      <c r="L1976" s="73"/>
    </row>
    <row r="1977" spans="2:12">
      <c r="B1977" s="73"/>
      <c r="C1977" s="73"/>
      <c r="D1977" s="73"/>
      <c r="E1977" s="73"/>
      <c r="F1977" s="73"/>
      <c r="G1977" s="73"/>
      <c r="H1977" s="73"/>
      <c r="I1977" s="73"/>
      <c r="J1977" s="73"/>
      <c r="L1977" s="73"/>
    </row>
    <row r="1978" spans="2:12">
      <c r="B1978" s="73"/>
      <c r="C1978" s="73"/>
      <c r="D1978" s="73"/>
      <c r="E1978" s="73"/>
      <c r="F1978" s="73"/>
      <c r="G1978" s="73"/>
      <c r="H1978" s="73"/>
      <c r="I1978" s="73"/>
      <c r="J1978" s="73"/>
      <c r="L1978" s="73"/>
    </row>
    <row r="1979" spans="2:12">
      <c r="B1979" s="73"/>
      <c r="C1979" s="73"/>
      <c r="D1979" s="73"/>
      <c r="E1979" s="73"/>
      <c r="F1979" s="73"/>
      <c r="G1979" s="73"/>
      <c r="H1979" s="73"/>
      <c r="I1979" s="73"/>
      <c r="J1979" s="73"/>
      <c r="L1979" s="73"/>
    </row>
    <row r="1980" spans="2:12">
      <c r="B1980" s="73"/>
      <c r="C1980" s="73"/>
      <c r="D1980" s="73"/>
      <c r="E1980" s="73"/>
      <c r="F1980" s="73"/>
      <c r="G1980" s="73"/>
      <c r="H1980" s="73"/>
      <c r="I1980" s="73"/>
      <c r="J1980" s="73"/>
      <c r="L1980" s="73"/>
    </row>
    <row r="1981" spans="2:12">
      <c r="B1981" s="73"/>
      <c r="C1981" s="73"/>
      <c r="D1981" s="73"/>
      <c r="E1981" s="73"/>
      <c r="F1981" s="73"/>
      <c r="G1981" s="73"/>
      <c r="H1981" s="73"/>
      <c r="I1981" s="73"/>
      <c r="J1981" s="73"/>
      <c r="L1981" s="73"/>
    </row>
    <row r="1982" spans="2:12">
      <c r="B1982" s="73"/>
      <c r="C1982" s="73"/>
      <c r="D1982" s="73"/>
      <c r="E1982" s="73"/>
      <c r="F1982" s="73"/>
      <c r="G1982" s="73"/>
      <c r="H1982" s="73"/>
      <c r="I1982" s="73"/>
      <c r="J1982" s="73"/>
      <c r="L1982" s="73"/>
    </row>
    <row r="1983" spans="2:12">
      <c r="B1983" s="73"/>
      <c r="C1983" s="73"/>
      <c r="D1983" s="73"/>
      <c r="E1983" s="73"/>
      <c r="F1983" s="73"/>
      <c r="G1983" s="73"/>
      <c r="H1983" s="73"/>
      <c r="I1983" s="73"/>
      <c r="J1983" s="73"/>
      <c r="L1983" s="73"/>
    </row>
    <row r="1984" spans="2:12">
      <c r="B1984" s="73"/>
      <c r="C1984" s="73"/>
      <c r="D1984" s="73"/>
      <c r="E1984" s="73"/>
      <c r="F1984" s="73"/>
      <c r="G1984" s="73"/>
      <c r="H1984" s="73"/>
      <c r="I1984" s="73"/>
      <c r="J1984" s="73"/>
      <c r="L1984" s="73"/>
    </row>
    <row r="1985" spans="2:12">
      <c r="B1985" s="73"/>
      <c r="C1985" s="73"/>
      <c r="D1985" s="73"/>
      <c r="E1985" s="73"/>
      <c r="F1985" s="73"/>
      <c r="G1985" s="73"/>
      <c r="H1985" s="73"/>
      <c r="I1985" s="73"/>
      <c r="J1985" s="73"/>
      <c r="L1985" s="73"/>
    </row>
    <row r="1986" spans="2:12">
      <c r="B1986" s="73"/>
      <c r="C1986" s="73"/>
      <c r="D1986" s="73"/>
      <c r="E1986" s="73"/>
      <c r="F1986" s="73"/>
      <c r="G1986" s="73"/>
      <c r="H1986" s="73"/>
      <c r="I1986" s="73"/>
      <c r="J1986" s="73"/>
      <c r="L1986" s="73"/>
    </row>
    <row r="1987" spans="2:12">
      <c r="B1987" s="73"/>
      <c r="C1987" s="73"/>
      <c r="D1987" s="73"/>
      <c r="E1987" s="73"/>
      <c r="F1987" s="73"/>
      <c r="G1987" s="73"/>
      <c r="H1987" s="73"/>
      <c r="I1987" s="73"/>
      <c r="J1987" s="73"/>
      <c r="L1987" s="73"/>
    </row>
    <row r="1988" spans="2:12">
      <c r="B1988" s="73"/>
      <c r="C1988" s="73"/>
      <c r="D1988" s="73"/>
      <c r="E1988" s="73"/>
      <c r="F1988" s="73"/>
      <c r="G1988" s="73"/>
      <c r="H1988" s="73"/>
      <c r="I1988" s="73"/>
      <c r="J1988" s="73"/>
      <c r="L1988" s="73"/>
    </row>
    <row r="1989" spans="2:12">
      <c r="B1989" s="73"/>
      <c r="C1989" s="73"/>
      <c r="D1989" s="73"/>
      <c r="E1989" s="73"/>
      <c r="F1989" s="73"/>
      <c r="G1989" s="73"/>
      <c r="H1989" s="73"/>
      <c r="I1989" s="73"/>
      <c r="J1989" s="73"/>
      <c r="L1989" s="73"/>
    </row>
    <row r="1990" spans="2:12">
      <c r="B1990" s="73"/>
      <c r="C1990" s="73"/>
      <c r="D1990" s="73"/>
      <c r="E1990" s="73"/>
      <c r="F1990" s="73"/>
      <c r="G1990" s="73"/>
      <c r="H1990" s="73"/>
      <c r="I1990" s="73"/>
      <c r="J1990" s="73"/>
      <c r="L1990" s="73"/>
    </row>
    <row r="1991" spans="2:12">
      <c r="B1991" s="73"/>
      <c r="C1991" s="73"/>
      <c r="D1991" s="73"/>
      <c r="E1991" s="73"/>
      <c r="F1991" s="73"/>
      <c r="G1991" s="73"/>
      <c r="H1991" s="73"/>
      <c r="I1991" s="73"/>
      <c r="J1991" s="73"/>
      <c r="L1991" s="73"/>
    </row>
    <row r="1992" spans="2:12">
      <c r="B1992" s="73"/>
      <c r="C1992" s="73"/>
      <c r="D1992" s="73"/>
      <c r="E1992" s="73"/>
      <c r="F1992" s="73"/>
      <c r="G1992" s="73"/>
      <c r="H1992" s="73"/>
      <c r="I1992" s="73"/>
      <c r="J1992" s="73"/>
      <c r="L1992" s="73"/>
    </row>
    <row r="1993" spans="2:12">
      <c r="B1993" s="73"/>
      <c r="C1993" s="73"/>
      <c r="D1993" s="73"/>
      <c r="E1993" s="73"/>
      <c r="F1993" s="73"/>
      <c r="G1993" s="73"/>
      <c r="H1993" s="73"/>
      <c r="I1993" s="73"/>
      <c r="J1993" s="73"/>
      <c r="L1993" s="73"/>
    </row>
    <row r="1994" spans="2:12">
      <c r="B1994" s="73"/>
      <c r="C1994" s="73"/>
      <c r="D1994" s="73"/>
      <c r="E1994" s="73"/>
      <c r="F1994" s="73"/>
      <c r="G1994" s="73"/>
      <c r="H1994" s="73"/>
      <c r="I1994" s="73"/>
      <c r="J1994" s="73"/>
      <c r="L1994" s="73"/>
    </row>
    <row r="1995" spans="2:12">
      <c r="B1995" s="73"/>
      <c r="C1995" s="73"/>
      <c r="D1995" s="73"/>
      <c r="E1995" s="73"/>
      <c r="F1995" s="73"/>
      <c r="G1995" s="73"/>
      <c r="H1995" s="73"/>
      <c r="I1995" s="73"/>
      <c r="J1995" s="73"/>
      <c r="L1995" s="73"/>
    </row>
    <row r="1996" spans="2:12">
      <c r="B1996" s="73"/>
      <c r="C1996" s="73"/>
      <c r="D1996" s="73"/>
      <c r="E1996" s="73"/>
      <c r="F1996" s="73"/>
      <c r="G1996" s="73"/>
      <c r="H1996" s="73"/>
      <c r="I1996" s="73"/>
      <c r="J1996" s="73"/>
      <c r="L1996" s="73"/>
    </row>
    <row r="1997" spans="2:12">
      <c r="B1997" s="73"/>
      <c r="C1997" s="73"/>
      <c r="D1997" s="73"/>
      <c r="E1997" s="73"/>
      <c r="F1997" s="73"/>
      <c r="G1997" s="73"/>
      <c r="H1997" s="73"/>
      <c r="I1997" s="73"/>
      <c r="J1997" s="73"/>
      <c r="L1997" s="73"/>
    </row>
    <row r="1998" spans="2:12">
      <c r="B1998" s="73"/>
      <c r="C1998" s="73"/>
      <c r="D1998" s="73"/>
      <c r="E1998" s="73"/>
      <c r="F1998" s="73"/>
      <c r="G1998" s="73"/>
      <c r="H1998" s="73"/>
      <c r="I1998" s="73"/>
      <c r="J1998" s="73"/>
      <c r="L1998" s="73"/>
    </row>
    <row r="1999" spans="2:12">
      <c r="B1999" s="73"/>
      <c r="C1999" s="73"/>
      <c r="D1999" s="73"/>
      <c r="E1999" s="73"/>
      <c r="F1999" s="73"/>
      <c r="G1999" s="73"/>
      <c r="H1999" s="73"/>
      <c r="I1999" s="73"/>
      <c r="J1999" s="73"/>
      <c r="L1999" s="73"/>
    </row>
    <row r="2000" spans="2:12">
      <c r="B2000" s="73"/>
      <c r="C2000" s="73"/>
      <c r="D2000" s="73"/>
      <c r="E2000" s="73"/>
      <c r="F2000" s="73"/>
      <c r="G2000" s="73"/>
      <c r="H2000" s="73"/>
      <c r="I2000" s="73"/>
      <c r="J2000" s="73"/>
      <c r="L2000" s="73"/>
    </row>
    <row r="2001" spans="2:12">
      <c r="B2001" s="73"/>
      <c r="C2001" s="73"/>
      <c r="D2001" s="73"/>
      <c r="E2001" s="73"/>
      <c r="F2001" s="73"/>
      <c r="G2001" s="73"/>
      <c r="H2001" s="73"/>
      <c r="I2001" s="73"/>
      <c r="J2001" s="73"/>
      <c r="L2001" s="73"/>
    </row>
    <row r="2002" spans="2:12">
      <c r="B2002" s="73"/>
      <c r="C2002" s="73"/>
      <c r="D2002" s="73"/>
      <c r="E2002" s="73"/>
      <c r="F2002" s="73"/>
      <c r="G2002" s="73"/>
      <c r="H2002" s="73"/>
      <c r="I2002" s="73"/>
      <c r="J2002" s="73"/>
      <c r="L2002" s="73"/>
    </row>
    <row r="2003" spans="2:12">
      <c r="B2003" s="73"/>
      <c r="C2003" s="73"/>
      <c r="D2003" s="73"/>
      <c r="E2003" s="73"/>
      <c r="F2003" s="73"/>
      <c r="G2003" s="73"/>
      <c r="H2003" s="73"/>
      <c r="I2003" s="73"/>
      <c r="J2003" s="73"/>
      <c r="L2003" s="73"/>
    </row>
    <row r="2004" spans="2:12">
      <c r="B2004" s="73"/>
      <c r="C2004" s="73"/>
      <c r="D2004" s="73"/>
      <c r="E2004" s="73"/>
      <c r="F2004" s="73"/>
      <c r="G2004" s="73"/>
      <c r="H2004" s="73"/>
      <c r="I2004" s="73"/>
      <c r="J2004" s="73"/>
      <c r="L2004" s="73"/>
    </row>
    <row r="2005" spans="2:12">
      <c r="B2005" s="73"/>
      <c r="C2005" s="73"/>
      <c r="D2005" s="73"/>
      <c r="E2005" s="73"/>
      <c r="F2005" s="73"/>
      <c r="G2005" s="73"/>
      <c r="H2005" s="73"/>
      <c r="I2005" s="73"/>
      <c r="J2005" s="73"/>
      <c r="L2005" s="73"/>
    </row>
    <row r="2006" spans="2:12">
      <c r="B2006" s="73"/>
      <c r="C2006" s="73"/>
      <c r="D2006" s="73"/>
      <c r="E2006" s="73"/>
      <c r="F2006" s="73"/>
      <c r="G2006" s="73"/>
      <c r="H2006" s="73"/>
      <c r="I2006" s="73"/>
      <c r="J2006" s="73"/>
      <c r="L2006" s="73"/>
    </row>
    <row r="2007" spans="2:12">
      <c r="B2007" s="73"/>
      <c r="C2007" s="73"/>
      <c r="D2007" s="73"/>
      <c r="E2007" s="73"/>
      <c r="F2007" s="73"/>
      <c r="G2007" s="73"/>
      <c r="H2007" s="73"/>
      <c r="I2007" s="73"/>
      <c r="J2007" s="73"/>
      <c r="L2007" s="73"/>
    </row>
    <row r="2008" spans="2:12">
      <c r="B2008" s="73"/>
      <c r="C2008" s="73"/>
      <c r="D2008" s="73"/>
      <c r="E2008" s="73"/>
      <c r="F2008" s="73"/>
      <c r="G2008" s="73"/>
      <c r="H2008" s="73"/>
      <c r="I2008" s="73"/>
      <c r="J2008" s="73"/>
      <c r="L2008" s="73"/>
    </row>
    <row r="2009" spans="2:12">
      <c r="B2009" s="73"/>
      <c r="C2009" s="73"/>
      <c r="D2009" s="73"/>
      <c r="E2009" s="73"/>
      <c r="F2009" s="73"/>
      <c r="G2009" s="73"/>
      <c r="H2009" s="73"/>
      <c r="I2009" s="73"/>
      <c r="J2009" s="73"/>
      <c r="L2009" s="73"/>
    </row>
    <row r="2010" spans="2:12">
      <c r="B2010" s="73"/>
      <c r="C2010" s="73"/>
      <c r="D2010" s="73"/>
      <c r="E2010" s="73"/>
      <c r="F2010" s="73"/>
      <c r="G2010" s="73"/>
      <c r="H2010" s="73"/>
      <c r="I2010" s="73"/>
      <c r="J2010" s="73"/>
      <c r="L2010" s="73"/>
    </row>
    <row r="2011" spans="2:12">
      <c r="B2011" s="73"/>
      <c r="C2011" s="73"/>
      <c r="D2011" s="73"/>
      <c r="E2011" s="73"/>
      <c r="F2011" s="73"/>
      <c r="G2011" s="73"/>
      <c r="H2011" s="73"/>
      <c r="I2011" s="73"/>
      <c r="J2011" s="73"/>
      <c r="L2011" s="73"/>
    </row>
    <row r="2012" spans="2:12">
      <c r="B2012" s="73"/>
      <c r="C2012" s="73"/>
      <c r="D2012" s="73"/>
      <c r="E2012" s="73"/>
      <c r="F2012" s="73"/>
      <c r="G2012" s="73"/>
      <c r="H2012" s="73"/>
      <c r="I2012" s="73"/>
      <c r="J2012" s="73"/>
      <c r="L2012" s="73"/>
    </row>
    <row r="2013" spans="2:12">
      <c r="B2013" s="73"/>
      <c r="C2013" s="73"/>
      <c r="D2013" s="73"/>
      <c r="E2013" s="73"/>
      <c r="F2013" s="73"/>
      <c r="G2013" s="73"/>
      <c r="H2013" s="73"/>
      <c r="I2013" s="73"/>
      <c r="J2013" s="73"/>
      <c r="L2013" s="73"/>
    </row>
    <row r="2014" spans="2:12">
      <c r="B2014" s="73"/>
      <c r="C2014" s="73"/>
      <c r="D2014" s="73"/>
      <c r="E2014" s="73"/>
      <c r="F2014" s="73"/>
      <c r="G2014" s="73"/>
      <c r="H2014" s="73"/>
      <c r="I2014" s="73"/>
      <c r="J2014" s="73"/>
      <c r="L2014" s="73"/>
    </row>
    <row r="2015" spans="2:12">
      <c r="B2015" s="73"/>
      <c r="C2015" s="73"/>
      <c r="D2015" s="73"/>
      <c r="E2015" s="73"/>
      <c r="F2015" s="73"/>
      <c r="G2015" s="73"/>
      <c r="H2015" s="73"/>
      <c r="I2015" s="73"/>
      <c r="J2015" s="73"/>
      <c r="L2015" s="73"/>
    </row>
    <row r="2016" spans="2:12">
      <c r="B2016" s="73"/>
      <c r="C2016" s="73"/>
      <c r="D2016" s="73"/>
      <c r="E2016" s="73"/>
      <c r="F2016" s="73"/>
      <c r="G2016" s="73"/>
      <c r="H2016" s="73"/>
      <c r="I2016" s="73"/>
      <c r="J2016" s="73"/>
      <c r="L2016" s="73"/>
    </row>
    <row r="2017" spans="2:12">
      <c r="B2017" s="73"/>
      <c r="C2017" s="73"/>
      <c r="D2017" s="73"/>
      <c r="E2017" s="73"/>
      <c r="F2017" s="73"/>
      <c r="G2017" s="73"/>
      <c r="H2017" s="73"/>
      <c r="I2017" s="73"/>
      <c r="J2017" s="73"/>
      <c r="L2017" s="73"/>
    </row>
    <row r="2018" spans="2:12">
      <c r="B2018" s="73"/>
      <c r="C2018" s="73"/>
      <c r="D2018" s="73"/>
      <c r="E2018" s="73"/>
      <c r="F2018" s="73"/>
      <c r="G2018" s="73"/>
      <c r="H2018" s="73"/>
      <c r="I2018" s="73"/>
      <c r="J2018" s="73"/>
      <c r="L2018" s="73"/>
    </row>
    <row r="2019" spans="2:12">
      <c r="B2019" s="73"/>
      <c r="C2019" s="73"/>
      <c r="D2019" s="73"/>
      <c r="E2019" s="73"/>
      <c r="F2019" s="73"/>
      <c r="G2019" s="73"/>
      <c r="H2019" s="73"/>
      <c r="I2019" s="73"/>
      <c r="J2019" s="73"/>
      <c r="L2019" s="73"/>
    </row>
    <row r="2020" spans="2:12">
      <c r="B2020" s="73"/>
      <c r="C2020" s="73"/>
      <c r="D2020" s="73"/>
      <c r="E2020" s="73"/>
      <c r="F2020" s="73"/>
      <c r="G2020" s="73"/>
      <c r="H2020" s="73"/>
      <c r="I2020" s="73"/>
      <c r="J2020" s="73"/>
      <c r="L2020" s="73"/>
    </row>
    <row r="2021" spans="2:12">
      <c r="B2021" s="73"/>
      <c r="C2021" s="73"/>
      <c r="D2021" s="73"/>
      <c r="E2021" s="73"/>
      <c r="F2021" s="73"/>
      <c r="G2021" s="73"/>
      <c r="H2021" s="73"/>
      <c r="I2021" s="73"/>
      <c r="J2021" s="73"/>
      <c r="L2021" s="73"/>
    </row>
    <row r="2022" spans="2:12">
      <c r="B2022" s="73"/>
      <c r="C2022" s="73"/>
      <c r="D2022" s="73"/>
      <c r="E2022" s="73"/>
      <c r="F2022" s="73"/>
      <c r="G2022" s="73"/>
      <c r="H2022" s="73"/>
      <c r="I2022" s="73"/>
      <c r="J2022" s="73"/>
      <c r="L2022" s="73"/>
    </row>
    <row r="2023" spans="2:12">
      <c r="B2023" s="73"/>
      <c r="C2023" s="73"/>
      <c r="D2023" s="73"/>
      <c r="E2023" s="73"/>
      <c r="F2023" s="73"/>
      <c r="G2023" s="73"/>
      <c r="H2023" s="73"/>
      <c r="I2023" s="73"/>
      <c r="J2023" s="73"/>
      <c r="L2023" s="73"/>
    </row>
    <row r="2024" spans="2:12">
      <c r="B2024" s="73"/>
      <c r="C2024" s="73"/>
      <c r="D2024" s="73"/>
      <c r="E2024" s="73"/>
      <c r="F2024" s="73"/>
      <c r="G2024" s="73"/>
      <c r="H2024" s="73"/>
      <c r="I2024" s="73"/>
      <c r="J2024" s="73"/>
      <c r="L2024" s="73"/>
    </row>
    <row r="2025" spans="2:12">
      <c r="B2025" s="73"/>
      <c r="C2025" s="73"/>
      <c r="D2025" s="73"/>
      <c r="E2025" s="73"/>
      <c r="F2025" s="73"/>
      <c r="G2025" s="73"/>
      <c r="H2025" s="73"/>
      <c r="I2025" s="73"/>
      <c r="J2025" s="73"/>
      <c r="L2025" s="73"/>
    </row>
    <row r="2026" spans="2:12">
      <c r="B2026" s="73"/>
      <c r="C2026" s="73"/>
      <c r="D2026" s="73"/>
      <c r="E2026" s="73"/>
      <c r="F2026" s="73"/>
      <c r="G2026" s="73"/>
      <c r="H2026" s="73"/>
      <c r="I2026" s="73"/>
      <c r="J2026" s="73"/>
      <c r="L2026" s="73"/>
    </row>
    <row r="2027" spans="2:12">
      <c r="B2027" s="73"/>
      <c r="C2027" s="73"/>
      <c r="D2027" s="73"/>
      <c r="E2027" s="73"/>
      <c r="F2027" s="73"/>
      <c r="G2027" s="73"/>
      <c r="H2027" s="73"/>
      <c r="I2027" s="73"/>
      <c r="J2027" s="73"/>
      <c r="L2027" s="73"/>
    </row>
    <row r="2028" spans="2:12">
      <c r="B2028" s="73"/>
      <c r="C2028" s="73"/>
      <c r="D2028" s="73"/>
      <c r="E2028" s="73"/>
      <c r="F2028" s="73"/>
      <c r="G2028" s="73"/>
      <c r="H2028" s="73"/>
      <c r="I2028" s="73"/>
      <c r="J2028" s="73"/>
      <c r="L2028" s="73"/>
    </row>
    <row r="2029" spans="2:12">
      <c r="B2029" s="73"/>
      <c r="C2029" s="73"/>
      <c r="D2029" s="73"/>
      <c r="E2029" s="73"/>
      <c r="F2029" s="73"/>
      <c r="G2029" s="73"/>
      <c r="H2029" s="73"/>
      <c r="I2029" s="73"/>
      <c r="J2029" s="73"/>
      <c r="L2029" s="73"/>
    </row>
    <row r="2030" spans="2:12">
      <c r="B2030" s="73"/>
      <c r="C2030" s="73"/>
      <c r="D2030" s="73"/>
      <c r="E2030" s="73"/>
      <c r="F2030" s="73"/>
      <c r="G2030" s="73"/>
      <c r="H2030" s="73"/>
      <c r="I2030" s="73"/>
      <c r="J2030" s="73"/>
      <c r="L2030" s="73"/>
    </row>
    <row r="2031" spans="2:12">
      <c r="B2031" s="73"/>
      <c r="C2031" s="73"/>
      <c r="D2031" s="73"/>
      <c r="E2031" s="73"/>
      <c r="F2031" s="73"/>
      <c r="G2031" s="73"/>
      <c r="H2031" s="73"/>
      <c r="I2031" s="73"/>
      <c r="J2031" s="73"/>
      <c r="L2031" s="73"/>
    </row>
    <row r="2032" spans="2:12">
      <c r="B2032" s="73"/>
      <c r="C2032" s="73"/>
      <c r="D2032" s="73"/>
      <c r="E2032" s="73"/>
      <c r="F2032" s="73"/>
      <c r="G2032" s="73"/>
      <c r="H2032" s="73"/>
      <c r="I2032" s="73"/>
      <c r="J2032" s="73"/>
      <c r="L2032" s="73"/>
    </row>
    <row r="2033" spans="2:12">
      <c r="B2033" s="73"/>
      <c r="C2033" s="73"/>
      <c r="D2033" s="73"/>
      <c r="E2033" s="73"/>
      <c r="F2033" s="73"/>
      <c r="G2033" s="73"/>
      <c r="H2033" s="73"/>
      <c r="I2033" s="73"/>
      <c r="J2033" s="73"/>
      <c r="L2033" s="73"/>
    </row>
    <row r="2034" spans="2:12">
      <c r="B2034" s="73"/>
      <c r="C2034" s="73"/>
      <c r="D2034" s="73"/>
      <c r="E2034" s="73"/>
      <c r="F2034" s="73"/>
      <c r="G2034" s="73"/>
      <c r="H2034" s="73"/>
      <c r="I2034" s="73"/>
      <c r="J2034" s="73"/>
      <c r="L2034" s="73"/>
    </row>
    <row r="2035" spans="2:12">
      <c r="B2035" s="73"/>
      <c r="C2035" s="73"/>
      <c r="D2035" s="73"/>
      <c r="E2035" s="73"/>
      <c r="F2035" s="73"/>
      <c r="G2035" s="73"/>
      <c r="H2035" s="73"/>
      <c r="I2035" s="73"/>
      <c r="J2035" s="73"/>
      <c r="L2035" s="73"/>
    </row>
    <row r="2036" spans="2:12">
      <c r="B2036" s="73"/>
      <c r="C2036" s="73"/>
      <c r="D2036" s="73"/>
      <c r="E2036" s="73"/>
      <c r="F2036" s="73"/>
      <c r="G2036" s="73"/>
      <c r="H2036" s="73"/>
      <c r="I2036" s="73"/>
      <c r="J2036" s="73"/>
      <c r="L2036" s="73"/>
    </row>
    <row r="2037" spans="2:12">
      <c r="B2037" s="73"/>
      <c r="C2037" s="73"/>
      <c r="D2037" s="73"/>
      <c r="E2037" s="73"/>
      <c r="F2037" s="73"/>
      <c r="G2037" s="73"/>
      <c r="H2037" s="73"/>
      <c r="I2037" s="73"/>
      <c r="J2037" s="73"/>
      <c r="L2037" s="73"/>
    </row>
    <row r="2038" spans="2:12">
      <c r="B2038" s="73"/>
      <c r="C2038" s="73"/>
      <c r="D2038" s="73"/>
      <c r="E2038" s="73"/>
      <c r="F2038" s="73"/>
      <c r="G2038" s="73"/>
      <c r="H2038" s="73"/>
      <c r="I2038" s="73"/>
      <c r="J2038" s="73"/>
      <c r="L2038" s="73"/>
    </row>
    <row r="2039" spans="2:12">
      <c r="B2039" s="73"/>
      <c r="C2039" s="73"/>
      <c r="D2039" s="73"/>
      <c r="E2039" s="73"/>
      <c r="F2039" s="73"/>
      <c r="G2039" s="73"/>
      <c r="H2039" s="73"/>
      <c r="I2039" s="73"/>
      <c r="J2039" s="73"/>
      <c r="L2039" s="73"/>
    </row>
    <row r="2040" spans="2:12">
      <c r="B2040" s="73"/>
      <c r="C2040" s="73"/>
      <c r="D2040" s="73"/>
      <c r="E2040" s="73"/>
      <c r="F2040" s="73"/>
      <c r="G2040" s="73"/>
      <c r="H2040" s="73"/>
      <c r="I2040" s="73"/>
      <c r="J2040" s="73"/>
      <c r="L2040" s="73"/>
    </row>
    <row r="2041" spans="2:12">
      <c r="B2041" s="73"/>
      <c r="C2041" s="73"/>
      <c r="D2041" s="73"/>
      <c r="E2041" s="73"/>
      <c r="F2041" s="73"/>
      <c r="G2041" s="73"/>
      <c r="H2041" s="73"/>
      <c r="I2041" s="73"/>
      <c r="J2041" s="73"/>
      <c r="L2041" s="73"/>
    </row>
    <row r="2042" spans="2:12">
      <c r="B2042" s="73"/>
      <c r="C2042" s="73"/>
      <c r="D2042" s="73"/>
      <c r="E2042" s="73"/>
      <c r="F2042" s="73"/>
      <c r="G2042" s="73"/>
      <c r="H2042" s="73"/>
      <c r="I2042" s="73"/>
      <c r="J2042" s="73"/>
      <c r="L2042" s="73"/>
    </row>
    <row r="2043" spans="2:12">
      <c r="B2043" s="73"/>
      <c r="C2043" s="73"/>
      <c r="D2043" s="73"/>
      <c r="E2043" s="73"/>
      <c r="F2043" s="73"/>
      <c r="G2043" s="73"/>
      <c r="H2043" s="73"/>
      <c r="I2043" s="73"/>
      <c r="J2043" s="73"/>
      <c r="L2043" s="73"/>
    </row>
    <row r="2044" spans="2:12">
      <c r="B2044" s="73"/>
      <c r="C2044" s="73"/>
      <c r="D2044" s="73"/>
      <c r="E2044" s="73"/>
      <c r="F2044" s="73"/>
      <c r="G2044" s="73"/>
      <c r="H2044" s="73"/>
      <c r="I2044" s="73"/>
      <c r="J2044" s="73"/>
      <c r="L2044" s="73"/>
    </row>
    <row r="2045" spans="2:12">
      <c r="B2045" s="73"/>
      <c r="C2045" s="73"/>
      <c r="D2045" s="73"/>
      <c r="E2045" s="73"/>
      <c r="F2045" s="73"/>
      <c r="G2045" s="73"/>
      <c r="H2045" s="73"/>
      <c r="I2045" s="73"/>
      <c r="J2045" s="73"/>
      <c r="L2045" s="73"/>
    </row>
    <row r="2046" spans="2:12">
      <c r="B2046" s="73"/>
      <c r="C2046" s="73"/>
      <c r="D2046" s="73"/>
      <c r="E2046" s="73"/>
      <c r="F2046" s="73"/>
      <c r="G2046" s="73"/>
      <c r="H2046" s="73"/>
      <c r="I2046" s="73"/>
      <c r="J2046" s="73"/>
      <c r="L2046" s="73"/>
    </row>
    <row r="2047" spans="2:12">
      <c r="B2047" s="73"/>
      <c r="C2047" s="73"/>
      <c r="D2047" s="73"/>
      <c r="E2047" s="73"/>
      <c r="F2047" s="73"/>
      <c r="G2047" s="73"/>
      <c r="H2047" s="73"/>
      <c r="I2047" s="73"/>
      <c r="J2047" s="73"/>
      <c r="L2047" s="73"/>
    </row>
    <row r="2048" spans="2:12">
      <c r="B2048" s="73"/>
      <c r="C2048" s="73"/>
      <c r="D2048" s="73"/>
      <c r="E2048" s="73"/>
      <c r="F2048" s="73"/>
      <c r="G2048" s="73"/>
      <c r="H2048" s="73"/>
      <c r="I2048" s="73"/>
      <c r="J2048" s="73"/>
      <c r="L2048" s="73"/>
    </row>
    <row r="2049" spans="2:12">
      <c r="B2049" s="73"/>
      <c r="C2049" s="73"/>
      <c r="D2049" s="73"/>
      <c r="E2049" s="73"/>
      <c r="F2049" s="73"/>
      <c r="G2049" s="73"/>
      <c r="H2049" s="73"/>
      <c r="I2049" s="73"/>
      <c r="J2049" s="73"/>
      <c r="L2049" s="73"/>
    </row>
    <row r="2050" spans="2:12">
      <c r="B2050" s="73"/>
      <c r="C2050" s="73"/>
      <c r="D2050" s="73"/>
      <c r="E2050" s="73"/>
      <c r="F2050" s="73"/>
      <c r="G2050" s="73"/>
      <c r="H2050" s="73"/>
      <c r="I2050" s="73"/>
      <c r="J2050" s="73"/>
      <c r="L2050" s="73"/>
    </row>
    <row r="2051" spans="2:12">
      <c r="B2051" s="73"/>
      <c r="C2051" s="73"/>
      <c r="D2051" s="73"/>
      <c r="E2051" s="73"/>
      <c r="F2051" s="73"/>
      <c r="G2051" s="73"/>
      <c r="H2051" s="73"/>
      <c r="I2051" s="73"/>
      <c r="J2051" s="73"/>
      <c r="L2051" s="73"/>
    </row>
    <row r="2052" spans="2:12">
      <c r="B2052" s="73"/>
      <c r="C2052" s="73"/>
      <c r="D2052" s="73"/>
      <c r="E2052" s="73"/>
      <c r="F2052" s="73"/>
      <c r="G2052" s="73"/>
      <c r="H2052" s="73"/>
      <c r="I2052" s="73"/>
      <c r="J2052" s="73"/>
      <c r="L2052" s="73"/>
    </row>
    <row r="2053" spans="2:12">
      <c r="B2053" s="73"/>
      <c r="C2053" s="73"/>
      <c r="D2053" s="73"/>
      <c r="E2053" s="73"/>
      <c r="F2053" s="73"/>
      <c r="G2053" s="73"/>
      <c r="H2053" s="73"/>
      <c r="I2053" s="73"/>
      <c r="J2053" s="73"/>
      <c r="L2053" s="73"/>
    </row>
    <row r="2054" spans="2:12">
      <c r="B2054" s="73"/>
      <c r="C2054" s="73"/>
      <c r="D2054" s="73"/>
      <c r="E2054" s="73"/>
      <c r="F2054" s="73"/>
      <c r="G2054" s="73"/>
      <c r="H2054" s="73"/>
      <c r="I2054" s="73"/>
      <c r="J2054" s="73"/>
      <c r="L2054" s="73"/>
    </row>
    <row r="2055" spans="2:12">
      <c r="B2055" s="73"/>
      <c r="C2055" s="73"/>
      <c r="D2055" s="73"/>
      <c r="E2055" s="73"/>
      <c r="F2055" s="73"/>
      <c r="G2055" s="73"/>
      <c r="H2055" s="73"/>
      <c r="I2055" s="73"/>
      <c r="J2055" s="73"/>
      <c r="L2055" s="73"/>
    </row>
    <row r="2056" spans="2:12">
      <c r="B2056" s="73"/>
      <c r="C2056" s="73"/>
      <c r="D2056" s="73"/>
      <c r="E2056" s="73"/>
      <c r="F2056" s="73"/>
      <c r="G2056" s="73"/>
      <c r="H2056" s="73"/>
      <c r="I2056" s="73"/>
      <c r="J2056" s="73"/>
      <c r="L2056" s="73"/>
    </row>
    <row r="2057" spans="2:12">
      <c r="B2057" s="73"/>
      <c r="C2057" s="73"/>
      <c r="D2057" s="73"/>
      <c r="E2057" s="73"/>
      <c r="F2057" s="73"/>
      <c r="G2057" s="73"/>
      <c r="H2057" s="73"/>
      <c r="I2057" s="73"/>
      <c r="J2057" s="73"/>
      <c r="L2057" s="73"/>
    </row>
    <row r="2058" spans="2:12">
      <c r="B2058" s="73"/>
      <c r="C2058" s="73"/>
      <c r="D2058" s="73"/>
      <c r="E2058" s="73"/>
      <c r="F2058" s="73"/>
      <c r="G2058" s="73"/>
      <c r="H2058" s="73"/>
      <c r="I2058" s="73"/>
      <c r="J2058" s="73"/>
      <c r="L2058" s="73"/>
    </row>
    <row r="2059" spans="2:12">
      <c r="B2059" s="73"/>
      <c r="C2059" s="73"/>
      <c r="D2059" s="73"/>
      <c r="E2059" s="73"/>
      <c r="F2059" s="73"/>
      <c r="G2059" s="73"/>
      <c r="H2059" s="73"/>
      <c r="I2059" s="73"/>
      <c r="J2059" s="73"/>
      <c r="L2059" s="73"/>
    </row>
    <row r="2060" spans="2:12">
      <c r="B2060" s="73"/>
      <c r="C2060" s="73"/>
      <c r="D2060" s="73"/>
      <c r="E2060" s="73"/>
      <c r="F2060" s="73"/>
      <c r="G2060" s="73"/>
      <c r="H2060" s="73"/>
      <c r="I2060" s="73"/>
      <c r="J2060" s="73"/>
      <c r="L2060" s="73"/>
    </row>
    <row r="2061" spans="2:12">
      <c r="B2061" s="73"/>
      <c r="C2061" s="73"/>
      <c r="D2061" s="73"/>
      <c r="E2061" s="73"/>
      <c r="F2061" s="73"/>
      <c r="G2061" s="73"/>
      <c r="H2061" s="73"/>
      <c r="I2061" s="73"/>
      <c r="J2061" s="73"/>
      <c r="L2061" s="73"/>
    </row>
    <row r="2062" spans="2:12">
      <c r="B2062" s="73"/>
      <c r="C2062" s="73"/>
      <c r="D2062" s="73"/>
      <c r="E2062" s="73"/>
      <c r="F2062" s="73"/>
      <c r="G2062" s="73"/>
      <c r="H2062" s="73"/>
      <c r="I2062" s="73"/>
      <c r="J2062" s="73"/>
      <c r="L2062" s="73"/>
    </row>
    <row r="2063" spans="2:12">
      <c r="B2063" s="73"/>
      <c r="C2063" s="73"/>
      <c r="D2063" s="73"/>
      <c r="E2063" s="73"/>
      <c r="F2063" s="73"/>
      <c r="G2063" s="73"/>
      <c r="H2063" s="73"/>
      <c r="I2063" s="73"/>
      <c r="J2063" s="73"/>
      <c r="L2063" s="73"/>
    </row>
    <row r="2064" spans="2:12">
      <c r="B2064" s="73"/>
      <c r="C2064" s="73"/>
      <c r="D2064" s="73"/>
      <c r="E2064" s="73"/>
      <c r="F2064" s="73"/>
      <c r="G2064" s="73"/>
      <c r="H2064" s="73"/>
      <c r="I2064" s="73"/>
      <c r="J2064" s="73"/>
      <c r="L2064" s="73"/>
    </row>
    <row r="2065" spans="2:12">
      <c r="B2065" s="73"/>
      <c r="C2065" s="73"/>
      <c r="D2065" s="73"/>
      <c r="E2065" s="73"/>
      <c r="F2065" s="73"/>
      <c r="G2065" s="73"/>
      <c r="H2065" s="73"/>
      <c r="I2065" s="73"/>
      <c r="J2065" s="73"/>
      <c r="L2065" s="73"/>
    </row>
    <row r="2066" spans="2:12">
      <c r="B2066" s="73"/>
      <c r="C2066" s="73"/>
      <c r="D2066" s="73"/>
      <c r="E2066" s="73"/>
      <c r="F2066" s="73"/>
      <c r="G2066" s="73"/>
      <c r="H2066" s="73"/>
      <c r="I2066" s="73"/>
      <c r="J2066" s="73"/>
      <c r="L2066" s="73"/>
    </row>
    <row r="2067" spans="2:12">
      <c r="B2067" s="73"/>
      <c r="C2067" s="73"/>
      <c r="D2067" s="73"/>
      <c r="E2067" s="73"/>
      <c r="F2067" s="73"/>
      <c r="G2067" s="73"/>
      <c r="H2067" s="73"/>
      <c r="I2067" s="73"/>
      <c r="J2067" s="73"/>
      <c r="L2067" s="73"/>
    </row>
    <row r="2068" spans="2:12">
      <c r="B2068" s="73"/>
      <c r="C2068" s="73"/>
      <c r="D2068" s="73"/>
      <c r="E2068" s="73"/>
      <c r="F2068" s="73"/>
      <c r="G2068" s="73"/>
      <c r="H2068" s="73"/>
      <c r="I2068" s="73"/>
      <c r="J2068" s="73"/>
      <c r="L2068" s="73"/>
    </row>
    <row r="2069" spans="2:12">
      <c r="B2069" s="73"/>
      <c r="C2069" s="73"/>
      <c r="D2069" s="73"/>
      <c r="E2069" s="73"/>
      <c r="F2069" s="73"/>
      <c r="G2069" s="73"/>
      <c r="H2069" s="73"/>
      <c r="I2069" s="73"/>
      <c r="J2069" s="73"/>
      <c r="L2069" s="73"/>
    </row>
    <row r="2070" spans="2:12">
      <c r="B2070" s="73"/>
      <c r="C2070" s="73"/>
      <c r="D2070" s="73"/>
      <c r="E2070" s="73"/>
      <c r="F2070" s="73"/>
      <c r="G2070" s="73"/>
      <c r="H2070" s="73"/>
      <c r="I2070" s="73"/>
      <c r="J2070" s="73"/>
      <c r="L2070" s="73"/>
    </row>
    <row r="2071" spans="2:12">
      <c r="B2071" s="73"/>
      <c r="C2071" s="73"/>
      <c r="D2071" s="73"/>
      <c r="E2071" s="73"/>
      <c r="F2071" s="73"/>
      <c r="G2071" s="73"/>
      <c r="H2071" s="73"/>
      <c r="I2071" s="73"/>
      <c r="J2071" s="73"/>
      <c r="L2071" s="73"/>
    </row>
    <row r="2072" spans="2:12">
      <c r="B2072" s="73"/>
      <c r="C2072" s="73"/>
      <c r="D2072" s="73"/>
      <c r="E2072" s="73"/>
      <c r="F2072" s="73"/>
      <c r="G2072" s="73"/>
      <c r="H2072" s="73"/>
      <c r="I2072" s="73"/>
      <c r="J2072" s="73"/>
      <c r="L2072" s="73"/>
    </row>
    <row r="2073" spans="2:12">
      <c r="B2073" s="73"/>
      <c r="C2073" s="73"/>
      <c r="D2073" s="73"/>
      <c r="E2073" s="73"/>
      <c r="F2073" s="73"/>
      <c r="G2073" s="73"/>
      <c r="H2073" s="73"/>
      <c r="I2073" s="73"/>
      <c r="J2073" s="73"/>
      <c r="L2073" s="73"/>
    </row>
    <row r="2074" spans="2:12">
      <c r="B2074" s="73"/>
      <c r="C2074" s="73"/>
      <c r="D2074" s="73"/>
      <c r="E2074" s="73"/>
      <c r="F2074" s="73"/>
      <c r="G2074" s="73"/>
      <c r="H2074" s="73"/>
      <c r="I2074" s="73"/>
      <c r="J2074" s="73"/>
      <c r="L2074" s="73"/>
    </row>
    <row r="2075" spans="2:12">
      <c r="B2075" s="73"/>
      <c r="C2075" s="73"/>
      <c r="D2075" s="73"/>
      <c r="E2075" s="73"/>
      <c r="F2075" s="73"/>
      <c r="G2075" s="73"/>
      <c r="H2075" s="73"/>
      <c r="I2075" s="73"/>
      <c r="J2075" s="73"/>
      <c r="L2075" s="73"/>
    </row>
    <row r="2076" spans="2:12">
      <c r="B2076" s="73"/>
      <c r="C2076" s="73"/>
      <c r="D2076" s="73"/>
      <c r="E2076" s="73"/>
      <c r="F2076" s="73"/>
      <c r="G2076" s="73"/>
      <c r="H2076" s="73"/>
      <c r="I2076" s="73"/>
      <c r="J2076" s="73"/>
      <c r="L2076" s="73"/>
    </row>
    <row r="2077" spans="2:12">
      <c r="B2077" s="73"/>
      <c r="C2077" s="73"/>
      <c r="D2077" s="73"/>
      <c r="E2077" s="73"/>
      <c r="F2077" s="73"/>
      <c r="G2077" s="73"/>
      <c r="H2077" s="73"/>
      <c r="I2077" s="73"/>
      <c r="J2077" s="73"/>
      <c r="L2077" s="73"/>
    </row>
    <row r="2078" spans="2:12">
      <c r="B2078" s="73"/>
      <c r="C2078" s="73"/>
      <c r="D2078" s="73"/>
      <c r="E2078" s="73"/>
      <c r="F2078" s="73"/>
      <c r="G2078" s="73"/>
      <c r="H2078" s="73"/>
      <c r="I2078" s="73"/>
      <c r="J2078" s="73"/>
      <c r="L2078" s="73"/>
    </row>
    <row r="2079" spans="2:12">
      <c r="B2079" s="73"/>
      <c r="C2079" s="73"/>
      <c r="D2079" s="73"/>
      <c r="E2079" s="73"/>
      <c r="F2079" s="73"/>
      <c r="G2079" s="73"/>
      <c r="H2079" s="73"/>
      <c r="I2079" s="73"/>
      <c r="J2079" s="73"/>
      <c r="L2079" s="73"/>
    </row>
    <row r="2080" spans="2:12">
      <c r="B2080" s="73"/>
      <c r="C2080" s="73"/>
      <c r="D2080" s="73"/>
      <c r="E2080" s="73"/>
      <c r="F2080" s="73"/>
      <c r="G2080" s="73"/>
      <c r="H2080" s="73"/>
      <c r="I2080" s="73"/>
      <c r="J2080" s="73"/>
      <c r="L2080" s="73"/>
    </row>
    <row r="2081" spans="2:12">
      <c r="B2081" s="73"/>
      <c r="C2081" s="73"/>
      <c r="D2081" s="73"/>
      <c r="E2081" s="73"/>
      <c r="F2081" s="73"/>
      <c r="G2081" s="73"/>
      <c r="H2081" s="73"/>
      <c r="I2081" s="73"/>
      <c r="J2081" s="73"/>
      <c r="L2081" s="73"/>
    </row>
    <row r="2082" spans="2:12">
      <c r="B2082" s="73"/>
      <c r="C2082" s="73"/>
      <c r="D2082" s="73"/>
      <c r="E2082" s="73"/>
      <c r="F2082" s="73"/>
      <c r="G2082" s="73"/>
      <c r="H2082" s="73"/>
      <c r="I2082" s="73"/>
      <c r="J2082" s="73"/>
      <c r="L2082" s="73"/>
    </row>
    <row r="2083" spans="2:12">
      <c r="B2083" s="73"/>
      <c r="C2083" s="73"/>
      <c r="D2083" s="73"/>
      <c r="E2083" s="73"/>
      <c r="F2083" s="73"/>
      <c r="G2083" s="73"/>
      <c r="H2083" s="73"/>
      <c r="I2083" s="73"/>
      <c r="J2083" s="73"/>
      <c r="L2083" s="73"/>
    </row>
    <row r="2084" spans="2:12">
      <c r="B2084" s="73"/>
      <c r="C2084" s="73"/>
      <c r="D2084" s="73"/>
      <c r="E2084" s="73"/>
      <c r="F2084" s="73"/>
      <c r="G2084" s="73"/>
      <c r="H2084" s="73"/>
      <c r="I2084" s="73"/>
      <c r="J2084" s="73"/>
      <c r="L2084" s="73"/>
    </row>
    <row r="2085" spans="2:12">
      <c r="B2085" s="73"/>
      <c r="C2085" s="73"/>
      <c r="D2085" s="73"/>
      <c r="E2085" s="73"/>
      <c r="F2085" s="73"/>
      <c r="G2085" s="73"/>
      <c r="H2085" s="73"/>
      <c r="I2085" s="73"/>
      <c r="J2085" s="73"/>
      <c r="L2085" s="73"/>
    </row>
    <row r="2086" spans="2:12">
      <c r="B2086" s="73"/>
      <c r="C2086" s="73"/>
      <c r="D2086" s="73"/>
      <c r="E2086" s="73"/>
      <c r="F2086" s="73"/>
      <c r="G2086" s="73"/>
      <c r="H2086" s="73"/>
      <c r="I2086" s="73"/>
      <c r="J2086" s="73"/>
      <c r="L2086" s="73"/>
    </row>
    <row r="2087" spans="2:12">
      <c r="B2087" s="73"/>
      <c r="C2087" s="73"/>
      <c r="D2087" s="73"/>
      <c r="E2087" s="73"/>
      <c r="F2087" s="73"/>
      <c r="G2087" s="73"/>
      <c r="H2087" s="73"/>
      <c r="I2087" s="73"/>
      <c r="J2087" s="73"/>
      <c r="L2087" s="73"/>
    </row>
    <row r="2088" spans="2:12">
      <c r="B2088" s="73"/>
      <c r="C2088" s="73"/>
      <c r="D2088" s="73"/>
      <c r="E2088" s="73"/>
      <c r="F2088" s="73"/>
      <c r="G2088" s="73"/>
      <c r="H2088" s="73"/>
      <c r="I2088" s="73"/>
      <c r="J2088" s="73"/>
      <c r="L2088" s="73"/>
    </row>
    <row r="2089" spans="2:12">
      <c r="B2089" s="73"/>
      <c r="C2089" s="73"/>
      <c r="D2089" s="73"/>
      <c r="E2089" s="73"/>
      <c r="F2089" s="73"/>
      <c r="G2089" s="73"/>
      <c r="H2089" s="73"/>
      <c r="I2089" s="73"/>
      <c r="J2089" s="73"/>
      <c r="L2089" s="73"/>
    </row>
    <row r="2090" spans="2:12">
      <c r="B2090" s="73"/>
      <c r="C2090" s="73"/>
      <c r="D2090" s="73"/>
      <c r="E2090" s="73"/>
      <c r="F2090" s="73"/>
      <c r="G2090" s="73"/>
      <c r="H2090" s="73"/>
      <c r="I2090" s="73"/>
      <c r="J2090" s="73"/>
      <c r="L2090" s="73"/>
    </row>
    <row r="2091" spans="2:12">
      <c r="B2091" s="73"/>
      <c r="C2091" s="73"/>
      <c r="D2091" s="73"/>
      <c r="E2091" s="73"/>
      <c r="F2091" s="73"/>
      <c r="G2091" s="73"/>
      <c r="H2091" s="73"/>
      <c r="I2091" s="73"/>
      <c r="J2091" s="73"/>
      <c r="L2091" s="73"/>
    </row>
    <row r="2092" spans="2:12">
      <c r="B2092" s="73"/>
      <c r="C2092" s="73"/>
      <c r="D2092" s="73"/>
      <c r="E2092" s="73"/>
      <c r="F2092" s="73"/>
      <c r="G2092" s="73"/>
      <c r="H2092" s="73"/>
      <c r="I2092" s="73"/>
      <c r="J2092" s="73"/>
      <c r="L2092" s="73"/>
    </row>
    <row r="2093" spans="2:12">
      <c r="B2093" s="73"/>
      <c r="C2093" s="73"/>
      <c r="D2093" s="73"/>
      <c r="E2093" s="73"/>
      <c r="F2093" s="73"/>
      <c r="G2093" s="73"/>
      <c r="H2093" s="73"/>
      <c r="I2093" s="73"/>
      <c r="J2093" s="73"/>
      <c r="L2093" s="73"/>
    </row>
    <row r="2094" spans="2:12">
      <c r="B2094" s="73"/>
      <c r="C2094" s="73"/>
      <c r="D2094" s="73"/>
      <c r="E2094" s="73"/>
      <c r="F2094" s="73"/>
      <c r="G2094" s="73"/>
      <c r="H2094" s="73"/>
      <c r="I2094" s="73"/>
      <c r="J2094" s="73"/>
      <c r="L2094" s="73"/>
    </row>
    <row r="2095" spans="2:12">
      <c r="B2095" s="73"/>
      <c r="C2095" s="73"/>
      <c r="D2095" s="73"/>
      <c r="E2095" s="73"/>
      <c r="F2095" s="73"/>
      <c r="G2095" s="73"/>
      <c r="H2095" s="73"/>
      <c r="I2095" s="73"/>
      <c r="J2095" s="73"/>
      <c r="L2095" s="73"/>
    </row>
    <row r="2096" spans="2:12">
      <c r="B2096" s="73"/>
      <c r="C2096" s="73"/>
      <c r="D2096" s="73"/>
      <c r="E2096" s="73"/>
      <c r="F2096" s="73"/>
      <c r="G2096" s="73"/>
      <c r="H2096" s="73"/>
      <c r="I2096" s="73"/>
      <c r="J2096" s="73"/>
      <c r="L2096" s="73"/>
    </row>
    <row r="2097" spans="2:12">
      <c r="B2097" s="73"/>
      <c r="C2097" s="73"/>
      <c r="D2097" s="73"/>
      <c r="E2097" s="73"/>
      <c r="F2097" s="73"/>
      <c r="G2097" s="73"/>
      <c r="H2097" s="73"/>
      <c r="I2097" s="73"/>
      <c r="J2097" s="73"/>
      <c r="L2097" s="73"/>
    </row>
    <row r="2098" spans="2:12">
      <c r="B2098" s="73"/>
      <c r="C2098" s="73"/>
      <c r="D2098" s="73"/>
      <c r="E2098" s="73"/>
      <c r="F2098" s="73"/>
      <c r="G2098" s="73"/>
      <c r="H2098" s="73"/>
      <c r="I2098" s="73"/>
      <c r="J2098" s="73"/>
      <c r="L2098" s="73"/>
    </row>
    <row r="2099" spans="2:12">
      <c r="B2099" s="73"/>
      <c r="C2099" s="73"/>
      <c r="D2099" s="73"/>
      <c r="E2099" s="73"/>
      <c r="F2099" s="73"/>
      <c r="G2099" s="73"/>
      <c r="H2099" s="73"/>
      <c r="I2099" s="73"/>
      <c r="J2099" s="73"/>
      <c r="L2099" s="73"/>
    </row>
    <row r="2100" spans="2:12">
      <c r="B2100" s="73"/>
      <c r="C2100" s="73"/>
      <c r="D2100" s="73"/>
      <c r="E2100" s="73"/>
      <c r="F2100" s="73"/>
      <c r="G2100" s="73"/>
      <c r="H2100" s="73"/>
      <c r="I2100" s="73"/>
      <c r="J2100" s="73"/>
      <c r="L2100" s="73"/>
    </row>
    <row r="2101" spans="2:12">
      <c r="B2101" s="73"/>
      <c r="C2101" s="73"/>
      <c r="D2101" s="73"/>
      <c r="E2101" s="73"/>
      <c r="F2101" s="73"/>
      <c r="G2101" s="73"/>
      <c r="H2101" s="73"/>
      <c r="I2101" s="73"/>
      <c r="J2101" s="73"/>
      <c r="L2101" s="73"/>
    </row>
    <row r="2102" spans="2:12">
      <c r="B2102" s="73"/>
      <c r="C2102" s="73"/>
      <c r="D2102" s="73"/>
      <c r="E2102" s="73"/>
      <c r="F2102" s="73"/>
      <c r="G2102" s="73"/>
      <c r="H2102" s="73"/>
      <c r="I2102" s="73"/>
      <c r="J2102" s="73"/>
      <c r="L2102" s="73"/>
    </row>
    <row r="2103" spans="2:12">
      <c r="B2103" s="73"/>
      <c r="C2103" s="73"/>
      <c r="D2103" s="73"/>
      <c r="E2103" s="73"/>
      <c r="F2103" s="73"/>
      <c r="G2103" s="73"/>
      <c r="H2103" s="73"/>
      <c r="I2103" s="73"/>
      <c r="J2103" s="73"/>
      <c r="L2103" s="73"/>
    </row>
    <row r="2104" spans="2:12">
      <c r="B2104" s="73"/>
      <c r="C2104" s="73"/>
      <c r="D2104" s="73"/>
      <c r="E2104" s="73"/>
      <c r="F2104" s="73"/>
      <c r="G2104" s="73"/>
      <c r="H2104" s="73"/>
      <c r="I2104" s="73"/>
      <c r="J2104" s="73"/>
      <c r="L2104" s="73"/>
    </row>
    <row r="2105" spans="2:12">
      <c r="B2105" s="73"/>
      <c r="C2105" s="73"/>
      <c r="D2105" s="73"/>
      <c r="E2105" s="73"/>
      <c r="F2105" s="73"/>
      <c r="G2105" s="73"/>
      <c r="H2105" s="73"/>
      <c r="I2105" s="73"/>
      <c r="J2105" s="73"/>
      <c r="L2105" s="73"/>
    </row>
    <row r="2106" spans="2:12">
      <c r="B2106" s="73"/>
      <c r="C2106" s="73"/>
      <c r="D2106" s="73"/>
      <c r="E2106" s="73"/>
      <c r="F2106" s="73"/>
      <c r="G2106" s="73"/>
      <c r="H2106" s="73"/>
      <c r="I2106" s="73"/>
      <c r="J2106" s="73"/>
      <c r="L2106" s="73"/>
    </row>
    <row r="2107" spans="2:12">
      <c r="B2107" s="73"/>
      <c r="C2107" s="73"/>
      <c r="D2107" s="73"/>
      <c r="E2107" s="73"/>
      <c r="F2107" s="73"/>
      <c r="G2107" s="73"/>
      <c r="H2107" s="73"/>
      <c r="I2107" s="73"/>
      <c r="J2107" s="73"/>
      <c r="L2107" s="73"/>
    </row>
    <row r="2108" spans="2:12">
      <c r="B2108" s="73"/>
      <c r="C2108" s="73"/>
      <c r="D2108" s="73"/>
      <c r="E2108" s="73"/>
      <c r="F2108" s="73"/>
      <c r="G2108" s="73"/>
      <c r="H2108" s="73"/>
      <c r="I2108" s="73"/>
      <c r="J2108" s="73"/>
      <c r="L2108" s="73"/>
    </row>
    <row r="2109" spans="2:12">
      <c r="B2109" s="73"/>
      <c r="C2109" s="73"/>
      <c r="D2109" s="73"/>
      <c r="E2109" s="73"/>
      <c r="F2109" s="73"/>
      <c r="G2109" s="73"/>
      <c r="H2109" s="73"/>
      <c r="I2109" s="73"/>
      <c r="J2109" s="73"/>
      <c r="L2109" s="73"/>
    </row>
    <row r="2110" spans="2:12">
      <c r="B2110" s="73"/>
      <c r="C2110" s="73"/>
      <c r="D2110" s="73"/>
      <c r="E2110" s="73"/>
      <c r="F2110" s="73"/>
      <c r="G2110" s="73"/>
      <c r="H2110" s="73"/>
      <c r="I2110" s="73"/>
      <c r="J2110" s="73"/>
      <c r="L2110" s="73"/>
    </row>
    <row r="2111" spans="2:12">
      <c r="B2111" s="73"/>
      <c r="C2111" s="73"/>
      <c r="D2111" s="73"/>
      <c r="E2111" s="73"/>
      <c r="F2111" s="73"/>
      <c r="G2111" s="73"/>
      <c r="H2111" s="73"/>
      <c r="I2111" s="73"/>
      <c r="J2111" s="73"/>
      <c r="L2111" s="73"/>
    </row>
    <row r="2112" spans="2:12">
      <c r="B2112" s="73"/>
      <c r="C2112" s="73"/>
      <c r="D2112" s="73"/>
      <c r="E2112" s="73"/>
      <c r="F2112" s="73"/>
      <c r="G2112" s="73"/>
      <c r="H2112" s="73"/>
      <c r="I2112" s="73"/>
      <c r="J2112" s="73"/>
      <c r="L2112" s="73"/>
    </row>
    <row r="2113" spans="2:12">
      <c r="B2113" s="73"/>
      <c r="C2113" s="73"/>
      <c r="D2113" s="73"/>
      <c r="E2113" s="73"/>
      <c r="F2113" s="73"/>
      <c r="G2113" s="73"/>
      <c r="H2113" s="73"/>
      <c r="I2113" s="73"/>
      <c r="J2113" s="73"/>
      <c r="L2113" s="73"/>
    </row>
    <row r="2114" spans="2:12">
      <c r="B2114" s="73"/>
      <c r="C2114" s="73"/>
      <c r="D2114" s="73"/>
      <c r="E2114" s="73"/>
      <c r="F2114" s="73"/>
      <c r="G2114" s="73"/>
      <c r="H2114" s="73"/>
      <c r="I2114" s="73"/>
      <c r="J2114" s="73"/>
      <c r="L2114" s="73"/>
    </row>
    <row r="2115" spans="2:12">
      <c r="B2115" s="73"/>
      <c r="C2115" s="73"/>
      <c r="D2115" s="73"/>
      <c r="E2115" s="73"/>
      <c r="F2115" s="73"/>
      <c r="G2115" s="73"/>
      <c r="H2115" s="73"/>
      <c r="I2115" s="73"/>
      <c r="J2115" s="73"/>
      <c r="L2115" s="73"/>
    </row>
    <row r="2116" spans="2:12">
      <c r="B2116" s="73"/>
      <c r="C2116" s="73"/>
      <c r="D2116" s="73"/>
      <c r="E2116" s="73"/>
      <c r="F2116" s="73"/>
      <c r="G2116" s="73"/>
      <c r="H2116" s="73"/>
      <c r="I2116" s="73"/>
      <c r="J2116" s="73"/>
      <c r="L2116" s="73"/>
    </row>
    <row r="2117" spans="2:12">
      <c r="B2117" s="73"/>
      <c r="C2117" s="73"/>
      <c r="D2117" s="73"/>
      <c r="E2117" s="73"/>
      <c r="F2117" s="73"/>
      <c r="G2117" s="73"/>
      <c r="H2117" s="73"/>
      <c r="I2117" s="73"/>
      <c r="J2117" s="73"/>
      <c r="L2117" s="73"/>
    </row>
    <row r="2118" spans="2:12">
      <c r="B2118" s="73"/>
      <c r="C2118" s="73"/>
      <c r="D2118" s="73"/>
      <c r="E2118" s="73"/>
      <c r="F2118" s="73"/>
      <c r="G2118" s="73"/>
      <c r="H2118" s="73"/>
      <c r="I2118" s="73"/>
      <c r="J2118" s="73"/>
      <c r="L2118" s="73"/>
    </row>
    <row r="2119" spans="2:12">
      <c r="B2119" s="73"/>
      <c r="C2119" s="73"/>
      <c r="D2119" s="73"/>
      <c r="E2119" s="73"/>
      <c r="F2119" s="73"/>
      <c r="G2119" s="73"/>
      <c r="H2119" s="73"/>
      <c r="I2119" s="73"/>
      <c r="J2119" s="73"/>
      <c r="L2119" s="73"/>
    </row>
    <row r="2120" spans="2:12">
      <c r="B2120" s="73"/>
      <c r="C2120" s="73"/>
      <c r="D2120" s="73"/>
      <c r="E2120" s="73"/>
      <c r="F2120" s="73"/>
      <c r="G2120" s="73"/>
      <c r="H2120" s="73"/>
      <c r="I2120" s="73"/>
      <c r="J2120" s="73"/>
      <c r="L2120" s="73"/>
    </row>
    <row r="2121" spans="2:12">
      <c r="B2121" s="73"/>
      <c r="C2121" s="73"/>
      <c r="D2121" s="73"/>
      <c r="E2121" s="73"/>
      <c r="F2121" s="73"/>
      <c r="G2121" s="73"/>
      <c r="H2121" s="73"/>
      <c r="I2121" s="73"/>
      <c r="J2121" s="73"/>
      <c r="L2121" s="73"/>
    </row>
    <row r="2122" spans="2:12">
      <c r="B2122" s="73"/>
      <c r="C2122" s="73"/>
      <c r="D2122" s="73"/>
      <c r="E2122" s="73"/>
      <c r="F2122" s="73"/>
      <c r="G2122" s="73"/>
      <c r="H2122" s="73"/>
      <c r="I2122" s="73"/>
      <c r="J2122" s="73"/>
      <c r="L2122" s="73"/>
    </row>
    <row r="2123" spans="2:12">
      <c r="B2123" s="73"/>
      <c r="C2123" s="73"/>
      <c r="D2123" s="73"/>
      <c r="E2123" s="73"/>
      <c r="F2123" s="73"/>
      <c r="G2123" s="73"/>
      <c r="H2123" s="73"/>
      <c r="I2123" s="73"/>
      <c r="J2123" s="73"/>
      <c r="L2123" s="73"/>
    </row>
    <row r="2124" spans="2:12">
      <c r="B2124" s="73"/>
      <c r="C2124" s="73"/>
      <c r="D2124" s="73"/>
      <c r="E2124" s="73"/>
      <c r="F2124" s="73"/>
      <c r="G2124" s="73"/>
      <c r="H2124" s="73"/>
      <c r="I2124" s="73"/>
      <c r="J2124" s="73"/>
      <c r="L2124" s="73"/>
    </row>
    <row r="2125" spans="2:12">
      <c r="B2125" s="73"/>
      <c r="C2125" s="73"/>
      <c r="D2125" s="73"/>
      <c r="E2125" s="73"/>
      <c r="F2125" s="73"/>
      <c r="G2125" s="73"/>
      <c r="H2125" s="73"/>
      <c r="I2125" s="73"/>
      <c r="J2125" s="73"/>
      <c r="L2125" s="73"/>
    </row>
    <row r="2126" spans="2:12">
      <c r="B2126" s="73"/>
      <c r="C2126" s="73"/>
      <c r="D2126" s="73"/>
      <c r="E2126" s="73"/>
      <c r="F2126" s="73"/>
      <c r="G2126" s="73"/>
      <c r="H2126" s="73"/>
      <c r="I2126" s="73"/>
      <c r="J2126" s="73"/>
      <c r="L2126" s="73"/>
    </row>
    <row r="2127" spans="2:12">
      <c r="B2127" s="73"/>
      <c r="C2127" s="73"/>
      <c r="D2127" s="73"/>
      <c r="E2127" s="73"/>
      <c r="F2127" s="73"/>
      <c r="G2127" s="73"/>
      <c r="H2127" s="73"/>
      <c r="I2127" s="73"/>
      <c r="J2127" s="73"/>
      <c r="L2127" s="73"/>
    </row>
    <row r="2128" spans="2:12">
      <c r="B2128" s="73"/>
      <c r="C2128" s="73"/>
      <c r="D2128" s="73"/>
      <c r="E2128" s="73"/>
      <c r="F2128" s="73"/>
      <c r="G2128" s="73"/>
      <c r="H2128" s="73"/>
      <c r="I2128" s="73"/>
      <c r="J2128" s="73"/>
      <c r="L2128" s="73"/>
    </row>
    <row r="2129" spans="2:12">
      <c r="B2129" s="73"/>
      <c r="C2129" s="73"/>
      <c r="D2129" s="73"/>
      <c r="E2129" s="73"/>
      <c r="F2129" s="73"/>
      <c r="G2129" s="73"/>
      <c r="H2129" s="73"/>
      <c r="I2129" s="73"/>
      <c r="J2129" s="73"/>
      <c r="L2129" s="73"/>
    </row>
    <row r="2130" spans="2:12">
      <c r="B2130" s="73"/>
      <c r="C2130" s="73"/>
      <c r="D2130" s="73"/>
      <c r="E2130" s="73"/>
      <c r="F2130" s="73"/>
      <c r="G2130" s="73"/>
      <c r="H2130" s="73"/>
      <c r="I2130" s="73"/>
      <c r="J2130" s="73"/>
      <c r="L2130" s="73"/>
    </row>
    <row r="2131" spans="2:12">
      <c r="B2131" s="73"/>
      <c r="C2131" s="73"/>
      <c r="D2131" s="73"/>
      <c r="E2131" s="73"/>
      <c r="F2131" s="73"/>
      <c r="G2131" s="73"/>
      <c r="H2131" s="73"/>
      <c r="I2131" s="73"/>
      <c r="J2131" s="73"/>
      <c r="L2131" s="73"/>
    </row>
    <row r="2132" spans="2:12">
      <c r="B2132" s="73"/>
      <c r="C2132" s="73"/>
      <c r="D2132" s="73"/>
      <c r="E2132" s="73"/>
      <c r="F2132" s="73"/>
      <c r="G2132" s="73"/>
      <c r="H2132" s="73"/>
      <c r="I2132" s="73"/>
      <c r="J2132" s="73"/>
      <c r="L2132" s="73"/>
    </row>
    <row r="2133" spans="2:12">
      <c r="B2133" s="73"/>
      <c r="C2133" s="73"/>
      <c r="D2133" s="73"/>
      <c r="E2133" s="73"/>
      <c r="F2133" s="73"/>
      <c r="G2133" s="73"/>
      <c r="H2133" s="73"/>
      <c r="I2133" s="73"/>
      <c r="J2133" s="73"/>
      <c r="L2133" s="73"/>
    </row>
    <row r="2134" spans="2:12">
      <c r="B2134" s="73"/>
      <c r="C2134" s="73"/>
      <c r="D2134" s="73"/>
      <c r="E2134" s="73"/>
      <c r="F2134" s="73"/>
      <c r="G2134" s="73"/>
      <c r="H2134" s="73"/>
      <c r="I2134" s="73"/>
      <c r="J2134" s="73"/>
      <c r="L2134" s="73"/>
    </row>
    <row r="2135" spans="2:12">
      <c r="B2135" s="73"/>
      <c r="C2135" s="73"/>
      <c r="D2135" s="73"/>
      <c r="E2135" s="73"/>
      <c r="F2135" s="73"/>
      <c r="G2135" s="73"/>
      <c r="H2135" s="73"/>
      <c r="I2135" s="73"/>
      <c r="J2135" s="73"/>
      <c r="L2135" s="73"/>
    </row>
    <row r="2136" spans="2:12">
      <c r="B2136" s="73"/>
      <c r="C2136" s="73"/>
      <c r="D2136" s="73"/>
      <c r="E2136" s="73"/>
      <c r="F2136" s="73"/>
      <c r="G2136" s="73"/>
      <c r="H2136" s="73"/>
      <c r="I2136" s="73"/>
      <c r="J2136" s="73"/>
      <c r="L2136" s="73"/>
    </row>
    <row r="2137" spans="2:12">
      <c r="B2137" s="73"/>
      <c r="C2137" s="73"/>
      <c r="D2137" s="73"/>
      <c r="E2137" s="73"/>
      <c r="F2137" s="73"/>
      <c r="G2137" s="73"/>
      <c r="H2137" s="73"/>
      <c r="I2137" s="73"/>
      <c r="J2137" s="73"/>
      <c r="L2137" s="73"/>
    </row>
    <row r="2138" spans="2:12">
      <c r="B2138" s="73"/>
      <c r="C2138" s="73"/>
      <c r="D2138" s="73"/>
      <c r="E2138" s="73"/>
      <c r="F2138" s="73"/>
      <c r="G2138" s="73"/>
      <c r="H2138" s="73"/>
      <c r="I2138" s="73"/>
      <c r="J2138" s="73"/>
      <c r="L2138" s="73"/>
    </row>
    <row r="2139" spans="2:12">
      <c r="B2139" s="73"/>
      <c r="C2139" s="73"/>
      <c r="D2139" s="73"/>
      <c r="E2139" s="73"/>
      <c r="F2139" s="73"/>
      <c r="G2139" s="73"/>
      <c r="H2139" s="73"/>
      <c r="I2139" s="73"/>
      <c r="J2139" s="73"/>
      <c r="L2139" s="73"/>
    </row>
    <row r="2140" spans="2:12">
      <c r="B2140" s="73"/>
      <c r="C2140" s="73"/>
      <c r="D2140" s="73"/>
      <c r="E2140" s="73"/>
      <c r="F2140" s="73"/>
      <c r="G2140" s="73"/>
      <c r="H2140" s="73"/>
      <c r="I2140" s="73"/>
      <c r="J2140" s="73"/>
      <c r="L2140" s="73"/>
    </row>
    <row r="2141" spans="2:12">
      <c r="B2141" s="73"/>
      <c r="C2141" s="73"/>
      <c r="D2141" s="73"/>
      <c r="E2141" s="73"/>
      <c r="F2141" s="73"/>
      <c r="G2141" s="73"/>
      <c r="H2141" s="73"/>
      <c r="I2141" s="73"/>
      <c r="J2141" s="73"/>
      <c r="L2141" s="73"/>
    </row>
    <row r="2142" spans="2:12">
      <c r="B2142" s="73"/>
      <c r="C2142" s="73"/>
      <c r="D2142" s="73"/>
      <c r="E2142" s="73"/>
      <c r="F2142" s="73"/>
      <c r="G2142" s="73"/>
      <c r="H2142" s="73"/>
      <c r="I2142" s="73"/>
      <c r="J2142" s="73"/>
      <c r="L2142" s="73"/>
    </row>
    <row r="2143" spans="2:12">
      <c r="B2143" s="73"/>
      <c r="C2143" s="73"/>
      <c r="D2143" s="73"/>
      <c r="E2143" s="73"/>
      <c r="F2143" s="73"/>
      <c r="G2143" s="73"/>
      <c r="H2143" s="73"/>
      <c r="I2143" s="73"/>
      <c r="J2143" s="73"/>
      <c r="L2143" s="73"/>
    </row>
    <row r="2144" spans="2:12">
      <c r="B2144" s="73"/>
      <c r="C2144" s="73"/>
      <c r="D2144" s="73"/>
      <c r="E2144" s="73"/>
      <c r="F2144" s="73"/>
      <c r="G2144" s="73"/>
      <c r="H2144" s="73"/>
      <c r="I2144" s="73"/>
      <c r="J2144" s="73"/>
      <c r="L2144" s="73"/>
    </row>
    <row r="2145" spans="2:12">
      <c r="B2145" s="73"/>
      <c r="C2145" s="73"/>
      <c r="D2145" s="73"/>
      <c r="E2145" s="73"/>
      <c r="F2145" s="73"/>
      <c r="G2145" s="73"/>
      <c r="H2145" s="73"/>
      <c r="I2145" s="73"/>
      <c r="J2145" s="73"/>
      <c r="L2145" s="73"/>
    </row>
    <row r="2146" spans="2:12">
      <c r="B2146" s="73"/>
      <c r="C2146" s="73"/>
      <c r="D2146" s="73"/>
      <c r="E2146" s="73"/>
      <c r="F2146" s="73"/>
      <c r="G2146" s="73"/>
      <c r="H2146" s="73"/>
      <c r="I2146" s="73"/>
      <c r="J2146" s="73"/>
      <c r="L2146" s="73"/>
    </row>
    <row r="2147" spans="2:12">
      <c r="B2147" s="73"/>
      <c r="C2147" s="73"/>
      <c r="D2147" s="73"/>
      <c r="E2147" s="73"/>
      <c r="F2147" s="73"/>
      <c r="G2147" s="73"/>
      <c r="H2147" s="73"/>
      <c r="I2147" s="73"/>
      <c r="J2147" s="73"/>
      <c r="L2147" s="73"/>
    </row>
    <row r="2148" spans="2:12">
      <c r="B2148" s="73"/>
      <c r="C2148" s="73"/>
      <c r="D2148" s="73"/>
      <c r="E2148" s="73"/>
      <c r="F2148" s="73"/>
      <c r="G2148" s="73"/>
      <c r="H2148" s="73"/>
      <c r="I2148" s="73"/>
      <c r="J2148" s="73"/>
      <c r="L2148" s="73"/>
    </row>
    <row r="2149" spans="2:12">
      <c r="B2149" s="73"/>
      <c r="C2149" s="73"/>
      <c r="D2149" s="73"/>
      <c r="E2149" s="73"/>
      <c r="F2149" s="73"/>
      <c r="G2149" s="73"/>
      <c r="H2149" s="73"/>
      <c r="I2149" s="73"/>
      <c r="J2149" s="73"/>
      <c r="L2149" s="73"/>
    </row>
    <row r="2150" spans="2:12">
      <c r="B2150" s="73"/>
      <c r="C2150" s="73"/>
      <c r="D2150" s="73"/>
      <c r="E2150" s="73"/>
      <c r="F2150" s="73"/>
      <c r="G2150" s="73"/>
      <c r="H2150" s="73"/>
      <c r="I2150" s="73"/>
      <c r="J2150" s="73"/>
      <c r="L2150" s="73"/>
    </row>
    <row r="2151" spans="2:12">
      <c r="B2151" s="73"/>
      <c r="C2151" s="73"/>
      <c r="D2151" s="73"/>
      <c r="E2151" s="73"/>
      <c r="F2151" s="73"/>
      <c r="G2151" s="73"/>
      <c r="H2151" s="73"/>
      <c r="I2151" s="73"/>
      <c r="J2151" s="73"/>
      <c r="L2151" s="73"/>
    </row>
    <row r="2152" spans="2:12">
      <c r="B2152" s="73"/>
      <c r="C2152" s="73"/>
      <c r="D2152" s="73"/>
      <c r="E2152" s="73"/>
      <c r="F2152" s="73"/>
      <c r="G2152" s="73"/>
      <c r="H2152" s="73"/>
      <c r="I2152" s="73"/>
      <c r="J2152" s="73"/>
      <c r="L2152" s="73"/>
    </row>
    <row r="2153" spans="2:12">
      <c r="B2153" s="73"/>
      <c r="C2153" s="73"/>
      <c r="D2153" s="73"/>
      <c r="E2153" s="73"/>
      <c r="F2153" s="73"/>
      <c r="G2153" s="73"/>
      <c r="H2153" s="73"/>
      <c r="I2153" s="73"/>
      <c r="J2153" s="73"/>
      <c r="L2153" s="73"/>
    </row>
    <row r="2154" spans="2:12">
      <c r="B2154" s="73"/>
      <c r="C2154" s="73"/>
      <c r="D2154" s="73"/>
      <c r="E2154" s="73"/>
      <c r="F2154" s="73"/>
      <c r="G2154" s="73"/>
      <c r="H2154" s="73"/>
      <c r="I2154" s="73"/>
      <c r="J2154" s="73"/>
      <c r="L2154" s="73"/>
    </row>
    <row r="2155" spans="2:12">
      <c r="B2155" s="73"/>
      <c r="C2155" s="73"/>
      <c r="D2155" s="73"/>
      <c r="E2155" s="73"/>
      <c r="F2155" s="73"/>
      <c r="G2155" s="73"/>
      <c r="H2155" s="73"/>
      <c r="I2155" s="73"/>
      <c r="J2155" s="73"/>
      <c r="L2155" s="73"/>
    </row>
    <row r="2156" spans="2:12">
      <c r="B2156" s="73"/>
      <c r="C2156" s="73"/>
      <c r="D2156" s="73"/>
      <c r="E2156" s="73"/>
      <c r="F2156" s="73"/>
      <c r="G2156" s="73"/>
      <c r="H2156" s="73"/>
      <c r="I2156" s="73"/>
      <c r="J2156" s="73"/>
      <c r="L2156" s="73"/>
    </row>
    <row r="2157" spans="2:12">
      <c r="B2157" s="73"/>
      <c r="C2157" s="73"/>
      <c r="D2157" s="73"/>
      <c r="E2157" s="73"/>
      <c r="F2157" s="73"/>
      <c r="G2157" s="73"/>
      <c r="H2157" s="73"/>
      <c r="I2157" s="73"/>
      <c r="J2157" s="73"/>
      <c r="L2157" s="73"/>
    </row>
    <row r="2158" spans="2:12">
      <c r="B2158" s="73"/>
      <c r="C2158" s="73"/>
      <c r="D2158" s="73"/>
      <c r="E2158" s="73"/>
      <c r="F2158" s="73"/>
      <c r="G2158" s="73"/>
      <c r="H2158" s="73"/>
      <c r="I2158" s="73"/>
      <c r="J2158" s="73"/>
      <c r="L2158" s="73"/>
    </row>
    <row r="2159" spans="2:12">
      <c r="B2159" s="73"/>
      <c r="C2159" s="73"/>
      <c r="D2159" s="73"/>
      <c r="E2159" s="73"/>
      <c r="F2159" s="73"/>
      <c r="G2159" s="73"/>
      <c r="H2159" s="73"/>
      <c r="I2159" s="73"/>
      <c r="J2159" s="73"/>
      <c r="L2159" s="73"/>
    </row>
    <row r="2160" spans="2:12">
      <c r="B2160" s="73"/>
      <c r="C2160" s="73"/>
      <c r="D2160" s="73"/>
      <c r="E2160" s="73"/>
      <c r="F2160" s="73"/>
      <c r="G2160" s="73"/>
      <c r="H2160" s="73"/>
      <c r="I2160" s="73"/>
      <c r="J2160" s="73"/>
      <c r="L2160" s="73"/>
    </row>
    <row r="2161" spans="2:12">
      <c r="B2161" s="73"/>
      <c r="C2161" s="73"/>
      <c r="D2161" s="73"/>
      <c r="E2161" s="73"/>
      <c r="F2161" s="73"/>
      <c r="G2161" s="73"/>
      <c r="H2161" s="73"/>
      <c r="I2161" s="73"/>
      <c r="J2161" s="73"/>
      <c r="L2161" s="73"/>
    </row>
    <row r="2162" spans="2:12">
      <c r="B2162" s="73"/>
      <c r="C2162" s="73"/>
      <c r="D2162" s="73"/>
      <c r="E2162" s="73"/>
      <c r="F2162" s="73"/>
      <c r="G2162" s="73"/>
      <c r="H2162" s="73"/>
      <c r="I2162" s="73"/>
      <c r="J2162" s="73"/>
      <c r="L2162" s="73"/>
    </row>
    <row r="2163" spans="2:12">
      <c r="B2163" s="73"/>
      <c r="C2163" s="73"/>
      <c r="D2163" s="73"/>
      <c r="E2163" s="73"/>
      <c r="F2163" s="73"/>
      <c r="G2163" s="73"/>
      <c r="H2163" s="73"/>
      <c r="I2163" s="73"/>
      <c r="J2163" s="73"/>
      <c r="L2163" s="73"/>
    </row>
    <row r="2164" spans="2:12">
      <c r="B2164" s="73"/>
      <c r="C2164" s="73"/>
      <c r="D2164" s="73"/>
      <c r="E2164" s="73"/>
      <c r="F2164" s="73"/>
      <c r="G2164" s="73"/>
      <c r="H2164" s="73"/>
      <c r="I2164" s="73"/>
      <c r="J2164" s="73"/>
      <c r="L2164" s="73"/>
    </row>
    <row r="2165" spans="2:12">
      <c r="B2165" s="73"/>
      <c r="C2165" s="73"/>
      <c r="D2165" s="73"/>
      <c r="E2165" s="73"/>
      <c r="F2165" s="73"/>
      <c r="G2165" s="73"/>
      <c r="H2165" s="73"/>
      <c r="I2165" s="73"/>
      <c r="J2165" s="73"/>
      <c r="L2165" s="73"/>
    </row>
    <row r="2166" spans="2:12">
      <c r="B2166" s="73"/>
      <c r="C2166" s="73"/>
      <c r="D2166" s="73"/>
      <c r="E2166" s="73"/>
      <c r="F2166" s="73"/>
      <c r="G2166" s="73"/>
      <c r="H2166" s="73"/>
      <c r="I2166" s="73"/>
      <c r="J2166" s="73"/>
      <c r="L2166" s="73"/>
    </row>
    <row r="2167" spans="2:12">
      <c r="B2167" s="73"/>
      <c r="C2167" s="73"/>
      <c r="D2167" s="73"/>
      <c r="E2167" s="73"/>
      <c r="F2167" s="73"/>
      <c r="G2167" s="73"/>
      <c r="H2167" s="73"/>
      <c r="I2167" s="73"/>
      <c r="J2167" s="73"/>
      <c r="L2167" s="73"/>
    </row>
    <row r="2168" spans="2:12">
      <c r="B2168" s="73"/>
      <c r="C2168" s="73"/>
      <c r="D2168" s="73"/>
      <c r="E2168" s="73"/>
      <c r="F2168" s="73"/>
      <c r="G2168" s="73"/>
      <c r="H2168" s="73"/>
      <c r="I2168" s="73"/>
      <c r="J2168" s="73"/>
      <c r="L2168" s="73"/>
    </row>
    <row r="2169" spans="2:12">
      <c r="B2169" s="73"/>
      <c r="C2169" s="73"/>
      <c r="D2169" s="73"/>
      <c r="E2169" s="73"/>
      <c r="F2169" s="73"/>
      <c r="G2169" s="73"/>
      <c r="H2169" s="73"/>
      <c r="I2169" s="73"/>
      <c r="J2169" s="73"/>
      <c r="L2169" s="73"/>
    </row>
    <row r="2170" spans="2:12">
      <c r="B2170" s="73"/>
      <c r="C2170" s="73"/>
      <c r="D2170" s="73"/>
      <c r="E2170" s="73"/>
      <c r="F2170" s="73"/>
      <c r="G2170" s="73"/>
      <c r="H2170" s="73"/>
      <c r="I2170" s="73"/>
      <c r="J2170" s="73"/>
      <c r="L2170" s="73"/>
    </row>
    <row r="2171" spans="2:12">
      <c r="B2171" s="73"/>
      <c r="C2171" s="73"/>
      <c r="D2171" s="73"/>
      <c r="E2171" s="73"/>
      <c r="F2171" s="73"/>
      <c r="G2171" s="73"/>
      <c r="H2171" s="73"/>
      <c r="I2171" s="73"/>
      <c r="J2171" s="73"/>
      <c r="L2171" s="73"/>
    </row>
    <row r="2172" spans="2:12">
      <c r="B2172" s="73"/>
      <c r="C2172" s="73"/>
      <c r="D2172" s="73"/>
      <c r="E2172" s="73"/>
      <c r="F2172" s="73"/>
      <c r="G2172" s="73"/>
      <c r="H2172" s="73"/>
      <c r="I2172" s="73"/>
      <c r="J2172" s="73"/>
      <c r="L2172" s="73"/>
    </row>
    <row r="2173" spans="2:12">
      <c r="B2173" s="73"/>
      <c r="C2173" s="73"/>
      <c r="D2173" s="73"/>
      <c r="E2173" s="73"/>
      <c r="F2173" s="73"/>
      <c r="G2173" s="73"/>
      <c r="H2173" s="73"/>
      <c r="I2173" s="73"/>
      <c r="J2173" s="73"/>
      <c r="L2173" s="73"/>
    </row>
    <row r="2174" spans="2:12">
      <c r="B2174" s="73"/>
      <c r="C2174" s="73"/>
      <c r="D2174" s="73"/>
      <c r="E2174" s="73"/>
      <c r="F2174" s="73"/>
      <c r="G2174" s="73"/>
      <c r="H2174" s="73"/>
      <c r="I2174" s="73"/>
      <c r="J2174" s="73"/>
      <c r="L2174" s="73"/>
    </row>
    <row r="2175" spans="2:12">
      <c r="B2175" s="73"/>
      <c r="C2175" s="73"/>
      <c r="D2175" s="73"/>
      <c r="E2175" s="73"/>
      <c r="F2175" s="73"/>
      <c r="G2175" s="73"/>
      <c r="H2175" s="73"/>
      <c r="I2175" s="73"/>
      <c r="J2175" s="73"/>
      <c r="L2175" s="73"/>
    </row>
    <row r="2176" spans="2:12">
      <c r="B2176" s="73"/>
      <c r="C2176" s="73"/>
      <c r="D2176" s="73"/>
      <c r="E2176" s="73"/>
      <c r="F2176" s="73"/>
      <c r="G2176" s="73"/>
      <c r="H2176" s="73"/>
      <c r="I2176" s="73"/>
      <c r="J2176" s="73"/>
      <c r="L2176" s="73"/>
    </row>
    <row r="2177" spans="2:12">
      <c r="B2177" s="73"/>
      <c r="C2177" s="73"/>
      <c r="D2177" s="73"/>
      <c r="E2177" s="73"/>
      <c r="F2177" s="73"/>
      <c r="G2177" s="73"/>
      <c r="H2177" s="73"/>
      <c r="I2177" s="73"/>
      <c r="J2177" s="73"/>
      <c r="L2177" s="73"/>
    </row>
    <row r="2178" spans="2:12">
      <c r="B2178" s="73"/>
      <c r="C2178" s="73"/>
      <c r="D2178" s="73"/>
      <c r="E2178" s="73"/>
      <c r="F2178" s="73"/>
      <c r="G2178" s="73"/>
      <c r="H2178" s="73"/>
      <c r="I2178" s="73"/>
      <c r="J2178" s="73"/>
      <c r="L2178" s="73"/>
    </row>
    <row r="2179" spans="2:12">
      <c r="B2179" s="73"/>
      <c r="C2179" s="73"/>
      <c r="D2179" s="73"/>
      <c r="E2179" s="73"/>
      <c r="F2179" s="73"/>
      <c r="G2179" s="73"/>
      <c r="H2179" s="73"/>
      <c r="I2179" s="73"/>
      <c r="J2179" s="73"/>
      <c r="L2179" s="73"/>
    </row>
    <row r="2180" spans="2:12">
      <c r="B2180" s="73"/>
      <c r="C2180" s="73"/>
      <c r="D2180" s="73"/>
      <c r="E2180" s="73"/>
      <c r="F2180" s="73"/>
      <c r="G2180" s="73"/>
      <c r="H2180" s="73"/>
      <c r="I2180" s="73"/>
      <c r="J2180" s="73"/>
      <c r="L2180" s="73"/>
    </row>
    <row r="2181" spans="2:12">
      <c r="B2181" s="73"/>
      <c r="C2181" s="73"/>
      <c r="D2181" s="73"/>
      <c r="E2181" s="73"/>
      <c r="F2181" s="73"/>
      <c r="G2181" s="73"/>
      <c r="H2181" s="73"/>
      <c r="I2181" s="73"/>
      <c r="J2181" s="73"/>
      <c r="L2181" s="73"/>
    </row>
    <row r="2182" spans="2:12">
      <c r="B2182" s="73"/>
      <c r="C2182" s="73"/>
      <c r="D2182" s="73"/>
      <c r="E2182" s="73"/>
      <c r="F2182" s="73"/>
      <c r="G2182" s="73"/>
      <c r="H2182" s="73"/>
      <c r="I2182" s="73"/>
      <c r="J2182" s="73"/>
      <c r="L2182" s="73"/>
    </row>
    <row r="2183" spans="2:12">
      <c r="B2183" s="73"/>
      <c r="C2183" s="73"/>
      <c r="D2183" s="73"/>
      <c r="E2183" s="73"/>
      <c r="F2183" s="73"/>
      <c r="G2183" s="73"/>
      <c r="H2183" s="73"/>
      <c r="I2183" s="73"/>
      <c r="J2183" s="73"/>
      <c r="L2183" s="73"/>
    </row>
    <row r="2184" spans="2:12">
      <c r="B2184" s="73"/>
      <c r="C2184" s="73"/>
      <c r="D2184" s="73"/>
      <c r="E2184" s="73"/>
      <c r="F2184" s="73"/>
      <c r="G2184" s="73"/>
      <c r="H2184" s="73"/>
      <c r="I2184" s="73"/>
      <c r="J2184" s="73"/>
      <c r="L2184" s="73"/>
    </row>
    <row r="2185" spans="2:12">
      <c r="B2185" s="73"/>
      <c r="C2185" s="73"/>
      <c r="D2185" s="73"/>
      <c r="E2185" s="73"/>
      <c r="F2185" s="73"/>
      <c r="G2185" s="73"/>
      <c r="H2185" s="73"/>
      <c r="I2185" s="73"/>
      <c r="J2185" s="73"/>
      <c r="L2185" s="73"/>
    </row>
    <row r="2186" spans="2:12">
      <c r="B2186" s="73"/>
      <c r="C2186" s="73"/>
      <c r="D2186" s="73"/>
      <c r="E2186" s="73"/>
      <c r="F2186" s="73"/>
      <c r="G2186" s="73"/>
      <c r="H2186" s="73"/>
      <c r="I2186" s="73"/>
      <c r="J2186" s="73"/>
      <c r="L2186" s="73"/>
    </row>
    <row r="2187" spans="2:12">
      <c r="B2187" s="73"/>
      <c r="C2187" s="73"/>
      <c r="D2187" s="73"/>
      <c r="E2187" s="73"/>
      <c r="F2187" s="73"/>
      <c r="G2187" s="73"/>
      <c r="H2187" s="73"/>
      <c r="I2187" s="73"/>
      <c r="J2187" s="73"/>
      <c r="L2187" s="73"/>
    </row>
    <row r="2188" spans="2:12">
      <c r="B2188" s="73"/>
      <c r="C2188" s="73"/>
      <c r="D2188" s="73"/>
      <c r="E2188" s="73"/>
      <c r="F2188" s="73"/>
      <c r="G2188" s="73"/>
      <c r="H2188" s="73"/>
      <c r="I2188" s="73"/>
      <c r="J2188" s="73"/>
      <c r="L2188" s="73"/>
    </row>
    <row r="2189" spans="2:12">
      <c r="B2189" s="73"/>
      <c r="C2189" s="73"/>
      <c r="D2189" s="73"/>
      <c r="E2189" s="73"/>
      <c r="F2189" s="73"/>
      <c r="G2189" s="73"/>
      <c r="H2189" s="73"/>
      <c r="I2189" s="73"/>
      <c r="J2189" s="73"/>
      <c r="L2189" s="73"/>
    </row>
    <row r="2190" spans="2:12">
      <c r="B2190" s="73"/>
      <c r="C2190" s="73"/>
      <c r="D2190" s="73"/>
      <c r="E2190" s="73"/>
      <c r="F2190" s="73"/>
      <c r="G2190" s="73"/>
      <c r="H2190" s="73"/>
      <c r="I2190" s="73"/>
      <c r="J2190" s="73"/>
      <c r="L2190" s="73"/>
    </row>
    <row r="2191" spans="2:12">
      <c r="B2191" s="73"/>
      <c r="C2191" s="73"/>
      <c r="D2191" s="73"/>
      <c r="E2191" s="73"/>
      <c r="F2191" s="73"/>
      <c r="G2191" s="73"/>
      <c r="H2191" s="73"/>
      <c r="I2191" s="73"/>
      <c r="J2191" s="73"/>
      <c r="L2191" s="73"/>
    </row>
    <row r="2192" spans="2:12">
      <c r="B2192" s="73"/>
      <c r="C2192" s="73"/>
      <c r="D2192" s="73"/>
      <c r="E2192" s="73"/>
      <c r="F2192" s="73"/>
      <c r="G2192" s="73"/>
      <c r="H2192" s="73"/>
      <c r="I2192" s="73"/>
      <c r="J2192" s="73"/>
      <c r="L2192" s="73"/>
    </row>
    <row r="2193" spans="2:12">
      <c r="B2193" s="73"/>
      <c r="C2193" s="73"/>
      <c r="D2193" s="73"/>
      <c r="E2193" s="73"/>
      <c r="F2193" s="73"/>
      <c r="G2193" s="73"/>
      <c r="H2193" s="73"/>
      <c r="I2193" s="73"/>
      <c r="J2193" s="73"/>
      <c r="L2193" s="73"/>
    </row>
    <row r="2194" spans="2:12">
      <c r="B2194" s="73"/>
      <c r="C2194" s="73"/>
      <c r="D2194" s="73"/>
      <c r="E2194" s="73"/>
      <c r="F2194" s="73"/>
      <c r="G2194" s="73"/>
      <c r="H2194" s="73"/>
      <c r="I2194" s="73"/>
      <c r="J2194" s="73"/>
      <c r="L2194" s="73"/>
    </row>
    <row r="2195" spans="2:12">
      <c r="B2195" s="73"/>
      <c r="C2195" s="73"/>
      <c r="D2195" s="73"/>
      <c r="E2195" s="73"/>
      <c r="F2195" s="73"/>
      <c r="G2195" s="73"/>
      <c r="H2195" s="73"/>
      <c r="I2195" s="73"/>
      <c r="J2195" s="73"/>
      <c r="L2195" s="73"/>
    </row>
    <row r="2196" spans="2:12">
      <c r="B2196" s="73"/>
      <c r="C2196" s="73"/>
      <c r="D2196" s="73"/>
      <c r="E2196" s="73"/>
      <c r="F2196" s="73"/>
      <c r="G2196" s="73"/>
      <c r="H2196" s="73"/>
      <c r="I2196" s="73"/>
      <c r="J2196" s="73"/>
      <c r="L2196" s="73"/>
    </row>
    <row r="2197" spans="2:12">
      <c r="B2197" s="73"/>
      <c r="C2197" s="73"/>
      <c r="D2197" s="73"/>
      <c r="E2197" s="73"/>
      <c r="F2197" s="73"/>
      <c r="G2197" s="73"/>
      <c r="H2197" s="73"/>
      <c r="I2197" s="73"/>
      <c r="J2197" s="73"/>
      <c r="L2197" s="73"/>
    </row>
    <row r="2198" spans="2:12">
      <c r="B2198" s="73"/>
      <c r="C2198" s="73"/>
      <c r="D2198" s="73"/>
      <c r="E2198" s="73"/>
      <c r="F2198" s="73"/>
      <c r="G2198" s="73"/>
      <c r="H2198" s="73"/>
      <c r="I2198" s="73"/>
      <c r="J2198" s="73"/>
      <c r="L2198" s="73"/>
    </row>
    <row r="2199" spans="2:12">
      <c r="B2199" s="73"/>
      <c r="C2199" s="73"/>
      <c r="D2199" s="73"/>
      <c r="E2199" s="73"/>
      <c r="F2199" s="73"/>
      <c r="G2199" s="73"/>
      <c r="H2199" s="73"/>
      <c r="I2199" s="73"/>
      <c r="J2199" s="73"/>
      <c r="L2199" s="73"/>
    </row>
    <row r="2200" spans="2:12">
      <c r="B2200" s="73"/>
      <c r="C2200" s="73"/>
      <c r="D2200" s="73"/>
      <c r="E2200" s="73"/>
      <c r="F2200" s="73"/>
      <c r="G2200" s="73"/>
      <c r="H2200" s="73"/>
      <c r="I2200" s="73"/>
      <c r="J2200" s="73"/>
      <c r="L2200" s="73"/>
    </row>
    <row r="2201" spans="2:12">
      <c r="B2201" s="73"/>
      <c r="C2201" s="73"/>
      <c r="D2201" s="73"/>
      <c r="E2201" s="73"/>
      <c r="F2201" s="73"/>
      <c r="G2201" s="73"/>
      <c r="H2201" s="73"/>
      <c r="I2201" s="73"/>
      <c r="J2201" s="73"/>
      <c r="L2201" s="73"/>
    </row>
    <row r="2202" spans="2:12">
      <c r="B2202" s="73"/>
      <c r="C2202" s="73"/>
      <c r="D2202" s="73"/>
      <c r="E2202" s="73"/>
      <c r="F2202" s="73"/>
      <c r="G2202" s="73"/>
      <c r="H2202" s="73"/>
      <c r="I2202" s="73"/>
      <c r="J2202" s="73"/>
      <c r="L2202" s="73"/>
    </row>
    <row r="2203" spans="2:12">
      <c r="B2203" s="73"/>
      <c r="C2203" s="73"/>
      <c r="D2203" s="73"/>
      <c r="E2203" s="73"/>
      <c r="F2203" s="73"/>
      <c r="G2203" s="73"/>
      <c r="H2203" s="73"/>
      <c r="I2203" s="73"/>
      <c r="J2203" s="73"/>
      <c r="L2203" s="73"/>
    </row>
    <row r="2204" spans="2:12">
      <c r="B2204" s="73"/>
      <c r="C2204" s="73"/>
      <c r="D2204" s="73"/>
      <c r="E2204" s="73"/>
      <c r="F2204" s="73"/>
      <c r="G2204" s="73"/>
      <c r="H2204" s="73"/>
      <c r="I2204" s="73"/>
      <c r="J2204" s="73"/>
      <c r="L2204" s="73"/>
    </row>
    <row r="2205" spans="2:12">
      <c r="B2205" s="73"/>
      <c r="C2205" s="73"/>
      <c r="D2205" s="73"/>
      <c r="E2205" s="73"/>
      <c r="F2205" s="73"/>
      <c r="G2205" s="73"/>
      <c r="H2205" s="73"/>
      <c r="I2205" s="73"/>
      <c r="J2205" s="73"/>
      <c r="L2205" s="73"/>
    </row>
    <row r="2206" spans="2:12">
      <c r="B2206" s="73"/>
      <c r="C2206" s="73"/>
      <c r="D2206" s="73"/>
      <c r="E2206" s="73"/>
      <c r="F2206" s="73"/>
      <c r="G2206" s="73"/>
      <c r="H2206" s="73"/>
      <c r="I2206" s="73"/>
      <c r="J2206" s="73"/>
      <c r="L2206" s="73"/>
    </row>
    <row r="2207" spans="2:12">
      <c r="B2207" s="73"/>
      <c r="C2207" s="73"/>
      <c r="D2207" s="73"/>
      <c r="E2207" s="73"/>
      <c r="F2207" s="73"/>
      <c r="G2207" s="73"/>
      <c r="H2207" s="73"/>
      <c r="I2207" s="73"/>
      <c r="J2207" s="73"/>
      <c r="L2207" s="73"/>
    </row>
    <row r="2208" spans="2:12">
      <c r="B2208" s="73"/>
      <c r="C2208" s="73"/>
      <c r="D2208" s="73"/>
      <c r="E2208" s="73"/>
      <c r="F2208" s="73"/>
      <c r="G2208" s="73"/>
      <c r="H2208" s="73"/>
      <c r="I2208" s="73"/>
      <c r="J2208" s="73"/>
      <c r="L2208" s="73"/>
    </row>
    <row r="2209" spans="2:12">
      <c r="B2209" s="73"/>
      <c r="C2209" s="73"/>
      <c r="D2209" s="73"/>
      <c r="E2209" s="73"/>
      <c r="F2209" s="73"/>
      <c r="G2209" s="73"/>
      <c r="H2209" s="73"/>
      <c r="I2209" s="73"/>
      <c r="J2209" s="73"/>
      <c r="L2209" s="73"/>
    </row>
    <row r="2210" spans="2:12">
      <c r="B2210" s="73"/>
      <c r="C2210" s="73"/>
      <c r="D2210" s="73"/>
      <c r="E2210" s="73"/>
      <c r="F2210" s="73"/>
      <c r="G2210" s="73"/>
      <c r="H2210" s="73"/>
      <c r="I2210" s="73"/>
      <c r="J2210" s="73"/>
      <c r="L2210" s="73"/>
    </row>
    <row r="2211" spans="2:12">
      <c r="B2211" s="73"/>
      <c r="C2211" s="73"/>
      <c r="D2211" s="73"/>
      <c r="E2211" s="73"/>
      <c r="F2211" s="73"/>
      <c r="G2211" s="73"/>
      <c r="H2211" s="73"/>
      <c r="I2211" s="73"/>
      <c r="J2211" s="73"/>
      <c r="L2211" s="73"/>
    </row>
    <row r="2212" spans="2:12">
      <c r="B2212" s="73"/>
      <c r="C2212" s="73"/>
      <c r="D2212" s="73"/>
      <c r="E2212" s="73"/>
      <c r="F2212" s="73"/>
      <c r="G2212" s="73"/>
      <c r="H2212" s="73"/>
      <c r="I2212" s="73"/>
      <c r="J2212" s="73"/>
      <c r="L2212" s="73"/>
    </row>
    <row r="2213" spans="2:12">
      <c r="B2213" s="73"/>
      <c r="C2213" s="73"/>
      <c r="D2213" s="73"/>
      <c r="E2213" s="73"/>
      <c r="F2213" s="73"/>
      <c r="G2213" s="73"/>
      <c r="H2213" s="73"/>
      <c r="I2213" s="73"/>
      <c r="J2213" s="73"/>
      <c r="L2213" s="73"/>
    </row>
    <row r="2214" spans="2:12">
      <c r="B2214" s="73"/>
      <c r="C2214" s="73"/>
      <c r="D2214" s="73"/>
      <c r="E2214" s="73"/>
      <c r="F2214" s="73"/>
      <c r="G2214" s="73"/>
      <c r="H2214" s="73"/>
      <c r="I2214" s="73"/>
      <c r="J2214" s="73"/>
      <c r="L2214" s="73"/>
    </row>
    <row r="2215" spans="2:12">
      <c r="B2215" s="73"/>
      <c r="C2215" s="73"/>
      <c r="D2215" s="73"/>
      <c r="E2215" s="73"/>
      <c r="F2215" s="73"/>
      <c r="G2215" s="73"/>
      <c r="H2215" s="73"/>
      <c r="I2215" s="73"/>
      <c r="J2215" s="73"/>
      <c r="L2215" s="73"/>
    </row>
    <row r="2216" spans="2:12">
      <c r="B2216" s="73"/>
      <c r="C2216" s="73"/>
      <c r="D2216" s="73"/>
      <c r="E2216" s="73"/>
      <c r="F2216" s="73"/>
      <c r="G2216" s="73"/>
      <c r="H2216" s="73"/>
      <c r="I2216" s="73"/>
      <c r="J2216" s="73"/>
      <c r="L2216" s="73"/>
    </row>
    <row r="2217" spans="2:12">
      <c r="B2217" s="73"/>
      <c r="C2217" s="73"/>
      <c r="D2217" s="73"/>
      <c r="E2217" s="73"/>
      <c r="F2217" s="73"/>
      <c r="G2217" s="73"/>
      <c r="H2217" s="73"/>
      <c r="I2217" s="73"/>
      <c r="J2217" s="73"/>
      <c r="L2217" s="73"/>
    </row>
    <row r="2218" spans="2:12">
      <c r="B2218" s="73"/>
      <c r="C2218" s="73"/>
      <c r="D2218" s="73"/>
      <c r="E2218" s="73"/>
      <c r="F2218" s="73"/>
      <c r="G2218" s="73"/>
      <c r="H2218" s="73"/>
      <c r="I2218" s="73"/>
      <c r="J2218" s="73"/>
      <c r="L2218" s="73"/>
    </row>
    <row r="2219" spans="2:12">
      <c r="B2219" s="73"/>
      <c r="C2219" s="73"/>
      <c r="D2219" s="73"/>
      <c r="E2219" s="73"/>
      <c r="F2219" s="73"/>
      <c r="G2219" s="73"/>
      <c r="H2219" s="73"/>
      <c r="I2219" s="73"/>
      <c r="J2219" s="73"/>
      <c r="L2219" s="73"/>
    </row>
    <row r="2220" spans="2:12">
      <c r="B2220" s="73"/>
      <c r="C2220" s="73"/>
      <c r="D2220" s="73"/>
      <c r="E2220" s="73"/>
      <c r="F2220" s="73"/>
      <c r="G2220" s="73"/>
      <c r="H2220" s="73"/>
      <c r="I2220" s="73"/>
      <c r="J2220" s="73"/>
      <c r="L2220" s="73"/>
    </row>
    <row r="2221" spans="2:12">
      <c r="B2221" s="73"/>
      <c r="C2221" s="73"/>
      <c r="D2221" s="73"/>
      <c r="E2221" s="73"/>
      <c r="F2221" s="73"/>
      <c r="G2221" s="73"/>
      <c r="H2221" s="73"/>
      <c r="I2221" s="73"/>
      <c r="J2221" s="73"/>
      <c r="L2221" s="73"/>
    </row>
    <row r="2222" spans="2:12">
      <c r="B2222" s="73"/>
      <c r="C2222" s="73"/>
      <c r="D2222" s="73"/>
      <c r="E2222" s="73"/>
      <c r="F2222" s="73"/>
      <c r="G2222" s="73"/>
      <c r="H2222" s="73"/>
      <c r="I2222" s="73"/>
      <c r="J2222" s="73"/>
      <c r="L2222" s="73"/>
    </row>
    <row r="2223" spans="2:12">
      <c r="B2223" s="73"/>
      <c r="C2223" s="73"/>
      <c r="D2223" s="73"/>
      <c r="E2223" s="73"/>
      <c r="F2223" s="73"/>
      <c r="G2223" s="73"/>
      <c r="H2223" s="73"/>
      <c r="I2223" s="73"/>
      <c r="J2223" s="73"/>
      <c r="L2223" s="73"/>
    </row>
    <row r="2224" spans="2:12">
      <c r="B2224" s="73"/>
      <c r="C2224" s="73"/>
      <c r="D2224" s="73"/>
      <c r="E2224" s="73"/>
      <c r="F2224" s="73"/>
      <c r="G2224" s="73"/>
      <c r="H2224" s="73"/>
      <c r="I2224" s="73"/>
      <c r="J2224" s="73"/>
      <c r="L2224" s="73"/>
    </row>
    <row r="2225" spans="2:12">
      <c r="B2225" s="73"/>
      <c r="C2225" s="73"/>
      <c r="D2225" s="73"/>
      <c r="E2225" s="73"/>
      <c r="F2225" s="73"/>
      <c r="G2225" s="73"/>
      <c r="H2225" s="73"/>
      <c r="I2225" s="73"/>
      <c r="J2225" s="73"/>
      <c r="L2225" s="73"/>
    </row>
    <row r="2226" spans="2:12">
      <c r="B2226" s="73"/>
      <c r="C2226" s="73"/>
      <c r="D2226" s="73"/>
      <c r="E2226" s="73"/>
      <c r="F2226" s="73"/>
      <c r="G2226" s="73"/>
      <c r="H2226" s="73"/>
      <c r="I2226" s="73"/>
      <c r="J2226" s="73"/>
      <c r="L2226" s="73"/>
    </row>
    <row r="2227" spans="2:12">
      <c r="B2227" s="73"/>
      <c r="C2227" s="73"/>
      <c r="D2227" s="73"/>
      <c r="E2227" s="73"/>
      <c r="F2227" s="73"/>
      <c r="G2227" s="73"/>
      <c r="H2227" s="73"/>
      <c r="I2227" s="73"/>
      <c r="J2227" s="73"/>
      <c r="L2227" s="73"/>
    </row>
    <row r="2228" spans="2:12">
      <c r="B2228" s="73"/>
      <c r="C2228" s="73"/>
      <c r="D2228" s="73"/>
      <c r="E2228" s="73"/>
      <c r="F2228" s="73"/>
      <c r="G2228" s="73"/>
      <c r="H2228" s="73"/>
      <c r="I2228" s="73"/>
      <c r="J2228" s="73"/>
      <c r="L2228" s="73"/>
    </row>
    <row r="2229" spans="2:12">
      <c r="B2229" s="73"/>
      <c r="C2229" s="73"/>
      <c r="D2229" s="73"/>
      <c r="E2229" s="73"/>
      <c r="F2229" s="73"/>
      <c r="G2229" s="73"/>
      <c r="H2229" s="73"/>
      <c r="I2229" s="73"/>
      <c r="J2229" s="73"/>
      <c r="L2229" s="73"/>
    </row>
    <row r="2230" spans="2:12">
      <c r="B2230" s="73"/>
      <c r="C2230" s="73"/>
      <c r="D2230" s="73"/>
      <c r="E2230" s="73"/>
      <c r="F2230" s="73"/>
      <c r="G2230" s="73"/>
      <c r="H2230" s="73"/>
      <c r="I2230" s="73"/>
      <c r="J2230" s="73"/>
      <c r="L2230" s="73"/>
    </row>
    <row r="2231" spans="2:12">
      <c r="B2231" s="73"/>
      <c r="C2231" s="73"/>
      <c r="D2231" s="73"/>
      <c r="E2231" s="73"/>
      <c r="F2231" s="73"/>
      <c r="G2231" s="73"/>
      <c r="H2231" s="73"/>
      <c r="I2231" s="73"/>
      <c r="J2231" s="73"/>
      <c r="L2231" s="73"/>
    </row>
    <row r="2232" spans="2:12">
      <c r="B2232" s="73"/>
      <c r="C2232" s="73"/>
      <c r="D2232" s="73"/>
      <c r="E2232" s="73"/>
      <c r="F2232" s="73"/>
      <c r="G2232" s="73"/>
      <c r="H2232" s="73"/>
      <c r="I2232" s="73"/>
      <c r="J2232" s="73"/>
      <c r="L2232" s="73"/>
    </row>
    <row r="2233" spans="2:12">
      <c r="B2233" s="73"/>
      <c r="C2233" s="73"/>
      <c r="D2233" s="73"/>
      <c r="E2233" s="73"/>
      <c r="F2233" s="73"/>
      <c r="G2233" s="73"/>
      <c r="H2233" s="73"/>
      <c r="I2233" s="73"/>
      <c r="J2233" s="73"/>
      <c r="L2233" s="73"/>
    </row>
    <row r="2234" spans="2:12">
      <c r="B2234" s="73"/>
      <c r="C2234" s="73"/>
      <c r="D2234" s="73"/>
      <c r="E2234" s="73"/>
      <c r="F2234" s="73"/>
      <c r="G2234" s="73"/>
      <c r="H2234" s="73"/>
      <c r="I2234" s="73"/>
      <c r="J2234" s="73"/>
      <c r="L2234" s="73"/>
    </row>
    <row r="2235" spans="2:12">
      <c r="B2235" s="73"/>
      <c r="C2235" s="73"/>
      <c r="D2235" s="73"/>
      <c r="E2235" s="73"/>
      <c r="F2235" s="73"/>
      <c r="G2235" s="73"/>
      <c r="H2235" s="73"/>
      <c r="I2235" s="73"/>
      <c r="J2235" s="73"/>
      <c r="L2235" s="73"/>
    </row>
    <row r="2236" spans="2:12">
      <c r="B2236" s="73"/>
      <c r="C2236" s="73"/>
      <c r="D2236" s="73"/>
      <c r="E2236" s="73"/>
      <c r="F2236" s="73"/>
      <c r="G2236" s="73"/>
      <c r="H2236" s="73"/>
      <c r="I2236" s="73"/>
      <c r="J2236" s="73"/>
      <c r="L2236" s="73"/>
    </row>
    <row r="2237" spans="2:12">
      <c r="B2237" s="73"/>
      <c r="C2237" s="73"/>
      <c r="D2237" s="73"/>
      <c r="E2237" s="73"/>
      <c r="F2237" s="73"/>
      <c r="G2237" s="73"/>
      <c r="H2237" s="73"/>
      <c r="I2237" s="73"/>
      <c r="J2237" s="73"/>
      <c r="L2237" s="73"/>
    </row>
    <row r="2238" spans="2:12">
      <c r="B2238" s="73"/>
      <c r="C2238" s="73"/>
      <c r="D2238" s="73"/>
      <c r="E2238" s="73"/>
      <c r="F2238" s="73"/>
      <c r="G2238" s="73"/>
      <c r="H2238" s="73"/>
      <c r="I2238" s="73"/>
      <c r="J2238" s="73"/>
      <c r="L2238" s="73"/>
    </row>
    <row r="2239" spans="2:12">
      <c r="B2239" s="73"/>
      <c r="C2239" s="73"/>
      <c r="D2239" s="73"/>
      <c r="E2239" s="73"/>
      <c r="F2239" s="73"/>
      <c r="G2239" s="73"/>
      <c r="H2239" s="73"/>
      <c r="I2239" s="73"/>
      <c r="J2239" s="73"/>
      <c r="L2239" s="73"/>
    </row>
    <row r="2240" spans="2:12">
      <c r="B2240" s="73"/>
      <c r="C2240" s="73"/>
      <c r="D2240" s="73"/>
      <c r="E2240" s="73"/>
      <c r="F2240" s="73"/>
      <c r="G2240" s="73"/>
      <c r="H2240" s="73"/>
      <c r="I2240" s="73"/>
      <c r="J2240" s="73"/>
      <c r="L2240" s="73"/>
    </row>
    <row r="2241" spans="2:12">
      <c r="B2241" s="73"/>
      <c r="C2241" s="73"/>
      <c r="D2241" s="73"/>
      <c r="E2241" s="73"/>
      <c r="F2241" s="73"/>
      <c r="G2241" s="73"/>
      <c r="H2241" s="73"/>
      <c r="I2241" s="73"/>
      <c r="J2241" s="73"/>
      <c r="L2241" s="73"/>
    </row>
    <row r="2242" spans="2:12">
      <c r="B2242" s="73"/>
      <c r="C2242" s="73"/>
      <c r="D2242" s="73"/>
      <c r="E2242" s="73"/>
      <c r="F2242" s="73"/>
      <c r="G2242" s="73"/>
      <c r="H2242" s="73"/>
      <c r="I2242" s="73"/>
      <c r="J2242" s="73"/>
      <c r="L2242" s="73"/>
    </row>
    <row r="2243" spans="2:12">
      <c r="B2243" s="73"/>
      <c r="C2243" s="73"/>
      <c r="D2243" s="73"/>
      <c r="E2243" s="73"/>
      <c r="F2243" s="73"/>
      <c r="G2243" s="73"/>
      <c r="H2243" s="73"/>
      <c r="I2243" s="73"/>
      <c r="J2243" s="73"/>
      <c r="L2243" s="73"/>
    </row>
    <row r="2244" spans="2:12">
      <c r="B2244" s="73"/>
      <c r="C2244" s="73"/>
      <c r="D2244" s="73"/>
      <c r="E2244" s="73"/>
      <c r="F2244" s="73"/>
      <c r="G2244" s="73"/>
      <c r="H2244" s="73"/>
      <c r="I2244" s="73"/>
      <c r="J2244" s="73"/>
      <c r="L2244" s="73"/>
    </row>
    <row r="2245" spans="2:12">
      <c r="B2245" s="73"/>
      <c r="C2245" s="73"/>
      <c r="D2245" s="73"/>
      <c r="E2245" s="73"/>
      <c r="F2245" s="73"/>
      <c r="G2245" s="73"/>
      <c r="H2245" s="73"/>
      <c r="I2245" s="73"/>
      <c r="J2245" s="73"/>
      <c r="L2245" s="73"/>
    </row>
    <row r="2246" spans="2:12">
      <c r="B2246" s="73"/>
      <c r="C2246" s="73"/>
      <c r="D2246" s="73"/>
      <c r="E2246" s="73"/>
      <c r="F2246" s="73"/>
      <c r="G2246" s="73"/>
      <c r="H2246" s="73"/>
      <c r="I2246" s="73"/>
      <c r="J2246" s="73"/>
      <c r="L2246" s="73"/>
    </row>
    <row r="2247" spans="2:12">
      <c r="B2247" s="73"/>
      <c r="C2247" s="73"/>
      <c r="D2247" s="73"/>
      <c r="E2247" s="73"/>
      <c r="F2247" s="73"/>
      <c r="G2247" s="73"/>
      <c r="H2247" s="73"/>
      <c r="I2247" s="73"/>
      <c r="J2247" s="73"/>
      <c r="L2247" s="73"/>
    </row>
    <row r="2248" spans="2:12">
      <c r="B2248" s="73"/>
      <c r="C2248" s="73"/>
      <c r="D2248" s="73"/>
      <c r="E2248" s="73"/>
      <c r="F2248" s="73"/>
      <c r="G2248" s="73"/>
      <c r="H2248" s="73"/>
      <c r="I2248" s="73"/>
      <c r="J2248" s="73"/>
      <c r="L2248" s="73"/>
    </row>
    <row r="2249" spans="2:12">
      <c r="B2249" s="73"/>
      <c r="C2249" s="73"/>
      <c r="D2249" s="73"/>
      <c r="E2249" s="73"/>
      <c r="F2249" s="73"/>
      <c r="G2249" s="73"/>
      <c r="H2249" s="73"/>
      <c r="I2249" s="73"/>
      <c r="J2249" s="73"/>
      <c r="L2249" s="73"/>
    </row>
    <row r="2250" spans="2:12">
      <c r="B2250" s="73"/>
      <c r="C2250" s="73"/>
      <c r="D2250" s="73"/>
      <c r="E2250" s="73"/>
      <c r="F2250" s="73"/>
      <c r="G2250" s="73"/>
      <c r="H2250" s="73"/>
      <c r="I2250" s="73"/>
      <c r="J2250" s="73"/>
      <c r="L2250" s="73"/>
    </row>
    <row r="2251" spans="2:12">
      <c r="B2251" s="73"/>
      <c r="C2251" s="73"/>
      <c r="D2251" s="73"/>
      <c r="E2251" s="73"/>
      <c r="F2251" s="73"/>
      <c r="G2251" s="73"/>
      <c r="H2251" s="73"/>
      <c r="I2251" s="73"/>
      <c r="J2251" s="73"/>
      <c r="L2251" s="73"/>
    </row>
    <row r="2252" spans="2:12">
      <c r="B2252" s="73"/>
      <c r="C2252" s="73"/>
      <c r="D2252" s="73"/>
      <c r="E2252" s="73"/>
      <c r="F2252" s="73"/>
      <c r="G2252" s="73"/>
      <c r="H2252" s="73"/>
      <c r="I2252" s="73"/>
      <c r="J2252" s="73"/>
      <c r="L2252" s="73"/>
    </row>
    <row r="2253" spans="2:12">
      <c r="B2253" s="73"/>
      <c r="C2253" s="73"/>
      <c r="D2253" s="73"/>
      <c r="E2253" s="73"/>
      <c r="F2253" s="73"/>
      <c r="G2253" s="73"/>
      <c r="H2253" s="73"/>
      <c r="I2253" s="73"/>
      <c r="J2253" s="73"/>
      <c r="L2253" s="73"/>
    </row>
    <row r="2254" spans="2:12">
      <c r="B2254" s="73"/>
      <c r="C2254" s="73"/>
      <c r="D2254" s="73"/>
      <c r="E2254" s="73"/>
      <c r="F2254" s="73"/>
      <c r="G2254" s="73"/>
      <c r="H2254" s="73"/>
      <c r="I2254" s="73"/>
      <c r="J2254" s="73"/>
      <c r="L2254" s="73"/>
    </row>
    <row r="2255" spans="2:12">
      <c r="B2255" s="73"/>
      <c r="C2255" s="73"/>
      <c r="D2255" s="73"/>
      <c r="E2255" s="73"/>
      <c r="F2255" s="73"/>
      <c r="G2255" s="73"/>
      <c r="H2255" s="73"/>
      <c r="I2255" s="73"/>
      <c r="J2255" s="73"/>
      <c r="L2255" s="73"/>
    </row>
    <row r="2256" spans="2:12">
      <c r="B2256" s="73"/>
      <c r="C2256" s="73"/>
      <c r="D2256" s="73"/>
      <c r="E2256" s="73"/>
      <c r="F2256" s="73"/>
      <c r="G2256" s="73"/>
      <c r="H2256" s="73"/>
      <c r="I2256" s="73"/>
      <c r="J2256" s="73"/>
      <c r="L2256" s="73"/>
    </row>
    <row r="2257" spans="2:12">
      <c r="B2257" s="73"/>
      <c r="C2257" s="73"/>
      <c r="D2257" s="73"/>
      <c r="E2257" s="73"/>
      <c r="F2257" s="73"/>
      <c r="G2257" s="73"/>
      <c r="H2257" s="73"/>
      <c r="I2257" s="73"/>
      <c r="J2257" s="73"/>
      <c r="L2257" s="73"/>
    </row>
    <row r="2258" spans="2:12">
      <c r="B2258" s="73"/>
      <c r="C2258" s="73"/>
      <c r="D2258" s="73"/>
      <c r="E2258" s="73"/>
      <c r="F2258" s="73"/>
      <c r="G2258" s="73"/>
      <c r="H2258" s="73"/>
      <c r="I2258" s="73"/>
      <c r="J2258" s="73"/>
      <c r="L2258" s="73"/>
    </row>
    <row r="2259" spans="2:12">
      <c r="B2259" s="73"/>
      <c r="C2259" s="73"/>
      <c r="D2259" s="73"/>
      <c r="E2259" s="73"/>
      <c r="F2259" s="73"/>
      <c r="G2259" s="73"/>
      <c r="H2259" s="73"/>
      <c r="I2259" s="73"/>
      <c r="J2259" s="73"/>
      <c r="L2259" s="73"/>
    </row>
    <row r="2260" spans="2:12">
      <c r="B2260" s="73"/>
      <c r="C2260" s="73"/>
      <c r="D2260" s="73"/>
      <c r="E2260" s="73"/>
      <c r="F2260" s="73"/>
      <c r="G2260" s="73"/>
      <c r="H2260" s="73"/>
      <c r="I2260" s="73"/>
      <c r="J2260" s="73"/>
      <c r="L2260" s="73"/>
    </row>
    <row r="2261" spans="2:12">
      <c r="B2261" s="73"/>
      <c r="C2261" s="73"/>
      <c r="D2261" s="73"/>
      <c r="E2261" s="73"/>
      <c r="F2261" s="73"/>
      <c r="G2261" s="73"/>
      <c r="H2261" s="73"/>
      <c r="I2261" s="73"/>
      <c r="J2261" s="73"/>
      <c r="L2261" s="73"/>
    </row>
    <row r="2262" spans="2:12">
      <c r="B2262" s="73"/>
      <c r="C2262" s="73"/>
      <c r="D2262" s="73"/>
      <c r="E2262" s="73"/>
      <c r="F2262" s="73"/>
      <c r="G2262" s="73"/>
      <c r="H2262" s="73"/>
      <c r="I2262" s="73"/>
      <c r="J2262" s="73"/>
      <c r="L2262" s="73"/>
    </row>
    <row r="2263" spans="2:12">
      <c r="B2263" s="73"/>
      <c r="C2263" s="73"/>
      <c r="D2263" s="73"/>
      <c r="E2263" s="73"/>
      <c r="F2263" s="73"/>
      <c r="G2263" s="73"/>
      <c r="H2263" s="73"/>
      <c r="I2263" s="73"/>
      <c r="J2263" s="73"/>
      <c r="L2263" s="73"/>
    </row>
    <row r="2264" spans="2:12">
      <c r="B2264" s="73"/>
      <c r="C2264" s="73"/>
      <c r="D2264" s="73"/>
      <c r="E2264" s="73"/>
      <c r="F2264" s="73"/>
      <c r="G2264" s="73"/>
      <c r="H2264" s="73"/>
      <c r="I2264" s="73"/>
      <c r="J2264" s="73"/>
      <c r="L2264" s="73"/>
    </row>
    <row r="2265" spans="2:12">
      <c r="B2265" s="73"/>
      <c r="C2265" s="73"/>
      <c r="D2265" s="73"/>
      <c r="E2265" s="73"/>
      <c r="F2265" s="73"/>
      <c r="G2265" s="73"/>
      <c r="H2265" s="73"/>
      <c r="I2265" s="73"/>
      <c r="J2265" s="73"/>
      <c r="L2265" s="73"/>
    </row>
    <row r="2266" spans="2:12">
      <c r="B2266" s="73"/>
      <c r="C2266" s="73"/>
      <c r="D2266" s="73"/>
      <c r="E2266" s="73"/>
      <c r="F2266" s="73"/>
      <c r="G2266" s="73"/>
      <c r="H2266" s="73"/>
      <c r="I2266" s="73"/>
      <c r="J2266" s="73"/>
      <c r="L2266" s="73"/>
    </row>
    <row r="2267" spans="2:12">
      <c r="B2267" s="73"/>
      <c r="C2267" s="73"/>
      <c r="D2267" s="73"/>
      <c r="E2267" s="73"/>
      <c r="F2267" s="73"/>
      <c r="G2267" s="73"/>
      <c r="H2267" s="73"/>
      <c r="I2267" s="73"/>
      <c r="J2267" s="73"/>
      <c r="L2267" s="73"/>
    </row>
    <row r="2268" spans="2:12">
      <c r="B2268" s="73"/>
      <c r="C2268" s="73"/>
      <c r="D2268" s="73"/>
      <c r="E2268" s="73"/>
      <c r="F2268" s="73"/>
      <c r="G2268" s="73"/>
      <c r="H2268" s="73"/>
      <c r="I2268" s="73"/>
      <c r="J2268" s="73"/>
      <c r="L2268" s="73"/>
    </row>
    <row r="2269" spans="2:12">
      <c r="B2269" s="73"/>
      <c r="C2269" s="73"/>
      <c r="D2269" s="73"/>
      <c r="E2269" s="73"/>
      <c r="F2269" s="73"/>
      <c r="G2269" s="73"/>
      <c r="H2269" s="73"/>
      <c r="I2269" s="73"/>
      <c r="J2269" s="73"/>
      <c r="L2269" s="73"/>
    </row>
    <row r="2270" spans="2:12">
      <c r="B2270" s="73"/>
      <c r="C2270" s="73"/>
      <c r="D2270" s="73"/>
      <c r="E2270" s="73"/>
      <c r="F2270" s="73"/>
      <c r="G2270" s="73"/>
      <c r="H2270" s="73"/>
      <c r="I2270" s="73"/>
      <c r="J2270" s="73"/>
      <c r="L2270" s="73"/>
    </row>
    <row r="2271" spans="2:12">
      <c r="B2271" s="73"/>
      <c r="C2271" s="73"/>
      <c r="D2271" s="73"/>
      <c r="E2271" s="73"/>
      <c r="F2271" s="73"/>
      <c r="G2271" s="73"/>
      <c r="H2271" s="73"/>
      <c r="I2271" s="73"/>
      <c r="J2271" s="73"/>
      <c r="L2271" s="73"/>
    </row>
    <row r="2272" spans="2:12">
      <c r="B2272" s="73"/>
      <c r="C2272" s="73"/>
      <c r="D2272" s="73"/>
      <c r="E2272" s="73"/>
      <c r="F2272" s="73"/>
      <c r="G2272" s="73"/>
      <c r="H2272" s="73"/>
      <c r="I2272" s="73"/>
      <c r="J2272" s="73"/>
      <c r="L2272" s="73"/>
    </row>
    <row r="2273" spans="2:12">
      <c r="B2273" s="73"/>
      <c r="C2273" s="73"/>
      <c r="D2273" s="73"/>
      <c r="E2273" s="73"/>
      <c r="F2273" s="73"/>
      <c r="G2273" s="73"/>
      <c r="H2273" s="73"/>
      <c r="I2273" s="73"/>
      <c r="J2273" s="73"/>
      <c r="L2273" s="73"/>
    </row>
    <row r="2274" spans="2:12">
      <c r="B2274" s="73"/>
      <c r="C2274" s="73"/>
      <c r="D2274" s="73"/>
      <c r="E2274" s="73"/>
      <c r="F2274" s="73"/>
      <c r="G2274" s="73"/>
      <c r="H2274" s="73"/>
      <c r="I2274" s="73"/>
      <c r="J2274" s="73"/>
      <c r="L2274" s="73"/>
    </row>
    <row r="2275" spans="2:12">
      <c r="B2275" s="73"/>
      <c r="C2275" s="73"/>
      <c r="D2275" s="73"/>
      <c r="E2275" s="73"/>
      <c r="F2275" s="73"/>
      <c r="G2275" s="73"/>
      <c r="H2275" s="73"/>
      <c r="I2275" s="73"/>
      <c r="J2275" s="73"/>
      <c r="L2275" s="73"/>
    </row>
    <row r="2276" spans="2:12">
      <c r="B2276" s="73"/>
      <c r="C2276" s="73"/>
      <c r="D2276" s="73"/>
      <c r="E2276" s="73"/>
      <c r="F2276" s="73"/>
      <c r="G2276" s="73"/>
      <c r="H2276" s="73"/>
      <c r="I2276" s="73"/>
      <c r="J2276" s="73"/>
      <c r="L2276" s="73"/>
    </row>
    <row r="2277" spans="2:12">
      <c r="B2277" s="73"/>
      <c r="C2277" s="73"/>
      <c r="D2277" s="73"/>
      <c r="E2277" s="73"/>
      <c r="F2277" s="73"/>
      <c r="G2277" s="73"/>
      <c r="H2277" s="73"/>
      <c r="I2277" s="73"/>
      <c r="J2277" s="73"/>
      <c r="L2277" s="73"/>
    </row>
    <row r="2278" spans="2:12">
      <c r="B2278" s="73"/>
      <c r="C2278" s="73"/>
      <c r="D2278" s="73"/>
      <c r="E2278" s="73"/>
      <c r="F2278" s="73"/>
      <c r="G2278" s="73"/>
      <c r="H2278" s="73"/>
      <c r="I2278" s="73"/>
      <c r="J2278" s="73"/>
      <c r="L2278" s="73"/>
    </row>
    <row r="2279" spans="2:12">
      <c r="B2279" s="73"/>
      <c r="C2279" s="73"/>
      <c r="D2279" s="73"/>
      <c r="E2279" s="73"/>
      <c r="F2279" s="73"/>
      <c r="G2279" s="73"/>
      <c r="H2279" s="73"/>
      <c r="I2279" s="73"/>
      <c r="J2279" s="73"/>
      <c r="L2279" s="73"/>
    </row>
    <row r="2280" spans="2:12">
      <c r="B2280" s="73"/>
      <c r="C2280" s="73"/>
      <c r="D2280" s="73"/>
      <c r="E2280" s="73"/>
      <c r="F2280" s="73"/>
      <c r="G2280" s="73"/>
      <c r="H2280" s="73"/>
      <c r="I2280" s="73"/>
      <c r="J2280" s="73"/>
      <c r="L2280" s="73"/>
    </row>
    <row r="2281" spans="2:12">
      <c r="B2281" s="73"/>
      <c r="C2281" s="73"/>
      <c r="D2281" s="73"/>
      <c r="E2281" s="73"/>
      <c r="F2281" s="73"/>
      <c r="G2281" s="73"/>
      <c r="H2281" s="73"/>
      <c r="I2281" s="73"/>
      <c r="J2281" s="73"/>
      <c r="L2281" s="73"/>
    </row>
    <row r="2282" spans="2:12">
      <c r="B2282" s="73"/>
      <c r="C2282" s="73"/>
      <c r="D2282" s="73"/>
      <c r="E2282" s="73"/>
      <c r="F2282" s="73"/>
      <c r="G2282" s="73"/>
      <c r="H2282" s="73"/>
      <c r="I2282" s="73"/>
      <c r="J2282" s="73"/>
      <c r="L2282" s="73"/>
    </row>
    <row r="2283" spans="2:12">
      <c r="B2283" s="73"/>
      <c r="C2283" s="73"/>
      <c r="D2283" s="73"/>
      <c r="E2283" s="73"/>
      <c r="F2283" s="73"/>
      <c r="G2283" s="73"/>
      <c r="H2283" s="73"/>
      <c r="I2283" s="73"/>
      <c r="J2283" s="73"/>
      <c r="L2283" s="73"/>
    </row>
    <row r="2284" spans="2:12">
      <c r="B2284" s="73"/>
      <c r="C2284" s="73"/>
      <c r="D2284" s="73"/>
      <c r="E2284" s="73"/>
      <c r="F2284" s="73"/>
      <c r="G2284" s="73"/>
      <c r="H2284" s="73"/>
      <c r="I2284" s="73"/>
      <c r="J2284" s="73"/>
      <c r="L2284" s="73"/>
    </row>
    <row r="2285" spans="2:12">
      <c r="B2285" s="73"/>
      <c r="C2285" s="73"/>
      <c r="D2285" s="73"/>
      <c r="E2285" s="73"/>
      <c r="F2285" s="73"/>
      <c r="G2285" s="73"/>
      <c r="H2285" s="73"/>
      <c r="I2285" s="73"/>
      <c r="J2285" s="73"/>
      <c r="L2285" s="73"/>
    </row>
    <row r="2286" spans="2:12">
      <c r="B2286" s="73"/>
      <c r="C2286" s="73"/>
      <c r="D2286" s="73"/>
      <c r="E2286" s="73"/>
      <c r="F2286" s="73"/>
      <c r="G2286" s="73"/>
      <c r="H2286" s="73"/>
      <c r="I2286" s="73"/>
      <c r="J2286" s="73"/>
      <c r="L2286" s="73"/>
    </row>
    <row r="2287" spans="2:12">
      <c r="B2287" s="73"/>
      <c r="C2287" s="73"/>
      <c r="D2287" s="73"/>
      <c r="E2287" s="73"/>
      <c r="F2287" s="73"/>
      <c r="G2287" s="73"/>
      <c r="H2287" s="73"/>
      <c r="I2287" s="73"/>
      <c r="J2287" s="73"/>
      <c r="L2287" s="73"/>
    </row>
    <row r="2288" spans="2:12">
      <c r="B2288" s="73"/>
      <c r="C2288" s="73"/>
      <c r="D2288" s="73"/>
      <c r="E2288" s="73"/>
      <c r="F2288" s="73"/>
      <c r="G2288" s="73"/>
      <c r="H2288" s="73"/>
      <c r="I2288" s="73"/>
      <c r="J2288" s="73"/>
      <c r="L2288" s="73"/>
    </row>
    <row r="2289" spans="2:12">
      <c r="B2289" s="73"/>
      <c r="C2289" s="73"/>
      <c r="D2289" s="73"/>
      <c r="E2289" s="73"/>
      <c r="F2289" s="73"/>
      <c r="G2289" s="73"/>
      <c r="H2289" s="73"/>
      <c r="I2289" s="73"/>
      <c r="J2289" s="73"/>
      <c r="L2289" s="73"/>
    </row>
    <row r="2290" spans="2:12">
      <c r="B2290" s="73"/>
      <c r="C2290" s="73"/>
      <c r="D2290" s="73"/>
      <c r="E2290" s="73"/>
      <c r="F2290" s="73"/>
      <c r="G2290" s="73"/>
      <c r="H2290" s="73"/>
      <c r="I2290" s="73"/>
      <c r="J2290" s="73"/>
      <c r="L2290" s="73"/>
    </row>
    <row r="2291" spans="2:12">
      <c r="B2291" s="73"/>
      <c r="C2291" s="73"/>
      <c r="D2291" s="73"/>
      <c r="E2291" s="73"/>
      <c r="F2291" s="73"/>
      <c r="G2291" s="73"/>
      <c r="H2291" s="73"/>
      <c r="I2291" s="73"/>
      <c r="J2291" s="73"/>
      <c r="L2291" s="73"/>
    </row>
    <row r="2292" spans="2:12">
      <c r="B2292" s="73"/>
      <c r="C2292" s="73"/>
      <c r="D2292" s="73"/>
      <c r="E2292" s="73"/>
      <c r="F2292" s="73"/>
      <c r="G2292" s="73"/>
      <c r="H2292" s="73"/>
      <c r="I2292" s="73"/>
      <c r="J2292" s="73"/>
      <c r="L2292" s="73"/>
    </row>
    <row r="2293" spans="2:12">
      <c r="B2293" s="73"/>
      <c r="C2293" s="73"/>
      <c r="D2293" s="73"/>
      <c r="E2293" s="73"/>
      <c r="F2293" s="73"/>
      <c r="G2293" s="73"/>
      <c r="H2293" s="73"/>
      <c r="I2293" s="73"/>
      <c r="J2293" s="73"/>
      <c r="L2293" s="73"/>
    </row>
    <row r="2294" spans="2:12">
      <c r="B2294" s="73"/>
      <c r="C2294" s="73"/>
      <c r="D2294" s="73"/>
      <c r="E2294" s="73"/>
      <c r="F2294" s="73"/>
      <c r="G2294" s="73"/>
      <c r="H2294" s="73"/>
      <c r="I2294" s="73"/>
      <c r="J2294" s="73"/>
      <c r="L2294" s="73"/>
    </row>
    <row r="2295" spans="2:12">
      <c r="B2295" s="73"/>
      <c r="C2295" s="73"/>
      <c r="D2295" s="73"/>
      <c r="E2295" s="73"/>
      <c r="F2295" s="73"/>
      <c r="G2295" s="73"/>
      <c r="H2295" s="73"/>
      <c r="I2295" s="73"/>
      <c r="J2295" s="73"/>
      <c r="L2295" s="73"/>
    </row>
    <row r="2296" spans="2:12">
      <c r="B2296" s="73"/>
      <c r="C2296" s="73"/>
      <c r="D2296" s="73"/>
      <c r="E2296" s="73"/>
      <c r="F2296" s="73"/>
      <c r="G2296" s="73"/>
      <c r="H2296" s="73"/>
      <c r="I2296" s="73"/>
      <c r="J2296" s="73"/>
      <c r="L2296" s="73"/>
    </row>
    <row r="2297" spans="2:12">
      <c r="B2297" s="73"/>
      <c r="C2297" s="73"/>
      <c r="D2297" s="73"/>
      <c r="E2297" s="73"/>
      <c r="F2297" s="73"/>
      <c r="G2297" s="73"/>
      <c r="H2297" s="73"/>
      <c r="I2297" s="73"/>
      <c r="J2297" s="73"/>
      <c r="L2297" s="73"/>
    </row>
    <row r="2298" spans="2:12">
      <c r="B2298" s="73"/>
      <c r="C2298" s="73"/>
      <c r="D2298" s="73"/>
      <c r="E2298" s="73"/>
      <c r="F2298" s="73"/>
      <c r="G2298" s="73"/>
      <c r="H2298" s="73"/>
      <c r="I2298" s="73"/>
      <c r="J2298" s="73"/>
      <c r="L2298" s="73"/>
    </row>
    <row r="2299" spans="2:12">
      <c r="B2299" s="73"/>
      <c r="C2299" s="73"/>
      <c r="D2299" s="73"/>
      <c r="E2299" s="73"/>
      <c r="F2299" s="73"/>
      <c r="G2299" s="73"/>
      <c r="H2299" s="73"/>
      <c r="I2299" s="73"/>
      <c r="J2299" s="73"/>
      <c r="L2299" s="73"/>
    </row>
    <row r="2300" spans="2:12">
      <c r="B2300" s="73"/>
      <c r="C2300" s="73"/>
      <c r="D2300" s="73"/>
      <c r="E2300" s="73"/>
      <c r="F2300" s="73"/>
      <c r="G2300" s="73"/>
      <c r="H2300" s="73"/>
      <c r="I2300" s="73"/>
      <c r="J2300" s="73"/>
      <c r="L2300" s="73"/>
    </row>
    <row r="2301" spans="2:12">
      <c r="B2301" s="73"/>
      <c r="C2301" s="73"/>
      <c r="D2301" s="73"/>
      <c r="E2301" s="73"/>
      <c r="F2301" s="73"/>
      <c r="G2301" s="73"/>
      <c r="H2301" s="73"/>
      <c r="I2301" s="73"/>
      <c r="J2301" s="73"/>
      <c r="L2301" s="73"/>
    </row>
    <row r="2302" spans="2:12">
      <c r="B2302" s="73"/>
      <c r="C2302" s="73"/>
      <c r="D2302" s="73"/>
      <c r="E2302" s="73"/>
      <c r="F2302" s="73"/>
      <c r="G2302" s="73"/>
      <c r="H2302" s="73"/>
      <c r="I2302" s="73"/>
      <c r="J2302" s="73"/>
      <c r="L2302" s="73"/>
    </row>
    <row r="2303" spans="2:12">
      <c r="B2303" s="73"/>
      <c r="C2303" s="73"/>
      <c r="D2303" s="73"/>
      <c r="E2303" s="73"/>
      <c r="F2303" s="73"/>
      <c r="G2303" s="73"/>
      <c r="H2303" s="73"/>
      <c r="I2303" s="73"/>
      <c r="J2303" s="73"/>
      <c r="L2303" s="73"/>
    </row>
    <row r="2304" spans="2:12">
      <c r="B2304" s="73"/>
      <c r="C2304" s="73"/>
      <c r="D2304" s="73"/>
      <c r="E2304" s="73"/>
      <c r="F2304" s="73"/>
      <c r="G2304" s="73"/>
      <c r="H2304" s="73"/>
      <c r="I2304" s="73"/>
      <c r="J2304" s="73"/>
      <c r="L2304" s="73"/>
    </row>
    <row r="2305" spans="2:12">
      <c r="B2305" s="73"/>
      <c r="C2305" s="73"/>
      <c r="D2305" s="73"/>
      <c r="E2305" s="73"/>
      <c r="F2305" s="73"/>
      <c r="G2305" s="73"/>
      <c r="H2305" s="73"/>
      <c r="I2305" s="73"/>
      <c r="J2305" s="73"/>
      <c r="L2305" s="73"/>
    </row>
    <row r="2306" spans="2:12">
      <c r="B2306" s="73"/>
      <c r="C2306" s="73"/>
      <c r="D2306" s="73"/>
      <c r="E2306" s="73"/>
      <c r="F2306" s="73"/>
      <c r="G2306" s="73"/>
      <c r="H2306" s="73"/>
      <c r="I2306" s="73"/>
      <c r="J2306" s="73"/>
      <c r="L2306" s="73"/>
    </row>
    <row r="2307" spans="2:12">
      <c r="B2307" s="73"/>
      <c r="C2307" s="73"/>
      <c r="D2307" s="73"/>
      <c r="E2307" s="73"/>
      <c r="F2307" s="73"/>
      <c r="G2307" s="73"/>
      <c r="H2307" s="73"/>
      <c r="I2307" s="73"/>
      <c r="J2307" s="73"/>
      <c r="L2307" s="73"/>
    </row>
    <row r="2308" spans="2:12">
      <c r="B2308" s="73"/>
      <c r="C2308" s="73"/>
      <c r="D2308" s="73"/>
      <c r="E2308" s="73"/>
      <c r="F2308" s="73"/>
      <c r="G2308" s="73"/>
      <c r="H2308" s="73"/>
      <c r="I2308" s="73"/>
      <c r="J2308" s="73"/>
      <c r="L2308" s="73"/>
    </row>
    <row r="2309" spans="2:12">
      <c r="B2309" s="73"/>
      <c r="C2309" s="73"/>
      <c r="D2309" s="73"/>
      <c r="E2309" s="73"/>
      <c r="F2309" s="73"/>
      <c r="G2309" s="73"/>
      <c r="H2309" s="73"/>
      <c r="I2309" s="73"/>
      <c r="J2309" s="73"/>
      <c r="L2309" s="73"/>
    </row>
    <row r="2310" spans="2:12">
      <c r="B2310" s="73"/>
      <c r="C2310" s="73"/>
      <c r="D2310" s="73"/>
      <c r="E2310" s="73"/>
      <c r="F2310" s="73"/>
      <c r="G2310" s="73"/>
      <c r="H2310" s="73"/>
      <c r="I2310" s="73"/>
      <c r="J2310" s="73"/>
      <c r="L2310" s="73"/>
    </row>
    <row r="2311" spans="2:12">
      <c r="B2311" s="73"/>
      <c r="C2311" s="73"/>
      <c r="D2311" s="73"/>
      <c r="E2311" s="73"/>
      <c r="F2311" s="73"/>
      <c r="G2311" s="73"/>
      <c r="H2311" s="73"/>
      <c r="I2311" s="73"/>
      <c r="J2311" s="73"/>
      <c r="L2311" s="73"/>
    </row>
    <row r="2312" spans="2:12">
      <c r="B2312" s="73"/>
      <c r="C2312" s="73"/>
      <c r="D2312" s="73"/>
      <c r="E2312" s="73"/>
      <c r="F2312" s="73"/>
      <c r="G2312" s="73"/>
      <c r="H2312" s="73"/>
      <c r="I2312" s="73"/>
      <c r="J2312" s="73"/>
      <c r="L2312" s="73"/>
    </row>
    <row r="2313" spans="2:12">
      <c r="B2313" s="73"/>
      <c r="C2313" s="73"/>
      <c r="D2313" s="73"/>
      <c r="E2313" s="73"/>
      <c r="F2313" s="73"/>
      <c r="G2313" s="73"/>
      <c r="H2313" s="73"/>
      <c r="I2313" s="73"/>
      <c r="J2313" s="73"/>
      <c r="L2313" s="73"/>
    </row>
    <row r="2314" spans="2:12">
      <c r="B2314" s="73"/>
      <c r="C2314" s="73"/>
      <c r="D2314" s="73"/>
      <c r="E2314" s="73"/>
      <c r="F2314" s="73"/>
      <c r="G2314" s="73"/>
      <c r="H2314" s="73"/>
      <c r="I2314" s="73"/>
      <c r="J2314" s="73"/>
      <c r="L2314" s="73"/>
    </row>
    <row r="2315" spans="2:12">
      <c r="B2315" s="73"/>
      <c r="C2315" s="73"/>
      <c r="D2315" s="73"/>
      <c r="E2315" s="73"/>
      <c r="F2315" s="73"/>
      <c r="G2315" s="73"/>
      <c r="H2315" s="73"/>
      <c r="I2315" s="73"/>
      <c r="J2315" s="73"/>
      <c r="L2315" s="73"/>
    </row>
    <row r="2316" spans="2:12">
      <c r="B2316" s="73"/>
      <c r="C2316" s="73"/>
      <c r="D2316" s="73"/>
      <c r="E2316" s="73"/>
      <c r="F2316" s="73"/>
      <c r="G2316" s="73"/>
      <c r="H2316" s="73"/>
      <c r="I2316" s="73"/>
      <c r="J2316" s="73"/>
      <c r="L2316" s="73"/>
    </row>
    <row r="2317" spans="2:12">
      <c r="B2317" s="73"/>
      <c r="C2317" s="73"/>
      <c r="D2317" s="73"/>
      <c r="E2317" s="73"/>
      <c r="F2317" s="73"/>
      <c r="G2317" s="73"/>
      <c r="H2317" s="73"/>
      <c r="I2317" s="73"/>
      <c r="J2317" s="73"/>
      <c r="L2317" s="73"/>
    </row>
    <row r="2318" spans="2:12">
      <c r="B2318" s="73"/>
      <c r="C2318" s="73"/>
      <c r="D2318" s="73"/>
      <c r="E2318" s="73"/>
      <c r="F2318" s="73"/>
      <c r="G2318" s="73"/>
      <c r="H2318" s="73"/>
      <c r="I2318" s="73"/>
      <c r="J2318" s="73"/>
      <c r="L2318" s="73"/>
    </row>
    <row r="2319" spans="2:12">
      <c r="B2319" s="73"/>
      <c r="C2319" s="73"/>
      <c r="D2319" s="73"/>
      <c r="E2319" s="73"/>
      <c r="F2319" s="73"/>
      <c r="G2319" s="73"/>
      <c r="H2319" s="73"/>
      <c r="I2319" s="73"/>
      <c r="J2319" s="73"/>
      <c r="L2319" s="73"/>
    </row>
    <row r="2320" spans="2:12">
      <c r="B2320" s="73"/>
      <c r="C2320" s="73"/>
      <c r="D2320" s="73"/>
      <c r="E2320" s="73"/>
      <c r="F2320" s="73"/>
      <c r="G2320" s="73"/>
      <c r="H2320" s="73"/>
      <c r="I2320" s="73"/>
      <c r="J2320" s="73"/>
      <c r="L2320" s="73"/>
    </row>
    <row r="2321" spans="2:12">
      <c r="B2321" s="73"/>
      <c r="C2321" s="73"/>
      <c r="D2321" s="73"/>
      <c r="E2321" s="73"/>
      <c r="F2321" s="73"/>
      <c r="G2321" s="73"/>
      <c r="H2321" s="73"/>
      <c r="I2321" s="73"/>
      <c r="J2321" s="73"/>
      <c r="L2321" s="73"/>
    </row>
    <row r="2322" spans="2:12">
      <c r="B2322" s="73"/>
      <c r="C2322" s="73"/>
      <c r="D2322" s="73"/>
      <c r="E2322" s="73"/>
      <c r="F2322" s="73"/>
      <c r="G2322" s="73"/>
      <c r="H2322" s="73"/>
      <c r="I2322" s="73"/>
      <c r="J2322" s="73"/>
      <c r="L2322" s="73"/>
    </row>
    <row r="2323" spans="2:12">
      <c r="B2323" s="73"/>
      <c r="C2323" s="73"/>
      <c r="D2323" s="73"/>
      <c r="E2323" s="73"/>
      <c r="F2323" s="73"/>
      <c r="G2323" s="73"/>
      <c r="H2323" s="73"/>
      <c r="I2323" s="73"/>
      <c r="J2323" s="73"/>
      <c r="L2323" s="73"/>
    </row>
    <row r="2324" spans="2:12">
      <c r="B2324" s="73"/>
      <c r="C2324" s="73"/>
      <c r="D2324" s="73"/>
      <c r="E2324" s="73"/>
      <c r="F2324" s="73"/>
      <c r="G2324" s="73"/>
      <c r="H2324" s="73"/>
      <c r="I2324" s="73"/>
      <c r="J2324" s="73"/>
      <c r="L2324" s="73"/>
    </row>
    <row r="2325" spans="2:12">
      <c r="B2325" s="73"/>
      <c r="C2325" s="73"/>
      <c r="D2325" s="73"/>
      <c r="E2325" s="73"/>
      <c r="F2325" s="73"/>
      <c r="G2325" s="73"/>
      <c r="H2325" s="73"/>
      <c r="I2325" s="73"/>
      <c r="J2325" s="73"/>
      <c r="L2325" s="73"/>
    </row>
    <row r="2326" spans="2:12">
      <c r="B2326" s="73"/>
      <c r="C2326" s="73"/>
      <c r="D2326" s="73"/>
      <c r="E2326" s="73"/>
      <c r="F2326" s="73"/>
      <c r="G2326" s="73"/>
      <c r="H2326" s="73"/>
      <c r="I2326" s="73"/>
      <c r="J2326" s="73"/>
      <c r="L2326" s="73"/>
    </row>
    <row r="2327" spans="2:12">
      <c r="B2327" s="73"/>
      <c r="C2327" s="73"/>
      <c r="D2327" s="73"/>
      <c r="E2327" s="73"/>
      <c r="F2327" s="73"/>
      <c r="G2327" s="73"/>
      <c r="H2327" s="73"/>
      <c r="I2327" s="73"/>
      <c r="J2327" s="73"/>
      <c r="L2327" s="73"/>
    </row>
    <row r="2328" spans="2:12">
      <c r="B2328" s="73"/>
      <c r="C2328" s="73"/>
      <c r="D2328" s="73"/>
      <c r="E2328" s="73"/>
      <c r="F2328" s="73"/>
      <c r="G2328" s="73"/>
      <c r="H2328" s="73"/>
      <c r="I2328" s="73"/>
      <c r="J2328" s="73"/>
      <c r="L2328" s="73"/>
    </row>
    <row r="2329" spans="2:12">
      <c r="B2329" s="73"/>
      <c r="C2329" s="73"/>
      <c r="D2329" s="73"/>
      <c r="E2329" s="73"/>
      <c r="F2329" s="73"/>
      <c r="G2329" s="73"/>
      <c r="H2329" s="73"/>
      <c r="I2329" s="73"/>
      <c r="J2329" s="73"/>
      <c r="L2329" s="73"/>
    </row>
    <row r="2330" spans="2:12">
      <c r="B2330" s="73"/>
      <c r="C2330" s="73"/>
      <c r="D2330" s="73"/>
      <c r="E2330" s="73"/>
      <c r="F2330" s="73"/>
      <c r="G2330" s="73"/>
      <c r="H2330" s="73"/>
      <c r="I2330" s="73"/>
      <c r="J2330" s="73"/>
      <c r="L2330" s="73"/>
    </row>
    <row r="2331" spans="2:12">
      <c r="B2331" s="73"/>
      <c r="C2331" s="73"/>
      <c r="D2331" s="73"/>
      <c r="E2331" s="73"/>
      <c r="F2331" s="73"/>
      <c r="G2331" s="73"/>
      <c r="H2331" s="73"/>
      <c r="I2331" s="73"/>
      <c r="J2331" s="73"/>
      <c r="L2331" s="73"/>
    </row>
    <row r="2332" spans="2:12">
      <c r="B2332" s="73"/>
      <c r="C2332" s="73"/>
      <c r="D2332" s="73"/>
      <c r="E2332" s="73"/>
      <c r="F2332" s="73"/>
      <c r="G2332" s="73"/>
      <c r="H2332" s="73"/>
      <c r="I2332" s="73"/>
      <c r="J2332" s="73"/>
      <c r="L2332" s="73"/>
    </row>
    <row r="2333" spans="2:12">
      <c r="B2333" s="73"/>
      <c r="C2333" s="73"/>
      <c r="D2333" s="73"/>
      <c r="E2333" s="73"/>
      <c r="F2333" s="73"/>
      <c r="G2333" s="73"/>
      <c r="H2333" s="73"/>
      <c r="I2333" s="73"/>
      <c r="J2333" s="73"/>
      <c r="L2333" s="73"/>
    </row>
    <row r="2334" spans="2:12">
      <c r="B2334" s="73"/>
      <c r="C2334" s="73"/>
      <c r="D2334" s="73"/>
      <c r="E2334" s="73"/>
      <c r="F2334" s="73"/>
      <c r="G2334" s="73"/>
      <c r="H2334" s="73"/>
      <c r="I2334" s="73"/>
      <c r="J2334" s="73"/>
      <c r="L2334" s="73"/>
    </row>
    <row r="2335" spans="2:12">
      <c r="B2335" s="73"/>
      <c r="C2335" s="73"/>
      <c r="D2335" s="73"/>
      <c r="E2335" s="73"/>
      <c r="F2335" s="73"/>
      <c r="G2335" s="73"/>
      <c r="H2335" s="73"/>
      <c r="I2335" s="73"/>
      <c r="J2335" s="73"/>
      <c r="L2335" s="73"/>
    </row>
    <row r="2336" spans="2:12">
      <c r="B2336" s="73"/>
      <c r="C2336" s="73"/>
      <c r="D2336" s="73"/>
      <c r="E2336" s="73"/>
      <c r="F2336" s="73"/>
      <c r="G2336" s="73"/>
      <c r="H2336" s="73"/>
      <c r="I2336" s="73"/>
      <c r="J2336" s="73"/>
      <c r="L2336" s="73"/>
    </row>
    <row r="2337" spans="2:12">
      <c r="B2337" s="73"/>
      <c r="C2337" s="73"/>
      <c r="D2337" s="73"/>
      <c r="E2337" s="73"/>
      <c r="F2337" s="73"/>
      <c r="G2337" s="73"/>
      <c r="H2337" s="73"/>
      <c r="I2337" s="73"/>
      <c r="J2337" s="73"/>
      <c r="L2337" s="73"/>
    </row>
    <row r="2338" spans="2:12">
      <c r="B2338" s="73"/>
      <c r="C2338" s="73"/>
      <c r="D2338" s="73"/>
      <c r="E2338" s="73"/>
      <c r="F2338" s="73"/>
      <c r="G2338" s="73"/>
      <c r="H2338" s="73"/>
      <c r="I2338" s="73"/>
      <c r="J2338" s="73"/>
      <c r="L2338" s="73"/>
    </row>
    <row r="2339" spans="2:12">
      <c r="B2339" s="73"/>
      <c r="C2339" s="73"/>
      <c r="D2339" s="73"/>
      <c r="E2339" s="73"/>
      <c r="F2339" s="73"/>
      <c r="G2339" s="73"/>
      <c r="H2339" s="73"/>
      <c r="I2339" s="73"/>
      <c r="J2339" s="73"/>
      <c r="L2339" s="73"/>
    </row>
    <row r="2340" spans="2:12">
      <c r="B2340" s="73"/>
      <c r="C2340" s="73"/>
      <c r="D2340" s="73"/>
      <c r="E2340" s="73"/>
      <c r="F2340" s="73"/>
      <c r="G2340" s="73"/>
      <c r="H2340" s="73"/>
      <c r="I2340" s="73"/>
      <c r="J2340" s="73"/>
      <c r="L2340" s="73"/>
    </row>
    <row r="2341" spans="2:12">
      <c r="B2341" s="73"/>
      <c r="C2341" s="73"/>
      <c r="D2341" s="73"/>
      <c r="E2341" s="73"/>
      <c r="F2341" s="73"/>
      <c r="G2341" s="73"/>
      <c r="H2341" s="73"/>
      <c r="I2341" s="73"/>
      <c r="J2341" s="73"/>
      <c r="L2341" s="73"/>
    </row>
    <row r="2342" spans="2:12">
      <c r="B2342" s="73"/>
      <c r="C2342" s="73"/>
      <c r="D2342" s="73"/>
      <c r="E2342" s="73"/>
      <c r="F2342" s="73"/>
      <c r="G2342" s="73"/>
      <c r="H2342" s="73"/>
      <c r="I2342" s="73"/>
      <c r="J2342" s="73"/>
      <c r="L2342" s="73"/>
    </row>
    <row r="2343" spans="2:12">
      <c r="B2343" s="73"/>
      <c r="C2343" s="73"/>
      <c r="D2343" s="73"/>
      <c r="E2343" s="73"/>
      <c r="F2343" s="73"/>
      <c r="G2343" s="73"/>
      <c r="H2343" s="73"/>
      <c r="I2343" s="73"/>
      <c r="J2343" s="73"/>
      <c r="L2343" s="73"/>
    </row>
    <row r="2344" spans="2:12">
      <c r="B2344" s="73"/>
      <c r="C2344" s="73"/>
      <c r="D2344" s="73"/>
      <c r="E2344" s="73"/>
      <c r="F2344" s="73"/>
      <c r="G2344" s="73"/>
      <c r="H2344" s="73"/>
      <c r="I2344" s="73"/>
      <c r="J2344" s="73"/>
      <c r="L2344" s="73"/>
    </row>
    <row r="2345" spans="2:12">
      <c r="B2345" s="73"/>
      <c r="C2345" s="73"/>
      <c r="D2345" s="73"/>
      <c r="E2345" s="73"/>
      <c r="F2345" s="73"/>
      <c r="G2345" s="73"/>
      <c r="H2345" s="73"/>
      <c r="I2345" s="73"/>
      <c r="J2345" s="73"/>
      <c r="L2345" s="73"/>
    </row>
    <row r="2346" spans="2:12">
      <c r="B2346" s="73"/>
      <c r="C2346" s="73"/>
      <c r="D2346" s="73"/>
      <c r="E2346" s="73"/>
      <c r="F2346" s="73"/>
      <c r="G2346" s="73"/>
      <c r="H2346" s="73"/>
      <c r="I2346" s="73"/>
      <c r="J2346" s="73"/>
      <c r="L2346" s="73"/>
    </row>
    <row r="2347" spans="2:12">
      <c r="B2347" s="73"/>
      <c r="C2347" s="73"/>
      <c r="D2347" s="73"/>
      <c r="E2347" s="73"/>
      <c r="F2347" s="73"/>
      <c r="G2347" s="73"/>
      <c r="H2347" s="73"/>
      <c r="I2347" s="73"/>
      <c r="J2347" s="73"/>
      <c r="L2347" s="73"/>
    </row>
    <row r="2348" spans="2:12">
      <c r="B2348" s="73"/>
      <c r="C2348" s="73"/>
      <c r="D2348" s="73"/>
      <c r="E2348" s="73"/>
      <c r="F2348" s="73"/>
      <c r="G2348" s="73"/>
      <c r="H2348" s="73"/>
      <c r="I2348" s="73"/>
      <c r="J2348" s="73"/>
      <c r="L2348" s="73"/>
    </row>
    <row r="2349" spans="2:12">
      <c r="B2349" s="73"/>
      <c r="C2349" s="73"/>
      <c r="D2349" s="73"/>
      <c r="E2349" s="73"/>
      <c r="F2349" s="73"/>
      <c r="G2349" s="73"/>
      <c r="H2349" s="73"/>
      <c r="I2349" s="73"/>
      <c r="J2349" s="73"/>
      <c r="L2349" s="73"/>
    </row>
    <row r="2350" spans="2:12">
      <c r="B2350" s="73"/>
      <c r="C2350" s="73"/>
      <c r="D2350" s="73"/>
      <c r="E2350" s="73"/>
      <c r="F2350" s="73"/>
      <c r="G2350" s="73"/>
      <c r="H2350" s="73"/>
      <c r="I2350" s="73"/>
      <c r="J2350" s="73"/>
      <c r="L2350" s="73"/>
    </row>
    <row r="2351" spans="2:12">
      <c r="B2351" s="73"/>
      <c r="C2351" s="73"/>
      <c r="D2351" s="73"/>
      <c r="E2351" s="73"/>
      <c r="F2351" s="73"/>
      <c r="G2351" s="73"/>
      <c r="H2351" s="73"/>
      <c r="I2351" s="73"/>
      <c r="J2351" s="73"/>
      <c r="L2351" s="73"/>
    </row>
    <row r="2352" spans="2:12">
      <c r="B2352" s="73"/>
      <c r="C2352" s="73"/>
      <c r="D2352" s="73"/>
      <c r="E2352" s="73"/>
      <c r="F2352" s="73"/>
      <c r="G2352" s="73"/>
      <c r="H2352" s="73"/>
      <c r="I2352" s="73"/>
      <c r="J2352" s="73"/>
      <c r="L2352" s="73"/>
    </row>
    <row r="2353" spans="2:12">
      <c r="B2353" s="73"/>
      <c r="C2353" s="73"/>
      <c r="D2353" s="73"/>
      <c r="E2353" s="73"/>
      <c r="F2353" s="73"/>
      <c r="G2353" s="73"/>
      <c r="H2353" s="73"/>
      <c r="I2353" s="73"/>
      <c r="J2353" s="73"/>
      <c r="L2353" s="73"/>
    </row>
    <row r="2354" spans="2:12">
      <c r="B2354" s="73"/>
      <c r="C2354" s="73"/>
      <c r="D2354" s="73"/>
      <c r="E2354" s="73"/>
      <c r="F2354" s="73"/>
      <c r="G2354" s="73"/>
      <c r="H2354" s="73"/>
      <c r="I2354" s="73"/>
      <c r="J2354" s="73"/>
      <c r="L2354" s="73"/>
    </row>
    <row r="2355" spans="2:12">
      <c r="B2355" s="73"/>
      <c r="C2355" s="73"/>
      <c r="D2355" s="73"/>
      <c r="E2355" s="73"/>
      <c r="F2355" s="73"/>
      <c r="G2355" s="73"/>
      <c r="H2355" s="73"/>
      <c r="I2355" s="73"/>
      <c r="J2355" s="73"/>
      <c r="L2355" s="73"/>
    </row>
    <row r="2356" spans="2:12">
      <c r="B2356" s="73"/>
      <c r="C2356" s="73"/>
      <c r="D2356" s="73"/>
      <c r="E2356" s="73"/>
      <c r="F2356" s="73"/>
      <c r="G2356" s="73"/>
      <c r="H2356" s="73"/>
      <c r="I2356" s="73"/>
      <c r="J2356" s="73"/>
      <c r="L2356" s="73"/>
    </row>
    <row r="2357" spans="2:12">
      <c r="B2357" s="73"/>
      <c r="C2357" s="73"/>
      <c r="D2357" s="73"/>
      <c r="E2357" s="73"/>
      <c r="F2357" s="73"/>
      <c r="G2357" s="73"/>
      <c r="H2357" s="73"/>
      <c r="I2357" s="73"/>
      <c r="J2357" s="73"/>
      <c r="L2357" s="73"/>
    </row>
    <row r="2358" spans="2:12">
      <c r="B2358" s="73"/>
      <c r="C2358" s="73"/>
      <c r="D2358" s="73"/>
      <c r="E2358" s="73"/>
      <c r="F2358" s="73"/>
      <c r="G2358" s="73"/>
      <c r="H2358" s="73"/>
      <c r="I2358" s="73"/>
      <c r="J2358" s="73"/>
      <c r="L2358" s="73"/>
    </row>
    <row r="2359" spans="2:12">
      <c r="B2359" s="73"/>
      <c r="C2359" s="73"/>
      <c r="D2359" s="73"/>
      <c r="E2359" s="73"/>
      <c r="F2359" s="73"/>
      <c r="G2359" s="73"/>
      <c r="H2359" s="73"/>
      <c r="I2359" s="73"/>
      <c r="J2359" s="73"/>
      <c r="L2359" s="73"/>
    </row>
    <row r="2360" spans="2:12">
      <c r="B2360" s="73"/>
      <c r="C2360" s="73"/>
      <c r="D2360" s="73"/>
      <c r="E2360" s="73"/>
      <c r="F2360" s="73"/>
      <c r="G2360" s="73"/>
      <c r="H2360" s="73"/>
      <c r="I2360" s="73"/>
      <c r="J2360" s="73"/>
      <c r="L2360" s="73"/>
    </row>
    <row r="2361" spans="2:12">
      <c r="B2361" s="73"/>
      <c r="C2361" s="73"/>
      <c r="D2361" s="73"/>
      <c r="E2361" s="73"/>
      <c r="F2361" s="73"/>
      <c r="G2361" s="73"/>
      <c r="H2361" s="73"/>
      <c r="I2361" s="73"/>
      <c r="J2361" s="73"/>
      <c r="L2361" s="73"/>
    </row>
    <row r="2362" spans="2:12">
      <c r="B2362" s="73"/>
      <c r="C2362" s="73"/>
      <c r="D2362" s="73"/>
      <c r="E2362" s="73"/>
      <c r="F2362" s="73"/>
      <c r="G2362" s="73"/>
      <c r="H2362" s="73"/>
      <c r="I2362" s="73"/>
      <c r="J2362" s="73"/>
      <c r="L2362" s="73"/>
    </row>
    <row r="2363" spans="2:12">
      <c r="B2363" s="73"/>
      <c r="C2363" s="73"/>
      <c r="D2363" s="73"/>
      <c r="E2363" s="73"/>
      <c r="F2363" s="73"/>
      <c r="G2363" s="73"/>
      <c r="H2363" s="73"/>
      <c r="I2363" s="73"/>
      <c r="J2363" s="73"/>
      <c r="L2363" s="73"/>
    </row>
    <row r="2364" spans="2:12">
      <c r="B2364" s="73"/>
      <c r="C2364" s="73"/>
      <c r="D2364" s="73"/>
      <c r="E2364" s="73"/>
      <c r="F2364" s="73"/>
      <c r="G2364" s="73"/>
      <c r="H2364" s="73"/>
      <c r="I2364" s="73"/>
      <c r="J2364" s="73"/>
      <c r="L2364" s="73"/>
    </row>
    <row r="2365" spans="2:12">
      <c r="B2365" s="73"/>
      <c r="C2365" s="73"/>
      <c r="D2365" s="73"/>
      <c r="E2365" s="73"/>
      <c r="F2365" s="73"/>
      <c r="G2365" s="73"/>
      <c r="H2365" s="73"/>
      <c r="I2365" s="73"/>
      <c r="J2365" s="73"/>
      <c r="L2365" s="73"/>
    </row>
    <row r="2366" spans="2:12">
      <c r="B2366" s="73"/>
      <c r="C2366" s="73"/>
      <c r="D2366" s="73"/>
      <c r="E2366" s="73"/>
      <c r="F2366" s="73"/>
      <c r="G2366" s="73"/>
      <c r="H2366" s="73"/>
      <c r="I2366" s="73"/>
      <c r="J2366" s="73"/>
      <c r="L2366" s="73"/>
    </row>
    <row r="2367" spans="2:12">
      <c r="B2367" s="73"/>
      <c r="C2367" s="73"/>
      <c r="D2367" s="73"/>
      <c r="E2367" s="73"/>
      <c r="F2367" s="73"/>
      <c r="G2367" s="73"/>
      <c r="H2367" s="73"/>
      <c r="I2367" s="73"/>
      <c r="J2367" s="73"/>
      <c r="L2367" s="73"/>
    </row>
    <row r="2368" spans="2:12">
      <c r="B2368" s="73"/>
      <c r="C2368" s="73"/>
      <c r="D2368" s="73"/>
      <c r="E2368" s="73"/>
      <c r="F2368" s="73"/>
      <c r="G2368" s="73"/>
      <c r="H2368" s="73"/>
      <c r="I2368" s="73"/>
      <c r="J2368" s="73"/>
      <c r="L2368" s="73"/>
    </row>
    <row r="2369" spans="2:12">
      <c r="B2369" s="73"/>
      <c r="C2369" s="73"/>
      <c r="D2369" s="73"/>
      <c r="E2369" s="73"/>
      <c r="F2369" s="73"/>
      <c r="G2369" s="73"/>
      <c r="H2369" s="73"/>
      <c r="I2369" s="73"/>
      <c r="J2369" s="73"/>
      <c r="L2369" s="73"/>
    </row>
    <row r="2370" spans="2:12">
      <c r="B2370" s="73"/>
      <c r="C2370" s="73"/>
      <c r="D2370" s="73"/>
      <c r="E2370" s="73"/>
      <c r="F2370" s="73"/>
      <c r="G2370" s="73"/>
      <c r="H2370" s="73"/>
      <c r="I2370" s="73"/>
      <c r="J2370" s="73"/>
      <c r="L2370" s="73"/>
    </row>
    <row r="2371" spans="2:12">
      <c r="B2371" s="73"/>
      <c r="C2371" s="73"/>
      <c r="D2371" s="73"/>
      <c r="E2371" s="73"/>
      <c r="F2371" s="73"/>
      <c r="G2371" s="73"/>
      <c r="H2371" s="73"/>
      <c r="I2371" s="73"/>
      <c r="J2371" s="73"/>
      <c r="L2371" s="73"/>
    </row>
    <row r="2372" spans="2:12">
      <c r="B2372" s="73"/>
      <c r="C2372" s="73"/>
      <c r="D2372" s="73"/>
      <c r="E2372" s="73"/>
      <c r="F2372" s="73"/>
      <c r="G2372" s="73"/>
      <c r="H2372" s="73"/>
      <c r="I2372" s="73"/>
      <c r="J2372" s="73"/>
      <c r="L2372" s="73"/>
    </row>
    <row r="2373" spans="2:12">
      <c r="B2373" s="73"/>
      <c r="C2373" s="73"/>
      <c r="D2373" s="73"/>
      <c r="E2373" s="73"/>
      <c r="F2373" s="73"/>
      <c r="G2373" s="73"/>
      <c r="H2373" s="73"/>
      <c r="I2373" s="73"/>
      <c r="J2373" s="73"/>
      <c r="L2373" s="73"/>
    </row>
    <row r="2374" spans="2:12">
      <c r="B2374" s="73"/>
      <c r="C2374" s="73"/>
      <c r="D2374" s="73"/>
      <c r="E2374" s="73"/>
      <c r="F2374" s="73"/>
      <c r="G2374" s="73"/>
      <c r="H2374" s="73"/>
      <c r="I2374" s="73"/>
      <c r="J2374" s="73"/>
      <c r="L2374" s="73"/>
    </row>
    <row r="2375" spans="2:12">
      <c r="B2375" s="73"/>
      <c r="C2375" s="73"/>
      <c r="D2375" s="73"/>
      <c r="E2375" s="73"/>
      <c r="F2375" s="73"/>
      <c r="G2375" s="73"/>
      <c r="H2375" s="73"/>
      <c r="I2375" s="73"/>
      <c r="J2375" s="73"/>
      <c r="L2375" s="73"/>
    </row>
    <row r="2376" spans="2:12">
      <c r="B2376" s="73"/>
      <c r="C2376" s="73"/>
      <c r="D2376" s="73"/>
      <c r="E2376" s="73"/>
      <c r="F2376" s="73"/>
      <c r="G2376" s="73"/>
      <c r="H2376" s="73"/>
      <c r="I2376" s="73"/>
      <c r="J2376" s="73"/>
      <c r="L2376" s="73"/>
    </row>
    <row r="2377" spans="2:12">
      <c r="B2377" s="73"/>
      <c r="C2377" s="73"/>
      <c r="D2377" s="73"/>
      <c r="E2377" s="73"/>
      <c r="F2377" s="73"/>
      <c r="G2377" s="73"/>
      <c r="H2377" s="73"/>
      <c r="I2377" s="73"/>
      <c r="J2377" s="73"/>
      <c r="L2377" s="73"/>
    </row>
    <row r="2378" spans="2:12">
      <c r="B2378" s="73"/>
      <c r="C2378" s="73"/>
      <c r="D2378" s="73"/>
      <c r="E2378" s="73"/>
      <c r="F2378" s="73"/>
      <c r="G2378" s="73"/>
      <c r="H2378" s="73"/>
      <c r="I2378" s="73"/>
      <c r="J2378" s="73"/>
      <c r="L2378" s="73"/>
    </row>
    <row r="2379" spans="2:12">
      <c r="B2379" s="73"/>
      <c r="C2379" s="73"/>
      <c r="D2379" s="73"/>
      <c r="E2379" s="73"/>
      <c r="F2379" s="73"/>
      <c r="G2379" s="73"/>
      <c r="H2379" s="73"/>
      <c r="I2379" s="73"/>
      <c r="J2379" s="73"/>
      <c r="L2379" s="73"/>
    </row>
    <row r="2380" spans="2:12">
      <c r="B2380" s="73"/>
      <c r="C2380" s="73"/>
      <c r="D2380" s="73"/>
      <c r="E2380" s="73"/>
      <c r="F2380" s="73"/>
      <c r="G2380" s="73"/>
      <c r="H2380" s="73"/>
      <c r="I2380" s="73"/>
      <c r="J2380" s="73"/>
      <c r="L2380" s="73"/>
    </row>
    <row r="2381" spans="2:12">
      <c r="B2381" s="73"/>
      <c r="C2381" s="73"/>
      <c r="D2381" s="73"/>
      <c r="E2381" s="73"/>
      <c r="F2381" s="73"/>
      <c r="G2381" s="73"/>
      <c r="H2381" s="73"/>
      <c r="I2381" s="73"/>
      <c r="J2381" s="73"/>
      <c r="L2381" s="73"/>
    </row>
    <row r="2382" spans="2:12">
      <c r="B2382" s="73"/>
      <c r="C2382" s="73"/>
      <c r="D2382" s="73"/>
      <c r="E2382" s="73"/>
      <c r="F2382" s="73"/>
      <c r="G2382" s="73"/>
      <c r="H2382" s="73"/>
      <c r="I2382" s="73"/>
      <c r="J2382" s="73"/>
      <c r="L2382" s="73"/>
    </row>
    <row r="2383" spans="2:12">
      <c r="B2383" s="73"/>
      <c r="C2383" s="73"/>
      <c r="D2383" s="73"/>
      <c r="E2383" s="73"/>
      <c r="F2383" s="73"/>
      <c r="G2383" s="73"/>
      <c r="H2383" s="73"/>
      <c r="I2383" s="73"/>
      <c r="J2383" s="73"/>
      <c r="L2383" s="73"/>
    </row>
    <row r="2384" spans="2:12">
      <c r="B2384" s="73"/>
      <c r="C2384" s="73"/>
      <c r="D2384" s="73"/>
      <c r="E2384" s="73"/>
      <c r="F2384" s="73"/>
      <c r="G2384" s="73"/>
      <c r="H2384" s="73"/>
      <c r="I2384" s="73"/>
      <c r="J2384" s="73"/>
      <c r="L2384" s="73"/>
    </row>
    <row r="2385" spans="2:12">
      <c r="B2385" s="73"/>
      <c r="C2385" s="73"/>
      <c r="D2385" s="73"/>
      <c r="E2385" s="73"/>
      <c r="F2385" s="73"/>
      <c r="G2385" s="73"/>
      <c r="H2385" s="73"/>
      <c r="I2385" s="73"/>
      <c r="J2385" s="73"/>
      <c r="L2385" s="73"/>
    </row>
    <row r="2386" spans="2:12">
      <c r="B2386" s="73"/>
      <c r="C2386" s="73"/>
      <c r="D2386" s="73"/>
      <c r="E2386" s="73"/>
      <c r="F2386" s="73"/>
      <c r="G2386" s="73"/>
      <c r="H2386" s="73"/>
      <c r="I2386" s="73"/>
      <c r="J2386" s="73"/>
      <c r="L2386" s="73"/>
    </row>
    <row r="2387" spans="2:12">
      <c r="B2387" s="73"/>
      <c r="C2387" s="73"/>
      <c r="D2387" s="73"/>
      <c r="E2387" s="73"/>
      <c r="F2387" s="73"/>
      <c r="G2387" s="73"/>
      <c r="H2387" s="73"/>
      <c r="I2387" s="73"/>
      <c r="J2387" s="73"/>
      <c r="L2387" s="73"/>
    </row>
    <row r="2388" spans="2:12">
      <c r="B2388" s="73"/>
      <c r="C2388" s="73"/>
      <c r="D2388" s="73"/>
      <c r="E2388" s="73"/>
      <c r="F2388" s="73"/>
      <c r="G2388" s="73"/>
      <c r="H2388" s="73"/>
      <c r="I2388" s="73"/>
      <c r="J2388" s="73"/>
      <c r="L2388" s="73"/>
    </row>
    <row r="2389" spans="2:12">
      <c r="B2389" s="73"/>
      <c r="C2389" s="73"/>
      <c r="D2389" s="73"/>
      <c r="E2389" s="73"/>
      <c r="F2389" s="73"/>
      <c r="G2389" s="73"/>
      <c r="H2389" s="73"/>
      <c r="I2389" s="73"/>
      <c r="J2389" s="73"/>
      <c r="L2389" s="73"/>
    </row>
    <row r="2390" spans="2:12">
      <c r="B2390" s="73"/>
      <c r="C2390" s="73"/>
      <c r="D2390" s="73"/>
      <c r="E2390" s="73"/>
      <c r="F2390" s="73"/>
      <c r="G2390" s="73"/>
      <c r="H2390" s="73"/>
      <c r="I2390" s="73"/>
      <c r="J2390" s="73"/>
      <c r="L2390" s="73"/>
    </row>
    <row r="2391" spans="2:12">
      <c r="B2391" s="73"/>
      <c r="C2391" s="73"/>
      <c r="D2391" s="73"/>
      <c r="E2391" s="73"/>
      <c r="F2391" s="73"/>
      <c r="G2391" s="73"/>
      <c r="H2391" s="73"/>
      <c r="I2391" s="73"/>
      <c r="J2391" s="73"/>
      <c r="L2391" s="73"/>
    </row>
    <row r="2392" spans="2:12">
      <c r="B2392" s="73"/>
      <c r="C2392" s="73"/>
      <c r="D2392" s="73"/>
      <c r="E2392" s="73"/>
      <c r="F2392" s="73"/>
      <c r="G2392" s="73"/>
      <c r="H2392" s="73"/>
      <c r="I2392" s="73"/>
      <c r="J2392" s="73"/>
      <c r="L2392" s="73"/>
    </row>
    <row r="2393" spans="2:12">
      <c r="B2393" s="73"/>
      <c r="C2393" s="73"/>
      <c r="D2393" s="73"/>
      <c r="E2393" s="73"/>
      <c r="F2393" s="73"/>
      <c r="G2393" s="73"/>
      <c r="H2393" s="73"/>
      <c r="I2393" s="73"/>
      <c r="J2393" s="73"/>
      <c r="L2393" s="73"/>
    </row>
    <row r="2394" spans="2:12">
      <c r="B2394" s="73"/>
      <c r="C2394" s="73"/>
      <c r="D2394" s="73"/>
      <c r="E2394" s="73"/>
      <c r="F2394" s="73"/>
      <c r="G2394" s="73"/>
      <c r="H2394" s="73"/>
      <c r="I2394" s="73"/>
      <c r="J2394" s="73"/>
      <c r="L2394" s="73"/>
    </row>
    <row r="2395" spans="2:12">
      <c r="B2395" s="73"/>
      <c r="C2395" s="73"/>
      <c r="D2395" s="73"/>
      <c r="E2395" s="73"/>
      <c r="F2395" s="73"/>
      <c r="G2395" s="73"/>
      <c r="H2395" s="73"/>
      <c r="I2395" s="73"/>
      <c r="J2395" s="73"/>
      <c r="L2395" s="73"/>
    </row>
    <row r="2396" spans="2:12">
      <c r="B2396" s="73"/>
      <c r="C2396" s="73"/>
      <c r="D2396" s="73"/>
      <c r="E2396" s="73"/>
      <c r="F2396" s="73"/>
      <c r="G2396" s="73"/>
      <c r="H2396" s="73"/>
      <c r="I2396" s="73"/>
      <c r="J2396" s="73"/>
      <c r="L2396" s="73"/>
    </row>
    <row r="2397" spans="2:12">
      <c r="B2397" s="73"/>
      <c r="C2397" s="73"/>
      <c r="D2397" s="73"/>
      <c r="E2397" s="73"/>
      <c r="F2397" s="73"/>
      <c r="G2397" s="73"/>
      <c r="H2397" s="73"/>
      <c r="I2397" s="73"/>
      <c r="J2397" s="73"/>
      <c r="L2397" s="73"/>
    </row>
    <row r="2398" spans="2:12">
      <c r="B2398" s="73"/>
      <c r="C2398" s="73"/>
      <c r="D2398" s="73"/>
      <c r="E2398" s="73"/>
      <c r="F2398" s="73"/>
      <c r="G2398" s="73"/>
      <c r="H2398" s="73"/>
      <c r="I2398" s="73"/>
      <c r="J2398" s="73"/>
      <c r="L2398" s="73"/>
    </row>
    <row r="2399" spans="2:12">
      <c r="B2399" s="73"/>
      <c r="C2399" s="73"/>
      <c r="D2399" s="73"/>
      <c r="E2399" s="73"/>
      <c r="F2399" s="73"/>
      <c r="G2399" s="73"/>
      <c r="H2399" s="73"/>
      <c r="I2399" s="73"/>
      <c r="J2399" s="73"/>
      <c r="L2399" s="73"/>
    </row>
    <row r="2400" spans="2:12">
      <c r="B2400" s="73"/>
      <c r="C2400" s="73"/>
      <c r="D2400" s="73"/>
      <c r="E2400" s="73"/>
      <c r="F2400" s="73"/>
      <c r="G2400" s="73"/>
      <c r="H2400" s="73"/>
      <c r="I2400" s="73"/>
      <c r="J2400" s="73"/>
      <c r="L2400" s="73"/>
    </row>
    <row r="2401" spans="2:12">
      <c r="B2401" s="73"/>
      <c r="C2401" s="73"/>
      <c r="D2401" s="73"/>
      <c r="E2401" s="73"/>
      <c r="F2401" s="73"/>
      <c r="G2401" s="73"/>
      <c r="H2401" s="73"/>
      <c r="I2401" s="73"/>
      <c r="J2401" s="73"/>
      <c r="L2401" s="73"/>
    </row>
    <row r="2402" spans="2:12">
      <c r="B2402" s="73"/>
      <c r="C2402" s="73"/>
      <c r="D2402" s="73"/>
      <c r="E2402" s="73"/>
      <c r="F2402" s="73"/>
      <c r="G2402" s="73"/>
      <c r="H2402" s="73"/>
      <c r="I2402" s="73"/>
      <c r="J2402" s="73"/>
      <c r="L2402" s="73"/>
    </row>
    <row r="2403" spans="2:12">
      <c r="B2403" s="73"/>
      <c r="C2403" s="73"/>
      <c r="D2403" s="73"/>
      <c r="E2403" s="73"/>
      <c r="F2403" s="73"/>
      <c r="G2403" s="73"/>
      <c r="H2403" s="73"/>
      <c r="I2403" s="73"/>
      <c r="J2403" s="73"/>
      <c r="L2403" s="73"/>
    </row>
    <row r="2404" spans="2:12">
      <c r="B2404" s="73"/>
      <c r="C2404" s="73"/>
      <c r="D2404" s="73"/>
      <c r="E2404" s="73"/>
      <c r="F2404" s="73"/>
      <c r="G2404" s="73"/>
      <c r="H2404" s="73"/>
      <c r="I2404" s="73"/>
      <c r="J2404" s="73"/>
      <c r="L2404" s="73"/>
    </row>
    <row r="2405" spans="2:12">
      <c r="B2405" s="73"/>
      <c r="C2405" s="73"/>
      <c r="D2405" s="73"/>
      <c r="E2405" s="73"/>
      <c r="F2405" s="73"/>
      <c r="G2405" s="73"/>
      <c r="H2405" s="73"/>
      <c r="I2405" s="73"/>
      <c r="J2405" s="73"/>
      <c r="L2405" s="73"/>
    </row>
    <row r="2406" spans="2:12">
      <c r="B2406" s="73"/>
      <c r="C2406" s="73"/>
      <c r="D2406" s="73"/>
      <c r="E2406" s="73"/>
      <c r="F2406" s="73"/>
      <c r="G2406" s="73"/>
      <c r="H2406" s="73"/>
      <c r="I2406" s="73"/>
      <c r="J2406" s="73"/>
      <c r="L2406" s="73"/>
    </row>
    <row r="2407" spans="2:12">
      <c r="B2407" s="73"/>
      <c r="C2407" s="73"/>
      <c r="D2407" s="73"/>
      <c r="E2407" s="73"/>
      <c r="F2407" s="73"/>
      <c r="G2407" s="73"/>
      <c r="H2407" s="73"/>
      <c r="I2407" s="73"/>
      <c r="J2407" s="73"/>
      <c r="L2407" s="73"/>
    </row>
    <row r="2408" spans="2:12">
      <c r="B2408" s="73"/>
      <c r="C2408" s="73"/>
      <c r="D2408" s="73"/>
      <c r="E2408" s="73"/>
      <c r="F2408" s="73"/>
      <c r="G2408" s="73"/>
      <c r="H2408" s="73"/>
      <c r="I2408" s="73"/>
      <c r="J2408" s="73"/>
      <c r="L2408" s="73"/>
    </row>
    <row r="2409" spans="2:12">
      <c r="B2409" s="73"/>
      <c r="C2409" s="73"/>
      <c r="D2409" s="73"/>
      <c r="E2409" s="73"/>
      <c r="F2409" s="73"/>
      <c r="G2409" s="73"/>
      <c r="H2409" s="73"/>
      <c r="I2409" s="73"/>
      <c r="J2409" s="73"/>
      <c r="L2409" s="73"/>
    </row>
    <row r="2410" spans="2:12">
      <c r="B2410" s="73"/>
      <c r="C2410" s="73"/>
      <c r="D2410" s="73"/>
      <c r="E2410" s="73"/>
      <c r="F2410" s="73"/>
      <c r="G2410" s="73"/>
      <c r="H2410" s="73"/>
      <c r="I2410" s="73"/>
      <c r="J2410" s="73"/>
      <c r="L2410" s="73"/>
    </row>
    <row r="2411" spans="2:12">
      <c r="B2411" s="73"/>
      <c r="C2411" s="73"/>
      <c r="D2411" s="73"/>
      <c r="E2411" s="73"/>
      <c r="F2411" s="73"/>
      <c r="G2411" s="73"/>
      <c r="H2411" s="73"/>
      <c r="I2411" s="73"/>
      <c r="J2411" s="73"/>
      <c r="L2411" s="73"/>
    </row>
    <row r="2412" spans="2:12">
      <c r="B2412" s="73"/>
      <c r="C2412" s="73"/>
      <c r="D2412" s="73"/>
      <c r="E2412" s="73"/>
      <c r="F2412" s="73"/>
      <c r="G2412" s="73"/>
      <c r="H2412" s="73"/>
      <c r="I2412" s="73"/>
      <c r="J2412" s="73"/>
      <c r="L2412" s="73"/>
    </row>
    <row r="2413" spans="2:12">
      <c r="B2413" s="73"/>
      <c r="C2413" s="73"/>
      <c r="D2413" s="73"/>
      <c r="E2413" s="73"/>
      <c r="F2413" s="73"/>
      <c r="G2413" s="73"/>
      <c r="H2413" s="73"/>
      <c r="I2413" s="73"/>
      <c r="J2413" s="73"/>
      <c r="L2413" s="73"/>
    </row>
    <row r="2414" spans="2:12">
      <c r="B2414" s="73"/>
      <c r="C2414" s="73"/>
      <c r="D2414" s="73"/>
      <c r="E2414" s="73"/>
      <c r="F2414" s="73"/>
      <c r="G2414" s="73"/>
      <c r="H2414" s="73"/>
      <c r="I2414" s="73"/>
      <c r="J2414" s="73"/>
      <c r="L2414" s="73"/>
    </row>
    <row r="2415" spans="2:12">
      <c r="B2415" s="73"/>
      <c r="C2415" s="73"/>
      <c r="D2415" s="73"/>
      <c r="E2415" s="73"/>
      <c r="F2415" s="73"/>
      <c r="G2415" s="73"/>
      <c r="H2415" s="73"/>
      <c r="I2415" s="73"/>
      <c r="J2415" s="73"/>
      <c r="L2415" s="73"/>
    </row>
    <row r="2416" spans="2:12">
      <c r="B2416" s="73"/>
      <c r="C2416" s="73"/>
      <c r="D2416" s="73"/>
      <c r="E2416" s="73"/>
      <c r="F2416" s="73"/>
      <c r="G2416" s="73"/>
      <c r="H2416" s="73"/>
      <c r="I2416" s="73"/>
      <c r="J2416" s="73"/>
      <c r="L2416" s="73"/>
    </row>
    <row r="2417" spans="2:12">
      <c r="B2417" s="73"/>
      <c r="C2417" s="73"/>
      <c r="D2417" s="73"/>
      <c r="E2417" s="73"/>
      <c r="F2417" s="73"/>
      <c r="G2417" s="73"/>
      <c r="H2417" s="73"/>
      <c r="I2417" s="73"/>
      <c r="J2417" s="73"/>
      <c r="L2417" s="73"/>
    </row>
    <row r="2418" spans="2:12">
      <c r="B2418" s="73"/>
      <c r="C2418" s="73"/>
      <c r="D2418" s="73"/>
      <c r="E2418" s="73"/>
      <c r="F2418" s="73"/>
      <c r="G2418" s="73"/>
      <c r="H2418" s="73"/>
      <c r="I2418" s="73"/>
      <c r="J2418" s="73"/>
      <c r="L2418" s="73"/>
    </row>
    <row r="2419" spans="2:12">
      <c r="B2419" s="73"/>
      <c r="C2419" s="73"/>
      <c r="D2419" s="73"/>
      <c r="E2419" s="73"/>
      <c r="F2419" s="73"/>
      <c r="G2419" s="73"/>
      <c r="H2419" s="73"/>
      <c r="I2419" s="73"/>
      <c r="J2419" s="73"/>
      <c r="L2419" s="73"/>
    </row>
    <row r="2420" spans="2:12">
      <c r="B2420" s="73"/>
      <c r="C2420" s="73"/>
      <c r="D2420" s="73"/>
      <c r="E2420" s="73"/>
      <c r="F2420" s="73"/>
      <c r="G2420" s="73"/>
      <c r="H2420" s="73"/>
      <c r="I2420" s="73"/>
      <c r="J2420" s="73"/>
      <c r="L2420" s="73"/>
    </row>
    <row r="2421" spans="2:12">
      <c r="B2421" s="73"/>
      <c r="C2421" s="73"/>
      <c r="D2421" s="73"/>
      <c r="E2421" s="73"/>
      <c r="F2421" s="73"/>
      <c r="G2421" s="73"/>
      <c r="H2421" s="73"/>
      <c r="I2421" s="73"/>
      <c r="J2421" s="73"/>
      <c r="L2421" s="73"/>
    </row>
    <row r="2422" spans="2:12">
      <c r="B2422" s="73"/>
      <c r="C2422" s="73"/>
      <c r="D2422" s="73"/>
      <c r="E2422" s="73"/>
      <c r="F2422" s="73"/>
      <c r="G2422" s="73"/>
      <c r="H2422" s="73"/>
      <c r="I2422" s="73"/>
      <c r="J2422" s="73"/>
      <c r="L2422" s="73"/>
    </row>
    <row r="2423" spans="2:12">
      <c r="B2423" s="73"/>
      <c r="C2423" s="73"/>
      <c r="D2423" s="73"/>
      <c r="E2423" s="73"/>
      <c r="F2423" s="73"/>
      <c r="G2423" s="73"/>
      <c r="H2423" s="73"/>
      <c r="I2423" s="73"/>
      <c r="J2423" s="73"/>
      <c r="L2423" s="73"/>
    </row>
    <row r="2424" spans="2:12">
      <c r="B2424" s="73"/>
      <c r="C2424" s="73"/>
      <c r="D2424" s="73"/>
      <c r="E2424" s="73"/>
      <c r="F2424" s="73"/>
      <c r="G2424" s="73"/>
      <c r="H2424" s="73"/>
      <c r="I2424" s="73"/>
      <c r="J2424" s="73"/>
      <c r="L2424" s="73"/>
    </row>
    <row r="2425" spans="2:12">
      <c r="B2425" s="73"/>
      <c r="C2425" s="73"/>
      <c r="D2425" s="73"/>
      <c r="E2425" s="73"/>
      <c r="F2425" s="73"/>
      <c r="G2425" s="73"/>
      <c r="H2425" s="73"/>
      <c r="I2425" s="73"/>
      <c r="J2425" s="73"/>
      <c r="L2425" s="73"/>
    </row>
    <row r="2426" spans="2:12">
      <c r="B2426" s="73"/>
      <c r="C2426" s="73"/>
      <c r="D2426" s="73"/>
      <c r="E2426" s="73"/>
      <c r="F2426" s="73"/>
      <c r="G2426" s="73"/>
      <c r="H2426" s="73"/>
      <c r="I2426" s="73"/>
      <c r="J2426" s="73"/>
      <c r="L2426" s="73"/>
    </row>
    <row r="2427" spans="2:12">
      <c r="B2427" s="73"/>
      <c r="C2427" s="73"/>
      <c r="D2427" s="73"/>
      <c r="E2427" s="73"/>
      <c r="F2427" s="73"/>
      <c r="G2427" s="73"/>
      <c r="H2427" s="73"/>
      <c r="I2427" s="73"/>
      <c r="J2427" s="73"/>
      <c r="L2427" s="73"/>
    </row>
    <row r="2428" spans="2:12">
      <c r="B2428" s="73"/>
      <c r="C2428" s="73"/>
      <c r="D2428" s="73"/>
      <c r="E2428" s="73"/>
      <c r="F2428" s="73"/>
      <c r="G2428" s="73"/>
      <c r="H2428" s="73"/>
      <c r="I2428" s="73"/>
      <c r="J2428" s="73"/>
      <c r="L2428" s="73"/>
    </row>
    <row r="2429" spans="2:12">
      <c r="B2429" s="73"/>
      <c r="C2429" s="73"/>
      <c r="D2429" s="73"/>
      <c r="E2429" s="73"/>
      <c r="F2429" s="73"/>
      <c r="G2429" s="73"/>
      <c r="H2429" s="73"/>
      <c r="I2429" s="73"/>
      <c r="J2429" s="73"/>
      <c r="L2429" s="73"/>
    </row>
    <row r="2430" spans="2:12">
      <c r="B2430" s="73"/>
      <c r="C2430" s="73"/>
      <c r="D2430" s="73"/>
      <c r="E2430" s="73"/>
      <c r="F2430" s="73"/>
      <c r="G2430" s="73"/>
      <c r="H2430" s="73"/>
      <c r="I2430" s="73"/>
      <c r="J2430" s="73"/>
      <c r="L2430" s="73"/>
    </row>
    <row r="2431" spans="2:12">
      <c r="B2431" s="73"/>
      <c r="C2431" s="73"/>
      <c r="D2431" s="73"/>
      <c r="E2431" s="73"/>
      <c r="F2431" s="73"/>
      <c r="G2431" s="73"/>
      <c r="H2431" s="73"/>
      <c r="I2431" s="73"/>
      <c r="J2431" s="73"/>
      <c r="L2431" s="73"/>
    </row>
    <row r="2432" spans="2:12">
      <c r="B2432" s="73"/>
      <c r="C2432" s="73"/>
      <c r="D2432" s="73"/>
      <c r="E2432" s="73"/>
      <c r="F2432" s="73"/>
      <c r="G2432" s="73"/>
      <c r="H2432" s="73"/>
      <c r="I2432" s="73"/>
      <c r="J2432" s="73"/>
      <c r="L2432" s="73"/>
    </row>
    <row r="2433" spans="2:12">
      <c r="B2433" s="73"/>
      <c r="C2433" s="73"/>
      <c r="D2433" s="73"/>
      <c r="E2433" s="73"/>
      <c r="F2433" s="73"/>
      <c r="G2433" s="73"/>
      <c r="H2433" s="73"/>
      <c r="I2433" s="73"/>
      <c r="J2433" s="73"/>
      <c r="L2433" s="73"/>
    </row>
    <row r="2434" spans="2:12">
      <c r="B2434" s="73"/>
      <c r="C2434" s="73"/>
      <c r="D2434" s="73"/>
      <c r="E2434" s="73"/>
      <c r="F2434" s="73"/>
      <c r="G2434" s="73"/>
      <c r="H2434" s="73"/>
      <c r="I2434" s="73"/>
      <c r="J2434" s="73"/>
      <c r="L2434" s="73"/>
    </row>
    <row r="2435" spans="2:12">
      <c r="B2435" s="73"/>
      <c r="C2435" s="73"/>
      <c r="D2435" s="73"/>
      <c r="E2435" s="73"/>
      <c r="F2435" s="73"/>
      <c r="G2435" s="73"/>
      <c r="H2435" s="73"/>
      <c r="I2435" s="73"/>
      <c r="J2435" s="73"/>
      <c r="L2435" s="73"/>
    </row>
    <row r="2436" spans="2:12">
      <c r="B2436" s="73"/>
      <c r="C2436" s="73"/>
      <c r="D2436" s="73"/>
      <c r="E2436" s="73"/>
      <c r="F2436" s="73"/>
      <c r="G2436" s="73"/>
      <c r="H2436" s="73"/>
      <c r="I2436" s="73"/>
      <c r="J2436" s="73"/>
      <c r="L2436" s="73"/>
    </row>
    <row r="2437" spans="2:12">
      <c r="B2437" s="73"/>
      <c r="C2437" s="73"/>
      <c r="D2437" s="73"/>
      <c r="E2437" s="73"/>
      <c r="F2437" s="73"/>
      <c r="G2437" s="73"/>
      <c r="H2437" s="73"/>
      <c r="I2437" s="73"/>
      <c r="J2437" s="73"/>
      <c r="L2437" s="73"/>
    </row>
    <row r="2438" spans="2:12">
      <c r="B2438" s="73"/>
      <c r="C2438" s="73"/>
      <c r="D2438" s="73"/>
      <c r="E2438" s="73"/>
      <c r="F2438" s="73"/>
      <c r="G2438" s="73"/>
      <c r="H2438" s="73"/>
      <c r="I2438" s="73"/>
      <c r="J2438" s="73"/>
      <c r="L2438" s="73"/>
    </row>
    <row r="2439" spans="2:12">
      <c r="B2439" s="73"/>
      <c r="C2439" s="73"/>
      <c r="D2439" s="73"/>
      <c r="E2439" s="73"/>
      <c r="F2439" s="73"/>
      <c r="G2439" s="73"/>
      <c r="H2439" s="73"/>
      <c r="I2439" s="73"/>
      <c r="J2439" s="73"/>
      <c r="L2439" s="73"/>
    </row>
    <row r="2440" spans="2:12">
      <c r="B2440" s="73"/>
      <c r="C2440" s="73"/>
      <c r="D2440" s="73"/>
      <c r="E2440" s="73"/>
      <c r="F2440" s="73"/>
      <c r="G2440" s="73"/>
      <c r="H2440" s="73"/>
      <c r="I2440" s="73"/>
      <c r="J2440" s="73"/>
      <c r="L2440" s="73"/>
    </row>
    <row r="2441" spans="2:12">
      <c r="B2441" s="73"/>
      <c r="C2441" s="73"/>
      <c r="D2441" s="73"/>
      <c r="E2441" s="73"/>
      <c r="F2441" s="73"/>
      <c r="G2441" s="73"/>
      <c r="H2441" s="73"/>
      <c r="I2441" s="73"/>
      <c r="J2441" s="73"/>
      <c r="L2441" s="73"/>
    </row>
    <row r="2442" spans="2:12">
      <c r="B2442" s="73"/>
      <c r="C2442" s="73"/>
      <c r="D2442" s="73"/>
      <c r="E2442" s="73"/>
      <c r="F2442" s="73"/>
      <c r="G2442" s="73"/>
      <c r="H2442" s="73"/>
      <c r="I2442" s="73"/>
      <c r="J2442" s="73"/>
      <c r="L2442" s="73"/>
    </row>
    <row r="2443" spans="2:12">
      <c r="B2443" s="73"/>
      <c r="C2443" s="73"/>
      <c r="D2443" s="73"/>
      <c r="E2443" s="73"/>
      <c r="F2443" s="73"/>
      <c r="G2443" s="73"/>
      <c r="H2443" s="73"/>
      <c r="I2443" s="73"/>
      <c r="J2443" s="73"/>
      <c r="L2443" s="73"/>
    </row>
    <row r="2444" spans="2:12">
      <c r="B2444" s="73"/>
      <c r="C2444" s="73"/>
      <c r="D2444" s="73"/>
      <c r="E2444" s="73"/>
      <c r="F2444" s="73"/>
      <c r="G2444" s="73"/>
      <c r="H2444" s="73"/>
      <c r="I2444" s="73"/>
      <c r="J2444" s="73"/>
      <c r="L2444" s="73"/>
    </row>
    <row r="2445" spans="2:12">
      <c r="B2445" s="73"/>
      <c r="C2445" s="73"/>
      <c r="D2445" s="73"/>
      <c r="E2445" s="73"/>
      <c r="F2445" s="73"/>
      <c r="G2445" s="73"/>
      <c r="H2445" s="73"/>
      <c r="I2445" s="73"/>
      <c r="J2445" s="73"/>
      <c r="L2445" s="73"/>
    </row>
    <row r="2446" spans="2:12">
      <c r="B2446" s="73"/>
      <c r="C2446" s="73"/>
      <c r="D2446" s="73"/>
      <c r="E2446" s="73"/>
      <c r="F2446" s="73"/>
      <c r="G2446" s="73"/>
      <c r="H2446" s="73"/>
      <c r="I2446" s="73"/>
      <c r="J2446" s="73"/>
      <c r="L2446" s="73"/>
    </row>
    <row r="2447" spans="2:12">
      <c r="B2447" s="73"/>
      <c r="C2447" s="73"/>
      <c r="D2447" s="73"/>
      <c r="E2447" s="73"/>
      <c r="F2447" s="73"/>
      <c r="G2447" s="73"/>
      <c r="H2447" s="73"/>
      <c r="I2447" s="73"/>
      <c r="J2447" s="73"/>
      <c r="L2447" s="73"/>
    </row>
    <row r="2448" spans="2:12">
      <c r="B2448" s="73"/>
      <c r="C2448" s="73"/>
      <c r="D2448" s="73"/>
      <c r="E2448" s="73"/>
      <c r="F2448" s="73"/>
      <c r="G2448" s="73"/>
      <c r="H2448" s="73"/>
      <c r="I2448" s="73"/>
      <c r="J2448" s="73"/>
      <c r="L2448" s="73"/>
    </row>
    <row r="2449" spans="2:12">
      <c r="B2449" s="73"/>
      <c r="C2449" s="73"/>
      <c r="D2449" s="73"/>
      <c r="E2449" s="73"/>
      <c r="F2449" s="73"/>
      <c r="G2449" s="73"/>
      <c r="H2449" s="73"/>
      <c r="I2449" s="73"/>
      <c r="J2449" s="73"/>
      <c r="L2449" s="73"/>
    </row>
    <row r="2450" spans="2:12">
      <c r="B2450" s="73"/>
      <c r="C2450" s="73"/>
      <c r="D2450" s="73"/>
      <c r="E2450" s="73"/>
      <c r="F2450" s="73"/>
      <c r="G2450" s="73"/>
      <c r="H2450" s="73"/>
      <c r="I2450" s="73"/>
      <c r="J2450" s="73"/>
      <c r="L2450" s="73"/>
    </row>
    <row r="2451" spans="2:12">
      <c r="B2451" s="73"/>
      <c r="C2451" s="73"/>
      <c r="D2451" s="73"/>
      <c r="E2451" s="73"/>
      <c r="F2451" s="73"/>
      <c r="G2451" s="73"/>
      <c r="H2451" s="73"/>
      <c r="I2451" s="73"/>
      <c r="J2451" s="73"/>
      <c r="L2451" s="73"/>
    </row>
    <row r="2452" spans="2:12">
      <c r="B2452" s="73"/>
      <c r="C2452" s="73"/>
      <c r="D2452" s="73"/>
      <c r="E2452" s="73"/>
      <c r="F2452" s="73"/>
      <c r="G2452" s="73"/>
      <c r="H2452" s="73"/>
      <c r="I2452" s="73"/>
      <c r="J2452" s="73"/>
      <c r="L2452" s="73"/>
    </row>
    <row r="2453" spans="2:12">
      <c r="B2453" s="73"/>
      <c r="C2453" s="73"/>
      <c r="D2453" s="73"/>
      <c r="E2453" s="73"/>
      <c r="F2453" s="73"/>
      <c r="G2453" s="73"/>
      <c r="H2453" s="73"/>
      <c r="I2453" s="73"/>
      <c r="J2453" s="73"/>
      <c r="L2453" s="73"/>
    </row>
    <row r="2454" spans="2:12">
      <c r="B2454" s="73"/>
      <c r="C2454" s="73"/>
      <c r="D2454" s="73"/>
      <c r="E2454" s="73"/>
      <c r="F2454" s="73"/>
      <c r="G2454" s="73"/>
      <c r="H2454" s="73"/>
      <c r="I2454" s="73"/>
      <c r="J2454" s="73"/>
      <c r="L2454" s="73"/>
    </row>
    <row r="2455" spans="2:12">
      <c r="B2455" s="73"/>
      <c r="C2455" s="73"/>
      <c r="D2455" s="73"/>
      <c r="E2455" s="73"/>
      <c r="F2455" s="73"/>
      <c r="G2455" s="73"/>
      <c r="H2455" s="73"/>
      <c r="I2455" s="73"/>
      <c r="J2455" s="73"/>
      <c r="L2455" s="73"/>
    </row>
    <row r="2456" spans="2:12">
      <c r="B2456" s="73"/>
      <c r="C2456" s="73"/>
      <c r="D2456" s="73"/>
      <c r="E2456" s="73"/>
      <c r="F2456" s="73"/>
      <c r="G2456" s="73"/>
      <c r="H2456" s="73"/>
      <c r="I2456" s="73"/>
      <c r="J2456" s="73"/>
      <c r="L2456" s="73"/>
    </row>
    <row r="2457" spans="2:12">
      <c r="B2457" s="73"/>
      <c r="C2457" s="73"/>
      <c r="D2457" s="73"/>
      <c r="E2457" s="73"/>
      <c r="F2457" s="73"/>
      <c r="G2457" s="73"/>
      <c r="H2457" s="73"/>
      <c r="I2457" s="73"/>
      <c r="J2457" s="73"/>
      <c r="L2457" s="73"/>
    </row>
    <row r="2458" spans="2:12">
      <c r="B2458" s="73"/>
      <c r="C2458" s="73"/>
      <c r="D2458" s="73"/>
      <c r="E2458" s="73"/>
      <c r="F2458" s="73"/>
      <c r="G2458" s="73"/>
      <c r="H2458" s="73"/>
      <c r="I2458" s="73"/>
      <c r="J2458" s="73"/>
      <c r="L2458" s="73"/>
    </row>
    <row r="2459" spans="2:12">
      <c r="B2459" s="73"/>
      <c r="C2459" s="73"/>
      <c r="D2459" s="73"/>
      <c r="E2459" s="73"/>
      <c r="F2459" s="73"/>
      <c r="G2459" s="73"/>
      <c r="H2459" s="73"/>
      <c r="I2459" s="73"/>
      <c r="J2459" s="73"/>
      <c r="L2459" s="73"/>
    </row>
    <row r="2460" spans="2:12">
      <c r="B2460" s="73"/>
      <c r="C2460" s="73"/>
      <c r="D2460" s="73"/>
      <c r="E2460" s="73"/>
      <c r="F2460" s="73"/>
      <c r="G2460" s="73"/>
      <c r="H2460" s="73"/>
      <c r="I2460" s="73"/>
      <c r="J2460" s="73"/>
      <c r="L2460" s="73"/>
    </row>
    <row r="2461" spans="2:12">
      <c r="B2461" s="73"/>
      <c r="C2461" s="73"/>
      <c r="D2461" s="73"/>
      <c r="E2461" s="73"/>
      <c r="F2461" s="73"/>
      <c r="G2461" s="73"/>
      <c r="H2461" s="73"/>
      <c r="I2461" s="73"/>
      <c r="J2461" s="73"/>
      <c r="L2461" s="73"/>
    </row>
    <row r="2462" spans="2:12">
      <c r="B2462" s="73"/>
      <c r="C2462" s="73"/>
      <c r="D2462" s="73"/>
      <c r="E2462" s="73"/>
      <c r="F2462" s="73"/>
      <c r="G2462" s="73"/>
      <c r="H2462" s="73"/>
      <c r="I2462" s="73"/>
      <c r="J2462" s="73"/>
      <c r="L2462" s="73"/>
    </row>
    <row r="2463" spans="2:12">
      <c r="B2463" s="73"/>
      <c r="C2463" s="73"/>
      <c r="D2463" s="73"/>
      <c r="E2463" s="73"/>
      <c r="F2463" s="73"/>
      <c r="G2463" s="73"/>
      <c r="H2463" s="73"/>
      <c r="I2463" s="73"/>
      <c r="J2463" s="73"/>
      <c r="L2463" s="73"/>
    </row>
    <row r="2464" spans="2:12">
      <c r="B2464" s="73"/>
      <c r="C2464" s="73"/>
      <c r="D2464" s="73"/>
      <c r="E2464" s="73"/>
      <c r="F2464" s="73"/>
      <c r="G2464" s="73"/>
      <c r="H2464" s="73"/>
      <c r="I2464" s="73"/>
      <c r="J2464" s="73"/>
      <c r="L2464" s="73"/>
    </row>
    <row r="2465" spans="2:12">
      <c r="B2465" s="73"/>
      <c r="C2465" s="73"/>
      <c r="D2465" s="73"/>
      <c r="E2465" s="73"/>
      <c r="F2465" s="73"/>
      <c r="G2465" s="73"/>
      <c r="H2465" s="73"/>
      <c r="I2465" s="73"/>
      <c r="J2465" s="73"/>
      <c r="L2465" s="73"/>
    </row>
    <row r="2466" spans="2:12">
      <c r="B2466" s="73"/>
      <c r="C2466" s="73"/>
      <c r="D2466" s="73"/>
      <c r="E2466" s="73"/>
      <c r="F2466" s="73"/>
      <c r="G2466" s="73"/>
      <c r="H2466" s="73"/>
      <c r="I2466" s="73"/>
      <c r="J2466" s="73"/>
      <c r="L2466" s="73"/>
    </row>
    <row r="2467" spans="2:12">
      <c r="B2467" s="73"/>
      <c r="C2467" s="73"/>
      <c r="D2467" s="73"/>
      <c r="E2467" s="73"/>
      <c r="F2467" s="73"/>
      <c r="G2467" s="73"/>
      <c r="H2467" s="73"/>
      <c r="I2467" s="73"/>
      <c r="J2467" s="73"/>
      <c r="L2467" s="73"/>
    </row>
    <row r="2468" spans="2:12">
      <c r="B2468" s="73"/>
      <c r="C2468" s="73"/>
      <c r="D2468" s="73"/>
      <c r="E2468" s="73"/>
      <c r="F2468" s="73"/>
      <c r="G2468" s="73"/>
      <c r="H2468" s="73"/>
      <c r="I2468" s="73"/>
      <c r="J2468" s="73"/>
      <c r="L2468" s="73"/>
    </row>
    <row r="2469" spans="2:12">
      <c r="B2469" s="73"/>
      <c r="C2469" s="73"/>
      <c r="D2469" s="73"/>
      <c r="E2469" s="73"/>
      <c r="F2469" s="73"/>
      <c r="G2469" s="73"/>
      <c r="H2469" s="73"/>
      <c r="I2469" s="73"/>
      <c r="J2469" s="73"/>
      <c r="L2469" s="73"/>
    </row>
    <row r="2470" spans="2:12">
      <c r="B2470" s="73"/>
      <c r="C2470" s="73"/>
      <c r="D2470" s="73"/>
      <c r="E2470" s="73"/>
      <c r="F2470" s="73"/>
      <c r="G2470" s="73"/>
      <c r="H2470" s="73"/>
      <c r="I2470" s="73"/>
      <c r="J2470" s="73"/>
      <c r="L2470" s="73"/>
    </row>
    <row r="2471" spans="2:12">
      <c r="B2471" s="73"/>
      <c r="C2471" s="73"/>
      <c r="D2471" s="73"/>
      <c r="E2471" s="73"/>
      <c r="F2471" s="73"/>
      <c r="G2471" s="73"/>
      <c r="H2471" s="73"/>
      <c r="I2471" s="73"/>
      <c r="J2471" s="73"/>
      <c r="L2471" s="73"/>
    </row>
    <row r="2472" spans="2:12">
      <c r="B2472" s="73"/>
      <c r="C2472" s="73"/>
      <c r="D2472" s="73"/>
      <c r="E2472" s="73"/>
      <c r="F2472" s="73"/>
      <c r="G2472" s="73"/>
      <c r="H2472" s="73"/>
      <c r="I2472" s="73"/>
      <c r="J2472" s="73"/>
      <c r="L2472" s="73"/>
    </row>
    <row r="2473" spans="2:12">
      <c r="B2473" s="73"/>
      <c r="C2473" s="73"/>
      <c r="D2473" s="73"/>
      <c r="E2473" s="73"/>
      <c r="F2473" s="73"/>
      <c r="G2473" s="73"/>
      <c r="H2473" s="73"/>
      <c r="I2473" s="73"/>
      <c r="J2473" s="73"/>
      <c r="L2473" s="73"/>
    </row>
    <row r="2474" spans="2:12">
      <c r="B2474" s="73"/>
      <c r="C2474" s="73"/>
      <c r="D2474" s="73"/>
      <c r="E2474" s="73"/>
      <c r="F2474" s="73"/>
      <c r="G2474" s="73"/>
      <c r="H2474" s="73"/>
      <c r="I2474" s="73"/>
      <c r="J2474" s="73"/>
      <c r="L2474" s="73"/>
    </row>
    <row r="2475" spans="2:12">
      <c r="B2475" s="73"/>
      <c r="C2475" s="73"/>
      <c r="D2475" s="73"/>
      <c r="E2475" s="73"/>
      <c r="F2475" s="73"/>
      <c r="G2475" s="73"/>
      <c r="H2475" s="73"/>
      <c r="I2475" s="73"/>
      <c r="J2475" s="73"/>
      <c r="L2475" s="73"/>
    </row>
    <row r="2476" spans="2:12">
      <c r="B2476" s="73"/>
      <c r="C2476" s="73"/>
      <c r="D2476" s="73"/>
      <c r="E2476" s="73"/>
      <c r="F2476" s="73"/>
      <c r="G2476" s="73"/>
      <c r="H2476" s="73"/>
      <c r="I2476" s="73"/>
      <c r="J2476" s="73"/>
      <c r="L2476" s="73"/>
    </row>
    <row r="2477" spans="2:12">
      <c r="B2477" s="73"/>
      <c r="C2477" s="73"/>
      <c r="D2477" s="73"/>
      <c r="E2477" s="73"/>
      <c r="F2477" s="73"/>
      <c r="G2477" s="73"/>
      <c r="H2477" s="73"/>
      <c r="I2477" s="73"/>
      <c r="J2477" s="73"/>
      <c r="L2477" s="73"/>
    </row>
    <row r="2478" spans="2:12">
      <c r="B2478" s="73"/>
      <c r="C2478" s="73"/>
      <c r="D2478" s="73"/>
      <c r="E2478" s="73"/>
      <c r="F2478" s="73"/>
      <c r="G2478" s="73"/>
      <c r="H2478" s="73"/>
      <c r="I2478" s="73"/>
      <c r="J2478" s="73"/>
      <c r="L2478" s="73"/>
    </row>
    <row r="2479" spans="2:12">
      <c r="B2479" s="73"/>
      <c r="C2479" s="73"/>
      <c r="D2479" s="73"/>
      <c r="E2479" s="73"/>
      <c r="F2479" s="73"/>
      <c r="G2479" s="73"/>
      <c r="H2479" s="73"/>
      <c r="I2479" s="73"/>
      <c r="J2479" s="73"/>
      <c r="L2479" s="73"/>
    </row>
    <row r="2480" spans="2:12">
      <c r="B2480" s="73"/>
      <c r="C2480" s="73"/>
      <c r="D2480" s="73"/>
      <c r="E2480" s="73"/>
      <c r="F2480" s="73"/>
      <c r="G2480" s="73"/>
      <c r="H2480" s="73"/>
      <c r="I2480" s="73"/>
      <c r="J2480" s="73"/>
      <c r="L2480" s="73"/>
    </row>
    <row r="2481" spans="2:12">
      <c r="B2481" s="73"/>
      <c r="C2481" s="73"/>
      <c r="D2481" s="73"/>
      <c r="E2481" s="73"/>
      <c r="F2481" s="73"/>
      <c r="G2481" s="73"/>
      <c r="H2481" s="73"/>
      <c r="I2481" s="73"/>
      <c r="J2481" s="73"/>
      <c r="L2481" s="73"/>
    </row>
    <row r="2482" spans="2:12">
      <c r="B2482" s="73"/>
      <c r="C2482" s="73"/>
      <c r="D2482" s="73"/>
      <c r="E2482" s="73"/>
      <c r="F2482" s="73"/>
      <c r="G2482" s="73"/>
      <c r="H2482" s="73"/>
      <c r="I2482" s="73"/>
      <c r="J2482" s="73"/>
      <c r="L2482" s="73"/>
    </row>
    <row r="2483" spans="2:12">
      <c r="B2483" s="73"/>
      <c r="C2483" s="73"/>
      <c r="D2483" s="73"/>
      <c r="E2483" s="73"/>
      <c r="F2483" s="73"/>
      <c r="G2483" s="73"/>
      <c r="H2483" s="73"/>
      <c r="I2483" s="73"/>
      <c r="J2483" s="73"/>
      <c r="L2483" s="73"/>
    </row>
    <row r="2484" spans="2:12">
      <c r="B2484" s="73"/>
      <c r="C2484" s="73"/>
      <c r="D2484" s="73"/>
      <c r="E2484" s="73"/>
      <c r="F2484" s="73"/>
      <c r="G2484" s="73"/>
      <c r="H2484" s="73"/>
      <c r="I2484" s="73"/>
      <c r="J2484" s="73"/>
      <c r="L2484" s="73"/>
    </row>
    <row r="2485" spans="2:12">
      <c r="B2485" s="73"/>
      <c r="C2485" s="73"/>
      <c r="D2485" s="73"/>
      <c r="E2485" s="73"/>
      <c r="F2485" s="73"/>
      <c r="G2485" s="73"/>
      <c r="H2485" s="73"/>
      <c r="I2485" s="73"/>
      <c r="J2485" s="73"/>
      <c r="L2485" s="73"/>
    </row>
    <row r="2486" spans="2:12">
      <c r="B2486" s="73"/>
      <c r="C2486" s="73"/>
      <c r="D2486" s="73"/>
      <c r="E2486" s="73"/>
      <c r="F2486" s="73"/>
      <c r="G2486" s="73"/>
      <c r="H2486" s="73"/>
      <c r="I2486" s="73"/>
      <c r="J2486" s="73"/>
      <c r="L2486" s="73"/>
    </row>
    <row r="2487" spans="2:12">
      <c r="B2487" s="73"/>
      <c r="C2487" s="73"/>
      <c r="D2487" s="73"/>
      <c r="E2487" s="73"/>
      <c r="F2487" s="73"/>
      <c r="G2487" s="73"/>
      <c r="H2487" s="73"/>
      <c r="I2487" s="73"/>
      <c r="J2487" s="73"/>
      <c r="L2487" s="73"/>
    </row>
    <row r="2488" spans="2:12">
      <c r="B2488" s="73"/>
      <c r="C2488" s="73"/>
      <c r="D2488" s="73"/>
      <c r="E2488" s="73"/>
      <c r="F2488" s="73"/>
      <c r="G2488" s="73"/>
      <c r="H2488" s="73"/>
      <c r="I2488" s="73"/>
      <c r="J2488" s="73"/>
      <c r="L2488" s="73"/>
    </row>
    <row r="2489" spans="2:12">
      <c r="B2489" s="73"/>
      <c r="C2489" s="73"/>
      <c r="D2489" s="73"/>
      <c r="E2489" s="73"/>
      <c r="F2489" s="73"/>
      <c r="G2489" s="73"/>
      <c r="H2489" s="73"/>
      <c r="I2489" s="73"/>
      <c r="J2489" s="73"/>
      <c r="L2489" s="73"/>
    </row>
    <row r="2490" spans="2:12">
      <c r="B2490" s="73"/>
      <c r="C2490" s="73"/>
      <c r="D2490" s="73"/>
      <c r="E2490" s="73"/>
      <c r="F2490" s="73"/>
      <c r="G2490" s="73"/>
      <c r="H2490" s="73"/>
      <c r="I2490" s="73"/>
      <c r="J2490" s="73"/>
      <c r="L2490" s="73"/>
    </row>
    <row r="2491" spans="2:12">
      <c r="B2491" s="73"/>
      <c r="C2491" s="73"/>
      <c r="D2491" s="73"/>
      <c r="E2491" s="73"/>
      <c r="F2491" s="73"/>
      <c r="G2491" s="73"/>
      <c r="H2491" s="73"/>
      <c r="I2491" s="73"/>
      <c r="J2491" s="73"/>
      <c r="L2491" s="73"/>
    </row>
    <row r="2492" spans="2:12">
      <c r="B2492" s="73"/>
      <c r="C2492" s="73"/>
      <c r="D2492" s="73"/>
      <c r="E2492" s="73"/>
      <c r="F2492" s="73"/>
      <c r="G2492" s="73"/>
      <c r="H2492" s="73"/>
      <c r="I2492" s="73"/>
      <c r="J2492" s="73"/>
      <c r="L2492" s="73"/>
    </row>
    <row r="2493" spans="2:12">
      <c r="B2493" s="73"/>
      <c r="C2493" s="73"/>
      <c r="D2493" s="73"/>
      <c r="E2493" s="73"/>
      <c r="F2493" s="73"/>
      <c r="G2493" s="73"/>
      <c r="H2493" s="73"/>
      <c r="I2493" s="73"/>
      <c r="J2493" s="73"/>
      <c r="L2493" s="73"/>
    </row>
    <row r="2494" spans="2:12">
      <c r="B2494" s="73"/>
      <c r="C2494" s="73"/>
      <c r="D2494" s="73"/>
      <c r="E2494" s="73"/>
      <c r="F2494" s="73"/>
      <c r="G2494" s="73"/>
      <c r="H2494" s="73"/>
      <c r="I2494" s="73"/>
      <c r="J2494" s="73"/>
      <c r="L2494" s="73"/>
    </row>
    <row r="2495" spans="2:12">
      <c r="B2495" s="73"/>
      <c r="C2495" s="73"/>
      <c r="D2495" s="73"/>
      <c r="E2495" s="73"/>
      <c r="F2495" s="73"/>
      <c r="G2495" s="73"/>
      <c r="H2495" s="73"/>
      <c r="I2495" s="73"/>
      <c r="J2495" s="73"/>
      <c r="L2495" s="73"/>
    </row>
    <row r="2496" spans="2:12">
      <c r="B2496" s="73"/>
      <c r="C2496" s="73"/>
      <c r="D2496" s="73"/>
      <c r="E2496" s="73"/>
      <c r="F2496" s="73"/>
      <c r="G2496" s="73"/>
      <c r="H2496" s="73"/>
      <c r="I2496" s="73"/>
      <c r="J2496" s="73"/>
      <c r="L2496" s="73"/>
    </row>
    <row r="2497" spans="2:12">
      <c r="B2497" s="73"/>
      <c r="C2497" s="73"/>
      <c r="D2497" s="73"/>
      <c r="E2497" s="73"/>
      <c r="F2497" s="73"/>
      <c r="G2497" s="73"/>
      <c r="H2497" s="73"/>
      <c r="I2497" s="73"/>
      <c r="J2497" s="73"/>
      <c r="L2497" s="73"/>
    </row>
    <row r="2498" spans="2:12">
      <c r="B2498" s="73"/>
      <c r="C2498" s="73"/>
      <c r="D2498" s="73"/>
      <c r="E2498" s="73"/>
      <c r="F2498" s="73"/>
      <c r="G2498" s="73"/>
      <c r="H2498" s="73"/>
      <c r="I2498" s="73"/>
      <c r="J2498" s="73"/>
      <c r="L2498" s="73"/>
    </row>
    <row r="2499" spans="2:12">
      <c r="B2499" s="73"/>
      <c r="C2499" s="73"/>
      <c r="D2499" s="73"/>
      <c r="E2499" s="73"/>
      <c r="F2499" s="73"/>
      <c r="G2499" s="73"/>
      <c r="H2499" s="73"/>
      <c r="I2499" s="73"/>
      <c r="J2499" s="73"/>
      <c r="L2499" s="73"/>
    </row>
    <row r="2500" spans="2:12">
      <c r="B2500" s="73"/>
      <c r="C2500" s="73"/>
      <c r="D2500" s="73"/>
      <c r="E2500" s="73"/>
      <c r="F2500" s="73"/>
      <c r="G2500" s="73"/>
      <c r="H2500" s="73"/>
      <c r="I2500" s="73"/>
      <c r="J2500" s="73"/>
      <c r="L2500" s="73"/>
    </row>
    <row r="2501" spans="2:12">
      <c r="B2501" s="73"/>
      <c r="C2501" s="73"/>
      <c r="D2501" s="73"/>
      <c r="E2501" s="73"/>
      <c r="F2501" s="73"/>
      <c r="G2501" s="73"/>
      <c r="H2501" s="73"/>
      <c r="I2501" s="73"/>
      <c r="J2501" s="73"/>
      <c r="L2501" s="73"/>
    </row>
    <row r="2502" spans="2:12">
      <c r="B2502" s="73"/>
      <c r="C2502" s="73"/>
      <c r="D2502" s="73"/>
      <c r="E2502" s="73"/>
      <c r="F2502" s="73"/>
      <c r="G2502" s="73"/>
      <c r="H2502" s="73"/>
      <c r="I2502" s="73"/>
      <c r="J2502" s="73"/>
      <c r="L2502" s="73"/>
    </row>
    <row r="2503" spans="2:12">
      <c r="B2503" s="73"/>
      <c r="C2503" s="73"/>
      <c r="D2503" s="73"/>
      <c r="E2503" s="73"/>
      <c r="F2503" s="73"/>
      <c r="G2503" s="73"/>
      <c r="H2503" s="73"/>
      <c r="I2503" s="73"/>
      <c r="J2503" s="73"/>
      <c r="L2503" s="73"/>
    </row>
    <row r="2504" spans="2:12">
      <c r="B2504" s="73"/>
      <c r="C2504" s="73"/>
      <c r="D2504" s="73"/>
      <c r="E2504" s="73"/>
      <c r="F2504" s="73"/>
      <c r="G2504" s="73"/>
      <c r="H2504" s="73"/>
      <c r="I2504" s="73"/>
      <c r="J2504" s="73"/>
      <c r="L2504" s="73"/>
    </row>
    <row r="2505" spans="2:12">
      <c r="B2505" s="73"/>
      <c r="C2505" s="73"/>
      <c r="D2505" s="73"/>
      <c r="E2505" s="73"/>
      <c r="F2505" s="73"/>
      <c r="G2505" s="73"/>
      <c r="H2505" s="73"/>
      <c r="I2505" s="73"/>
      <c r="J2505" s="73"/>
      <c r="L2505" s="73"/>
    </row>
    <row r="2506" spans="2:12">
      <c r="B2506" s="73"/>
      <c r="C2506" s="73"/>
      <c r="D2506" s="73"/>
      <c r="E2506" s="73"/>
      <c r="F2506" s="73"/>
      <c r="G2506" s="73"/>
      <c r="H2506" s="73"/>
      <c r="I2506" s="73"/>
      <c r="J2506" s="73"/>
      <c r="L2506" s="73"/>
    </row>
    <row r="2507" spans="2:12">
      <c r="B2507" s="73"/>
      <c r="C2507" s="73"/>
      <c r="D2507" s="73"/>
      <c r="E2507" s="73"/>
      <c r="F2507" s="73"/>
      <c r="G2507" s="73"/>
      <c r="H2507" s="73"/>
      <c r="I2507" s="73"/>
      <c r="J2507" s="73"/>
      <c r="L2507" s="73"/>
    </row>
    <row r="2508" spans="2:12">
      <c r="B2508" s="73"/>
      <c r="C2508" s="73"/>
      <c r="D2508" s="73"/>
      <c r="E2508" s="73"/>
      <c r="F2508" s="73"/>
      <c r="G2508" s="73"/>
      <c r="H2508" s="73"/>
      <c r="I2508" s="73"/>
      <c r="J2508" s="73"/>
      <c r="L2508" s="73"/>
    </row>
    <row r="2509" spans="2:12">
      <c r="B2509" s="73"/>
      <c r="C2509" s="73"/>
      <c r="D2509" s="73"/>
      <c r="E2509" s="73"/>
      <c r="F2509" s="73"/>
      <c r="G2509" s="73"/>
      <c r="H2509" s="73"/>
      <c r="I2509" s="73"/>
      <c r="J2509" s="73"/>
      <c r="L2509" s="73"/>
    </row>
    <row r="2510" spans="2:12">
      <c r="B2510" s="73"/>
      <c r="C2510" s="73"/>
      <c r="D2510" s="73"/>
      <c r="E2510" s="73"/>
      <c r="F2510" s="73"/>
      <c r="G2510" s="73"/>
      <c r="H2510" s="73"/>
      <c r="I2510" s="73"/>
      <c r="J2510" s="73"/>
      <c r="L2510" s="73"/>
    </row>
    <row r="2511" spans="2:12">
      <c r="B2511" s="73"/>
      <c r="C2511" s="73"/>
      <c r="D2511" s="73"/>
      <c r="E2511" s="73"/>
      <c r="F2511" s="73"/>
      <c r="G2511" s="73"/>
      <c r="H2511" s="73"/>
      <c r="I2511" s="73"/>
      <c r="J2511" s="73"/>
      <c r="L2511" s="73"/>
    </row>
    <row r="2512" spans="2:12">
      <c r="B2512" s="73"/>
      <c r="C2512" s="73"/>
      <c r="D2512" s="73"/>
      <c r="E2512" s="73"/>
      <c r="F2512" s="73"/>
      <c r="G2512" s="73"/>
      <c r="H2512" s="73"/>
      <c r="I2512" s="73"/>
      <c r="J2512" s="73"/>
      <c r="L2512" s="73"/>
    </row>
    <row r="2513" spans="2:12">
      <c r="B2513" s="73"/>
      <c r="C2513" s="73"/>
      <c r="D2513" s="73"/>
      <c r="E2513" s="73"/>
      <c r="F2513" s="73"/>
      <c r="G2513" s="73"/>
      <c r="H2513" s="73"/>
      <c r="I2513" s="73"/>
      <c r="J2513" s="73"/>
      <c r="L2513" s="73"/>
    </row>
    <row r="2514" spans="2:12">
      <c r="B2514" s="73"/>
      <c r="C2514" s="73"/>
      <c r="D2514" s="73"/>
      <c r="E2514" s="73"/>
      <c r="F2514" s="73"/>
      <c r="G2514" s="73"/>
      <c r="H2514" s="73"/>
      <c r="I2514" s="73"/>
      <c r="J2514" s="73"/>
      <c r="L2514" s="73"/>
    </row>
    <row r="2515" spans="2:12">
      <c r="B2515" s="73"/>
      <c r="C2515" s="73"/>
      <c r="D2515" s="73"/>
      <c r="E2515" s="73"/>
      <c r="F2515" s="73"/>
      <c r="G2515" s="73"/>
      <c r="H2515" s="73"/>
      <c r="I2515" s="73"/>
      <c r="J2515" s="73"/>
      <c r="L2515" s="73"/>
    </row>
    <row r="2516" spans="2:12">
      <c r="B2516" s="73"/>
      <c r="C2516" s="73"/>
      <c r="D2516" s="73"/>
      <c r="E2516" s="73"/>
      <c r="F2516" s="73"/>
      <c r="G2516" s="73"/>
      <c r="H2516" s="73"/>
      <c r="I2516" s="73"/>
      <c r="J2516" s="73"/>
      <c r="L2516" s="73"/>
    </row>
    <row r="2517" spans="2:12">
      <c r="B2517" s="73"/>
      <c r="C2517" s="73"/>
      <c r="D2517" s="73"/>
      <c r="E2517" s="73"/>
      <c r="F2517" s="73"/>
      <c r="G2517" s="73"/>
      <c r="H2517" s="73"/>
      <c r="I2517" s="73"/>
      <c r="J2517" s="73"/>
      <c r="L2517" s="73"/>
    </row>
    <row r="2518" spans="2:12">
      <c r="B2518" s="73"/>
      <c r="C2518" s="73"/>
      <c r="D2518" s="73"/>
      <c r="E2518" s="73"/>
      <c r="F2518" s="73"/>
      <c r="G2518" s="73"/>
      <c r="H2518" s="73"/>
      <c r="I2518" s="73"/>
      <c r="J2518" s="73"/>
      <c r="L2518" s="73"/>
    </row>
    <row r="2519" spans="2:12">
      <c r="B2519" s="73"/>
      <c r="C2519" s="73"/>
      <c r="D2519" s="73"/>
      <c r="E2519" s="73"/>
      <c r="F2519" s="73"/>
      <c r="G2519" s="73"/>
      <c r="H2519" s="73"/>
      <c r="I2519" s="73"/>
      <c r="J2519" s="73"/>
      <c r="L2519" s="73"/>
    </row>
    <row r="2520" spans="2:12">
      <c r="B2520" s="73"/>
      <c r="C2520" s="73"/>
      <c r="D2520" s="73"/>
      <c r="E2520" s="73"/>
      <c r="F2520" s="73"/>
      <c r="G2520" s="73"/>
      <c r="H2520" s="73"/>
      <c r="I2520" s="73"/>
      <c r="J2520" s="73"/>
      <c r="L2520" s="73"/>
    </row>
    <row r="2521" spans="2:12">
      <c r="B2521" s="73"/>
      <c r="C2521" s="73"/>
      <c r="D2521" s="73"/>
      <c r="E2521" s="73"/>
      <c r="F2521" s="73"/>
      <c r="G2521" s="73"/>
      <c r="H2521" s="73"/>
      <c r="I2521" s="73"/>
      <c r="J2521" s="73"/>
      <c r="L2521" s="73"/>
    </row>
    <row r="2522" spans="2:12">
      <c r="B2522" s="73"/>
      <c r="C2522" s="73"/>
      <c r="D2522" s="73"/>
      <c r="E2522" s="73"/>
      <c r="F2522" s="73"/>
      <c r="G2522" s="73"/>
      <c r="H2522" s="73"/>
      <c r="I2522" s="73"/>
      <c r="J2522" s="73"/>
      <c r="L2522" s="73"/>
    </row>
    <row r="2523" spans="2:12">
      <c r="B2523" s="73"/>
      <c r="C2523" s="73"/>
      <c r="D2523" s="73"/>
      <c r="E2523" s="73"/>
      <c r="F2523" s="73"/>
      <c r="G2523" s="73"/>
      <c r="H2523" s="73"/>
      <c r="I2523" s="73"/>
      <c r="J2523" s="73"/>
      <c r="L2523" s="73"/>
    </row>
    <row r="2524" spans="2:12">
      <c r="B2524" s="73"/>
      <c r="C2524" s="73"/>
      <c r="D2524" s="73"/>
      <c r="E2524" s="73"/>
      <c r="F2524" s="73"/>
      <c r="G2524" s="73"/>
      <c r="H2524" s="73"/>
      <c r="I2524" s="73"/>
      <c r="J2524" s="73"/>
      <c r="L2524" s="73"/>
    </row>
    <row r="2525" spans="2:12">
      <c r="B2525" s="73"/>
      <c r="C2525" s="73"/>
      <c r="D2525" s="73"/>
      <c r="E2525" s="73"/>
      <c r="F2525" s="73"/>
      <c r="G2525" s="73"/>
      <c r="H2525" s="73"/>
      <c r="I2525" s="73"/>
      <c r="J2525" s="73"/>
      <c r="L2525" s="73"/>
    </row>
    <row r="2526" spans="2:12">
      <c r="B2526" s="73"/>
      <c r="C2526" s="73"/>
      <c r="D2526" s="73"/>
      <c r="E2526" s="73"/>
      <c r="F2526" s="73"/>
      <c r="G2526" s="73"/>
      <c r="H2526" s="73"/>
      <c r="I2526" s="73"/>
      <c r="J2526" s="73"/>
      <c r="L2526" s="73"/>
    </row>
    <row r="2527" spans="2:12">
      <c r="B2527" s="73"/>
      <c r="C2527" s="73"/>
      <c r="D2527" s="73"/>
      <c r="E2527" s="73"/>
      <c r="F2527" s="73"/>
      <c r="G2527" s="73"/>
      <c r="H2527" s="73"/>
      <c r="I2527" s="73"/>
      <c r="J2527" s="73"/>
      <c r="L2527" s="73"/>
    </row>
    <row r="2528" spans="2:12">
      <c r="B2528" s="73"/>
      <c r="C2528" s="73"/>
      <c r="D2528" s="73"/>
      <c r="E2528" s="73"/>
      <c r="F2528" s="73"/>
      <c r="G2528" s="73"/>
      <c r="H2528" s="73"/>
      <c r="I2528" s="73"/>
      <c r="J2528" s="73"/>
      <c r="L2528" s="73"/>
    </row>
    <row r="2529" spans="2:12">
      <c r="B2529" s="73"/>
      <c r="C2529" s="73"/>
      <c r="D2529" s="73"/>
      <c r="E2529" s="73"/>
      <c r="F2529" s="73"/>
      <c r="G2529" s="73"/>
      <c r="H2529" s="73"/>
      <c r="I2529" s="73"/>
      <c r="J2529" s="73"/>
      <c r="L2529" s="73"/>
    </row>
    <row r="2530" spans="2:12">
      <c r="B2530" s="73"/>
      <c r="C2530" s="73"/>
      <c r="D2530" s="73"/>
      <c r="E2530" s="73"/>
      <c r="F2530" s="73"/>
      <c r="G2530" s="73"/>
      <c r="H2530" s="73"/>
      <c r="I2530" s="73"/>
      <c r="J2530" s="73"/>
      <c r="L2530" s="73"/>
    </row>
    <row r="2531" spans="2:12">
      <c r="B2531" s="73"/>
      <c r="C2531" s="73"/>
      <c r="D2531" s="73"/>
      <c r="E2531" s="73"/>
      <c r="F2531" s="73"/>
      <c r="G2531" s="73"/>
      <c r="H2531" s="73"/>
      <c r="I2531" s="73"/>
      <c r="J2531" s="73"/>
      <c r="L2531" s="73"/>
    </row>
    <row r="2532" spans="2:12">
      <c r="B2532" s="73"/>
      <c r="C2532" s="73"/>
      <c r="D2532" s="73"/>
      <c r="E2532" s="73"/>
      <c r="F2532" s="73"/>
      <c r="G2532" s="73"/>
      <c r="H2532" s="73"/>
      <c r="I2532" s="73"/>
      <c r="J2532" s="73"/>
      <c r="L2532" s="73"/>
    </row>
    <row r="2533" spans="2:12">
      <c r="B2533" s="73"/>
      <c r="C2533" s="73"/>
      <c r="D2533" s="73"/>
      <c r="E2533" s="73"/>
      <c r="F2533" s="73"/>
      <c r="G2533" s="73"/>
      <c r="H2533" s="73"/>
      <c r="I2533" s="73"/>
      <c r="J2533" s="73"/>
      <c r="L2533" s="73"/>
    </row>
    <row r="2534" spans="2:12">
      <c r="B2534" s="73"/>
      <c r="C2534" s="73"/>
      <c r="D2534" s="73"/>
      <c r="E2534" s="73"/>
      <c r="F2534" s="73"/>
      <c r="G2534" s="73"/>
      <c r="H2534" s="73"/>
      <c r="I2534" s="73"/>
      <c r="J2534" s="73"/>
      <c r="L2534" s="73"/>
    </row>
    <row r="2535" spans="2:12">
      <c r="B2535" s="73"/>
      <c r="C2535" s="73"/>
      <c r="D2535" s="73"/>
      <c r="E2535" s="73"/>
      <c r="F2535" s="73"/>
      <c r="G2535" s="73"/>
      <c r="H2535" s="73"/>
      <c r="I2535" s="73"/>
      <c r="J2535" s="73"/>
      <c r="L2535" s="73"/>
    </row>
    <row r="2536" spans="2:12">
      <c r="B2536" s="73"/>
      <c r="C2536" s="73"/>
      <c r="D2536" s="73"/>
      <c r="E2536" s="73"/>
      <c r="F2536" s="73"/>
      <c r="G2536" s="73"/>
      <c r="H2536" s="73"/>
      <c r="I2536" s="73"/>
      <c r="J2536" s="73"/>
      <c r="L2536" s="73"/>
    </row>
    <row r="2537" spans="2:12">
      <c r="B2537" s="73"/>
      <c r="C2537" s="73"/>
      <c r="D2537" s="73"/>
      <c r="E2537" s="73"/>
      <c r="F2537" s="73"/>
      <c r="G2537" s="73"/>
      <c r="H2537" s="73"/>
      <c r="I2537" s="73"/>
      <c r="J2537" s="73"/>
      <c r="L2537" s="73"/>
    </row>
    <row r="2538" spans="2:12">
      <c r="B2538" s="73"/>
      <c r="C2538" s="73"/>
      <c r="D2538" s="73"/>
      <c r="E2538" s="73"/>
      <c r="F2538" s="73"/>
      <c r="G2538" s="73"/>
      <c r="H2538" s="73"/>
      <c r="I2538" s="73"/>
      <c r="J2538" s="73"/>
      <c r="L2538" s="73"/>
    </row>
    <row r="2539" spans="2:12">
      <c r="B2539" s="73"/>
      <c r="C2539" s="73"/>
      <c r="D2539" s="73"/>
      <c r="E2539" s="73"/>
      <c r="F2539" s="73"/>
      <c r="G2539" s="73"/>
      <c r="H2539" s="73"/>
      <c r="I2539" s="73"/>
      <c r="J2539" s="73"/>
      <c r="L2539" s="73"/>
    </row>
    <row r="2540" spans="2:12">
      <c r="B2540" s="73"/>
      <c r="C2540" s="73"/>
      <c r="D2540" s="73"/>
      <c r="E2540" s="73"/>
      <c r="F2540" s="73"/>
      <c r="G2540" s="73"/>
      <c r="H2540" s="73"/>
      <c r="I2540" s="73"/>
      <c r="J2540" s="73"/>
      <c r="L2540" s="73"/>
    </row>
    <row r="2541" spans="2:12">
      <c r="B2541" s="73"/>
      <c r="C2541" s="73"/>
      <c r="D2541" s="73"/>
      <c r="E2541" s="73"/>
      <c r="F2541" s="73"/>
      <c r="G2541" s="73"/>
      <c r="H2541" s="73"/>
      <c r="I2541" s="73"/>
      <c r="J2541" s="73"/>
      <c r="L2541" s="73"/>
    </row>
    <row r="2542" spans="2:12">
      <c r="B2542" s="73"/>
      <c r="C2542" s="73"/>
      <c r="D2542" s="73"/>
      <c r="E2542" s="73"/>
      <c r="F2542" s="73"/>
      <c r="G2542" s="73"/>
      <c r="H2542" s="73"/>
      <c r="I2542" s="73"/>
      <c r="J2542" s="73"/>
      <c r="L2542" s="73"/>
    </row>
    <row r="2543" spans="2:12">
      <c r="B2543" s="73"/>
      <c r="C2543" s="73"/>
      <c r="D2543" s="73"/>
      <c r="E2543" s="73"/>
      <c r="F2543" s="73"/>
      <c r="G2543" s="73"/>
      <c r="H2543" s="73"/>
      <c r="I2543" s="73"/>
      <c r="J2543" s="73"/>
      <c r="L2543" s="73"/>
    </row>
    <row r="2544" spans="2:12">
      <c r="B2544" s="73"/>
      <c r="C2544" s="73"/>
      <c r="D2544" s="73"/>
      <c r="E2544" s="73"/>
      <c r="F2544" s="73"/>
      <c r="G2544" s="73"/>
      <c r="H2544" s="73"/>
      <c r="I2544" s="73"/>
      <c r="J2544" s="73"/>
      <c r="L2544" s="73"/>
    </row>
    <row r="2545" spans="2:12">
      <c r="B2545" s="73"/>
      <c r="C2545" s="73"/>
      <c r="D2545" s="73"/>
      <c r="E2545" s="73"/>
      <c r="F2545" s="73"/>
      <c r="G2545" s="73"/>
      <c r="H2545" s="73"/>
      <c r="I2545" s="73"/>
      <c r="J2545" s="73"/>
      <c r="L2545" s="73"/>
    </row>
    <row r="2546" spans="2:12">
      <c r="B2546" s="73"/>
      <c r="C2546" s="73"/>
      <c r="D2546" s="73"/>
      <c r="E2546" s="73"/>
      <c r="F2546" s="73"/>
      <c r="G2546" s="73"/>
      <c r="H2546" s="73"/>
      <c r="I2546" s="73"/>
      <c r="J2546" s="73"/>
      <c r="L2546" s="73"/>
    </row>
    <row r="2547" spans="2:12">
      <c r="B2547" s="73"/>
      <c r="C2547" s="73"/>
      <c r="D2547" s="73"/>
      <c r="E2547" s="73"/>
      <c r="F2547" s="73"/>
      <c r="G2547" s="73"/>
      <c r="H2547" s="73"/>
      <c r="I2547" s="73"/>
      <c r="J2547" s="73"/>
      <c r="L2547" s="73"/>
    </row>
    <row r="2548" spans="2:12">
      <c r="B2548" s="73"/>
      <c r="C2548" s="73"/>
      <c r="D2548" s="73"/>
      <c r="E2548" s="73"/>
      <c r="F2548" s="73"/>
      <c r="G2548" s="73"/>
      <c r="H2548" s="73"/>
      <c r="I2548" s="73"/>
      <c r="J2548" s="73"/>
      <c r="L2548" s="73"/>
    </row>
    <row r="2549" spans="2:12">
      <c r="B2549" s="73"/>
      <c r="C2549" s="73"/>
      <c r="D2549" s="73"/>
      <c r="E2549" s="73"/>
      <c r="F2549" s="73"/>
      <c r="G2549" s="73"/>
      <c r="H2549" s="73"/>
      <c r="I2549" s="73"/>
      <c r="J2549" s="73"/>
      <c r="L2549" s="73"/>
    </row>
    <row r="2550" spans="2:12">
      <c r="B2550" s="73"/>
      <c r="C2550" s="73"/>
      <c r="D2550" s="73"/>
      <c r="E2550" s="73"/>
      <c r="F2550" s="73"/>
      <c r="G2550" s="73"/>
      <c r="H2550" s="73"/>
      <c r="I2550" s="73"/>
      <c r="J2550" s="73"/>
      <c r="L2550" s="73"/>
    </row>
    <row r="2551" spans="2:12">
      <c r="B2551" s="73"/>
      <c r="C2551" s="73"/>
      <c r="D2551" s="73"/>
      <c r="E2551" s="73"/>
      <c r="F2551" s="73"/>
      <c r="G2551" s="73"/>
      <c r="H2551" s="73"/>
      <c r="I2551" s="73"/>
      <c r="J2551" s="73"/>
      <c r="L2551" s="73"/>
    </row>
    <row r="2552" spans="2:12">
      <c r="B2552" s="73"/>
      <c r="C2552" s="73"/>
      <c r="D2552" s="73"/>
      <c r="E2552" s="73"/>
      <c r="F2552" s="73"/>
      <c r="G2552" s="73"/>
      <c r="H2552" s="73"/>
      <c r="I2552" s="73"/>
      <c r="J2552" s="73"/>
      <c r="L2552" s="73"/>
    </row>
    <row r="2553" spans="2:12">
      <c r="B2553" s="73"/>
      <c r="C2553" s="73"/>
      <c r="D2553" s="73"/>
      <c r="E2553" s="73"/>
      <c r="F2553" s="73"/>
      <c r="G2553" s="73"/>
      <c r="H2553" s="73"/>
      <c r="I2553" s="73"/>
      <c r="J2553" s="73"/>
      <c r="L2553" s="73"/>
    </row>
    <row r="2554" spans="2:12">
      <c r="B2554" s="73"/>
      <c r="C2554" s="73"/>
      <c r="D2554" s="73"/>
      <c r="E2554" s="73"/>
      <c r="F2554" s="73"/>
      <c r="G2554" s="73"/>
      <c r="H2554" s="73"/>
      <c r="I2554" s="73"/>
      <c r="J2554" s="73"/>
      <c r="L2554" s="73"/>
    </row>
    <row r="2555" spans="2:12">
      <c r="B2555" s="73"/>
      <c r="C2555" s="73"/>
      <c r="D2555" s="73"/>
      <c r="E2555" s="73"/>
      <c r="F2555" s="73"/>
      <c r="G2555" s="73"/>
      <c r="H2555" s="73"/>
      <c r="I2555" s="73"/>
      <c r="J2555" s="73"/>
      <c r="L2555" s="73"/>
    </row>
    <row r="2556" spans="2:12">
      <c r="B2556" s="73"/>
      <c r="C2556" s="73"/>
      <c r="D2556" s="73"/>
      <c r="E2556" s="73"/>
      <c r="F2556" s="73"/>
      <c r="G2556" s="73"/>
      <c r="H2556" s="73"/>
      <c r="I2556" s="73"/>
      <c r="J2556" s="73"/>
      <c r="L2556" s="73"/>
    </row>
    <row r="2557" spans="2:12">
      <c r="B2557" s="73"/>
      <c r="C2557" s="73"/>
      <c r="D2557" s="73"/>
      <c r="E2557" s="73"/>
      <c r="F2557" s="73"/>
      <c r="G2557" s="73"/>
      <c r="H2557" s="73"/>
      <c r="I2557" s="73"/>
      <c r="J2557" s="73"/>
      <c r="L2557" s="73"/>
    </row>
    <row r="2558" spans="2:12">
      <c r="B2558" s="73"/>
      <c r="C2558" s="73"/>
      <c r="D2558" s="73"/>
      <c r="E2558" s="73"/>
      <c r="F2558" s="73"/>
      <c r="G2558" s="73"/>
      <c r="H2558" s="73"/>
      <c r="I2558" s="73"/>
      <c r="J2558" s="73"/>
      <c r="L2558" s="73"/>
    </row>
    <row r="2559" spans="2:12">
      <c r="B2559" s="73"/>
      <c r="C2559" s="73"/>
      <c r="D2559" s="73"/>
      <c r="E2559" s="73"/>
      <c r="F2559" s="73"/>
      <c r="G2559" s="73"/>
      <c r="H2559" s="73"/>
      <c r="I2559" s="73"/>
      <c r="J2559" s="73"/>
      <c r="L2559" s="73"/>
    </row>
    <row r="2560" spans="2:12">
      <c r="B2560" s="73"/>
      <c r="C2560" s="73"/>
      <c r="D2560" s="73"/>
      <c r="E2560" s="73"/>
      <c r="F2560" s="73"/>
      <c r="G2560" s="73"/>
      <c r="H2560" s="73"/>
      <c r="I2560" s="73"/>
      <c r="J2560" s="73"/>
      <c r="L2560" s="73"/>
    </row>
    <row r="2561" spans="2:12">
      <c r="B2561" s="73"/>
      <c r="C2561" s="73"/>
      <c r="D2561" s="73"/>
      <c r="E2561" s="73"/>
      <c r="F2561" s="73"/>
      <c r="G2561" s="73"/>
      <c r="H2561" s="73"/>
      <c r="I2561" s="73"/>
      <c r="J2561" s="73"/>
      <c r="L2561" s="73"/>
    </row>
    <row r="2562" spans="2:12">
      <c r="B2562" s="73"/>
      <c r="C2562" s="73"/>
      <c r="D2562" s="73"/>
      <c r="E2562" s="73"/>
      <c r="F2562" s="73"/>
      <c r="G2562" s="73"/>
      <c r="H2562" s="73"/>
      <c r="I2562" s="73"/>
      <c r="J2562" s="73"/>
      <c r="L2562" s="73"/>
    </row>
    <row r="2563" spans="2:12">
      <c r="B2563" s="73"/>
      <c r="C2563" s="73"/>
      <c r="D2563" s="73"/>
      <c r="E2563" s="73"/>
      <c r="F2563" s="73"/>
      <c r="G2563" s="73"/>
      <c r="H2563" s="73"/>
      <c r="I2563" s="73"/>
      <c r="J2563" s="73"/>
      <c r="L2563" s="73"/>
    </row>
    <row r="2564" spans="2:12">
      <c r="B2564" s="73"/>
      <c r="C2564" s="73"/>
      <c r="D2564" s="73"/>
      <c r="E2564" s="73"/>
      <c r="F2564" s="73"/>
      <c r="G2564" s="73"/>
      <c r="H2564" s="73"/>
      <c r="I2564" s="73"/>
      <c r="J2564" s="73"/>
      <c r="L2564" s="73"/>
    </row>
    <row r="2565" spans="2:12">
      <c r="B2565" s="73"/>
      <c r="C2565" s="73"/>
      <c r="D2565" s="73"/>
      <c r="E2565" s="73"/>
      <c r="F2565" s="73"/>
      <c r="G2565" s="73"/>
      <c r="H2565" s="73"/>
      <c r="I2565" s="73"/>
      <c r="J2565" s="73"/>
      <c r="L2565" s="73"/>
    </row>
    <row r="2566" spans="2:12">
      <c r="B2566" s="73"/>
      <c r="C2566" s="73"/>
      <c r="D2566" s="73"/>
      <c r="E2566" s="73"/>
      <c r="F2566" s="73"/>
      <c r="G2566" s="73"/>
      <c r="H2566" s="73"/>
      <c r="I2566" s="73"/>
      <c r="J2566" s="73"/>
      <c r="L2566" s="73"/>
    </row>
    <row r="2567" spans="2:12">
      <c r="B2567" s="73"/>
      <c r="C2567" s="73"/>
      <c r="D2567" s="73"/>
      <c r="E2567" s="73"/>
      <c r="F2567" s="73"/>
      <c r="G2567" s="73"/>
      <c r="H2567" s="73"/>
      <c r="I2567" s="73"/>
      <c r="J2567" s="73"/>
      <c r="L2567" s="73"/>
    </row>
    <row r="2568" spans="2:12">
      <c r="B2568" s="73"/>
      <c r="C2568" s="73"/>
      <c r="D2568" s="73"/>
      <c r="E2568" s="73"/>
      <c r="F2568" s="73"/>
      <c r="G2568" s="73"/>
      <c r="H2568" s="73"/>
      <c r="I2568" s="73"/>
      <c r="J2568" s="73"/>
      <c r="L2568" s="73"/>
    </row>
    <row r="2569" spans="2:12">
      <c r="B2569" s="73"/>
      <c r="C2569" s="73"/>
      <c r="D2569" s="73"/>
      <c r="E2569" s="73"/>
      <c r="F2569" s="73"/>
      <c r="G2569" s="73"/>
      <c r="H2569" s="73"/>
      <c r="I2569" s="73"/>
      <c r="J2569" s="73"/>
      <c r="L2569" s="73"/>
    </row>
    <row r="2570" spans="2:12">
      <c r="B2570" s="73"/>
      <c r="C2570" s="73"/>
      <c r="D2570" s="73"/>
      <c r="E2570" s="73"/>
      <c r="F2570" s="73"/>
      <c r="G2570" s="73"/>
      <c r="H2570" s="73"/>
      <c r="I2570" s="73"/>
      <c r="J2570" s="73"/>
      <c r="L2570" s="73"/>
    </row>
    <row r="2571" spans="2:12">
      <c r="B2571" s="73"/>
      <c r="C2571" s="73"/>
      <c r="D2571" s="73"/>
      <c r="E2571" s="73"/>
      <c r="F2571" s="73"/>
      <c r="G2571" s="73"/>
      <c r="H2571" s="73"/>
      <c r="I2571" s="73"/>
      <c r="J2571" s="73"/>
      <c r="L2571" s="73"/>
    </row>
    <row r="2572" spans="2:12">
      <c r="B2572" s="73"/>
      <c r="C2572" s="73"/>
      <c r="D2572" s="73"/>
      <c r="E2572" s="73"/>
      <c r="F2572" s="73"/>
      <c r="G2572" s="73"/>
      <c r="H2572" s="73"/>
      <c r="I2572" s="73"/>
      <c r="J2572" s="73"/>
      <c r="L2572" s="73"/>
    </row>
    <row r="2573" spans="2:12">
      <c r="B2573" s="73"/>
      <c r="C2573" s="73"/>
      <c r="D2573" s="73"/>
      <c r="E2573" s="73"/>
      <c r="F2573" s="73"/>
      <c r="G2573" s="73"/>
      <c r="H2573" s="73"/>
      <c r="I2573" s="73"/>
      <c r="J2573" s="73"/>
      <c r="L2573" s="73"/>
    </row>
    <row r="2574" spans="2:12">
      <c r="B2574" s="73"/>
      <c r="C2574" s="73"/>
      <c r="D2574" s="73"/>
      <c r="E2574" s="73"/>
      <c r="F2574" s="73"/>
      <c r="G2574" s="73"/>
      <c r="H2574" s="73"/>
      <c r="I2574" s="73"/>
      <c r="J2574" s="73"/>
      <c r="L2574" s="73"/>
    </row>
    <row r="2575" spans="2:12">
      <c r="B2575" s="73"/>
      <c r="C2575" s="73"/>
      <c r="D2575" s="73"/>
      <c r="E2575" s="73"/>
      <c r="F2575" s="73"/>
      <c r="G2575" s="73"/>
      <c r="H2575" s="73"/>
      <c r="I2575" s="73"/>
      <c r="J2575" s="73"/>
      <c r="L2575" s="73"/>
    </row>
    <row r="2576" spans="2:12">
      <c r="B2576" s="73"/>
      <c r="C2576" s="73"/>
      <c r="D2576" s="73"/>
      <c r="E2576" s="73"/>
      <c r="F2576" s="73"/>
      <c r="G2576" s="73"/>
      <c r="H2576" s="73"/>
      <c r="I2576" s="73"/>
      <c r="J2576" s="73"/>
      <c r="L2576" s="73"/>
    </row>
    <row r="2577" spans="2:12">
      <c r="B2577" s="73"/>
      <c r="C2577" s="73"/>
      <c r="D2577" s="73"/>
      <c r="E2577" s="73"/>
      <c r="F2577" s="73"/>
      <c r="G2577" s="73"/>
      <c r="H2577" s="73"/>
      <c r="I2577" s="73"/>
      <c r="J2577" s="73"/>
      <c r="L2577" s="73"/>
    </row>
    <row r="2578" spans="2:12">
      <c r="B2578" s="73"/>
      <c r="C2578" s="73"/>
      <c r="D2578" s="73"/>
      <c r="E2578" s="73"/>
      <c r="F2578" s="73"/>
      <c r="G2578" s="73"/>
      <c r="H2578" s="73"/>
      <c r="I2578" s="73"/>
      <c r="J2578" s="73"/>
      <c r="L2578" s="73"/>
    </row>
    <row r="2579" spans="2:12">
      <c r="B2579" s="73"/>
      <c r="C2579" s="73"/>
      <c r="D2579" s="73"/>
      <c r="E2579" s="73"/>
      <c r="F2579" s="73"/>
      <c r="G2579" s="73"/>
      <c r="H2579" s="73"/>
      <c r="I2579" s="73"/>
      <c r="J2579" s="73"/>
      <c r="L2579" s="73"/>
    </row>
    <row r="2580" spans="2:12">
      <c r="B2580" s="73"/>
      <c r="C2580" s="73"/>
      <c r="D2580" s="73"/>
      <c r="E2580" s="73"/>
      <c r="F2580" s="73"/>
      <c r="G2580" s="73"/>
      <c r="H2580" s="73"/>
      <c r="I2580" s="73"/>
      <c r="J2580" s="73"/>
      <c r="L2580" s="73"/>
    </row>
    <row r="2581" spans="2:12">
      <c r="B2581" s="73"/>
      <c r="C2581" s="73"/>
      <c r="D2581" s="73"/>
      <c r="E2581" s="73"/>
      <c r="F2581" s="73"/>
      <c r="G2581" s="73"/>
      <c r="H2581" s="73"/>
      <c r="I2581" s="73"/>
      <c r="J2581" s="73"/>
      <c r="L2581" s="73"/>
    </row>
    <row r="2582" spans="2:12">
      <c r="B2582" s="73"/>
      <c r="C2582" s="73"/>
      <c r="D2582" s="73"/>
      <c r="E2582" s="73"/>
      <c r="F2582" s="73"/>
      <c r="G2582" s="73"/>
      <c r="H2582" s="73"/>
      <c r="I2582" s="73"/>
      <c r="J2582" s="73"/>
      <c r="L2582" s="73"/>
    </row>
    <row r="2583" spans="2:12">
      <c r="B2583" s="73"/>
      <c r="C2583" s="73"/>
      <c r="D2583" s="73"/>
      <c r="E2583" s="73"/>
      <c r="F2583" s="73"/>
      <c r="G2583" s="73"/>
      <c r="H2583" s="73"/>
      <c r="I2583" s="73"/>
      <c r="J2583" s="73"/>
      <c r="L2583" s="73"/>
    </row>
    <row r="2584" spans="2:12">
      <c r="B2584" s="73"/>
      <c r="C2584" s="73"/>
      <c r="D2584" s="73"/>
      <c r="E2584" s="73"/>
      <c r="F2584" s="73"/>
      <c r="G2584" s="73"/>
      <c r="H2584" s="73"/>
      <c r="I2584" s="73"/>
      <c r="J2584" s="73"/>
      <c r="L2584" s="73"/>
    </row>
    <row r="2585" spans="2:12">
      <c r="B2585" s="73"/>
      <c r="C2585" s="73"/>
      <c r="D2585" s="73"/>
      <c r="E2585" s="73"/>
      <c r="F2585" s="73"/>
      <c r="G2585" s="73"/>
      <c r="H2585" s="73"/>
      <c r="I2585" s="73"/>
      <c r="J2585" s="73"/>
      <c r="L2585" s="73"/>
    </row>
    <row r="2586" spans="2:12">
      <c r="B2586" s="73"/>
      <c r="C2586" s="73"/>
      <c r="D2586" s="73"/>
      <c r="E2586" s="73"/>
      <c r="F2586" s="73"/>
      <c r="G2586" s="73"/>
      <c r="H2586" s="73"/>
      <c r="I2586" s="73"/>
      <c r="J2586" s="73"/>
      <c r="L2586" s="73"/>
    </row>
    <row r="2587" spans="2:12">
      <c r="B2587" s="73"/>
      <c r="C2587" s="73"/>
      <c r="D2587" s="73"/>
      <c r="E2587" s="73"/>
      <c r="F2587" s="73"/>
      <c r="G2587" s="73"/>
      <c r="H2587" s="73"/>
      <c r="I2587" s="73"/>
      <c r="J2587" s="73"/>
      <c r="L2587" s="73"/>
    </row>
    <row r="2588" spans="2:12">
      <c r="B2588" s="73"/>
      <c r="C2588" s="73"/>
      <c r="D2588" s="73"/>
      <c r="E2588" s="73"/>
      <c r="F2588" s="73"/>
      <c r="G2588" s="73"/>
      <c r="H2588" s="73"/>
      <c r="I2588" s="73"/>
      <c r="J2588" s="73"/>
      <c r="L2588" s="73"/>
    </row>
    <row r="2589" spans="2:12">
      <c r="B2589" s="73"/>
      <c r="C2589" s="73"/>
      <c r="D2589" s="73"/>
      <c r="E2589" s="73"/>
      <c r="F2589" s="73"/>
      <c r="G2589" s="73"/>
      <c r="H2589" s="73"/>
      <c r="I2589" s="73"/>
      <c r="J2589" s="73"/>
      <c r="L2589" s="73"/>
    </row>
    <row r="2590" spans="2:12">
      <c r="B2590" s="73"/>
      <c r="C2590" s="73"/>
      <c r="D2590" s="73"/>
      <c r="E2590" s="73"/>
      <c r="F2590" s="73"/>
      <c r="G2590" s="73"/>
      <c r="H2590" s="73"/>
      <c r="I2590" s="73"/>
      <c r="J2590" s="73"/>
      <c r="L2590" s="73"/>
    </row>
    <row r="2591" spans="2:12">
      <c r="B2591" s="73"/>
      <c r="C2591" s="73"/>
      <c r="D2591" s="73"/>
      <c r="E2591" s="73"/>
      <c r="F2591" s="73"/>
      <c r="G2591" s="73"/>
      <c r="H2591" s="73"/>
      <c r="I2591" s="73"/>
      <c r="J2591" s="73"/>
      <c r="L2591" s="73"/>
    </row>
    <row r="2592" spans="2:12">
      <c r="B2592" s="73"/>
      <c r="C2592" s="73"/>
      <c r="D2592" s="73"/>
      <c r="E2592" s="73"/>
      <c r="F2592" s="73"/>
      <c r="G2592" s="73"/>
      <c r="H2592" s="73"/>
      <c r="I2592" s="73"/>
      <c r="J2592" s="73"/>
      <c r="L2592" s="73"/>
    </row>
    <row r="2593" spans="2:12">
      <c r="B2593" s="73"/>
      <c r="C2593" s="73"/>
      <c r="D2593" s="73"/>
      <c r="E2593" s="73"/>
      <c r="F2593" s="73"/>
      <c r="G2593" s="73"/>
      <c r="H2593" s="73"/>
      <c r="I2593" s="73"/>
      <c r="J2593" s="73"/>
      <c r="L2593" s="73"/>
    </row>
    <row r="2594" spans="2:12">
      <c r="B2594" s="73"/>
      <c r="C2594" s="73"/>
      <c r="D2594" s="73"/>
      <c r="E2594" s="73"/>
      <c r="F2594" s="73"/>
      <c r="G2594" s="73"/>
      <c r="H2594" s="73"/>
      <c r="I2594" s="73"/>
      <c r="J2594" s="73"/>
      <c r="L2594" s="73"/>
    </row>
    <row r="2595" spans="2:12">
      <c r="B2595" s="73"/>
      <c r="C2595" s="73"/>
      <c r="D2595" s="73"/>
      <c r="E2595" s="73"/>
      <c r="F2595" s="73"/>
      <c r="G2595" s="73"/>
      <c r="H2595" s="73"/>
      <c r="I2595" s="73"/>
      <c r="J2595" s="73"/>
      <c r="L2595" s="73"/>
    </row>
    <row r="2596" spans="2:12">
      <c r="B2596" s="73"/>
      <c r="C2596" s="73"/>
      <c r="D2596" s="73"/>
      <c r="E2596" s="73"/>
      <c r="F2596" s="73"/>
      <c r="G2596" s="73"/>
      <c r="H2596" s="73"/>
      <c r="I2596" s="73"/>
      <c r="J2596" s="73"/>
      <c r="L2596" s="73"/>
    </row>
    <row r="2597" spans="2:12">
      <c r="B2597" s="73"/>
      <c r="C2597" s="73"/>
      <c r="D2597" s="73"/>
      <c r="E2597" s="73"/>
      <c r="F2597" s="73"/>
      <c r="G2597" s="73"/>
      <c r="H2597" s="73"/>
      <c r="I2597" s="73"/>
      <c r="J2597" s="73"/>
      <c r="L2597" s="73"/>
    </row>
    <row r="2598" spans="2:12">
      <c r="B2598" s="73"/>
      <c r="C2598" s="73"/>
      <c r="D2598" s="73"/>
      <c r="E2598" s="73"/>
      <c r="F2598" s="73"/>
      <c r="G2598" s="73"/>
      <c r="H2598" s="73"/>
      <c r="I2598" s="73"/>
      <c r="J2598" s="73"/>
      <c r="L2598" s="73"/>
    </row>
    <row r="2599" spans="2:12">
      <c r="B2599" s="73"/>
      <c r="C2599" s="73"/>
      <c r="D2599" s="73"/>
      <c r="E2599" s="73"/>
      <c r="F2599" s="73"/>
      <c r="G2599" s="73"/>
      <c r="H2599" s="73"/>
      <c r="I2599" s="73"/>
      <c r="J2599" s="73"/>
      <c r="L2599" s="73"/>
    </row>
    <row r="2600" spans="2:12">
      <c r="B2600" s="73"/>
      <c r="C2600" s="73"/>
      <c r="D2600" s="73"/>
      <c r="E2600" s="73"/>
      <c r="F2600" s="73"/>
      <c r="G2600" s="73"/>
      <c r="H2600" s="73"/>
      <c r="I2600" s="73"/>
      <c r="J2600" s="73"/>
      <c r="L2600" s="73"/>
    </row>
    <row r="2601" spans="2:12">
      <c r="B2601" s="73"/>
      <c r="C2601" s="73"/>
      <c r="D2601" s="73"/>
      <c r="E2601" s="73"/>
      <c r="F2601" s="73"/>
      <c r="G2601" s="73"/>
      <c r="H2601" s="73"/>
      <c r="I2601" s="73"/>
      <c r="J2601" s="73"/>
      <c r="L2601" s="73"/>
    </row>
    <row r="2602" spans="2:12">
      <c r="B2602" s="73"/>
      <c r="C2602" s="73"/>
      <c r="D2602" s="73"/>
      <c r="E2602" s="73"/>
      <c r="F2602" s="73"/>
      <c r="G2602" s="73"/>
      <c r="H2602" s="73"/>
      <c r="I2602" s="73"/>
      <c r="J2602" s="73"/>
      <c r="L2602" s="73"/>
    </row>
    <row r="2603" spans="2:12">
      <c r="B2603" s="73"/>
      <c r="C2603" s="73"/>
      <c r="D2603" s="73"/>
      <c r="E2603" s="73"/>
      <c r="F2603" s="73"/>
      <c r="G2603" s="73"/>
      <c r="H2603" s="73"/>
      <c r="I2603" s="73"/>
      <c r="J2603" s="73"/>
      <c r="L2603" s="73"/>
    </row>
    <row r="2604" spans="2:12">
      <c r="B2604" s="73"/>
      <c r="C2604" s="73"/>
      <c r="D2604" s="73"/>
      <c r="E2604" s="73"/>
      <c r="F2604" s="73"/>
      <c r="G2604" s="73"/>
      <c r="H2604" s="73"/>
      <c r="I2604" s="73"/>
      <c r="J2604" s="73"/>
      <c r="L2604" s="73"/>
    </row>
    <row r="2605" spans="2:12">
      <c r="B2605" s="73"/>
      <c r="C2605" s="73"/>
      <c r="D2605" s="73"/>
      <c r="E2605" s="73"/>
      <c r="F2605" s="73"/>
      <c r="G2605" s="73"/>
      <c r="H2605" s="73"/>
      <c r="I2605" s="73"/>
      <c r="J2605" s="73"/>
      <c r="L2605" s="73"/>
    </row>
    <row r="2606" spans="2:12">
      <c r="B2606" s="73"/>
      <c r="C2606" s="73"/>
      <c r="D2606" s="73"/>
      <c r="E2606" s="73"/>
      <c r="F2606" s="73"/>
      <c r="G2606" s="73"/>
      <c r="H2606" s="73"/>
      <c r="I2606" s="73"/>
      <c r="J2606" s="73"/>
      <c r="L2606" s="73"/>
    </row>
    <row r="2607" spans="2:12">
      <c r="B2607" s="73"/>
      <c r="C2607" s="73"/>
      <c r="D2607" s="73"/>
      <c r="E2607" s="73"/>
      <c r="F2607" s="73"/>
      <c r="G2607" s="73"/>
      <c r="H2607" s="73"/>
      <c r="I2607" s="73"/>
      <c r="J2607" s="73"/>
      <c r="L2607" s="73"/>
    </row>
    <row r="2608" spans="2:12">
      <c r="B2608" s="73"/>
      <c r="C2608" s="73"/>
      <c r="D2608" s="73"/>
      <c r="E2608" s="73"/>
      <c r="F2608" s="73"/>
      <c r="G2608" s="73"/>
      <c r="H2608" s="73"/>
      <c r="I2608" s="73"/>
      <c r="J2608" s="73"/>
      <c r="L2608" s="73"/>
    </row>
    <row r="2609" spans="2:12">
      <c r="B2609" s="73"/>
      <c r="C2609" s="73"/>
      <c r="D2609" s="73"/>
      <c r="E2609" s="73"/>
      <c r="F2609" s="73"/>
      <c r="G2609" s="73"/>
      <c r="H2609" s="73"/>
      <c r="I2609" s="73"/>
      <c r="J2609" s="73"/>
      <c r="L2609" s="73"/>
    </row>
    <row r="2610" spans="2:12">
      <c r="B2610" s="73"/>
      <c r="C2610" s="73"/>
      <c r="D2610" s="73"/>
      <c r="E2610" s="73"/>
      <c r="F2610" s="73"/>
      <c r="G2610" s="73"/>
      <c r="H2610" s="73"/>
      <c r="I2610" s="73"/>
      <c r="J2610" s="73"/>
      <c r="L2610" s="73"/>
    </row>
    <row r="2611" spans="2:12">
      <c r="B2611" s="73"/>
      <c r="C2611" s="73"/>
      <c r="D2611" s="73"/>
      <c r="E2611" s="73"/>
      <c r="F2611" s="73"/>
      <c r="G2611" s="73"/>
      <c r="H2611" s="73"/>
      <c r="I2611" s="73"/>
      <c r="J2611" s="73"/>
      <c r="L2611" s="73"/>
    </row>
    <row r="2612" spans="2:12">
      <c r="B2612" s="73"/>
      <c r="C2612" s="73"/>
      <c r="D2612" s="73"/>
      <c r="E2612" s="73"/>
      <c r="F2612" s="73"/>
      <c r="G2612" s="73"/>
      <c r="H2612" s="73"/>
      <c r="I2612" s="73"/>
      <c r="J2612" s="73"/>
      <c r="L2612" s="73"/>
    </row>
    <row r="2613" spans="2:12">
      <c r="B2613" s="73"/>
      <c r="C2613" s="73"/>
      <c r="D2613" s="73"/>
      <c r="E2613" s="73"/>
      <c r="F2613" s="73"/>
      <c r="G2613" s="73"/>
      <c r="H2613" s="73"/>
      <c r="I2613" s="73"/>
      <c r="J2613" s="73"/>
      <c r="L2613" s="73"/>
    </row>
    <row r="2614" spans="2:12">
      <c r="B2614" s="73"/>
      <c r="C2614" s="73"/>
      <c r="D2614" s="73"/>
      <c r="E2614" s="73"/>
      <c r="F2614" s="73"/>
      <c r="G2614" s="73"/>
      <c r="H2614" s="73"/>
      <c r="I2614" s="73"/>
      <c r="J2614" s="73"/>
      <c r="L2614" s="73"/>
    </row>
    <row r="2615" spans="2:12">
      <c r="B2615" s="73"/>
      <c r="C2615" s="73"/>
      <c r="D2615" s="73"/>
      <c r="E2615" s="73"/>
      <c r="F2615" s="73"/>
      <c r="G2615" s="73"/>
      <c r="H2615" s="73"/>
      <c r="I2615" s="73"/>
      <c r="J2615" s="73"/>
      <c r="L2615" s="73"/>
    </row>
    <row r="2616" spans="2:12">
      <c r="B2616" s="73"/>
      <c r="C2616" s="73"/>
      <c r="D2616" s="73"/>
      <c r="E2616" s="73"/>
      <c r="F2616" s="73"/>
      <c r="G2616" s="73"/>
      <c r="H2616" s="73"/>
      <c r="I2616" s="73"/>
      <c r="J2616" s="73"/>
      <c r="L2616" s="73"/>
    </row>
    <row r="2617" spans="2:12">
      <c r="B2617" s="73"/>
      <c r="C2617" s="73"/>
      <c r="D2617" s="73"/>
      <c r="E2617" s="73"/>
      <c r="F2617" s="73"/>
      <c r="G2617" s="73"/>
      <c r="H2617" s="73"/>
      <c r="I2617" s="73"/>
      <c r="J2617" s="73"/>
      <c r="L2617" s="73"/>
    </row>
    <row r="2618" spans="2:12">
      <c r="B2618" s="73"/>
      <c r="C2618" s="73"/>
      <c r="D2618" s="73"/>
      <c r="E2618" s="73"/>
      <c r="F2618" s="73"/>
      <c r="G2618" s="73"/>
      <c r="H2618" s="73"/>
      <c r="I2618" s="73"/>
      <c r="J2618" s="73"/>
      <c r="L2618" s="73"/>
    </row>
    <row r="2619" spans="2:12">
      <c r="B2619" s="73"/>
      <c r="C2619" s="73"/>
      <c r="D2619" s="73"/>
      <c r="E2619" s="73"/>
      <c r="F2619" s="73"/>
      <c r="G2619" s="73"/>
      <c r="H2619" s="73"/>
      <c r="I2619" s="73"/>
      <c r="J2619" s="73"/>
      <c r="L2619" s="73"/>
    </row>
    <row r="2620" spans="2:12">
      <c r="B2620" s="73"/>
      <c r="C2620" s="73"/>
      <c r="D2620" s="73"/>
      <c r="E2620" s="73"/>
      <c r="F2620" s="73"/>
      <c r="G2620" s="73"/>
      <c r="H2620" s="73"/>
      <c r="I2620" s="73"/>
      <c r="J2620" s="73"/>
      <c r="L2620" s="73"/>
    </row>
    <row r="2621" spans="2:12">
      <c r="B2621" s="73"/>
      <c r="C2621" s="73"/>
      <c r="D2621" s="73"/>
      <c r="E2621" s="73"/>
      <c r="F2621" s="73"/>
      <c r="G2621" s="73"/>
      <c r="H2621" s="73"/>
      <c r="I2621" s="73"/>
      <c r="J2621" s="73"/>
      <c r="L2621" s="73"/>
    </row>
    <row r="2622" spans="2:12">
      <c r="B2622" s="73"/>
      <c r="C2622" s="73"/>
      <c r="D2622" s="73"/>
      <c r="E2622" s="73"/>
      <c r="F2622" s="73"/>
      <c r="G2622" s="73"/>
      <c r="H2622" s="73"/>
      <c r="I2622" s="73"/>
      <c r="J2622" s="73"/>
      <c r="L2622" s="73"/>
    </row>
    <row r="2623" spans="2:12">
      <c r="B2623" s="73"/>
      <c r="C2623" s="73"/>
      <c r="D2623" s="73"/>
      <c r="E2623" s="73"/>
      <c r="F2623" s="73"/>
      <c r="G2623" s="73"/>
      <c r="H2623" s="73"/>
      <c r="I2623" s="73"/>
      <c r="J2623" s="73"/>
      <c r="L2623" s="73"/>
    </row>
    <row r="2624" spans="2:12">
      <c r="B2624" s="73"/>
      <c r="C2624" s="73"/>
      <c r="D2624" s="73"/>
      <c r="E2624" s="73"/>
      <c r="F2624" s="73"/>
      <c r="G2624" s="73"/>
      <c r="H2624" s="73"/>
      <c r="I2624" s="73"/>
      <c r="J2624" s="73"/>
      <c r="L2624" s="73"/>
    </row>
    <row r="2625" spans="2:12">
      <c r="B2625" s="73"/>
      <c r="C2625" s="73"/>
      <c r="D2625" s="73"/>
      <c r="E2625" s="73"/>
      <c r="F2625" s="73"/>
      <c r="G2625" s="73"/>
      <c r="H2625" s="73"/>
      <c r="I2625" s="73"/>
      <c r="J2625" s="73"/>
      <c r="L2625" s="73"/>
    </row>
    <row r="2626" spans="2:12">
      <c r="B2626" s="73"/>
      <c r="C2626" s="73"/>
      <c r="D2626" s="73"/>
      <c r="E2626" s="73"/>
      <c r="F2626" s="73"/>
      <c r="G2626" s="73"/>
      <c r="H2626" s="73"/>
      <c r="I2626" s="73"/>
      <c r="J2626" s="73"/>
      <c r="L2626" s="73"/>
    </row>
    <row r="2627" spans="2:12">
      <c r="B2627" s="73"/>
      <c r="C2627" s="73"/>
      <c r="D2627" s="73"/>
      <c r="E2627" s="73"/>
      <c r="F2627" s="73"/>
      <c r="G2627" s="73"/>
      <c r="H2627" s="73"/>
      <c r="I2627" s="73"/>
      <c r="J2627" s="73"/>
      <c r="L2627" s="73"/>
    </row>
    <row r="2628" spans="2:12">
      <c r="B2628" s="73"/>
      <c r="C2628" s="73"/>
      <c r="D2628" s="73"/>
      <c r="E2628" s="73"/>
      <c r="F2628" s="73"/>
      <c r="G2628" s="73"/>
      <c r="H2628" s="73"/>
      <c r="I2628" s="73"/>
      <c r="J2628" s="73"/>
      <c r="L2628" s="73"/>
    </row>
    <row r="2629" spans="2:12">
      <c r="B2629" s="73"/>
      <c r="C2629" s="73"/>
      <c r="D2629" s="73"/>
      <c r="E2629" s="73"/>
      <c r="F2629" s="73"/>
      <c r="G2629" s="73"/>
      <c r="H2629" s="73"/>
      <c r="I2629" s="73"/>
      <c r="J2629" s="73"/>
      <c r="L2629" s="73"/>
    </row>
    <row r="2630" spans="2:12">
      <c r="B2630" s="73"/>
      <c r="C2630" s="73"/>
      <c r="D2630" s="73"/>
      <c r="E2630" s="73"/>
      <c r="F2630" s="73"/>
      <c r="G2630" s="73"/>
      <c r="H2630" s="73"/>
      <c r="I2630" s="73"/>
      <c r="J2630" s="73"/>
      <c r="L2630" s="73"/>
    </row>
    <row r="2631" spans="2:12">
      <c r="B2631" s="73"/>
      <c r="C2631" s="73"/>
      <c r="D2631" s="73"/>
      <c r="E2631" s="73"/>
      <c r="F2631" s="73"/>
      <c r="G2631" s="73"/>
      <c r="H2631" s="73"/>
      <c r="I2631" s="73"/>
      <c r="J2631" s="73"/>
      <c r="L2631" s="73"/>
    </row>
    <row r="2632" spans="2:12">
      <c r="B2632" s="73"/>
      <c r="C2632" s="73"/>
      <c r="D2632" s="73"/>
      <c r="E2632" s="73"/>
      <c r="F2632" s="73"/>
      <c r="G2632" s="73"/>
      <c r="H2632" s="73"/>
      <c r="I2632" s="73"/>
      <c r="J2632" s="73"/>
      <c r="L2632" s="73"/>
    </row>
    <row r="2633" spans="2:12">
      <c r="B2633" s="73"/>
      <c r="C2633" s="73"/>
      <c r="D2633" s="73"/>
      <c r="E2633" s="73"/>
      <c r="F2633" s="73"/>
      <c r="G2633" s="73"/>
      <c r="H2633" s="73"/>
      <c r="I2633" s="73"/>
      <c r="J2633" s="73"/>
      <c r="L2633" s="73"/>
    </row>
    <row r="2634" spans="2:12">
      <c r="B2634" s="73"/>
      <c r="C2634" s="73"/>
      <c r="D2634" s="73"/>
      <c r="E2634" s="73"/>
      <c r="F2634" s="73"/>
      <c r="G2634" s="73"/>
      <c r="H2634" s="73"/>
      <c r="I2634" s="73"/>
      <c r="J2634" s="73"/>
      <c r="L2634" s="73"/>
    </row>
    <row r="2635" spans="2:12">
      <c r="B2635" s="73"/>
      <c r="C2635" s="73"/>
      <c r="D2635" s="73"/>
      <c r="E2635" s="73"/>
      <c r="F2635" s="73"/>
      <c r="G2635" s="73"/>
      <c r="H2635" s="73"/>
      <c r="I2635" s="73"/>
      <c r="J2635" s="73"/>
      <c r="L2635" s="73"/>
    </row>
    <row r="2636" spans="2:12">
      <c r="B2636" s="73"/>
      <c r="C2636" s="73"/>
      <c r="D2636" s="73"/>
      <c r="E2636" s="73"/>
      <c r="F2636" s="73"/>
      <c r="G2636" s="73"/>
      <c r="H2636" s="73"/>
      <c r="I2636" s="73"/>
      <c r="J2636" s="73"/>
      <c r="L2636" s="73"/>
    </row>
    <row r="2637" spans="2:12">
      <c r="B2637" s="73"/>
      <c r="C2637" s="73"/>
      <c r="D2637" s="73"/>
      <c r="E2637" s="73"/>
      <c r="F2637" s="73"/>
      <c r="G2637" s="73"/>
      <c r="H2637" s="73"/>
      <c r="I2637" s="73"/>
      <c r="J2637" s="73"/>
      <c r="L2637" s="73"/>
    </row>
    <row r="2638" spans="2:12">
      <c r="B2638" s="73"/>
      <c r="C2638" s="73"/>
      <c r="D2638" s="73"/>
      <c r="E2638" s="73"/>
      <c r="F2638" s="73"/>
      <c r="G2638" s="73"/>
      <c r="H2638" s="73"/>
      <c r="I2638" s="73"/>
      <c r="J2638" s="73"/>
      <c r="L2638" s="73"/>
    </row>
    <row r="2639" spans="2:12">
      <c r="B2639" s="73"/>
      <c r="C2639" s="73"/>
      <c r="D2639" s="73"/>
      <c r="E2639" s="73"/>
      <c r="F2639" s="73"/>
      <c r="G2639" s="73"/>
      <c r="H2639" s="73"/>
      <c r="I2639" s="73"/>
      <c r="J2639" s="73"/>
      <c r="L2639" s="73"/>
    </row>
    <row r="2640" spans="2:12">
      <c r="B2640" s="73"/>
      <c r="C2640" s="73"/>
      <c r="D2640" s="73"/>
      <c r="E2640" s="73"/>
      <c r="F2640" s="73"/>
      <c r="G2640" s="73"/>
      <c r="H2640" s="73"/>
      <c r="I2640" s="73"/>
      <c r="J2640" s="73"/>
      <c r="L2640" s="73"/>
    </row>
    <row r="2641" spans="2:12">
      <c r="B2641" s="73"/>
      <c r="C2641" s="73"/>
      <c r="D2641" s="73"/>
      <c r="E2641" s="73"/>
      <c r="F2641" s="73"/>
      <c r="G2641" s="73"/>
      <c r="H2641" s="73"/>
      <c r="I2641" s="73"/>
      <c r="J2641" s="73"/>
      <c r="L2641" s="73"/>
    </row>
    <row r="2642" spans="2:12">
      <c r="B2642" s="73"/>
      <c r="C2642" s="73"/>
      <c r="D2642" s="73"/>
      <c r="E2642" s="73"/>
      <c r="F2642" s="73"/>
      <c r="G2642" s="73"/>
      <c r="H2642" s="73"/>
      <c r="I2642" s="73"/>
      <c r="J2642" s="73"/>
      <c r="L2642" s="73"/>
    </row>
    <row r="2643" spans="2:12">
      <c r="B2643" s="73"/>
      <c r="C2643" s="73"/>
      <c r="D2643" s="73"/>
      <c r="E2643" s="73"/>
      <c r="F2643" s="73"/>
      <c r="G2643" s="73"/>
      <c r="H2643" s="73"/>
      <c r="I2643" s="73"/>
      <c r="J2643" s="73"/>
      <c r="L2643" s="73"/>
    </row>
    <row r="2644" spans="2:12">
      <c r="B2644" s="73"/>
      <c r="C2644" s="73"/>
      <c r="D2644" s="73"/>
      <c r="E2644" s="73"/>
      <c r="F2644" s="73"/>
      <c r="G2644" s="73"/>
      <c r="H2644" s="73"/>
      <c r="I2644" s="73"/>
      <c r="J2644" s="73"/>
      <c r="L2644" s="73"/>
    </row>
    <row r="2645" spans="2:12">
      <c r="B2645" s="73"/>
      <c r="C2645" s="73"/>
      <c r="D2645" s="73"/>
      <c r="E2645" s="73"/>
      <c r="F2645" s="73"/>
      <c r="G2645" s="73"/>
      <c r="H2645" s="73"/>
      <c r="I2645" s="73"/>
      <c r="J2645" s="73"/>
      <c r="L2645" s="73"/>
    </row>
    <row r="2646" spans="2:12">
      <c r="B2646" s="73"/>
      <c r="C2646" s="73"/>
      <c r="D2646" s="73"/>
      <c r="E2646" s="73"/>
      <c r="F2646" s="73"/>
      <c r="G2646" s="73"/>
      <c r="H2646" s="73"/>
      <c r="I2646" s="73"/>
      <c r="J2646" s="73"/>
      <c r="L2646" s="73"/>
    </row>
    <row r="2647" spans="2:12">
      <c r="B2647" s="73"/>
      <c r="C2647" s="73"/>
      <c r="D2647" s="73"/>
      <c r="E2647" s="73"/>
      <c r="F2647" s="73"/>
      <c r="G2647" s="73"/>
      <c r="H2647" s="73"/>
      <c r="I2647" s="73"/>
      <c r="J2647" s="73"/>
      <c r="L2647" s="73"/>
    </row>
    <row r="2648" spans="2:12">
      <c r="B2648" s="73"/>
      <c r="C2648" s="73"/>
      <c r="D2648" s="73"/>
      <c r="E2648" s="73"/>
      <c r="F2648" s="73"/>
      <c r="G2648" s="73"/>
      <c r="H2648" s="73"/>
      <c r="I2648" s="73"/>
      <c r="J2648" s="73"/>
      <c r="L2648" s="73"/>
    </row>
    <row r="2649" spans="2:12">
      <c r="B2649" s="73"/>
      <c r="C2649" s="73"/>
      <c r="D2649" s="73"/>
      <c r="E2649" s="73"/>
      <c r="F2649" s="73"/>
      <c r="G2649" s="73"/>
      <c r="H2649" s="73"/>
      <c r="I2649" s="73"/>
      <c r="J2649" s="73"/>
      <c r="L2649" s="73"/>
    </row>
    <row r="2650" spans="2:12">
      <c r="B2650" s="73"/>
      <c r="C2650" s="73"/>
      <c r="D2650" s="73"/>
      <c r="E2650" s="73"/>
      <c r="F2650" s="73"/>
      <c r="G2650" s="73"/>
      <c r="H2650" s="73"/>
      <c r="I2650" s="73"/>
      <c r="J2650" s="73"/>
      <c r="L2650" s="73"/>
    </row>
    <row r="2651" spans="2:12">
      <c r="B2651" s="73"/>
      <c r="C2651" s="73"/>
      <c r="D2651" s="73"/>
      <c r="E2651" s="73"/>
      <c r="F2651" s="73"/>
      <c r="G2651" s="73"/>
      <c r="H2651" s="73"/>
      <c r="I2651" s="73"/>
      <c r="J2651" s="73"/>
      <c r="L2651" s="73"/>
    </row>
    <row r="2652" spans="2:12">
      <c r="B2652" s="73"/>
      <c r="C2652" s="73"/>
      <c r="D2652" s="73"/>
      <c r="E2652" s="73"/>
      <c r="F2652" s="73"/>
      <c r="G2652" s="73"/>
      <c r="H2652" s="73"/>
      <c r="I2652" s="73"/>
      <c r="J2652" s="73"/>
      <c r="L2652" s="73"/>
    </row>
    <row r="2653" spans="2:12">
      <c r="B2653" s="73"/>
      <c r="C2653" s="73"/>
      <c r="D2653" s="73"/>
      <c r="E2653" s="73"/>
      <c r="F2653" s="73"/>
      <c r="G2653" s="73"/>
      <c r="H2653" s="73"/>
      <c r="I2653" s="73"/>
      <c r="J2653" s="73"/>
      <c r="L2653" s="73"/>
    </row>
    <row r="2654" spans="2:12">
      <c r="B2654" s="73"/>
      <c r="C2654" s="73"/>
      <c r="D2654" s="73"/>
      <c r="E2654" s="73"/>
      <c r="F2654" s="73"/>
      <c r="G2654" s="73"/>
      <c r="H2654" s="73"/>
      <c r="I2654" s="73"/>
      <c r="J2654" s="73"/>
      <c r="L2654" s="73"/>
    </row>
    <row r="2655" spans="2:12">
      <c r="B2655" s="73"/>
      <c r="C2655" s="73"/>
      <c r="D2655" s="73"/>
      <c r="E2655" s="73"/>
      <c r="F2655" s="73"/>
      <c r="G2655" s="73"/>
      <c r="H2655" s="73"/>
      <c r="I2655" s="73"/>
      <c r="J2655" s="73"/>
      <c r="L2655" s="73"/>
    </row>
    <row r="2656" spans="2:12">
      <c r="B2656" s="73"/>
      <c r="C2656" s="73"/>
      <c r="D2656" s="73"/>
      <c r="E2656" s="73"/>
      <c r="F2656" s="73"/>
      <c r="G2656" s="73"/>
      <c r="H2656" s="73"/>
      <c r="I2656" s="73"/>
      <c r="J2656" s="73"/>
      <c r="L2656" s="73"/>
    </row>
    <row r="2657" spans="2:12">
      <c r="B2657" s="73"/>
      <c r="C2657" s="73"/>
      <c r="D2657" s="73"/>
      <c r="E2657" s="73"/>
      <c r="F2657" s="73"/>
      <c r="G2657" s="73"/>
      <c r="H2657" s="73"/>
      <c r="I2657" s="73"/>
      <c r="J2657" s="73"/>
      <c r="L2657" s="73"/>
    </row>
    <row r="2658" spans="2:12">
      <c r="B2658" s="73"/>
      <c r="C2658" s="73"/>
      <c r="D2658" s="73"/>
      <c r="E2658" s="73"/>
      <c r="F2658" s="73"/>
      <c r="G2658" s="73"/>
      <c r="H2658" s="73"/>
      <c r="I2658" s="73"/>
      <c r="J2658" s="73"/>
      <c r="L2658" s="73"/>
    </row>
    <row r="2659" spans="2:12">
      <c r="B2659" s="73"/>
      <c r="C2659" s="73"/>
      <c r="D2659" s="73"/>
      <c r="E2659" s="73"/>
      <c r="F2659" s="73"/>
      <c r="G2659" s="73"/>
      <c r="H2659" s="73"/>
      <c r="I2659" s="73"/>
      <c r="J2659" s="73"/>
      <c r="L2659" s="73"/>
    </row>
    <row r="2660" spans="2:12">
      <c r="B2660" s="73"/>
      <c r="C2660" s="73"/>
      <c r="D2660" s="73"/>
      <c r="E2660" s="73"/>
      <c r="F2660" s="73"/>
      <c r="G2660" s="73"/>
      <c r="H2660" s="73"/>
      <c r="I2660" s="73"/>
      <c r="J2660" s="73"/>
      <c r="L2660" s="73"/>
    </row>
    <row r="2661" spans="2:12">
      <c r="B2661" s="73"/>
      <c r="C2661" s="73"/>
      <c r="D2661" s="73"/>
      <c r="E2661" s="73"/>
      <c r="F2661" s="73"/>
      <c r="G2661" s="73"/>
      <c r="H2661" s="73"/>
      <c r="I2661" s="73"/>
      <c r="J2661" s="73"/>
      <c r="L2661" s="73"/>
    </row>
    <row r="2662" spans="2:12">
      <c r="B2662" s="73"/>
      <c r="C2662" s="73"/>
      <c r="D2662" s="73"/>
      <c r="E2662" s="73"/>
      <c r="F2662" s="73"/>
      <c r="G2662" s="73"/>
      <c r="H2662" s="73"/>
      <c r="I2662" s="73"/>
      <c r="J2662" s="73"/>
      <c r="L2662" s="73"/>
    </row>
    <row r="2663" spans="2:12">
      <c r="B2663" s="73"/>
      <c r="C2663" s="73"/>
      <c r="D2663" s="73"/>
      <c r="E2663" s="73"/>
      <c r="F2663" s="73"/>
      <c r="G2663" s="73"/>
      <c r="H2663" s="73"/>
      <c r="I2663" s="73"/>
      <c r="J2663" s="73"/>
      <c r="L2663" s="73"/>
    </row>
    <row r="2664" spans="2:12">
      <c r="B2664" s="73"/>
      <c r="C2664" s="73"/>
      <c r="D2664" s="73"/>
      <c r="E2664" s="73"/>
      <c r="F2664" s="73"/>
      <c r="G2664" s="73"/>
      <c r="H2664" s="73"/>
      <c r="I2664" s="73"/>
      <c r="J2664" s="73"/>
      <c r="L2664" s="73"/>
    </row>
    <row r="2665" spans="2:12">
      <c r="B2665" s="73"/>
      <c r="C2665" s="73"/>
      <c r="D2665" s="73"/>
      <c r="E2665" s="73"/>
      <c r="F2665" s="73"/>
      <c r="G2665" s="73"/>
      <c r="H2665" s="73"/>
      <c r="I2665" s="73"/>
      <c r="J2665" s="73"/>
      <c r="L2665" s="73"/>
    </row>
    <row r="2666" spans="2:12">
      <c r="B2666" s="73"/>
      <c r="C2666" s="73"/>
      <c r="D2666" s="73"/>
      <c r="E2666" s="73"/>
      <c r="F2666" s="73"/>
      <c r="G2666" s="73"/>
      <c r="H2666" s="73"/>
      <c r="I2666" s="73"/>
      <c r="J2666" s="73"/>
      <c r="L2666" s="73"/>
    </row>
    <row r="2667" spans="2:12">
      <c r="B2667" s="73"/>
      <c r="C2667" s="73"/>
      <c r="D2667" s="73"/>
      <c r="E2667" s="73"/>
      <c r="F2667" s="73"/>
      <c r="G2667" s="73"/>
      <c r="H2667" s="73"/>
      <c r="I2667" s="73"/>
      <c r="J2667" s="73"/>
      <c r="L2667" s="73"/>
    </row>
    <row r="2668" spans="2:12">
      <c r="B2668" s="73"/>
      <c r="C2668" s="73"/>
      <c r="D2668" s="73"/>
      <c r="E2668" s="73"/>
      <c r="F2668" s="73"/>
      <c r="G2668" s="73"/>
      <c r="H2668" s="73"/>
      <c r="I2668" s="73"/>
      <c r="J2668" s="73"/>
      <c r="L2668" s="73"/>
    </row>
    <row r="2669" spans="2:12">
      <c r="B2669" s="73"/>
      <c r="C2669" s="73"/>
      <c r="D2669" s="73"/>
      <c r="E2669" s="73"/>
      <c r="F2669" s="73"/>
      <c r="G2669" s="73"/>
      <c r="H2669" s="73"/>
      <c r="I2669" s="73"/>
      <c r="J2669" s="73"/>
      <c r="L2669" s="73"/>
    </row>
    <row r="2670" spans="2:12">
      <c r="B2670" s="73"/>
      <c r="C2670" s="73"/>
      <c r="D2670" s="73"/>
      <c r="E2670" s="73"/>
      <c r="F2670" s="73"/>
      <c r="G2670" s="73"/>
      <c r="H2670" s="73"/>
      <c r="I2670" s="73"/>
      <c r="J2670" s="73"/>
      <c r="L2670" s="73"/>
    </row>
    <row r="2671" spans="2:12">
      <c r="B2671" s="73"/>
      <c r="C2671" s="73"/>
      <c r="D2671" s="73"/>
      <c r="E2671" s="73"/>
      <c r="F2671" s="73"/>
      <c r="G2671" s="73"/>
      <c r="H2671" s="73"/>
      <c r="I2671" s="73"/>
      <c r="J2671" s="73"/>
      <c r="L2671" s="73"/>
    </row>
    <row r="2672" spans="2:12">
      <c r="B2672" s="73"/>
      <c r="C2672" s="73"/>
      <c r="D2672" s="73"/>
      <c r="E2672" s="73"/>
      <c r="F2672" s="73"/>
      <c r="G2672" s="73"/>
      <c r="H2672" s="73"/>
      <c r="I2672" s="73"/>
      <c r="J2672" s="73"/>
      <c r="L2672" s="73"/>
    </row>
    <row r="2673" spans="2:12">
      <c r="B2673" s="73"/>
      <c r="C2673" s="73"/>
      <c r="D2673" s="73"/>
      <c r="E2673" s="73"/>
      <c r="F2673" s="73"/>
      <c r="G2673" s="73"/>
      <c r="H2673" s="73"/>
      <c r="I2673" s="73"/>
      <c r="J2673" s="73"/>
      <c r="L2673" s="73"/>
    </row>
    <row r="2674" spans="2:12">
      <c r="B2674" s="73"/>
      <c r="C2674" s="73"/>
      <c r="D2674" s="73"/>
      <c r="E2674" s="73"/>
      <c r="F2674" s="73"/>
      <c r="G2674" s="73"/>
      <c r="H2674" s="73"/>
      <c r="I2674" s="73"/>
      <c r="J2674" s="73"/>
      <c r="L2674" s="73"/>
    </row>
    <row r="2675" spans="2:12">
      <c r="B2675" s="73"/>
      <c r="C2675" s="73"/>
      <c r="D2675" s="73"/>
      <c r="E2675" s="73"/>
      <c r="F2675" s="73"/>
      <c r="G2675" s="73"/>
      <c r="H2675" s="73"/>
      <c r="I2675" s="73"/>
      <c r="J2675" s="73"/>
      <c r="L2675" s="73"/>
    </row>
    <row r="2676" spans="2:12">
      <c r="B2676" s="73"/>
      <c r="C2676" s="73"/>
      <c r="D2676" s="73"/>
      <c r="E2676" s="73"/>
      <c r="F2676" s="73"/>
      <c r="G2676" s="73"/>
      <c r="H2676" s="73"/>
      <c r="I2676" s="73"/>
      <c r="J2676" s="73"/>
      <c r="L2676" s="73"/>
    </row>
    <row r="2677" spans="2:12">
      <c r="B2677" s="73"/>
      <c r="C2677" s="73"/>
      <c r="D2677" s="73"/>
      <c r="E2677" s="73"/>
      <c r="F2677" s="73"/>
      <c r="G2677" s="73"/>
      <c r="H2677" s="73"/>
      <c r="I2677" s="73"/>
      <c r="J2677" s="73"/>
      <c r="L2677" s="73"/>
    </row>
    <row r="2678" spans="2:12">
      <c r="B2678" s="73"/>
      <c r="C2678" s="73"/>
      <c r="D2678" s="73"/>
      <c r="E2678" s="73"/>
      <c r="F2678" s="73"/>
      <c r="G2678" s="73"/>
      <c r="H2678" s="73"/>
      <c r="I2678" s="73"/>
      <c r="J2678" s="73"/>
      <c r="L2678" s="73"/>
    </row>
    <row r="2679" spans="2:12">
      <c r="B2679" s="73"/>
      <c r="C2679" s="73"/>
      <c r="D2679" s="73"/>
      <c r="E2679" s="73"/>
      <c r="F2679" s="73"/>
      <c r="G2679" s="73"/>
      <c r="H2679" s="73"/>
      <c r="I2679" s="73"/>
      <c r="J2679" s="73"/>
      <c r="L2679" s="73"/>
    </row>
    <row r="2680" spans="2:12">
      <c r="B2680" s="73"/>
      <c r="C2680" s="73"/>
      <c r="D2680" s="73"/>
      <c r="E2680" s="73"/>
      <c r="F2680" s="73"/>
      <c r="G2680" s="73"/>
      <c r="H2680" s="73"/>
      <c r="I2680" s="73"/>
      <c r="J2680" s="73"/>
      <c r="L2680" s="73"/>
    </row>
    <row r="2681" spans="2:12">
      <c r="B2681" s="73"/>
      <c r="C2681" s="73"/>
      <c r="D2681" s="73"/>
      <c r="E2681" s="73"/>
      <c r="F2681" s="73"/>
      <c r="G2681" s="73"/>
      <c r="H2681" s="73"/>
      <c r="I2681" s="73"/>
      <c r="J2681" s="73"/>
      <c r="L2681" s="73"/>
    </row>
    <row r="2682" spans="2:12">
      <c r="B2682" s="73"/>
      <c r="C2682" s="73"/>
      <c r="D2682" s="73"/>
      <c r="E2682" s="73"/>
      <c r="F2682" s="73"/>
      <c r="G2682" s="73"/>
      <c r="H2682" s="73"/>
      <c r="I2682" s="73"/>
      <c r="J2682" s="73"/>
      <c r="L2682" s="73"/>
    </row>
    <row r="2683" spans="2:12">
      <c r="B2683" s="73"/>
      <c r="C2683" s="73"/>
      <c r="D2683" s="73"/>
      <c r="E2683" s="73"/>
      <c r="F2683" s="73"/>
      <c r="G2683" s="73"/>
      <c r="H2683" s="73"/>
      <c r="I2683" s="73"/>
      <c r="J2683" s="73"/>
      <c r="L2683" s="73"/>
    </row>
    <row r="2684" spans="2:12">
      <c r="B2684" s="73"/>
      <c r="C2684" s="73"/>
      <c r="D2684" s="73"/>
      <c r="E2684" s="73"/>
      <c r="F2684" s="73"/>
      <c r="G2684" s="73"/>
      <c r="H2684" s="73"/>
      <c r="I2684" s="73"/>
      <c r="J2684" s="73"/>
      <c r="L2684" s="73"/>
    </row>
    <row r="2685" spans="2:12">
      <c r="B2685" s="73"/>
      <c r="C2685" s="73"/>
      <c r="D2685" s="73"/>
      <c r="E2685" s="73"/>
      <c r="F2685" s="73"/>
      <c r="G2685" s="73"/>
      <c r="H2685" s="73"/>
      <c r="I2685" s="73"/>
      <c r="J2685" s="73"/>
      <c r="L2685" s="73"/>
    </row>
    <row r="2686" spans="2:12">
      <c r="B2686" s="73"/>
      <c r="C2686" s="73"/>
      <c r="D2686" s="73"/>
      <c r="E2686" s="73"/>
      <c r="F2686" s="73"/>
      <c r="G2686" s="73"/>
      <c r="H2686" s="73"/>
      <c r="I2686" s="73"/>
      <c r="J2686" s="73"/>
      <c r="L2686" s="73"/>
    </row>
    <row r="2687" spans="2:12">
      <c r="B2687" s="73"/>
      <c r="C2687" s="73"/>
      <c r="D2687" s="73"/>
      <c r="E2687" s="73"/>
      <c r="F2687" s="73"/>
      <c r="G2687" s="73"/>
      <c r="H2687" s="73"/>
      <c r="I2687" s="73"/>
      <c r="J2687" s="73"/>
      <c r="L2687" s="73"/>
    </row>
    <row r="2688" spans="2:12">
      <c r="B2688" s="73"/>
      <c r="C2688" s="73"/>
      <c r="D2688" s="73"/>
      <c r="E2688" s="73"/>
      <c r="F2688" s="73"/>
      <c r="G2688" s="73"/>
      <c r="H2688" s="73"/>
      <c r="I2688" s="73"/>
      <c r="J2688" s="73"/>
      <c r="L2688" s="73"/>
    </row>
    <row r="2689" spans="2:12">
      <c r="B2689" s="73"/>
      <c r="C2689" s="73"/>
      <c r="D2689" s="73"/>
      <c r="E2689" s="73"/>
      <c r="F2689" s="73"/>
      <c r="G2689" s="73"/>
      <c r="H2689" s="73"/>
      <c r="I2689" s="73"/>
      <c r="J2689" s="73"/>
      <c r="L2689" s="73"/>
    </row>
    <row r="2690" spans="2:12">
      <c r="B2690" s="73"/>
      <c r="C2690" s="73"/>
      <c r="D2690" s="73"/>
      <c r="E2690" s="73"/>
      <c r="F2690" s="73"/>
      <c r="G2690" s="73"/>
      <c r="H2690" s="73"/>
      <c r="I2690" s="73"/>
      <c r="J2690" s="73"/>
      <c r="L2690" s="73"/>
    </row>
    <row r="2691" spans="2:12">
      <c r="B2691" s="73"/>
      <c r="C2691" s="73"/>
      <c r="D2691" s="73"/>
      <c r="E2691" s="73"/>
      <c r="F2691" s="73"/>
      <c r="G2691" s="73"/>
      <c r="H2691" s="73"/>
      <c r="I2691" s="73"/>
      <c r="J2691" s="73"/>
      <c r="L2691" s="73"/>
    </row>
    <row r="2692" spans="2:12">
      <c r="B2692" s="73"/>
      <c r="C2692" s="73"/>
      <c r="D2692" s="73"/>
      <c r="E2692" s="73"/>
      <c r="F2692" s="73"/>
      <c r="G2692" s="73"/>
      <c r="H2692" s="73"/>
      <c r="I2692" s="73"/>
      <c r="J2692" s="73"/>
      <c r="L2692" s="73"/>
    </row>
    <row r="2693" spans="2:12">
      <c r="B2693" s="73"/>
      <c r="C2693" s="73"/>
      <c r="D2693" s="73"/>
      <c r="E2693" s="73"/>
      <c r="F2693" s="73"/>
      <c r="G2693" s="73"/>
      <c r="H2693" s="73"/>
      <c r="I2693" s="73"/>
      <c r="J2693" s="73"/>
      <c r="L2693" s="73"/>
    </row>
    <row r="2694" spans="2:12">
      <c r="B2694" s="73"/>
      <c r="C2694" s="73"/>
      <c r="D2694" s="73"/>
      <c r="E2694" s="73"/>
      <c r="F2694" s="73"/>
      <c r="G2694" s="73"/>
      <c r="H2694" s="73"/>
      <c r="I2694" s="73"/>
      <c r="J2694" s="73"/>
      <c r="L2694" s="73"/>
    </row>
    <row r="2695" spans="2:12">
      <c r="B2695" s="73"/>
      <c r="C2695" s="73"/>
      <c r="D2695" s="73"/>
      <c r="E2695" s="73"/>
      <c r="F2695" s="73"/>
      <c r="G2695" s="73"/>
      <c r="H2695" s="73"/>
      <c r="I2695" s="73"/>
      <c r="J2695" s="73"/>
      <c r="L2695" s="73"/>
    </row>
    <row r="2696" spans="2:12">
      <c r="B2696" s="73"/>
      <c r="C2696" s="73"/>
      <c r="D2696" s="73"/>
      <c r="E2696" s="73"/>
      <c r="F2696" s="73"/>
      <c r="G2696" s="73"/>
      <c r="H2696" s="73"/>
      <c r="I2696" s="73"/>
      <c r="J2696" s="73"/>
      <c r="L2696" s="73"/>
    </row>
    <row r="2697" spans="2:12">
      <c r="B2697" s="73"/>
      <c r="C2697" s="73"/>
      <c r="D2697" s="73"/>
      <c r="E2697" s="73"/>
      <c r="F2697" s="73"/>
      <c r="G2697" s="73"/>
      <c r="H2697" s="73"/>
      <c r="I2697" s="73"/>
      <c r="J2697" s="73"/>
      <c r="L2697" s="73"/>
    </row>
    <row r="2698" spans="2:12">
      <c r="B2698" s="73"/>
      <c r="C2698" s="73"/>
      <c r="D2698" s="73"/>
      <c r="E2698" s="73"/>
      <c r="F2698" s="73"/>
      <c r="G2698" s="73"/>
      <c r="H2698" s="73"/>
      <c r="I2698" s="73"/>
      <c r="J2698" s="73"/>
      <c r="L2698" s="73"/>
    </row>
    <row r="2699" spans="2:12">
      <c r="B2699" s="73"/>
      <c r="C2699" s="73"/>
      <c r="D2699" s="73"/>
      <c r="E2699" s="73"/>
      <c r="F2699" s="73"/>
      <c r="G2699" s="73"/>
      <c r="H2699" s="73"/>
      <c r="I2699" s="73"/>
      <c r="J2699" s="73"/>
      <c r="L2699" s="73"/>
    </row>
    <row r="2700" spans="2:12">
      <c r="B2700" s="73"/>
      <c r="C2700" s="73"/>
      <c r="D2700" s="73"/>
      <c r="E2700" s="73"/>
      <c r="F2700" s="73"/>
      <c r="G2700" s="73"/>
      <c r="H2700" s="73"/>
      <c r="I2700" s="73"/>
      <c r="J2700" s="73"/>
      <c r="L2700" s="73"/>
    </row>
    <row r="2701" spans="2:12">
      <c r="B2701" s="73"/>
      <c r="C2701" s="73"/>
      <c r="D2701" s="73"/>
      <c r="E2701" s="73"/>
      <c r="F2701" s="73"/>
      <c r="G2701" s="73"/>
      <c r="H2701" s="73"/>
      <c r="I2701" s="73"/>
      <c r="J2701" s="73"/>
      <c r="L2701" s="73"/>
    </row>
    <row r="2702" spans="2:12">
      <c r="B2702" s="73"/>
      <c r="C2702" s="73"/>
      <c r="D2702" s="73"/>
      <c r="E2702" s="73"/>
      <c r="F2702" s="73"/>
      <c r="G2702" s="73"/>
      <c r="H2702" s="73"/>
      <c r="I2702" s="73"/>
      <c r="J2702" s="73"/>
      <c r="L2702" s="73"/>
    </row>
    <row r="2703" spans="2:12">
      <c r="B2703" s="73"/>
      <c r="C2703" s="73"/>
      <c r="D2703" s="73"/>
      <c r="E2703" s="73"/>
      <c r="F2703" s="73"/>
      <c r="G2703" s="73"/>
      <c r="H2703" s="73"/>
      <c r="I2703" s="73"/>
      <c r="J2703" s="73"/>
      <c r="L2703" s="73"/>
    </row>
    <row r="2704" spans="2:12">
      <c r="B2704" s="73"/>
      <c r="C2704" s="73"/>
      <c r="D2704" s="73"/>
      <c r="E2704" s="73"/>
      <c r="F2704" s="73"/>
      <c r="G2704" s="73"/>
      <c r="H2704" s="73"/>
      <c r="I2704" s="73"/>
      <c r="J2704" s="73"/>
      <c r="L2704" s="73"/>
    </row>
    <row r="2705" spans="2:12">
      <c r="B2705" s="73"/>
      <c r="C2705" s="73"/>
      <c r="D2705" s="73"/>
      <c r="E2705" s="73"/>
      <c r="F2705" s="73"/>
      <c r="G2705" s="73"/>
      <c r="H2705" s="73"/>
      <c r="I2705" s="73"/>
      <c r="J2705" s="73"/>
      <c r="L2705" s="73"/>
    </row>
    <row r="2706" spans="2:12">
      <c r="B2706" s="73"/>
      <c r="C2706" s="73"/>
      <c r="D2706" s="73"/>
      <c r="E2706" s="73"/>
      <c r="F2706" s="73"/>
      <c r="G2706" s="73"/>
      <c r="H2706" s="73"/>
      <c r="I2706" s="73"/>
      <c r="J2706" s="73"/>
      <c r="L2706" s="73"/>
    </row>
    <row r="2707" spans="2:12">
      <c r="B2707" s="73"/>
      <c r="C2707" s="73"/>
      <c r="D2707" s="73"/>
      <c r="E2707" s="73"/>
      <c r="F2707" s="73"/>
      <c r="G2707" s="73"/>
      <c r="H2707" s="73"/>
      <c r="I2707" s="73"/>
      <c r="J2707" s="73"/>
      <c r="L2707" s="73"/>
    </row>
    <row r="2708" spans="2:12">
      <c r="B2708" s="73"/>
      <c r="C2708" s="73"/>
      <c r="D2708" s="73"/>
      <c r="E2708" s="73"/>
      <c r="F2708" s="73"/>
      <c r="G2708" s="73"/>
      <c r="H2708" s="73"/>
      <c r="I2708" s="73"/>
      <c r="J2708" s="73"/>
      <c r="L2708" s="73"/>
    </row>
    <row r="2709" spans="2:12">
      <c r="B2709" s="73"/>
      <c r="C2709" s="73"/>
      <c r="D2709" s="73"/>
      <c r="E2709" s="73"/>
      <c r="F2709" s="73"/>
      <c r="G2709" s="73"/>
      <c r="H2709" s="73"/>
      <c r="I2709" s="73"/>
      <c r="J2709" s="73"/>
      <c r="L2709" s="73"/>
    </row>
    <row r="2710" spans="2:12">
      <c r="B2710" s="73"/>
      <c r="C2710" s="73"/>
      <c r="D2710" s="73"/>
      <c r="E2710" s="73"/>
      <c r="F2710" s="73"/>
      <c r="G2710" s="73"/>
      <c r="H2710" s="73"/>
      <c r="I2710" s="73"/>
      <c r="J2710" s="73"/>
      <c r="L2710" s="73"/>
    </row>
    <row r="2711" spans="2:12">
      <c r="B2711" s="73"/>
      <c r="C2711" s="73"/>
      <c r="D2711" s="73"/>
      <c r="E2711" s="73"/>
      <c r="F2711" s="73"/>
      <c r="G2711" s="73"/>
      <c r="H2711" s="73"/>
      <c r="I2711" s="73"/>
      <c r="J2711" s="73"/>
      <c r="L2711" s="73"/>
    </row>
    <row r="2712" spans="2:12">
      <c r="B2712" s="73"/>
      <c r="C2712" s="73"/>
      <c r="D2712" s="73"/>
      <c r="E2712" s="73"/>
      <c r="F2712" s="73"/>
      <c r="G2712" s="73"/>
      <c r="H2712" s="73"/>
      <c r="I2712" s="73"/>
      <c r="J2712" s="73"/>
      <c r="L2712" s="73"/>
    </row>
    <row r="2713" spans="2:12">
      <c r="B2713" s="73"/>
      <c r="C2713" s="73"/>
      <c r="D2713" s="73"/>
      <c r="E2713" s="73"/>
      <c r="F2713" s="73"/>
      <c r="G2713" s="73"/>
      <c r="H2713" s="73"/>
      <c r="I2713" s="73"/>
      <c r="J2713" s="73"/>
      <c r="L2713" s="73"/>
    </row>
    <row r="2714" spans="2:12">
      <c r="B2714" s="73"/>
      <c r="C2714" s="73"/>
      <c r="D2714" s="73"/>
      <c r="E2714" s="73"/>
      <c r="F2714" s="73"/>
      <c r="G2714" s="73"/>
      <c r="H2714" s="73"/>
      <c r="I2714" s="73"/>
      <c r="J2714" s="73"/>
      <c r="L2714" s="73"/>
    </row>
    <row r="2715" spans="2:12">
      <c r="B2715" s="73"/>
      <c r="C2715" s="73"/>
      <c r="D2715" s="73"/>
      <c r="E2715" s="73"/>
      <c r="F2715" s="73"/>
      <c r="G2715" s="73"/>
      <c r="H2715" s="73"/>
      <c r="I2715" s="73"/>
      <c r="J2715" s="73"/>
      <c r="L2715" s="73"/>
    </row>
    <row r="2716" spans="2:12">
      <c r="B2716" s="73"/>
      <c r="C2716" s="73"/>
      <c r="D2716" s="73"/>
      <c r="E2716" s="73"/>
      <c r="F2716" s="73"/>
      <c r="G2716" s="73"/>
      <c r="H2716" s="73"/>
      <c r="I2716" s="73"/>
      <c r="J2716" s="73"/>
      <c r="L2716" s="73"/>
    </row>
    <row r="2717" spans="2:12">
      <c r="B2717" s="73"/>
      <c r="C2717" s="73"/>
      <c r="D2717" s="73"/>
      <c r="E2717" s="73"/>
      <c r="F2717" s="73"/>
      <c r="G2717" s="73"/>
      <c r="H2717" s="73"/>
      <c r="I2717" s="73"/>
      <c r="J2717" s="73"/>
      <c r="L2717" s="73"/>
    </row>
    <row r="2718" spans="2:12">
      <c r="B2718" s="73"/>
      <c r="C2718" s="73"/>
      <c r="D2718" s="73"/>
      <c r="E2718" s="73"/>
      <c r="F2718" s="73"/>
      <c r="G2718" s="73"/>
      <c r="H2718" s="73"/>
      <c r="I2718" s="73"/>
      <c r="J2718" s="73"/>
      <c r="L2718" s="73"/>
    </row>
    <row r="2719" spans="2:12">
      <c r="B2719" s="73"/>
      <c r="C2719" s="73"/>
      <c r="D2719" s="73"/>
      <c r="E2719" s="73"/>
      <c r="F2719" s="73"/>
      <c r="G2719" s="73"/>
      <c r="H2719" s="73"/>
      <c r="I2719" s="73"/>
      <c r="J2719" s="73"/>
      <c r="L2719" s="73"/>
    </row>
    <row r="2720" spans="2:12">
      <c r="B2720" s="73"/>
      <c r="C2720" s="73"/>
      <c r="D2720" s="73"/>
      <c r="E2720" s="73"/>
      <c r="F2720" s="73"/>
      <c r="G2720" s="73"/>
      <c r="H2720" s="73"/>
      <c r="I2720" s="73"/>
      <c r="J2720" s="73"/>
      <c r="L2720" s="73"/>
    </row>
    <row r="2721" spans="2:12">
      <c r="B2721" s="73"/>
      <c r="C2721" s="73"/>
      <c r="D2721" s="73"/>
      <c r="E2721" s="73"/>
      <c r="F2721" s="73"/>
      <c r="G2721" s="73"/>
      <c r="H2721" s="73"/>
      <c r="I2721" s="73"/>
      <c r="J2721" s="73"/>
      <c r="L2721" s="73"/>
    </row>
    <row r="2722" spans="2:12">
      <c r="B2722" s="73"/>
      <c r="C2722" s="73"/>
      <c r="D2722" s="73"/>
      <c r="E2722" s="73"/>
      <c r="F2722" s="73"/>
      <c r="G2722" s="73"/>
      <c r="H2722" s="73"/>
      <c r="I2722" s="73"/>
      <c r="J2722" s="73"/>
      <c r="L2722" s="73"/>
    </row>
    <row r="2723" spans="2:12">
      <c r="B2723" s="73"/>
      <c r="C2723" s="73"/>
      <c r="D2723" s="73"/>
      <c r="E2723" s="73"/>
      <c r="F2723" s="73"/>
      <c r="G2723" s="73"/>
      <c r="H2723" s="73"/>
      <c r="I2723" s="73"/>
      <c r="J2723" s="73"/>
      <c r="L2723" s="73"/>
    </row>
    <row r="2724" spans="2:12">
      <c r="B2724" s="73"/>
      <c r="C2724" s="73"/>
      <c r="D2724" s="73"/>
      <c r="E2724" s="73"/>
      <c r="F2724" s="73"/>
      <c r="G2724" s="73"/>
      <c r="H2724" s="73"/>
      <c r="I2724" s="73"/>
      <c r="J2724" s="73"/>
      <c r="L2724" s="73"/>
    </row>
    <row r="2725" spans="2:12">
      <c r="B2725" s="73"/>
      <c r="C2725" s="73"/>
      <c r="D2725" s="73"/>
      <c r="E2725" s="73"/>
      <c r="F2725" s="73"/>
      <c r="G2725" s="73"/>
      <c r="H2725" s="73"/>
      <c r="I2725" s="73"/>
      <c r="J2725" s="73"/>
      <c r="L2725" s="73"/>
    </row>
    <row r="2726" spans="2:12">
      <c r="B2726" s="73"/>
      <c r="C2726" s="73"/>
      <c r="D2726" s="73"/>
      <c r="E2726" s="73"/>
      <c r="F2726" s="73"/>
      <c r="G2726" s="73"/>
      <c r="H2726" s="73"/>
      <c r="I2726" s="73"/>
      <c r="J2726" s="73"/>
      <c r="L2726" s="73"/>
    </row>
    <row r="2727" spans="2:12">
      <c r="B2727" s="73"/>
      <c r="C2727" s="73"/>
      <c r="D2727" s="73"/>
      <c r="E2727" s="73"/>
      <c r="F2727" s="73"/>
      <c r="G2727" s="73"/>
      <c r="H2727" s="73"/>
      <c r="I2727" s="73"/>
      <c r="J2727" s="73"/>
      <c r="L2727" s="73"/>
    </row>
    <row r="2728" spans="2:12">
      <c r="B2728" s="73"/>
      <c r="C2728" s="73"/>
      <c r="D2728" s="73"/>
      <c r="E2728" s="73"/>
      <c r="F2728" s="73"/>
      <c r="G2728" s="73"/>
      <c r="H2728" s="73"/>
      <c r="I2728" s="73"/>
      <c r="J2728" s="73"/>
      <c r="L2728" s="73"/>
    </row>
    <row r="2729" spans="2:12">
      <c r="B2729" s="73"/>
      <c r="C2729" s="73"/>
      <c r="D2729" s="73"/>
      <c r="E2729" s="73"/>
      <c r="F2729" s="73"/>
      <c r="G2729" s="73"/>
      <c r="H2729" s="73"/>
      <c r="I2729" s="73"/>
      <c r="J2729" s="73"/>
      <c r="L2729" s="73"/>
    </row>
    <row r="2730" spans="2:12">
      <c r="B2730" s="73"/>
      <c r="C2730" s="73"/>
      <c r="D2730" s="73"/>
      <c r="E2730" s="73"/>
      <c r="F2730" s="73"/>
      <c r="G2730" s="73"/>
      <c r="H2730" s="73"/>
      <c r="I2730" s="73"/>
      <c r="J2730" s="73"/>
      <c r="L2730" s="73"/>
    </row>
    <row r="2731" spans="2:12">
      <c r="B2731" s="73"/>
      <c r="C2731" s="73"/>
      <c r="D2731" s="73"/>
      <c r="E2731" s="73"/>
      <c r="F2731" s="73"/>
      <c r="G2731" s="73"/>
      <c r="H2731" s="73"/>
      <c r="I2731" s="73"/>
      <c r="J2731" s="73"/>
      <c r="L2731" s="73"/>
    </row>
    <row r="2732" spans="2:12">
      <c r="B2732" s="73"/>
      <c r="C2732" s="73"/>
      <c r="D2732" s="73"/>
      <c r="E2732" s="73"/>
      <c r="F2732" s="73"/>
      <c r="G2732" s="73"/>
      <c r="H2732" s="73"/>
      <c r="I2732" s="73"/>
      <c r="J2732" s="73"/>
      <c r="L2732" s="73"/>
    </row>
    <row r="2733" spans="2:12">
      <c r="B2733" s="73"/>
      <c r="C2733" s="73"/>
      <c r="D2733" s="73"/>
      <c r="E2733" s="73"/>
      <c r="F2733" s="73"/>
      <c r="G2733" s="73"/>
      <c r="H2733" s="73"/>
      <c r="I2733" s="73"/>
      <c r="J2733" s="73"/>
      <c r="L2733" s="73"/>
    </row>
    <row r="2734" spans="2:12">
      <c r="B2734" s="73"/>
      <c r="C2734" s="73"/>
      <c r="D2734" s="73"/>
      <c r="E2734" s="73"/>
      <c r="F2734" s="73"/>
      <c r="G2734" s="73"/>
      <c r="H2734" s="73"/>
      <c r="I2734" s="73"/>
      <c r="J2734" s="73"/>
      <c r="L2734" s="73"/>
    </row>
    <row r="2735" spans="2:12">
      <c r="B2735" s="73"/>
      <c r="C2735" s="73"/>
      <c r="D2735" s="73"/>
      <c r="E2735" s="73"/>
      <c r="F2735" s="73"/>
      <c r="G2735" s="73"/>
      <c r="H2735" s="73"/>
      <c r="I2735" s="73"/>
      <c r="J2735" s="73"/>
      <c r="L2735" s="73"/>
    </row>
    <row r="2736" spans="2:12">
      <c r="B2736" s="73"/>
      <c r="C2736" s="73"/>
      <c r="D2736" s="73"/>
      <c r="E2736" s="73"/>
      <c r="F2736" s="73"/>
      <c r="G2736" s="73"/>
      <c r="H2736" s="73"/>
      <c r="I2736" s="73"/>
      <c r="J2736" s="73"/>
      <c r="L2736" s="73"/>
    </row>
    <row r="2737" spans="2:12">
      <c r="B2737" s="73"/>
      <c r="C2737" s="73"/>
      <c r="D2737" s="73"/>
      <c r="E2737" s="73"/>
      <c r="F2737" s="73"/>
      <c r="G2737" s="73"/>
      <c r="H2737" s="73"/>
      <c r="I2737" s="73"/>
      <c r="J2737" s="73"/>
      <c r="L2737" s="73"/>
    </row>
    <row r="2738" spans="2:12">
      <c r="B2738" s="73"/>
      <c r="C2738" s="73"/>
      <c r="D2738" s="73"/>
      <c r="E2738" s="73"/>
      <c r="F2738" s="73"/>
      <c r="G2738" s="73"/>
      <c r="H2738" s="73"/>
      <c r="I2738" s="73"/>
      <c r="J2738" s="73"/>
      <c r="L2738" s="73"/>
    </row>
    <row r="2739" spans="2:12">
      <c r="B2739" s="73"/>
      <c r="C2739" s="73"/>
      <c r="D2739" s="73"/>
      <c r="E2739" s="73"/>
      <c r="F2739" s="73"/>
      <c r="G2739" s="73"/>
      <c r="H2739" s="73"/>
      <c r="I2739" s="73"/>
      <c r="J2739" s="73"/>
      <c r="L2739" s="73"/>
    </row>
    <row r="2740" spans="2:12">
      <c r="B2740" s="73"/>
      <c r="C2740" s="73"/>
      <c r="D2740" s="73"/>
      <c r="E2740" s="73"/>
      <c r="F2740" s="73"/>
      <c r="G2740" s="73"/>
      <c r="H2740" s="73"/>
      <c r="I2740" s="73"/>
      <c r="J2740" s="73"/>
      <c r="L2740" s="73"/>
    </row>
    <row r="2741" spans="2:12">
      <c r="B2741" s="73"/>
      <c r="C2741" s="73"/>
      <c r="D2741" s="73"/>
      <c r="E2741" s="73"/>
      <c r="F2741" s="73"/>
      <c r="G2741" s="73"/>
      <c r="H2741" s="73"/>
      <c r="I2741" s="73"/>
      <c r="J2741" s="73"/>
      <c r="L2741" s="73"/>
    </row>
    <row r="2742" spans="2:12">
      <c r="B2742" s="73"/>
      <c r="C2742" s="73"/>
      <c r="D2742" s="73"/>
      <c r="E2742" s="73"/>
      <c r="F2742" s="73"/>
      <c r="G2742" s="73"/>
      <c r="H2742" s="73"/>
      <c r="I2742" s="73"/>
      <c r="J2742" s="73"/>
      <c r="L2742" s="73"/>
    </row>
    <row r="2743" spans="2:12">
      <c r="B2743" s="73"/>
      <c r="C2743" s="73"/>
      <c r="D2743" s="73"/>
      <c r="E2743" s="73"/>
      <c r="F2743" s="73"/>
      <c r="G2743" s="73"/>
      <c r="H2743" s="73"/>
      <c r="I2743" s="73"/>
      <c r="J2743" s="73"/>
      <c r="L2743" s="73"/>
    </row>
    <row r="2744" spans="2:12">
      <c r="B2744" s="73"/>
      <c r="C2744" s="73"/>
      <c r="D2744" s="73"/>
      <c r="E2744" s="73"/>
      <c r="F2744" s="73"/>
      <c r="G2744" s="73"/>
      <c r="H2744" s="73"/>
      <c r="I2744" s="73"/>
      <c r="J2744" s="73"/>
      <c r="L2744" s="73"/>
    </row>
    <row r="2745" spans="2:12">
      <c r="B2745" s="73"/>
      <c r="C2745" s="73"/>
      <c r="D2745" s="73"/>
      <c r="E2745" s="73"/>
      <c r="F2745" s="73"/>
      <c r="G2745" s="73"/>
      <c r="H2745" s="73"/>
      <c r="I2745" s="73"/>
      <c r="J2745" s="73"/>
      <c r="L2745" s="73"/>
    </row>
    <row r="2746" spans="2:12">
      <c r="B2746" s="73"/>
      <c r="C2746" s="73"/>
      <c r="D2746" s="73"/>
      <c r="E2746" s="73"/>
      <c r="F2746" s="73"/>
      <c r="G2746" s="73"/>
      <c r="H2746" s="73"/>
      <c r="I2746" s="73"/>
      <c r="J2746" s="73"/>
      <c r="L2746" s="73"/>
    </row>
    <row r="2747" spans="2:12">
      <c r="B2747" s="73"/>
      <c r="C2747" s="73"/>
      <c r="D2747" s="73"/>
      <c r="E2747" s="73"/>
      <c r="F2747" s="73"/>
      <c r="G2747" s="73"/>
      <c r="H2747" s="73"/>
      <c r="I2747" s="73"/>
      <c r="J2747" s="73"/>
      <c r="L2747" s="73"/>
    </row>
    <row r="2748" spans="2:12">
      <c r="B2748" s="73"/>
      <c r="C2748" s="73"/>
      <c r="D2748" s="73"/>
      <c r="E2748" s="73"/>
      <c r="F2748" s="73"/>
      <c r="G2748" s="73"/>
      <c r="H2748" s="73"/>
      <c r="I2748" s="73"/>
      <c r="J2748" s="73"/>
      <c r="L2748" s="73"/>
    </row>
    <row r="2749" spans="2:12">
      <c r="B2749" s="73"/>
      <c r="C2749" s="73"/>
      <c r="D2749" s="73"/>
      <c r="E2749" s="73"/>
      <c r="F2749" s="73"/>
      <c r="G2749" s="73"/>
      <c r="H2749" s="73"/>
      <c r="I2749" s="73"/>
      <c r="J2749" s="73"/>
      <c r="L2749" s="73"/>
    </row>
    <row r="2750" spans="2:12">
      <c r="B2750" s="73"/>
      <c r="C2750" s="73"/>
      <c r="D2750" s="73"/>
      <c r="E2750" s="73"/>
      <c r="F2750" s="73"/>
      <c r="G2750" s="73"/>
      <c r="H2750" s="73"/>
      <c r="I2750" s="73"/>
      <c r="J2750" s="73"/>
      <c r="L2750" s="73"/>
    </row>
    <row r="2751" spans="2:12">
      <c r="B2751" s="73"/>
      <c r="C2751" s="73"/>
      <c r="D2751" s="73"/>
      <c r="E2751" s="73"/>
      <c r="F2751" s="73"/>
      <c r="G2751" s="73"/>
      <c r="H2751" s="73"/>
      <c r="I2751" s="73"/>
      <c r="J2751" s="73"/>
      <c r="L2751" s="73"/>
    </row>
    <row r="2752" spans="2:12">
      <c r="B2752" s="73"/>
      <c r="C2752" s="73"/>
      <c r="D2752" s="73"/>
      <c r="E2752" s="73"/>
      <c r="F2752" s="73"/>
      <c r="G2752" s="73"/>
      <c r="H2752" s="73"/>
      <c r="I2752" s="73"/>
      <c r="J2752" s="73"/>
      <c r="L2752" s="73"/>
    </row>
    <row r="2753" spans="2:12">
      <c r="B2753" s="73"/>
      <c r="C2753" s="73"/>
      <c r="D2753" s="73"/>
      <c r="E2753" s="73"/>
      <c r="F2753" s="73"/>
      <c r="G2753" s="73"/>
      <c r="H2753" s="73"/>
      <c r="I2753" s="73"/>
      <c r="J2753" s="73"/>
      <c r="L2753" s="73"/>
    </row>
    <row r="2754" spans="2:12">
      <c r="B2754" s="73"/>
      <c r="C2754" s="73"/>
      <c r="D2754" s="73"/>
      <c r="E2754" s="73"/>
      <c r="F2754" s="73"/>
      <c r="G2754" s="73"/>
      <c r="H2754" s="73"/>
      <c r="I2754" s="73"/>
      <c r="J2754" s="73"/>
      <c r="L2754" s="73"/>
    </row>
    <row r="2755" spans="2:12">
      <c r="B2755" s="73"/>
      <c r="C2755" s="73"/>
      <c r="D2755" s="73"/>
      <c r="E2755" s="73"/>
      <c r="F2755" s="73"/>
      <c r="G2755" s="73"/>
      <c r="H2755" s="73"/>
      <c r="I2755" s="73"/>
      <c r="J2755" s="73"/>
      <c r="L2755" s="73"/>
    </row>
    <row r="2756" spans="2:12">
      <c r="B2756" s="73"/>
      <c r="C2756" s="73"/>
      <c r="D2756" s="73"/>
      <c r="E2756" s="73"/>
      <c r="F2756" s="73"/>
      <c r="G2756" s="73"/>
      <c r="H2756" s="73"/>
      <c r="I2756" s="73"/>
      <c r="J2756" s="73"/>
      <c r="L2756" s="73"/>
    </row>
    <row r="2757" spans="2:12">
      <c r="B2757" s="73"/>
      <c r="C2757" s="73"/>
      <c r="D2757" s="73"/>
      <c r="E2757" s="73"/>
      <c r="F2757" s="73"/>
      <c r="G2757" s="73"/>
      <c r="H2757" s="73"/>
      <c r="I2757" s="73"/>
      <c r="J2757" s="73"/>
      <c r="L2757" s="73"/>
    </row>
    <row r="2758" spans="2:12">
      <c r="B2758" s="73"/>
      <c r="C2758" s="73"/>
      <c r="D2758" s="73"/>
      <c r="E2758" s="73"/>
      <c r="F2758" s="73"/>
      <c r="G2758" s="73"/>
      <c r="H2758" s="73"/>
      <c r="I2758" s="73"/>
      <c r="J2758" s="73"/>
      <c r="L2758" s="73"/>
    </row>
    <row r="2759" spans="2:12">
      <c r="B2759" s="73"/>
      <c r="C2759" s="73"/>
      <c r="D2759" s="73"/>
      <c r="E2759" s="73"/>
      <c r="F2759" s="73"/>
      <c r="G2759" s="73"/>
      <c r="H2759" s="73"/>
      <c r="I2759" s="73"/>
      <c r="J2759" s="73"/>
      <c r="L2759" s="73"/>
    </row>
    <row r="2760" spans="2:12">
      <c r="B2760" s="73"/>
      <c r="C2760" s="73"/>
      <c r="D2760" s="73"/>
      <c r="E2760" s="73"/>
      <c r="F2760" s="73"/>
      <c r="G2760" s="73"/>
      <c r="H2760" s="73"/>
      <c r="I2760" s="73"/>
      <c r="J2760" s="73"/>
      <c r="L2760" s="73"/>
    </row>
    <row r="2761" spans="2:12">
      <c r="B2761" s="73"/>
      <c r="C2761" s="73"/>
      <c r="D2761" s="73"/>
      <c r="E2761" s="73"/>
      <c r="F2761" s="73"/>
      <c r="G2761" s="73"/>
      <c r="H2761" s="73"/>
      <c r="I2761" s="73"/>
      <c r="J2761" s="73"/>
      <c r="L2761" s="73"/>
    </row>
    <row r="2762" spans="2:12">
      <c r="B2762" s="73"/>
      <c r="C2762" s="73"/>
      <c r="D2762" s="73"/>
      <c r="E2762" s="73"/>
      <c r="F2762" s="73"/>
      <c r="G2762" s="73"/>
      <c r="H2762" s="73"/>
      <c r="I2762" s="73"/>
      <c r="J2762" s="73"/>
      <c r="L2762" s="73"/>
    </row>
    <row r="2763" spans="2:12">
      <c r="B2763" s="73"/>
      <c r="C2763" s="73"/>
      <c r="D2763" s="73"/>
      <c r="E2763" s="73"/>
      <c r="F2763" s="73"/>
      <c r="G2763" s="73"/>
      <c r="H2763" s="73"/>
      <c r="I2763" s="73"/>
      <c r="J2763" s="73"/>
      <c r="L2763" s="73"/>
    </row>
    <row r="2764" spans="2:12">
      <c r="B2764" s="73"/>
      <c r="C2764" s="73"/>
      <c r="D2764" s="73"/>
      <c r="E2764" s="73"/>
      <c r="F2764" s="73"/>
      <c r="G2764" s="73"/>
      <c r="H2764" s="73"/>
      <c r="I2764" s="73"/>
      <c r="J2764" s="73"/>
      <c r="L2764" s="73"/>
    </row>
    <row r="2765" spans="2:12">
      <c r="B2765" s="73"/>
      <c r="C2765" s="73"/>
      <c r="D2765" s="73"/>
      <c r="E2765" s="73"/>
      <c r="F2765" s="73"/>
      <c r="G2765" s="73"/>
      <c r="H2765" s="73"/>
      <c r="I2765" s="73"/>
      <c r="J2765" s="73"/>
      <c r="L2765" s="73"/>
    </row>
    <row r="2766" spans="2:12">
      <c r="B2766" s="73"/>
      <c r="C2766" s="73"/>
      <c r="D2766" s="73"/>
      <c r="E2766" s="73"/>
      <c r="F2766" s="73"/>
      <c r="G2766" s="73"/>
      <c r="H2766" s="73"/>
      <c r="I2766" s="73"/>
      <c r="J2766" s="73"/>
      <c r="L2766" s="73"/>
    </row>
    <row r="2767" spans="2:12">
      <c r="B2767" s="73"/>
      <c r="C2767" s="73"/>
      <c r="D2767" s="73"/>
      <c r="E2767" s="73"/>
      <c r="F2767" s="73"/>
      <c r="G2767" s="73"/>
      <c r="H2767" s="73"/>
      <c r="I2767" s="73"/>
      <c r="J2767" s="73"/>
      <c r="L2767" s="73"/>
    </row>
    <row r="2768" spans="2:12">
      <c r="B2768" s="73"/>
      <c r="C2768" s="73"/>
      <c r="D2768" s="73"/>
      <c r="E2768" s="73"/>
      <c r="F2768" s="73"/>
      <c r="G2768" s="73"/>
      <c r="H2768" s="73"/>
      <c r="I2768" s="73"/>
      <c r="J2768" s="73"/>
      <c r="L2768" s="73"/>
    </row>
    <row r="2769" spans="2:12">
      <c r="B2769" s="73"/>
      <c r="C2769" s="73"/>
      <c r="D2769" s="73"/>
      <c r="E2769" s="73"/>
      <c r="F2769" s="73"/>
      <c r="G2769" s="73"/>
      <c r="H2769" s="73"/>
      <c r="I2769" s="73"/>
      <c r="J2769" s="73"/>
      <c r="L2769" s="73"/>
    </row>
    <row r="2770" spans="2:12">
      <c r="B2770" s="73"/>
      <c r="C2770" s="73"/>
      <c r="D2770" s="73"/>
      <c r="E2770" s="73"/>
      <c r="F2770" s="73"/>
      <c r="G2770" s="73"/>
      <c r="H2770" s="73"/>
      <c r="I2770" s="73"/>
      <c r="J2770" s="73"/>
      <c r="L2770" s="73"/>
    </row>
    <row r="2771" spans="2:12">
      <c r="B2771" s="73"/>
      <c r="C2771" s="73"/>
      <c r="D2771" s="73"/>
      <c r="E2771" s="73"/>
      <c r="F2771" s="73"/>
      <c r="G2771" s="73"/>
      <c r="H2771" s="73"/>
      <c r="I2771" s="73"/>
      <c r="J2771" s="73"/>
      <c r="L2771" s="73"/>
    </row>
    <row r="2772" spans="2:12">
      <c r="B2772" s="73"/>
      <c r="C2772" s="73"/>
      <c r="D2772" s="73"/>
      <c r="E2772" s="73"/>
      <c r="F2772" s="73"/>
      <c r="G2772" s="73"/>
      <c r="H2772" s="73"/>
      <c r="I2772" s="73"/>
      <c r="J2772" s="73"/>
      <c r="L2772" s="73"/>
    </row>
    <row r="2773" spans="2:12">
      <c r="B2773" s="73"/>
      <c r="C2773" s="73"/>
      <c r="D2773" s="73"/>
      <c r="E2773" s="73"/>
      <c r="F2773" s="73"/>
      <c r="G2773" s="73"/>
      <c r="H2773" s="73"/>
      <c r="I2773" s="73"/>
      <c r="J2773" s="73"/>
      <c r="L2773" s="73"/>
    </row>
    <row r="2774" spans="2:12">
      <c r="B2774" s="73"/>
      <c r="C2774" s="73"/>
      <c r="D2774" s="73"/>
      <c r="E2774" s="73"/>
      <c r="F2774" s="73"/>
      <c r="G2774" s="73"/>
      <c r="H2774" s="73"/>
      <c r="I2774" s="73"/>
      <c r="J2774" s="73"/>
      <c r="L2774" s="73"/>
    </row>
    <row r="2775" spans="2:12">
      <c r="B2775" s="73"/>
      <c r="C2775" s="73"/>
      <c r="D2775" s="73"/>
      <c r="E2775" s="73"/>
      <c r="F2775" s="73"/>
      <c r="G2775" s="73"/>
      <c r="H2775" s="73"/>
      <c r="I2775" s="73"/>
      <c r="J2775" s="73"/>
      <c r="L2775" s="73"/>
    </row>
    <row r="2776" spans="2:12">
      <c r="B2776" s="73"/>
      <c r="C2776" s="73"/>
      <c r="D2776" s="73"/>
      <c r="E2776" s="73"/>
      <c r="F2776" s="73"/>
      <c r="G2776" s="73"/>
      <c r="H2776" s="73"/>
      <c r="I2776" s="73"/>
      <c r="J2776" s="73"/>
      <c r="L2776" s="73"/>
    </row>
    <row r="2777" spans="2:12">
      <c r="B2777" s="73"/>
      <c r="C2777" s="73"/>
      <c r="D2777" s="73"/>
      <c r="E2777" s="73"/>
      <c r="F2777" s="73"/>
      <c r="G2777" s="73"/>
      <c r="H2777" s="73"/>
      <c r="I2777" s="73"/>
      <c r="J2777" s="73"/>
      <c r="L2777" s="73"/>
    </row>
    <row r="2778" spans="2:12">
      <c r="B2778" s="73"/>
      <c r="C2778" s="73"/>
      <c r="D2778" s="73"/>
      <c r="E2778" s="73"/>
      <c r="F2778" s="73"/>
      <c r="G2778" s="73"/>
      <c r="H2778" s="73"/>
      <c r="I2778" s="73"/>
      <c r="J2778" s="73"/>
      <c r="L2778" s="73"/>
    </row>
    <row r="2779" spans="2:12">
      <c r="B2779" s="73"/>
      <c r="C2779" s="73"/>
      <c r="D2779" s="73"/>
      <c r="E2779" s="73"/>
      <c r="F2779" s="73"/>
      <c r="G2779" s="73"/>
      <c r="H2779" s="73"/>
      <c r="I2779" s="73"/>
      <c r="J2779" s="73"/>
      <c r="L2779" s="73"/>
    </row>
    <row r="2780" spans="2:12">
      <c r="B2780" s="73"/>
      <c r="C2780" s="73"/>
      <c r="D2780" s="73"/>
      <c r="E2780" s="73"/>
      <c r="F2780" s="73"/>
      <c r="G2780" s="73"/>
      <c r="H2780" s="73"/>
      <c r="I2780" s="73"/>
      <c r="J2780" s="73"/>
      <c r="L2780" s="73"/>
    </row>
    <row r="2781" spans="2:12">
      <c r="B2781" s="73"/>
      <c r="C2781" s="73"/>
      <c r="D2781" s="73"/>
      <c r="E2781" s="73"/>
      <c r="F2781" s="73"/>
      <c r="G2781" s="73"/>
      <c r="H2781" s="73"/>
      <c r="I2781" s="73"/>
      <c r="J2781" s="73"/>
      <c r="L2781" s="73"/>
    </row>
    <row r="2782" spans="2:12">
      <c r="B2782" s="73"/>
      <c r="C2782" s="73"/>
      <c r="D2782" s="73"/>
      <c r="E2782" s="73"/>
      <c r="F2782" s="73"/>
      <c r="G2782" s="73"/>
      <c r="H2782" s="73"/>
      <c r="I2782" s="73"/>
      <c r="J2782" s="73"/>
      <c r="L2782" s="73"/>
    </row>
    <row r="2783" spans="2:12">
      <c r="B2783" s="73"/>
      <c r="C2783" s="73"/>
      <c r="D2783" s="73"/>
      <c r="E2783" s="73"/>
      <c r="F2783" s="73"/>
      <c r="G2783" s="73"/>
      <c r="H2783" s="73"/>
      <c r="I2783" s="73"/>
      <c r="J2783" s="73"/>
    </row>
    <row r="2784" spans="2:12">
      <c r="B2784" s="73"/>
      <c r="C2784" s="73"/>
      <c r="D2784" s="73"/>
      <c r="E2784" s="73"/>
      <c r="F2784" s="73"/>
      <c r="G2784" s="73"/>
      <c r="H2784" s="73"/>
      <c r="I2784" s="73"/>
      <c r="J2784" s="73"/>
    </row>
    <row r="2785" spans="2:10">
      <c r="B2785" s="73"/>
      <c r="C2785" s="73"/>
      <c r="D2785" s="73"/>
      <c r="E2785" s="73"/>
      <c r="F2785" s="73"/>
      <c r="G2785" s="73"/>
      <c r="H2785" s="73"/>
      <c r="I2785" s="73"/>
      <c r="J2785" s="73"/>
    </row>
    <row r="2786" spans="2:10">
      <c r="B2786" s="73"/>
      <c r="C2786" s="73"/>
      <c r="D2786" s="73"/>
      <c r="E2786" s="73"/>
      <c r="F2786" s="73"/>
      <c r="G2786" s="73"/>
      <c r="H2786" s="73"/>
      <c r="I2786" s="73"/>
      <c r="J2786" s="73"/>
    </row>
    <row r="2787" spans="2:10">
      <c r="B2787" s="73"/>
      <c r="C2787" s="73"/>
      <c r="D2787" s="73"/>
      <c r="E2787" s="73"/>
      <c r="F2787" s="73"/>
      <c r="G2787" s="73"/>
      <c r="H2787" s="73"/>
      <c r="I2787" s="73"/>
      <c r="J2787" s="73"/>
    </row>
    <row r="2788" spans="2:10">
      <c r="B2788" s="73"/>
      <c r="C2788" s="73"/>
      <c r="D2788" s="73"/>
      <c r="E2788" s="73"/>
      <c r="F2788" s="73"/>
      <c r="G2788" s="73"/>
      <c r="H2788" s="73"/>
      <c r="I2788" s="73"/>
      <c r="J2788" s="73"/>
    </row>
    <row r="2789" spans="2:10">
      <c r="B2789" s="73"/>
      <c r="C2789" s="73"/>
      <c r="D2789" s="73"/>
      <c r="E2789" s="73"/>
      <c r="F2789" s="73"/>
      <c r="G2789" s="73"/>
      <c r="H2789" s="73"/>
      <c r="I2789" s="73"/>
      <c r="J2789" s="73"/>
    </row>
    <row r="2790" spans="2:10">
      <c r="B2790" s="73"/>
      <c r="C2790" s="73"/>
      <c r="D2790" s="73"/>
      <c r="E2790" s="73"/>
      <c r="F2790" s="73"/>
      <c r="G2790" s="73"/>
      <c r="H2790" s="73"/>
      <c r="I2790" s="73"/>
      <c r="J2790" s="73"/>
    </row>
    <row r="2791" spans="2:10">
      <c r="B2791" s="73"/>
      <c r="C2791" s="73"/>
      <c r="D2791" s="73"/>
      <c r="E2791" s="73"/>
      <c r="F2791" s="73"/>
      <c r="G2791" s="73"/>
      <c r="H2791" s="73"/>
      <c r="I2791" s="73"/>
      <c r="J2791" s="73"/>
    </row>
    <row r="2792" spans="2:10">
      <c r="B2792" s="73"/>
      <c r="C2792" s="73"/>
      <c r="D2792" s="73"/>
      <c r="E2792" s="73"/>
      <c r="F2792" s="73"/>
      <c r="G2792" s="73"/>
      <c r="H2792" s="73"/>
      <c r="I2792" s="73"/>
      <c r="J2792" s="73"/>
    </row>
    <row r="2793" spans="2:10">
      <c r="B2793" s="73"/>
      <c r="C2793" s="73"/>
      <c r="D2793" s="73"/>
      <c r="E2793" s="73"/>
      <c r="F2793" s="73"/>
      <c r="G2793" s="73"/>
      <c r="H2793" s="73"/>
      <c r="I2793" s="73"/>
      <c r="J2793" s="73"/>
    </row>
    <row r="2794" spans="2:10">
      <c r="B2794" s="73"/>
      <c r="C2794" s="73"/>
      <c r="D2794" s="73"/>
      <c r="E2794" s="73"/>
      <c r="F2794" s="73"/>
      <c r="G2794" s="73"/>
      <c r="H2794" s="73"/>
      <c r="I2794" s="73"/>
      <c r="J2794" s="73"/>
    </row>
    <row r="2795" spans="2:10">
      <c r="B2795" s="73"/>
      <c r="C2795" s="73"/>
      <c r="D2795" s="73"/>
      <c r="E2795" s="73"/>
      <c r="F2795" s="73"/>
      <c r="G2795" s="73"/>
      <c r="H2795" s="73"/>
      <c r="I2795" s="73"/>
      <c r="J2795" s="73"/>
    </row>
    <row r="2796" spans="2:10">
      <c r="B2796" s="73"/>
      <c r="C2796" s="73"/>
      <c r="D2796" s="73"/>
      <c r="E2796" s="73"/>
      <c r="F2796" s="73"/>
      <c r="G2796" s="73"/>
      <c r="H2796" s="73"/>
      <c r="I2796" s="73"/>
      <c r="J2796" s="73"/>
    </row>
    <row r="2797" spans="2:10">
      <c r="B2797" s="73"/>
      <c r="C2797" s="73"/>
      <c r="D2797" s="73"/>
      <c r="E2797" s="73"/>
      <c r="F2797" s="73"/>
      <c r="G2797" s="73"/>
      <c r="H2797" s="73"/>
      <c r="I2797" s="73"/>
      <c r="J2797" s="73"/>
    </row>
    <row r="2798" spans="2:10">
      <c r="B2798" s="73"/>
      <c r="C2798" s="73"/>
      <c r="D2798" s="73"/>
      <c r="E2798" s="73"/>
      <c r="F2798" s="73"/>
      <c r="G2798" s="73"/>
      <c r="H2798" s="73"/>
      <c r="I2798" s="73"/>
      <c r="J2798" s="73"/>
    </row>
    <row r="2799" spans="2:10">
      <c r="B2799" s="73"/>
      <c r="C2799" s="73"/>
      <c r="D2799" s="73"/>
      <c r="E2799" s="73"/>
      <c r="F2799" s="73"/>
      <c r="G2799" s="73"/>
      <c r="H2799" s="73"/>
      <c r="I2799" s="73"/>
      <c r="J2799" s="73"/>
    </row>
    <row r="2800" spans="2:10">
      <c r="B2800" s="73"/>
      <c r="C2800" s="73"/>
      <c r="D2800" s="73"/>
      <c r="E2800" s="73"/>
      <c r="F2800" s="73"/>
      <c r="G2800" s="73"/>
      <c r="H2800" s="73"/>
      <c r="I2800" s="73"/>
      <c r="J2800" s="73"/>
    </row>
    <row r="2801" spans="2:10">
      <c r="B2801" s="73"/>
      <c r="C2801" s="73"/>
      <c r="D2801" s="73"/>
      <c r="E2801" s="73"/>
      <c r="F2801" s="73"/>
      <c r="G2801" s="73"/>
      <c r="H2801" s="73"/>
      <c r="I2801" s="73"/>
      <c r="J2801" s="73"/>
    </row>
    <row r="2802" spans="2:10">
      <c r="B2802" s="73"/>
      <c r="C2802" s="73"/>
      <c r="D2802" s="73"/>
      <c r="E2802" s="73"/>
      <c r="F2802" s="73"/>
      <c r="G2802" s="73"/>
      <c r="H2802" s="73"/>
      <c r="I2802" s="73"/>
      <c r="J2802" s="73"/>
    </row>
    <row r="2803" spans="2:10">
      <c r="B2803" s="73"/>
      <c r="C2803" s="73"/>
      <c r="D2803" s="73"/>
      <c r="E2803" s="73"/>
      <c r="F2803" s="73"/>
      <c r="G2803" s="73"/>
      <c r="H2803" s="73"/>
      <c r="I2803" s="73"/>
      <c r="J2803" s="73"/>
    </row>
    <row r="2804" spans="2:10">
      <c r="B2804" s="73"/>
      <c r="C2804" s="73"/>
      <c r="D2804" s="73"/>
      <c r="E2804" s="73"/>
      <c r="F2804" s="73"/>
      <c r="G2804" s="73"/>
      <c r="H2804" s="73"/>
      <c r="I2804" s="73"/>
      <c r="J2804" s="73"/>
    </row>
    <row r="2805" spans="2:10">
      <c r="B2805" s="73"/>
      <c r="C2805" s="73"/>
      <c r="D2805" s="73"/>
      <c r="E2805" s="73"/>
      <c r="F2805" s="73"/>
      <c r="G2805" s="73"/>
      <c r="H2805" s="73"/>
      <c r="I2805" s="73"/>
      <c r="J2805" s="73"/>
    </row>
    <row r="2806" spans="2:10">
      <c r="B2806" s="73"/>
      <c r="C2806" s="73"/>
      <c r="D2806" s="73"/>
      <c r="E2806" s="73"/>
      <c r="F2806" s="73"/>
      <c r="G2806" s="73"/>
      <c r="H2806" s="73"/>
      <c r="I2806" s="73"/>
      <c r="J2806" s="73"/>
    </row>
    <row r="2807" spans="2:10">
      <c r="B2807" s="73"/>
      <c r="C2807" s="73"/>
      <c r="D2807" s="73"/>
      <c r="E2807" s="73"/>
      <c r="F2807" s="73"/>
      <c r="G2807" s="73"/>
      <c r="H2807" s="73"/>
      <c r="I2807" s="73"/>
      <c r="J2807" s="73"/>
    </row>
    <row r="2808" spans="2:10">
      <c r="B2808" s="73"/>
      <c r="C2808" s="73"/>
      <c r="D2808" s="73"/>
      <c r="E2808" s="73"/>
      <c r="F2808" s="73"/>
      <c r="G2808" s="73"/>
      <c r="H2808" s="73"/>
      <c r="I2808" s="73"/>
      <c r="J2808" s="73"/>
    </row>
    <row r="2809" spans="2:10">
      <c r="B2809" s="73"/>
      <c r="C2809" s="73"/>
      <c r="D2809" s="73"/>
      <c r="E2809" s="73"/>
      <c r="F2809" s="73"/>
      <c r="G2809" s="73"/>
      <c r="H2809" s="73"/>
      <c r="I2809" s="73"/>
      <c r="J2809" s="73"/>
    </row>
    <row r="2810" spans="2:10">
      <c r="B2810" s="73"/>
      <c r="C2810" s="73"/>
      <c r="D2810" s="73"/>
      <c r="E2810" s="73"/>
      <c r="F2810" s="73"/>
      <c r="G2810" s="73"/>
      <c r="H2810" s="73"/>
      <c r="I2810" s="73"/>
      <c r="J2810" s="73"/>
    </row>
    <row r="2811" spans="2:10">
      <c r="B2811" s="73"/>
      <c r="C2811" s="73"/>
      <c r="D2811" s="73"/>
      <c r="E2811" s="73"/>
      <c r="F2811" s="73"/>
      <c r="G2811" s="73"/>
      <c r="H2811" s="73"/>
      <c r="I2811" s="73"/>
      <c r="J2811" s="73"/>
    </row>
    <row r="2812" spans="2:10">
      <c r="B2812" s="73"/>
      <c r="C2812" s="73"/>
      <c r="D2812" s="73"/>
      <c r="E2812" s="73"/>
      <c r="F2812" s="73"/>
      <c r="G2812" s="73"/>
      <c r="H2812" s="73"/>
      <c r="I2812" s="73"/>
      <c r="J2812" s="73"/>
    </row>
    <row r="2813" spans="2:10">
      <c r="B2813" s="73"/>
      <c r="C2813" s="73"/>
      <c r="D2813" s="73"/>
      <c r="E2813" s="73"/>
      <c r="F2813" s="73"/>
      <c r="G2813" s="73"/>
      <c r="H2813" s="73"/>
      <c r="I2813" s="73"/>
      <c r="J2813" s="73"/>
    </row>
    <row r="2814" spans="2:10">
      <c r="B2814" s="73"/>
      <c r="C2814" s="73"/>
      <c r="D2814" s="73"/>
      <c r="E2814" s="73"/>
      <c r="F2814" s="73"/>
      <c r="G2814" s="73"/>
      <c r="H2814" s="73"/>
      <c r="I2814" s="73"/>
      <c r="J2814" s="73"/>
    </row>
    <row r="2815" spans="2:10">
      <c r="B2815" s="73"/>
      <c r="C2815" s="73"/>
      <c r="D2815" s="73"/>
      <c r="E2815" s="73"/>
      <c r="F2815" s="73"/>
      <c r="G2815" s="73"/>
      <c r="H2815" s="73"/>
      <c r="I2815" s="73"/>
      <c r="J2815" s="73"/>
    </row>
    <row r="2816" spans="2:10">
      <c r="B2816" s="73"/>
      <c r="C2816" s="73"/>
      <c r="D2816" s="73"/>
      <c r="E2816" s="73"/>
      <c r="F2816" s="73"/>
      <c r="G2816" s="73"/>
      <c r="H2816" s="73"/>
      <c r="I2816" s="73"/>
      <c r="J2816" s="73"/>
    </row>
    <row r="2817" spans="2:10">
      <c r="B2817" s="73"/>
      <c r="C2817" s="73"/>
      <c r="D2817" s="73"/>
      <c r="E2817" s="73"/>
      <c r="F2817" s="73"/>
      <c r="G2817" s="73"/>
      <c r="H2817" s="73"/>
      <c r="I2817" s="73"/>
      <c r="J2817" s="73"/>
    </row>
    <row r="2818" spans="2:10">
      <c r="B2818" s="73"/>
      <c r="C2818" s="73"/>
      <c r="D2818" s="73"/>
      <c r="E2818" s="73"/>
      <c r="F2818" s="73"/>
      <c r="G2818" s="73"/>
      <c r="H2818" s="73"/>
      <c r="I2818" s="73"/>
      <c r="J2818" s="73"/>
    </row>
    <row r="2819" spans="2:10">
      <c r="B2819" s="73"/>
      <c r="C2819" s="73"/>
      <c r="D2819" s="73"/>
      <c r="E2819" s="73"/>
      <c r="F2819" s="73"/>
      <c r="G2819" s="73"/>
      <c r="H2819" s="73"/>
      <c r="I2819" s="73"/>
      <c r="J2819" s="73"/>
    </row>
    <row r="2820" spans="2:10">
      <c r="B2820" s="73"/>
      <c r="C2820" s="73"/>
      <c r="D2820" s="73"/>
      <c r="E2820" s="73"/>
      <c r="F2820" s="73"/>
      <c r="G2820" s="73"/>
      <c r="H2820" s="73"/>
      <c r="I2820" s="73"/>
      <c r="J2820" s="73"/>
    </row>
    <row r="2821" spans="2:10">
      <c r="B2821" s="73"/>
      <c r="C2821" s="73"/>
      <c r="D2821" s="73"/>
      <c r="E2821" s="73"/>
      <c r="F2821" s="73"/>
      <c r="G2821" s="73"/>
      <c r="H2821" s="73"/>
      <c r="I2821" s="73"/>
      <c r="J2821" s="73"/>
    </row>
    <row r="2822" spans="2:10">
      <c r="B2822" s="73"/>
      <c r="C2822" s="73"/>
      <c r="D2822" s="73"/>
      <c r="E2822" s="73"/>
      <c r="F2822" s="73"/>
      <c r="G2822" s="73"/>
      <c r="H2822" s="73"/>
      <c r="I2822" s="73"/>
      <c r="J2822" s="73"/>
    </row>
    <row r="2823" spans="2:10">
      <c r="B2823" s="73"/>
      <c r="C2823" s="73"/>
      <c r="D2823" s="73"/>
      <c r="E2823" s="73"/>
      <c r="F2823" s="73"/>
      <c r="G2823" s="73"/>
      <c r="H2823" s="73"/>
      <c r="I2823" s="73"/>
      <c r="J2823" s="73"/>
    </row>
    <row r="2824" spans="2:10">
      <c r="B2824" s="73"/>
      <c r="C2824" s="73"/>
      <c r="D2824" s="73"/>
      <c r="E2824" s="73"/>
      <c r="F2824" s="73"/>
      <c r="G2824" s="73"/>
      <c r="H2824" s="73"/>
      <c r="I2824" s="73"/>
      <c r="J2824" s="73"/>
    </row>
    <row r="2825" spans="2:10">
      <c r="B2825" s="73"/>
      <c r="C2825" s="73"/>
      <c r="D2825" s="73"/>
      <c r="E2825" s="73"/>
      <c r="F2825" s="73"/>
      <c r="G2825" s="73"/>
      <c r="H2825" s="73"/>
      <c r="I2825" s="73"/>
      <c r="J2825" s="73"/>
    </row>
    <row r="2826" spans="2:10">
      <c r="B2826" s="73"/>
      <c r="C2826" s="73"/>
      <c r="D2826" s="73"/>
      <c r="E2826" s="73"/>
      <c r="F2826" s="73"/>
      <c r="G2826" s="73"/>
      <c r="H2826" s="73"/>
      <c r="I2826" s="73"/>
      <c r="J2826" s="73"/>
    </row>
    <row r="2827" spans="2:10">
      <c r="B2827" s="73"/>
      <c r="C2827" s="73"/>
      <c r="D2827" s="73"/>
      <c r="E2827" s="73"/>
      <c r="F2827" s="73"/>
      <c r="G2827" s="73"/>
      <c r="H2827" s="73"/>
      <c r="I2827" s="73"/>
      <c r="J2827" s="73"/>
    </row>
    <row r="2828" spans="2:10">
      <c r="B2828" s="73"/>
      <c r="C2828" s="73"/>
      <c r="D2828" s="73"/>
      <c r="E2828" s="73"/>
      <c r="F2828" s="73"/>
      <c r="G2828" s="73"/>
      <c r="H2828" s="73"/>
      <c r="I2828" s="73"/>
      <c r="J2828" s="73"/>
    </row>
    <row r="2829" spans="2:10">
      <c r="B2829" s="73"/>
      <c r="C2829" s="73"/>
      <c r="D2829" s="73"/>
      <c r="E2829" s="73"/>
      <c r="F2829" s="73"/>
      <c r="G2829" s="73"/>
      <c r="H2829" s="73"/>
      <c r="I2829" s="73"/>
      <c r="J2829" s="73"/>
    </row>
    <row r="2830" spans="2:10">
      <c r="B2830" s="73"/>
      <c r="C2830" s="73"/>
      <c r="D2830" s="73"/>
      <c r="E2830" s="73"/>
      <c r="F2830" s="73"/>
      <c r="G2830" s="73"/>
      <c r="H2830" s="73"/>
      <c r="I2830" s="73"/>
      <c r="J2830" s="73"/>
    </row>
    <row r="2831" spans="2:10">
      <c r="B2831" s="73"/>
      <c r="C2831" s="73"/>
      <c r="D2831" s="73"/>
      <c r="E2831" s="73"/>
      <c r="F2831" s="73"/>
      <c r="G2831" s="73"/>
      <c r="H2831" s="73"/>
      <c r="I2831" s="73"/>
      <c r="J2831" s="73"/>
    </row>
    <row r="2832" spans="2:10">
      <c r="B2832" s="73"/>
      <c r="C2832" s="73"/>
      <c r="D2832" s="73"/>
      <c r="E2832" s="73"/>
      <c r="F2832" s="73"/>
      <c r="G2832" s="73"/>
      <c r="H2832" s="73"/>
      <c r="I2832" s="73"/>
      <c r="J2832" s="73"/>
    </row>
    <row r="2833" spans="2:10">
      <c r="B2833" s="73"/>
      <c r="C2833" s="73"/>
      <c r="D2833" s="73"/>
      <c r="E2833" s="73"/>
      <c r="F2833" s="73"/>
      <c r="G2833" s="73"/>
      <c r="H2833" s="73"/>
      <c r="I2833" s="73"/>
      <c r="J2833" s="73"/>
    </row>
    <row r="2834" spans="2:10">
      <c r="B2834" s="73"/>
      <c r="C2834" s="73"/>
      <c r="D2834" s="73"/>
      <c r="E2834" s="73"/>
      <c r="F2834" s="73"/>
      <c r="G2834" s="73"/>
      <c r="H2834" s="73"/>
      <c r="I2834" s="73"/>
      <c r="J2834" s="73"/>
    </row>
    <row r="2835" spans="2:10">
      <c r="B2835" s="73"/>
      <c r="C2835" s="73"/>
      <c r="D2835" s="73"/>
      <c r="E2835" s="73"/>
      <c r="F2835" s="73"/>
      <c r="G2835" s="73"/>
      <c r="H2835" s="73"/>
      <c r="I2835" s="73"/>
      <c r="J2835" s="73"/>
    </row>
    <row r="2836" spans="2:10">
      <c r="B2836" s="73"/>
      <c r="C2836" s="73"/>
      <c r="D2836" s="73"/>
      <c r="E2836" s="73"/>
      <c r="F2836" s="73"/>
      <c r="G2836" s="73"/>
      <c r="H2836" s="73"/>
      <c r="I2836" s="73"/>
      <c r="J2836" s="73"/>
    </row>
    <row r="2837" spans="2:10">
      <c r="B2837" s="73"/>
      <c r="C2837" s="73"/>
      <c r="D2837" s="73"/>
      <c r="E2837" s="73"/>
      <c r="F2837" s="73"/>
      <c r="G2837" s="73"/>
      <c r="H2837" s="73"/>
      <c r="I2837" s="73"/>
      <c r="J2837" s="73"/>
    </row>
    <row r="2838" spans="2:10">
      <c r="B2838" s="73"/>
      <c r="C2838" s="73"/>
      <c r="D2838" s="73"/>
      <c r="E2838" s="73"/>
      <c r="F2838" s="73"/>
      <c r="G2838" s="73"/>
      <c r="H2838" s="73"/>
      <c r="I2838" s="73"/>
      <c r="J2838" s="73"/>
    </row>
    <row r="2839" spans="2:10">
      <c r="B2839" s="73"/>
      <c r="C2839" s="73"/>
      <c r="D2839" s="73"/>
      <c r="E2839" s="73"/>
      <c r="F2839" s="73"/>
      <c r="G2839" s="73"/>
      <c r="H2839" s="73"/>
      <c r="I2839" s="73"/>
      <c r="J2839" s="73"/>
    </row>
    <row r="2840" spans="2:10">
      <c r="B2840" s="73"/>
      <c r="C2840" s="73"/>
      <c r="D2840" s="73"/>
      <c r="E2840" s="73"/>
      <c r="F2840" s="73"/>
      <c r="G2840" s="73"/>
      <c r="H2840" s="73"/>
      <c r="I2840" s="73"/>
      <c r="J2840" s="73"/>
    </row>
    <row r="2841" spans="2:10">
      <c r="B2841" s="73"/>
      <c r="C2841" s="73"/>
      <c r="D2841" s="73"/>
      <c r="E2841" s="73"/>
      <c r="F2841" s="73"/>
      <c r="G2841" s="73"/>
      <c r="H2841" s="73"/>
      <c r="I2841" s="73"/>
      <c r="J2841" s="73"/>
    </row>
    <row r="2842" spans="2:10">
      <c r="B2842" s="73"/>
      <c r="C2842" s="73"/>
      <c r="D2842" s="73"/>
      <c r="E2842" s="73"/>
      <c r="F2842" s="73"/>
      <c r="G2842" s="73"/>
      <c r="H2842" s="73"/>
      <c r="I2842" s="73"/>
      <c r="J2842" s="73"/>
    </row>
    <row r="2843" spans="2:10">
      <c r="B2843" s="73"/>
      <c r="C2843" s="73"/>
      <c r="D2843" s="73"/>
      <c r="E2843" s="73"/>
      <c r="F2843" s="73"/>
      <c r="G2843" s="73"/>
      <c r="H2843" s="73"/>
      <c r="I2843" s="73"/>
      <c r="J2843" s="73"/>
    </row>
    <row r="2844" spans="2:10">
      <c r="B2844" s="73"/>
      <c r="C2844" s="73"/>
      <c r="D2844" s="73"/>
      <c r="E2844" s="73"/>
      <c r="F2844" s="73"/>
      <c r="G2844" s="73"/>
      <c r="H2844" s="73"/>
      <c r="I2844" s="73"/>
      <c r="J2844" s="73"/>
    </row>
    <row r="2845" spans="2:10">
      <c r="B2845" s="73"/>
      <c r="C2845" s="73"/>
      <c r="D2845" s="73"/>
      <c r="E2845" s="73"/>
      <c r="F2845" s="73"/>
      <c r="G2845" s="73"/>
      <c r="H2845" s="73"/>
      <c r="I2845" s="73"/>
      <c r="J2845" s="73"/>
    </row>
    <row r="2846" spans="2:10">
      <c r="B2846" s="73"/>
      <c r="C2846" s="73"/>
      <c r="D2846" s="73"/>
      <c r="E2846" s="73"/>
      <c r="F2846" s="73"/>
      <c r="G2846" s="73"/>
      <c r="H2846" s="73"/>
      <c r="I2846" s="73"/>
      <c r="J2846" s="73"/>
    </row>
    <row r="2847" spans="2:10">
      <c r="B2847" s="73"/>
      <c r="C2847" s="73"/>
      <c r="D2847" s="73"/>
      <c r="E2847" s="73"/>
      <c r="F2847" s="73"/>
      <c r="G2847" s="73"/>
      <c r="H2847" s="73"/>
      <c r="I2847" s="73"/>
      <c r="J2847" s="73"/>
    </row>
    <row r="2848" spans="2:10">
      <c r="B2848" s="73"/>
      <c r="C2848" s="73"/>
      <c r="D2848" s="73"/>
      <c r="E2848" s="73"/>
      <c r="F2848" s="73"/>
      <c r="G2848" s="73"/>
      <c r="H2848" s="73"/>
      <c r="I2848" s="73"/>
      <c r="J2848" s="73"/>
    </row>
    <row r="2849" spans="2:10">
      <c r="B2849" s="73"/>
      <c r="C2849" s="73"/>
      <c r="D2849" s="73"/>
      <c r="E2849" s="73"/>
      <c r="F2849" s="73"/>
      <c r="G2849" s="73"/>
      <c r="H2849" s="73"/>
      <c r="I2849" s="73"/>
      <c r="J2849" s="73"/>
    </row>
    <row r="2850" spans="2:10">
      <c r="B2850" s="73"/>
      <c r="C2850" s="73"/>
      <c r="D2850" s="73"/>
      <c r="E2850" s="73"/>
      <c r="F2850" s="73"/>
      <c r="G2850" s="73"/>
      <c r="H2850" s="73"/>
      <c r="I2850" s="73"/>
      <c r="J2850" s="73"/>
    </row>
    <row r="2851" spans="2:10">
      <c r="B2851" s="73"/>
      <c r="C2851" s="73"/>
      <c r="D2851" s="73"/>
      <c r="E2851" s="73"/>
      <c r="F2851" s="73"/>
      <c r="G2851" s="73"/>
      <c r="H2851" s="73"/>
      <c r="I2851" s="73"/>
      <c r="J2851" s="73"/>
    </row>
    <row r="2852" spans="2:10">
      <c r="B2852" s="73"/>
      <c r="C2852" s="73"/>
      <c r="D2852" s="73"/>
      <c r="E2852" s="73"/>
      <c r="F2852" s="73"/>
      <c r="G2852" s="73"/>
      <c r="H2852" s="73"/>
      <c r="I2852" s="73"/>
      <c r="J2852" s="73"/>
    </row>
    <row r="2853" spans="2:10">
      <c r="B2853" s="73"/>
      <c r="C2853" s="73"/>
      <c r="D2853" s="73"/>
      <c r="E2853" s="73"/>
      <c r="F2853" s="73"/>
      <c r="G2853" s="73"/>
      <c r="H2853" s="73"/>
      <c r="I2853" s="73"/>
      <c r="J2853" s="73"/>
    </row>
    <row r="2854" spans="2:10">
      <c r="B2854" s="73"/>
      <c r="C2854" s="73"/>
      <c r="D2854" s="73"/>
      <c r="E2854" s="73"/>
      <c r="F2854" s="73"/>
      <c r="G2854" s="73"/>
      <c r="H2854" s="73"/>
      <c r="I2854" s="73"/>
      <c r="J2854" s="73"/>
    </row>
    <row r="2855" spans="2:10">
      <c r="B2855" s="73"/>
      <c r="C2855" s="73"/>
      <c r="D2855" s="73"/>
      <c r="E2855" s="73"/>
      <c r="F2855" s="73"/>
      <c r="G2855" s="73"/>
      <c r="H2855" s="73"/>
      <c r="I2855" s="73"/>
      <c r="J2855" s="73"/>
    </row>
    <row r="2856" spans="2:10">
      <c r="B2856" s="73"/>
      <c r="C2856" s="73"/>
      <c r="D2856" s="73"/>
      <c r="E2856" s="73"/>
      <c r="F2856" s="73"/>
      <c r="G2856" s="73"/>
      <c r="H2856" s="73"/>
      <c r="I2856" s="73"/>
      <c r="J2856" s="73"/>
    </row>
    <row r="2857" spans="2:10">
      <c r="B2857" s="73"/>
      <c r="C2857" s="73"/>
      <c r="D2857" s="73"/>
      <c r="E2857" s="73"/>
      <c r="F2857" s="73"/>
      <c r="G2857" s="73"/>
      <c r="H2857" s="73"/>
      <c r="I2857" s="73"/>
      <c r="J2857" s="73"/>
    </row>
    <row r="2858" spans="2:10">
      <c r="B2858" s="73"/>
      <c r="C2858" s="73"/>
      <c r="D2858" s="73"/>
      <c r="E2858" s="73"/>
      <c r="F2858" s="73"/>
      <c r="G2858" s="73"/>
      <c r="H2858" s="73"/>
      <c r="I2858" s="73"/>
      <c r="J2858" s="73"/>
    </row>
    <row r="2859" spans="2:10">
      <c r="B2859" s="73"/>
      <c r="C2859" s="73"/>
      <c r="D2859" s="73"/>
      <c r="E2859" s="73"/>
      <c r="F2859" s="73"/>
      <c r="G2859" s="73"/>
      <c r="H2859" s="73"/>
      <c r="I2859" s="73"/>
      <c r="J2859" s="73"/>
    </row>
    <row r="2860" spans="2:10">
      <c r="B2860" s="73"/>
      <c r="C2860" s="73"/>
      <c r="D2860" s="73"/>
      <c r="E2860" s="73"/>
      <c r="F2860" s="73"/>
      <c r="G2860" s="73"/>
      <c r="H2860" s="73"/>
      <c r="I2860" s="73"/>
      <c r="J2860" s="73"/>
    </row>
    <row r="2861" spans="2:10">
      <c r="B2861" s="73"/>
      <c r="C2861" s="73"/>
      <c r="D2861" s="73"/>
      <c r="E2861" s="73"/>
      <c r="F2861" s="73"/>
      <c r="G2861" s="73"/>
      <c r="H2861" s="73"/>
      <c r="I2861" s="73"/>
      <c r="J2861" s="73"/>
    </row>
    <row r="2862" spans="2:10">
      <c r="B2862" s="73"/>
      <c r="C2862" s="73"/>
      <c r="D2862" s="73"/>
      <c r="E2862" s="73"/>
      <c r="F2862" s="73"/>
      <c r="G2862" s="73"/>
      <c r="H2862" s="73"/>
      <c r="I2862" s="73"/>
      <c r="J2862" s="73"/>
    </row>
    <row r="2863" spans="2:10">
      <c r="B2863" s="73"/>
      <c r="C2863" s="73"/>
      <c r="D2863" s="73"/>
      <c r="E2863" s="73"/>
      <c r="F2863" s="73"/>
      <c r="G2863" s="73"/>
      <c r="H2863" s="73"/>
      <c r="I2863" s="73"/>
      <c r="J2863" s="73"/>
    </row>
    <row r="2864" spans="2:10">
      <c r="B2864" s="73"/>
      <c r="C2864" s="73"/>
      <c r="D2864" s="73"/>
      <c r="E2864" s="73"/>
      <c r="F2864" s="73"/>
      <c r="G2864" s="73"/>
      <c r="H2864" s="73"/>
      <c r="I2864" s="73"/>
      <c r="J2864" s="73"/>
    </row>
    <row r="2865" spans="2:10">
      <c r="B2865" s="73"/>
      <c r="C2865" s="73"/>
      <c r="D2865" s="73"/>
      <c r="E2865" s="73"/>
      <c r="F2865" s="73"/>
      <c r="G2865" s="73"/>
      <c r="H2865" s="73"/>
      <c r="I2865" s="73"/>
      <c r="J2865" s="73"/>
    </row>
    <row r="2866" spans="2:10">
      <c r="B2866" s="73"/>
      <c r="C2866" s="73"/>
      <c r="D2866" s="73"/>
      <c r="E2866" s="73"/>
      <c r="F2866" s="73"/>
      <c r="G2866" s="73"/>
      <c r="H2866" s="73"/>
      <c r="I2866" s="73"/>
      <c r="J2866" s="73"/>
    </row>
    <row r="2867" spans="2:10">
      <c r="B2867" s="73"/>
      <c r="C2867" s="73"/>
      <c r="D2867" s="73"/>
      <c r="E2867" s="73"/>
      <c r="F2867" s="73"/>
      <c r="G2867" s="73"/>
      <c r="H2867" s="73"/>
      <c r="I2867" s="73"/>
      <c r="J2867" s="73"/>
    </row>
    <row r="2868" spans="2:10">
      <c r="B2868" s="73"/>
      <c r="C2868" s="73"/>
      <c r="D2868" s="73"/>
      <c r="E2868" s="73"/>
      <c r="F2868" s="73"/>
      <c r="G2868" s="73"/>
      <c r="H2868" s="73"/>
      <c r="I2868" s="73"/>
      <c r="J2868" s="73"/>
    </row>
    <row r="2869" spans="2:10">
      <c r="B2869" s="73"/>
      <c r="C2869" s="73"/>
      <c r="D2869" s="73"/>
      <c r="E2869" s="73"/>
      <c r="F2869" s="73"/>
      <c r="G2869" s="73"/>
      <c r="H2869" s="73"/>
      <c r="I2869" s="73"/>
      <c r="J2869" s="73"/>
    </row>
    <row r="2870" spans="2:10">
      <c r="B2870" s="73"/>
      <c r="C2870" s="73"/>
      <c r="D2870" s="73"/>
      <c r="E2870" s="73"/>
      <c r="F2870" s="73"/>
      <c r="G2870" s="73"/>
      <c r="H2870" s="73"/>
      <c r="I2870" s="73"/>
      <c r="J2870" s="73"/>
    </row>
    <row r="2871" spans="2:10">
      <c r="B2871" s="73"/>
      <c r="C2871" s="73"/>
      <c r="D2871" s="73"/>
      <c r="E2871" s="73"/>
      <c r="F2871" s="73"/>
      <c r="G2871" s="73"/>
      <c r="H2871" s="73"/>
      <c r="I2871" s="73"/>
      <c r="J2871" s="73"/>
    </row>
    <row r="2872" spans="2:10">
      <c r="B2872" s="73"/>
      <c r="C2872" s="73"/>
      <c r="D2872" s="73"/>
      <c r="E2872" s="73"/>
      <c r="F2872" s="73"/>
      <c r="G2872" s="73"/>
      <c r="H2872" s="73"/>
      <c r="I2872" s="73"/>
      <c r="J2872" s="73"/>
    </row>
    <row r="2873" spans="2:10">
      <c r="B2873" s="73"/>
      <c r="C2873" s="73"/>
      <c r="D2873" s="73"/>
      <c r="E2873" s="73"/>
      <c r="F2873" s="73"/>
      <c r="G2873" s="73"/>
      <c r="H2873" s="73"/>
      <c r="I2873" s="73"/>
      <c r="J2873" s="73"/>
    </row>
    <row r="2874" spans="2:10">
      <c r="B2874" s="73"/>
      <c r="C2874" s="73"/>
      <c r="D2874" s="73"/>
      <c r="E2874" s="73"/>
      <c r="F2874" s="73"/>
      <c r="G2874" s="73"/>
      <c r="H2874" s="73"/>
      <c r="I2874" s="73"/>
      <c r="J2874" s="73"/>
    </row>
    <row r="2875" spans="2:10">
      <c r="B2875" s="73"/>
      <c r="C2875" s="73"/>
      <c r="D2875" s="73"/>
      <c r="E2875" s="73"/>
      <c r="F2875" s="73"/>
      <c r="G2875" s="73"/>
      <c r="H2875" s="73"/>
      <c r="I2875" s="73"/>
      <c r="J2875" s="73"/>
    </row>
    <row r="2876" spans="2:10">
      <c r="B2876" s="73"/>
      <c r="C2876" s="73"/>
      <c r="D2876" s="73"/>
      <c r="E2876" s="73"/>
      <c r="F2876" s="73"/>
      <c r="G2876" s="73"/>
      <c r="H2876" s="73"/>
      <c r="I2876" s="73"/>
      <c r="J2876" s="73"/>
    </row>
    <row r="2877" spans="2:10">
      <c r="B2877" s="73"/>
      <c r="C2877" s="73"/>
      <c r="D2877" s="73"/>
      <c r="E2877" s="73"/>
      <c r="F2877" s="73"/>
      <c r="G2877" s="73"/>
      <c r="H2877" s="73"/>
      <c r="I2877" s="73"/>
      <c r="J2877" s="73"/>
    </row>
    <row r="2878" spans="2:10">
      <c r="B2878" s="73"/>
      <c r="C2878" s="73"/>
      <c r="D2878" s="73"/>
      <c r="E2878" s="73"/>
      <c r="F2878" s="73"/>
      <c r="G2878" s="73"/>
      <c r="H2878" s="73"/>
      <c r="I2878" s="73"/>
      <c r="J2878" s="73"/>
    </row>
    <row r="2879" spans="2:10">
      <c r="B2879" s="73"/>
      <c r="C2879" s="73"/>
      <c r="D2879" s="73"/>
      <c r="E2879" s="73"/>
      <c r="F2879" s="73"/>
      <c r="G2879" s="73"/>
      <c r="H2879" s="73"/>
      <c r="I2879" s="73"/>
      <c r="J2879" s="73"/>
    </row>
    <row r="2880" spans="2:10">
      <c r="B2880" s="73"/>
      <c r="C2880" s="73"/>
      <c r="D2880" s="73"/>
      <c r="E2880" s="73"/>
      <c r="F2880" s="73"/>
      <c r="G2880" s="73"/>
      <c r="H2880" s="73"/>
      <c r="I2880" s="73"/>
      <c r="J2880" s="73"/>
    </row>
    <row r="2881" spans="2:10">
      <c r="B2881" s="73"/>
      <c r="C2881" s="73"/>
      <c r="D2881" s="73"/>
      <c r="E2881" s="73"/>
      <c r="F2881" s="73"/>
      <c r="G2881" s="73"/>
      <c r="H2881" s="73"/>
      <c r="I2881" s="73"/>
      <c r="J2881" s="73"/>
    </row>
    <row r="2882" spans="2:10">
      <c r="B2882" s="73"/>
      <c r="C2882" s="73"/>
      <c r="D2882" s="73"/>
      <c r="E2882" s="73"/>
      <c r="F2882" s="73"/>
      <c r="G2882" s="73"/>
      <c r="H2882" s="73"/>
      <c r="I2882" s="73"/>
      <c r="J2882" s="73"/>
    </row>
    <row r="2883" spans="2:10">
      <c r="B2883" s="73"/>
      <c r="C2883" s="73"/>
      <c r="D2883" s="73"/>
      <c r="E2883" s="73"/>
      <c r="F2883" s="73"/>
      <c r="G2883" s="73"/>
      <c r="H2883" s="73"/>
      <c r="I2883" s="73"/>
      <c r="J2883" s="73"/>
    </row>
    <row r="2884" spans="2:10">
      <c r="B2884" s="73"/>
      <c r="C2884" s="73"/>
      <c r="D2884" s="73"/>
      <c r="E2884" s="73"/>
      <c r="F2884" s="73"/>
      <c r="G2884" s="73"/>
      <c r="H2884" s="73"/>
      <c r="I2884" s="73"/>
      <c r="J2884" s="73"/>
    </row>
    <row r="2885" spans="2:10">
      <c r="B2885" s="73"/>
      <c r="C2885" s="73"/>
      <c r="D2885" s="73"/>
      <c r="E2885" s="73"/>
      <c r="F2885" s="73"/>
      <c r="G2885" s="73"/>
      <c r="H2885" s="73"/>
      <c r="I2885" s="73"/>
      <c r="J2885" s="73"/>
    </row>
    <row r="2886" spans="2:10">
      <c r="B2886" s="73"/>
      <c r="C2886" s="73"/>
      <c r="D2886" s="73"/>
      <c r="E2886" s="73"/>
      <c r="F2886" s="73"/>
      <c r="G2886" s="73"/>
      <c r="H2886" s="73"/>
      <c r="I2886" s="73"/>
      <c r="J2886" s="73"/>
    </row>
    <row r="2887" spans="2:10">
      <c r="B2887" s="73"/>
      <c r="C2887" s="73"/>
      <c r="D2887" s="73"/>
      <c r="E2887" s="73"/>
      <c r="F2887" s="73"/>
      <c r="G2887" s="73"/>
      <c r="H2887" s="73"/>
      <c r="I2887" s="73"/>
      <c r="J2887" s="73"/>
    </row>
    <row r="2888" spans="2:10">
      <c r="B2888" s="73"/>
      <c r="C2888" s="73"/>
      <c r="D2888" s="73"/>
      <c r="E2888" s="73"/>
      <c r="F2888" s="73"/>
      <c r="G2888" s="73"/>
      <c r="H2888" s="73"/>
      <c r="I2888" s="73"/>
      <c r="J2888" s="73"/>
    </row>
    <row r="2889" spans="2:10">
      <c r="B2889" s="73"/>
      <c r="C2889" s="73"/>
      <c r="D2889" s="73"/>
      <c r="E2889" s="73"/>
      <c r="F2889" s="73"/>
      <c r="G2889" s="73"/>
      <c r="H2889" s="73"/>
      <c r="I2889" s="73"/>
      <c r="J2889" s="73"/>
    </row>
    <row r="2890" spans="2:10">
      <c r="B2890" s="73"/>
      <c r="C2890" s="73"/>
      <c r="D2890" s="73"/>
      <c r="E2890" s="73"/>
      <c r="F2890" s="73"/>
      <c r="G2890" s="73"/>
      <c r="H2890" s="73"/>
      <c r="I2890" s="73"/>
      <c r="J2890" s="73"/>
    </row>
    <row r="2891" spans="2:10">
      <c r="B2891" s="73"/>
      <c r="C2891" s="73"/>
      <c r="D2891" s="73"/>
      <c r="E2891" s="73"/>
      <c r="F2891" s="73"/>
      <c r="G2891" s="73"/>
      <c r="H2891" s="73"/>
      <c r="I2891" s="73"/>
      <c r="J2891" s="73"/>
    </row>
    <row r="2892" spans="2:10">
      <c r="B2892" s="73"/>
      <c r="C2892" s="73"/>
      <c r="D2892" s="73"/>
      <c r="E2892" s="73"/>
      <c r="F2892" s="73"/>
      <c r="G2892" s="73"/>
      <c r="H2892" s="73"/>
      <c r="I2892" s="73"/>
      <c r="J2892" s="73"/>
    </row>
    <row r="2893" spans="2:10">
      <c r="B2893" s="73"/>
      <c r="C2893" s="73"/>
      <c r="D2893" s="73"/>
      <c r="E2893" s="73"/>
      <c r="F2893" s="73"/>
      <c r="G2893" s="73"/>
      <c r="H2893" s="73"/>
      <c r="I2893" s="73"/>
      <c r="J2893" s="73"/>
    </row>
    <row r="2894" spans="2:10">
      <c r="B2894" s="73"/>
      <c r="C2894" s="73"/>
      <c r="D2894" s="73"/>
      <c r="E2894" s="73"/>
      <c r="F2894" s="73"/>
      <c r="G2894" s="73"/>
      <c r="H2894" s="73"/>
      <c r="I2894" s="73"/>
      <c r="J2894" s="73"/>
    </row>
    <row r="2895" spans="2:10">
      <c r="B2895" s="73"/>
      <c r="C2895" s="73"/>
      <c r="D2895" s="73"/>
      <c r="E2895" s="73"/>
      <c r="F2895" s="73"/>
      <c r="G2895" s="73"/>
      <c r="H2895" s="73"/>
      <c r="I2895" s="73"/>
      <c r="J2895" s="73"/>
    </row>
    <row r="2896" spans="2:10">
      <c r="B2896" s="73"/>
      <c r="C2896" s="73"/>
      <c r="D2896" s="73"/>
      <c r="E2896" s="73"/>
      <c r="F2896" s="73"/>
      <c r="G2896" s="73"/>
      <c r="H2896" s="73"/>
      <c r="I2896" s="73"/>
      <c r="J2896" s="73"/>
    </row>
    <row r="2897" spans="2:10">
      <c r="B2897" s="73"/>
      <c r="C2897" s="73"/>
      <c r="D2897" s="73"/>
      <c r="E2897" s="73"/>
      <c r="F2897" s="73"/>
      <c r="G2897" s="73"/>
      <c r="H2897" s="73"/>
      <c r="I2897" s="73"/>
      <c r="J2897" s="73"/>
    </row>
    <row r="2898" spans="2:10">
      <c r="B2898" s="73"/>
      <c r="C2898" s="73"/>
      <c r="D2898" s="73"/>
      <c r="E2898" s="73"/>
      <c r="F2898" s="73"/>
      <c r="G2898" s="73"/>
      <c r="H2898" s="73"/>
      <c r="I2898" s="73"/>
      <c r="J2898" s="73"/>
    </row>
    <row r="2899" spans="2:10">
      <c r="B2899" s="73"/>
      <c r="C2899" s="73"/>
      <c r="D2899" s="73"/>
      <c r="E2899" s="73"/>
      <c r="F2899" s="73"/>
      <c r="G2899" s="73"/>
      <c r="H2899" s="73"/>
      <c r="I2899" s="73"/>
      <c r="J2899" s="73"/>
    </row>
    <row r="2900" spans="2:10">
      <c r="B2900" s="73"/>
      <c r="C2900" s="73"/>
      <c r="D2900" s="73"/>
      <c r="E2900" s="73"/>
      <c r="F2900" s="73"/>
      <c r="G2900" s="73"/>
      <c r="H2900" s="73"/>
      <c r="I2900" s="73"/>
      <c r="J2900" s="73"/>
    </row>
    <row r="2901" spans="2:10">
      <c r="B2901" s="73"/>
      <c r="C2901" s="73"/>
      <c r="D2901" s="73"/>
      <c r="E2901" s="73"/>
      <c r="F2901" s="73"/>
      <c r="G2901" s="73"/>
      <c r="H2901" s="73"/>
      <c r="I2901" s="73"/>
      <c r="J2901" s="73"/>
    </row>
    <row r="2902" spans="2:10">
      <c r="B2902" s="73"/>
      <c r="C2902" s="73"/>
      <c r="D2902" s="73"/>
      <c r="E2902" s="73"/>
      <c r="F2902" s="73"/>
      <c r="G2902" s="73"/>
      <c r="H2902" s="73"/>
      <c r="I2902" s="73"/>
      <c r="J2902" s="73"/>
    </row>
    <row r="2903" spans="2:10">
      <c r="B2903" s="73"/>
      <c r="C2903" s="73"/>
      <c r="D2903" s="73"/>
      <c r="E2903" s="73"/>
      <c r="F2903" s="73"/>
      <c r="G2903" s="73"/>
      <c r="H2903" s="73"/>
      <c r="I2903" s="73"/>
      <c r="J2903" s="73"/>
    </row>
    <row r="2904" spans="2:10">
      <c r="B2904" s="73"/>
      <c r="C2904" s="73"/>
      <c r="D2904" s="73"/>
      <c r="E2904" s="73"/>
      <c r="F2904" s="73"/>
      <c r="G2904" s="73"/>
      <c r="H2904" s="73"/>
      <c r="I2904" s="73"/>
      <c r="J2904" s="73"/>
    </row>
    <row r="2905" spans="2:10">
      <c r="B2905" s="73"/>
      <c r="C2905" s="73"/>
      <c r="D2905" s="73"/>
      <c r="E2905" s="73"/>
      <c r="F2905" s="73"/>
      <c r="G2905" s="73"/>
      <c r="H2905" s="73"/>
      <c r="I2905" s="73"/>
      <c r="J2905" s="73"/>
    </row>
    <row r="2906" spans="2:10">
      <c r="B2906" s="73"/>
      <c r="C2906" s="73"/>
      <c r="D2906" s="73"/>
      <c r="E2906" s="73"/>
      <c r="F2906" s="73"/>
      <c r="G2906" s="73"/>
      <c r="H2906" s="73"/>
      <c r="I2906" s="73"/>
      <c r="J2906" s="73"/>
    </row>
    <row r="2907" spans="2:10">
      <c r="B2907" s="73"/>
      <c r="C2907" s="73"/>
      <c r="D2907" s="73"/>
      <c r="E2907" s="73"/>
      <c r="F2907" s="73"/>
      <c r="G2907" s="73"/>
      <c r="H2907" s="73"/>
      <c r="I2907" s="73"/>
      <c r="J2907" s="73"/>
    </row>
    <row r="2908" spans="2:10">
      <c r="B2908" s="73"/>
      <c r="C2908" s="73"/>
      <c r="D2908" s="73"/>
      <c r="E2908" s="73"/>
      <c r="F2908" s="73"/>
      <c r="G2908" s="73"/>
      <c r="H2908" s="73"/>
      <c r="I2908" s="73"/>
      <c r="J2908" s="73"/>
    </row>
    <row r="2909" spans="2:10">
      <c r="B2909" s="73"/>
      <c r="C2909" s="73"/>
      <c r="D2909" s="73"/>
      <c r="E2909" s="73"/>
      <c r="F2909" s="73"/>
      <c r="G2909" s="73"/>
      <c r="H2909" s="73"/>
      <c r="I2909" s="73"/>
      <c r="J2909" s="73"/>
    </row>
    <row r="2910" spans="2:10">
      <c r="B2910" s="73"/>
      <c r="C2910" s="73"/>
      <c r="D2910" s="73"/>
      <c r="E2910" s="73"/>
      <c r="F2910" s="73"/>
      <c r="G2910" s="73"/>
      <c r="H2910" s="73"/>
      <c r="I2910" s="73"/>
      <c r="J2910" s="73"/>
    </row>
    <row r="2911" spans="2:10">
      <c r="B2911" s="73"/>
      <c r="C2911" s="73"/>
      <c r="D2911" s="73"/>
      <c r="E2911" s="73"/>
      <c r="F2911" s="73"/>
      <c r="G2911" s="73"/>
      <c r="H2911" s="73"/>
      <c r="I2911" s="73"/>
      <c r="J2911" s="73"/>
    </row>
    <row r="2912" spans="2:10">
      <c r="B2912" s="73"/>
      <c r="C2912" s="73"/>
      <c r="D2912" s="73"/>
      <c r="E2912" s="73"/>
      <c r="F2912" s="73"/>
      <c r="G2912" s="73"/>
      <c r="H2912" s="73"/>
      <c r="I2912" s="73"/>
      <c r="J2912" s="73"/>
    </row>
    <row r="2913" spans="2:10">
      <c r="B2913" s="73"/>
      <c r="C2913" s="73"/>
      <c r="D2913" s="73"/>
      <c r="E2913" s="73"/>
      <c r="F2913" s="73"/>
      <c r="G2913" s="73"/>
      <c r="H2913" s="73"/>
      <c r="I2913" s="73"/>
      <c r="J2913" s="73"/>
    </row>
    <row r="2914" spans="2:10">
      <c r="B2914" s="73"/>
      <c r="C2914" s="73"/>
      <c r="D2914" s="73"/>
      <c r="E2914" s="73"/>
      <c r="F2914" s="73"/>
      <c r="G2914" s="73"/>
      <c r="H2914" s="73"/>
      <c r="I2914" s="73"/>
      <c r="J2914" s="73"/>
    </row>
    <row r="2915" spans="2:10">
      <c r="B2915" s="73"/>
      <c r="C2915" s="73"/>
      <c r="D2915" s="73"/>
      <c r="E2915" s="73"/>
      <c r="F2915" s="73"/>
      <c r="G2915" s="73"/>
      <c r="H2915" s="73"/>
      <c r="I2915" s="73"/>
      <c r="J2915" s="73"/>
    </row>
    <row r="2916" spans="2:10">
      <c r="B2916" s="73"/>
      <c r="C2916" s="73"/>
      <c r="D2916" s="73"/>
      <c r="E2916" s="73"/>
      <c r="F2916" s="73"/>
      <c r="G2916" s="73"/>
      <c r="H2916" s="73"/>
      <c r="I2916" s="73"/>
      <c r="J2916" s="73"/>
    </row>
    <row r="2917" spans="2:10">
      <c r="B2917" s="73"/>
      <c r="C2917" s="73"/>
      <c r="D2917" s="73"/>
      <c r="E2917" s="73"/>
      <c r="F2917" s="73"/>
      <c r="G2917" s="73"/>
      <c r="H2917" s="73"/>
      <c r="I2917" s="73"/>
      <c r="J2917" s="73"/>
    </row>
    <row r="2918" spans="2:10">
      <c r="B2918" s="73"/>
      <c r="C2918" s="73"/>
      <c r="D2918" s="73"/>
      <c r="E2918" s="73"/>
      <c r="F2918" s="73"/>
      <c r="G2918" s="73"/>
      <c r="H2918" s="73"/>
      <c r="I2918" s="73"/>
      <c r="J2918" s="73"/>
    </row>
    <row r="2919" spans="2:10">
      <c r="B2919" s="73"/>
      <c r="C2919" s="73"/>
      <c r="D2919" s="73"/>
      <c r="E2919" s="73"/>
      <c r="F2919" s="73"/>
      <c r="G2919" s="73"/>
      <c r="H2919" s="73"/>
      <c r="I2919" s="73"/>
      <c r="J2919" s="73"/>
    </row>
    <row r="2920" spans="2:10">
      <c r="B2920" s="73"/>
      <c r="C2920" s="73"/>
      <c r="D2920" s="73"/>
      <c r="E2920" s="73"/>
      <c r="F2920" s="73"/>
      <c r="G2920" s="73"/>
      <c r="H2920" s="73"/>
      <c r="I2920" s="73"/>
      <c r="J2920" s="73"/>
    </row>
    <row r="2921" spans="2:10">
      <c r="B2921" s="73"/>
      <c r="C2921" s="73"/>
      <c r="D2921" s="73"/>
      <c r="E2921" s="73"/>
      <c r="F2921" s="73"/>
      <c r="G2921" s="73"/>
      <c r="H2921" s="73"/>
      <c r="I2921" s="73"/>
      <c r="J2921" s="73"/>
    </row>
    <row r="2922" spans="2:10">
      <c r="B2922" s="73"/>
      <c r="C2922" s="73"/>
      <c r="D2922" s="73"/>
      <c r="E2922" s="73"/>
      <c r="F2922" s="73"/>
      <c r="G2922" s="73"/>
      <c r="H2922" s="73"/>
      <c r="I2922" s="73"/>
      <c r="J2922" s="73"/>
    </row>
    <row r="2923" spans="2:10">
      <c r="B2923" s="73"/>
      <c r="C2923" s="73"/>
      <c r="D2923" s="73"/>
      <c r="E2923" s="73"/>
      <c r="F2923" s="73"/>
      <c r="G2923" s="73"/>
      <c r="H2923" s="73"/>
      <c r="I2923" s="73"/>
      <c r="J2923" s="73"/>
    </row>
    <row r="2924" spans="2:10">
      <c r="B2924" s="73"/>
      <c r="C2924" s="73"/>
      <c r="D2924" s="73"/>
      <c r="E2924" s="73"/>
      <c r="F2924" s="73"/>
      <c r="G2924" s="73"/>
      <c r="H2924" s="73"/>
      <c r="I2924" s="73"/>
      <c r="J2924" s="73"/>
    </row>
    <row r="2925" spans="2:10">
      <c r="B2925" s="73"/>
      <c r="C2925" s="73"/>
      <c r="D2925" s="73"/>
      <c r="E2925" s="73"/>
      <c r="F2925" s="73"/>
      <c r="G2925" s="73"/>
      <c r="H2925" s="73"/>
      <c r="I2925" s="73"/>
      <c r="J2925" s="73"/>
    </row>
    <row r="2926" spans="2:10">
      <c r="B2926" s="73"/>
      <c r="C2926" s="73"/>
      <c r="D2926" s="73"/>
      <c r="E2926" s="73"/>
      <c r="F2926" s="73"/>
      <c r="G2926" s="73"/>
      <c r="H2926" s="73"/>
      <c r="I2926" s="73"/>
      <c r="J2926" s="73"/>
    </row>
    <row r="2927" spans="2:10">
      <c r="B2927" s="73"/>
      <c r="C2927" s="73"/>
      <c r="D2927" s="73"/>
      <c r="E2927" s="73"/>
      <c r="F2927" s="73"/>
      <c r="G2927" s="73"/>
      <c r="H2927" s="73"/>
      <c r="I2927" s="73"/>
      <c r="J2927" s="73"/>
    </row>
    <row r="2928" spans="2:10">
      <c r="B2928" s="73"/>
      <c r="C2928" s="73"/>
      <c r="D2928" s="73"/>
      <c r="E2928" s="73"/>
      <c r="F2928" s="73"/>
      <c r="G2928" s="73"/>
      <c r="H2928" s="73"/>
      <c r="I2928" s="73"/>
      <c r="J2928" s="73"/>
    </row>
    <row r="2929" spans="2:10">
      <c r="B2929" s="73"/>
      <c r="C2929" s="73"/>
      <c r="D2929" s="73"/>
      <c r="E2929" s="73"/>
      <c r="F2929" s="73"/>
      <c r="G2929" s="73"/>
      <c r="H2929" s="73"/>
      <c r="I2929" s="73"/>
      <c r="J2929" s="73"/>
    </row>
    <row r="2930" spans="2:10">
      <c r="B2930" s="73"/>
      <c r="C2930" s="73"/>
      <c r="D2930" s="73"/>
      <c r="E2930" s="73"/>
      <c r="F2930" s="73"/>
      <c r="G2930" s="73"/>
      <c r="H2930" s="73"/>
      <c r="I2930" s="73"/>
      <c r="J2930" s="73"/>
    </row>
    <row r="2931" spans="2:10">
      <c r="B2931" s="73"/>
      <c r="C2931" s="73"/>
      <c r="D2931" s="73"/>
      <c r="E2931" s="73"/>
      <c r="F2931" s="73"/>
      <c r="G2931" s="73"/>
      <c r="H2931" s="73"/>
      <c r="I2931" s="73"/>
      <c r="J2931" s="73"/>
    </row>
    <row r="2932" spans="2:10">
      <c r="B2932" s="73"/>
      <c r="C2932" s="73"/>
      <c r="D2932" s="73"/>
      <c r="E2932" s="73"/>
      <c r="F2932" s="73"/>
      <c r="G2932" s="73"/>
      <c r="H2932" s="73"/>
      <c r="I2932" s="73"/>
      <c r="J2932" s="73"/>
    </row>
    <row r="2933" spans="2:10">
      <c r="B2933" s="73"/>
      <c r="C2933" s="73"/>
      <c r="D2933" s="73"/>
      <c r="E2933" s="73"/>
      <c r="F2933" s="73"/>
      <c r="G2933" s="73"/>
      <c r="H2933" s="73"/>
      <c r="I2933" s="73"/>
      <c r="J2933" s="73"/>
    </row>
    <row r="2934" spans="2:10">
      <c r="B2934" s="73"/>
      <c r="C2934" s="73"/>
      <c r="D2934" s="73"/>
      <c r="E2934" s="73"/>
      <c r="F2934" s="73"/>
      <c r="G2934" s="73"/>
      <c r="H2934" s="73"/>
      <c r="I2934" s="73"/>
      <c r="J2934" s="73"/>
    </row>
    <row r="2935" spans="2:10">
      <c r="B2935" s="73"/>
      <c r="C2935" s="73"/>
      <c r="D2935" s="73"/>
      <c r="E2935" s="73"/>
      <c r="F2935" s="73"/>
      <c r="G2935" s="73"/>
      <c r="H2935" s="73"/>
      <c r="I2935" s="73"/>
      <c r="J2935" s="73"/>
    </row>
    <row r="2936" spans="2:10">
      <c r="B2936" s="73"/>
      <c r="C2936" s="73"/>
      <c r="D2936" s="73"/>
      <c r="E2936" s="73"/>
      <c r="F2936" s="73"/>
      <c r="G2936" s="73"/>
      <c r="H2936" s="73"/>
      <c r="I2936" s="73"/>
      <c r="J2936" s="73"/>
    </row>
    <row r="2937" spans="2:10">
      <c r="B2937" s="73"/>
      <c r="C2937" s="73"/>
      <c r="D2937" s="73"/>
      <c r="E2937" s="73"/>
      <c r="F2937" s="73"/>
      <c r="G2937" s="73"/>
      <c r="H2937" s="73"/>
      <c r="I2937" s="73"/>
      <c r="J2937" s="73"/>
    </row>
    <row r="2938" spans="2:10">
      <c r="B2938" s="73"/>
      <c r="C2938" s="73"/>
      <c r="D2938" s="73"/>
      <c r="E2938" s="73"/>
      <c r="F2938" s="73"/>
      <c r="G2938" s="73"/>
      <c r="H2938" s="73"/>
      <c r="I2938" s="73"/>
      <c r="J2938" s="73"/>
    </row>
    <row r="2939" spans="2:10">
      <c r="B2939" s="73"/>
      <c r="C2939" s="73"/>
      <c r="D2939" s="73"/>
      <c r="E2939" s="73"/>
      <c r="F2939" s="73"/>
      <c r="G2939" s="73"/>
      <c r="H2939" s="73"/>
      <c r="I2939" s="73"/>
      <c r="J2939" s="73"/>
    </row>
    <row r="2940" spans="2:10">
      <c r="B2940" s="73"/>
      <c r="C2940" s="73"/>
      <c r="D2940" s="73"/>
      <c r="E2940" s="73"/>
      <c r="F2940" s="73"/>
      <c r="G2940" s="73"/>
      <c r="H2940" s="73"/>
      <c r="I2940" s="73"/>
      <c r="J2940" s="73"/>
    </row>
    <row r="2941" spans="2:10">
      <c r="B2941" s="73"/>
      <c r="C2941" s="73"/>
      <c r="D2941" s="73"/>
      <c r="E2941" s="73"/>
      <c r="F2941" s="73"/>
      <c r="G2941" s="73"/>
      <c r="H2941" s="73"/>
      <c r="I2941" s="73"/>
      <c r="J2941" s="73"/>
    </row>
    <row r="2942" spans="2:10">
      <c r="B2942" s="73"/>
      <c r="C2942" s="73"/>
      <c r="D2942" s="73"/>
      <c r="E2942" s="73"/>
      <c r="F2942" s="73"/>
      <c r="G2942" s="73"/>
      <c r="H2942" s="73"/>
      <c r="I2942" s="73"/>
      <c r="J2942" s="73"/>
    </row>
    <row r="2943" spans="2:10">
      <c r="B2943" s="73"/>
      <c r="C2943" s="73"/>
      <c r="D2943" s="73"/>
      <c r="E2943" s="73"/>
      <c r="F2943" s="73"/>
      <c r="G2943" s="73"/>
      <c r="H2943" s="73"/>
      <c r="I2943" s="73"/>
      <c r="J2943" s="73"/>
    </row>
    <row r="2944" spans="2:10">
      <c r="B2944" s="73"/>
      <c r="C2944" s="73"/>
      <c r="D2944" s="73"/>
      <c r="E2944" s="73"/>
      <c r="F2944" s="73"/>
      <c r="G2944" s="73"/>
      <c r="H2944" s="73"/>
      <c r="I2944" s="73"/>
      <c r="J2944" s="73"/>
    </row>
    <row r="2945" spans="2:10">
      <c r="B2945" s="73"/>
      <c r="C2945" s="73"/>
      <c r="D2945" s="73"/>
      <c r="E2945" s="73"/>
      <c r="F2945" s="73"/>
      <c r="G2945" s="73"/>
      <c r="H2945" s="73"/>
      <c r="I2945" s="73"/>
      <c r="J2945" s="73"/>
    </row>
    <row r="2946" spans="2:10">
      <c r="B2946" s="73"/>
      <c r="C2946" s="73"/>
      <c r="D2946" s="73"/>
      <c r="E2946" s="73"/>
      <c r="F2946" s="73"/>
      <c r="G2946" s="73"/>
      <c r="H2946" s="73"/>
      <c r="I2946" s="73"/>
      <c r="J2946" s="73"/>
    </row>
    <row r="2947" spans="2:10">
      <c r="B2947" s="73"/>
      <c r="C2947" s="73"/>
      <c r="D2947" s="73"/>
      <c r="E2947" s="73"/>
      <c r="F2947" s="73"/>
      <c r="G2947" s="73"/>
      <c r="H2947" s="73"/>
      <c r="I2947" s="73"/>
      <c r="J2947" s="73"/>
    </row>
    <row r="2948" spans="2:10">
      <c r="B2948" s="73"/>
      <c r="C2948" s="73"/>
      <c r="D2948" s="73"/>
      <c r="E2948" s="73"/>
      <c r="F2948" s="73"/>
      <c r="G2948" s="73"/>
      <c r="H2948" s="73"/>
      <c r="I2948" s="73"/>
      <c r="J2948" s="73"/>
    </row>
    <row r="2949" spans="2:10">
      <c r="B2949" s="73"/>
      <c r="C2949" s="73"/>
      <c r="D2949" s="73"/>
      <c r="E2949" s="73"/>
      <c r="F2949" s="73"/>
      <c r="G2949" s="73"/>
      <c r="H2949" s="73"/>
      <c r="I2949" s="73"/>
      <c r="J2949" s="73"/>
    </row>
    <row r="2950" spans="2:10">
      <c r="B2950" s="73"/>
      <c r="C2950" s="73"/>
      <c r="D2950" s="73"/>
      <c r="E2950" s="73"/>
      <c r="F2950" s="73"/>
      <c r="G2950" s="73"/>
      <c r="H2950" s="73"/>
      <c r="I2950" s="73"/>
      <c r="J2950" s="73"/>
    </row>
    <row r="2951" spans="2:10">
      <c r="B2951" s="73"/>
      <c r="C2951" s="73"/>
      <c r="D2951" s="73"/>
      <c r="E2951" s="73"/>
      <c r="F2951" s="73"/>
      <c r="G2951" s="73"/>
      <c r="H2951" s="73"/>
      <c r="I2951" s="73"/>
      <c r="J2951" s="73"/>
    </row>
    <row r="2952" spans="2:10">
      <c r="B2952" s="73"/>
      <c r="C2952" s="73"/>
      <c r="D2952" s="73"/>
      <c r="E2952" s="73"/>
      <c r="F2952" s="73"/>
      <c r="G2952" s="73"/>
      <c r="H2952" s="73"/>
      <c r="I2952" s="73"/>
      <c r="J2952" s="73"/>
    </row>
    <row r="2953" spans="2:10">
      <c r="B2953" s="73"/>
      <c r="C2953" s="73"/>
      <c r="D2953" s="73"/>
      <c r="E2953" s="73"/>
      <c r="F2953" s="73"/>
      <c r="G2953" s="73"/>
      <c r="H2953" s="73"/>
      <c r="I2953" s="73"/>
      <c r="J2953" s="73"/>
    </row>
    <row r="2954" spans="2:10">
      <c r="B2954" s="73"/>
      <c r="C2954" s="73"/>
      <c r="D2954" s="73"/>
      <c r="E2954" s="73"/>
      <c r="F2954" s="73"/>
      <c r="G2954" s="73"/>
      <c r="H2954" s="73"/>
      <c r="I2954" s="73"/>
      <c r="J2954" s="73"/>
    </row>
    <row r="2955" spans="2:10">
      <c r="B2955" s="73"/>
      <c r="C2955" s="73"/>
      <c r="D2955" s="73"/>
      <c r="E2955" s="73"/>
      <c r="F2955" s="73"/>
      <c r="G2955" s="73"/>
      <c r="H2955" s="73"/>
      <c r="I2955" s="73"/>
      <c r="J2955" s="73"/>
    </row>
    <row r="2956" spans="2:10">
      <c r="B2956" s="73"/>
      <c r="C2956" s="73"/>
      <c r="D2956" s="73"/>
      <c r="E2956" s="73"/>
      <c r="F2956" s="73"/>
      <c r="G2956" s="73"/>
      <c r="H2956" s="73"/>
      <c r="I2956" s="73"/>
      <c r="J2956" s="73"/>
    </row>
    <row r="2957" spans="2:10">
      <c r="B2957" s="73"/>
      <c r="C2957" s="73"/>
      <c r="D2957" s="73"/>
      <c r="E2957" s="73"/>
      <c r="F2957" s="73"/>
      <c r="G2957" s="73"/>
      <c r="H2957" s="73"/>
      <c r="I2957" s="73"/>
      <c r="J2957" s="73"/>
    </row>
    <row r="2958" spans="2:10">
      <c r="B2958" s="73"/>
      <c r="C2958" s="73"/>
      <c r="D2958" s="73"/>
      <c r="E2958" s="73"/>
      <c r="F2958" s="73"/>
      <c r="G2958" s="73"/>
      <c r="H2958" s="73"/>
      <c r="I2958" s="73"/>
      <c r="J2958" s="73"/>
    </row>
    <row r="2959" spans="2:10">
      <c r="B2959" s="73"/>
      <c r="C2959" s="73"/>
      <c r="D2959" s="73"/>
      <c r="E2959" s="73"/>
      <c r="F2959" s="73"/>
      <c r="G2959" s="73"/>
      <c r="H2959" s="73"/>
      <c r="I2959" s="73"/>
      <c r="J2959" s="73"/>
    </row>
    <row r="2960" spans="2:10">
      <c r="B2960" s="73"/>
      <c r="C2960" s="73"/>
      <c r="D2960" s="73"/>
      <c r="E2960" s="73"/>
      <c r="F2960" s="73"/>
      <c r="G2960" s="73"/>
      <c r="H2960" s="73"/>
      <c r="I2960" s="73"/>
      <c r="J2960" s="73"/>
    </row>
    <row r="2961" spans="2:10">
      <c r="B2961" s="73"/>
      <c r="C2961" s="73"/>
      <c r="D2961" s="73"/>
      <c r="E2961" s="73"/>
      <c r="F2961" s="73"/>
      <c r="G2961" s="73"/>
      <c r="H2961" s="73"/>
      <c r="I2961" s="73"/>
      <c r="J2961" s="73"/>
    </row>
    <row r="2962" spans="2:10">
      <c r="B2962" s="73"/>
      <c r="C2962" s="73"/>
      <c r="D2962" s="73"/>
      <c r="E2962" s="73"/>
      <c r="F2962" s="73"/>
      <c r="G2962" s="73"/>
      <c r="H2962" s="73"/>
      <c r="I2962" s="73"/>
      <c r="J2962" s="73"/>
    </row>
    <row r="2963" spans="2:10">
      <c r="B2963" s="73"/>
      <c r="C2963" s="73"/>
      <c r="D2963" s="73"/>
      <c r="E2963" s="73"/>
      <c r="F2963" s="73"/>
      <c r="G2963" s="73"/>
      <c r="H2963" s="73"/>
      <c r="I2963" s="73"/>
      <c r="J2963" s="73"/>
    </row>
    <row r="2964" spans="2:10">
      <c r="B2964" s="73"/>
      <c r="C2964" s="73"/>
      <c r="D2964" s="73"/>
      <c r="E2964" s="73"/>
      <c r="F2964" s="73"/>
      <c r="G2964" s="73"/>
      <c r="H2964" s="73"/>
      <c r="I2964" s="73"/>
      <c r="J2964" s="73"/>
    </row>
    <row r="2965" spans="2:10">
      <c r="B2965" s="73"/>
      <c r="C2965" s="73"/>
      <c r="D2965" s="73"/>
      <c r="E2965" s="73"/>
      <c r="F2965" s="73"/>
      <c r="G2965" s="73"/>
      <c r="H2965" s="73"/>
      <c r="I2965" s="73"/>
      <c r="J2965" s="73"/>
    </row>
    <row r="2966" spans="2:10">
      <c r="B2966" s="73"/>
      <c r="C2966" s="73"/>
      <c r="D2966" s="73"/>
      <c r="E2966" s="73"/>
      <c r="F2966" s="73"/>
      <c r="G2966" s="73"/>
      <c r="H2966" s="73"/>
      <c r="I2966" s="73"/>
      <c r="J2966" s="73"/>
    </row>
    <row r="2967" spans="2:10">
      <c r="B2967" s="73"/>
      <c r="C2967" s="73"/>
      <c r="D2967" s="73"/>
      <c r="E2967" s="73"/>
      <c r="F2967" s="73"/>
      <c r="G2967" s="73"/>
      <c r="H2967" s="73"/>
      <c r="I2967" s="73"/>
      <c r="J2967" s="73"/>
    </row>
    <row r="2968" spans="2:10">
      <c r="B2968" s="73"/>
      <c r="C2968" s="73"/>
      <c r="D2968" s="73"/>
      <c r="E2968" s="73"/>
      <c r="F2968" s="73"/>
      <c r="G2968" s="73"/>
      <c r="H2968" s="73"/>
      <c r="I2968" s="73"/>
      <c r="J2968" s="73"/>
    </row>
    <row r="2969" spans="2:10">
      <c r="B2969" s="73"/>
      <c r="C2969" s="73"/>
      <c r="D2969" s="73"/>
      <c r="E2969" s="73"/>
      <c r="F2969" s="73"/>
      <c r="G2969" s="73"/>
      <c r="H2969" s="73"/>
      <c r="I2969" s="73"/>
      <c r="J2969" s="73"/>
    </row>
    <row r="2970" spans="2:10">
      <c r="B2970" s="73"/>
      <c r="C2970" s="73"/>
      <c r="D2970" s="73"/>
      <c r="E2970" s="73"/>
      <c r="F2970" s="73"/>
      <c r="G2970" s="73"/>
      <c r="H2970" s="73"/>
      <c r="I2970" s="73"/>
      <c r="J2970" s="73"/>
    </row>
    <row r="2971" spans="2:10">
      <c r="B2971" s="73"/>
      <c r="C2971" s="73"/>
      <c r="D2971" s="73"/>
      <c r="E2971" s="73"/>
      <c r="F2971" s="73"/>
      <c r="G2971" s="73"/>
      <c r="H2971" s="73"/>
      <c r="I2971" s="73"/>
      <c r="J2971" s="73"/>
    </row>
    <row r="2972" spans="2:10">
      <c r="B2972" s="73"/>
      <c r="C2972" s="73"/>
      <c r="D2972" s="73"/>
      <c r="E2972" s="73"/>
      <c r="F2972" s="73"/>
      <c r="G2972" s="73"/>
      <c r="H2972" s="73"/>
      <c r="I2972" s="73"/>
      <c r="J2972" s="73"/>
    </row>
    <row r="2973" spans="2:10">
      <c r="B2973" s="73"/>
      <c r="C2973" s="73"/>
      <c r="D2973" s="73"/>
      <c r="E2973" s="73"/>
      <c r="F2973" s="73"/>
      <c r="G2973" s="73"/>
      <c r="H2973" s="73"/>
      <c r="I2973" s="73"/>
      <c r="J2973" s="73"/>
    </row>
    <row r="2974" spans="2:10">
      <c r="B2974" s="73"/>
      <c r="C2974" s="73"/>
      <c r="D2974" s="73"/>
      <c r="E2974" s="73"/>
      <c r="F2974" s="73"/>
      <c r="G2974" s="73"/>
      <c r="H2974" s="73"/>
      <c r="I2974" s="73"/>
      <c r="J2974" s="73"/>
    </row>
    <row r="2975" spans="2:10">
      <c r="B2975" s="73"/>
      <c r="C2975" s="73"/>
      <c r="D2975" s="73"/>
      <c r="E2975" s="73"/>
      <c r="F2975" s="73"/>
      <c r="G2975" s="73"/>
      <c r="H2975" s="73"/>
      <c r="I2975" s="73"/>
      <c r="J2975" s="73"/>
    </row>
    <row r="2976" spans="2:10">
      <c r="B2976" s="73"/>
      <c r="C2976" s="73"/>
      <c r="D2976" s="73"/>
      <c r="E2976" s="73"/>
      <c r="F2976" s="73"/>
      <c r="G2976" s="73"/>
      <c r="H2976" s="73"/>
      <c r="I2976" s="73"/>
      <c r="J2976" s="73"/>
    </row>
    <row r="2977" spans="2:10">
      <c r="B2977" s="73"/>
      <c r="C2977" s="73"/>
      <c r="D2977" s="73"/>
      <c r="E2977" s="73"/>
      <c r="F2977" s="73"/>
      <c r="G2977" s="73"/>
      <c r="H2977" s="73"/>
      <c r="I2977" s="73"/>
      <c r="J2977" s="73"/>
    </row>
    <row r="2978" spans="2:10">
      <c r="B2978" s="73"/>
      <c r="C2978" s="73"/>
      <c r="D2978" s="73"/>
      <c r="E2978" s="73"/>
      <c r="F2978" s="73"/>
      <c r="G2978" s="73"/>
      <c r="H2978" s="73"/>
      <c r="I2978" s="73"/>
      <c r="J2978" s="73"/>
    </row>
    <row r="2979" spans="2:10">
      <c r="B2979" s="73"/>
      <c r="C2979" s="73"/>
      <c r="D2979" s="73"/>
      <c r="E2979" s="73"/>
      <c r="F2979" s="73"/>
      <c r="G2979" s="73"/>
      <c r="H2979" s="73"/>
      <c r="I2979" s="73"/>
      <c r="J2979" s="73"/>
    </row>
    <row r="2980" spans="2:10">
      <c r="B2980" s="73"/>
      <c r="C2980" s="73"/>
      <c r="D2980" s="73"/>
      <c r="E2980" s="73"/>
      <c r="F2980" s="73"/>
      <c r="G2980" s="73"/>
      <c r="H2980" s="73"/>
      <c r="I2980" s="73"/>
      <c r="J2980" s="73"/>
    </row>
    <row r="2981" spans="2:10">
      <c r="B2981" s="73"/>
      <c r="C2981" s="73"/>
      <c r="D2981" s="73"/>
      <c r="E2981" s="73"/>
      <c r="F2981" s="73"/>
      <c r="G2981" s="73"/>
      <c r="H2981" s="73"/>
      <c r="I2981" s="73"/>
      <c r="J2981" s="73"/>
    </row>
    <row r="2982" spans="2:10">
      <c r="B2982" s="73"/>
      <c r="C2982" s="73"/>
      <c r="D2982" s="73"/>
      <c r="E2982" s="73"/>
      <c r="F2982" s="73"/>
      <c r="G2982" s="73"/>
      <c r="H2982" s="73"/>
      <c r="I2982" s="73"/>
      <c r="J2982" s="73"/>
    </row>
    <row r="2983" spans="2:10">
      <c r="B2983" s="73"/>
      <c r="C2983" s="73"/>
      <c r="D2983" s="73"/>
      <c r="E2983" s="73"/>
      <c r="F2983" s="73"/>
      <c r="G2983" s="73"/>
      <c r="H2983" s="73"/>
      <c r="I2983" s="73"/>
      <c r="J2983" s="73"/>
    </row>
    <row r="2984" spans="2:10">
      <c r="B2984" s="73"/>
      <c r="C2984" s="73"/>
      <c r="D2984" s="73"/>
      <c r="E2984" s="73"/>
      <c r="F2984" s="73"/>
      <c r="G2984" s="73"/>
      <c r="H2984" s="73"/>
      <c r="I2984" s="73"/>
      <c r="J2984" s="73"/>
    </row>
    <row r="2985" spans="2:10">
      <c r="B2985" s="73"/>
      <c r="C2985" s="73"/>
      <c r="D2985" s="73"/>
      <c r="E2985" s="73"/>
      <c r="F2985" s="73"/>
      <c r="G2985" s="73"/>
      <c r="H2985" s="73"/>
      <c r="I2985" s="73"/>
      <c r="J2985" s="73"/>
    </row>
    <row r="2986" spans="2:10">
      <c r="B2986" s="73"/>
      <c r="C2986" s="73"/>
      <c r="D2986" s="73"/>
      <c r="E2986" s="73"/>
      <c r="F2986" s="73"/>
      <c r="G2986" s="73"/>
      <c r="H2986" s="73"/>
      <c r="I2986" s="73"/>
      <c r="J2986" s="73"/>
    </row>
    <row r="2987" spans="2:10">
      <c r="B2987" s="73"/>
      <c r="C2987" s="73"/>
      <c r="D2987" s="73"/>
      <c r="E2987" s="73"/>
      <c r="F2987" s="73"/>
      <c r="G2987" s="73"/>
      <c r="H2987" s="73"/>
      <c r="I2987" s="73"/>
      <c r="J2987" s="73"/>
    </row>
    <row r="2988" spans="2:10">
      <c r="B2988" s="73"/>
      <c r="C2988" s="73"/>
      <c r="D2988" s="73"/>
      <c r="E2988" s="73"/>
      <c r="F2988" s="73"/>
      <c r="G2988" s="73"/>
      <c r="H2988" s="73"/>
      <c r="I2988" s="73"/>
      <c r="J2988" s="73"/>
    </row>
    <row r="2989" spans="2:10">
      <c r="B2989" s="73"/>
      <c r="C2989" s="73"/>
      <c r="D2989" s="73"/>
      <c r="E2989" s="73"/>
      <c r="F2989" s="73"/>
      <c r="G2989" s="73"/>
      <c r="H2989" s="73"/>
      <c r="I2989" s="73"/>
      <c r="J2989" s="73"/>
    </row>
    <row r="2990" spans="2:10">
      <c r="B2990" s="73"/>
      <c r="C2990" s="73"/>
      <c r="D2990" s="73"/>
      <c r="E2990" s="73"/>
      <c r="F2990" s="73"/>
      <c r="G2990" s="73"/>
      <c r="H2990" s="73"/>
      <c r="I2990" s="73"/>
      <c r="J2990" s="73"/>
    </row>
    <row r="2991" spans="2:10">
      <c r="B2991" s="73"/>
      <c r="C2991" s="73"/>
      <c r="D2991" s="73"/>
      <c r="E2991" s="73"/>
      <c r="F2991" s="73"/>
      <c r="G2991" s="73"/>
      <c r="H2991" s="73"/>
      <c r="I2991" s="73"/>
      <c r="J2991" s="73"/>
    </row>
    <row r="2992" spans="2:10">
      <c r="B2992" s="73"/>
      <c r="C2992" s="73"/>
      <c r="D2992" s="73"/>
      <c r="E2992" s="73"/>
      <c r="F2992" s="73"/>
      <c r="G2992" s="73"/>
      <c r="H2992" s="73"/>
      <c r="I2992" s="73"/>
      <c r="J2992" s="73"/>
    </row>
    <row r="2993" spans="2:10">
      <c r="B2993" s="73"/>
      <c r="C2993" s="73"/>
      <c r="D2993" s="73"/>
      <c r="E2993" s="73"/>
      <c r="F2993" s="73"/>
      <c r="G2993" s="73"/>
      <c r="H2993" s="73"/>
      <c r="I2993" s="73"/>
      <c r="J2993" s="73"/>
    </row>
    <row r="2994" spans="2:10">
      <c r="B2994" s="73"/>
      <c r="C2994" s="73"/>
      <c r="D2994" s="73"/>
      <c r="E2994" s="73"/>
      <c r="F2994" s="73"/>
      <c r="G2994" s="73"/>
      <c r="H2994" s="73"/>
      <c r="I2994" s="73"/>
      <c r="J2994" s="73"/>
    </row>
    <row r="2995" spans="2:10">
      <c r="B2995" s="73"/>
      <c r="C2995" s="73"/>
      <c r="D2995" s="73"/>
      <c r="E2995" s="73"/>
      <c r="F2995" s="73"/>
      <c r="G2995" s="73"/>
      <c r="H2995" s="73"/>
      <c r="I2995" s="73"/>
      <c r="J2995" s="73"/>
    </row>
    <row r="2996" spans="2:10">
      <c r="B2996" s="73"/>
      <c r="C2996" s="73"/>
      <c r="D2996" s="73"/>
      <c r="E2996" s="73"/>
      <c r="F2996" s="73"/>
      <c r="G2996" s="73"/>
      <c r="H2996" s="73"/>
      <c r="I2996" s="73"/>
      <c r="J2996" s="73"/>
    </row>
    <row r="2997" spans="2:10">
      <c r="B2997" s="73"/>
      <c r="C2997" s="73"/>
      <c r="D2997" s="73"/>
      <c r="E2997" s="73"/>
      <c r="F2997" s="73"/>
      <c r="G2997" s="73"/>
      <c r="H2997" s="73"/>
      <c r="I2997" s="73"/>
      <c r="J2997" s="73"/>
    </row>
    <row r="2998" spans="2:10">
      <c r="B2998" s="73"/>
      <c r="C2998" s="73"/>
      <c r="D2998" s="73"/>
      <c r="E2998" s="73"/>
      <c r="F2998" s="73"/>
      <c r="G2998" s="73"/>
      <c r="H2998" s="73"/>
      <c r="I2998" s="73"/>
      <c r="J2998" s="73"/>
    </row>
    <row r="2999" spans="2:10">
      <c r="B2999" s="73"/>
      <c r="C2999" s="73"/>
      <c r="D2999" s="73"/>
      <c r="E2999" s="73"/>
      <c r="F2999" s="73"/>
      <c r="G2999" s="73"/>
      <c r="H2999" s="73"/>
      <c r="I2999" s="73"/>
      <c r="J2999" s="73"/>
    </row>
    <row r="3000" spans="2:10">
      <c r="B3000" s="73"/>
      <c r="C3000" s="73"/>
      <c r="D3000" s="73"/>
      <c r="E3000" s="73"/>
      <c r="F3000" s="73"/>
      <c r="G3000" s="73"/>
      <c r="H3000" s="73"/>
      <c r="I3000" s="73"/>
      <c r="J3000" s="73"/>
    </row>
    <row r="3001" spans="2:10">
      <c r="B3001" s="73"/>
      <c r="C3001" s="73"/>
      <c r="D3001" s="73"/>
      <c r="E3001" s="73"/>
      <c r="F3001" s="73"/>
      <c r="G3001" s="73"/>
      <c r="H3001" s="73"/>
      <c r="I3001" s="73"/>
      <c r="J3001" s="73"/>
    </row>
    <row r="3002" spans="2:10">
      <c r="B3002" s="73"/>
      <c r="C3002" s="73"/>
      <c r="D3002" s="73"/>
      <c r="E3002" s="73"/>
      <c r="F3002" s="73"/>
      <c r="G3002" s="73"/>
      <c r="H3002" s="73"/>
      <c r="I3002" s="73"/>
      <c r="J3002" s="73"/>
    </row>
    <row r="3003" spans="2:10">
      <c r="B3003" s="73"/>
      <c r="C3003" s="73"/>
      <c r="D3003" s="73"/>
      <c r="E3003" s="73"/>
      <c r="F3003" s="73"/>
      <c r="G3003" s="73"/>
      <c r="H3003" s="73"/>
      <c r="I3003" s="73"/>
      <c r="J3003" s="73"/>
    </row>
    <row r="3004" spans="2:10">
      <c r="B3004" s="73"/>
      <c r="C3004" s="73"/>
      <c r="D3004" s="73"/>
      <c r="E3004" s="73"/>
      <c r="F3004" s="73"/>
      <c r="G3004" s="73"/>
      <c r="H3004" s="73"/>
      <c r="I3004" s="73"/>
      <c r="J3004" s="73"/>
    </row>
    <row r="3005" spans="2:10">
      <c r="B3005" s="73"/>
      <c r="C3005" s="73"/>
      <c r="D3005" s="73"/>
      <c r="E3005" s="73"/>
      <c r="F3005" s="73"/>
      <c r="G3005" s="73"/>
      <c r="H3005" s="73"/>
      <c r="I3005" s="73"/>
      <c r="J3005" s="73"/>
    </row>
    <row r="3006" spans="2:10">
      <c r="B3006" s="73"/>
      <c r="C3006" s="73"/>
      <c r="D3006" s="73"/>
      <c r="E3006" s="73"/>
      <c r="F3006" s="73"/>
      <c r="G3006" s="73"/>
      <c r="H3006" s="73"/>
      <c r="I3006" s="73"/>
      <c r="J3006" s="73"/>
    </row>
    <row r="3007" spans="2:10">
      <c r="B3007" s="73"/>
      <c r="C3007" s="73"/>
      <c r="D3007" s="73"/>
      <c r="E3007" s="73"/>
      <c r="F3007" s="73"/>
      <c r="G3007" s="73"/>
      <c r="H3007" s="73"/>
      <c r="I3007" s="73"/>
      <c r="J3007" s="73"/>
    </row>
    <row r="3008" spans="2:10">
      <c r="B3008" s="73"/>
      <c r="C3008" s="73"/>
      <c r="D3008" s="73"/>
      <c r="E3008" s="73"/>
      <c r="F3008" s="73"/>
      <c r="G3008" s="73"/>
      <c r="H3008" s="73"/>
      <c r="I3008" s="73"/>
      <c r="J3008" s="73"/>
    </row>
    <row r="3009" spans="2:10">
      <c r="B3009" s="73"/>
      <c r="C3009" s="73"/>
      <c r="D3009" s="73"/>
      <c r="E3009" s="73"/>
      <c r="F3009" s="73"/>
      <c r="G3009" s="73"/>
      <c r="H3009" s="73"/>
      <c r="I3009" s="73"/>
      <c r="J3009" s="73"/>
    </row>
    <row r="3010" spans="2:10">
      <c r="B3010" s="73"/>
      <c r="C3010" s="73"/>
      <c r="D3010" s="73"/>
      <c r="E3010" s="73"/>
      <c r="F3010" s="73"/>
      <c r="G3010" s="73"/>
      <c r="H3010" s="73"/>
      <c r="I3010" s="73"/>
      <c r="J3010" s="73"/>
    </row>
    <row r="3011" spans="2:10">
      <c r="B3011" s="73"/>
      <c r="C3011" s="73"/>
      <c r="D3011" s="73"/>
      <c r="E3011" s="73"/>
      <c r="F3011" s="73"/>
      <c r="G3011" s="73"/>
      <c r="H3011" s="73"/>
      <c r="I3011" s="73"/>
      <c r="J3011" s="73"/>
    </row>
    <row r="3012" spans="2:10">
      <c r="B3012" s="73"/>
      <c r="C3012" s="73"/>
      <c r="D3012" s="73"/>
      <c r="E3012" s="73"/>
      <c r="F3012" s="73"/>
      <c r="G3012" s="73"/>
      <c r="H3012" s="73"/>
      <c r="I3012" s="73"/>
      <c r="J3012" s="73"/>
    </row>
    <row r="3013" spans="2:10">
      <c r="B3013" s="73"/>
      <c r="C3013" s="73"/>
      <c r="D3013" s="73"/>
      <c r="E3013" s="73"/>
      <c r="F3013" s="73"/>
      <c r="G3013" s="73"/>
      <c r="H3013" s="73"/>
      <c r="I3013" s="73"/>
      <c r="J3013" s="73"/>
    </row>
    <row r="3014" spans="2:10">
      <c r="B3014" s="73"/>
      <c r="C3014" s="73"/>
      <c r="D3014" s="73"/>
      <c r="E3014" s="73"/>
      <c r="F3014" s="73"/>
      <c r="G3014" s="73"/>
      <c r="H3014" s="73"/>
      <c r="I3014" s="73"/>
      <c r="J3014" s="73"/>
    </row>
    <row r="3015" spans="2:10">
      <c r="B3015" s="73"/>
      <c r="C3015" s="73"/>
      <c r="D3015" s="73"/>
      <c r="E3015" s="73"/>
      <c r="F3015" s="73"/>
      <c r="G3015" s="73"/>
      <c r="H3015" s="73"/>
      <c r="I3015" s="73"/>
      <c r="J3015" s="73"/>
    </row>
    <row r="3016" spans="2:10">
      <c r="B3016" s="73"/>
      <c r="C3016" s="73"/>
      <c r="D3016" s="73"/>
      <c r="E3016" s="73"/>
      <c r="F3016" s="73"/>
      <c r="G3016" s="73"/>
      <c r="H3016" s="73"/>
      <c r="I3016" s="73"/>
      <c r="J3016" s="73"/>
    </row>
    <row r="3017" spans="2:10">
      <c r="B3017" s="73"/>
      <c r="C3017" s="73"/>
      <c r="D3017" s="73"/>
      <c r="E3017" s="73"/>
      <c r="F3017" s="73"/>
      <c r="G3017" s="73"/>
      <c r="H3017" s="73"/>
      <c r="I3017" s="73"/>
      <c r="J3017" s="73"/>
    </row>
    <row r="3018" spans="2:10">
      <c r="B3018" s="73"/>
      <c r="C3018" s="73"/>
      <c r="D3018" s="73"/>
      <c r="E3018" s="73"/>
      <c r="F3018" s="73"/>
      <c r="G3018" s="73"/>
      <c r="H3018" s="73"/>
      <c r="I3018" s="73"/>
      <c r="J3018" s="73"/>
    </row>
    <row r="3019" spans="2:10">
      <c r="B3019" s="73"/>
      <c r="C3019" s="73"/>
      <c r="D3019" s="73"/>
      <c r="E3019" s="73"/>
      <c r="F3019" s="73"/>
      <c r="G3019" s="73"/>
      <c r="H3019" s="73"/>
      <c r="I3019" s="73"/>
      <c r="J3019" s="73"/>
    </row>
    <row r="3020" spans="2:10">
      <c r="B3020" s="73"/>
      <c r="C3020" s="73"/>
      <c r="D3020" s="73"/>
      <c r="E3020" s="73"/>
      <c r="F3020" s="73"/>
      <c r="G3020" s="73"/>
      <c r="H3020" s="73"/>
      <c r="I3020" s="73"/>
      <c r="J3020" s="73"/>
    </row>
    <row r="3021" spans="2:10">
      <c r="B3021" s="73"/>
      <c r="C3021" s="73"/>
      <c r="D3021" s="73"/>
      <c r="E3021" s="73"/>
      <c r="F3021" s="73"/>
      <c r="G3021" s="73"/>
      <c r="H3021" s="73"/>
      <c r="I3021" s="73"/>
      <c r="J3021" s="73"/>
    </row>
    <row r="3022" spans="2:10">
      <c r="B3022" s="73"/>
      <c r="C3022" s="73"/>
      <c r="D3022" s="73"/>
      <c r="E3022" s="73"/>
      <c r="F3022" s="73"/>
      <c r="G3022" s="73"/>
      <c r="H3022" s="73"/>
      <c r="I3022" s="73"/>
      <c r="J3022" s="73"/>
    </row>
    <row r="3023" spans="2:10">
      <c r="B3023" s="73"/>
      <c r="C3023" s="73"/>
      <c r="D3023" s="73"/>
      <c r="E3023" s="73"/>
      <c r="F3023" s="73"/>
      <c r="G3023" s="73"/>
      <c r="H3023" s="73"/>
      <c r="I3023" s="73"/>
      <c r="J3023" s="73"/>
    </row>
    <row r="3024" spans="2:10">
      <c r="B3024" s="73"/>
      <c r="C3024" s="73"/>
      <c r="D3024" s="73"/>
      <c r="E3024" s="73"/>
      <c r="F3024" s="73"/>
      <c r="G3024" s="73"/>
      <c r="H3024" s="73"/>
      <c r="I3024" s="73"/>
      <c r="J3024" s="73"/>
    </row>
    <row r="3025" spans="2:10">
      <c r="B3025" s="73"/>
      <c r="C3025" s="73"/>
      <c r="D3025" s="73"/>
      <c r="E3025" s="73"/>
      <c r="F3025" s="73"/>
      <c r="G3025" s="73"/>
      <c r="H3025" s="73"/>
      <c r="I3025" s="73"/>
      <c r="J3025" s="73"/>
    </row>
    <row r="3026" spans="2:10">
      <c r="B3026" s="73"/>
      <c r="C3026" s="73"/>
      <c r="D3026" s="73"/>
      <c r="E3026" s="73"/>
      <c r="F3026" s="73"/>
      <c r="G3026" s="73"/>
      <c r="H3026" s="73"/>
      <c r="I3026" s="73"/>
      <c r="J3026" s="73"/>
    </row>
    <row r="3027" spans="2:10">
      <c r="B3027" s="73"/>
      <c r="C3027" s="73"/>
      <c r="D3027" s="73"/>
      <c r="E3027" s="73"/>
      <c r="F3027" s="73"/>
      <c r="G3027" s="73"/>
      <c r="H3027" s="73"/>
      <c r="I3027" s="73"/>
      <c r="J3027" s="73"/>
    </row>
    <row r="3028" spans="2:10">
      <c r="B3028" s="73"/>
      <c r="C3028" s="73"/>
      <c r="D3028" s="73"/>
      <c r="E3028" s="73"/>
      <c r="F3028" s="73"/>
      <c r="G3028" s="73"/>
      <c r="H3028" s="73"/>
      <c r="I3028" s="73"/>
      <c r="J3028" s="73"/>
    </row>
    <row r="3029" spans="2:10">
      <c r="B3029" s="73"/>
      <c r="C3029" s="73"/>
      <c r="D3029" s="73"/>
      <c r="E3029" s="73"/>
      <c r="F3029" s="73"/>
      <c r="G3029" s="73"/>
      <c r="H3029" s="73"/>
      <c r="I3029" s="73"/>
      <c r="J3029" s="73"/>
    </row>
    <row r="3030" spans="2:10">
      <c r="B3030" s="73"/>
      <c r="C3030" s="73"/>
      <c r="D3030" s="73"/>
      <c r="E3030" s="73"/>
      <c r="F3030" s="73"/>
      <c r="G3030" s="73"/>
      <c r="H3030" s="73"/>
      <c r="I3030" s="73"/>
      <c r="J3030" s="73"/>
    </row>
    <row r="3031" spans="2:10">
      <c r="B3031" s="73"/>
      <c r="C3031" s="73"/>
      <c r="D3031" s="73"/>
      <c r="E3031" s="73"/>
      <c r="F3031" s="73"/>
      <c r="G3031" s="73"/>
      <c r="H3031" s="73"/>
      <c r="I3031" s="73"/>
      <c r="J3031" s="73"/>
    </row>
    <row r="3032" spans="2:10">
      <c r="B3032" s="73"/>
      <c r="C3032" s="73"/>
      <c r="D3032" s="73"/>
      <c r="E3032" s="73"/>
      <c r="F3032" s="73"/>
      <c r="G3032" s="73"/>
      <c r="H3032" s="73"/>
      <c r="I3032" s="73"/>
      <c r="J3032" s="73"/>
    </row>
    <row r="3033" spans="2:10">
      <c r="B3033" s="73"/>
      <c r="C3033" s="73"/>
      <c r="D3033" s="73"/>
      <c r="E3033" s="73"/>
      <c r="F3033" s="73"/>
      <c r="G3033" s="73"/>
      <c r="H3033" s="73"/>
      <c r="I3033" s="73"/>
      <c r="J3033" s="73"/>
    </row>
    <row r="3034" spans="2:10">
      <c r="B3034" s="73"/>
      <c r="C3034" s="73"/>
      <c r="D3034" s="73"/>
      <c r="E3034" s="73"/>
      <c r="F3034" s="73"/>
      <c r="G3034" s="73"/>
      <c r="H3034" s="73"/>
      <c r="I3034" s="73"/>
      <c r="J3034" s="73"/>
    </row>
    <row r="3035" spans="2:10">
      <c r="B3035" s="73"/>
      <c r="C3035" s="73"/>
      <c r="D3035" s="73"/>
      <c r="E3035" s="73"/>
      <c r="F3035" s="73"/>
      <c r="G3035" s="73"/>
      <c r="H3035" s="73"/>
      <c r="I3035" s="73"/>
      <c r="J3035" s="73"/>
    </row>
    <row r="3036" spans="2:10">
      <c r="B3036" s="73"/>
      <c r="C3036" s="73"/>
      <c r="D3036" s="73"/>
      <c r="E3036" s="73"/>
      <c r="F3036" s="73"/>
      <c r="G3036" s="73"/>
      <c r="H3036" s="73"/>
      <c r="I3036" s="73"/>
      <c r="J3036" s="73"/>
    </row>
    <row r="3037" spans="2:10">
      <c r="B3037" s="73"/>
      <c r="C3037" s="73"/>
      <c r="D3037" s="73"/>
      <c r="E3037" s="73"/>
      <c r="F3037" s="73"/>
      <c r="G3037" s="73"/>
      <c r="H3037" s="73"/>
      <c r="I3037" s="73"/>
      <c r="J3037" s="73"/>
    </row>
    <row r="3038" spans="2:10">
      <c r="B3038" s="73"/>
      <c r="C3038" s="73"/>
      <c r="D3038" s="73"/>
      <c r="E3038" s="73"/>
      <c r="F3038" s="73"/>
      <c r="G3038" s="73"/>
      <c r="H3038" s="73"/>
      <c r="I3038" s="73"/>
      <c r="J3038" s="73"/>
    </row>
    <row r="3039" spans="2:10">
      <c r="B3039" s="73"/>
      <c r="C3039" s="73"/>
      <c r="D3039" s="73"/>
      <c r="E3039" s="73"/>
      <c r="F3039" s="73"/>
      <c r="G3039" s="73"/>
      <c r="H3039" s="73"/>
      <c r="I3039" s="73"/>
      <c r="J3039" s="73"/>
    </row>
    <row r="3040" spans="2:10">
      <c r="B3040" s="73"/>
      <c r="C3040" s="73"/>
      <c r="D3040" s="73"/>
      <c r="E3040" s="73"/>
      <c r="F3040" s="73"/>
      <c r="G3040" s="73"/>
      <c r="H3040" s="73"/>
      <c r="I3040" s="73"/>
      <c r="J3040" s="73"/>
    </row>
    <row r="3041" spans="2:10">
      <c r="B3041" s="73"/>
      <c r="C3041" s="73"/>
      <c r="D3041" s="73"/>
      <c r="E3041" s="73"/>
      <c r="F3041" s="73"/>
      <c r="G3041" s="73"/>
      <c r="H3041" s="73"/>
      <c r="I3041" s="73"/>
      <c r="J3041" s="73"/>
    </row>
    <row r="3042" spans="2:10">
      <c r="B3042" s="73"/>
      <c r="C3042" s="73"/>
      <c r="D3042" s="73"/>
      <c r="E3042" s="73"/>
      <c r="F3042" s="73"/>
      <c r="G3042" s="73"/>
      <c r="H3042" s="73"/>
      <c r="I3042" s="73"/>
      <c r="J3042" s="73"/>
    </row>
    <row r="3043" spans="2:10">
      <c r="B3043" s="73"/>
      <c r="C3043" s="73"/>
      <c r="D3043" s="73"/>
      <c r="E3043" s="73"/>
      <c r="F3043" s="73"/>
      <c r="G3043" s="73"/>
      <c r="H3043" s="73"/>
      <c r="I3043" s="73"/>
      <c r="J3043" s="73"/>
    </row>
    <row r="3044" spans="2:10">
      <c r="B3044" s="73"/>
      <c r="C3044" s="73"/>
      <c r="D3044" s="73"/>
      <c r="E3044" s="73"/>
      <c r="F3044" s="73"/>
      <c r="G3044" s="73"/>
      <c r="H3044" s="73"/>
      <c r="I3044" s="73"/>
      <c r="J3044" s="73"/>
    </row>
    <row r="3045" spans="2:10">
      <c r="B3045" s="73"/>
      <c r="C3045" s="73"/>
      <c r="D3045" s="73"/>
      <c r="E3045" s="73"/>
      <c r="F3045" s="73"/>
      <c r="G3045" s="73"/>
      <c r="H3045" s="73"/>
      <c r="I3045" s="73"/>
      <c r="J3045" s="73"/>
    </row>
    <row r="3046" spans="2:10">
      <c r="B3046" s="73"/>
      <c r="C3046" s="73"/>
      <c r="D3046" s="73"/>
      <c r="E3046" s="73"/>
      <c r="F3046" s="73"/>
      <c r="G3046" s="73"/>
      <c r="H3046" s="73"/>
      <c r="I3046" s="73"/>
      <c r="J3046" s="73"/>
    </row>
    <row r="3047" spans="2:10">
      <c r="B3047" s="73"/>
      <c r="C3047" s="73"/>
      <c r="D3047" s="73"/>
      <c r="E3047" s="73"/>
      <c r="F3047" s="73"/>
      <c r="G3047" s="73"/>
      <c r="H3047" s="73"/>
      <c r="I3047" s="73"/>
      <c r="J3047" s="73"/>
    </row>
    <row r="3048" spans="2:10">
      <c r="B3048" s="73"/>
      <c r="C3048" s="73"/>
      <c r="D3048" s="73"/>
      <c r="E3048" s="73"/>
      <c r="F3048" s="73"/>
      <c r="G3048" s="73"/>
      <c r="H3048" s="73"/>
      <c r="I3048" s="73"/>
      <c r="J3048" s="73"/>
    </row>
    <row r="3049" spans="2:10">
      <c r="B3049" s="73"/>
      <c r="C3049" s="73"/>
      <c r="D3049" s="73"/>
      <c r="E3049" s="73"/>
      <c r="F3049" s="73"/>
      <c r="G3049" s="73"/>
      <c r="H3049" s="73"/>
      <c r="I3049" s="73"/>
      <c r="J3049" s="73"/>
    </row>
    <row r="3050" spans="2:10">
      <c r="B3050" s="73"/>
      <c r="C3050" s="73"/>
      <c r="D3050" s="73"/>
      <c r="E3050" s="73"/>
      <c r="F3050" s="73"/>
      <c r="G3050" s="73"/>
      <c r="H3050" s="73"/>
      <c r="I3050" s="73"/>
      <c r="J3050" s="73"/>
    </row>
    <row r="3051" spans="2:10">
      <c r="B3051" s="73"/>
      <c r="C3051" s="73"/>
      <c r="D3051" s="73"/>
      <c r="E3051" s="73"/>
      <c r="F3051" s="73"/>
      <c r="G3051" s="73"/>
      <c r="H3051" s="73"/>
      <c r="I3051" s="73"/>
      <c r="J3051" s="73"/>
    </row>
    <row r="3052" spans="2:10">
      <c r="B3052" s="73"/>
      <c r="C3052" s="73"/>
      <c r="D3052" s="73"/>
      <c r="E3052" s="73"/>
      <c r="F3052" s="73"/>
      <c r="G3052" s="73"/>
      <c r="H3052" s="73"/>
      <c r="I3052" s="73"/>
      <c r="J3052" s="73"/>
    </row>
    <row r="3053" spans="2:10">
      <c r="B3053" s="73"/>
      <c r="C3053" s="73"/>
      <c r="D3053" s="73"/>
      <c r="E3053" s="73"/>
      <c r="F3053" s="73"/>
      <c r="G3053" s="73"/>
      <c r="H3053" s="73"/>
      <c r="I3053" s="73"/>
      <c r="J3053" s="73"/>
    </row>
    <row r="3054" spans="2:10">
      <c r="B3054" s="73"/>
      <c r="C3054" s="73"/>
      <c r="D3054" s="73"/>
      <c r="E3054" s="73"/>
      <c r="F3054" s="73"/>
      <c r="G3054" s="73"/>
      <c r="H3054" s="73"/>
      <c r="I3054" s="73"/>
      <c r="J3054" s="73"/>
    </row>
    <row r="3055" spans="2:10">
      <c r="B3055" s="73"/>
      <c r="C3055" s="73"/>
      <c r="D3055" s="73"/>
      <c r="E3055" s="73"/>
      <c r="F3055" s="73"/>
      <c r="G3055" s="73"/>
      <c r="H3055" s="73"/>
      <c r="I3055" s="73"/>
      <c r="J3055" s="73"/>
    </row>
    <row r="3056" spans="2:10">
      <c r="B3056" s="73"/>
      <c r="C3056" s="73"/>
      <c r="D3056" s="73"/>
      <c r="E3056" s="73"/>
      <c r="F3056" s="73"/>
      <c r="G3056" s="73"/>
      <c r="H3056" s="73"/>
      <c r="I3056" s="73"/>
      <c r="J3056" s="73"/>
    </row>
    <row r="3057" spans="2:10">
      <c r="B3057" s="73"/>
      <c r="C3057" s="73"/>
      <c r="D3057" s="73"/>
      <c r="E3057" s="73"/>
      <c r="F3057" s="73"/>
      <c r="G3057" s="73"/>
      <c r="H3057" s="73"/>
      <c r="I3057" s="73"/>
      <c r="J3057" s="73"/>
    </row>
    <row r="3058" spans="2:10">
      <c r="B3058" s="73"/>
      <c r="C3058" s="73"/>
      <c r="D3058" s="73"/>
      <c r="E3058" s="73"/>
      <c r="F3058" s="73"/>
      <c r="G3058" s="73"/>
      <c r="H3058" s="73"/>
      <c r="I3058" s="73"/>
      <c r="J3058" s="73"/>
    </row>
    <row r="3059" spans="2:10">
      <c r="B3059" s="73"/>
      <c r="C3059" s="73"/>
      <c r="D3059" s="73"/>
      <c r="E3059" s="73"/>
      <c r="F3059" s="73"/>
      <c r="G3059" s="73"/>
      <c r="H3059" s="73"/>
      <c r="I3059" s="73"/>
      <c r="J3059" s="73"/>
    </row>
    <row r="3060" spans="2:10">
      <c r="B3060" s="73"/>
      <c r="C3060" s="73"/>
      <c r="D3060" s="73"/>
      <c r="E3060" s="73"/>
      <c r="F3060" s="73"/>
      <c r="G3060" s="73"/>
      <c r="H3060" s="73"/>
      <c r="I3060" s="73"/>
      <c r="J3060" s="73"/>
    </row>
    <row r="3061" spans="2:10">
      <c r="B3061" s="73"/>
      <c r="C3061" s="73"/>
      <c r="D3061" s="73"/>
      <c r="E3061" s="73"/>
      <c r="F3061" s="73"/>
      <c r="G3061" s="73"/>
      <c r="H3061" s="73"/>
      <c r="I3061" s="73"/>
      <c r="J3061" s="73"/>
    </row>
    <row r="3062" spans="2:10">
      <c r="B3062" s="73"/>
      <c r="C3062" s="73"/>
      <c r="D3062" s="73"/>
      <c r="E3062" s="73"/>
      <c r="F3062" s="73"/>
      <c r="G3062" s="73"/>
      <c r="H3062" s="73"/>
      <c r="I3062" s="73"/>
      <c r="J3062" s="73"/>
    </row>
    <row r="3063" spans="2:10">
      <c r="B3063" s="73"/>
      <c r="C3063" s="73"/>
      <c r="D3063" s="73"/>
      <c r="E3063" s="73"/>
      <c r="F3063" s="73"/>
      <c r="G3063" s="73"/>
      <c r="H3063" s="73"/>
      <c r="I3063" s="73"/>
      <c r="J3063" s="73"/>
    </row>
    <row r="3064" spans="2:10">
      <c r="B3064" s="73"/>
      <c r="C3064" s="73"/>
      <c r="D3064" s="73"/>
      <c r="E3064" s="73"/>
      <c r="F3064" s="73"/>
      <c r="G3064" s="73"/>
      <c r="H3064" s="73"/>
      <c r="I3064" s="73"/>
      <c r="J3064" s="73"/>
    </row>
    <row r="3065" spans="2:10">
      <c r="B3065" s="73"/>
      <c r="C3065" s="73"/>
      <c r="D3065" s="73"/>
      <c r="E3065" s="73"/>
      <c r="F3065" s="73"/>
      <c r="G3065" s="73"/>
      <c r="H3065" s="73"/>
      <c r="I3065" s="73"/>
      <c r="J3065" s="73"/>
    </row>
    <row r="3066" spans="2:10">
      <c r="B3066" s="73"/>
      <c r="C3066" s="73"/>
      <c r="D3066" s="73"/>
      <c r="E3066" s="73"/>
      <c r="F3066" s="73"/>
      <c r="G3066" s="73"/>
      <c r="H3066" s="73"/>
      <c r="I3066" s="73"/>
      <c r="J3066" s="73"/>
    </row>
    <row r="3067" spans="2:10">
      <c r="B3067" s="73"/>
      <c r="C3067" s="73"/>
      <c r="D3067" s="73"/>
      <c r="E3067" s="73"/>
      <c r="F3067" s="73"/>
      <c r="G3067" s="73"/>
      <c r="H3067" s="73"/>
      <c r="I3067" s="73"/>
      <c r="J3067" s="73"/>
    </row>
    <row r="3068" spans="2:10">
      <c r="B3068" s="73"/>
      <c r="C3068" s="73"/>
      <c r="D3068" s="73"/>
      <c r="E3068" s="73"/>
      <c r="F3068" s="73"/>
      <c r="G3068" s="73"/>
      <c r="H3068" s="73"/>
      <c r="I3068" s="73"/>
      <c r="J3068" s="73"/>
    </row>
    <row r="3069" spans="2:10">
      <c r="B3069" s="73"/>
      <c r="C3069" s="73"/>
      <c r="D3069" s="73"/>
      <c r="E3069" s="73"/>
      <c r="F3069" s="73"/>
      <c r="G3069" s="73"/>
      <c r="H3069" s="73"/>
      <c r="I3069" s="73"/>
      <c r="J3069" s="73"/>
    </row>
    <row r="3070" spans="2:10">
      <c r="B3070" s="73"/>
      <c r="C3070" s="73"/>
      <c r="D3070" s="73"/>
      <c r="E3070" s="73"/>
      <c r="F3070" s="73"/>
      <c r="G3070" s="73"/>
      <c r="H3070" s="73"/>
      <c r="I3070" s="73"/>
      <c r="J3070" s="73"/>
    </row>
    <row r="3071" spans="2:10">
      <c r="B3071" s="73"/>
      <c r="C3071" s="73"/>
      <c r="D3071" s="73"/>
      <c r="E3071" s="73"/>
      <c r="F3071" s="73"/>
      <c r="G3071" s="73"/>
      <c r="H3071" s="73"/>
      <c r="I3071" s="73"/>
      <c r="J3071" s="73"/>
    </row>
    <row r="3072" spans="2:10">
      <c r="B3072" s="73"/>
      <c r="C3072" s="73"/>
      <c r="D3072" s="73"/>
      <c r="E3072" s="73"/>
      <c r="F3072" s="73"/>
      <c r="G3072" s="73"/>
      <c r="H3072" s="73"/>
      <c r="I3072" s="73"/>
      <c r="J3072" s="73"/>
    </row>
    <row r="3073" spans="2:10">
      <c r="B3073" s="73"/>
      <c r="C3073" s="73"/>
      <c r="D3073" s="73"/>
      <c r="E3073" s="73"/>
      <c r="F3073" s="73"/>
      <c r="G3073" s="73"/>
      <c r="H3073" s="73"/>
      <c r="I3073" s="73"/>
      <c r="J3073" s="73"/>
    </row>
    <row r="3074" spans="2:10">
      <c r="B3074" s="73"/>
      <c r="C3074" s="73"/>
      <c r="D3074" s="73"/>
      <c r="E3074" s="73"/>
      <c r="F3074" s="73"/>
      <c r="G3074" s="73"/>
      <c r="H3074" s="73"/>
      <c r="I3074" s="73"/>
      <c r="J3074" s="73"/>
    </row>
    <row r="3075" spans="2:10">
      <c r="B3075" s="73"/>
      <c r="C3075" s="73"/>
      <c r="D3075" s="73"/>
      <c r="E3075" s="73"/>
      <c r="F3075" s="73"/>
      <c r="G3075" s="73"/>
      <c r="H3075" s="73"/>
      <c r="I3075" s="73"/>
      <c r="J3075" s="73"/>
    </row>
    <row r="3076" spans="2:10">
      <c r="B3076" s="73"/>
      <c r="C3076" s="73"/>
      <c r="D3076" s="73"/>
      <c r="E3076" s="73"/>
      <c r="F3076" s="73"/>
      <c r="G3076" s="73"/>
      <c r="H3076" s="73"/>
      <c r="I3076" s="73"/>
      <c r="J3076" s="73"/>
    </row>
    <row r="3077" spans="2:10">
      <c r="B3077" s="73"/>
      <c r="C3077" s="73"/>
      <c r="D3077" s="73"/>
      <c r="E3077" s="73"/>
      <c r="F3077" s="73"/>
      <c r="G3077" s="73"/>
      <c r="H3077" s="73"/>
      <c r="I3077" s="73"/>
      <c r="J3077" s="73"/>
    </row>
    <row r="3078" spans="2:10">
      <c r="B3078" s="73"/>
      <c r="C3078" s="73"/>
      <c r="D3078" s="73"/>
      <c r="E3078" s="73"/>
      <c r="F3078" s="73"/>
      <c r="G3078" s="73"/>
      <c r="H3078" s="73"/>
      <c r="I3078" s="73"/>
      <c r="J3078" s="73"/>
    </row>
    <row r="3079" spans="2:10">
      <c r="B3079" s="73"/>
      <c r="C3079" s="73"/>
      <c r="D3079" s="73"/>
      <c r="E3079" s="73"/>
      <c r="F3079" s="73"/>
      <c r="G3079" s="73"/>
      <c r="H3079" s="73"/>
      <c r="I3079" s="73"/>
      <c r="J3079" s="73"/>
    </row>
    <row r="3080" spans="2:10">
      <c r="B3080" s="73"/>
      <c r="C3080" s="73"/>
      <c r="D3080" s="73"/>
      <c r="E3080" s="73"/>
      <c r="F3080" s="73"/>
      <c r="G3080" s="73"/>
      <c r="H3080" s="73"/>
      <c r="I3080" s="73"/>
      <c r="J3080" s="73"/>
    </row>
    <row r="3081" spans="2:10">
      <c r="B3081" s="73"/>
      <c r="C3081" s="73"/>
      <c r="D3081" s="73"/>
      <c r="E3081" s="73"/>
      <c r="F3081" s="73"/>
      <c r="G3081" s="73"/>
      <c r="H3081" s="73"/>
      <c r="I3081" s="73"/>
      <c r="J3081" s="73"/>
    </row>
    <row r="3082" spans="2:10">
      <c r="B3082" s="73"/>
      <c r="C3082" s="73"/>
      <c r="D3082" s="73"/>
      <c r="E3082" s="73"/>
      <c r="F3082" s="73"/>
      <c r="G3082" s="73"/>
      <c r="H3082" s="73"/>
      <c r="I3082" s="73"/>
      <c r="J3082" s="73"/>
    </row>
    <row r="3083" spans="2:10">
      <c r="B3083" s="73"/>
      <c r="C3083" s="73"/>
      <c r="D3083" s="73"/>
      <c r="E3083" s="73"/>
      <c r="F3083" s="73"/>
      <c r="G3083" s="73"/>
      <c r="H3083" s="73"/>
      <c r="I3083" s="73"/>
      <c r="J3083" s="73"/>
    </row>
    <row r="3084" spans="2:10">
      <c r="B3084" s="73"/>
      <c r="C3084" s="73"/>
      <c r="D3084" s="73"/>
      <c r="E3084" s="73"/>
      <c r="F3084" s="73"/>
      <c r="G3084" s="73"/>
      <c r="H3084" s="73"/>
      <c r="I3084" s="73"/>
      <c r="J3084" s="73"/>
    </row>
    <row r="3085" spans="2:10">
      <c r="B3085" s="73"/>
      <c r="C3085" s="73"/>
      <c r="D3085" s="73"/>
      <c r="E3085" s="73"/>
      <c r="F3085" s="73"/>
      <c r="G3085" s="73"/>
      <c r="H3085" s="73"/>
      <c r="I3085" s="73"/>
      <c r="J3085" s="73"/>
    </row>
    <row r="3086" spans="2:10">
      <c r="B3086" s="73"/>
      <c r="C3086" s="73"/>
      <c r="D3086" s="73"/>
      <c r="E3086" s="73"/>
      <c r="F3086" s="73"/>
      <c r="G3086" s="73"/>
      <c r="H3086" s="73"/>
      <c r="I3086" s="73"/>
      <c r="J3086" s="73"/>
    </row>
    <row r="3087" spans="2:10">
      <c r="B3087" s="73"/>
      <c r="C3087" s="73"/>
      <c r="D3087" s="73"/>
      <c r="E3087" s="73"/>
      <c r="F3087" s="73"/>
      <c r="G3087" s="73"/>
      <c r="H3087" s="73"/>
      <c r="I3087" s="73"/>
      <c r="J3087" s="73"/>
    </row>
    <row r="3088" spans="2:10">
      <c r="B3088" s="73"/>
      <c r="C3088" s="73"/>
      <c r="D3088" s="73"/>
      <c r="E3088" s="73"/>
      <c r="F3088" s="73"/>
      <c r="G3088" s="73"/>
      <c r="H3088" s="73"/>
      <c r="I3088" s="73"/>
      <c r="J3088" s="73"/>
    </row>
    <row r="3089" spans="2:10">
      <c r="B3089" s="73"/>
      <c r="C3089" s="73"/>
      <c r="D3089" s="73"/>
      <c r="E3089" s="73"/>
      <c r="F3089" s="73"/>
      <c r="G3089" s="73"/>
      <c r="H3089" s="73"/>
      <c r="I3089" s="73"/>
      <c r="J3089" s="73"/>
    </row>
    <row r="3090" spans="2:10">
      <c r="B3090" s="73"/>
      <c r="C3090" s="73"/>
      <c r="D3090" s="73"/>
      <c r="E3090" s="73"/>
      <c r="F3090" s="73"/>
      <c r="G3090" s="73"/>
      <c r="H3090" s="73"/>
      <c r="I3090" s="73"/>
      <c r="J3090" s="73"/>
    </row>
    <row r="3091" spans="2:10">
      <c r="B3091" s="73"/>
      <c r="C3091" s="73"/>
      <c r="D3091" s="73"/>
      <c r="E3091" s="73"/>
      <c r="F3091" s="73"/>
      <c r="G3091" s="73"/>
      <c r="H3091" s="73"/>
      <c r="I3091" s="73"/>
      <c r="J3091" s="73"/>
    </row>
    <row r="3092" spans="2:10">
      <c r="B3092" s="73"/>
      <c r="C3092" s="73"/>
      <c r="D3092" s="73"/>
      <c r="E3092" s="73"/>
      <c r="F3092" s="73"/>
      <c r="G3092" s="73"/>
      <c r="H3092" s="73"/>
      <c r="I3092" s="73"/>
      <c r="J3092" s="73"/>
    </row>
    <row r="3093" spans="2:10">
      <c r="B3093" s="73"/>
      <c r="C3093" s="73"/>
      <c r="D3093" s="73"/>
      <c r="E3093" s="73"/>
      <c r="F3093" s="73"/>
      <c r="G3093" s="73"/>
      <c r="H3093" s="73"/>
      <c r="I3093" s="73"/>
      <c r="J3093" s="73"/>
    </row>
    <row r="3094" spans="2:10">
      <c r="B3094" s="73"/>
      <c r="C3094" s="73"/>
      <c r="D3094" s="73"/>
      <c r="E3094" s="73"/>
      <c r="F3094" s="73"/>
      <c r="G3094" s="73"/>
      <c r="H3094" s="73"/>
      <c r="I3094" s="73"/>
      <c r="J3094" s="73"/>
    </row>
    <row r="3095" spans="2:10">
      <c r="B3095" s="73"/>
      <c r="C3095" s="73"/>
      <c r="D3095" s="73"/>
      <c r="E3095" s="73"/>
      <c r="F3095" s="73"/>
      <c r="G3095" s="73"/>
      <c r="H3095" s="73"/>
      <c r="I3095" s="73"/>
      <c r="J3095" s="73"/>
    </row>
    <row r="3096" spans="2:10">
      <c r="B3096" s="73"/>
      <c r="C3096" s="73"/>
      <c r="D3096" s="73"/>
      <c r="E3096" s="73"/>
      <c r="F3096" s="73"/>
      <c r="G3096" s="73"/>
      <c r="H3096" s="73"/>
      <c r="I3096" s="73"/>
      <c r="J3096" s="73"/>
    </row>
    <row r="3097" spans="2:10">
      <c r="B3097" s="73"/>
      <c r="C3097" s="73"/>
      <c r="D3097" s="73"/>
      <c r="E3097" s="73"/>
      <c r="F3097" s="73"/>
      <c r="G3097" s="73"/>
      <c r="H3097" s="73"/>
      <c r="I3097" s="73"/>
      <c r="J3097" s="73"/>
    </row>
    <row r="3098" spans="2:10">
      <c r="B3098" s="73"/>
      <c r="C3098" s="73"/>
      <c r="D3098" s="73"/>
      <c r="E3098" s="73"/>
      <c r="F3098" s="73"/>
      <c r="G3098" s="73"/>
      <c r="H3098" s="73"/>
      <c r="I3098" s="73"/>
      <c r="J3098" s="73"/>
    </row>
    <row r="3099" spans="2:10">
      <c r="B3099" s="73"/>
      <c r="C3099" s="73"/>
      <c r="D3099" s="73"/>
      <c r="E3099" s="73"/>
      <c r="F3099" s="73"/>
      <c r="G3099" s="73"/>
      <c r="H3099" s="73"/>
      <c r="I3099" s="73"/>
      <c r="J3099" s="73"/>
    </row>
    <row r="3100" spans="2:10">
      <c r="B3100" s="73"/>
      <c r="C3100" s="73"/>
      <c r="D3100" s="73"/>
      <c r="E3100" s="73"/>
      <c r="F3100" s="73"/>
      <c r="G3100" s="73"/>
      <c r="H3100" s="73"/>
      <c r="I3100" s="73"/>
      <c r="J3100" s="73"/>
    </row>
    <row r="3101" spans="2:10">
      <c r="B3101" s="73"/>
      <c r="C3101" s="73"/>
      <c r="D3101" s="73"/>
      <c r="E3101" s="73"/>
      <c r="F3101" s="73"/>
      <c r="G3101" s="73"/>
      <c r="H3101" s="73"/>
      <c r="I3101" s="73"/>
      <c r="J3101" s="73"/>
    </row>
    <row r="3102" spans="2:10">
      <c r="B3102" s="73"/>
      <c r="C3102" s="73"/>
      <c r="D3102" s="73"/>
      <c r="E3102" s="73"/>
      <c r="F3102" s="73"/>
      <c r="G3102" s="73"/>
      <c r="H3102" s="73"/>
      <c r="I3102" s="73"/>
      <c r="J3102" s="73"/>
    </row>
    <row r="3103" spans="2:10">
      <c r="B3103" s="73"/>
      <c r="C3103" s="73"/>
      <c r="D3103" s="73"/>
      <c r="E3103" s="73"/>
      <c r="F3103" s="73"/>
      <c r="G3103" s="73"/>
      <c r="H3103" s="73"/>
      <c r="I3103" s="73"/>
      <c r="J3103" s="73"/>
    </row>
    <row r="3104" spans="2:10">
      <c r="B3104" s="73"/>
      <c r="C3104" s="73"/>
      <c r="D3104" s="73"/>
      <c r="E3104" s="73"/>
      <c r="F3104" s="73"/>
      <c r="G3104" s="73"/>
      <c r="H3104" s="73"/>
      <c r="I3104" s="73"/>
      <c r="J3104" s="73"/>
    </row>
    <row r="3105" spans="2:10">
      <c r="B3105" s="73"/>
      <c r="C3105" s="73"/>
      <c r="D3105" s="73"/>
      <c r="E3105" s="73"/>
      <c r="F3105" s="73"/>
      <c r="G3105" s="73"/>
      <c r="H3105" s="73"/>
      <c r="I3105" s="73"/>
      <c r="J3105" s="73"/>
    </row>
    <row r="3106" spans="2:10">
      <c r="B3106" s="73"/>
      <c r="C3106" s="73"/>
      <c r="D3106" s="73"/>
      <c r="E3106" s="73"/>
      <c r="F3106" s="73"/>
      <c r="G3106" s="73"/>
      <c r="H3106" s="73"/>
      <c r="I3106" s="73"/>
      <c r="J3106" s="73"/>
    </row>
    <row r="3107" spans="2:10">
      <c r="B3107" s="73"/>
      <c r="C3107" s="73"/>
      <c r="D3107" s="73"/>
      <c r="E3107" s="73"/>
      <c r="F3107" s="73"/>
      <c r="G3107" s="73"/>
      <c r="H3107" s="73"/>
      <c r="I3107" s="73"/>
      <c r="J3107" s="73"/>
    </row>
    <row r="3108" spans="2:10">
      <c r="B3108" s="73"/>
      <c r="C3108" s="73"/>
      <c r="D3108" s="73"/>
      <c r="E3108" s="73"/>
      <c r="F3108" s="73"/>
      <c r="G3108" s="73"/>
      <c r="H3108" s="73"/>
      <c r="I3108" s="73"/>
      <c r="J3108" s="73"/>
    </row>
    <row r="3109" spans="2:10">
      <c r="B3109" s="73"/>
      <c r="C3109" s="73"/>
      <c r="D3109" s="73"/>
      <c r="E3109" s="73"/>
      <c r="F3109" s="73"/>
      <c r="G3109" s="73"/>
      <c r="H3109" s="73"/>
      <c r="I3109" s="73"/>
      <c r="J3109" s="73"/>
    </row>
    <row r="3110" spans="2:10">
      <c r="B3110" s="73"/>
      <c r="C3110" s="73"/>
      <c r="D3110" s="73"/>
      <c r="E3110" s="73"/>
      <c r="F3110" s="73"/>
      <c r="G3110" s="73"/>
      <c r="H3110" s="73"/>
      <c r="I3110" s="73"/>
      <c r="J3110" s="73"/>
    </row>
    <row r="3111" spans="2:10">
      <c r="B3111" s="73"/>
      <c r="C3111" s="73"/>
      <c r="D3111" s="73"/>
      <c r="E3111" s="73"/>
      <c r="F3111" s="73"/>
      <c r="G3111" s="73"/>
      <c r="H3111" s="73"/>
      <c r="I3111" s="73"/>
      <c r="J3111" s="73"/>
    </row>
    <row r="3112" spans="2:10">
      <c r="B3112" s="73"/>
      <c r="C3112" s="73"/>
      <c r="D3112" s="73"/>
      <c r="E3112" s="73"/>
      <c r="F3112" s="73"/>
      <c r="G3112" s="73"/>
      <c r="H3112" s="73"/>
      <c r="I3112" s="73"/>
      <c r="J3112" s="73"/>
    </row>
    <row r="3113" spans="2:10">
      <c r="B3113" s="73"/>
      <c r="C3113" s="73"/>
      <c r="D3113" s="73"/>
      <c r="E3113" s="73"/>
      <c r="F3113" s="73"/>
      <c r="G3113" s="73"/>
      <c r="H3113" s="73"/>
      <c r="I3113" s="73"/>
      <c r="J3113" s="73"/>
    </row>
    <row r="3114" spans="2:10">
      <c r="B3114" s="73"/>
      <c r="C3114" s="73"/>
      <c r="D3114" s="73"/>
      <c r="E3114" s="73"/>
      <c r="F3114" s="73"/>
      <c r="G3114" s="73"/>
      <c r="H3114" s="73"/>
      <c r="I3114" s="73"/>
      <c r="J3114" s="73"/>
    </row>
    <row r="3115" spans="2:10">
      <c r="B3115" s="73"/>
      <c r="C3115" s="73"/>
      <c r="D3115" s="73"/>
      <c r="E3115" s="73"/>
      <c r="F3115" s="73"/>
      <c r="G3115" s="73"/>
      <c r="H3115" s="73"/>
      <c r="I3115" s="73"/>
      <c r="J3115" s="73"/>
    </row>
    <row r="3116" spans="2:10">
      <c r="B3116" s="73"/>
      <c r="C3116" s="73"/>
      <c r="D3116" s="73"/>
      <c r="E3116" s="73"/>
      <c r="F3116" s="73"/>
      <c r="G3116" s="73"/>
      <c r="H3116" s="73"/>
      <c r="I3116" s="73"/>
      <c r="J3116" s="73"/>
    </row>
    <row r="3117" spans="2:10">
      <c r="B3117" s="73"/>
      <c r="C3117" s="73"/>
      <c r="D3117" s="73"/>
      <c r="E3117" s="73"/>
      <c r="F3117" s="73"/>
      <c r="G3117" s="73"/>
      <c r="H3117" s="73"/>
      <c r="I3117" s="73"/>
      <c r="J3117" s="73"/>
    </row>
    <row r="3118" spans="2:10">
      <c r="B3118" s="73"/>
      <c r="C3118" s="73"/>
      <c r="D3118" s="73"/>
      <c r="E3118" s="73"/>
      <c r="F3118" s="73"/>
      <c r="G3118" s="73"/>
      <c r="H3118" s="73"/>
      <c r="I3118" s="73"/>
      <c r="J3118" s="73"/>
    </row>
    <row r="3119" spans="2:10">
      <c r="B3119" s="73"/>
      <c r="C3119" s="73"/>
      <c r="D3119" s="73"/>
      <c r="E3119" s="73"/>
      <c r="F3119" s="73"/>
      <c r="G3119" s="73"/>
      <c r="H3119" s="73"/>
      <c r="I3119" s="73"/>
      <c r="J3119" s="73"/>
    </row>
    <row r="3120" spans="2:10">
      <c r="B3120" s="73"/>
      <c r="C3120" s="73"/>
      <c r="D3120" s="73"/>
      <c r="E3120" s="73"/>
      <c r="F3120" s="73"/>
      <c r="G3120" s="73"/>
      <c r="H3120" s="73"/>
      <c r="I3120" s="73"/>
      <c r="J3120" s="73"/>
    </row>
    <row r="3121" spans="2:10">
      <c r="B3121" s="73"/>
      <c r="C3121" s="73"/>
      <c r="D3121" s="73"/>
      <c r="E3121" s="73"/>
      <c r="F3121" s="73"/>
      <c r="G3121" s="73"/>
      <c r="H3121" s="73"/>
      <c r="I3121" s="73"/>
      <c r="J3121" s="73"/>
    </row>
    <row r="3122" spans="2:10">
      <c r="B3122" s="73"/>
      <c r="C3122" s="73"/>
      <c r="D3122" s="73"/>
      <c r="E3122" s="73"/>
      <c r="F3122" s="73"/>
      <c r="G3122" s="73"/>
      <c r="H3122" s="73"/>
      <c r="I3122" s="73"/>
      <c r="J3122" s="73"/>
    </row>
    <row r="3123" spans="2:10">
      <c r="B3123" s="73"/>
      <c r="C3123" s="73"/>
      <c r="D3123" s="73"/>
      <c r="E3123" s="73"/>
      <c r="F3123" s="73"/>
      <c r="G3123" s="73"/>
      <c r="H3123" s="73"/>
      <c r="I3123" s="73"/>
      <c r="J3123" s="73"/>
    </row>
    <row r="3124" spans="2:10">
      <c r="B3124" s="73"/>
      <c r="C3124" s="73"/>
      <c r="D3124" s="73"/>
      <c r="E3124" s="73"/>
      <c r="F3124" s="73"/>
      <c r="G3124" s="73"/>
      <c r="H3124" s="73"/>
      <c r="I3124" s="73"/>
      <c r="J3124" s="73"/>
    </row>
    <row r="3125" spans="2:10">
      <c r="B3125" s="73"/>
      <c r="C3125" s="73"/>
      <c r="D3125" s="73"/>
      <c r="E3125" s="73"/>
      <c r="F3125" s="73"/>
      <c r="G3125" s="73"/>
      <c r="H3125" s="73"/>
      <c r="I3125" s="73"/>
      <c r="J3125" s="73"/>
    </row>
    <row r="3126" spans="2:10">
      <c r="B3126" s="73"/>
      <c r="C3126" s="73"/>
      <c r="D3126" s="73"/>
      <c r="E3126" s="73"/>
      <c r="F3126" s="73"/>
      <c r="G3126" s="73"/>
      <c r="H3126" s="73"/>
      <c r="I3126" s="73"/>
      <c r="J3126" s="73"/>
    </row>
    <row r="3127" spans="2:10">
      <c r="B3127" s="73"/>
      <c r="C3127" s="73"/>
      <c r="D3127" s="73"/>
      <c r="E3127" s="73"/>
      <c r="F3127" s="73"/>
      <c r="G3127" s="73"/>
      <c r="H3127" s="73"/>
      <c r="I3127" s="73"/>
      <c r="J3127" s="73"/>
    </row>
    <row r="3128" spans="2:10">
      <c r="B3128" s="73"/>
      <c r="C3128" s="73"/>
      <c r="D3128" s="73"/>
      <c r="E3128" s="73"/>
      <c r="F3128" s="73"/>
      <c r="G3128" s="73"/>
      <c r="H3128" s="73"/>
      <c r="I3128" s="73"/>
      <c r="J3128" s="73"/>
    </row>
    <row r="3129" spans="2:10">
      <c r="B3129" s="73"/>
      <c r="C3129" s="73"/>
      <c r="D3129" s="73"/>
      <c r="E3129" s="73"/>
      <c r="F3129" s="73"/>
      <c r="G3129" s="73"/>
      <c r="H3129" s="73"/>
      <c r="I3129" s="73"/>
      <c r="J3129" s="73"/>
    </row>
    <row r="3130" spans="2:10">
      <c r="B3130" s="73"/>
      <c r="C3130" s="73"/>
      <c r="D3130" s="73"/>
      <c r="E3130" s="73"/>
      <c r="F3130" s="73"/>
      <c r="G3130" s="73"/>
      <c r="H3130" s="73"/>
      <c r="I3130" s="73"/>
      <c r="J3130" s="73"/>
    </row>
    <row r="3131" spans="2:10">
      <c r="B3131" s="73"/>
      <c r="C3131" s="73"/>
      <c r="D3131" s="73"/>
      <c r="E3131" s="73"/>
      <c r="F3131" s="73"/>
      <c r="G3131" s="73"/>
      <c r="H3131" s="73"/>
      <c r="I3131" s="73"/>
      <c r="J3131" s="73"/>
    </row>
    <row r="3132" spans="2:10">
      <c r="B3132" s="73"/>
      <c r="C3132" s="73"/>
      <c r="D3132" s="73"/>
      <c r="E3132" s="73"/>
      <c r="F3132" s="73"/>
      <c r="G3132" s="73"/>
      <c r="H3132" s="73"/>
      <c r="I3132" s="73"/>
      <c r="J3132" s="73"/>
    </row>
    <row r="3133" spans="2:10">
      <c r="B3133" s="73"/>
      <c r="C3133" s="73"/>
      <c r="D3133" s="73"/>
      <c r="E3133" s="73"/>
      <c r="F3133" s="73"/>
      <c r="G3133" s="73"/>
      <c r="H3133" s="73"/>
      <c r="I3133" s="73"/>
      <c r="J3133" s="73"/>
    </row>
    <row r="3134" spans="2:10">
      <c r="B3134" s="73"/>
      <c r="C3134" s="73"/>
      <c r="D3134" s="73"/>
      <c r="E3134" s="73"/>
      <c r="F3134" s="73"/>
      <c r="G3134" s="73"/>
      <c r="H3134" s="73"/>
      <c r="I3134" s="73"/>
      <c r="J3134" s="73"/>
    </row>
    <row r="3135" spans="2:10">
      <c r="B3135" s="73"/>
      <c r="C3135" s="73"/>
      <c r="D3135" s="73"/>
      <c r="E3135" s="73"/>
      <c r="F3135" s="73"/>
      <c r="G3135" s="73"/>
      <c r="H3135" s="73"/>
      <c r="I3135" s="73"/>
      <c r="J3135" s="73"/>
    </row>
    <row r="3136" spans="2:10">
      <c r="B3136" s="73"/>
      <c r="C3136" s="73"/>
      <c r="D3136" s="73"/>
      <c r="E3136" s="73"/>
      <c r="F3136" s="73"/>
      <c r="G3136" s="73"/>
      <c r="H3136" s="73"/>
      <c r="I3136" s="73"/>
      <c r="J3136" s="73"/>
    </row>
    <row r="3137" spans="2:10">
      <c r="B3137" s="73"/>
      <c r="C3137" s="73"/>
      <c r="D3137" s="73"/>
      <c r="E3137" s="73"/>
      <c r="F3137" s="73"/>
      <c r="G3137" s="73"/>
      <c r="H3137" s="73"/>
      <c r="I3137" s="73"/>
      <c r="J3137" s="73"/>
    </row>
    <row r="3138" spans="2:10">
      <c r="B3138" s="73"/>
      <c r="C3138" s="73"/>
      <c r="D3138" s="73"/>
      <c r="E3138" s="73"/>
      <c r="F3138" s="73"/>
      <c r="G3138" s="73"/>
      <c r="H3138" s="73"/>
      <c r="I3138" s="73"/>
      <c r="J3138" s="73"/>
    </row>
    <row r="3139" spans="2:10">
      <c r="B3139" s="73"/>
      <c r="C3139" s="73"/>
      <c r="D3139" s="73"/>
      <c r="E3139" s="73"/>
      <c r="F3139" s="73"/>
      <c r="G3139" s="73"/>
      <c r="H3139" s="73"/>
      <c r="I3139" s="73"/>
      <c r="J3139" s="73"/>
    </row>
    <row r="3140" spans="2:10">
      <c r="B3140" s="73"/>
      <c r="C3140" s="73"/>
      <c r="D3140" s="73"/>
      <c r="E3140" s="73"/>
      <c r="F3140" s="73"/>
      <c r="G3140" s="73"/>
      <c r="H3140" s="73"/>
      <c r="I3140" s="73"/>
      <c r="J3140" s="73"/>
    </row>
    <row r="3141" spans="2:10">
      <c r="B3141" s="73"/>
      <c r="C3141" s="73"/>
      <c r="D3141" s="73"/>
      <c r="E3141" s="73"/>
      <c r="F3141" s="73"/>
      <c r="G3141" s="73"/>
      <c r="H3141" s="73"/>
      <c r="I3141" s="73"/>
      <c r="J3141" s="73"/>
    </row>
    <row r="3142" spans="2:10">
      <c r="B3142" s="73"/>
      <c r="C3142" s="73"/>
      <c r="D3142" s="73"/>
      <c r="E3142" s="73"/>
      <c r="F3142" s="73"/>
      <c r="G3142" s="73"/>
      <c r="H3142" s="73"/>
      <c r="I3142" s="73"/>
      <c r="J3142" s="73"/>
    </row>
    <row r="3143" spans="2:10">
      <c r="B3143" s="73"/>
      <c r="C3143" s="73"/>
      <c r="D3143" s="73"/>
      <c r="E3143" s="73"/>
      <c r="F3143" s="73"/>
      <c r="G3143" s="73"/>
      <c r="H3143" s="73"/>
      <c r="I3143" s="73"/>
      <c r="J3143" s="73"/>
    </row>
    <row r="3144" spans="2:10">
      <c r="B3144" s="73"/>
      <c r="C3144" s="73"/>
      <c r="D3144" s="73"/>
      <c r="E3144" s="73"/>
      <c r="F3144" s="73"/>
      <c r="G3144" s="73"/>
      <c r="H3144" s="73"/>
      <c r="I3144" s="73"/>
      <c r="J3144" s="73"/>
    </row>
    <row r="3145" spans="2:10">
      <c r="B3145" s="73"/>
      <c r="C3145" s="73"/>
      <c r="D3145" s="73"/>
      <c r="E3145" s="73"/>
      <c r="F3145" s="73"/>
      <c r="G3145" s="73"/>
      <c r="H3145" s="73"/>
      <c r="I3145" s="73"/>
      <c r="J3145" s="73"/>
    </row>
    <row r="3146" spans="2:10">
      <c r="B3146" s="73"/>
      <c r="C3146" s="73"/>
      <c r="D3146" s="73"/>
      <c r="E3146" s="73"/>
      <c r="F3146" s="73"/>
      <c r="G3146" s="73"/>
      <c r="H3146" s="73"/>
      <c r="I3146" s="73"/>
      <c r="J3146" s="73"/>
    </row>
    <row r="3147" spans="2:10">
      <c r="B3147" s="73"/>
      <c r="C3147" s="73"/>
      <c r="D3147" s="73"/>
      <c r="E3147" s="73"/>
      <c r="F3147" s="73"/>
      <c r="G3147" s="73"/>
      <c r="H3147" s="73"/>
      <c r="I3147" s="73"/>
      <c r="J3147" s="73"/>
    </row>
    <row r="3148" spans="2:10">
      <c r="B3148" s="73"/>
      <c r="C3148" s="73"/>
      <c r="D3148" s="73"/>
      <c r="E3148" s="73"/>
      <c r="F3148" s="73"/>
      <c r="G3148" s="73"/>
      <c r="H3148" s="73"/>
      <c r="I3148" s="73"/>
      <c r="J3148" s="73"/>
    </row>
    <row r="3149" spans="2:10">
      <c r="B3149" s="73"/>
      <c r="C3149" s="73"/>
      <c r="D3149" s="73"/>
      <c r="E3149" s="73"/>
      <c r="F3149" s="73"/>
      <c r="G3149" s="73"/>
      <c r="H3149" s="73"/>
      <c r="I3149" s="73"/>
      <c r="J3149" s="73"/>
    </row>
    <row r="3150" spans="2:10">
      <c r="B3150" s="73"/>
      <c r="C3150" s="73"/>
      <c r="D3150" s="73"/>
      <c r="E3150" s="73"/>
      <c r="F3150" s="73"/>
      <c r="G3150" s="73"/>
      <c r="H3150" s="73"/>
      <c r="I3150" s="73"/>
      <c r="J3150" s="73"/>
    </row>
    <row r="3151" spans="2:10">
      <c r="B3151" s="73"/>
      <c r="C3151" s="73"/>
      <c r="D3151" s="73"/>
      <c r="E3151" s="73"/>
      <c r="F3151" s="73"/>
      <c r="G3151" s="73"/>
      <c r="H3151" s="73"/>
      <c r="I3151" s="73"/>
      <c r="J3151" s="73"/>
    </row>
    <row r="3152" spans="2:10">
      <c r="B3152" s="73"/>
      <c r="C3152" s="73"/>
      <c r="D3152" s="73"/>
      <c r="E3152" s="73"/>
      <c r="F3152" s="73"/>
      <c r="G3152" s="73"/>
      <c r="H3152" s="73"/>
      <c r="I3152" s="73"/>
      <c r="J3152" s="73"/>
    </row>
    <row r="3153" spans="2:10">
      <c r="B3153" s="73"/>
      <c r="C3153" s="73"/>
      <c r="D3153" s="73"/>
      <c r="E3153" s="73"/>
      <c r="F3153" s="73"/>
      <c r="G3153" s="73"/>
      <c r="H3153" s="73"/>
      <c r="I3153" s="73"/>
      <c r="J3153" s="73"/>
    </row>
    <row r="3154" spans="2:10">
      <c r="B3154" s="73"/>
      <c r="C3154" s="73"/>
      <c r="D3154" s="73"/>
      <c r="E3154" s="73"/>
      <c r="F3154" s="73"/>
      <c r="G3154" s="73"/>
      <c r="H3154" s="73"/>
      <c r="I3154" s="73"/>
      <c r="J3154" s="73"/>
    </row>
    <row r="3155" spans="2:10">
      <c r="B3155" s="73"/>
      <c r="C3155" s="73"/>
      <c r="D3155" s="73"/>
      <c r="E3155" s="73"/>
      <c r="F3155" s="73"/>
      <c r="G3155" s="73"/>
      <c r="H3155" s="73"/>
      <c r="I3155" s="73"/>
      <c r="J3155" s="73"/>
    </row>
    <row r="3156" spans="2:10">
      <c r="B3156" s="73"/>
      <c r="C3156" s="73"/>
      <c r="D3156" s="73"/>
      <c r="E3156" s="73"/>
      <c r="F3156" s="73"/>
      <c r="G3156" s="73"/>
      <c r="H3156" s="73"/>
      <c r="I3156" s="73"/>
      <c r="J3156" s="73"/>
    </row>
    <row r="3157" spans="2:10">
      <c r="B3157" s="73"/>
      <c r="C3157" s="73"/>
      <c r="D3157" s="73"/>
      <c r="E3157" s="73"/>
      <c r="F3157" s="73"/>
      <c r="G3157" s="73"/>
      <c r="H3157" s="73"/>
      <c r="I3157" s="73"/>
      <c r="J3157" s="73"/>
    </row>
    <row r="3158" spans="2:10">
      <c r="B3158" s="73"/>
      <c r="C3158" s="73"/>
      <c r="D3158" s="73"/>
      <c r="E3158" s="73"/>
      <c r="F3158" s="73"/>
      <c r="G3158" s="73"/>
      <c r="H3158" s="73"/>
      <c r="I3158" s="73"/>
      <c r="J3158" s="73"/>
    </row>
    <row r="3159" spans="2:10">
      <c r="B3159" s="73"/>
      <c r="C3159" s="73"/>
      <c r="D3159" s="73"/>
      <c r="E3159" s="73"/>
      <c r="F3159" s="73"/>
      <c r="G3159" s="73"/>
      <c r="H3159" s="73"/>
      <c r="I3159" s="73"/>
      <c r="J3159" s="73"/>
    </row>
    <row r="3160" spans="2:10">
      <c r="B3160" s="73"/>
      <c r="C3160" s="73"/>
      <c r="D3160" s="73"/>
      <c r="E3160" s="73"/>
      <c r="F3160" s="73"/>
      <c r="G3160" s="73"/>
      <c r="H3160" s="73"/>
      <c r="I3160" s="73"/>
      <c r="J3160" s="73"/>
    </row>
    <row r="3161" spans="2:10">
      <c r="B3161" s="73"/>
      <c r="C3161" s="73"/>
      <c r="D3161" s="73"/>
      <c r="E3161" s="73"/>
      <c r="F3161" s="73"/>
      <c r="G3161" s="73"/>
      <c r="H3161" s="73"/>
      <c r="I3161" s="73"/>
      <c r="J3161" s="73"/>
    </row>
    <row r="3162" spans="2:10">
      <c r="B3162" s="73"/>
      <c r="C3162" s="73"/>
      <c r="D3162" s="73"/>
      <c r="E3162" s="73"/>
      <c r="F3162" s="73"/>
      <c r="G3162" s="73"/>
      <c r="H3162" s="73"/>
      <c r="I3162" s="73"/>
      <c r="J3162" s="73"/>
    </row>
    <row r="3163" spans="2:10">
      <c r="B3163" s="73"/>
      <c r="C3163" s="73"/>
      <c r="D3163" s="73"/>
      <c r="E3163" s="73"/>
      <c r="F3163" s="73"/>
      <c r="G3163" s="73"/>
      <c r="H3163" s="73"/>
      <c r="I3163" s="73"/>
      <c r="J3163" s="73"/>
    </row>
    <row r="3164" spans="2:10">
      <c r="B3164" s="73"/>
      <c r="C3164" s="73"/>
      <c r="D3164" s="73"/>
      <c r="E3164" s="73"/>
      <c r="F3164" s="73"/>
      <c r="G3164" s="73"/>
      <c r="H3164" s="73"/>
      <c r="I3164" s="73"/>
      <c r="J3164" s="73"/>
    </row>
    <row r="3165" spans="2:10">
      <c r="B3165" s="73"/>
      <c r="C3165" s="73"/>
      <c r="D3165" s="73"/>
      <c r="E3165" s="73"/>
      <c r="F3165" s="73"/>
      <c r="G3165" s="73"/>
      <c r="H3165" s="73"/>
      <c r="I3165" s="73"/>
      <c r="J3165" s="73"/>
    </row>
    <row r="3166" spans="2:10">
      <c r="B3166" s="73"/>
      <c r="C3166" s="73"/>
      <c r="D3166" s="73"/>
      <c r="E3166" s="73"/>
      <c r="F3166" s="73"/>
      <c r="G3166" s="73"/>
      <c r="H3166" s="73"/>
      <c r="I3166" s="73"/>
      <c r="J3166" s="73"/>
    </row>
    <row r="3167" spans="2:10">
      <c r="B3167" s="73"/>
      <c r="C3167" s="73"/>
      <c r="D3167" s="73"/>
      <c r="E3167" s="73"/>
      <c r="F3167" s="73"/>
      <c r="G3167" s="73"/>
      <c r="H3167" s="73"/>
      <c r="I3167" s="73"/>
      <c r="J3167" s="73"/>
    </row>
    <row r="3168" spans="2:10">
      <c r="B3168" s="73"/>
      <c r="C3168" s="73"/>
      <c r="D3168" s="73"/>
      <c r="E3168" s="73"/>
      <c r="F3168" s="73"/>
      <c r="G3168" s="73"/>
      <c r="H3168" s="73"/>
      <c r="I3168" s="73"/>
      <c r="J3168" s="73"/>
    </row>
    <row r="3169" spans="2:10">
      <c r="B3169" s="73"/>
      <c r="C3169" s="73"/>
      <c r="D3169" s="73"/>
      <c r="E3169" s="73"/>
      <c r="F3169" s="73"/>
      <c r="G3169" s="73"/>
      <c r="H3169" s="73"/>
      <c r="I3169" s="73"/>
      <c r="J3169" s="73"/>
    </row>
    <row r="3170" spans="2:10">
      <c r="B3170" s="73"/>
      <c r="C3170" s="73"/>
      <c r="D3170" s="73"/>
      <c r="E3170" s="73"/>
      <c r="F3170" s="73"/>
      <c r="G3170" s="73"/>
      <c r="H3170" s="73"/>
      <c r="I3170" s="73"/>
      <c r="J3170" s="73"/>
    </row>
    <row r="3171" spans="2:10">
      <c r="B3171" s="73"/>
      <c r="C3171" s="73"/>
      <c r="D3171" s="73"/>
      <c r="E3171" s="73"/>
      <c r="F3171" s="73"/>
      <c r="G3171" s="73"/>
      <c r="H3171" s="73"/>
      <c r="I3171" s="73"/>
      <c r="J3171" s="73"/>
    </row>
    <row r="3172" spans="2:10">
      <c r="B3172" s="73"/>
      <c r="C3172" s="73"/>
      <c r="D3172" s="73"/>
      <c r="E3172" s="73"/>
      <c r="F3172" s="73"/>
      <c r="G3172" s="73"/>
      <c r="H3172" s="73"/>
      <c r="I3172" s="73"/>
      <c r="J3172" s="73"/>
    </row>
    <row r="3173" spans="2:10">
      <c r="B3173" s="73"/>
      <c r="C3173" s="73"/>
      <c r="D3173" s="73"/>
      <c r="E3173" s="73"/>
      <c r="F3173" s="73"/>
      <c r="G3173" s="73"/>
      <c r="H3173" s="73"/>
      <c r="I3173" s="73"/>
      <c r="J3173" s="73"/>
    </row>
    <row r="3174" spans="2:10">
      <c r="B3174" s="73"/>
      <c r="C3174" s="73"/>
      <c r="D3174" s="73"/>
      <c r="E3174" s="73"/>
      <c r="F3174" s="73"/>
      <c r="G3174" s="73"/>
      <c r="H3174" s="73"/>
      <c r="I3174" s="73"/>
      <c r="J3174" s="73"/>
    </row>
    <row r="3175" spans="2:10">
      <c r="B3175" s="73"/>
      <c r="C3175" s="73"/>
      <c r="D3175" s="73"/>
      <c r="E3175" s="73"/>
      <c r="F3175" s="73"/>
      <c r="G3175" s="73"/>
      <c r="H3175" s="73"/>
      <c r="I3175" s="73"/>
      <c r="J3175" s="73"/>
    </row>
    <row r="3176" spans="2:10">
      <c r="B3176" s="73"/>
      <c r="C3176" s="73"/>
      <c r="D3176" s="73"/>
      <c r="E3176" s="73"/>
      <c r="F3176" s="73"/>
      <c r="G3176" s="73"/>
      <c r="H3176" s="73"/>
      <c r="I3176" s="73"/>
      <c r="J3176" s="73"/>
    </row>
    <row r="3177" spans="2:10">
      <c r="B3177" s="73"/>
      <c r="C3177" s="73"/>
      <c r="D3177" s="73"/>
      <c r="E3177" s="73"/>
      <c r="F3177" s="73"/>
      <c r="G3177" s="73"/>
      <c r="H3177" s="73"/>
      <c r="I3177" s="73"/>
      <c r="J3177" s="73"/>
    </row>
    <row r="3178" spans="2:10">
      <c r="B3178" s="73"/>
      <c r="C3178" s="73"/>
      <c r="D3178" s="73"/>
      <c r="E3178" s="73"/>
      <c r="F3178" s="73"/>
      <c r="G3178" s="73"/>
      <c r="H3178" s="73"/>
      <c r="I3178" s="73"/>
      <c r="J3178" s="73"/>
    </row>
    <row r="3179" spans="2:10">
      <c r="B3179" s="73"/>
      <c r="C3179" s="73"/>
      <c r="D3179" s="73"/>
      <c r="E3179" s="73"/>
      <c r="F3179" s="73"/>
      <c r="G3179" s="73"/>
      <c r="H3179" s="73"/>
      <c r="I3179" s="73"/>
      <c r="J3179" s="73"/>
    </row>
    <row r="3180" spans="2:10">
      <c r="B3180" s="73"/>
      <c r="C3180" s="73"/>
      <c r="D3180" s="73"/>
      <c r="E3180" s="73"/>
      <c r="F3180" s="73"/>
      <c r="G3180" s="73"/>
      <c r="H3180" s="73"/>
      <c r="I3180" s="73"/>
      <c r="J3180" s="73"/>
    </row>
    <row r="3181" spans="2:10">
      <c r="B3181" s="73"/>
      <c r="C3181" s="73"/>
      <c r="D3181" s="73"/>
      <c r="E3181" s="73"/>
      <c r="F3181" s="73"/>
      <c r="G3181" s="73"/>
      <c r="H3181" s="73"/>
      <c r="I3181" s="73"/>
      <c r="J3181" s="73"/>
    </row>
    <row r="3182" spans="2:10">
      <c r="B3182" s="73"/>
      <c r="C3182" s="73"/>
      <c r="D3182" s="73"/>
      <c r="E3182" s="73"/>
      <c r="F3182" s="73"/>
      <c r="G3182" s="73"/>
      <c r="H3182" s="73"/>
      <c r="I3182" s="73"/>
      <c r="J3182" s="73"/>
    </row>
    <row r="3183" spans="2:10">
      <c r="B3183" s="73"/>
      <c r="C3183" s="73"/>
      <c r="D3183" s="73"/>
      <c r="E3183" s="73"/>
      <c r="F3183" s="73"/>
      <c r="G3183" s="73"/>
      <c r="H3183" s="73"/>
      <c r="I3183" s="73"/>
      <c r="J3183" s="73"/>
    </row>
    <row r="3184" spans="2:10">
      <c r="B3184" s="73"/>
      <c r="C3184" s="73"/>
      <c r="D3184" s="73"/>
      <c r="E3184" s="73"/>
      <c r="F3184" s="73"/>
      <c r="G3184" s="73"/>
      <c r="H3184" s="73"/>
      <c r="I3184" s="73"/>
      <c r="J3184" s="73"/>
    </row>
    <row r="3185" spans="2:10">
      <c r="B3185" s="73"/>
      <c r="C3185" s="73"/>
      <c r="D3185" s="73"/>
      <c r="E3185" s="73"/>
      <c r="F3185" s="73"/>
      <c r="G3185" s="73"/>
      <c r="H3185" s="73"/>
      <c r="I3185" s="73"/>
      <c r="J3185" s="73"/>
    </row>
    <row r="3186" spans="2:10">
      <c r="B3186" s="73"/>
      <c r="C3186" s="73"/>
      <c r="D3186" s="73"/>
      <c r="E3186" s="73"/>
      <c r="F3186" s="73"/>
      <c r="G3186" s="73"/>
      <c r="H3186" s="73"/>
      <c r="I3186" s="73"/>
      <c r="J3186" s="73"/>
    </row>
    <row r="3187" spans="2:10">
      <c r="B3187" s="73"/>
      <c r="C3187" s="73"/>
      <c r="D3187" s="73"/>
      <c r="E3187" s="73"/>
      <c r="F3187" s="73"/>
      <c r="G3187" s="73"/>
      <c r="H3187" s="73"/>
      <c r="I3187" s="73"/>
      <c r="J3187" s="73"/>
    </row>
    <row r="3188" spans="2:10">
      <c r="B3188" s="73"/>
      <c r="C3188" s="73"/>
      <c r="D3188" s="73"/>
      <c r="E3188" s="73"/>
      <c r="F3188" s="73"/>
      <c r="G3188" s="73"/>
      <c r="H3188" s="73"/>
      <c r="I3188" s="73"/>
      <c r="J3188" s="73"/>
    </row>
    <row r="3189" spans="2:10">
      <c r="B3189" s="73"/>
      <c r="C3189" s="73"/>
      <c r="D3189" s="73"/>
      <c r="E3189" s="73"/>
      <c r="F3189" s="73"/>
      <c r="G3189" s="73"/>
      <c r="H3189" s="73"/>
      <c r="I3189" s="73"/>
      <c r="J3189" s="73"/>
    </row>
    <row r="3190" spans="2:10">
      <c r="B3190" s="73"/>
      <c r="C3190" s="73"/>
      <c r="D3190" s="73"/>
      <c r="E3190" s="73"/>
      <c r="F3190" s="73"/>
      <c r="G3190" s="73"/>
      <c r="H3190" s="73"/>
      <c r="I3190" s="73"/>
      <c r="J3190" s="73"/>
    </row>
    <row r="3191" spans="2:10">
      <c r="B3191" s="73"/>
      <c r="C3191" s="73"/>
      <c r="D3191" s="73"/>
      <c r="E3191" s="73"/>
      <c r="F3191" s="73"/>
      <c r="G3191" s="73"/>
      <c r="H3191" s="73"/>
      <c r="I3191" s="73"/>
      <c r="J3191" s="73"/>
    </row>
    <row r="3192" spans="2:10">
      <c r="B3192" s="73"/>
      <c r="C3192" s="73"/>
      <c r="D3192" s="73"/>
      <c r="E3192" s="73"/>
      <c r="F3192" s="73"/>
      <c r="G3192" s="73"/>
      <c r="H3192" s="73"/>
      <c r="I3192" s="73"/>
      <c r="J3192" s="73"/>
    </row>
    <row r="3193" spans="2:10">
      <c r="B3193" s="73"/>
      <c r="C3193" s="73"/>
      <c r="D3193" s="73"/>
      <c r="E3193" s="73"/>
      <c r="F3193" s="73"/>
      <c r="G3193" s="73"/>
      <c r="H3193" s="73"/>
      <c r="I3193" s="73"/>
      <c r="J3193" s="73"/>
    </row>
    <row r="3194" spans="2:10">
      <c r="B3194" s="73"/>
      <c r="C3194" s="73"/>
      <c r="D3194" s="73"/>
      <c r="E3194" s="73"/>
      <c r="F3194" s="73"/>
      <c r="G3194" s="73"/>
      <c r="H3194" s="73"/>
      <c r="I3194" s="73"/>
      <c r="J3194" s="73"/>
    </row>
    <row r="3195" spans="2:10">
      <c r="B3195" s="73"/>
      <c r="C3195" s="73"/>
      <c r="D3195" s="73"/>
      <c r="E3195" s="73"/>
      <c r="F3195" s="73"/>
      <c r="G3195" s="73"/>
      <c r="H3195" s="73"/>
      <c r="I3195" s="73"/>
      <c r="J3195" s="73"/>
    </row>
    <row r="3196" spans="2:10">
      <c r="B3196" s="73"/>
      <c r="C3196" s="73"/>
      <c r="D3196" s="73"/>
      <c r="E3196" s="73"/>
      <c r="F3196" s="73"/>
      <c r="G3196" s="73"/>
      <c r="H3196" s="73"/>
      <c r="I3196" s="73"/>
      <c r="J3196" s="73"/>
    </row>
    <row r="3197" spans="2:10">
      <c r="B3197" s="73"/>
      <c r="C3197" s="73"/>
      <c r="D3197" s="73"/>
      <c r="E3197" s="73"/>
      <c r="F3197" s="73"/>
      <c r="G3197" s="73"/>
      <c r="H3197" s="73"/>
      <c r="I3197" s="73"/>
      <c r="J3197" s="73"/>
    </row>
    <row r="3198" spans="2:10">
      <c r="B3198" s="73"/>
      <c r="C3198" s="73"/>
      <c r="D3198" s="73"/>
      <c r="E3198" s="73"/>
      <c r="F3198" s="73"/>
      <c r="G3198" s="73"/>
      <c r="H3198" s="73"/>
      <c r="I3198" s="73"/>
      <c r="J3198" s="73"/>
    </row>
    <row r="3199" spans="2:10">
      <c r="B3199" s="73"/>
      <c r="C3199" s="73"/>
      <c r="D3199" s="73"/>
      <c r="E3199" s="73"/>
      <c r="F3199" s="73"/>
      <c r="G3199" s="73"/>
      <c r="H3199" s="73"/>
      <c r="I3199" s="73"/>
      <c r="J3199" s="73"/>
    </row>
    <row r="3200" spans="2:10">
      <c r="B3200" s="73"/>
      <c r="C3200" s="73"/>
      <c r="D3200" s="73"/>
      <c r="E3200" s="73"/>
      <c r="F3200" s="73"/>
      <c r="G3200" s="73"/>
      <c r="H3200" s="73"/>
      <c r="I3200" s="73"/>
      <c r="J3200" s="73"/>
    </row>
    <row r="3201" spans="2:10">
      <c r="B3201" s="73"/>
      <c r="C3201" s="73"/>
      <c r="D3201" s="73"/>
      <c r="E3201" s="73"/>
      <c r="F3201" s="73"/>
      <c r="G3201" s="73"/>
      <c r="H3201" s="73"/>
      <c r="I3201" s="73"/>
      <c r="J3201" s="73"/>
    </row>
    <row r="3202" spans="2:10">
      <c r="B3202" s="73"/>
      <c r="C3202" s="73"/>
      <c r="D3202" s="73"/>
      <c r="E3202" s="73"/>
      <c r="F3202" s="73"/>
      <c r="G3202" s="73"/>
      <c r="H3202" s="73"/>
      <c r="I3202" s="73"/>
      <c r="J3202" s="73"/>
    </row>
    <row r="3203" spans="2:10">
      <c r="B3203" s="73"/>
      <c r="C3203" s="73"/>
      <c r="D3203" s="73"/>
      <c r="E3203" s="73"/>
      <c r="F3203" s="73"/>
      <c r="G3203" s="73"/>
      <c r="H3203" s="73"/>
      <c r="I3203" s="73"/>
      <c r="J3203" s="73"/>
    </row>
    <row r="3204" spans="2:10">
      <c r="B3204" s="73"/>
      <c r="C3204" s="73"/>
      <c r="D3204" s="73"/>
      <c r="E3204" s="73"/>
      <c r="F3204" s="73"/>
      <c r="G3204" s="73"/>
      <c r="H3204" s="73"/>
      <c r="I3204" s="73"/>
      <c r="J3204" s="73"/>
    </row>
    <row r="3205" spans="2:10">
      <c r="B3205" s="73"/>
      <c r="C3205" s="73"/>
      <c r="D3205" s="73"/>
      <c r="E3205" s="73"/>
      <c r="F3205" s="73"/>
      <c r="G3205" s="73"/>
      <c r="H3205" s="73"/>
      <c r="I3205" s="73"/>
      <c r="J3205" s="73"/>
    </row>
    <row r="3206" spans="2:10">
      <c r="B3206" s="73"/>
      <c r="C3206" s="73"/>
      <c r="D3206" s="73"/>
      <c r="E3206" s="73"/>
      <c r="F3206" s="73"/>
      <c r="G3206" s="73"/>
      <c r="H3206" s="73"/>
      <c r="I3206" s="73"/>
      <c r="J3206" s="73"/>
    </row>
    <row r="3207" spans="2:10">
      <c r="B3207" s="73"/>
      <c r="C3207" s="73"/>
      <c r="D3207" s="73"/>
      <c r="E3207" s="73"/>
      <c r="F3207" s="73"/>
      <c r="G3207" s="73"/>
      <c r="H3207" s="73"/>
      <c r="I3207" s="73"/>
      <c r="J3207" s="73"/>
    </row>
    <row r="3208" spans="2:10">
      <c r="B3208" s="73"/>
      <c r="C3208" s="73"/>
      <c r="D3208" s="73"/>
      <c r="E3208" s="73"/>
      <c r="F3208" s="73"/>
      <c r="G3208" s="73"/>
      <c r="H3208" s="73"/>
      <c r="I3208" s="73"/>
      <c r="J3208" s="73"/>
    </row>
    <row r="3209" spans="2:10">
      <c r="B3209" s="73"/>
      <c r="C3209" s="73"/>
      <c r="D3209" s="73"/>
      <c r="E3209" s="73"/>
      <c r="F3209" s="73"/>
      <c r="G3209" s="73"/>
      <c r="H3209" s="73"/>
      <c r="I3209" s="73"/>
      <c r="J3209" s="73"/>
    </row>
    <row r="3210" spans="2:10">
      <c r="B3210" s="73"/>
      <c r="C3210" s="73"/>
      <c r="D3210" s="73"/>
      <c r="E3210" s="73"/>
      <c r="F3210" s="73"/>
      <c r="G3210" s="73"/>
      <c r="H3210" s="73"/>
      <c r="I3210" s="73"/>
      <c r="J3210" s="73"/>
    </row>
    <row r="3211" spans="2:10">
      <c r="B3211" s="73"/>
      <c r="C3211" s="73"/>
      <c r="D3211" s="73"/>
      <c r="E3211" s="73"/>
      <c r="F3211" s="73"/>
      <c r="G3211" s="73"/>
      <c r="H3211" s="73"/>
      <c r="I3211" s="73"/>
      <c r="J3211" s="73"/>
    </row>
    <row r="3212" spans="2:10">
      <c r="B3212" s="73"/>
      <c r="C3212" s="73"/>
      <c r="D3212" s="73"/>
      <c r="E3212" s="73"/>
      <c r="F3212" s="73"/>
      <c r="G3212" s="73"/>
      <c r="H3212" s="73"/>
      <c r="I3212" s="73"/>
      <c r="J3212" s="73"/>
    </row>
    <row r="3213" spans="2:10">
      <c r="B3213" s="73"/>
      <c r="C3213" s="73"/>
      <c r="D3213" s="73"/>
      <c r="E3213" s="73"/>
      <c r="F3213" s="73"/>
      <c r="G3213" s="73"/>
      <c r="H3213" s="73"/>
      <c r="I3213" s="73"/>
      <c r="J3213" s="73"/>
    </row>
    <row r="3214" spans="2:10">
      <c r="B3214" s="73"/>
      <c r="C3214" s="73"/>
      <c r="D3214" s="73"/>
      <c r="E3214" s="73"/>
      <c r="F3214" s="73"/>
      <c r="G3214" s="73"/>
      <c r="H3214" s="73"/>
      <c r="I3214" s="73"/>
      <c r="J3214" s="73"/>
    </row>
    <row r="3215" spans="2:10">
      <c r="B3215" s="73"/>
      <c r="C3215" s="73"/>
      <c r="D3215" s="73"/>
      <c r="E3215" s="73"/>
      <c r="F3215" s="73"/>
      <c r="G3215" s="73"/>
      <c r="H3215" s="73"/>
      <c r="I3215" s="73"/>
      <c r="J3215" s="73"/>
    </row>
    <row r="3216" spans="2:10">
      <c r="B3216" s="73"/>
      <c r="C3216" s="73"/>
      <c r="D3216" s="73"/>
      <c r="E3216" s="73"/>
      <c r="F3216" s="73"/>
      <c r="G3216" s="73"/>
      <c r="H3216" s="73"/>
      <c r="I3216" s="73"/>
      <c r="J3216" s="73"/>
    </row>
    <row r="3217" spans="2:10">
      <c r="B3217" s="73"/>
      <c r="C3217" s="73"/>
      <c r="D3217" s="73"/>
      <c r="E3217" s="73"/>
      <c r="F3217" s="73"/>
      <c r="G3217" s="73"/>
      <c r="H3217" s="73"/>
      <c r="I3217" s="73"/>
      <c r="J3217" s="73"/>
    </row>
    <row r="3218" spans="2:10">
      <c r="B3218" s="73"/>
      <c r="C3218" s="73"/>
      <c r="D3218" s="73"/>
      <c r="E3218" s="73"/>
      <c r="F3218" s="73"/>
      <c r="G3218" s="73"/>
      <c r="H3218" s="73"/>
      <c r="I3218" s="73"/>
      <c r="J3218" s="73"/>
    </row>
    <row r="3219" spans="2:10">
      <c r="B3219" s="73"/>
      <c r="C3219" s="73"/>
      <c r="D3219" s="73"/>
      <c r="E3219" s="73"/>
      <c r="F3219" s="73"/>
      <c r="G3219" s="73"/>
      <c r="H3219" s="73"/>
      <c r="I3219" s="73"/>
      <c r="J3219" s="73"/>
    </row>
    <row r="3220" spans="2:10">
      <c r="B3220" s="73"/>
      <c r="C3220" s="73"/>
      <c r="D3220" s="73"/>
      <c r="E3220" s="73"/>
      <c r="F3220" s="73"/>
      <c r="G3220" s="73"/>
      <c r="H3220" s="73"/>
      <c r="I3220" s="73"/>
      <c r="J3220" s="73"/>
    </row>
    <row r="3221" spans="2:10">
      <c r="B3221" s="73"/>
      <c r="C3221" s="73"/>
      <c r="D3221" s="73"/>
      <c r="E3221" s="73"/>
      <c r="F3221" s="73"/>
      <c r="G3221" s="73"/>
      <c r="H3221" s="73"/>
      <c r="I3221" s="73"/>
      <c r="J3221" s="73"/>
    </row>
    <row r="3222" spans="2:10">
      <c r="B3222" s="73"/>
      <c r="C3222" s="73"/>
      <c r="D3222" s="73"/>
      <c r="E3222" s="73"/>
      <c r="F3222" s="73"/>
      <c r="G3222" s="73"/>
      <c r="H3222" s="73"/>
      <c r="I3222" s="73"/>
      <c r="J3222" s="73"/>
    </row>
    <row r="3223" spans="2:10">
      <c r="B3223" s="73"/>
      <c r="C3223" s="73"/>
      <c r="D3223" s="73"/>
      <c r="E3223" s="73"/>
      <c r="F3223" s="73"/>
      <c r="G3223" s="73"/>
      <c r="H3223" s="73"/>
      <c r="I3223" s="73"/>
      <c r="J3223" s="73"/>
    </row>
    <row r="3224" spans="2:10">
      <c r="B3224" s="73"/>
      <c r="C3224" s="73"/>
      <c r="D3224" s="73"/>
      <c r="E3224" s="73"/>
      <c r="F3224" s="73"/>
      <c r="G3224" s="73"/>
      <c r="H3224" s="73"/>
      <c r="I3224" s="73"/>
      <c r="J3224" s="73"/>
    </row>
    <row r="3225" spans="2:10">
      <c r="B3225" s="73"/>
      <c r="C3225" s="73"/>
      <c r="D3225" s="73"/>
      <c r="E3225" s="73"/>
      <c r="F3225" s="73"/>
      <c r="G3225" s="73"/>
      <c r="H3225" s="73"/>
      <c r="I3225" s="73"/>
      <c r="J3225" s="73"/>
    </row>
    <row r="3226" spans="2:10">
      <c r="B3226" s="73"/>
      <c r="C3226" s="73"/>
      <c r="D3226" s="73"/>
      <c r="E3226" s="73"/>
      <c r="F3226" s="73"/>
      <c r="G3226" s="73"/>
      <c r="H3226" s="73"/>
      <c r="I3226" s="73"/>
      <c r="J3226" s="73"/>
    </row>
    <row r="3227" spans="2:10">
      <c r="B3227" s="73"/>
      <c r="C3227" s="73"/>
      <c r="D3227" s="73"/>
      <c r="E3227" s="73"/>
      <c r="F3227" s="73"/>
      <c r="G3227" s="73"/>
      <c r="H3227" s="73"/>
      <c r="I3227" s="73"/>
      <c r="J3227" s="73"/>
    </row>
    <row r="3228" spans="2:10">
      <c r="B3228" s="73"/>
      <c r="C3228" s="73"/>
      <c r="D3228" s="73"/>
      <c r="E3228" s="73"/>
      <c r="F3228" s="73"/>
      <c r="G3228" s="73"/>
      <c r="H3228" s="73"/>
      <c r="I3228" s="73"/>
      <c r="J3228" s="73"/>
    </row>
    <row r="3229" spans="2:10">
      <c r="B3229" s="73"/>
      <c r="C3229" s="73"/>
      <c r="D3229" s="73"/>
      <c r="E3229" s="73"/>
      <c r="F3229" s="73"/>
      <c r="G3229" s="73"/>
      <c r="H3229" s="73"/>
      <c r="I3229" s="73"/>
      <c r="J3229" s="73"/>
    </row>
    <row r="3230" spans="2:10">
      <c r="B3230" s="73"/>
      <c r="C3230" s="73"/>
      <c r="D3230" s="73"/>
      <c r="E3230" s="73"/>
      <c r="F3230" s="73"/>
      <c r="G3230" s="73"/>
      <c r="H3230" s="73"/>
      <c r="I3230" s="73"/>
      <c r="J3230" s="73"/>
    </row>
    <row r="3231" spans="2:10">
      <c r="B3231" s="73"/>
      <c r="C3231" s="73"/>
      <c r="D3231" s="73"/>
      <c r="E3231" s="73"/>
      <c r="F3231" s="73"/>
      <c r="G3231" s="73"/>
      <c r="H3231" s="73"/>
      <c r="I3231" s="73"/>
      <c r="J3231" s="73"/>
    </row>
    <row r="3232" spans="2:10">
      <c r="B3232" s="73"/>
      <c r="C3232" s="73"/>
      <c r="D3232" s="73"/>
      <c r="E3232" s="73"/>
      <c r="F3232" s="73"/>
      <c r="G3232" s="73"/>
      <c r="H3232" s="73"/>
      <c r="I3232" s="73"/>
      <c r="J3232" s="73"/>
    </row>
    <row r="3233" spans="2:10">
      <c r="B3233" s="73"/>
      <c r="C3233" s="73"/>
      <c r="D3233" s="73"/>
      <c r="E3233" s="73"/>
      <c r="F3233" s="73"/>
      <c r="G3233" s="73"/>
      <c r="H3233" s="73"/>
      <c r="I3233" s="73"/>
      <c r="J3233" s="73"/>
    </row>
    <row r="3234" spans="2:10">
      <c r="B3234" s="73"/>
      <c r="C3234" s="73"/>
      <c r="D3234" s="73"/>
      <c r="E3234" s="73"/>
      <c r="F3234" s="73"/>
      <c r="G3234" s="73"/>
      <c r="H3234" s="73"/>
      <c r="I3234" s="73"/>
      <c r="J3234" s="73"/>
    </row>
    <row r="3235" spans="2:10">
      <c r="B3235" s="73"/>
      <c r="C3235" s="73"/>
      <c r="D3235" s="73"/>
      <c r="E3235" s="73"/>
      <c r="F3235" s="73"/>
      <c r="G3235" s="73"/>
      <c r="H3235" s="73"/>
      <c r="I3235" s="73"/>
      <c r="J3235" s="73"/>
    </row>
    <row r="3236" spans="2:10">
      <c r="B3236" s="73"/>
      <c r="C3236" s="73"/>
      <c r="D3236" s="73"/>
      <c r="E3236" s="73"/>
      <c r="F3236" s="73"/>
      <c r="G3236" s="73"/>
      <c r="H3236" s="73"/>
      <c r="I3236" s="73"/>
      <c r="J3236" s="73"/>
    </row>
    <row r="3237" spans="2:10">
      <c r="B3237" s="73"/>
      <c r="C3237" s="73"/>
      <c r="D3237" s="73"/>
      <c r="E3237" s="73"/>
      <c r="F3237" s="73"/>
      <c r="G3237" s="73"/>
      <c r="H3237" s="73"/>
      <c r="I3237" s="73"/>
      <c r="J3237" s="73"/>
    </row>
    <row r="3238" spans="2:10">
      <c r="B3238" s="73"/>
      <c r="C3238" s="73"/>
      <c r="D3238" s="73"/>
      <c r="E3238" s="73"/>
      <c r="F3238" s="73"/>
      <c r="G3238" s="73"/>
      <c r="H3238" s="73"/>
      <c r="I3238" s="73"/>
      <c r="J3238" s="73"/>
    </row>
    <row r="3239" spans="2:10">
      <c r="B3239" s="73"/>
      <c r="C3239" s="73"/>
      <c r="D3239" s="73"/>
      <c r="E3239" s="73"/>
      <c r="F3239" s="73"/>
      <c r="G3239" s="73"/>
      <c r="H3239" s="73"/>
      <c r="I3239" s="73"/>
      <c r="J3239" s="73"/>
    </row>
    <row r="3240" spans="2:10">
      <c r="B3240" s="73"/>
      <c r="C3240" s="73"/>
      <c r="D3240" s="73"/>
      <c r="E3240" s="73"/>
      <c r="F3240" s="73"/>
      <c r="G3240" s="73"/>
      <c r="H3240" s="73"/>
      <c r="I3240" s="73"/>
      <c r="J3240" s="73"/>
    </row>
    <row r="3241" spans="2:10">
      <c r="B3241" s="73"/>
      <c r="C3241" s="73"/>
      <c r="D3241" s="73"/>
      <c r="E3241" s="73"/>
      <c r="F3241" s="73"/>
      <c r="G3241" s="73"/>
      <c r="H3241" s="73"/>
      <c r="I3241" s="73"/>
      <c r="J3241" s="73"/>
    </row>
    <row r="3242" spans="2:10">
      <c r="B3242" s="73"/>
      <c r="C3242" s="73"/>
      <c r="D3242" s="73"/>
      <c r="E3242" s="73"/>
      <c r="F3242" s="73"/>
      <c r="G3242" s="73"/>
      <c r="H3242" s="73"/>
      <c r="I3242" s="73"/>
      <c r="J3242" s="73"/>
    </row>
    <row r="3243" spans="2:10">
      <c r="B3243" s="73"/>
      <c r="C3243" s="73"/>
      <c r="D3243" s="73"/>
      <c r="E3243" s="73"/>
      <c r="F3243" s="73"/>
      <c r="G3243" s="73"/>
      <c r="H3243" s="73"/>
      <c r="I3243" s="73"/>
      <c r="J3243" s="73"/>
    </row>
    <row r="3244" spans="2:10">
      <c r="B3244" s="73"/>
      <c r="C3244" s="73"/>
      <c r="D3244" s="73"/>
      <c r="E3244" s="73"/>
      <c r="F3244" s="73"/>
      <c r="G3244" s="73"/>
      <c r="H3244" s="73"/>
      <c r="I3244" s="73"/>
      <c r="J3244" s="73"/>
    </row>
    <row r="3245" spans="2:10">
      <c r="B3245" s="73"/>
      <c r="C3245" s="73"/>
      <c r="D3245" s="73"/>
      <c r="E3245" s="73"/>
      <c r="F3245" s="73"/>
      <c r="G3245" s="73"/>
      <c r="H3245" s="73"/>
      <c r="I3245" s="73"/>
      <c r="J3245" s="73"/>
    </row>
    <row r="3246" spans="2:10">
      <c r="B3246" s="73"/>
      <c r="C3246" s="73"/>
      <c r="D3246" s="73"/>
      <c r="E3246" s="73"/>
      <c r="F3246" s="73"/>
      <c r="G3246" s="73"/>
      <c r="H3246" s="73"/>
      <c r="I3246" s="73"/>
      <c r="J3246" s="73"/>
    </row>
    <row r="3247" spans="2:10">
      <c r="B3247" s="73"/>
      <c r="C3247" s="73"/>
      <c r="D3247" s="73"/>
      <c r="E3247" s="73"/>
      <c r="F3247" s="73"/>
      <c r="G3247" s="73"/>
      <c r="H3247" s="73"/>
      <c r="I3247" s="73"/>
      <c r="J3247" s="73"/>
    </row>
    <row r="3248" spans="2:10">
      <c r="B3248" s="73"/>
      <c r="C3248" s="73"/>
      <c r="D3248" s="73"/>
      <c r="E3248" s="73"/>
      <c r="F3248" s="73"/>
      <c r="G3248" s="73"/>
      <c r="H3248" s="73"/>
      <c r="I3248" s="73"/>
      <c r="J3248" s="73"/>
    </row>
    <row r="3249" spans="2:10">
      <c r="B3249" s="73"/>
      <c r="C3249" s="73"/>
      <c r="D3249" s="73"/>
      <c r="E3249" s="73"/>
      <c r="F3249" s="73"/>
      <c r="G3249" s="73"/>
      <c r="H3249" s="73"/>
      <c r="I3249" s="73"/>
      <c r="J3249" s="73"/>
    </row>
    <row r="3250" spans="2:10">
      <c r="B3250" s="73"/>
      <c r="C3250" s="73"/>
      <c r="D3250" s="73"/>
      <c r="E3250" s="73"/>
      <c r="F3250" s="73"/>
      <c r="G3250" s="73"/>
      <c r="H3250" s="73"/>
      <c r="I3250" s="73"/>
      <c r="J3250" s="73"/>
    </row>
    <row r="3251" spans="2:10">
      <c r="B3251" s="73"/>
      <c r="C3251" s="73"/>
      <c r="D3251" s="73"/>
      <c r="E3251" s="73"/>
      <c r="F3251" s="73"/>
      <c r="G3251" s="73"/>
      <c r="H3251" s="73"/>
      <c r="I3251" s="73"/>
      <c r="J3251" s="73"/>
    </row>
    <row r="3252" spans="2:10">
      <c r="B3252" s="73"/>
      <c r="C3252" s="73"/>
      <c r="D3252" s="73"/>
      <c r="E3252" s="73"/>
      <c r="F3252" s="73"/>
      <c r="G3252" s="73"/>
      <c r="H3252" s="73"/>
      <c r="I3252" s="73"/>
      <c r="J3252" s="73"/>
    </row>
    <row r="3253" spans="2:10">
      <c r="B3253" s="73"/>
      <c r="C3253" s="73"/>
      <c r="D3253" s="73"/>
      <c r="E3253" s="73"/>
      <c r="F3253" s="73"/>
      <c r="G3253" s="73"/>
      <c r="H3253" s="73"/>
      <c r="I3253" s="73"/>
      <c r="J3253" s="73"/>
    </row>
    <row r="3254" spans="2:10">
      <c r="B3254" s="73"/>
      <c r="C3254" s="73"/>
      <c r="D3254" s="73"/>
      <c r="E3254" s="73"/>
      <c r="F3254" s="73"/>
      <c r="G3254" s="73"/>
      <c r="H3254" s="73"/>
      <c r="I3254" s="73"/>
      <c r="J3254" s="73"/>
    </row>
    <row r="3255" spans="2:10">
      <c r="B3255" s="73"/>
      <c r="C3255" s="73"/>
      <c r="D3255" s="73"/>
      <c r="E3255" s="73"/>
      <c r="F3255" s="73"/>
      <c r="G3255" s="73"/>
      <c r="H3255" s="73"/>
      <c r="I3255" s="73"/>
      <c r="J3255" s="73"/>
    </row>
    <row r="3256" spans="2:10">
      <c r="B3256" s="73"/>
      <c r="C3256" s="73"/>
      <c r="D3256" s="73"/>
      <c r="E3256" s="73"/>
      <c r="F3256" s="73"/>
      <c r="G3256" s="73"/>
      <c r="H3256" s="73"/>
      <c r="I3256" s="73"/>
      <c r="J3256" s="73"/>
    </row>
    <row r="3257" spans="2:10">
      <c r="B3257" s="73"/>
      <c r="C3257" s="73"/>
      <c r="D3257" s="73"/>
      <c r="E3257" s="73"/>
      <c r="F3257" s="73"/>
      <c r="G3257" s="73"/>
      <c r="H3257" s="73"/>
      <c r="I3257" s="73"/>
      <c r="J3257" s="73"/>
    </row>
    <row r="3258" spans="2:10">
      <c r="B3258" s="73"/>
      <c r="C3258" s="73"/>
      <c r="D3258" s="73"/>
      <c r="E3258" s="73"/>
      <c r="F3258" s="73"/>
      <c r="G3258" s="73"/>
      <c r="H3258" s="73"/>
      <c r="I3258" s="73"/>
      <c r="J3258" s="73"/>
    </row>
    <row r="3259" spans="2:10">
      <c r="B3259" s="73"/>
      <c r="C3259" s="73"/>
      <c r="D3259" s="73"/>
      <c r="E3259" s="73"/>
      <c r="F3259" s="73"/>
      <c r="G3259" s="73"/>
      <c r="H3259" s="73"/>
      <c r="I3259" s="73"/>
      <c r="J3259" s="73"/>
    </row>
    <row r="3260" spans="2:10">
      <c r="B3260" s="73"/>
      <c r="C3260" s="73"/>
      <c r="D3260" s="73"/>
      <c r="E3260" s="73"/>
      <c r="F3260" s="73"/>
      <c r="G3260" s="73"/>
      <c r="H3260" s="73"/>
      <c r="I3260" s="73"/>
      <c r="J3260" s="73"/>
    </row>
    <row r="3261" spans="2:10">
      <c r="B3261" s="73"/>
      <c r="C3261" s="73"/>
      <c r="D3261" s="73"/>
      <c r="E3261" s="73"/>
      <c r="F3261" s="73"/>
      <c r="G3261" s="73"/>
      <c r="H3261" s="73"/>
      <c r="I3261" s="73"/>
      <c r="J3261" s="73"/>
    </row>
    <row r="3262" spans="2:10">
      <c r="B3262" s="73"/>
      <c r="C3262" s="73"/>
      <c r="D3262" s="73"/>
      <c r="E3262" s="73"/>
      <c r="F3262" s="73"/>
      <c r="G3262" s="73"/>
      <c r="H3262" s="73"/>
      <c r="I3262" s="73"/>
      <c r="J3262" s="73"/>
    </row>
    <row r="3263" spans="2:10">
      <c r="B3263" s="73"/>
      <c r="C3263" s="73"/>
      <c r="D3263" s="73"/>
      <c r="E3263" s="73"/>
      <c r="F3263" s="73"/>
      <c r="G3263" s="73"/>
      <c r="H3263" s="73"/>
      <c r="I3263" s="73"/>
      <c r="J3263" s="73"/>
    </row>
    <row r="3264" spans="2:10">
      <c r="B3264" s="73"/>
      <c r="C3264" s="73"/>
      <c r="D3264" s="73"/>
      <c r="E3264" s="73"/>
      <c r="F3264" s="73"/>
      <c r="G3264" s="73"/>
      <c r="H3264" s="73"/>
      <c r="I3264" s="73"/>
      <c r="J3264" s="73"/>
    </row>
    <row r="3265" spans="2:10">
      <c r="B3265" s="73"/>
      <c r="C3265" s="73"/>
      <c r="D3265" s="73"/>
      <c r="E3265" s="73"/>
      <c r="F3265" s="73"/>
      <c r="G3265" s="73"/>
      <c r="H3265" s="73"/>
      <c r="I3265" s="73"/>
      <c r="J3265" s="73"/>
    </row>
    <row r="3266" spans="2:10">
      <c r="B3266" s="73"/>
      <c r="C3266" s="73"/>
      <c r="D3266" s="73"/>
      <c r="E3266" s="73"/>
      <c r="F3266" s="73"/>
      <c r="G3266" s="73"/>
      <c r="H3266" s="73"/>
      <c r="I3266" s="73"/>
      <c r="J3266" s="73"/>
    </row>
    <row r="3267" spans="2:10">
      <c r="B3267" s="73"/>
      <c r="C3267" s="73"/>
      <c r="D3267" s="73"/>
      <c r="E3267" s="73"/>
      <c r="F3267" s="73"/>
      <c r="G3267" s="73"/>
      <c r="H3267" s="73"/>
      <c r="I3267" s="73"/>
      <c r="J3267" s="73"/>
    </row>
    <row r="3268" spans="2:10">
      <c r="B3268" s="73"/>
      <c r="C3268" s="73"/>
      <c r="D3268" s="73"/>
      <c r="E3268" s="73"/>
      <c r="F3268" s="73"/>
      <c r="G3268" s="73"/>
      <c r="H3268" s="73"/>
      <c r="I3268" s="73"/>
      <c r="J3268" s="73"/>
    </row>
    <row r="3269" spans="2:10">
      <c r="B3269" s="73"/>
      <c r="C3269" s="73"/>
      <c r="D3269" s="73"/>
      <c r="E3269" s="73"/>
      <c r="F3269" s="73"/>
      <c r="G3269" s="73"/>
      <c r="H3269" s="73"/>
      <c r="I3269" s="73"/>
      <c r="J3269" s="73"/>
    </row>
    <row r="3270" spans="2:10">
      <c r="B3270" s="73"/>
      <c r="C3270" s="73"/>
      <c r="D3270" s="73"/>
      <c r="E3270" s="73"/>
      <c r="F3270" s="73"/>
      <c r="G3270" s="73"/>
      <c r="H3270" s="73"/>
      <c r="I3270" s="73"/>
      <c r="J3270" s="73"/>
    </row>
    <row r="3271" spans="2:10">
      <c r="B3271" s="73"/>
      <c r="C3271" s="73"/>
      <c r="D3271" s="73"/>
      <c r="E3271" s="73"/>
      <c r="F3271" s="73"/>
      <c r="G3271" s="73"/>
      <c r="H3271" s="73"/>
      <c r="I3271" s="73"/>
      <c r="J3271" s="73"/>
    </row>
    <row r="3272" spans="2:10">
      <c r="B3272" s="73"/>
      <c r="C3272" s="73"/>
      <c r="D3272" s="73"/>
      <c r="E3272" s="73"/>
      <c r="F3272" s="73"/>
      <c r="G3272" s="73"/>
      <c r="H3272" s="73"/>
      <c r="I3272" s="73"/>
      <c r="J3272" s="73"/>
    </row>
    <row r="3273" spans="2:10">
      <c r="B3273" s="73"/>
      <c r="C3273" s="73"/>
      <c r="D3273" s="73"/>
      <c r="E3273" s="73"/>
      <c r="F3273" s="73"/>
      <c r="G3273" s="73"/>
      <c r="H3273" s="73"/>
      <c r="I3273" s="73"/>
      <c r="J3273" s="73"/>
    </row>
    <row r="3274" spans="2:10">
      <c r="B3274" s="73"/>
      <c r="C3274" s="73"/>
      <c r="D3274" s="73"/>
      <c r="E3274" s="73"/>
      <c r="F3274" s="73"/>
      <c r="G3274" s="73"/>
      <c r="H3274" s="73"/>
      <c r="I3274" s="73"/>
      <c r="J3274" s="73"/>
    </row>
    <row r="3275" spans="2:10">
      <c r="B3275" s="73"/>
      <c r="C3275" s="73"/>
      <c r="D3275" s="73"/>
      <c r="E3275" s="73"/>
      <c r="F3275" s="73"/>
      <c r="G3275" s="73"/>
      <c r="H3275" s="73"/>
      <c r="I3275" s="73"/>
      <c r="J3275" s="73"/>
    </row>
    <row r="3276" spans="2:10">
      <c r="B3276" s="73"/>
      <c r="C3276" s="73"/>
      <c r="D3276" s="73"/>
      <c r="E3276" s="73"/>
      <c r="F3276" s="73"/>
      <c r="G3276" s="73"/>
      <c r="H3276" s="73"/>
      <c r="I3276" s="73"/>
      <c r="J3276" s="73"/>
    </row>
    <row r="3277" spans="2:10">
      <c r="B3277" s="73"/>
      <c r="C3277" s="73"/>
      <c r="D3277" s="73"/>
      <c r="E3277" s="73"/>
      <c r="F3277" s="73"/>
      <c r="G3277" s="73"/>
      <c r="H3277" s="73"/>
      <c r="I3277" s="73"/>
      <c r="J3277" s="73"/>
    </row>
    <row r="3278" spans="2:10">
      <c r="B3278" s="73"/>
      <c r="C3278" s="73"/>
      <c r="D3278" s="73"/>
      <c r="E3278" s="73"/>
      <c r="F3278" s="73"/>
      <c r="G3278" s="73"/>
      <c r="H3278" s="73"/>
      <c r="I3278" s="73"/>
      <c r="J3278" s="73"/>
    </row>
    <row r="3279" spans="2:10">
      <c r="B3279" s="73"/>
      <c r="C3279" s="73"/>
      <c r="D3279" s="73"/>
      <c r="E3279" s="73"/>
      <c r="F3279" s="73"/>
      <c r="G3279" s="73"/>
      <c r="H3279" s="73"/>
      <c r="I3279" s="73"/>
      <c r="J3279" s="73"/>
    </row>
    <row r="3280" spans="2:10">
      <c r="B3280" s="73"/>
      <c r="C3280" s="73"/>
      <c r="D3280" s="73"/>
      <c r="E3280" s="73"/>
      <c r="F3280" s="73"/>
      <c r="G3280" s="73"/>
      <c r="H3280" s="73"/>
      <c r="I3280" s="73"/>
      <c r="J3280" s="73"/>
    </row>
    <row r="3281" spans="2:10">
      <c r="B3281" s="73"/>
      <c r="C3281" s="73"/>
      <c r="D3281" s="73"/>
      <c r="E3281" s="73"/>
      <c r="F3281" s="73"/>
      <c r="G3281" s="73"/>
      <c r="H3281" s="73"/>
      <c r="I3281" s="73"/>
      <c r="J3281" s="73"/>
    </row>
    <row r="3282" spans="2:10">
      <c r="B3282" s="73"/>
      <c r="C3282" s="73"/>
      <c r="D3282" s="73"/>
      <c r="E3282" s="73"/>
      <c r="F3282" s="73"/>
      <c r="G3282" s="73"/>
      <c r="H3282" s="73"/>
      <c r="I3282" s="73"/>
      <c r="J3282" s="73"/>
    </row>
    <row r="3283" spans="2:10">
      <c r="B3283" s="73"/>
      <c r="C3283" s="73"/>
      <c r="D3283" s="73"/>
      <c r="E3283" s="73"/>
      <c r="F3283" s="73"/>
      <c r="G3283" s="73"/>
      <c r="H3283" s="73"/>
      <c r="I3283" s="73"/>
      <c r="J3283" s="73"/>
    </row>
    <row r="3284" spans="2:10">
      <c r="B3284" s="73"/>
      <c r="C3284" s="73"/>
      <c r="D3284" s="73"/>
      <c r="E3284" s="73"/>
      <c r="F3284" s="73"/>
      <c r="G3284" s="73"/>
      <c r="H3284" s="73"/>
      <c r="I3284" s="73"/>
      <c r="J3284" s="73"/>
    </row>
    <row r="3285" spans="2:10">
      <c r="B3285" s="73"/>
      <c r="C3285" s="73"/>
      <c r="D3285" s="73"/>
      <c r="E3285" s="73"/>
      <c r="F3285" s="73"/>
      <c r="G3285" s="73"/>
      <c r="H3285" s="73"/>
      <c r="I3285" s="73"/>
      <c r="J3285" s="73"/>
    </row>
    <row r="3286" spans="2:10">
      <c r="B3286" s="73"/>
      <c r="C3286" s="73"/>
      <c r="D3286" s="73"/>
      <c r="E3286" s="73"/>
      <c r="F3286" s="73"/>
      <c r="G3286" s="73"/>
      <c r="H3286" s="73"/>
      <c r="I3286" s="73"/>
      <c r="J3286" s="73"/>
    </row>
    <row r="3287" spans="2:10">
      <c r="B3287" s="73"/>
      <c r="C3287" s="73"/>
      <c r="D3287" s="73"/>
      <c r="E3287" s="73"/>
      <c r="F3287" s="73"/>
      <c r="G3287" s="73"/>
      <c r="H3287" s="73"/>
      <c r="I3287" s="73"/>
      <c r="J3287" s="73"/>
    </row>
    <row r="3288" spans="2:10">
      <c r="B3288" s="73"/>
      <c r="C3288" s="73"/>
      <c r="D3288" s="73"/>
      <c r="E3288" s="73"/>
      <c r="F3288" s="73"/>
      <c r="G3288" s="73"/>
      <c r="H3288" s="73"/>
      <c r="I3288" s="73"/>
      <c r="J3288" s="73"/>
    </row>
    <row r="3289" spans="2:10">
      <c r="B3289" s="73"/>
      <c r="C3289" s="73"/>
      <c r="D3289" s="73"/>
      <c r="E3289" s="73"/>
      <c r="F3289" s="73"/>
      <c r="G3289" s="73"/>
      <c r="H3289" s="73"/>
      <c r="I3289" s="73"/>
      <c r="J3289" s="73"/>
    </row>
    <row r="3290" spans="2:10">
      <c r="B3290" s="73"/>
      <c r="C3290" s="73"/>
      <c r="D3290" s="73"/>
      <c r="E3290" s="73"/>
      <c r="F3290" s="73"/>
      <c r="G3290" s="73"/>
      <c r="H3290" s="73"/>
      <c r="I3290" s="73"/>
      <c r="J3290" s="73"/>
    </row>
    <row r="3291" spans="2:10">
      <c r="B3291" s="73"/>
      <c r="C3291" s="73"/>
      <c r="D3291" s="73"/>
      <c r="E3291" s="73"/>
      <c r="F3291" s="73"/>
      <c r="G3291" s="73"/>
      <c r="H3291" s="73"/>
      <c r="I3291" s="73"/>
      <c r="J3291" s="73"/>
    </row>
    <row r="3292" spans="2:10">
      <c r="B3292" s="73"/>
      <c r="C3292" s="73"/>
      <c r="D3292" s="73"/>
      <c r="E3292" s="73"/>
      <c r="F3292" s="73"/>
      <c r="G3292" s="73"/>
      <c r="H3292" s="73"/>
      <c r="I3292" s="73"/>
      <c r="J3292" s="73"/>
    </row>
    <row r="3293" spans="2:10">
      <c r="B3293" s="73"/>
      <c r="C3293" s="73"/>
      <c r="D3293" s="73"/>
      <c r="E3293" s="73"/>
      <c r="F3293" s="73"/>
      <c r="G3293" s="73"/>
      <c r="H3293" s="73"/>
      <c r="I3293" s="73"/>
      <c r="J3293" s="73"/>
    </row>
    <row r="3294" spans="2:10">
      <c r="B3294" s="73"/>
      <c r="C3294" s="73"/>
      <c r="D3294" s="73"/>
      <c r="E3294" s="73"/>
      <c r="F3294" s="73"/>
      <c r="G3294" s="73"/>
      <c r="H3294" s="73"/>
      <c r="I3294" s="73"/>
      <c r="J3294" s="73"/>
    </row>
    <row r="3295" spans="2:10">
      <c r="B3295" s="73"/>
      <c r="C3295" s="73"/>
      <c r="D3295" s="73"/>
      <c r="E3295" s="73"/>
      <c r="F3295" s="73"/>
      <c r="G3295" s="73"/>
      <c r="H3295" s="73"/>
      <c r="I3295" s="73"/>
      <c r="J3295" s="73"/>
    </row>
    <row r="3296" spans="2:10">
      <c r="B3296" s="73"/>
      <c r="C3296" s="73"/>
      <c r="D3296" s="73"/>
      <c r="E3296" s="73"/>
      <c r="F3296" s="73"/>
      <c r="G3296" s="73"/>
      <c r="H3296" s="73"/>
      <c r="I3296" s="73"/>
      <c r="J3296" s="73"/>
    </row>
    <row r="3297" spans="2:10">
      <c r="B3297" s="73"/>
      <c r="C3297" s="73"/>
      <c r="D3297" s="73"/>
      <c r="E3297" s="73"/>
      <c r="F3297" s="73"/>
      <c r="G3297" s="73"/>
      <c r="H3297" s="73"/>
      <c r="I3297" s="73"/>
      <c r="J3297" s="73"/>
    </row>
    <row r="3298" spans="2:10">
      <c r="B3298" s="73"/>
      <c r="C3298" s="73"/>
      <c r="D3298" s="73"/>
      <c r="E3298" s="73"/>
      <c r="F3298" s="73"/>
      <c r="G3298" s="73"/>
      <c r="H3298" s="73"/>
      <c r="I3298" s="73"/>
      <c r="J3298" s="73"/>
    </row>
    <row r="3299" spans="2:10">
      <c r="B3299" s="73"/>
      <c r="C3299" s="73"/>
      <c r="D3299" s="73"/>
      <c r="E3299" s="73"/>
      <c r="F3299" s="73"/>
      <c r="G3299" s="73"/>
      <c r="H3299" s="73"/>
      <c r="I3299" s="73"/>
      <c r="J3299" s="73"/>
    </row>
    <row r="3300" spans="2:10">
      <c r="B3300" s="73"/>
      <c r="C3300" s="73"/>
      <c r="D3300" s="73"/>
      <c r="E3300" s="73"/>
      <c r="F3300" s="73"/>
      <c r="G3300" s="73"/>
      <c r="H3300" s="73"/>
      <c r="I3300" s="73"/>
      <c r="J3300" s="73"/>
    </row>
    <row r="3301" spans="2:10">
      <c r="B3301" s="73"/>
      <c r="C3301" s="73"/>
      <c r="D3301" s="73"/>
      <c r="E3301" s="73"/>
      <c r="F3301" s="73"/>
      <c r="G3301" s="73"/>
      <c r="H3301" s="73"/>
      <c r="I3301" s="73"/>
      <c r="J3301" s="73"/>
    </row>
    <row r="3302" spans="2:10">
      <c r="B3302" s="73"/>
      <c r="C3302" s="73"/>
      <c r="D3302" s="73"/>
      <c r="E3302" s="73"/>
      <c r="F3302" s="73"/>
      <c r="G3302" s="73"/>
      <c r="H3302" s="73"/>
      <c r="I3302" s="73"/>
      <c r="J3302" s="73"/>
    </row>
    <row r="3303" spans="2:10">
      <c r="B3303" s="73"/>
      <c r="C3303" s="73"/>
      <c r="D3303" s="73"/>
      <c r="E3303" s="73"/>
      <c r="F3303" s="73"/>
      <c r="G3303" s="73"/>
      <c r="H3303" s="73"/>
      <c r="I3303" s="73"/>
      <c r="J3303" s="73"/>
    </row>
    <row r="3304" spans="2:10">
      <c r="B3304" s="73"/>
      <c r="C3304" s="73"/>
      <c r="D3304" s="73"/>
      <c r="E3304" s="73"/>
      <c r="F3304" s="73"/>
      <c r="G3304" s="73"/>
      <c r="H3304" s="73"/>
      <c r="I3304" s="73"/>
      <c r="J3304" s="73"/>
    </row>
    <row r="3305" spans="2:10">
      <c r="B3305" s="73"/>
      <c r="C3305" s="73"/>
      <c r="D3305" s="73"/>
      <c r="E3305" s="73"/>
      <c r="F3305" s="73"/>
      <c r="G3305" s="73"/>
      <c r="H3305" s="73"/>
      <c r="I3305" s="73"/>
      <c r="J3305" s="73"/>
    </row>
    <row r="3306" spans="2:10">
      <c r="B3306" s="73"/>
      <c r="C3306" s="73"/>
      <c r="D3306" s="73"/>
      <c r="E3306" s="73"/>
      <c r="F3306" s="73"/>
      <c r="G3306" s="73"/>
      <c r="H3306" s="73"/>
      <c r="I3306" s="73"/>
      <c r="J3306" s="73"/>
    </row>
    <row r="3307" spans="2:10">
      <c r="B3307" s="73"/>
      <c r="C3307" s="73"/>
      <c r="D3307" s="73"/>
      <c r="E3307" s="73"/>
      <c r="F3307" s="73"/>
      <c r="G3307" s="73"/>
      <c r="H3307" s="73"/>
      <c r="I3307" s="73"/>
      <c r="J3307" s="73"/>
    </row>
    <row r="3308" spans="2:10">
      <c r="B3308" s="73"/>
      <c r="C3308" s="73"/>
      <c r="D3308" s="73"/>
      <c r="E3308" s="73"/>
      <c r="F3308" s="73"/>
      <c r="G3308" s="73"/>
      <c r="H3308" s="73"/>
      <c r="I3308" s="73"/>
      <c r="J3308" s="73"/>
    </row>
    <row r="3309" spans="2:10">
      <c r="B3309" s="73"/>
      <c r="C3309" s="73"/>
      <c r="D3309" s="73"/>
      <c r="E3309" s="73"/>
      <c r="F3309" s="73"/>
      <c r="G3309" s="73"/>
      <c r="H3309" s="73"/>
      <c r="I3309" s="73"/>
      <c r="J3309" s="73"/>
    </row>
    <row r="3310" spans="2:10">
      <c r="B3310" s="73"/>
      <c r="C3310" s="73"/>
      <c r="D3310" s="73"/>
      <c r="E3310" s="73"/>
      <c r="F3310" s="73"/>
      <c r="G3310" s="73"/>
      <c r="H3310" s="73"/>
      <c r="I3310" s="73"/>
      <c r="J3310" s="73"/>
    </row>
    <row r="3311" spans="2:10">
      <c r="B3311" s="73"/>
      <c r="C3311" s="73"/>
      <c r="D3311" s="73"/>
      <c r="E3311" s="73"/>
      <c r="F3311" s="73"/>
      <c r="G3311" s="73"/>
      <c r="H3311" s="73"/>
      <c r="I3311" s="73"/>
      <c r="J3311" s="73"/>
    </row>
    <row r="3312" spans="2:10">
      <c r="B3312" s="73"/>
      <c r="C3312" s="73"/>
      <c r="D3312" s="73"/>
      <c r="E3312" s="73"/>
      <c r="F3312" s="73"/>
      <c r="G3312" s="73"/>
      <c r="H3312" s="73"/>
      <c r="I3312" s="73"/>
      <c r="J3312" s="73"/>
    </row>
    <row r="3313" spans="2:10">
      <c r="B3313" s="73"/>
      <c r="C3313" s="73"/>
      <c r="D3313" s="73"/>
      <c r="E3313" s="73"/>
      <c r="F3313" s="73"/>
      <c r="G3313" s="73"/>
      <c r="H3313" s="73"/>
      <c r="I3313" s="73"/>
      <c r="J3313" s="73"/>
    </row>
    <row r="3314" spans="2:10">
      <c r="B3314" s="73"/>
      <c r="C3314" s="73"/>
      <c r="D3314" s="73"/>
      <c r="E3314" s="73"/>
      <c r="F3314" s="73"/>
      <c r="G3314" s="73"/>
      <c r="H3314" s="73"/>
      <c r="I3314" s="73"/>
      <c r="J3314" s="73"/>
    </row>
    <row r="3315" spans="2:10">
      <c r="B3315" s="73"/>
      <c r="C3315" s="73"/>
      <c r="D3315" s="73"/>
      <c r="E3315" s="73"/>
      <c r="F3315" s="73"/>
      <c r="G3315" s="73"/>
      <c r="H3315" s="73"/>
      <c r="I3315" s="73"/>
      <c r="J3315" s="73"/>
    </row>
    <row r="3316" spans="2:10">
      <c r="B3316" s="73"/>
      <c r="C3316" s="73"/>
      <c r="D3316" s="73"/>
      <c r="E3316" s="73"/>
      <c r="F3316" s="73"/>
      <c r="G3316" s="73"/>
      <c r="H3316" s="73"/>
      <c r="I3316" s="73"/>
      <c r="J3316" s="73"/>
    </row>
    <row r="3317" spans="2:10">
      <c r="B3317" s="73"/>
      <c r="C3317" s="73"/>
      <c r="D3317" s="73"/>
      <c r="E3317" s="73"/>
      <c r="F3317" s="73"/>
      <c r="G3317" s="73"/>
      <c r="H3317" s="73"/>
      <c r="I3317" s="73"/>
      <c r="J3317" s="73"/>
    </row>
    <row r="3318" spans="2:10">
      <c r="B3318" s="73"/>
      <c r="C3318" s="73"/>
      <c r="D3318" s="73"/>
      <c r="E3318" s="73"/>
      <c r="F3318" s="73"/>
      <c r="G3318" s="73"/>
      <c r="H3318" s="73"/>
      <c r="I3318" s="73"/>
      <c r="J3318" s="73"/>
    </row>
    <row r="3319" spans="2:10">
      <c r="B3319" s="73"/>
      <c r="C3319" s="73"/>
      <c r="D3319" s="73"/>
      <c r="E3319" s="73"/>
      <c r="F3319" s="73"/>
      <c r="G3319" s="73"/>
      <c r="H3319" s="73"/>
      <c r="I3319" s="73"/>
      <c r="J3319" s="73"/>
    </row>
    <row r="3320" spans="2:10">
      <c r="B3320" s="73"/>
      <c r="C3320" s="73"/>
      <c r="D3320" s="73"/>
      <c r="E3320" s="73"/>
      <c r="F3320" s="73"/>
      <c r="G3320" s="73"/>
      <c r="H3320" s="73"/>
      <c r="I3320" s="73"/>
      <c r="J3320" s="73"/>
    </row>
    <row r="3321" spans="2:10">
      <c r="B3321" s="73"/>
      <c r="C3321" s="73"/>
      <c r="D3321" s="73"/>
      <c r="E3321" s="73"/>
      <c r="F3321" s="73"/>
      <c r="G3321" s="73"/>
      <c r="H3321" s="73"/>
      <c r="I3321" s="73"/>
      <c r="J3321" s="73"/>
    </row>
    <row r="3322" spans="2:10">
      <c r="B3322" s="73"/>
      <c r="C3322" s="73"/>
      <c r="D3322" s="73"/>
      <c r="E3322" s="73"/>
      <c r="F3322" s="73"/>
      <c r="G3322" s="73"/>
      <c r="H3322" s="73"/>
      <c r="I3322" s="73"/>
      <c r="J3322" s="73"/>
    </row>
    <row r="3323" spans="2:10">
      <c r="B3323" s="73"/>
      <c r="C3323" s="73"/>
      <c r="D3323" s="73"/>
      <c r="E3323" s="73"/>
      <c r="F3323" s="73"/>
      <c r="G3323" s="73"/>
      <c r="H3323" s="73"/>
      <c r="I3323" s="73"/>
      <c r="J3323" s="73"/>
    </row>
    <row r="3324" spans="2:10">
      <c r="B3324" s="73"/>
      <c r="C3324" s="73"/>
      <c r="D3324" s="73"/>
      <c r="E3324" s="73"/>
      <c r="F3324" s="73"/>
      <c r="G3324" s="73"/>
      <c r="H3324" s="73"/>
      <c r="I3324" s="73"/>
      <c r="J3324" s="73"/>
    </row>
    <row r="3325" spans="2:10">
      <c r="B3325" s="73"/>
      <c r="C3325" s="73"/>
      <c r="D3325" s="73"/>
      <c r="E3325" s="73"/>
      <c r="F3325" s="73"/>
      <c r="G3325" s="73"/>
      <c r="H3325" s="73"/>
      <c r="I3325" s="73"/>
      <c r="J3325" s="73"/>
    </row>
    <row r="3326" spans="2:10">
      <c r="B3326" s="73"/>
      <c r="C3326" s="73"/>
      <c r="D3326" s="73"/>
      <c r="E3326" s="73"/>
      <c r="F3326" s="73"/>
      <c r="G3326" s="73"/>
      <c r="H3326" s="73"/>
      <c r="I3326" s="73"/>
      <c r="J3326" s="73"/>
    </row>
    <row r="3327" spans="2:10">
      <c r="B3327" s="73"/>
      <c r="C3327" s="73"/>
      <c r="D3327" s="73"/>
      <c r="E3327" s="73"/>
      <c r="F3327" s="73"/>
      <c r="G3327" s="73"/>
      <c r="H3327" s="73"/>
      <c r="I3327" s="73"/>
      <c r="J3327" s="73"/>
    </row>
    <row r="3328" spans="2:10">
      <c r="B3328" s="73"/>
      <c r="C3328" s="73"/>
      <c r="D3328" s="73"/>
      <c r="E3328" s="73"/>
      <c r="F3328" s="73"/>
      <c r="G3328" s="73"/>
      <c r="H3328" s="73"/>
      <c r="I3328" s="73"/>
      <c r="J3328" s="73"/>
    </row>
    <row r="3329" spans="2:10">
      <c r="B3329" s="73"/>
      <c r="C3329" s="73"/>
      <c r="D3329" s="73"/>
      <c r="E3329" s="73"/>
      <c r="F3329" s="73"/>
      <c r="G3329" s="73"/>
      <c r="H3329" s="73"/>
      <c r="I3329" s="73"/>
      <c r="J3329" s="73"/>
    </row>
    <row r="3330" spans="2:10">
      <c r="B3330" s="73"/>
      <c r="C3330" s="73"/>
      <c r="D3330" s="73"/>
      <c r="E3330" s="73"/>
      <c r="F3330" s="73"/>
      <c r="G3330" s="73"/>
      <c r="H3330" s="73"/>
      <c r="I3330" s="73"/>
      <c r="J3330" s="73"/>
    </row>
    <row r="3331" spans="2:10">
      <c r="B3331" s="73"/>
      <c r="C3331" s="73"/>
      <c r="D3331" s="73"/>
      <c r="E3331" s="73"/>
      <c r="F3331" s="73"/>
      <c r="G3331" s="73"/>
      <c r="H3331" s="73"/>
      <c r="I3331" s="73"/>
      <c r="J3331" s="73"/>
    </row>
    <row r="3332" spans="2:10">
      <c r="B3332" s="73"/>
      <c r="C3332" s="73"/>
      <c r="D3332" s="73"/>
      <c r="E3332" s="73"/>
      <c r="F3332" s="73"/>
      <c r="G3332" s="73"/>
      <c r="H3332" s="73"/>
      <c r="I3332" s="73"/>
      <c r="J3332" s="73"/>
    </row>
    <row r="3333" spans="2:10">
      <c r="B3333" s="73"/>
      <c r="C3333" s="73"/>
      <c r="D3333" s="73"/>
      <c r="E3333" s="73"/>
      <c r="F3333" s="73"/>
      <c r="G3333" s="73"/>
      <c r="H3333" s="73"/>
      <c r="I3333" s="73"/>
      <c r="J3333" s="73"/>
    </row>
    <row r="3334" spans="2:10">
      <c r="B3334" s="73"/>
      <c r="C3334" s="73"/>
      <c r="D3334" s="73"/>
      <c r="E3334" s="73"/>
      <c r="F3334" s="73"/>
      <c r="G3334" s="73"/>
      <c r="H3334" s="73"/>
      <c r="I3334" s="73"/>
      <c r="J3334" s="73"/>
    </row>
    <row r="3335" spans="2:10">
      <c r="B3335" s="73"/>
      <c r="C3335" s="73"/>
      <c r="D3335" s="73"/>
      <c r="E3335" s="73"/>
      <c r="F3335" s="73"/>
      <c r="G3335" s="73"/>
      <c r="H3335" s="73"/>
      <c r="I3335" s="73"/>
      <c r="J3335" s="73"/>
    </row>
    <row r="3336" spans="2:10">
      <c r="B3336" s="73"/>
      <c r="C3336" s="73"/>
      <c r="D3336" s="73"/>
      <c r="E3336" s="73"/>
      <c r="F3336" s="73"/>
      <c r="G3336" s="73"/>
      <c r="H3336" s="73"/>
      <c r="I3336" s="73"/>
      <c r="J3336" s="73"/>
    </row>
    <row r="3337" spans="2:10">
      <c r="B3337" s="73"/>
      <c r="C3337" s="73"/>
      <c r="D3337" s="73"/>
      <c r="E3337" s="73"/>
      <c r="F3337" s="73"/>
      <c r="G3337" s="73"/>
      <c r="H3337" s="73"/>
      <c r="I3337" s="73"/>
      <c r="J3337" s="73"/>
    </row>
    <row r="3338" spans="2:10">
      <c r="B3338" s="73"/>
      <c r="C3338" s="73"/>
      <c r="D3338" s="73"/>
      <c r="E3338" s="73"/>
      <c r="F3338" s="73"/>
      <c r="G3338" s="73"/>
      <c r="H3338" s="73"/>
      <c r="I3338" s="73"/>
      <c r="J3338" s="73"/>
    </row>
    <row r="3339" spans="2:10">
      <c r="B3339" s="73"/>
      <c r="C3339" s="73"/>
      <c r="D3339" s="73"/>
      <c r="E3339" s="73"/>
      <c r="F3339" s="73"/>
      <c r="G3339" s="73"/>
      <c r="H3339" s="73"/>
      <c r="I3339" s="73"/>
      <c r="J3339" s="73"/>
    </row>
    <row r="3340" spans="2:10">
      <c r="B3340" s="73"/>
      <c r="C3340" s="73"/>
      <c r="D3340" s="73"/>
      <c r="E3340" s="73"/>
      <c r="F3340" s="73"/>
      <c r="G3340" s="73"/>
      <c r="H3340" s="73"/>
      <c r="I3340" s="73"/>
      <c r="J3340" s="73"/>
    </row>
    <row r="3341" spans="2:10">
      <c r="B3341" s="73"/>
      <c r="C3341" s="73"/>
      <c r="D3341" s="73"/>
      <c r="E3341" s="73"/>
      <c r="F3341" s="73"/>
      <c r="G3341" s="73"/>
      <c r="H3341" s="73"/>
      <c r="I3341" s="73"/>
      <c r="J3341" s="73"/>
    </row>
    <row r="3342" spans="2:10">
      <c r="B3342" s="73"/>
      <c r="C3342" s="73"/>
      <c r="D3342" s="73"/>
      <c r="E3342" s="73"/>
      <c r="F3342" s="73"/>
      <c r="G3342" s="73"/>
      <c r="H3342" s="73"/>
      <c r="I3342" s="73"/>
      <c r="J3342" s="73"/>
    </row>
    <row r="3343" spans="2:10">
      <c r="B3343" s="73"/>
      <c r="C3343" s="73"/>
      <c r="D3343" s="73"/>
      <c r="E3343" s="73"/>
      <c r="F3343" s="73"/>
      <c r="G3343" s="73"/>
      <c r="H3343" s="73"/>
      <c r="I3343" s="73"/>
      <c r="J3343" s="73"/>
    </row>
    <row r="3344" spans="2:10">
      <c r="B3344" s="73"/>
      <c r="C3344" s="73"/>
      <c r="D3344" s="73"/>
      <c r="E3344" s="73"/>
      <c r="F3344" s="73"/>
      <c r="G3344" s="73"/>
      <c r="H3344" s="73"/>
      <c r="I3344" s="73"/>
      <c r="J3344" s="73"/>
    </row>
    <row r="3345" spans="2:10">
      <c r="B3345" s="73"/>
      <c r="C3345" s="73"/>
      <c r="D3345" s="73"/>
      <c r="E3345" s="73"/>
      <c r="F3345" s="73"/>
      <c r="G3345" s="73"/>
      <c r="H3345" s="73"/>
      <c r="I3345" s="73"/>
      <c r="J3345" s="73"/>
    </row>
    <row r="3346" spans="2:10">
      <c r="B3346" s="73"/>
      <c r="C3346" s="73"/>
      <c r="D3346" s="73"/>
      <c r="E3346" s="73"/>
      <c r="F3346" s="73"/>
      <c r="G3346" s="73"/>
      <c r="H3346" s="73"/>
      <c r="I3346" s="73"/>
      <c r="J3346" s="73"/>
    </row>
    <row r="3347" spans="2:10">
      <c r="B3347" s="73"/>
      <c r="C3347" s="73"/>
      <c r="D3347" s="73"/>
      <c r="E3347" s="73"/>
      <c r="F3347" s="73"/>
      <c r="G3347" s="73"/>
      <c r="H3347" s="73"/>
      <c r="I3347" s="73"/>
      <c r="J3347" s="73"/>
    </row>
    <row r="3348" spans="2:10">
      <c r="B3348" s="73"/>
      <c r="C3348" s="73"/>
      <c r="D3348" s="73"/>
      <c r="E3348" s="73"/>
      <c r="F3348" s="73"/>
      <c r="G3348" s="73"/>
      <c r="H3348" s="73"/>
      <c r="I3348" s="73"/>
      <c r="J3348" s="73"/>
    </row>
    <row r="3349" spans="2:10">
      <c r="B3349" s="73"/>
      <c r="C3349" s="73"/>
      <c r="D3349" s="73"/>
      <c r="E3349" s="73"/>
      <c r="F3349" s="73"/>
      <c r="G3349" s="73"/>
      <c r="H3349" s="73"/>
      <c r="I3349" s="73"/>
      <c r="J3349" s="73"/>
    </row>
    <row r="3350" spans="2:10">
      <c r="B3350" s="73"/>
      <c r="C3350" s="73"/>
      <c r="D3350" s="73"/>
      <c r="E3350" s="73"/>
      <c r="F3350" s="73"/>
      <c r="G3350" s="73"/>
      <c r="H3350" s="73"/>
      <c r="I3350" s="73"/>
      <c r="J3350" s="73"/>
    </row>
    <row r="3351" spans="2:10">
      <c r="B3351" s="73"/>
      <c r="C3351" s="73"/>
      <c r="D3351" s="73"/>
      <c r="E3351" s="73"/>
      <c r="F3351" s="73"/>
      <c r="G3351" s="73"/>
      <c r="H3351" s="73"/>
      <c r="I3351" s="73"/>
      <c r="J3351" s="73"/>
    </row>
    <row r="3352" spans="2:10">
      <c r="B3352" s="73"/>
      <c r="C3352" s="73"/>
      <c r="D3352" s="73"/>
      <c r="E3352" s="73"/>
      <c r="F3352" s="73"/>
      <c r="G3352" s="73"/>
      <c r="H3352" s="73"/>
      <c r="I3352" s="73"/>
      <c r="J3352" s="73"/>
    </row>
    <row r="3353" spans="2:10">
      <c r="B3353" s="73"/>
      <c r="C3353" s="73"/>
      <c r="D3353" s="73"/>
      <c r="E3353" s="73"/>
      <c r="F3353" s="73"/>
      <c r="G3353" s="73"/>
      <c r="H3353" s="73"/>
      <c r="I3353" s="73"/>
      <c r="J3353" s="73"/>
    </row>
    <row r="3354" spans="2:10">
      <c r="B3354" s="73"/>
      <c r="C3354" s="73"/>
      <c r="D3354" s="73"/>
      <c r="E3354" s="73"/>
      <c r="F3354" s="73"/>
      <c r="G3354" s="73"/>
      <c r="H3354" s="73"/>
      <c r="I3354" s="73"/>
      <c r="J3354" s="73"/>
    </row>
    <row r="3355" spans="2:10">
      <c r="B3355" s="73"/>
      <c r="C3355" s="73"/>
      <c r="D3355" s="73"/>
      <c r="E3355" s="73"/>
      <c r="F3355" s="73"/>
      <c r="G3355" s="73"/>
      <c r="H3355" s="73"/>
      <c r="I3355" s="73"/>
      <c r="J3355" s="73"/>
    </row>
    <row r="3356" spans="2:10">
      <c r="B3356" s="73"/>
      <c r="C3356" s="73"/>
      <c r="D3356" s="73"/>
      <c r="E3356" s="73"/>
      <c r="F3356" s="73"/>
      <c r="G3356" s="73"/>
      <c r="H3356" s="73"/>
      <c r="I3356" s="73"/>
      <c r="J3356" s="73"/>
    </row>
    <row r="3357" spans="2:10">
      <c r="B3357" s="73"/>
      <c r="C3357" s="73"/>
      <c r="D3357" s="73"/>
      <c r="E3357" s="73"/>
      <c r="F3357" s="73"/>
      <c r="G3357" s="73"/>
      <c r="H3357" s="73"/>
      <c r="I3357" s="73"/>
      <c r="J3357" s="73"/>
    </row>
    <row r="3358" spans="2:10">
      <c r="B3358" s="73"/>
      <c r="C3358" s="73"/>
      <c r="D3358" s="73"/>
      <c r="E3358" s="73"/>
      <c r="F3358" s="73"/>
      <c r="G3358" s="73"/>
      <c r="H3358" s="73"/>
      <c r="I3358" s="73"/>
      <c r="J3358" s="73"/>
    </row>
    <row r="3359" spans="2:10">
      <c r="B3359" s="73"/>
      <c r="C3359" s="73"/>
      <c r="D3359" s="73"/>
      <c r="E3359" s="73"/>
      <c r="F3359" s="73"/>
      <c r="G3359" s="73"/>
      <c r="H3359" s="73"/>
      <c r="I3359" s="73"/>
      <c r="J3359" s="73"/>
    </row>
    <row r="3360" spans="2:10">
      <c r="B3360" s="73"/>
      <c r="C3360" s="73"/>
      <c r="D3360" s="73"/>
      <c r="E3360" s="73"/>
      <c r="F3360" s="73"/>
      <c r="G3360" s="73"/>
      <c r="H3360" s="73"/>
      <c r="I3360" s="73"/>
      <c r="J3360" s="73"/>
    </row>
    <row r="3361" spans="2:10">
      <c r="B3361" s="73"/>
      <c r="C3361" s="73"/>
      <c r="D3361" s="73"/>
      <c r="E3361" s="73"/>
      <c r="F3361" s="73"/>
      <c r="G3361" s="73"/>
      <c r="H3361" s="73"/>
      <c r="I3361" s="73"/>
      <c r="J3361" s="73"/>
    </row>
    <row r="3362" spans="2:10">
      <c r="B3362" s="73"/>
      <c r="C3362" s="73"/>
      <c r="D3362" s="73"/>
      <c r="E3362" s="73"/>
      <c r="F3362" s="73"/>
      <c r="G3362" s="73"/>
      <c r="H3362" s="73"/>
      <c r="I3362" s="73"/>
      <c r="J3362" s="73"/>
    </row>
    <row r="3363" spans="2:10">
      <c r="B3363" s="73"/>
      <c r="C3363" s="73"/>
      <c r="D3363" s="73"/>
      <c r="E3363" s="73"/>
      <c r="F3363" s="73"/>
      <c r="G3363" s="73"/>
      <c r="H3363" s="73"/>
      <c r="I3363" s="73"/>
      <c r="J3363" s="73"/>
    </row>
    <row r="3364" spans="2:10">
      <c r="B3364" s="73"/>
      <c r="C3364" s="73"/>
      <c r="D3364" s="73"/>
      <c r="E3364" s="73"/>
      <c r="F3364" s="73"/>
      <c r="G3364" s="73"/>
      <c r="H3364" s="73"/>
      <c r="I3364" s="73"/>
      <c r="J3364" s="73"/>
    </row>
    <row r="3365" spans="2:10">
      <c r="B3365" s="73"/>
      <c r="C3365" s="73"/>
      <c r="D3365" s="73"/>
      <c r="E3365" s="73"/>
      <c r="F3365" s="73"/>
      <c r="G3365" s="73"/>
      <c r="H3365" s="73"/>
      <c r="I3365" s="73"/>
      <c r="J3365" s="73"/>
    </row>
    <row r="3366" spans="2:10">
      <c r="B3366" s="73"/>
      <c r="C3366" s="73"/>
      <c r="D3366" s="73"/>
      <c r="E3366" s="73"/>
      <c r="F3366" s="73"/>
      <c r="G3366" s="73"/>
      <c r="H3366" s="73"/>
      <c r="I3366" s="73"/>
      <c r="J3366" s="73"/>
    </row>
    <row r="3367" spans="2:10">
      <c r="B3367" s="73"/>
      <c r="C3367" s="73"/>
      <c r="D3367" s="73"/>
      <c r="E3367" s="73"/>
      <c r="F3367" s="73"/>
      <c r="G3367" s="73"/>
      <c r="H3367" s="73"/>
      <c r="I3367" s="73"/>
      <c r="J3367" s="73"/>
    </row>
    <row r="3368" spans="2:10">
      <c r="B3368" s="73"/>
      <c r="C3368" s="73"/>
      <c r="D3368" s="73"/>
      <c r="E3368" s="73"/>
      <c r="F3368" s="73"/>
      <c r="G3368" s="73"/>
      <c r="H3368" s="73"/>
      <c r="I3368" s="73"/>
      <c r="J3368" s="73"/>
    </row>
    <row r="3369" spans="2:10">
      <c r="B3369" s="73"/>
      <c r="C3369" s="73"/>
      <c r="D3369" s="73"/>
      <c r="E3369" s="73"/>
      <c r="F3369" s="73"/>
      <c r="G3369" s="73"/>
      <c r="H3369" s="73"/>
      <c r="I3369" s="73"/>
      <c r="J3369" s="73"/>
    </row>
    <row r="3370" spans="2:10">
      <c r="B3370" s="73"/>
      <c r="C3370" s="73"/>
      <c r="D3370" s="73"/>
      <c r="E3370" s="73"/>
      <c r="F3370" s="73"/>
      <c r="G3370" s="73"/>
      <c r="H3370" s="73"/>
      <c r="I3370" s="73"/>
      <c r="J3370" s="73"/>
    </row>
    <row r="3371" spans="2:10">
      <c r="B3371" s="73"/>
      <c r="C3371" s="73"/>
      <c r="D3371" s="73"/>
      <c r="E3371" s="73"/>
      <c r="F3371" s="73"/>
      <c r="G3371" s="73"/>
      <c r="H3371" s="73"/>
      <c r="I3371" s="73"/>
      <c r="J3371" s="73"/>
    </row>
    <row r="3372" spans="2:10">
      <c r="B3372" s="73"/>
      <c r="C3372" s="73"/>
      <c r="D3372" s="73"/>
      <c r="E3372" s="73"/>
      <c r="F3372" s="73"/>
      <c r="G3372" s="73"/>
      <c r="H3372" s="73"/>
      <c r="I3372" s="73"/>
      <c r="J3372" s="73"/>
    </row>
    <row r="3373" spans="2:10">
      <c r="B3373" s="73"/>
      <c r="C3373" s="73"/>
      <c r="D3373" s="73"/>
      <c r="E3373" s="73"/>
      <c r="F3373" s="73"/>
      <c r="G3373" s="73"/>
      <c r="H3373" s="73"/>
      <c r="I3373" s="73"/>
      <c r="J3373" s="73"/>
    </row>
    <row r="3374" spans="2:10">
      <c r="B3374" s="73"/>
      <c r="C3374" s="73"/>
      <c r="D3374" s="73"/>
      <c r="E3374" s="73"/>
      <c r="F3374" s="73"/>
      <c r="G3374" s="73"/>
      <c r="H3374" s="73"/>
      <c r="I3374" s="73"/>
      <c r="J3374" s="73"/>
    </row>
    <row r="3375" spans="2:10">
      <c r="B3375" s="73"/>
      <c r="C3375" s="73"/>
      <c r="D3375" s="73"/>
      <c r="E3375" s="73"/>
      <c r="F3375" s="73"/>
      <c r="G3375" s="73"/>
      <c r="H3375" s="73"/>
      <c r="I3375" s="73"/>
      <c r="J3375" s="73"/>
    </row>
    <row r="3376" spans="2:10">
      <c r="B3376" s="73"/>
      <c r="C3376" s="73"/>
      <c r="D3376" s="73"/>
      <c r="E3376" s="73"/>
      <c r="F3376" s="73"/>
      <c r="G3376" s="73"/>
      <c r="H3376" s="73"/>
      <c r="I3376" s="73"/>
      <c r="J3376" s="73"/>
    </row>
    <row r="3377" spans="2:10">
      <c r="B3377" s="73"/>
      <c r="C3377" s="73"/>
      <c r="D3377" s="73"/>
      <c r="E3377" s="73"/>
      <c r="F3377" s="73"/>
      <c r="G3377" s="73"/>
      <c r="H3377" s="73"/>
      <c r="I3377" s="73"/>
      <c r="J3377" s="73"/>
    </row>
    <row r="3378" spans="2:10">
      <c r="B3378" s="73"/>
      <c r="C3378" s="73"/>
      <c r="D3378" s="73"/>
      <c r="E3378" s="73"/>
      <c r="F3378" s="73"/>
      <c r="G3378" s="73"/>
      <c r="H3378" s="73"/>
      <c r="I3378" s="73"/>
      <c r="J3378" s="73"/>
    </row>
    <row r="3379" spans="2:10">
      <c r="B3379" s="73"/>
      <c r="C3379" s="73"/>
      <c r="D3379" s="73"/>
      <c r="E3379" s="73"/>
      <c r="F3379" s="73"/>
      <c r="G3379" s="73"/>
      <c r="H3379" s="73"/>
      <c r="I3379" s="73"/>
      <c r="J3379" s="73"/>
    </row>
    <row r="3380" spans="2:10">
      <c r="B3380" s="73"/>
      <c r="C3380" s="73"/>
      <c r="D3380" s="73"/>
      <c r="E3380" s="73"/>
      <c r="F3380" s="73"/>
      <c r="G3380" s="73"/>
      <c r="H3380" s="73"/>
      <c r="I3380" s="73"/>
      <c r="J3380" s="73"/>
    </row>
    <row r="3381" spans="2:10">
      <c r="B3381" s="73"/>
      <c r="C3381" s="73"/>
      <c r="D3381" s="73"/>
      <c r="E3381" s="73"/>
      <c r="F3381" s="73"/>
      <c r="G3381" s="73"/>
      <c r="H3381" s="73"/>
      <c r="I3381" s="73"/>
      <c r="J3381" s="73"/>
    </row>
    <row r="3382" spans="2:10">
      <c r="B3382" s="73"/>
      <c r="C3382" s="73"/>
      <c r="D3382" s="73"/>
      <c r="E3382" s="73"/>
      <c r="F3382" s="73"/>
      <c r="G3382" s="73"/>
      <c r="H3382" s="73"/>
      <c r="I3382" s="73"/>
      <c r="J3382" s="73"/>
    </row>
    <row r="3383" spans="2:10">
      <c r="B3383" s="73"/>
      <c r="C3383" s="73"/>
      <c r="D3383" s="73"/>
      <c r="E3383" s="73"/>
      <c r="F3383" s="73"/>
      <c r="G3383" s="73"/>
      <c r="H3383" s="73"/>
      <c r="I3383" s="73"/>
      <c r="J3383" s="73"/>
    </row>
    <row r="3384" spans="2:10">
      <c r="B3384" s="73"/>
      <c r="C3384" s="73"/>
      <c r="D3384" s="73"/>
      <c r="E3384" s="73"/>
      <c r="F3384" s="73"/>
      <c r="G3384" s="73"/>
      <c r="H3384" s="73"/>
      <c r="I3384" s="73"/>
      <c r="J3384" s="73"/>
    </row>
    <row r="3385" spans="2:10">
      <c r="B3385" s="73"/>
      <c r="C3385" s="73"/>
      <c r="D3385" s="73"/>
      <c r="E3385" s="73"/>
      <c r="F3385" s="73"/>
      <c r="G3385" s="73"/>
      <c r="H3385" s="73"/>
      <c r="I3385" s="73"/>
      <c r="J3385" s="73"/>
    </row>
    <row r="3386" spans="2:10">
      <c r="B3386" s="73"/>
      <c r="C3386" s="73"/>
      <c r="D3386" s="73"/>
      <c r="E3386" s="73"/>
      <c r="F3386" s="73"/>
      <c r="G3386" s="73"/>
      <c r="H3386" s="73"/>
      <c r="I3386" s="73"/>
      <c r="J3386" s="73"/>
    </row>
    <row r="3387" spans="2:10">
      <c r="B3387" s="73"/>
      <c r="C3387" s="73"/>
      <c r="D3387" s="73"/>
      <c r="E3387" s="73"/>
      <c r="F3387" s="73"/>
      <c r="G3387" s="73"/>
      <c r="H3387" s="73"/>
      <c r="I3387" s="73"/>
      <c r="J3387" s="73"/>
    </row>
    <row r="3388" spans="2:10">
      <c r="B3388" s="73"/>
      <c r="C3388" s="73"/>
      <c r="D3388" s="73"/>
      <c r="E3388" s="73"/>
      <c r="F3388" s="73"/>
      <c r="G3388" s="73"/>
      <c r="H3388" s="73"/>
      <c r="I3388" s="73"/>
      <c r="J3388" s="73"/>
    </row>
    <row r="3389" spans="2:10">
      <c r="B3389" s="73"/>
      <c r="C3389" s="73"/>
      <c r="D3389" s="73"/>
      <c r="E3389" s="73"/>
      <c r="F3389" s="73"/>
      <c r="G3389" s="73"/>
      <c r="H3389" s="73"/>
      <c r="I3389" s="73"/>
      <c r="J3389" s="73"/>
    </row>
    <row r="3390" spans="2:10">
      <c r="B3390" s="73"/>
      <c r="C3390" s="73"/>
      <c r="D3390" s="73"/>
      <c r="E3390" s="73"/>
      <c r="F3390" s="73"/>
      <c r="G3390" s="73"/>
      <c r="H3390" s="73"/>
      <c r="I3390" s="73"/>
      <c r="J3390" s="73"/>
    </row>
    <row r="3391" spans="2:10">
      <c r="B3391" s="73"/>
      <c r="C3391" s="73"/>
      <c r="D3391" s="73"/>
      <c r="E3391" s="73"/>
      <c r="F3391" s="73"/>
      <c r="G3391" s="73"/>
      <c r="H3391" s="73"/>
      <c r="I3391" s="73"/>
      <c r="J3391" s="73"/>
    </row>
    <row r="3392" spans="2:10">
      <c r="B3392" s="73"/>
      <c r="C3392" s="73"/>
      <c r="D3392" s="73"/>
      <c r="E3392" s="73"/>
      <c r="F3392" s="73"/>
      <c r="G3392" s="73"/>
      <c r="H3392" s="73"/>
      <c r="I3392" s="73"/>
      <c r="J3392" s="73"/>
    </row>
    <row r="3393" spans="2:10">
      <c r="B3393" s="73"/>
      <c r="C3393" s="73"/>
      <c r="D3393" s="73"/>
      <c r="E3393" s="73"/>
      <c r="F3393" s="73"/>
      <c r="G3393" s="73"/>
      <c r="H3393" s="73"/>
      <c r="I3393" s="73"/>
      <c r="J3393" s="73"/>
    </row>
    <row r="3394" spans="2:10">
      <c r="B3394" s="73"/>
      <c r="C3394" s="73"/>
      <c r="D3394" s="73"/>
      <c r="E3394" s="73"/>
      <c r="F3394" s="73"/>
      <c r="G3394" s="73"/>
      <c r="H3394" s="73"/>
      <c r="I3394" s="73"/>
      <c r="J3394" s="73"/>
    </row>
    <row r="3395" spans="2:10">
      <c r="B3395" s="73"/>
      <c r="C3395" s="73"/>
      <c r="D3395" s="73"/>
      <c r="E3395" s="73"/>
      <c r="F3395" s="73"/>
      <c r="G3395" s="73"/>
      <c r="H3395" s="73"/>
      <c r="I3395" s="73"/>
      <c r="J3395" s="73"/>
    </row>
    <row r="3396" spans="2:10">
      <c r="B3396" s="73"/>
      <c r="C3396" s="73"/>
      <c r="D3396" s="73"/>
      <c r="E3396" s="73"/>
      <c r="F3396" s="73"/>
      <c r="G3396" s="73"/>
      <c r="H3396" s="73"/>
      <c r="I3396" s="73"/>
      <c r="J3396" s="73"/>
    </row>
    <row r="3397" spans="2:10">
      <c r="B3397" s="73"/>
      <c r="C3397" s="73"/>
      <c r="D3397" s="73"/>
      <c r="E3397" s="73"/>
      <c r="F3397" s="73"/>
      <c r="G3397" s="73"/>
      <c r="H3397" s="73"/>
      <c r="I3397" s="73"/>
      <c r="J3397" s="73"/>
    </row>
    <row r="3398" spans="2:10">
      <c r="B3398" s="73"/>
      <c r="C3398" s="73"/>
      <c r="D3398" s="73"/>
      <c r="E3398" s="73"/>
      <c r="F3398" s="73"/>
      <c r="G3398" s="73"/>
      <c r="H3398" s="73"/>
      <c r="I3398" s="73"/>
      <c r="J3398" s="73"/>
    </row>
    <row r="3399" spans="2:10">
      <c r="B3399" s="73"/>
      <c r="C3399" s="73"/>
      <c r="D3399" s="73"/>
      <c r="E3399" s="73"/>
      <c r="F3399" s="73"/>
      <c r="G3399" s="73"/>
      <c r="H3399" s="73"/>
      <c r="I3399" s="73"/>
      <c r="J3399" s="73"/>
    </row>
    <row r="3400" spans="2:10">
      <c r="B3400" s="73"/>
      <c r="C3400" s="73"/>
      <c r="D3400" s="73"/>
      <c r="E3400" s="73"/>
      <c r="F3400" s="73"/>
      <c r="G3400" s="73"/>
      <c r="H3400" s="73"/>
      <c r="I3400" s="73"/>
      <c r="J3400" s="73"/>
    </row>
    <row r="3401" spans="2:10">
      <c r="B3401" s="73"/>
      <c r="C3401" s="73"/>
      <c r="D3401" s="73"/>
      <c r="E3401" s="73"/>
      <c r="F3401" s="73"/>
      <c r="G3401" s="73"/>
      <c r="H3401" s="73"/>
      <c r="I3401" s="73"/>
      <c r="J3401" s="73"/>
    </row>
    <row r="3402" spans="2:10">
      <c r="B3402" s="73"/>
      <c r="C3402" s="73"/>
      <c r="D3402" s="73"/>
      <c r="E3402" s="73"/>
      <c r="F3402" s="73"/>
      <c r="G3402" s="73"/>
      <c r="H3402" s="73"/>
      <c r="I3402" s="73"/>
      <c r="J3402" s="73"/>
    </row>
    <row r="3403" spans="2:10">
      <c r="B3403" s="73"/>
      <c r="C3403" s="73"/>
      <c r="D3403" s="73"/>
      <c r="E3403" s="73"/>
      <c r="F3403" s="73"/>
      <c r="G3403" s="73"/>
      <c r="H3403" s="73"/>
      <c r="I3403" s="73"/>
      <c r="J3403" s="73"/>
    </row>
    <row r="3404" spans="2:10">
      <c r="B3404" s="73"/>
      <c r="C3404" s="73"/>
      <c r="D3404" s="73"/>
      <c r="E3404" s="73"/>
      <c r="F3404" s="73"/>
      <c r="G3404" s="73"/>
      <c r="H3404" s="73"/>
      <c r="I3404" s="73"/>
      <c r="J3404" s="73"/>
    </row>
    <row r="3405" spans="2:10">
      <c r="B3405" s="73"/>
      <c r="C3405" s="73"/>
      <c r="D3405" s="73"/>
      <c r="E3405" s="73"/>
      <c r="F3405" s="73"/>
      <c r="G3405" s="73"/>
      <c r="H3405" s="73"/>
      <c r="I3405" s="73"/>
      <c r="J3405" s="73"/>
    </row>
    <row r="3406" spans="2:10">
      <c r="B3406" s="73"/>
      <c r="C3406" s="73"/>
      <c r="D3406" s="73"/>
      <c r="E3406" s="73"/>
      <c r="F3406" s="73"/>
      <c r="G3406" s="73"/>
      <c r="H3406" s="73"/>
      <c r="I3406" s="73"/>
      <c r="J3406" s="73"/>
    </row>
    <row r="3407" spans="2:10">
      <c r="B3407" s="73"/>
      <c r="C3407" s="73"/>
      <c r="D3407" s="73"/>
      <c r="E3407" s="73"/>
      <c r="F3407" s="73"/>
      <c r="G3407" s="73"/>
      <c r="H3407" s="73"/>
      <c r="I3407" s="73"/>
      <c r="J3407" s="73"/>
    </row>
    <row r="3408" spans="2:10">
      <c r="B3408" s="73"/>
      <c r="C3408" s="73"/>
      <c r="D3408" s="73"/>
      <c r="E3408" s="73"/>
      <c r="F3408" s="73"/>
      <c r="G3408" s="73"/>
      <c r="H3408" s="73"/>
      <c r="I3408" s="73"/>
      <c r="J3408" s="73"/>
    </row>
    <row r="3409" spans="2:10">
      <c r="B3409" s="73"/>
      <c r="C3409" s="73"/>
      <c r="D3409" s="73"/>
      <c r="E3409" s="73"/>
      <c r="F3409" s="73"/>
      <c r="G3409" s="73"/>
      <c r="H3409" s="73"/>
      <c r="I3409" s="73"/>
      <c r="J3409" s="73"/>
    </row>
    <row r="3410" spans="2:10">
      <c r="B3410" s="73"/>
      <c r="C3410" s="73"/>
      <c r="D3410" s="73"/>
      <c r="E3410" s="73"/>
      <c r="F3410" s="73"/>
      <c r="G3410" s="73"/>
      <c r="H3410" s="73"/>
      <c r="I3410" s="73"/>
      <c r="J3410" s="73"/>
    </row>
    <row r="3411" spans="2:10">
      <c r="B3411" s="73"/>
      <c r="C3411" s="73"/>
      <c r="D3411" s="73"/>
      <c r="E3411" s="73"/>
      <c r="F3411" s="73"/>
      <c r="G3411" s="73"/>
      <c r="H3411" s="73"/>
      <c r="I3411" s="73"/>
      <c r="J3411" s="73"/>
    </row>
    <row r="3412" spans="2:10">
      <c r="B3412" s="73"/>
      <c r="C3412" s="73"/>
      <c r="D3412" s="73"/>
      <c r="E3412" s="73"/>
      <c r="F3412" s="73"/>
      <c r="G3412" s="73"/>
      <c r="H3412" s="73"/>
      <c r="I3412" s="73"/>
      <c r="J3412" s="73"/>
    </row>
    <row r="3413" spans="2:10">
      <c r="B3413" s="73"/>
      <c r="C3413" s="73"/>
      <c r="D3413" s="73"/>
      <c r="E3413" s="73"/>
      <c r="F3413" s="73"/>
      <c r="G3413" s="73"/>
      <c r="H3413" s="73"/>
      <c r="I3413" s="73"/>
      <c r="J3413" s="73"/>
    </row>
    <row r="3414" spans="2:10">
      <c r="B3414" s="73"/>
      <c r="C3414" s="73"/>
      <c r="D3414" s="73"/>
      <c r="E3414" s="73"/>
      <c r="F3414" s="73"/>
      <c r="G3414" s="73"/>
      <c r="H3414" s="73"/>
      <c r="I3414" s="73"/>
      <c r="J3414" s="73"/>
    </row>
    <row r="3415" spans="2:10">
      <c r="B3415" s="73"/>
      <c r="C3415" s="73"/>
      <c r="D3415" s="73"/>
      <c r="E3415" s="73"/>
      <c r="F3415" s="73"/>
      <c r="G3415" s="73"/>
      <c r="H3415" s="73"/>
      <c r="I3415" s="73"/>
      <c r="J3415" s="73"/>
    </row>
    <row r="3416" spans="2:10">
      <c r="B3416" s="73"/>
      <c r="C3416" s="73"/>
      <c r="D3416" s="73"/>
      <c r="E3416" s="73"/>
      <c r="F3416" s="73"/>
      <c r="G3416" s="73"/>
      <c r="H3416" s="73"/>
      <c r="I3416" s="73"/>
      <c r="J3416" s="73"/>
    </row>
    <row r="3417" spans="2:10">
      <c r="B3417" s="73"/>
      <c r="C3417" s="73"/>
      <c r="D3417" s="73"/>
      <c r="E3417" s="73"/>
      <c r="F3417" s="73"/>
      <c r="G3417" s="73"/>
      <c r="H3417" s="73"/>
      <c r="I3417" s="73"/>
      <c r="J3417" s="73"/>
    </row>
    <row r="3418" spans="2:10">
      <c r="B3418" s="73"/>
      <c r="C3418" s="73"/>
      <c r="D3418" s="73"/>
      <c r="E3418" s="73"/>
      <c r="F3418" s="73"/>
      <c r="G3418" s="73"/>
      <c r="H3418" s="73"/>
      <c r="I3418" s="73"/>
      <c r="J3418" s="73"/>
    </row>
    <row r="3419" spans="2:10">
      <c r="B3419" s="73"/>
      <c r="C3419" s="73"/>
      <c r="D3419" s="73"/>
      <c r="E3419" s="73"/>
      <c r="F3419" s="73"/>
      <c r="G3419" s="73"/>
      <c r="H3419" s="73"/>
      <c r="I3419" s="73"/>
      <c r="J3419" s="73"/>
    </row>
    <row r="3420" spans="2:10">
      <c r="B3420" s="73"/>
      <c r="C3420" s="73"/>
      <c r="D3420" s="73"/>
      <c r="E3420" s="73"/>
      <c r="F3420" s="73"/>
      <c r="G3420" s="73"/>
      <c r="H3420" s="73"/>
      <c r="I3420" s="73"/>
      <c r="J3420" s="73"/>
    </row>
    <row r="3421" spans="2:10">
      <c r="B3421" s="73"/>
      <c r="C3421" s="73"/>
      <c r="D3421" s="73"/>
      <c r="E3421" s="73"/>
      <c r="F3421" s="73"/>
      <c r="G3421" s="73"/>
      <c r="H3421" s="73"/>
      <c r="I3421" s="73"/>
      <c r="J3421" s="73"/>
    </row>
    <row r="3422" spans="2:10">
      <c r="B3422" s="73"/>
      <c r="C3422" s="73"/>
      <c r="D3422" s="73"/>
      <c r="E3422" s="73"/>
      <c r="F3422" s="73"/>
      <c r="G3422" s="73"/>
      <c r="H3422" s="73"/>
      <c r="I3422" s="73"/>
      <c r="J3422" s="73"/>
    </row>
    <row r="3423" spans="2:10">
      <c r="B3423" s="73"/>
      <c r="C3423" s="73"/>
      <c r="D3423" s="73"/>
      <c r="E3423" s="73"/>
      <c r="F3423" s="73"/>
      <c r="G3423" s="73"/>
      <c r="H3423" s="73"/>
      <c r="I3423" s="73"/>
      <c r="J3423" s="73"/>
    </row>
    <row r="3424" spans="2:10">
      <c r="B3424" s="73"/>
      <c r="C3424" s="73"/>
      <c r="D3424" s="73"/>
      <c r="E3424" s="73"/>
      <c r="F3424" s="73"/>
      <c r="G3424" s="73"/>
      <c r="H3424" s="73"/>
      <c r="I3424" s="73"/>
      <c r="J3424" s="73"/>
    </row>
    <row r="3425" spans="2:10">
      <c r="B3425" s="73"/>
      <c r="C3425" s="73"/>
      <c r="D3425" s="73"/>
      <c r="E3425" s="73"/>
      <c r="F3425" s="73"/>
      <c r="G3425" s="73"/>
      <c r="H3425" s="73"/>
      <c r="I3425" s="73"/>
      <c r="J3425" s="73"/>
    </row>
    <row r="3426" spans="2:10">
      <c r="B3426" s="73"/>
      <c r="C3426" s="73"/>
      <c r="D3426" s="73"/>
      <c r="E3426" s="73"/>
      <c r="F3426" s="73"/>
      <c r="G3426" s="73"/>
      <c r="H3426" s="73"/>
      <c r="I3426" s="73"/>
      <c r="J3426" s="73"/>
    </row>
    <row r="3427" spans="2:10">
      <c r="B3427" s="73"/>
      <c r="C3427" s="73"/>
      <c r="D3427" s="73"/>
      <c r="E3427" s="73"/>
      <c r="F3427" s="73"/>
      <c r="G3427" s="73"/>
      <c r="H3427" s="73"/>
      <c r="I3427" s="73"/>
      <c r="J3427" s="73"/>
    </row>
    <row r="3428" spans="2:10">
      <c r="B3428" s="73"/>
      <c r="C3428" s="73"/>
      <c r="D3428" s="73"/>
      <c r="E3428" s="73"/>
      <c r="F3428" s="73"/>
      <c r="G3428" s="73"/>
      <c r="H3428" s="73"/>
      <c r="I3428" s="73"/>
      <c r="J3428" s="73"/>
    </row>
    <row r="3429" spans="2:10">
      <c r="B3429" s="73"/>
      <c r="C3429" s="73"/>
      <c r="D3429" s="73"/>
      <c r="E3429" s="73"/>
      <c r="F3429" s="73"/>
      <c r="G3429" s="73"/>
      <c r="H3429" s="73"/>
      <c r="I3429" s="73"/>
      <c r="J3429" s="73"/>
    </row>
    <row r="3430" spans="2:10">
      <c r="B3430" s="73"/>
      <c r="C3430" s="73"/>
      <c r="D3430" s="73"/>
      <c r="E3430" s="73"/>
      <c r="F3430" s="73"/>
      <c r="G3430" s="73"/>
      <c r="H3430" s="73"/>
      <c r="I3430" s="73"/>
      <c r="J3430" s="73"/>
    </row>
    <row r="3431" spans="2:10">
      <c r="B3431" s="73"/>
      <c r="C3431" s="73"/>
      <c r="D3431" s="73"/>
      <c r="E3431" s="73"/>
      <c r="F3431" s="73"/>
      <c r="G3431" s="73"/>
      <c r="H3431" s="73"/>
      <c r="I3431" s="73"/>
      <c r="J3431" s="73"/>
    </row>
    <row r="3432" spans="2:10">
      <c r="B3432" s="73"/>
      <c r="C3432" s="73"/>
      <c r="D3432" s="73"/>
      <c r="E3432" s="73"/>
      <c r="F3432" s="73"/>
      <c r="G3432" s="73"/>
      <c r="H3432" s="73"/>
      <c r="I3432" s="73"/>
      <c r="J3432" s="73"/>
    </row>
    <row r="3433" spans="2:10">
      <c r="B3433" s="73"/>
      <c r="C3433" s="73"/>
      <c r="D3433" s="73"/>
      <c r="E3433" s="73"/>
      <c r="F3433" s="73"/>
      <c r="G3433" s="73"/>
      <c r="H3433" s="73"/>
      <c r="I3433" s="73"/>
      <c r="J3433" s="73"/>
    </row>
    <row r="3434" spans="2:10">
      <c r="B3434" s="73"/>
      <c r="C3434" s="73"/>
      <c r="D3434" s="73"/>
      <c r="E3434" s="73"/>
      <c r="F3434" s="73"/>
      <c r="G3434" s="73"/>
      <c r="H3434" s="73"/>
      <c r="I3434" s="73"/>
      <c r="J3434" s="73"/>
    </row>
    <row r="3435" spans="2:10">
      <c r="B3435" s="73"/>
      <c r="C3435" s="73"/>
      <c r="D3435" s="73"/>
      <c r="E3435" s="73"/>
      <c r="F3435" s="73"/>
      <c r="G3435" s="73"/>
      <c r="H3435" s="73"/>
      <c r="I3435" s="73"/>
      <c r="J3435" s="73"/>
    </row>
    <row r="3436" spans="2:10">
      <c r="B3436" s="73"/>
      <c r="C3436" s="73"/>
      <c r="D3436" s="73"/>
      <c r="E3436" s="73"/>
      <c r="F3436" s="73"/>
      <c r="G3436" s="73"/>
      <c r="H3436" s="73"/>
      <c r="I3436" s="73"/>
      <c r="J3436" s="73"/>
    </row>
    <row r="3437" spans="2:10">
      <c r="B3437" s="73"/>
      <c r="C3437" s="73"/>
      <c r="D3437" s="73"/>
      <c r="E3437" s="73"/>
      <c r="F3437" s="73"/>
      <c r="G3437" s="73"/>
      <c r="H3437" s="73"/>
      <c r="I3437" s="73"/>
      <c r="J3437" s="73"/>
    </row>
    <row r="3438" spans="2:10">
      <c r="B3438" s="73"/>
      <c r="C3438" s="73"/>
      <c r="D3438" s="73"/>
      <c r="E3438" s="73"/>
      <c r="F3438" s="73"/>
      <c r="G3438" s="73"/>
      <c r="H3438" s="73"/>
      <c r="I3438" s="73"/>
      <c r="J3438" s="73"/>
    </row>
    <row r="3439" spans="2:10">
      <c r="B3439" s="73"/>
      <c r="C3439" s="73"/>
      <c r="D3439" s="73"/>
      <c r="E3439" s="73"/>
      <c r="F3439" s="73"/>
      <c r="G3439" s="73"/>
      <c r="H3439" s="73"/>
      <c r="I3439" s="73"/>
      <c r="J3439" s="73"/>
    </row>
    <row r="3440" spans="2:10">
      <c r="B3440" s="73"/>
      <c r="C3440" s="73"/>
      <c r="D3440" s="73"/>
      <c r="E3440" s="73"/>
      <c r="F3440" s="73"/>
      <c r="G3440" s="73"/>
      <c r="H3440" s="73"/>
      <c r="I3440" s="73"/>
      <c r="J3440" s="73"/>
    </row>
    <row r="3441" spans="2:10">
      <c r="B3441" s="73"/>
      <c r="C3441" s="73"/>
      <c r="D3441" s="73"/>
      <c r="E3441" s="73"/>
      <c r="F3441" s="73"/>
      <c r="G3441" s="73"/>
      <c r="H3441" s="73"/>
      <c r="I3441" s="73"/>
      <c r="J3441" s="73"/>
    </row>
    <row r="3442" spans="2:10">
      <c r="B3442" s="73"/>
      <c r="C3442" s="73"/>
      <c r="D3442" s="73"/>
      <c r="E3442" s="73"/>
      <c r="F3442" s="73"/>
      <c r="G3442" s="73"/>
      <c r="H3442" s="73"/>
      <c r="I3442" s="73"/>
      <c r="J3442" s="73"/>
    </row>
    <row r="3443" spans="2:10">
      <c r="B3443" s="73"/>
      <c r="C3443" s="73"/>
      <c r="D3443" s="73"/>
      <c r="E3443" s="73"/>
      <c r="F3443" s="73"/>
      <c r="G3443" s="73"/>
      <c r="H3443" s="73"/>
      <c r="I3443" s="73"/>
      <c r="J3443" s="73"/>
    </row>
    <row r="3444" spans="2:10">
      <c r="B3444" s="73"/>
      <c r="C3444" s="73"/>
      <c r="D3444" s="73"/>
      <c r="E3444" s="73"/>
      <c r="F3444" s="73"/>
      <c r="G3444" s="73"/>
      <c r="H3444" s="73"/>
      <c r="I3444" s="73"/>
      <c r="J3444" s="73"/>
    </row>
    <row r="3445" spans="2:10">
      <c r="B3445" s="73"/>
      <c r="C3445" s="73"/>
      <c r="D3445" s="73"/>
      <c r="E3445" s="73"/>
      <c r="F3445" s="73"/>
      <c r="G3445" s="73"/>
      <c r="H3445" s="73"/>
      <c r="I3445" s="73"/>
      <c r="J3445" s="73"/>
    </row>
    <row r="3446" spans="2:10">
      <c r="B3446" s="73"/>
      <c r="C3446" s="73"/>
      <c r="D3446" s="73"/>
      <c r="E3446" s="73"/>
      <c r="F3446" s="73"/>
      <c r="G3446" s="73"/>
      <c r="H3446" s="73"/>
      <c r="I3446" s="73"/>
      <c r="J3446" s="73"/>
    </row>
    <row r="3447" spans="2:10">
      <c r="B3447" s="73"/>
      <c r="C3447" s="73"/>
      <c r="D3447" s="73"/>
      <c r="E3447" s="73"/>
      <c r="F3447" s="73"/>
      <c r="G3447" s="73"/>
      <c r="H3447" s="73"/>
      <c r="I3447" s="73"/>
      <c r="J3447" s="73"/>
    </row>
    <row r="3448" spans="2:10">
      <c r="B3448" s="73"/>
      <c r="C3448" s="73"/>
      <c r="D3448" s="73"/>
      <c r="E3448" s="73"/>
      <c r="F3448" s="73"/>
      <c r="G3448" s="73"/>
      <c r="H3448" s="73"/>
      <c r="I3448" s="73"/>
      <c r="J3448" s="73"/>
    </row>
    <row r="3449" spans="2:10">
      <c r="B3449" s="73"/>
      <c r="C3449" s="73"/>
      <c r="D3449" s="73"/>
      <c r="E3449" s="73"/>
      <c r="F3449" s="73"/>
      <c r="G3449" s="73"/>
      <c r="H3449" s="73"/>
      <c r="I3449" s="73"/>
      <c r="J3449" s="73"/>
    </row>
    <row r="3450" spans="2:10">
      <c r="B3450" s="73"/>
      <c r="C3450" s="73"/>
      <c r="D3450" s="73"/>
      <c r="E3450" s="73"/>
      <c r="F3450" s="73"/>
      <c r="G3450" s="73"/>
      <c r="H3450" s="73"/>
      <c r="I3450" s="73"/>
      <c r="J3450" s="73"/>
    </row>
    <row r="3451" spans="2:10">
      <c r="B3451" s="73"/>
      <c r="C3451" s="73"/>
      <c r="D3451" s="73"/>
      <c r="E3451" s="73"/>
      <c r="F3451" s="73"/>
      <c r="G3451" s="73"/>
      <c r="H3451" s="73"/>
      <c r="I3451" s="73"/>
      <c r="J3451" s="73"/>
    </row>
    <row r="3452" spans="2:10">
      <c r="B3452" s="73"/>
      <c r="C3452" s="73"/>
      <c r="D3452" s="73"/>
      <c r="E3452" s="73"/>
      <c r="F3452" s="73"/>
      <c r="G3452" s="73"/>
      <c r="H3452" s="73"/>
      <c r="I3452" s="73"/>
      <c r="J3452" s="73"/>
    </row>
    <row r="3453" spans="2:10">
      <c r="B3453" s="73"/>
      <c r="C3453" s="73"/>
      <c r="D3453" s="73"/>
      <c r="E3453" s="73"/>
      <c r="F3453" s="73"/>
      <c r="G3453" s="73"/>
      <c r="H3453" s="73"/>
      <c r="I3453" s="73"/>
      <c r="J3453" s="73"/>
    </row>
    <row r="3454" spans="2:10">
      <c r="B3454" s="73"/>
      <c r="C3454" s="73"/>
      <c r="D3454" s="73"/>
      <c r="E3454" s="73"/>
      <c r="F3454" s="73"/>
      <c r="G3454" s="73"/>
      <c r="H3454" s="73"/>
      <c r="I3454" s="73"/>
      <c r="J3454" s="73"/>
    </row>
    <row r="3455" spans="2:10">
      <c r="B3455" s="73"/>
      <c r="C3455" s="73"/>
      <c r="D3455" s="73"/>
      <c r="E3455" s="73"/>
      <c r="F3455" s="73"/>
      <c r="G3455" s="73"/>
      <c r="H3455" s="73"/>
      <c r="I3455" s="73"/>
      <c r="J3455" s="73"/>
    </row>
    <row r="3456" spans="2:10">
      <c r="B3456" s="73"/>
      <c r="C3456" s="73"/>
      <c r="D3456" s="73"/>
      <c r="E3456" s="73"/>
      <c r="F3456" s="73"/>
      <c r="G3456" s="73"/>
      <c r="H3456" s="73"/>
      <c r="I3456" s="73"/>
      <c r="J3456" s="73"/>
    </row>
    <row r="3457" spans="2:10">
      <c r="B3457" s="73"/>
      <c r="C3457" s="73"/>
      <c r="D3457" s="73"/>
      <c r="E3457" s="73"/>
      <c r="F3457" s="73"/>
      <c r="G3457" s="73"/>
      <c r="H3457" s="73"/>
      <c r="I3457" s="73"/>
      <c r="J3457" s="73"/>
    </row>
    <row r="3458" spans="2:10">
      <c r="B3458" s="73"/>
      <c r="C3458" s="73"/>
      <c r="D3458" s="73"/>
      <c r="E3458" s="73"/>
      <c r="F3458" s="73"/>
      <c r="G3458" s="73"/>
      <c r="H3458" s="73"/>
      <c r="I3458" s="73"/>
      <c r="J3458" s="73"/>
    </row>
    <row r="3459" spans="2:10">
      <c r="B3459" s="73"/>
      <c r="C3459" s="73"/>
      <c r="D3459" s="73"/>
      <c r="E3459" s="73"/>
      <c r="F3459" s="73"/>
      <c r="G3459" s="73"/>
      <c r="H3459" s="73"/>
      <c r="I3459" s="73"/>
      <c r="J3459" s="73"/>
    </row>
    <row r="3460" spans="2:10">
      <c r="B3460" s="73"/>
      <c r="C3460" s="73"/>
      <c r="D3460" s="73"/>
      <c r="E3460" s="73"/>
      <c r="F3460" s="73"/>
      <c r="G3460" s="73"/>
      <c r="H3460" s="73"/>
      <c r="I3460" s="73"/>
      <c r="J3460" s="73"/>
    </row>
    <row r="3461" spans="2:10">
      <c r="B3461" s="73"/>
      <c r="C3461" s="73"/>
      <c r="D3461" s="73"/>
      <c r="E3461" s="73"/>
      <c r="F3461" s="73"/>
      <c r="G3461" s="73"/>
      <c r="H3461" s="73"/>
      <c r="I3461" s="73"/>
      <c r="J3461" s="73"/>
    </row>
    <row r="3462" spans="2:10">
      <c r="B3462" s="73"/>
      <c r="C3462" s="73"/>
      <c r="D3462" s="73"/>
      <c r="E3462" s="73"/>
      <c r="F3462" s="73"/>
      <c r="G3462" s="73"/>
      <c r="H3462" s="73"/>
      <c r="I3462" s="73"/>
      <c r="J3462" s="73"/>
    </row>
    <row r="3463" spans="2:10">
      <c r="B3463" s="73"/>
      <c r="C3463" s="73"/>
      <c r="D3463" s="73"/>
      <c r="E3463" s="73"/>
      <c r="F3463" s="73"/>
      <c r="G3463" s="73"/>
      <c r="H3463" s="73"/>
      <c r="I3463" s="73"/>
      <c r="J3463" s="73"/>
    </row>
    <row r="3464" spans="2:10">
      <c r="B3464" s="73"/>
      <c r="C3464" s="73"/>
      <c r="D3464" s="73"/>
      <c r="E3464" s="73"/>
      <c r="F3464" s="73"/>
      <c r="G3464" s="73"/>
      <c r="H3464" s="73"/>
      <c r="I3464" s="73"/>
      <c r="J3464" s="73"/>
    </row>
    <row r="3465" spans="2:10">
      <c r="B3465" s="73"/>
      <c r="C3465" s="73"/>
      <c r="D3465" s="73"/>
      <c r="E3465" s="73"/>
      <c r="F3465" s="73"/>
      <c r="G3465" s="73"/>
      <c r="H3465" s="73"/>
      <c r="I3465" s="73"/>
      <c r="J3465" s="73"/>
    </row>
    <row r="3466" spans="2:10">
      <c r="B3466" s="73"/>
      <c r="C3466" s="73"/>
      <c r="D3466" s="73"/>
      <c r="E3466" s="73"/>
      <c r="F3466" s="73"/>
      <c r="G3466" s="73"/>
      <c r="H3466" s="73"/>
      <c r="I3466" s="73"/>
      <c r="J3466" s="73"/>
    </row>
    <row r="3467" spans="2:10">
      <c r="B3467" s="73"/>
      <c r="C3467" s="73"/>
      <c r="D3467" s="73"/>
      <c r="E3467" s="73"/>
      <c r="F3467" s="73"/>
      <c r="G3467" s="73"/>
      <c r="H3467" s="73"/>
      <c r="I3467" s="73"/>
      <c r="J3467" s="73"/>
    </row>
    <row r="3468" spans="2:10">
      <c r="B3468" s="73"/>
      <c r="C3468" s="73"/>
      <c r="D3468" s="73"/>
      <c r="E3468" s="73"/>
      <c r="F3468" s="73"/>
      <c r="G3468" s="73"/>
      <c r="H3468" s="73"/>
      <c r="I3468" s="73"/>
      <c r="J3468" s="73"/>
    </row>
    <row r="3469" spans="2:10">
      <c r="B3469" s="73"/>
      <c r="C3469" s="73"/>
      <c r="D3469" s="73"/>
      <c r="E3469" s="73"/>
      <c r="F3469" s="73"/>
      <c r="G3469" s="73"/>
      <c r="H3469" s="73"/>
      <c r="I3469" s="73"/>
      <c r="J3469" s="73"/>
    </row>
    <row r="3470" spans="2:10">
      <c r="B3470" s="73"/>
      <c r="C3470" s="73"/>
      <c r="D3470" s="73"/>
      <c r="E3470" s="73"/>
      <c r="F3470" s="73"/>
      <c r="G3470" s="73"/>
      <c r="H3470" s="73"/>
      <c r="I3470" s="73"/>
      <c r="J3470" s="73"/>
    </row>
    <row r="3471" spans="2:10">
      <c r="B3471" s="73"/>
      <c r="C3471" s="73"/>
      <c r="D3471" s="73"/>
      <c r="E3471" s="73"/>
      <c r="F3471" s="73"/>
      <c r="G3471" s="73"/>
      <c r="H3471" s="73"/>
      <c r="I3471" s="73"/>
      <c r="J3471" s="73"/>
    </row>
    <row r="3472" spans="2:10">
      <c r="B3472" s="73"/>
      <c r="C3472" s="73"/>
      <c r="D3472" s="73"/>
      <c r="E3472" s="73"/>
      <c r="F3472" s="73"/>
      <c r="G3472" s="73"/>
      <c r="H3472" s="73"/>
      <c r="I3472" s="73"/>
      <c r="J3472" s="73"/>
    </row>
    <row r="3473" spans="2:10">
      <c r="B3473" s="73"/>
      <c r="C3473" s="73"/>
      <c r="D3473" s="73"/>
      <c r="E3473" s="73"/>
      <c r="F3473" s="73"/>
      <c r="G3473" s="73"/>
      <c r="H3473" s="73"/>
      <c r="I3473" s="73"/>
      <c r="J3473" s="73"/>
    </row>
    <row r="3474" spans="2:10">
      <c r="B3474" s="73"/>
      <c r="C3474" s="73"/>
      <c r="D3474" s="73"/>
      <c r="E3474" s="73"/>
      <c r="F3474" s="73"/>
      <c r="G3474" s="73"/>
      <c r="H3474" s="73"/>
      <c r="I3474" s="73"/>
      <c r="J3474" s="73"/>
    </row>
    <row r="3475" spans="2:10">
      <c r="B3475" s="73"/>
      <c r="C3475" s="73"/>
      <c r="D3475" s="73"/>
      <c r="E3475" s="73"/>
      <c r="F3475" s="73"/>
      <c r="G3475" s="73"/>
      <c r="H3475" s="73"/>
      <c r="I3475" s="73"/>
      <c r="J3475" s="73"/>
    </row>
    <row r="3476" spans="2:10">
      <c r="B3476" s="73"/>
      <c r="C3476" s="73"/>
      <c r="D3476" s="73"/>
      <c r="E3476" s="73"/>
      <c r="F3476" s="73"/>
      <c r="G3476" s="73"/>
      <c r="H3476" s="73"/>
      <c r="I3476" s="73"/>
      <c r="J3476" s="73"/>
    </row>
    <row r="3477" spans="2:10">
      <c r="B3477" s="73"/>
      <c r="C3477" s="73"/>
      <c r="D3477" s="73"/>
      <c r="E3477" s="73"/>
      <c r="F3477" s="73"/>
      <c r="G3477" s="73"/>
      <c r="H3477" s="73"/>
      <c r="I3477" s="73"/>
      <c r="J3477" s="73"/>
    </row>
    <row r="3478" spans="2:10">
      <c r="B3478" s="73"/>
      <c r="C3478" s="73"/>
      <c r="D3478" s="73"/>
      <c r="E3478" s="73"/>
      <c r="F3478" s="73"/>
      <c r="G3478" s="73"/>
      <c r="H3478" s="73"/>
      <c r="I3478" s="73"/>
      <c r="J3478" s="73"/>
    </row>
    <row r="3479" spans="2:10">
      <c r="B3479" s="73"/>
      <c r="C3479" s="73"/>
      <c r="D3479" s="73"/>
      <c r="E3479" s="73"/>
      <c r="F3479" s="73"/>
      <c r="G3479" s="73"/>
      <c r="H3479" s="73"/>
      <c r="I3479" s="73"/>
      <c r="J3479" s="73"/>
    </row>
    <row r="3480" spans="2:10">
      <c r="B3480" s="73"/>
      <c r="C3480" s="73"/>
      <c r="D3480" s="73"/>
      <c r="E3480" s="73"/>
      <c r="F3480" s="73"/>
      <c r="G3480" s="73"/>
      <c r="H3480" s="73"/>
      <c r="I3480" s="73"/>
      <c r="J3480" s="73"/>
    </row>
    <row r="3481" spans="2:10">
      <c r="B3481" s="73"/>
      <c r="C3481" s="73"/>
      <c r="D3481" s="73"/>
      <c r="E3481" s="73"/>
      <c r="F3481" s="73"/>
      <c r="G3481" s="73"/>
      <c r="H3481" s="73"/>
      <c r="I3481" s="73"/>
      <c r="J3481" s="73"/>
    </row>
    <row r="3482" spans="2:10">
      <c r="B3482" s="73"/>
      <c r="C3482" s="73"/>
      <c r="D3482" s="73"/>
      <c r="E3482" s="73"/>
      <c r="F3482" s="73"/>
      <c r="G3482" s="73"/>
      <c r="H3482" s="73"/>
      <c r="I3482" s="73"/>
      <c r="J3482" s="73"/>
    </row>
    <row r="3483" spans="2:10">
      <c r="B3483" s="73"/>
      <c r="C3483" s="73"/>
      <c r="D3483" s="73"/>
      <c r="E3483" s="73"/>
      <c r="F3483" s="73"/>
      <c r="G3483" s="73"/>
      <c r="H3483" s="73"/>
      <c r="I3483" s="73"/>
      <c r="J3483" s="73"/>
    </row>
    <row r="3484" spans="2:10">
      <c r="B3484" s="73"/>
      <c r="C3484" s="73"/>
      <c r="D3484" s="73"/>
      <c r="E3484" s="73"/>
      <c r="F3484" s="73"/>
      <c r="G3484" s="73"/>
      <c r="H3484" s="73"/>
      <c r="I3484" s="73"/>
      <c r="J3484" s="73"/>
    </row>
    <row r="3485" spans="2:10">
      <c r="B3485" s="73"/>
      <c r="C3485" s="73"/>
      <c r="D3485" s="73"/>
      <c r="E3485" s="73"/>
      <c r="F3485" s="73"/>
      <c r="G3485" s="73"/>
      <c r="H3485" s="73"/>
      <c r="I3485" s="73"/>
      <c r="J3485" s="73"/>
    </row>
    <row r="3486" spans="2:10">
      <c r="B3486" s="73"/>
      <c r="C3486" s="73"/>
      <c r="D3486" s="73"/>
      <c r="E3486" s="73"/>
      <c r="F3486" s="73"/>
      <c r="G3486" s="73"/>
      <c r="H3486" s="73"/>
      <c r="I3486" s="73"/>
      <c r="J3486" s="73"/>
    </row>
    <row r="3487" spans="2:10">
      <c r="B3487" s="73"/>
      <c r="C3487" s="73"/>
      <c r="D3487" s="73"/>
      <c r="E3487" s="73"/>
      <c r="F3487" s="73"/>
      <c r="G3487" s="73"/>
      <c r="H3487" s="73"/>
      <c r="I3487" s="73"/>
      <c r="J3487" s="73"/>
    </row>
    <row r="3488" spans="2:10">
      <c r="B3488" s="73"/>
      <c r="C3488" s="73"/>
      <c r="D3488" s="73"/>
      <c r="E3488" s="73"/>
      <c r="F3488" s="73"/>
      <c r="G3488" s="73"/>
      <c r="H3488" s="73"/>
      <c r="I3488" s="73"/>
      <c r="J3488" s="73"/>
    </row>
    <row r="3489" spans="2:10">
      <c r="B3489" s="73"/>
      <c r="C3489" s="73"/>
      <c r="D3489" s="73"/>
      <c r="E3489" s="73"/>
      <c r="F3489" s="73"/>
      <c r="G3489" s="73"/>
      <c r="H3489" s="73"/>
      <c r="I3489" s="73"/>
      <c r="J3489" s="73"/>
    </row>
    <row r="3490" spans="2:10">
      <c r="B3490" s="73"/>
      <c r="C3490" s="73"/>
      <c r="D3490" s="73"/>
      <c r="E3490" s="73"/>
      <c r="F3490" s="73"/>
      <c r="G3490" s="73"/>
      <c r="H3490" s="73"/>
      <c r="I3490" s="73"/>
      <c r="J3490" s="73"/>
    </row>
    <row r="3491" spans="2:10">
      <c r="B3491" s="73"/>
      <c r="C3491" s="73"/>
      <c r="D3491" s="73"/>
      <c r="E3491" s="73"/>
      <c r="F3491" s="73"/>
      <c r="G3491" s="73"/>
      <c r="H3491" s="73"/>
      <c r="I3491" s="73"/>
      <c r="J3491" s="73"/>
    </row>
    <row r="3492" spans="2:10">
      <c r="B3492" s="73"/>
      <c r="C3492" s="73"/>
      <c r="D3492" s="73"/>
      <c r="E3492" s="73"/>
      <c r="F3492" s="73"/>
      <c r="G3492" s="73"/>
      <c r="H3492" s="73"/>
      <c r="I3492" s="73"/>
      <c r="J3492" s="73"/>
    </row>
    <row r="3493" spans="2:10">
      <c r="B3493" s="73"/>
      <c r="C3493" s="73"/>
      <c r="D3493" s="73"/>
      <c r="E3493" s="73"/>
      <c r="F3493" s="73"/>
      <c r="G3493" s="73"/>
      <c r="H3493" s="73"/>
      <c r="I3493" s="73"/>
      <c r="J3493" s="73"/>
    </row>
    <row r="3494" spans="2:10">
      <c r="B3494" s="73"/>
      <c r="C3494" s="73"/>
      <c r="D3494" s="73"/>
      <c r="E3494" s="73"/>
      <c r="F3494" s="73"/>
      <c r="G3494" s="73"/>
      <c r="H3494" s="73"/>
      <c r="I3494" s="73"/>
      <c r="J3494" s="73"/>
    </row>
    <row r="3495" spans="2:10">
      <c r="B3495" s="73"/>
      <c r="C3495" s="73"/>
      <c r="D3495" s="73"/>
      <c r="E3495" s="73"/>
      <c r="F3495" s="73"/>
      <c r="G3495" s="73"/>
      <c r="H3495" s="73"/>
      <c r="I3495" s="73"/>
      <c r="J3495" s="73"/>
    </row>
    <row r="3496" spans="2:10">
      <c r="B3496" s="73"/>
      <c r="C3496" s="73"/>
      <c r="D3496" s="73"/>
      <c r="E3496" s="73"/>
      <c r="F3496" s="73"/>
      <c r="G3496" s="73"/>
      <c r="H3496" s="73"/>
      <c r="I3496" s="73"/>
      <c r="J3496" s="73"/>
    </row>
    <row r="3497" spans="2:10">
      <c r="B3497" s="73"/>
      <c r="C3497" s="73"/>
      <c r="D3497" s="73"/>
      <c r="E3497" s="73"/>
      <c r="F3497" s="73"/>
      <c r="G3497" s="73"/>
      <c r="H3497" s="73"/>
      <c r="I3497" s="73"/>
      <c r="J3497" s="73"/>
    </row>
    <row r="3498" spans="2:10">
      <c r="B3498" s="73"/>
      <c r="C3498" s="73"/>
      <c r="D3498" s="73"/>
      <c r="E3498" s="73"/>
      <c r="F3498" s="73"/>
      <c r="G3498" s="73"/>
      <c r="H3498" s="73"/>
      <c r="I3498" s="73"/>
      <c r="J3498" s="73"/>
    </row>
    <row r="3499" spans="2:10">
      <c r="B3499" s="73"/>
      <c r="C3499" s="73"/>
      <c r="D3499" s="73"/>
      <c r="E3499" s="73"/>
      <c r="F3499" s="73"/>
      <c r="G3499" s="73"/>
      <c r="H3499" s="73"/>
      <c r="I3499" s="73"/>
      <c r="J3499" s="73"/>
    </row>
    <row r="3500" spans="2:10">
      <c r="B3500" s="73"/>
      <c r="C3500" s="73"/>
      <c r="D3500" s="73"/>
      <c r="E3500" s="73"/>
      <c r="F3500" s="73"/>
      <c r="G3500" s="73"/>
      <c r="H3500" s="73"/>
      <c r="I3500" s="73"/>
      <c r="J3500" s="73"/>
    </row>
    <row r="3501" spans="2:10">
      <c r="B3501" s="73"/>
      <c r="C3501" s="73"/>
      <c r="D3501" s="73"/>
      <c r="E3501" s="73"/>
      <c r="F3501" s="73"/>
      <c r="G3501" s="73"/>
      <c r="H3501" s="73"/>
      <c r="I3501" s="73"/>
      <c r="J3501" s="73"/>
    </row>
    <row r="3502" spans="2:10">
      <c r="B3502" s="73"/>
      <c r="C3502" s="73"/>
      <c r="D3502" s="73"/>
      <c r="E3502" s="73"/>
      <c r="F3502" s="73"/>
      <c r="G3502" s="73"/>
      <c r="H3502" s="73"/>
      <c r="I3502" s="73"/>
      <c r="J3502" s="73"/>
    </row>
    <row r="3503" spans="2:10">
      <c r="B3503" s="73"/>
      <c r="C3503" s="73"/>
      <c r="D3503" s="73"/>
      <c r="E3503" s="73"/>
      <c r="F3503" s="73"/>
      <c r="G3503" s="73"/>
      <c r="H3503" s="73"/>
      <c r="I3503" s="73"/>
      <c r="J3503" s="73"/>
    </row>
    <row r="3504" spans="2:10">
      <c r="B3504" s="73"/>
      <c r="C3504" s="73"/>
      <c r="D3504" s="73"/>
      <c r="E3504" s="73"/>
      <c r="F3504" s="73"/>
      <c r="G3504" s="73"/>
      <c r="H3504" s="73"/>
      <c r="I3504" s="73"/>
      <c r="J3504" s="73"/>
    </row>
    <row r="3505" spans="2:10">
      <c r="B3505" s="73"/>
      <c r="C3505" s="73"/>
      <c r="D3505" s="73"/>
      <c r="E3505" s="73"/>
      <c r="F3505" s="73"/>
      <c r="G3505" s="73"/>
      <c r="H3505" s="73"/>
      <c r="I3505" s="73"/>
      <c r="J3505" s="73"/>
    </row>
    <row r="3506" spans="2:10">
      <c r="B3506" s="73"/>
      <c r="C3506" s="73"/>
      <c r="D3506" s="73"/>
      <c r="E3506" s="73"/>
      <c r="F3506" s="73"/>
      <c r="G3506" s="73"/>
      <c r="H3506" s="73"/>
      <c r="I3506" s="73"/>
      <c r="J3506" s="73"/>
    </row>
    <row r="3507" spans="2:10">
      <c r="B3507" s="73"/>
      <c r="C3507" s="73"/>
      <c r="D3507" s="73"/>
      <c r="E3507" s="73"/>
      <c r="F3507" s="73"/>
      <c r="G3507" s="73"/>
      <c r="H3507" s="73"/>
      <c r="I3507" s="73"/>
      <c r="J3507" s="73"/>
    </row>
    <row r="3508" spans="2:10">
      <c r="B3508" s="73"/>
      <c r="C3508" s="73"/>
      <c r="D3508" s="73"/>
      <c r="E3508" s="73"/>
      <c r="F3508" s="73"/>
      <c r="G3508" s="73"/>
      <c r="H3508" s="73"/>
      <c r="I3508" s="73"/>
      <c r="J3508" s="73"/>
    </row>
    <row r="3509" spans="2:10">
      <c r="B3509" s="73"/>
      <c r="C3509" s="73"/>
      <c r="D3509" s="73"/>
      <c r="E3509" s="73"/>
      <c r="F3509" s="73"/>
      <c r="G3509" s="73"/>
      <c r="H3509" s="73"/>
      <c r="I3509" s="73"/>
      <c r="J3509" s="73"/>
    </row>
    <row r="3510" spans="2:10">
      <c r="B3510" s="73"/>
      <c r="C3510" s="73"/>
      <c r="D3510" s="73"/>
      <c r="E3510" s="73"/>
      <c r="F3510" s="73"/>
      <c r="G3510" s="73"/>
      <c r="H3510" s="73"/>
      <c r="I3510" s="73"/>
      <c r="J3510" s="73"/>
    </row>
    <row r="3511" spans="2:10">
      <c r="B3511" s="73"/>
      <c r="C3511" s="73"/>
      <c r="D3511" s="73"/>
      <c r="E3511" s="73"/>
      <c r="F3511" s="73"/>
      <c r="G3511" s="73"/>
      <c r="H3511" s="73"/>
      <c r="I3511" s="73"/>
      <c r="J3511" s="73"/>
    </row>
    <row r="3512" spans="2:10">
      <c r="B3512" s="73"/>
      <c r="C3512" s="73"/>
      <c r="D3512" s="73"/>
      <c r="E3512" s="73"/>
      <c r="F3512" s="73"/>
      <c r="G3512" s="73"/>
      <c r="H3512" s="73"/>
      <c r="I3512" s="73"/>
      <c r="J3512" s="73"/>
    </row>
    <row r="3513" spans="2:10">
      <c r="B3513" s="73"/>
      <c r="C3513" s="73"/>
      <c r="D3513" s="73"/>
      <c r="E3513" s="73"/>
      <c r="F3513" s="73"/>
      <c r="G3513" s="73"/>
      <c r="H3513" s="73"/>
      <c r="I3513" s="73"/>
      <c r="J3513" s="73"/>
    </row>
    <row r="3514" spans="2:10">
      <c r="B3514" s="73"/>
      <c r="C3514" s="73"/>
      <c r="D3514" s="73"/>
      <c r="E3514" s="73"/>
      <c r="F3514" s="73"/>
      <c r="G3514" s="73"/>
      <c r="H3514" s="73"/>
      <c r="I3514" s="73"/>
      <c r="J3514" s="73"/>
    </row>
    <row r="3515" spans="2:10">
      <c r="B3515" s="73"/>
      <c r="C3515" s="73"/>
      <c r="D3515" s="73"/>
      <c r="E3515" s="73"/>
      <c r="F3515" s="73"/>
      <c r="G3515" s="73"/>
      <c r="H3515" s="73"/>
      <c r="I3515" s="73"/>
      <c r="J3515" s="73"/>
    </row>
    <row r="3516" spans="2:10">
      <c r="B3516" s="73"/>
      <c r="C3516" s="73"/>
      <c r="D3516" s="73"/>
      <c r="E3516" s="73"/>
      <c r="F3516" s="73"/>
      <c r="G3516" s="73"/>
      <c r="H3516" s="73"/>
      <c r="I3516" s="73"/>
      <c r="J3516" s="73"/>
    </row>
    <row r="3517" spans="2:10">
      <c r="B3517" s="73"/>
      <c r="C3517" s="73"/>
      <c r="D3517" s="73"/>
      <c r="E3517" s="73"/>
      <c r="F3517" s="73"/>
      <c r="G3517" s="73"/>
      <c r="H3517" s="73"/>
      <c r="I3517" s="73"/>
      <c r="J3517" s="73"/>
    </row>
    <row r="3518" spans="2:10">
      <c r="B3518" s="73"/>
      <c r="C3518" s="73"/>
      <c r="D3518" s="73"/>
      <c r="E3518" s="73"/>
      <c r="F3518" s="73"/>
      <c r="G3518" s="73"/>
      <c r="H3518" s="73"/>
      <c r="I3518" s="73"/>
      <c r="J3518" s="73"/>
    </row>
    <row r="3519" spans="2:10">
      <c r="B3519" s="73"/>
      <c r="C3519" s="73"/>
      <c r="D3519" s="73"/>
      <c r="E3519" s="73"/>
      <c r="F3519" s="73"/>
      <c r="G3519" s="73"/>
      <c r="H3519" s="73"/>
      <c r="I3519" s="73"/>
      <c r="J3519" s="73"/>
    </row>
    <row r="3520" spans="2:10">
      <c r="B3520" s="73"/>
      <c r="C3520" s="73"/>
      <c r="D3520" s="73"/>
      <c r="E3520" s="73"/>
      <c r="F3520" s="73"/>
      <c r="G3520" s="73"/>
      <c r="H3520" s="73"/>
      <c r="I3520" s="73"/>
      <c r="J3520" s="73"/>
    </row>
    <row r="3521" spans="2:10">
      <c r="B3521" s="73"/>
      <c r="C3521" s="73"/>
      <c r="D3521" s="73"/>
      <c r="E3521" s="73"/>
      <c r="F3521" s="73"/>
      <c r="G3521" s="73"/>
      <c r="H3521" s="73"/>
      <c r="I3521" s="73"/>
      <c r="J3521" s="73"/>
    </row>
    <row r="3522" spans="2:10">
      <c r="B3522" s="73"/>
      <c r="C3522" s="73"/>
      <c r="D3522" s="73"/>
      <c r="E3522" s="73"/>
      <c r="F3522" s="73"/>
      <c r="G3522" s="73"/>
      <c r="H3522" s="73"/>
      <c r="I3522" s="73"/>
      <c r="J3522" s="73"/>
    </row>
    <row r="3523" spans="2:10">
      <c r="B3523" s="73"/>
      <c r="C3523" s="73"/>
      <c r="D3523" s="73"/>
      <c r="E3523" s="73"/>
      <c r="F3523" s="73"/>
      <c r="G3523" s="73"/>
      <c r="H3523" s="73"/>
      <c r="I3523" s="73"/>
      <c r="J3523" s="73"/>
    </row>
    <row r="3524" spans="2:10">
      <c r="B3524" s="73"/>
      <c r="C3524" s="73"/>
      <c r="D3524" s="73"/>
      <c r="E3524" s="73"/>
      <c r="F3524" s="73"/>
      <c r="G3524" s="73"/>
      <c r="H3524" s="73"/>
      <c r="I3524" s="73"/>
      <c r="J3524" s="73"/>
    </row>
    <row r="3525" spans="2:10">
      <c r="B3525" s="73"/>
      <c r="C3525" s="73"/>
      <c r="D3525" s="73"/>
      <c r="E3525" s="73"/>
      <c r="F3525" s="73"/>
      <c r="G3525" s="73"/>
      <c r="H3525" s="73"/>
      <c r="I3525" s="73"/>
      <c r="J3525" s="73"/>
    </row>
    <row r="3526" spans="2:10">
      <c r="B3526" s="73"/>
      <c r="C3526" s="73"/>
      <c r="D3526" s="73"/>
      <c r="E3526" s="73"/>
      <c r="F3526" s="73"/>
      <c r="G3526" s="73"/>
      <c r="H3526" s="73"/>
      <c r="I3526" s="73"/>
      <c r="J3526" s="73"/>
    </row>
    <row r="3527" spans="2:10">
      <c r="B3527" s="73"/>
      <c r="C3527" s="73"/>
      <c r="D3527" s="73"/>
      <c r="E3527" s="73"/>
      <c r="F3527" s="73"/>
      <c r="G3527" s="73"/>
      <c r="H3527" s="73"/>
      <c r="I3527" s="73"/>
      <c r="J3527" s="73"/>
    </row>
    <row r="3528" spans="2:10">
      <c r="B3528" s="73"/>
      <c r="C3528" s="73"/>
      <c r="D3528" s="73"/>
      <c r="E3528" s="73"/>
      <c r="F3528" s="73"/>
      <c r="G3528" s="73"/>
      <c r="H3528" s="73"/>
      <c r="I3528" s="73"/>
      <c r="J3528" s="73"/>
    </row>
    <row r="3529" spans="2:10">
      <c r="B3529" s="73"/>
      <c r="C3529" s="73"/>
      <c r="D3529" s="73"/>
      <c r="E3529" s="73"/>
      <c r="F3529" s="73"/>
      <c r="G3529" s="73"/>
      <c r="H3529" s="73"/>
      <c r="I3529" s="73"/>
      <c r="J3529" s="73"/>
    </row>
    <row r="3530" spans="2:10">
      <c r="B3530" s="73"/>
      <c r="C3530" s="73"/>
      <c r="D3530" s="73"/>
      <c r="E3530" s="73"/>
      <c r="F3530" s="73"/>
      <c r="G3530" s="73"/>
      <c r="H3530" s="73"/>
      <c r="I3530" s="73"/>
      <c r="J3530" s="73"/>
    </row>
    <row r="3531" spans="2:10">
      <c r="B3531" s="73"/>
      <c r="C3531" s="73"/>
      <c r="D3531" s="73"/>
      <c r="E3531" s="73"/>
      <c r="F3531" s="73"/>
      <c r="G3531" s="73"/>
      <c r="H3531" s="73"/>
      <c r="I3531" s="73"/>
      <c r="J3531" s="73"/>
    </row>
    <row r="3532" spans="2:10">
      <c r="B3532" s="73"/>
      <c r="C3532" s="73"/>
      <c r="D3532" s="73"/>
      <c r="E3532" s="73"/>
      <c r="F3532" s="73"/>
      <c r="G3532" s="73"/>
      <c r="H3532" s="73"/>
      <c r="I3532" s="73"/>
      <c r="J3532" s="73"/>
    </row>
    <row r="3533" spans="2:10">
      <c r="B3533" s="73"/>
      <c r="C3533" s="73"/>
      <c r="D3533" s="73"/>
      <c r="E3533" s="73"/>
      <c r="F3533" s="73"/>
      <c r="G3533" s="73"/>
      <c r="H3533" s="73"/>
      <c r="I3533" s="73"/>
      <c r="J3533" s="73"/>
    </row>
    <row r="3534" spans="2:10">
      <c r="B3534" s="73"/>
      <c r="C3534" s="73"/>
      <c r="D3534" s="73"/>
      <c r="E3534" s="73"/>
      <c r="F3534" s="73"/>
      <c r="G3534" s="73"/>
      <c r="H3534" s="73"/>
      <c r="I3534" s="73"/>
      <c r="J3534" s="73"/>
    </row>
    <row r="3535" spans="2:10">
      <c r="B3535" s="73"/>
      <c r="C3535" s="73"/>
      <c r="D3535" s="73"/>
      <c r="E3535" s="73"/>
      <c r="F3535" s="73"/>
      <c r="G3535" s="73"/>
      <c r="H3535" s="73"/>
      <c r="I3535" s="73"/>
      <c r="J3535" s="73"/>
    </row>
    <row r="3536" spans="2:10">
      <c r="B3536" s="73"/>
      <c r="C3536" s="73"/>
      <c r="D3536" s="73"/>
      <c r="E3536" s="73"/>
      <c r="F3536" s="73"/>
      <c r="G3536" s="73"/>
      <c r="H3536" s="73"/>
      <c r="I3536" s="73"/>
      <c r="J3536" s="73"/>
    </row>
    <row r="3537" spans="2:10">
      <c r="B3537" s="73"/>
      <c r="C3537" s="73"/>
      <c r="D3537" s="73"/>
      <c r="E3537" s="73"/>
      <c r="F3537" s="73"/>
      <c r="G3537" s="73"/>
      <c r="H3537" s="73"/>
      <c r="I3537" s="73"/>
      <c r="J3537" s="73"/>
    </row>
    <row r="3538" spans="2:10">
      <c r="B3538" s="73"/>
      <c r="C3538" s="73"/>
      <c r="D3538" s="73"/>
      <c r="E3538" s="73"/>
      <c r="F3538" s="73"/>
      <c r="G3538" s="73"/>
      <c r="H3538" s="73"/>
      <c r="I3538" s="73"/>
      <c r="J3538" s="73"/>
    </row>
    <row r="3539" spans="2:10">
      <c r="B3539" s="73"/>
      <c r="C3539" s="73"/>
      <c r="D3539" s="73"/>
      <c r="E3539" s="73"/>
      <c r="F3539" s="73"/>
      <c r="G3539" s="73"/>
      <c r="H3539" s="73"/>
      <c r="I3539" s="73"/>
      <c r="J3539" s="73"/>
    </row>
    <row r="3540" spans="2:10">
      <c r="B3540" s="73"/>
      <c r="C3540" s="73"/>
      <c r="D3540" s="73"/>
      <c r="E3540" s="73"/>
      <c r="F3540" s="73"/>
      <c r="G3540" s="73"/>
      <c r="H3540" s="73"/>
      <c r="I3540" s="73"/>
      <c r="J3540" s="73"/>
    </row>
    <row r="3541" spans="2:10">
      <c r="B3541" s="73"/>
      <c r="C3541" s="73"/>
      <c r="D3541" s="73"/>
      <c r="E3541" s="73"/>
      <c r="F3541" s="73"/>
      <c r="G3541" s="73"/>
      <c r="H3541" s="73"/>
      <c r="I3541" s="73"/>
      <c r="J3541" s="73"/>
    </row>
    <row r="3542" spans="2:10">
      <c r="B3542" s="73"/>
      <c r="C3542" s="73"/>
      <c r="D3542" s="73"/>
      <c r="E3542" s="73"/>
      <c r="F3542" s="73"/>
      <c r="G3542" s="73"/>
      <c r="H3542" s="73"/>
      <c r="I3542" s="73"/>
      <c r="J3542" s="73"/>
    </row>
    <row r="3543" spans="2:10">
      <c r="B3543" s="73"/>
      <c r="C3543" s="73"/>
      <c r="D3543" s="73"/>
      <c r="E3543" s="73"/>
      <c r="F3543" s="73"/>
      <c r="G3543" s="73"/>
      <c r="H3543" s="73"/>
      <c r="I3543" s="73"/>
      <c r="J3543" s="73"/>
    </row>
    <row r="3544" spans="2:10">
      <c r="B3544" s="73"/>
      <c r="C3544" s="73"/>
      <c r="D3544" s="73"/>
      <c r="E3544" s="73"/>
      <c r="F3544" s="73"/>
      <c r="G3544" s="73"/>
      <c r="H3544" s="73"/>
      <c r="I3544" s="73"/>
      <c r="J3544" s="73"/>
    </row>
    <row r="3545" spans="2:10">
      <c r="B3545" s="73"/>
      <c r="C3545" s="73"/>
      <c r="D3545" s="73"/>
      <c r="E3545" s="73"/>
      <c r="F3545" s="73"/>
      <c r="G3545" s="73"/>
      <c r="H3545" s="73"/>
      <c r="I3545" s="73"/>
      <c r="J3545" s="73"/>
    </row>
    <row r="3546" spans="2:10">
      <c r="B3546" s="73"/>
      <c r="C3546" s="73"/>
      <c r="D3546" s="73"/>
      <c r="E3546" s="73"/>
      <c r="F3546" s="73"/>
      <c r="G3546" s="73"/>
      <c r="H3546" s="73"/>
      <c r="I3546" s="73"/>
      <c r="J3546" s="73"/>
    </row>
    <row r="3547" spans="2:10">
      <c r="B3547" s="73"/>
      <c r="C3547" s="73"/>
      <c r="D3547" s="73"/>
      <c r="E3547" s="73"/>
      <c r="F3547" s="73"/>
      <c r="G3547" s="73"/>
      <c r="H3547" s="73"/>
      <c r="I3547" s="73"/>
      <c r="J3547" s="73"/>
    </row>
    <row r="3548" spans="2:10">
      <c r="B3548" s="73"/>
      <c r="C3548" s="73"/>
      <c r="D3548" s="73"/>
      <c r="E3548" s="73"/>
      <c r="F3548" s="73"/>
      <c r="G3548" s="73"/>
      <c r="H3548" s="73"/>
      <c r="I3548" s="73"/>
      <c r="J3548" s="73"/>
    </row>
    <row r="3549" spans="2:10">
      <c r="B3549" s="73"/>
      <c r="C3549" s="73"/>
      <c r="D3549" s="73"/>
      <c r="E3549" s="73"/>
      <c r="F3549" s="73"/>
      <c r="G3549" s="73"/>
      <c r="H3549" s="73"/>
      <c r="I3549" s="73"/>
      <c r="J3549" s="73"/>
    </row>
    <row r="3550" spans="2:10">
      <c r="B3550" s="73"/>
      <c r="C3550" s="73"/>
      <c r="D3550" s="73"/>
      <c r="E3550" s="73"/>
      <c r="F3550" s="73"/>
      <c r="G3550" s="73"/>
      <c r="H3550" s="73"/>
      <c r="I3550" s="73"/>
      <c r="J3550" s="73"/>
    </row>
    <row r="3551" spans="2:10">
      <c r="B3551" s="73"/>
      <c r="C3551" s="73"/>
      <c r="D3551" s="73"/>
      <c r="E3551" s="73"/>
      <c r="F3551" s="73"/>
      <c r="G3551" s="73"/>
      <c r="H3551" s="73"/>
      <c r="I3551" s="73"/>
      <c r="J3551" s="73"/>
    </row>
    <row r="3552" spans="2:10">
      <c r="B3552" s="73"/>
      <c r="C3552" s="73"/>
      <c r="D3552" s="73"/>
      <c r="E3552" s="73"/>
      <c r="F3552" s="73"/>
      <c r="G3552" s="73"/>
      <c r="H3552" s="73"/>
      <c r="I3552" s="73"/>
      <c r="J3552" s="73"/>
    </row>
    <row r="3553" spans="2:10">
      <c r="B3553" s="73"/>
      <c r="C3553" s="73"/>
      <c r="D3553" s="73"/>
      <c r="E3553" s="73"/>
      <c r="F3553" s="73"/>
      <c r="G3553" s="73"/>
      <c r="H3553" s="73"/>
      <c r="I3553" s="73"/>
      <c r="J3553" s="73"/>
    </row>
    <row r="3554" spans="2:10">
      <c r="B3554" s="73"/>
      <c r="C3554" s="73"/>
      <c r="D3554" s="73"/>
      <c r="E3554" s="73"/>
      <c r="F3554" s="73"/>
      <c r="G3554" s="73"/>
      <c r="H3554" s="73"/>
      <c r="I3554" s="73"/>
      <c r="J3554" s="73"/>
    </row>
    <row r="3555" spans="2:10">
      <c r="B3555" s="73"/>
      <c r="C3555" s="73"/>
      <c r="D3555" s="73"/>
      <c r="E3555" s="73"/>
      <c r="F3555" s="73"/>
      <c r="G3555" s="73"/>
      <c r="H3555" s="73"/>
      <c r="I3555" s="73"/>
      <c r="J3555" s="73"/>
    </row>
    <row r="3556" spans="2:10">
      <c r="B3556" s="73"/>
      <c r="C3556" s="73"/>
      <c r="D3556" s="73"/>
      <c r="E3556" s="73"/>
      <c r="F3556" s="73"/>
      <c r="G3556" s="73"/>
      <c r="H3556" s="73"/>
      <c r="I3556" s="73"/>
      <c r="J3556" s="73"/>
    </row>
    <row r="3557" spans="2:10">
      <c r="B3557" s="73"/>
      <c r="C3557" s="73"/>
      <c r="D3557" s="73"/>
      <c r="E3557" s="73"/>
      <c r="F3557" s="73"/>
      <c r="G3557" s="73"/>
      <c r="H3557" s="73"/>
      <c r="I3557" s="73"/>
      <c r="J3557" s="73"/>
    </row>
    <row r="3558" spans="2:10">
      <c r="B3558" s="73"/>
      <c r="C3558" s="73"/>
      <c r="D3558" s="73"/>
      <c r="E3558" s="73"/>
      <c r="F3558" s="73"/>
      <c r="G3558" s="73"/>
      <c r="H3558" s="73"/>
      <c r="I3558" s="73"/>
      <c r="J3558" s="73"/>
    </row>
    <row r="3559" spans="2:10">
      <c r="B3559" s="73"/>
      <c r="C3559" s="73"/>
      <c r="D3559" s="73"/>
      <c r="E3559" s="73"/>
      <c r="F3559" s="73"/>
      <c r="G3559" s="73"/>
      <c r="H3559" s="73"/>
      <c r="I3559" s="73"/>
      <c r="J3559" s="73"/>
    </row>
    <row r="3560" spans="2:10">
      <c r="B3560" s="73"/>
      <c r="C3560" s="73"/>
      <c r="D3560" s="73"/>
      <c r="E3560" s="73"/>
      <c r="F3560" s="73"/>
      <c r="G3560" s="73"/>
      <c r="H3560" s="73"/>
      <c r="I3560" s="73"/>
      <c r="J3560" s="73"/>
    </row>
    <row r="3561" spans="2:10">
      <c r="B3561" s="73"/>
      <c r="C3561" s="73"/>
      <c r="D3561" s="73"/>
      <c r="E3561" s="73"/>
      <c r="F3561" s="73"/>
      <c r="G3561" s="73"/>
      <c r="H3561" s="73"/>
      <c r="I3561" s="73"/>
      <c r="J3561" s="73"/>
    </row>
    <row r="3562" spans="2:10">
      <c r="B3562" s="73"/>
      <c r="C3562" s="73"/>
      <c r="D3562" s="73"/>
      <c r="E3562" s="73"/>
      <c r="F3562" s="73"/>
      <c r="G3562" s="73"/>
      <c r="H3562" s="73"/>
      <c r="I3562" s="73"/>
      <c r="J3562" s="73"/>
    </row>
    <row r="3563" spans="2:10">
      <c r="B3563" s="73"/>
      <c r="C3563" s="73"/>
      <c r="D3563" s="73"/>
      <c r="E3563" s="73"/>
      <c r="F3563" s="73"/>
      <c r="G3563" s="73"/>
      <c r="H3563" s="73"/>
      <c r="I3563" s="73"/>
      <c r="J3563" s="73"/>
    </row>
    <row r="3564" spans="2:10">
      <c r="B3564" s="73"/>
      <c r="C3564" s="73"/>
      <c r="D3564" s="73"/>
      <c r="E3564" s="73"/>
      <c r="F3564" s="73"/>
      <c r="G3564" s="73"/>
      <c r="H3564" s="73"/>
      <c r="I3564" s="73"/>
      <c r="J3564" s="73"/>
    </row>
    <row r="3565" spans="2:10">
      <c r="B3565" s="73"/>
      <c r="C3565" s="73"/>
      <c r="D3565" s="73"/>
      <c r="E3565" s="73"/>
      <c r="F3565" s="73"/>
      <c r="G3565" s="73"/>
      <c r="H3565" s="73"/>
      <c r="I3565" s="73"/>
      <c r="J3565" s="73"/>
    </row>
    <row r="3566" spans="2:10">
      <c r="B3566" s="73"/>
      <c r="C3566" s="73"/>
      <c r="D3566" s="73"/>
      <c r="E3566" s="73"/>
      <c r="F3566" s="73"/>
      <c r="G3566" s="73"/>
      <c r="H3566" s="73"/>
      <c r="I3566" s="73"/>
      <c r="J3566" s="73"/>
    </row>
    <row r="3567" spans="2:10">
      <c r="B3567" s="73"/>
      <c r="C3567" s="73"/>
      <c r="D3567" s="73"/>
      <c r="E3567" s="73"/>
      <c r="F3567" s="73"/>
      <c r="G3567" s="73"/>
      <c r="H3567" s="73"/>
      <c r="I3567" s="73"/>
      <c r="J3567" s="73"/>
    </row>
    <row r="3568" spans="2:10">
      <c r="B3568" s="73"/>
      <c r="C3568" s="73"/>
      <c r="D3568" s="73"/>
      <c r="E3568" s="73"/>
      <c r="F3568" s="73"/>
      <c r="G3568" s="73"/>
      <c r="H3568" s="73"/>
      <c r="I3568" s="73"/>
      <c r="J3568" s="73"/>
    </row>
    <row r="3569" spans="2:10">
      <c r="B3569" s="73"/>
      <c r="C3569" s="73"/>
      <c r="D3569" s="73"/>
      <c r="E3569" s="73"/>
      <c r="F3569" s="73"/>
      <c r="G3569" s="73"/>
      <c r="H3569" s="73"/>
      <c r="I3569" s="73"/>
      <c r="J3569" s="73"/>
    </row>
    <row r="3570" spans="2:10">
      <c r="B3570" s="73"/>
      <c r="C3570" s="73"/>
      <c r="D3570" s="73"/>
      <c r="E3570" s="73"/>
      <c r="F3570" s="73"/>
      <c r="G3570" s="73"/>
      <c r="H3570" s="73"/>
      <c r="I3570" s="73"/>
      <c r="J3570" s="73"/>
    </row>
    <row r="3571" spans="2:10">
      <c r="B3571" s="73"/>
      <c r="C3571" s="73"/>
      <c r="D3571" s="73"/>
      <c r="E3571" s="73"/>
      <c r="F3571" s="73"/>
      <c r="G3571" s="73"/>
      <c r="H3571" s="73"/>
      <c r="I3571" s="73"/>
      <c r="J3571" s="73"/>
    </row>
    <row r="3572" spans="2:10">
      <c r="B3572" s="73"/>
      <c r="C3572" s="73"/>
      <c r="D3572" s="73"/>
      <c r="E3572" s="73"/>
      <c r="F3572" s="73"/>
      <c r="G3572" s="73"/>
      <c r="H3572" s="73"/>
      <c r="I3572" s="73"/>
      <c r="J3572" s="73"/>
    </row>
    <row r="3573" spans="2:10">
      <c r="B3573" s="73"/>
      <c r="C3573" s="73"/>
      <c r="D3573" s="73"/>
      <c r="E3573" s="73"/>
      <c r="F3573" s="73"/>
      <c r="G3573" s="73"/>
      <c r="H3573" s="73"/>
      <c r="I3573" s="73"/>
      <c r="J3573" s="73"/>
    </row>
    <row r="3574" spans="2:10">
      <c r="B3574" s="73"/>
      <c r="C3574" s="73"/>
      <c r="D3574" s="73"/>
      <c r="E3574" s="73"/>
      <c r="F3574" s="73"/>
      <c r="G3574" s="73"/>
      <c r="H3574" s="73"/>
      <c r="I3574" s="73"/>
      <c r="J3574" s="73"/>
    </row>
    <row r="3575" spans="2:10">
      <c r="B3575" s="73"/>
      <c r="C3575" s="73"/>
      <c r="D3575" s="73"/>
      <c r="E3575" s="73"/>
      <c r="F3575" s="73"/>
      <c r="G3575" s="73"/>
      <c r="H3575" s="73"/>
      <c r="I3575" s="73"/>
      <c r="J3575" s="73"/>
    </row>
    <row r="3576" spans="2:10">
      <c r="B3576" s="73"/>
      <c r="C3576" s="73"/>
      <c r="D3576" s="73"/>
      <c r="E3576" s="73"/>
      <c r="F3576" s="73"/>
      <c r="G3576" s="73"/>
      <c r="H3576" s="73"/>
      <c r="I3576" s="73"/>
      <c r="J3576" s="73"/>
    </row>
    <row r="3577" spans="2:10">
      <c r="B3577" s="73"/>
      <c r="C3577" s="73"/>
      <c r="D3577" s="73"/>
      <c r="E3577" s="73"/>
      <c r="F3577" s="73"/>
      <c r="G3577" s="73"/>
      <c r="H3577" s="73"/>
      <c r="I3577" s="73"/>
      <c r="J3577" s="73"/>
    </row>
    <row r="3578" spans="2:10">
      <c r="B3578" s="73"/>
      <c r="C3578" s="73"/>
      <c r="D3578" s="73"/>
      <c r="E3578" s="73"/>
      <c r="F3578" s="73"/>
      <c r="G3578" s="73"/>
      <c r="H3578" s="73"/>
      <c r="I3578" s="73"/>
      <c r="J3578" s="73"/>
    </row>
    <row r="3579" spans="2:10">
      <c r="B3579" s="73"/>
      <c r="C3579" s="73"/>
      <c r="D3579" s="73"/>
      <c r="E3579" s="73"/>
      <c r="F3579" s="73"/>
      <c r="G3579" s="73"/>
      <c r="H3579" s="73"/>
      <c r="I3579" s="73"/>
      <c r="J3579" s="73"/>
    </row>
    <row r="3580" spans="2:10">
      <c r="B3580" s="73"/>
      <c r="C3580" s="73"/>
      <c r="D3580" s="73"/>
      <c r="E3580" s="73"/>
      <c r="F3580" s="73"/>
      <c r="G3580" s="73"/>
      <c r="H3580" s="73"/>
      <c r="I3580" s="73"/>
      <c r="J3580" s="73"/>
    </row>
    <row r="3581" spans="2:10">
      <c r="B3581" s="73"/>
      <c r="C3581" s="73"/>
      <c r="D3581" s="73"/>
      <c r="E3581" s="73"/>
      <c r="F3581" s="73"/>
      <c r="G3581" s="73"/>
      <c r="H3581" s="73"/>
      <c r="I3581" s="73"/>
      <c r="J3581" s="73"/>
    </row>
    <row r="3582" spans="2:10">
      <c r="B3582" s="73"/>
      <c r="C3582" s="73"/>
      <c r="D3582" s="73"/>
      <c r="E3582" s="73"/>
      <c r="F3582" s="73"/>
      <c r="G3582" s="73"/>
      <c r="H3582" s="73"/>
      <c r="I3582" s="73"/>
      <c r="J3582" s="73"/>
    </row>
    <row r="3583" spans="2:10">
      <c r="B3583" s="73"/>
      <c r="C3583" s="73"/>
      <c r="D3583" s="73"/>
      <c r="E3583" s="73"/>
      <c r="F3583" s="73"/>
      <c r="G3583" s="73"/>
      <c r="H3583" s="73"/>
      <c r="I3583" s="73"/>
      <c r="J3583" s="73"/>
    </row>
    <row r="3584" spans="2:10">
      <c r="B3584" s="73"/>
      <c r="C3584" s="73"/>
      <c r="D3584" s="73"/>
      <c r="E3584" s="73"/>
      <c r="F3584" s="73"/>
      <c r="G3584" s="73"/>
      <c r="H3584" s="73"/>
      <c r="I3584" s="73"/>
      <c r="J3584" s="73"/>
    </row>
    <row r="3585" spans="2:10">
      <c r="B3585" s="73"/>
      <c r="C3585" s="73"/>
      <c r="D3585" s="73"/>
      <c r="E3585" s="73"/>
      <c r="F3585" s="73"/>
      <c r="G3585" s="73"/>
      <c r="H3585" s="73"/>
      <c r="I3585" s="73"/>
      <c r="J3585" s="73"/>
    </row>
    <row r="3586" spans="2:10">
      <c r="B3586" s="73"/>
      <c r="C3586" s="73"/>
      <c r="D3586" s="73"/>
      <c r="E3586" s="73"/>
      <c r="F3586" s="73"/>
      <c r="G3586" s="73"/>
      <c r="H3586" s="73"/>
      <c r="I3586" s="73"/>
      <c r="J3586" s="73"/>
    </row>
    <row r="3587" spans="2:10">
      <c r="B3587" s="73"/>
      <c r="C3587" s="73"/>
      <c r="D3587" s="73"/>
      <c r="E3587" s="73"/>
      <c r="F3587" s="73"/>
      <c r="G3587" s="73"/>
      <c r="H3587" s="73"/>
      <c r="I3587" s="73"/>
      <c r="J3587" s="73"/>
    </row>
    <row r="3588" spans="2:10">
      <c r="B3588" s="73"/>
      <c r="C3588" s="73"/>
      <c r="D3588" s="73"/>
      <c r="E3588" s="73"/>
      <c r="F3588" s="73"/>
      <c r="G3588" s="73"/>
      <c r="H3588" s="73"/>
      <c r="I3588" s="73"/>
      <c r="J3588" s="73"/>
    </row>
    <row r="3589" spans="2:10">
      <c r="B3589" s="73"/>
      <c r="C3589" s="73"/>
      <c r="D3589" s="73"/>
      <c r="E3589" s="73"/>
      <c r="F3589" s="73"/>
      <c r="G3589" s="73"/>
      <c r="H3589" s="73"/>
      <c r="I3589" s="73"/>
      <c r="J3589" s="73"/>
    </row>
    <row r="3590" spans="2:10">
      <c r="B3590" s="73"/>
      <c r="C3590" s="73"/>
      <c r="D3590" s="73"/>
      <c r="E3590" s="73"/>
      <c r="F3590" s="73"/>
      <c r="G3590" s="73"/>
      <c r="H3590" s="73"/>
      <c r="I3590" s="73"/>
      <c r="J3590" s="73"/>
    </row>
    <row r="3591" spans="2:10">
      <c r="B3591" s="73"/>
      <c r="C3591" s="73"/>
      <c r="D3591" s="73"/>
      <c r="E3591" s="73"/>
      <c r="F3591" s="73"/>
      <c r="G3591" s="73"/>
      <c r="H3591" s="73"/>
      <c r="I3591" s="73"/>
      <c r="J3591" s="73"/>
    </row>
    <row r="3592" spans="2:10">
      <c r="B3592" s="73"/>
      <c r="C3592" s="73"/>
      <c r="D3592" s="73"/>
      <c r="E3592" s="73"/>
      <c r="F3592" s="73"/>
      <c r="G3592" s="73"/>
      <c r="H3592" s="73"/>
      <c r="I3592" s="73"/>
      <c r="J3592" s="73"/>
    </row>
    <row r="3593" spans="2:10">
      <c r="B3593" s="73"/>
      <c r="C3593" s="73"/>
      <c r="D3593" s="73"/>
      <c r="E3593" s="73"/>
      <c r="F3593" s="73"/>
      <c r="G3593" s="73"/>
      <c r="H3593" s="73"/>
      <c r="I3593" s="73"/>
      <c r="J3593" s="73"/>
    </row>
    <row r="3594" spans="2:10">
      <c r="B3594" s="73"/>
      <c r="C3594" s="73"/>
      <c r="D3594" s="73"/>
      <c r="E3594" s="73"/>
      <c r="F3594" s="73"/>
      <c r="G3594" s="73"/>
      <c r="H3594" s="73"/>
      <c r="I3594" s="73"/>
      <c r="J3594" s="73"/>
    </row>
    <row r="3595" spans="2:10">
      <c r="B3595" s="73"/>
      <c r="C3595" s="73"/>
      <c r="D3595" s="73"/>
      <c r="E3595" s="73"/>
      <c r="F3595" s="73"/>
      <c r="G3595" s="73"/>
      <c r="H3595" s="73"/>
      <c r="I3595" s="73"/>
      <c r="J3595" s="73"/>
    </row>
    <row r="3596" spans="2:10">
      <c r="B3596" s="73"/>
      <c r="C3596" s="73"/>
      <c r="D3596" s="73"/>
      <c r="E3596" s="73"/>
      <c r="F3596" s="73"/>
      <c r="G3596" s="73"/>
      <c r="H3596" s="73"/>
      <c r="I3596" s="73"/>
      <c r="J3596" s="73"/>
    </row>
    <row r="3597" spans="2:10">
      <c r="B3597" s="73"/>
      <c r="C3597" s="73"/>
      <c r="D3597" s="73"/>
      <c r="E3597" s="73"/>
      <c r="F3597" s="73"/>
      <c r="G3597" s="73"/>
      <c r="H3597" s="73"/>
      <c r="I3597" s="73"/>
      <c r="J3597" s="73"/>
    </row>
    <row r="3598" spans="2:10">
      <c r="B3598" s="73"/>
      <c r="C3598" s="73"/>
      <c r="D3598" s="73"/>
      <c r="E3598" s="73"/>
      <c r="F3598" s="73"/>
      <c r="G3598" s="73"/>
      <c r="H3598" s="73"/>
      <c r="I3598" s="73"/>
      <c r="J3598" s="73"/>
    </row>
    <row r="3599" spans="2:10">
      <c r="B3599" s="73"/>
      <c r="C3599" s="73"/>
      <c r="D3599" s="73"/>
      <c r="E3599" s="73"/>
      <c r="F3599" s="73"/>
      <c r="G3599" s="73"/>
      <c r="H3599" s="73"/>
      <c r="I3599" s="73"/>
      <c r="J3599" s="73"/>
    </row>
    <row r="3600" spans="2:10">
      <c r="B3600" s="73"/>
      <c r="C3600" s="73"/>
      <c r="D3600" s="73"/>
      <c r="E3600" s="73"/>
      <c r="F3600" s="73"/>
      <c r="G3600" s="73"/>
      <c r="H3600" s="73"/>
      <c r="I3600" s="73"/>
      <c r="J3600" s="73"/>
    </row>
    <row r="3601" spans="2:10">
      <c r="B3601" s="73"/>
      <c r="C3601" s="73"/>
      <c r="D3601" s="73"/>
      <c r="E3601" s="73"/>
      <c r="F3601" s="73"/>
      <c r="G3601" s="73"/>
      <c r="H3601" s="73"/>
      <c r="I3601" s="73"/>
      <c r="J3601" s="73"/>
    </row>
    <row r="3602" spans="2:10">
      <c r="B3602" s="73"/>
      <c r="C3602" s="73"/>
      <c r="D3602" s="73"/>
      <c r="E3602" s="73"/>
      <c r="F3602" s="73"/>
      <c r="G3602" s="73"/>
      <c r="H3602" s="73"/>
      <c r="I3602" s="73"/>
      <c r="J3602" s="73"/>
    </row>
    <row r="3603" spans="2:10">
      <c r="B3603" s="73"/>
      <c r="C3603" s="73"/>
      <c r="D3603" s="73"/>
      <c r="E3603" s="73"/>
      <c r="F3603" s="73"/>
      <c r="G3603" s="73"/>
      <c r="H3603" s="73"/>
      <c r="I3603" s="73"/>
      <c r="J3603" s="73"/>
    </row>
    <row r="3604" spans="2:10">
      <c r="B3604" s="73"/>
      <c r="C3604" s="73"/>
      <c r="D3604" s="73"/>
      <c r="E3604" s="73"/>
      <c r="F3604" s="73"/>
      <c r="G3604" s="73"/>
      <c r="H3604" s="73"/>
      <c r="I3604" s="73"/>
      <c r="J3604" s="73"/>
    </row>
    <row r="3605" spans="2:10">
      <c r="B3605" s="73"/>
      <c r="C3605" s="73"/>
      <c r="D3605" s="73"/>
      <c r="E3605" s="73"/>
      <c r="F3605" s="73"/>
      <c r="G3605" s="73"/>
      <c r="H3605" s="73"/>
      <c r="I3605" s="73"/>
      <c r="J3605" s="73"/>
    </row>
    <row r="3606" spans="2:10">
      <c r="B3606" s="73"/>
      <c r="C3606" s="73"/>
      <c r="D3606" s="73"/>
      <c r="E3606" s="73"/>
      <c r="F3606" s="73"/>
      <c r="G3606" s="73"/>
      <c r="H3606" s="73"/>
      <c r="I3606" s="73"/>
      <c r="J3606" s="73"/>
    </row>
    <row r="3607" spans="2:10">
      <c r="B3607" s="73"/>
      <c r="C3607" s="73"/>
      <c r="D3607" s="73"/>
      <c r="E3607" s="73"/>
      <c r="F3607" s="73"/>
      <c r="G3607" s="73"/>
      <c r="H3607" s="73"/>
      <c r="I3607" s="73"/>
      <c r="J3607" s="73"/>
    </row>
    <row r="3608" spans="2:10">
      <c r="B3608" s="73"/>
      <c r="C3608" s="73"/>
      <c r="D3608" s="73"/>
      <c r="E3608" s="73"/>
      <c r="F3608" s="73"/>
      <c r="G3608" s="73"/>
      <c r="H3608" s="73"/>
      <c r="I3608" s="73"/>
      <c r="J3608" s="73"/>
    </row>
    <row r="3609" spans="2:10">
      <c r="B3609" s="73"/>
      <c r="C3609" s="73"/>
      <c r="D3609" s="73"/>
      <c r="E3609" s="73"/>
      <c r="F3609" s="73"/>
      <c r="G3609" s="73"/>
      <c r="H3609" s="73"/>
      <c r="I3609" s="73"/>
      <c r="J3609" s="73"/>
    </row>
    <row r="3610" spans="2:10">
      <c r="B3610" s="73"/>
      <c r="C3610" s="73"/>
      <c r="D3610" s="73"/>
      <c r="E3610" s="73"/>
      <c r="F3610" s="73"/>
      <c r="G3610" s="73"/>
      <c r="H3610" s="73"/>
      <c r="I3610" s="73"/>
      <c r="J3610" s="73"/>
    </row>
    <row r="3611" spans="2:10">
      <c r="B3611" s="73"/>
      <c r="C3611" s="73"/>
      <c r="D3611" s="73"/>
      <c r="E3611" s="73"/>
      <c r="F3611" s="73"/>
      <c r="G3611" s="73"/>
      <c r="H3611" s="73"/>
      <c r="I3611" s="73"/>
      <c r="J3611" s="73"/>
    </row>
    <row r="3612" spans="2:10">
      <c r="B3612" s="73"/>
      <c r="C3612" s="73"/>
      <c r="D3612" s="73"/>
      <c r="E3612" s="73"/>
      <c r="F3612" s="73"/>
      <c r="G3612" s="73"/>
      <c r="H3612" s="73"/>
      <c r="I3612" s="73"/>
      <c r="J3612" s="73"/>
    </row>
    <row r="3613" spans="2:10">
      <c r="B3613" s="73"/>
      <c r="C3613" s="73"/>
      <c r="D3613" s="73"/>
      <c r="E3613" s="73"/>
      <c r="F3613" s="73"/>
      <c r="G3613" s="73"/>
      <c r="H3613" s="73"/>
      <c r="I3613" s="73"/>
      <c r="J3613" s="73"/>
    </row>
    <row r="3614" spans="2:10">
      <c r="B3614" s="73"/>
      <c r="C3614" s="73"/>
      <c r="D3614" s="73"/>
      <c r="E3614" s="73"/>
      <c r="F3614" s="73"/>
      <c r="G3614" s="73"/>
      <c r="H3614" s="73"/>
      <c r="I3614" s="73"/>
      <c r="J3614" s="73"/>
    </row>
    <row r="3615" spans="2:10">
      <c r="B3615" s="73"/>
      <c r="C3615" s="73"/>
      <c r="D3615" s="73"/>
      <c r="E3615" s="73"/>
      <c r="F3615" s="73"/>
      <c r="G3615" s="73"/>
      <c r="H3615" s="73"/>
      <c r="I3615" s="73"/>
      <c r="J3615" s="73"/>
    </row>
    <row r="3616" spans="2:10">
      <c r="B3616" s="73"/>
      <c r="C3616" s="73"/>
      <c r="D3616" s="73"/>
      <c r="E3616" s="73"/>
      <c r="F3616" s="73"/>
      <c r="G3616" s="73"/>
      <c r="H3616" s="73"/>
      <c r="I3616" s="73"/>
      <c r="J3616" s="73"/>
    </row>
    <row r="3617" spans="2:10">
      <c r="B3617" s="73"/>
      <c r="C3617" s="73"/>
      <c r="D3617" s="73"/>
      <c r="E3617" s="73"/>
      <c r="F3617" s="73"/>
      <c r="G3617" s="73"/>
      <c r="H3617" s="73"/>
      <c r="I3617" s="73"/>
      <c r="J3617" s="73"/>
    </row>
    <row r="3618" spans="2:10">
      <c r="B3618" s="73"/>
      <c r="C3618" s="73"/>
      <c r="D3618" s="73"/>
      <c r="E3618" s="73"/>
      <c r="F3618" s="73"/>
      <c r="G3618" s="73"/>
      <c r="H3618" s="73"/>
      <c r="I3618" s="73"/>
      <c r="J3618" s="73"/>
    </row>
    <row r="3619" spans="2:10">
      <c r="B3619" s="73"/>
      <c r="C3619" s="73"/>
      <c r="D3619" s="73"/>
      <c r="E3619" s="73"/>
      <c r="F3619" s="73"/>
      <c r="G3619" s="73"/>
      <c r="H3619" s="73"/>
      <c r="I3619" s="73"/>
      <c r="J3619" s="73"/>
    </row>
    <row r="3620" spans="2:10">
      <c r="B3620" s="73"/>
      <c r="C3620" s="73"/>
      <c r="D3620" s="73"/>
      <c r="E3620" s="73"/>
      <c r="F3620" s="73"/>
      <c r="G3620" s="73"/>
      <c r="H3620" s="73"/>
      <c r="I3620" s="73"/>
      <c r="J3620" s="73"/>
    </row>
    <row r="3621" spans="2:10">
      <c r="B3621" s="73"/>
      <c r="C3621" s="73"/>
      <c r="D3621" s="73"/>
      <c r="E3621" s="73"/>
      <c r="F3621" s="73"/>
      <c r="G3621" s="73"/>
      <c r="H3621" s="73"/>
      <c r="I3621" s="73"/>
      <c r="J3621" s="73"/>
    </row>
    <row r="3622" spans="2:10">
      <c r="B3622" s="73"/>
      <c r="C3622" s="73"/>
      <c r="D3622" s="73"/>
      <c r="E3622" s="73"/>
      <c r="F3622" s="73"/>
      <c r="G3622" s="73"/>
      <c r="H3622" s="73"/>
      <c r="I3622" s="73"/>
      <c r="J3622" s="73"/>
    </row>
    <row r="3623" spans="2:10">
      <c r="B3623" s="73"/>
      <c r="C3623" s="73"/>
      <c r="D3623" s="73"/>
      <c r="E3623" s="73"/>
      <c r="F3623" s="73"/>
      <c r="G3623" s="73"/>
      <c r="H3623" s="73"/>
      <c r="I3623" s="73"/>
      <c r="J3623" s="73"/>
    </row>
    <row r="3624" spans="2:10">
      <c r="B3624" s="73"/>
      <c r="C3624" s="73"/>
      <c r="D3624" s="73"/>
      <c r="E3624" s="73"/>
      <c r="F3624" s="73"/>
      <c r="G3624" s="73"/>
      <c r="H3624" s="73"/>
      <c r="I3624" s="73"/>
      <c r="J3624" s="73"/>
    </row>
    <row r="3625" spans="2:10">
      <c r="B3625" s="73"/>
      <c r="C3625" s="73"/>
      <c r="D3625" s="73"/>
      <c r="E3625" s="73"/>
      <c r="F3625" s="73"/>
      <c r="G3625" s="73"/>
      <c r="H3625" s="73"/>
      <c r="I3625" s="73"/>
      <c r="J3625" s="73"/>
    </row>
    <row r="3626" spans="2:10">
      <c r="B3626" s="73"/>
      <c r="C3626" s="73"/>
      <c r="D3626" s="73"/>
      <c r="E3626" s="73"/>
      <c r="F3626" s="73"/>
      <c r="G3626" s="73"/>
      <c r="H3626" s="73"/>
      <c r="I3626" s="73"/>
      <c r="J3626" s="73"/>
    </row>
    <row r="3627" spans="2:10">
      <c r="B3627" s="73"/>
      <c r="C3627" s="73"/>
      <c r="D3627" s="73"/>
      <c r="E3627" s="73"/>
      <c r="F3627" s="73"/>
      <c r="G3627" s="73"/>
      <c r="H3627" s="73"/>
      <c r="I3627" s="73"/>
      <c r="J3627" s="73"/>
    </row>
    <row r="3628" spans="2:10">
      <c r="B3628" s="73"/>
      <c r="C3628" s="73"/>
      <c r="D3628" s="73"/>
      <c r="E3628" s="73"/>
      <c r="F3628" s="73"/>
      <c r="G3628" s="73"/>
      <c r="H3628" s="73"/>
      <c r="I3628" s="73"/>
      <c r="J3628" s="73"/>
    </row>
    <row r="3629" spans="2:10">
      <c r="B3629" s="73"/>
      <c r="C3629" s="73"/>
      <c r="D3629" s="73"/>
      <c r="E3629" s="73"/>
      <c r="F3629" s="73"/>
      <c r="G3629" s="73"/>
      <c r="H3629" s="73"/>
      <c r="I3629" s="73"/>
      <c r="J3629" s="73"/>
    </row>
    <row r="3630" spans="2:10">
      <c r="B3630" s="73"/>
      <c r="C3630" s="73"/>
      <c r="D3630" s="73"/>
      <c r="E3630" s="73"/>
      <c r="F3630" s="73"/>
      <c r="G3630" s="73"/>
      <c r="H3630" s="73"/>
      <c r="I3630" s="73"/>
      <c r="J3630" s="73"/>
    </row>
    <row r="3631" spans="2:10">
      <c r="B3631" s="73"/>
      <c r="C3631" s="73"/>
      <c r="D3631" s="73"/>
      <c r="E3631" s="73"/>
      <c r="F3631" s="73"/>
      <c r="G3631" s="73"/>
      <c r="H3631" s="73"/>
      <c r="I3631" s="73"/>
      <c r="J3631" s="73"/>
    </row>
    <row r="3632" spans="2:10">
      <c r="B3632" s="73"/>
      <c r="C3632" s="73"/>
      <c r="D3632" s="73"/>
      <c r="E3632" s="73"/>
      <c r="F3632" s="73"/>
      <c r="G3632" s="73"/>
      <c r="H3632" s="73"/>
      <c r="I3632" s="73"/>
      <c r="J3632" s="73"/>
    </row>
    <row r="3633" spans="2:10">
      <c r="B3633" s="73"/>
      <c r="C3633" s="73"/>
      <c r="D3633" s="73"/>
      <c r="E3633" s="73"/>
      <c r="F3633" s="73"/>
      <c r="G3633" s="73"/>
      <c r="H3633" s="73"/>
      <c r="I3633" s="73"/>
      <c r="J3633" s="73"/>
    </row>
    <row r="3634" spans="2:10">
      <c r="B3634" s="73"/>
      <c r="C3634" s="73"/>
      <c r="D3634" s="73"/>
      <c r="E3634" s="73"/>
      <c r="F3634" s="73"/>
      <c r="G3634" s="73"/>
      <c r="H3634" s="73"/>
      <c r="I3634" s="73"/>
      <c r="J3634" s="73"/>
    </row>
    <row r="3635" spans="2:10">
      <c r="B3635" s="73"/>
      <c r="C3635" s="73"/>
      <c r="D3635" s="73"/>
      <c r="E3635" s="73"/>
      <c r="F3635" s="73"/>
      <c r="G3635" s="73"/>
      <c r="H3635" s="73"/>
      <c r="I3635" s="73"/>
      <c r="J3635" s="73"/>
    </row>
    <row r="3636" spans="2:10">
      <c r="B3636" s="73"/>
      <c r="C3636" s="73"/>
      <c r="D3636" s="73"/>
      <c r="E3636" s="73"/>
      <c r="F3636" s="73"/>
      <c r="G3636" s="73"/>
      <c r="H3636" s="73"/>
      <c r="I3636" s="73"/>
      <c r="J3636" s="73"/>
    </row>
    <row r="3637" spans="2:10">
      <c r="B3637" s="73"/>
      <c r="C3637" s="73"/>
      <c r="D3637" s="73"/>
      <c r="E3637" s="73"/>
      <c r="F3637" s="73"/>
      <c r="G3637" s="73"/>
      <c r="H3637" s="73"/>
      <c r="I3637" s="73"/>
      <c r="J3637" s="73"/>
    </row>
    <row r="3638" spans="2:10">
      <c r="B3638" s="73"/>
      <c r="C3638" s="73"/>
      <c r="D3638" s="73"/>
      <c r="E3638" s="73"/>
      <c r="F3638" s="73"/>
      <c r="G3638" s="73"/>
      <c r="H3638" s="73"/>
      <c r="I3638" s="73"/>
      <c r="J3638" s="73"/>
    </row>
    <row r="3639" spans="2:10">
      <c r="B3639" s="73"/>
      <c r="C3639" s="73"/>
      <c r="D3639" s="73"/>
      <c r="E3639" s="73"/>
      <c r="F3639" s="73"/>
      <c r="G3639" s="73"/>
      <c r="H3639" s="73"/>
      <c r="I3639" s="73"/>
      <c r="J3639" s="73"/>
    </row>
    <row r="3640" spans="2:10">
      <c r="B3640" s="73"/>
      <c r="C3640" s="73"/>
      <c r="D3640" s="73"/>
      <c r="E3640" s="73"/>
      <c r="F3640" s="73"/>
      <c r="G3640" s="73"/>
      <c r="H3640" s="73"/>
      <c r="I3640" s="73"/>
      <c r="J3640" s="73"/>
    </row>
    <row r="3641" spans="2:10">
      <c r="B3641" s="73"/>
      <c r="C3641" s="73"/>
      <c r="D3641" s="73"/>
      <c r="E3641" s="73"/>
      <c r="F3641" s="73"/>
      <c r="G3641" s="73"/>
      <c r="H3641" s="73"/>
      <c r="I3641" s="73"/>
      <c r="J3641" s="73"/>
    </row>
    <row r="3642" spans="2:10">
      <c r="B3642" s="73"/>
      <c r="C3642" s="73"/>
      <c r="D3642" s="73"/>
      <c r="E3642" s="73"/>
      <c r="F3642" s="73"/>
      <c r="G3642" s="73"/>
      <c r="H3642" s="73"/>
      <c r="I3642" s="73"/>
      <c r="J3642" s="73"/>
    </row>
    <row r="3643" spans="2:10">
      <c r="B3643" s="73"/>
      <c r="C3643" s="73"/>
      <c r="D3643" s="73"/>
      <c r="E3643" s="73"/>
      <c r="F3643" s="73"/>
      <c r="G3643" s="73"/>
      <c r="H3643" s="73"/>
      <c r="I3643" s="73"/>
      <c r="J3643" s="73"/>
    </row>
    <row r="3644" spans="2:10">
      <c r="B3644" s="73"/>
      <c r="C3644" s="73"/>
      <c r="D3644" s="73"/>
      <c r="E3644" s="73"/>
      <c r="F3644" s="73"/>
      <c r="G3644" s="73"/>
      <c r="H3644" s="73"/>
      <c r="I3644" s="73"/>
      <c r="J3644" s="73"/>
    </row>
    <row r="3645" spans="2:10">
      <c r="B3645" s="73"/>
      <c r="C3645" s="73"/>
      <c r="D3645" s="73"/>
      <c r="E3645" s="73"/>
      <c r="F3645" s="73"/>
      <c r="G3645" s="73"/>
      <c r="H3645" s="73"/>
      <c r="I3645" s="73"/>
      <c r="J3645" s="73"/>
    </row>
    <row r="3646" spans="2:10">
      <c r="B3646" s="73"/>
      <c r="C3646" s="73"/>
      <c r="D3646" s="73"/>
      <c r="E3646" s="73"/>
      <c r="F3646" s="73"/>
      <c r="G3646" s="73"/>
      <c r="H3646" s="73"/>
      <c r="I3646" s="73"/>
      <c r="J3646" s="73"/>
    </row>
    <row r="3647" spans="2:10">
      <c r="B3647" s="73"/>
      <c r="C3647" s="73"/>
      <c r="D3647" s="73"/>
      <c r="E3647" s="73"/>
      <c r="F3647" s="73"/>
      <c r="G3647" s="73"/>
      <c r="H3647" s="73"/>
      <c r="I3647" s="73"/>
      <c r="J3647" s="73"/>
    </row>
    <row r="3648" spans="2:10">
      <c r="B3648" s="73"/>
      <c r="C3648" s="73"/>
      <c r="D3648" s="73"/>
      <c r="E3648" s="73"/>
      <c r="F3648" s="73"/>
      <c r="G3648" s="73"/>
      <c r="H3648" s="73"/>
      <c r="I3648" s="73"/>
      <c r="J3648" s="73"/>
    </row>
    <row r="3649" spans="2:10">
      <c r="B3649" s="73"/>
      <c r="C3649" s="73"/>
      <c r="D3649" s="73"/>
      <c r="E3649" s="73"/>
      <c r="F3649" s="73"/>
      <c r="G3649" s="73"/>
      <c r="H3649" s="73"/>
      <c r="I3649" s="73"/>
      <c r="J3649" s="73"/>
    </row>
    <row r="3650" spans="2:10">
      <c r="B3650" s="73"/>
      <c r="C3650" s="73"/>
      <c r="D3650" s="73"/>
      <c r="E3650" s="73"/>
      <c r="F3650" s="73"/>
      <c r="G3650" s="73"/>
      <c r="H3650" s="73"/>
      <c r="I3650" s="73"/>
      <c r="J3650" s="73"/>
    </row>
    <row r="3651" spans="2:10">
      <c r="B3651" s="73"/>
      <c r="C3651" s="73"/>
      <c r="D3651" s="73"/>
      <c r="E3651" s="73"/>
      <c r="F3651" s="73"/>
      <c r="G3651" s="73"/>
      <c r="H3651" s="73"/>
      <c r="I3651" s="73"/>
      <c r="J3651" s="73"/>
    </row>
    <row r="3652" spans="2:10">
      <c r="B3652" s="73"/>
      <c r="C3652" s="73"/>
      <c r="D3652" s="73"/>
      <c r="E3652" s="73"/>
      <c r="F3652" s="73"/>
      <c r="G3652" s="73"/>
      <c r="H3652" s="73"/>
      <c r="I3652" s="73"/>
      <c r="J3652" s="73"/>
    </row>
    <row r="3653" spans="2:10">
      <c r="B3653" s="73"/>
      <c r="C3653" s="73"/>
      <c r="D3653" s="73"/>
      <c r="E3653" s="73"/>
      <c r="F3653" s="73"/>
      <c r="G3653" s="73"/>
      <c r="H3653" s="73"/>
      <c r="I3653" s="73"/>
      <c r="J3653" s="73"/>
    </row>
    <row r="3654" spans="2:10">
      <c r="B3654" s="73"/>
      <c r="C3654" s="73"/>
      <c r="D3654" s="73"/>
      <c r="E3654" s="73"/>
      <c r="F3654" s="73"/>
      <c r="G3654" s="73"/>
      <c r="H3654" s="73"/>
      <c r="I3654" s="73"/>
      <c r="J3654" s="73"/>
    </row>
    <row r="3655" spans="2:10">
      <c r="B3655" s="73"/>
      <c r="C3655" s="73"/>
      <c r="D3655" s="73"/>
      <c r="E3655" s="73"/>
      <c r="F3655" s="73"/>
      <c r="G3655" s="73"/>
      <c r="H3655" s="73"/>
      <c r="I3655" s="73"/>
      <c r="J3655" s="73"/>
    </row>
    <row r="3656" spans="2:10">
      <c r="B3656" s="73"/>
      <c r="C3656" s="73"/>
      <c r="D3656" s="73"/>
      <c r="E3656" s="73"/>
      <c r="F3656" s="73"/>
      <c r="G3656" s="73"/>
      <c r="H3656" s="73"/>
      <c r="I3656" s="73"/>
      <c r="J3656" s="73"/>
    </row>
    <row r="3657" spans="2:10">
      <c r="B3657" s="73"/>
      <c r="C3657" s="73"/>
      <c r="D3657" s="73"/>
      <c r="E3657" s="73"/>
      <c r="F3657" s="73"/>
      <c r="G3657" s="73"/>
      <c r="H3657" s="73"/>
      <c r="I3657" s="73"/>
      <c r="J3657" s="73"/>
    </row>
    <row r="3658" spans="2:10">
      <c r="B3658" s="73"/>
      <c r="C3658" s="73"/>
      <c r="D3658" s="73"/>
      <c r="E3658" s="73"/>
      <c r="F3658" s="73"/>
      <c r="G3658" s="73"/>
      <c r="H3658" s="73"/>
      <c r="I3658" s="73"/>
      <c r="J3658" s="73"/>
    </row>
    <row r="3659" spans="2:10">
      <c r="B3659" s="73"/>
      <c r="C3659" s="73"/>
      <c r="D3659" s="73"/>
      <c r="E3659" s="73"/>
      <c r="F3659" s="73"/>
      <c r="G3659" s="73"/>
      <c r="H3659" s="73"/>
      <c r="I3659" s="73"/>
      <c r="J3659" s="73"/>
    </row>
    <row r="3660" spans="2:10">
      <c r="B3660" s="73"/>
      <c r="C3660" s="73"/>
      <c r="D3660" s="73"/>
      <c r="E3660" s="73"/>
      <c r="F3660" s="73"/>
      <c r="G3660" s="73"/>
      <c r="H3660" s="73"/>
      <c r="I3660" s="73"/>
      <c r="J3660" s="73"/>
    </row>
    <row r="3661" spans="2:10">
      <c r="B3661" s="73"/>
      <c r="C3661" s="73"/>
      <c r="D3661" s="73"/>
      <c r="E3661" s="73"/>
      <c r="F3661" s="73"/>
      <c r="G3661" s="73"/>
      <c r="H3661" s="73"/>
      <c r="I3661" s="73"/>
      <c r="J3661" s="73"/>
    </row>
    <row r="3662" spans="2:10">
      <c r="B3662" s="73"/>
      <c r="C3662" s="73"/>
      <c r="D3662" s="73"/>
      <c r="E3662" s="73"/>
      <c r="F3662" s="73"/>
      <c r="G3662" s="73"/>
      <c r="H3662" s="73"/>
      <c r="I3662" s="73"/>
      <c r="J3662" s="73"/>
    </row>
    <row r="3663" spans="2:10">
      <c r="B3663" s="73"/>
      <c r="C3663" s="73"/>
      <c r="D3663" s="73"/>
      <c r="E3663" s="73"/>
      <c r="F3663" s="73"/>
      <c r="G3663" s="73"/>
      <c r="H3663" s="73"/>
      <c r="I3663" s="73"/>
      <c r="J3663" s="73"/>
    </row>
    <row r="3664" spans="2:10">
      <c r="B3664" s="73"/>
      <c r="C3664" s="73"/>
      <c r="D3664" s="73"/>
      <c r="E3664" s="73"/>
      <c r="F3664" s="73"/>
      <c r="G3664" s="73"/>
      <c r="H3664" s="73"/>
      <c r="I3664" s="73"/>
      <c r="J3664" s="73"/>
    </row>
    <row r="3665" spans="2:10">
      <c r="B3665" s="73"/>
      <c r="C3665" s="73"/>
      <c r="D3665" s="73"/>
      <c r="E3665" s="73"/>
      <c r="F3665" s="73"/>
      <c r="G3665" s="73"/>
      <c r="H3665" s="73"/>
      <c r="I3665" s="73"/>
      <c r="J3665" s="73"/>
    </row>
    <row r="3666" spans="2:10">
      <c r="B3666" s="73"/>
      <c r="C3666" s="73"/>
      <c r="D3666" s="73"/>
      <c r="E3666" s="73"/>
      <c r="F3666" s="73"/>
      <c r="G3666" s="73"/>
      <c r="H3666" s="73"/>
      <c r="I3666" s="73"/>
      <c r="J3666" s="73"/>
    </row>
    <row r="3667" spans="2:10">
      <c r="B3667" s="73"/>
      <c r="C3667" s="73"/>
      <c r="D3667" s="73"/>
      <c r="E3667" s="73"/>
      <c r="F3667" s="73"/>
      <c r="G3667" s="73"/>
      <c r="H3667" s="73"/>
      <c r="I3667" s="73"/>
      <c r="J3667" s="73"/>
    </row>
    <row r="3668" spans="2:10">
      <c r="B3668" s="73"/>
      <c r="C3668" s="73"/>
      <c r="D3668" s="73"/>
      <c r="E3668" s="73"/>
      <c r="F3668" s="73"/>
      <c r="G3668" s="73"/>
      <c r="H3668" s="73"/>
      <c r="I3668" s="73"/>
      <c r="J3668" s="73"/>
    </row>
    <row r="3669" spans="2:10">
      <c r="B3669" s="73"/>
      <c r="C3669" s="73"/>
      <c r="D3669" s="73"/>
      <c r="E3669" s="73"/>
      <c r="F3669" s="73"/>
      <c r="G3669" s="73"/>
      <c r="H3669" s="73"/>
      <c r="I3669" s="73"/>
      <c r="J3669" s="73"/>
    </row>
    <row r="3670" spans="2:10">
      <c r="B3670" s="73"/>
      <c r="C3670" s="73"/>
      <c r="D3670" s="73"/>
      <c r="E3670" s="73"/>
      <c r="F3670" s="73"/>
      <c r="G3670" s="73"/>
      <c r="H3670" s="73"/>
      <c r="I3670" s="73"/>
      <c r="J3670" s="73"/>
    </row>
    <row r="3671" spans="2:10">
      <c r="B3671" s="73"/>
      <c r="C3671" s="73"/>
      <c r="D3671" s="73"/>
      <c r="E3671" s="73"/>
      <c r="F3671" s="73"/>
      <c r="G3671" s="73"/>
      <c r="H3671" s="73"/>
      <c r="I3671" s="73"/>
      <c r="J3671" s="73"/>
    </row>
    <row r="3672" spans="2:10">
      <c r="B3672" s="73"/>
      <c r="C3672" s="73"/>
      <c r="D3672" s="73"/>
      <c r="E3672" s="73"/>
      <c r="F3672" s="73"/>
      <c r="G3672" s="73"/>
      <c r="H3672" s="73"/>
      <c r="I3672" s="73"/>
      <c r="J3672" s="73"/>
    </row>
    <row r="3673" spans="2:10">
      <c r="B3673" s="73"/>
      <c r="C3673" s="73"/>
      <c r="D3673" s="73"/>
      <c r="E3673" s="73"/>
      <c r="F3673" s="73"/>
      <c r="G3673" s="73"/>
      <c r="H3673" s="73"/>
      <c r="I3673" s="73"/>
      <c r="J3673" s="73"/>
    </row>
    <row r="3674" spans="2:10">
      <c r="B3674" s="73"/>
      <c r="C3674" s="73"/>
      <c r="D3674" s="73"/>
      <c r="E3674" s="73"/>
      <c r="F3674" s="73"/>
      <c r="G3674" s="73"/>
      <c r="H3674" s="73"/>
      <c r="I3674" s="73"/>
      <c r="J3674" s="73"/>
    </row>
    <row r="3675" spans="2:10">
      <c r="B3675" s="73"/>
      <c r="C3675" s="73"/>
      <c r="D3675" s="73"/>
      <c r="E3675" s="73"/>
      <c r="F3675" s="73"/>
      <c r="G3675" s="73"/>
      <c r="H3675" s="73"/>
      <c r="I3675" s="73"/>
      <c r="J3675" s="73"/>
    </row>
    <row r="3676" spans="2:10">
      <c r="B3676" s="73"/>
      <c r="C3676" s="73"/>
      <c r="D3676" s="73"/>
      <c r="E3676" s="73"/>
      <c r="F3676" s="73"/>
      <c r="G3676" s="73"/>
      <c r="H3676" s="73"/>
      <c r="I3676" s="73"/>
      <c r="J3676" s="73"/>
    </row>
    <row r="3677" spans="2:10">
      <c r="B3677" s="73"/>
      <c r="C3677" s="73"/>
      <c r="D3677" s="73"/>
      <c r="E3677" s="73"/>
      <c r="F3677" s="73"/>
      <c r="G3677" s="73"/>
      <c r="H3677" s="73"/>
      <c r="I3677" s="73"/>
      <c r="J3677" s="73"/>
    </row>
    <row r="3678" spans="2:10">
      <c r="B3678" s="73"/>
      <c r="C3678" s="73"/>
      <c r="D3678" s="73"/>
      <c r="E3678" s="73"/>
      <c r="F3678" s="73"/>
      <c r="G3678" s="73"/>
      <c r="H3678" s="73"/>
      <c r="I3678" s="73"/>
      <c r="J3678" s="73"/>
    </row>
    <row r="3679" spans="2:10">
      <c r="B3679" s="73"/>
      <c r="C3679" s="73"/>
      <c r="D3679" s="73"/>
      <c r="E3679" s="73"/>
      <c r="F3679" s="73"/>
      <c r="G3679" s="73"/>
      <c r="H3679" s="73"/>
      <c r="I3679" s="73"/>
      <c r="J3679" s="73"/>
    </row>
    <row r="3680" spans="2:10">
      <c r="B3680" s="73"/>
      <c r="C3680" s="73"/>
      <c r="D3680" s="73"/>
      <c r="E3680" s="73"/>
      <c r="F3680" s="73"/>
      <c r="G3680" s="73"/>
      <c r="H3680" s="73"/>
      <c r="I3680" s="73"/>
      <c r="J3680" s="73"/>
    </row>
    <row r="3681" spans="2:10">
      <c r="B3681" s="73"/>
      <c r="C3681" s="73"/>
      <c r="D3681" s="73"/>
      <c r="E3681" s="73"/>
      <c r="F3681" s="73"/>
      <c r="G3681" s="73"/>
      <c r="H3681" s="73"/>
      <c r="I3681" s="73"/>
      <c r="J3681" s="73"/>
    </row>
    <row r="3682" spans="2:10">
      <c r="B3682" s="73"/>
      <c r="C3682" s="73"/>
      <c r="D3682" s="73"/>
      <c r="E3682" s="73"/>
      <c r="F3682" s="73"/>
      <c r="G3682" s="73"/>
      <c r="H3682" s="73"/>
      <c r="I3682" s="73"/>
      <c r="J3682" s="73"/>
    </row>
    <row r="3683" spans="2:10">
      <c r="B3683" s="73"/>
      <c r="C3683" s="73"/>
      <c r="D3683" s="73"/>
      <c r="E3683" s="73"/>
      <c r="F3683" s="73"/>
      <c r="G3683" s="73"/>
      <c r="H3683" s="73"/>
      <c r="I3683" s="73"/>
      <c r="J3683" s="73"/>
    </row>
    <row r="3684" spans="2:10">
      <c r="B3684" s="73"/>
      <c r="C3684" s="73"/>
      <c r="D3684" s="73"/>
      <c r="E3684" s="73"/>
      <c r="F3684" s="73"/>
      <c r="G3684" s="73"/>
      <c r="H3684" s="73"/>
      <c r="I3684" s="73"/>
      <c r="J3684" s="73"/>
    </row>
    <row r="3685" spans="2:10">
      <c r="B3685" s="73"/>
      <c r="C3685" s="73"/>
      <c r="D3685" s="73"/>
      <c r="E3685" s="73"/>
      <c r="F3685" s="73"/>
      <c r="G3685" s="73"/>
      <c r="H3685" s="73"/>
      <c r="I3685" s="73"/>
      <c r="J3685" s="73"/>
    </row>
    <row r="3686" spans="2:10">
      <c r="B3686" s="73"/>
      <c r="C3686" s="73"/>
      <c r="D3686" s="73"/>
      <c r="E3686" s="73"/>
      <c r="F3686" s="73"/>
      <c r="G3686" s="73"/>
      <c r="H3686" s="73"/>
      <c r="I3686" s="73"/>
      <c r="J3686" s="73"/>
    </row>
    <row r="3687" spans="2:10">
      <c r="B3687" s="73"/>
      <c r="C3687" s="73"/>
      <c r="D3687" s="73"/>
      <c r="E3687" s="73"/>
      <c r="F3687" s="73"/>
      <c r="G3687" s="73"/>
      <c r="H3687" s="73"/>
      <c r="I3687" s="73"/>
      <c r="J3687" s="73"/>
    </row>
    <row r="3688" spans="2:10">
      <c r="B3688" s="73"/>
      <c r="C3688" s="73"/>
      <c r="D3688" s="73"/>
      <c r="E3688" s="73"/>
      <c r="F3688" s="73"/>
      <c r="G3688" s="73"/>
      <c r="H3688" s="73"/>
      <c r="I3688" s="73"/>
      <c r="J3688" s="73"/>
    </row>
    <row r="3689" spans="2:10">
      <c r="B3689" s="73"/>
      <c r="C3689" s="73"/>
      <c r="D3689" s="73"/>
      <c r="E3689" s="73"/>
      <c r="F3689" s="73"/>
      <c r="G3689" s="73"/>
      <c r="H3689" s="73"/>
      <c r="I3689" s="73"/>
      <c r="J3689" s="73"/>
    </row>
    <row r="3690" spans="2:10">
      <c r="B3690" s="73"/>
      <c r="C3690" s="73"/>
      <c r="D3690" s="73"/>
      <c r="E3690" s="73"/>
      <c r="F3690" s="73"/>
      <c r="G3690" s="73"/>
      <c r="H3690" s="73"/>
      <c r="I3690" s="73"/>
      <c r="J3690" s="73"/>
    </row>
    <row r="3691" spans="2:10">
      <c r="B3691" s="73"/>
      <c r="C3691" s="73"/>
      <c r="D3691" s="73"/>
      <c r="E3691" s="73"/>
      <c r="F3691" s="73"/>
      <c r="G3691" s="73"/>
      <c r="H3691" s="73"/>
      <c r="I3691" s="73"/>
      <c r="J3691" s="73"/>
    </row>
    <row r="3692" spans="2:10">
      <c r="B3692" s="73"/>
      <c r="C3692" s="73"/>
      <c r="D3692" s="73"/>
      <c r="E3692" s="73"/>
      <c r="F3692" s="73"/>
      <c r="G3692" s="73"/>
      <c r="H3692" s="73"/>
      <c r="I3692" s="73"/>
      <c r="J3692" s="73"/>
    </row>
    <row r="3693" spans="2:10">
      <c r="B3693" s="73"/>
      <c r="C3693" s="73"/>
      <c r="D3693" s="73"/>
      <c r="E3693" s="73"/>
      <c r="F3693" s="73"/>
      <c r="G3693" s="73"/>
      <c r="H3693" s="73"/>
      <c r="I3693" s="73"/>
      <c r="J3693" s="73"/>
    </row>
    <row r="3694" spans="2:10">
      <c r="B3694" s="73"/>
      <c r="C3694" s="73"/>
      <c r="D3694" s="73"/>
      <c r="E3694" s="73"/>
      <c r="F3694" s="73"/>
      <c r="G3694" s="73"/>
      <c r="H3694" s="73"/>
      <c r="I3694" s="73"/>
      <c r="J3694" s="73"/>
    </row>
    <row r="3695" spans="2:10">
      <c r="B3695" s="73"/>
      <c r="C3695" s="73"/>
      <c r="D3695" s="73"/>
      <c r="E3695" s="73"/>
      <c r="F3695" s="73"/>
      <c r="G3695" s="73"/>
      <c r="H3695" s="73"/>
      <c r="I3695" s="73"/>
      <c r="J3695" s="73"/>
    </row>
    <row r="3696" spans="2:10">
      <c r="B3696" s="73"/>
      <c r="C3696" s="73"/>
      <c r="D3696" s="73"/>
      <c r="E3696" s="73"/>
      <c r="F3696" s="73"/>
      <c r="G3696" s="73"/>
      <c r="H3696" s="73"/>
      <c r="I3696" s="73"/>
      <c r="J3696" s="73"/>
    </row>
    <row r="3697" spans="2:10">
      <c r="B3697" s="73"/>
      <c r="C3697" s="73"/>
      <c r="D3697" s="73"/>
      <c r="E3697" s="73"/>
      <c r="F3697" s="73"/>
      <c r="G3697" s="73"/>
      <c r="H3697" s="73"/>
      <c r="I3697" s="73"/>
      <c r="J3697" s="73"/>
    </row>
    <row r="3698" spans="2:10">
      <c r="B3698" s="73"/>
      <c r="C3698" s="73"/>
      <c r="D3698" s="73"/>
      <c r="E3698" s="73"/>
      <c r="F3698" s="73"/>
      <c r="G3698" s="73"/>
      <c r="H3698" s="73"/>
      <c r="I3698" s="73"/>
      <c r="J3698" s="73"/>
    </row>
    <row r="3699" spans="2:10">
      <c r="B3699" s="73"/>
      <c r="C3699" s="73"/>
      <c r="D3699" s="73"/>
      <c r="E3699" s="73"/>
      <c r="F3699" s="73"/>
      <c r="G3699" s="73"/>
      <c r="H3699" s="73"/>
      <c r="I3699" s="73"/>
      <c r="J3699" s="73"/>
    </row>
    <row r="3700" spans="2:10">
      <c r="B3700" s="73"/>
      <c r="C3700" s="73"/>
      <c r="D3700" s="73"/>
      <c r="E3700" s="73"/>
      <c r="F3700" s="73"/>
      <c r="G3700" s="73"/>
      <c r="H3700" s="73"/>
      <c r="I3700" s="73"/>
      <c r="J3700" s="73"/>
    </row>
    <row r="3701" spans="2:10">
      <c r="B3701" s="73"/>
      <c r="C3701" s="73"/>
      <c r="D3701" s="73"/>
      <c r="E3701" s="73"/>
      <c r="F3701" s="73"/>
      <c r="G3701" s="73"/>
      <c r="H3701" s="73"/>
      <c r="I3701" s="73"/>
      <c r="J3701" s="73"/>
    </row>
    <row r="3702" spans="2:10">
      <c r="B3702" s="73"/>
      <c r="C3702" s="73"/>
      <c r="D3702" s="73"/>
      <c r="E3702" s="73"/>
      <c r="F3702" s="73"/>
      <c r="G3702" s="73"/>
      <c r="H3702" s="73"/>
      <c r="I3702" s="73"/>
      <c r="J3702" s="73"/>
    </row>
    <row r="3703" spans="2:10">
      <c r="B3703" s="73"/>
      <c r="C3703" s="73"/>
      <c r="D3703" s="73"/>
      <c r="E3703" s="73"/>
      <c r="F3703" s="73"/>
      <c r="G3703" s="73"/>
      <c r="H3703" s="73"/>
      <c r="I3703" s="73"/>
      <c r="J3703" s="73"/>
    </row>
    <row r="3704" spans="2:10">
      <c r="B3704" s="73"/>
      <c r="C3704" s="73"/>
      <c r="D3704" s="73"/>
      <c r="E3704" s="73"/>
      <c r="F3704" s="73"/>
      <c r="G3704" s="73"/>
      <c r="H3704" s="73"/>
      <c r="I3704" s="73"/>
      <c r="J3704" s="73"/>
    </row>
    <row r="3705" spans="2:10">
      <c r="B3705" s="73"/>
      <c r="C3705" s="73"/>
      <c r="D3705" s="73"/>
      <c r="E3705" s="73"/>
      <c r="F3705" s="73"/>
      <c r="G3705" s="73"/>
      <c r="H3705" s="73"/>
      <c r="I3705" s="73"/>
      <c r="J3705" s="73"/>
    </row>
    <row r="3706" spans="2:10">
      <c r="B3706" s="73"/>
      <c r="C3706" s="73"/>
      <c r="D3706" s="73"/>
      <c r="E3706" s="73"/>
      <c r="F3706" s="73"/>
      <c r="G3706" s="73"/>
      <c r="H3706" s="73"/>
      <c r="I3706" s="73"/>
      <c r="J3706" s="73"/>
    </row>
    <row r="3707" spans="2:10">
      <c r="B3707" s="73"/>
      <c r="C3707" s="73"/>
      <c r="D3707" s="73"/>
      <c r="E3707" s="73"/>
      <c r="F3707" s="73"/>
      <c r="G3707" s="73"/>
      <c r="H3707" s="73"/>
      <c r="I3707" s="73"/>
      <c r="J3707" s="73"/>
    </row>
    <row r="3708" spans="2:10">
      <c r="B3708" s="73"/>
      <c r="C3708" s="73"/>
      <c r="D3708" s="73"/>
      <c r="E3708" s="73"/>
      <c r="F3708" s="73"/>
      <c r="G3708" s="73"/>
      <c r="H3708" s="73"/>
      <c r="I3708" s="73"/>
      <c r="J3708" s="73"/>
    </row>
    <row r="3709" spans="2:10">
      <c r="B3709" s="73"/>
      <c r="C3709" s="73"/>
      <c r="D3709" s="73"/>
      <c r="E3709" s="73"/>
      <c r="F3709" s="73"/>
      <c r="G3709" s="73"/>
      <c r="H3709" s="73"/>
      <c r="I3709" s="73"/>
      <c r="J3709" s="73"/>
    </row>
    <row r="3710" spans="2:10">
      <c r="B3710" s="73"/>
      <c r="C3710" s="73"/>
      <c r="D3710" s="73"/>
      <c r="E3710" s="73"/>
      <c r="F3710" s="73"/>
      <c r="G3710" s="73"/>
      <c r="H3710" s="73"/>
      <c r="I3710" s="73"/>
      <c r="J3710" s="73"/>
    </row>
    <row r="3711" spans="2:10">
      <c r="B3711" s="73"/>
      <c r="C3711" s="73"/>
      <c r="D3711" s="73"/>
      <c r="E3711" s="73"/>
      <c r="F3711" s="73"/>
      <c r="G3711" s="73"/>
      <c r="H3711" s="73"/>
      <c r="I3711" s="73"/>
      <c r="J3711" s="73"/>
    </row>
    <row r="3712" spans="2:10">
      <c r="B3712" s="73"/>
      <c r="C3712" s="73"/>
      <c r="D3712" s="73"/>
      <c r="E3712" s="73"/>
      <c r="F3712" s="73"/>
      <c r="G3712" s="73"/>
      <c r="H3712" s="73"/>
      <c r="I3712" s="73"/>
      <c r="J3712" s="73"/>
    </row>
    <row r="3713" spans="2:10">
      <c r="B3713" s="73"/>
      <c r="C3713" s="73"/>
      <c r="D3713" s="73"/>
      <c r="E3713" s="73"/>
      <c r="F3713" s="73"/>
      <c r="G3713" s="73"/>
      <c r="H3713" s="73"/>
      <c r="I3713" s="73"/>
      <c r="J3713" s="73"/>
    </row>
    <row r="3714" spans="2:10">
      <c r="B3714" s="73"/>
      <c r="C3714" s="73"/>
      <c r="D3714" s="73"/>
      <c r="E3714" s="73"/>
      <c r="F3714" s="73"/>
      <c r="G3714" s="73"/>
      <c r="H3714" s="73"/>
      <c r="I3714" s="73"/>
      <c r="J3714" s="73"/>
    </row>
    <row r="3715" spans="2:10">
      <c r="B3715" s="73"/>
      <c r="C3715" s="73"/>
      <c r="D3715" s="73"/>
      <c r="E3715" s="73"/>
      <c r="F3715" s="73"/>
      <c r="G3715" s="73"/>
      <c r="H3715" s="73"/>
      <c r="I3715" s="73"/>
      <c r="J3715" s="73"/>
    </row>
    <row r="3716" spans="2:10">
      <c r="B3716" s="73"/>
      <c r="C3716" s="73"/>
      <c r="D3716" s="73"/>
      <c r="E3716" s="73"/>
      <c r="F3716" s="73"/>
      <c r="G3716" s="73"/>
      <c r="H3716" s="73"/>
      <c r="I3716" s="73"/>
      <c r="J3716" s="73"/>
    </row>
    <row r="3717" spans="2:10">
      <c r="B3717" s="73"/>
      <c r="C3717" s="73"/>
      <c r="D3717" s="73"/>
      <c r="E3717" s="73"/>
      <c r="F3717" s="73"/>
      <c r="G3717" s="73"/>
      <c r="H3717" s="73"/>
      <c r="I3717" s="73"/>
      <c r="J3717" s="73"/>
    </row>
    <row r="3718" spans="2:10">
      <c r="B3718" s="73"/>
      <c r="C3718" s="73"/>
      <c r="D3718" s="73"/>
      <c r="E3718" s="73"/>
      <c r="F3718" s="73"/>
      <c r="G3718" s="73"/>
      <c r="H3718" s="73"/>
      <c r="I3718" s="73"/>
      <c r="J3718" s="73"/>
    </row>
    <row r="3719" spans="2:10">
      <c r="B3719" s="73"/>
      <c r="C3719" s="73"/>
      <c r="D3719" s="73"/>
      <c r="E3719" s="73"/>
      <c r="F3719" s="73"/>
      <c r="G3719" s="73"/>
      <c r="H3719" s="73"/>
      <c r="I3719" s="73"/>
      <c r="J3719" s="73"/>
    </row>
    <row r="3720" spans="2:10">
      <c r="B3720" s="73"/>
      <c r="C3720" s="73"/>
      <c r="D3720" s="73"/>
      <c r="E3720" s="73"/>
      <c r="F3720" s="73"/>
      <c r="G3720" s="73"/>
      <c r="H3720" s="73"/>
      <c r="I3720" s="73"/>
      <c r="J3720" s="73"/>
    </row>
    <row r="3721" spans="2:10">
      <c r="B3721" s="73"/>
      <c r="C3721" s="73"/>
      <c r="D3721" s="73"/>
      <c r="E3721" s="73"/>
      <c r="F3721" s="73"/>
      <c r="G3721" s="73"/>
      <c r="H3721" s="73"/>
      <c r="I3721" s="73"/>
      <c r="J3721" s="73"/>
    </row>
    <row r="3722" spans="2:10">
      <c r="B3722" s="73"/>
      <c r="C3722" s="73"/>
      <c r="D3722" s="73"/>
      <c r="E3722" s="73"/>
      <c r="F3722" s="73"/>
      <c r="G3722" s="73"/>
      <c r="H3722" s="73"/>
      <c r="I3722" s="73"/>
      <c r="J3722" s="73"/>
    </row>
    <row r="3723" spans="2:10">
      <c r="B3723" s="73"/>
      <c r="C3723" s="73"/>
      <c r="D3723" s="73"/>
      <c r="E3723" s="73"/>
      <c r="F3723" s="73"/>
      <c r="G3723" s="73"/>
      <c r="H3723" s="73"/>
      <c r="I3723" s="73"/>
      <c r="J3723" s="73"/>
    </row>
    <row r="3724" spans="2:10">
      <c r="B3724" s="73"/>
      <c r="C3724" s="73"/>
      <c r="D3724" s="73"/>
      <c r="E3724" s="73"/>
      <c r="F3724" s="73"/>
      <c r="G3724" s="73"/>
      <c r="H3724" s="73"/>
      <c r="I3724" s="73"/>
      <c r="J3724" s="73"/>
    </row>
    <row r="3725" spans="2:10">
      <c r="B3725" s="73"/>
      <c r="C3725" s="73"/>
      <c r="D3725" s="73"/>
      <c r="E3725" s="73"/>
      <c r="F3725" s="73"/>
      <c r="G3725" s="73"/>
      <c r="H3725" s="73"/>
      <c r="I3725" s="73"/>
      <c r="J3725" s="73"/>
    </row>
    <row r="3726" spans="2:10">
      <c r="B3726" s="73"/>
      <c r="C3726" s="73"/>
      <c r="D3726" s="73"/>
      <c r="E3726" s="73"/>
      <c r="F3726" s="73"/>
      <c r="G3726" s="73"/>
      <c r="H3726" s="73"/>
      <c r="I3726" s="73"/>
      <c r="J3726" s="73"/>
    </row>
    <row r="3727" spans="2:10">
      <c r="B3727" s="73"/>
      <c r="C3727" s="73"/>
      <c r="D3727" s="73"/>
      <c r="E3727" s="73"/>
      <c r="F3727" s="73"/>
      <c r="G3727" s="73"/>
      <c r="H3727" s="73"/>
      <c r="I3727" s="73"/>
      <c r="J3727" s="73"/>
    </row>
    <row r="3728" spans="2:10">
      <c r="B3728" s="73"/>
      <c r="C3728" s="73"/>
      <c r="D3728" s="73"/>
      <c r="E3728" s="73"/>
      <c r="F3728" s="73"/>
      <c r="G3728" s="73"/>
      <c r="H3728" s="73"/>
      <c r="I3728" s="73"/>
      <c r="J3728" s="73"/>
    </row>
    <row r="3729" spans="2:10">
      <c r="B3729" s="73"/>
      <c r="C3729" s="73"/>
      <c r="D3729" s="73"/>
      <c r="E3729" s="73"/>
      <c r="F3729" s="73"/>
      <c r="G3729" s="73"/>
      <c r="H3729" s="73"/>
      <c r="I3729" s="73"/>
      <c r="J3729" s="73"/>
    </row>
    <row r="3730" spans="2:10">
      <c r="B3730" s="73"/>
      <c r="C3730" s="73"/>
      <c r="D3730" s="73"/>
      <c r="E3730" s="73"/>
      <c r="F3730" s="73"/>
      <c r="G3730" s="73"/>
      <c r="H3730" s="73"/>
      <c r="I3730" s="73"/>
      <c r="J3730" s="73"/>
    </row>
    <row r="3731" spans="2:10">
      <c r="B3731" s="73"/>
      <c r="C3731" s="73"/>
      <c r="D3731" s="73"/>
      <c r="E3731" s="73"/>
      <c r="F3731" s="73"/>
      <c r="G3731" s="73"/>
      <c r="H3731" s="73"/>
      <c r="I3731" s="73"/>
      <c r="J3731" s="73"/>
    </row>
    <row r="3732" spans="2:10">
      <c r="B3732" s="73"/>
      <c r="C3732" s="73"/>
      <c r="D3732" s="73"/>
      <c r="E3732" s="73"/>
      <c r="F3732" s="73"/>
      <c r="G3732" s="73"/>
      <c r="H3732" s="73"/>
      <c r="I3732" s="73"/>
      <c r="J3732" s="73"/>
    </row>
    <row r="3733" spans="2:10">
      <c r="B3733" s="73"/>
      <c r="C3733" s="73"/>
      <c r="D3733" s="73"/>
      <c r="E3733" s="73"/>
      <c r="F3733" s="73"/>
      <c r="G3733" s="73"/>
      <c r="H3733" s="73"/>
      <c r="I3733" s="73"/>
      <c r="J3733" s="73"/>
    </row>
    <row r="3734" spans="2:10">
      <c r="B3734" s="73"/>
      <c r="C3734" s="73"/>
      <c r="D3734" s="73"/>
      <c r="E3734" s="73"/>
      <c r="F3734" s="73"/>
      <c r="G3734" s="73"/>
      <c r="H3734" s="73"/>
      <c r="I3734" s="73"/>
      <c r="J3734" s="73"/>
    </row>
    <row r="3735" spans="2:10">
      <c r="B3735" s="73"/>
      <c r="C3735" s="73"/>
      <c r="D3735" s="73"/>
      <c r="E3735" s="73"/>
      <c r="F3735" s="73"/>
      <c r="G3735" s="73"/>
      <c r="H3735" s="73"/>
      <c r="I3735" s="73"/>
      <c r="J3735" s="73"/>
    </row>
    <row r="3736" spans="2:10">
      <c r="B3736" s="73"/>
      <c r="C3736" s="73"/>
      <c r="D3736" s="73"/>
      <c r="E3736" s="73"/>
      <c r="F3736" s="73"/>
      <c r="G3736" s="73"/>
      <c r="H3736" s="73"/>
      <c r="I3736" s="73"/>
      <c r="J3736" s="73"/>
    </row>
    <row r="3737" spans="2:10">
      <c r="B3737" s="73"/>
      <c r="C3737" s="73"/>
      <c r="D3737" s="73"/>
      <c r="E3737" s="73"/>
      <c r="F3737" s="73"/>
      <c r="G3737" s="73"/>
      <c r="H3737" s="73"/>
      <c r="I3737" s="73"/>
      <c r="J3737" s="73"/>
    </row>
    <row r="3738" spans="2:10">
      <c r="B3738" s="73"/>
      <c r="C3738" s="73"/>
      <c r="D3738" s="73"/>
      <c r="E3738" s="73"/>
      <c r="F3738" s="73"/>
      <c r="G3738" s="73"/>
      <c r="H3738" s="73"/>
      <c r="I3738" s="73"/>
      <c r="J3738" s="73"/>
    </row>
    <row r="3739" spans="2:10">
      <c r="B3739" s="73"/>
      <c r="C3739" s="73"/>
      <c r="D3739" s="73"/>
      <c r="E3739" s="73"/>
      <c r="F3739" s="73"/>
      <c r="G3739" s="73"/>
      <c r="H3739" s="73"/>
      <c r="I3739" s="73"/>
      <c r="J3739" s="73"/>
    </row>
    <row r="3740" spans="2:10">
      <c r="B3740" s="73"/>
      <c r="C3740" s="73"/>
      <c r="D3740" s="73"/>
      <c r="E3740" s="73"/>
      <c r="F3740" s="73"/>
      <c r="G3740" s="73"/>
      <c r="H3740" s="73"/>
      <c r="I3740" s="73"/>
      <c r="J3740" s="73"/>
    </row>
    <row r="3741" spans="2:10">
      <c r="B3741" s="73"/>
      <c r="C3741" s="73"/>
      <c r="D3741" s="73"/>
      <c r="E3741" s="73"/>
      <c r="F3741" s="73"/>
      <c r="G3741" s="73"/>
      <c r="H3741" s="73"/>
      <c r="I3741" s="73"/>
      <c r="J3741" s="73"/>
    </row>
    <row r="3742" spans="2:10">
      <c r="B3742" s="73"/>
      <c r="C3742" s="73"/>
      <c r="D3742" s="73"/>
      <c r="E3742" s="73"/>
      <c r="F3742" s="73"/>
      <c r="G3742" s="73"/>
      <c r="H3742" s="73"/>
      <c r="I3742" s="73"/>
      <c r="J3742" s="73"/>
    </row>
    <row r="3743" spans="2:10">
      <c r="B3743" s="73"/>
      <c r="C3743" s="73"/>
      <c r="D3743" s="73"/>
      <c r="E3743" s="73"/>
      <c r="F3743" s="73"/>
      <c r="G3743" s="73"/>
      <c r="H3743" s="73"/>
      <c r="I3743" s="73"/>
      <c r="J3743" s="73"/>
    </row>
    <row r="3744" spans="2:10">
      <c r="B3744" s="73"/>
      <c r="C3744" s="73"/>
      <c r="D3744" s="73"/>
      <c r="E3744" s="73"/>
      <c r="F3744" s="73"/>
      <c r="G3744" s="73"/>
      <c r="H3744" s="73"/>
      <c r="I3744" s="73"/>
      <c r="J3744" s="73"/>
    </row>
    <row r="3745" spans="2:10">
      <c r="B3745" s="73"/>
      <c r="C3745" s="73"/>
      <c r="D3745" s="73"/>
      <c r="E3745" s="73"/>
      <c r="F3745" s="73"/>
      <c r="G3745" s="73"/>
      <c r="H3745" s="73"/>
      <c r="I3745" s="73"/>
      <c r="J3745" s="73"/>
    </row>
    <row r="3746" spans="2:10">
      <c r="B3746" s="73"/>
      <c r="C3746" s="73"/>
      <c r="D3746" s="73"/>
      <c r="E3746" s="73"/>
      <c r="F3746" s="73"/>
      <c r="G3746" s="73"/>
      <c r="H3746" s="73"/>
      <c r="I3746" s="73"/>
      <c r="J3746" s="73"/>
    </row>
    <row r="3747" spans="2:10">
      <c r="B3747" s="73"/>
      <c r="C3747" s="73"/>
      <c r="D3747" s="73"/>
      <c r="E3747" s="73"/>
      <c r="F3747" s="73"/>
      <c r="G3747" s="73"/>
      <c r="H3747" s="73"/>
      <c r="I3747" s="73"/>
      <c r="J3747" s="73"/>
    </row>
    <row r="3748" spans="2:10">
      <c r="B3748" s="73"/>
      <c r="C3748" s="73"/>
      <c r="D3748" s="73"/>
      <c r="E3748" s="73"/>
      <c r="F3748" s="73"/>
      <c r="G3748" s="73"/>
      <c r="H3748" s="73"/>
      <c r="I3748" s="73"/>
      <c r="J3748" s="73"/>
    </row>
    <row r="3749" spans="2:10">
      <c r="B3749" s="73"/>
      <c r="C3749" s="73"/>
      <c r="D3749" s="73"/>
      <c r="E3749" s="73"/>
      <c r="F3749" s="73"/>
      <c r="G3749" s="73"/>
      <c r="H3749" s="73"/>
      <c r="I3749" s="73"/>
      <c r="J3749" s="73"/>
    </row>
    <row r="3750" spans="2:10">
      <c r="B3750" s="73"/>
      <c r="C3750" s="73"/>
      <c r="D3750" s="73"/>
      <c r="E3750" s="73"/>
      <c r="F3750" s="73"/>
      <c r="G3750" s="73"/>
      <c r="H3750" s="73"/>
      <c r="I3750" s="73"/>
      <c r="J3750" s="73"/>
    </row>
    <row r="3751" spans="2:10">
      <c r="B3751" s="73"/>
      <c r="C3751" s="73"/>
      <c r="D3751" s="73"/>
      <c r="E3751" s="73"/>
      <c r="F3751" s="73"/>
      <c r="G3751" s="73"/>
      <c r="H3751" s="73"/>
      <c r="I3751" s="73"/>
      <c r="J3751" s="73"/>
    </row>
    <row r="3752" spans="2:10">
      <c r="B3752" s="73"/>
      <c r="C3752" s="73"/>
      <c r="D3752" s="73"/>
      <c r="E3752" s="73"/>
      <c r="F3752" s="73"/>
      <c r="G3752" s="73"/>
      <c r="H3752" s="73"/>
      <c r="I3752" s="73"/>
      <c r="J3752" s="73"/>
    </row>
    <row r="3753" spans="2:10">
      <c r="B3753" s="73"/>
      <c r="C3753" s="73"/>
      <c r="D3753" s="73"/>
      <c r="E3753" s="73"/>
      <c r="F3753" s="73"/>
      <c r="G3753" s="73"/>
      <c r="H3753" s="73"/>
      <c r="I3753" s="73"/>
      <c r="J3753" s="73"/>
    </row>
    <row r="3754" spans="2:10">
      <c r="B3754" s="73"/>
      <c r="C3754" s="73"/>
      <c r="D3754" s="73"/>
      <c r="E3754" s="73"/>
      <c r="F3754" s="73"/>
      <c r="G3754" s="73"/>
      <c r="H3754" s="73"/>
      <c r="I3754" s="73"/>
      <c r="J3754" s="73"/>
    </row>
    <row r="3755" spans="2:10">
      <c r="B3755" s="73"/>
      <c r="C3755" s="73"/>
      <c r="D3755" s="73"/>
      <c r="E3755" s="73"/>
      <c r="F3755" s="73"/>
      <c r="G3755" s="73"/>
      <c r="H3755" s="73"/>
      <c r="I3755" s="73"/>
      <c r="J3755" s="73"/>
    </row>
    <row r="3756" spans="2:10">
      <c r="B3756" s="73"/>
      <c r="C3756" s="73"/>
      <c r="D3756" s="73"/>
      <c r="E3756" s="73"/>
      <c r="F3756" s="73"/>
      <c r="G3756" s="73"/>
      <c r="H3756" s="73"/>
      <c r="I3756" s="73"/>
      <c r="J3756" s="73"/>
    </row>
    <row r="3757" spans="2:10">
      <c r="B3757" s="73"/>
      <c r="C3757" s="73"/>
      <c r="D3757" s="73"/>
      <c r="E3757" s="73"/>
      <c r="F3757" s="73"/>
      <c r="G3757" s="73"/>
      <c r="H3757" s="73"/>
      <c r="I3757" s="73"/>
      <c r="J3757" s="73"/>
    </row>
    <row r="3758" spans="2:10">
      <c r="B3758" s="73"/>
      <c r="C3758" s="73"/>
      <c r="D3758" s="73"/>
      <c r="E3758" s="73"/>
      <c r="F3758" s="73"/>
      <c r="G3758" s="73"/>
      <c r="H3758" s="73"/>
      <c r="I3758" s="73"/>
      <c r="J3758" s="73"/>
    </row>
    <row r="3759" spans="2:10">
      <c r="B3759" s="73"/>
      <c r="C3759" s="73"/>
      <c r="D3759" s="73"/>
      <c r="E3759" s="73"/>
      <c r="F3759" s="73"/>
      <c r="G3759" s="73"/>
      <c r="H3759" s="73"/>
      <c r="I3759" s="73"/>
      <c r="J3759" s="73"/>
    </row>
    <row r="3760" spans="2:10">
      <c r="B3760" s="73"/>
      <c r="C3760" s="73"/>
      <c r="D3760" s="73"/>
      <c r="E3760" s="73"/>
      <c r="F3760" s="73"/>
      <c r="G3760" s="73"/>
      <c r="H3760" s="73"/>
      <c r="I3760" s="73"/>
      <c r="J3760" s="73"/>
    </row>
    <row r="3761" spans="2:10">
      <c r="B3761" s="73"/>
      <c r="C3761" s="73"/>
      <c r="D3761" s="73"/>
      <c r="E3761" s="73"/>
      <c r="F3761" s="73"/>
      <c r="G3761" s="73"/>
      <c r="H3761" s="73"/>
      <c r="I3761" s="73"/>
      <c r="J3761" s="73"/>
    </row>
    <row r="3762" spans="2:10">
      <c r="B3762" s="73"/>
      <c r="C3762" s="73"/>
      <c r="D3762" s="73"/>
      <c r="E3762" s="73"/>
      <c r="F3762" s="73"/>
      <c r="G3762" s="73"/>
      <c r="H3762" s="73"/>
      <c r="I3762" s="73"/>
      <c r="J3762" s="73"/>
    </row>
    <row r="3763" spans="2:10">
      <c r="B3763" s="73"/>
      <c r="C3763" s="73"/>
      <c r="D3763" s="73"/>
      <c r="E3763" s="73"/>
      <c r="F3763" s="73"/>
      <c r="G3763" s="73"/>
      <c r="H3763" s="73"/>
      <c r="I3763" s="73"/>
      <c r="J3763" s="73"/>
    </row>
    <row r="3764" spans="2:10">
      <c r="B3764" s="73"/>
      <c r="C3764" s="73"/>
      <c r="D3764" s="73"/>
      <c r="E3764" s="73"/>
      <c r="F3764" s="73"/>
      <c r="G3764" s="73"/>
      <c r="H3764" s="73"/>
      <c r="I3764" s="73"/>
      <c r="J3764" s="73"/>
    </row>
    <row r="3765" spans="2:10">
      <c r="B3765" s="73"/>
      <c r="C3765" s="73"/>
      <c r="D3765" s="73"/>
      <c r="E3765" s="73"/>
      <c r="F3765" s="73"/>
      <c r="G3765" s="73"/>
      <c r="H3765" s="73"/>
      <c r="I3765" s="73"/>
      <c r="J3765" s="73"/>
    </row>
    <row r="3766" spans="2:10">
      <c r="B3766" s="73"/>
      <c r="C3766" s="73"/>
      <c r="D3766" s="73"/>
      <c r="E3766" s="73"/>
      <c r="F3766" s="73"/>
      <c r="G3766" s="73"/>
      <c r="H3766" s="73"/>
      <c r="I3766" s="73"/>
      <c r="J3766" s="73"/>
    </row>
    <row r="3767" spans="2:10">
      <c r="B3767" s="73"/>
      <c r="C3767" s="73"/>
      <c r="D3767" s="73"/>
      <c r="E3767" s="73"/>
      <c r="F3767" s="73"/>
      <c r="G3767" s="73"/>
      <c r="H3767" s="73"/>
      <c r="I3767" s="73"/>
      <c r="J3767" s="73"/>
    </row>
    <row r="3768" spans="2:10">
      <c r="B3768" s="73"/>
      <c r="C3768" s="73"/>
      <c r="D3768" s="73"/>
      <c r="E3768" s="73"/>
      <c r="F3768" s="73"/>
      <c r="G3768" s="73"/>
      <c r="H3768" s="73"/>
      <c r="I3768" s="73"/>
      <c r="J3768" s="73"/>
    </row>
    <row r="3769" spans="2:10">
      <c r="B3769" s="73"/>
      <c r="C3769" s="73"/>
      <c r="D3769" s="73"/>
      <c r="E3769" s="73"/>
      <c r="F3769" s="73"/>
      <c r="G3769" s="73"/>
      <c r="H3769" s="73"/>
      <c r="I3769" s="73"/>
      <c r="J3769" s="73"/>
    </row>
    <row r="3770" spans="2:10">
      <c r="B3770" s="73"/>
      <c r="C3770" s="73"/>
      <c r="D3770" s="73"/>
      <c r="E3770" s="73"/>
      <c r="F3770" s="73"/>
      <c r="G3770" s="73"/>
      <c r="H3770" s="73"/>
      <c r="I3770" s="73"/>
      <c r="J3770" s="73"/>
    </row>
    <row r="3771" spans="2:10">
      <c r="B3771" s="73"/>
      <c r="C3771" s="73"/>
      <c r="D3771" s="73"/>
      <c r="E3771" s="73"/>
      <c r="F3771" s="73"/>
      <c r="G3771" s="73"/>
      <c r="H3771" s="73"/>
      <c r="I3771" s="73"/>
      <c r="J3771" s="73"/>
    </row>
    <row r="3772" spans="2:10">
      <c r="B3772" s="73"/>
      <c r="C3772" s="73"/>
      <c r="D3772" s="73"/>
      <c r="E3772" s="73"/>
      <c r="F3772" s="73"/>
      <c r="G3772" s="73"/>
      <c r="H3772" s="73"/>
      <c r="I3772" s="73"/>
      <c r="J3772" s="73"/>
    </row>
    <row r="3773" spans="2:10">
      <c r="B3773" s="73"/>
      <c r="C3773" s="73"/>
      <c r="D3773" s="73"/>
      <c r="E3773" s="73"/>
      <c r="F3773" s="73"/>
      <c r="G3773" s="73"/>
      <c r="H3773" s="73"/>
      <c r="I3773" s="73"/>
      <c r="J3773" s="73"/>
    </row>
    <row r="3774" spans="2:10">
      <c r="B3774" s="73"/>
      <c r="C3774" s="73"/>
      <c r="D3774" s="73"/>
      <c r="E3774" s="73"/>
      <c r="F3774" s="73"/>
      <c r="G3774" s="73"/>
      <c r="H3774" s="73"/>
      <c r="I3774" s="73"/>
      <c r="J3774" s="73"/>
    </row>
    <row r="3775" spans="2:10">
      <c r="B3775" s="73"/>
      <c r="C3775" s="73"/>
      <c r="D3775" s="73"/>
      <c r="E3775" s="73"/>
      <c r="F3775" s="73"/>
      <c r="G3775" s="73"/>
      <c r="H3775" s="73"/>
      <c r="I3775" s="73"/>
      <c r="J3775" s="73"/>
    </row>
    <row r="3776" spans="2:10">
      <c r="B3776" s="73"/>
      <c r="C3776" s="73"/>
      <c r="D3776" s="73"/>
      <c r="E3776" s="73"/>
      <c r="F3776" s="73"/>
      <c r="G3776" s="73"/>
      <c r="H3776" s="73"/>
      <c r="I3776" s="73"/>
      <c r="J3776" s="73"/>
    </row>
    <row r="3777" spans="2:10">
      <c r="B3777" s="73"/>
      <c r="C3777" s="73"/>
      <c r="D3777" s="73"/>
      <c r="E3777" s="73"/>
      <c r="F3777" s="73"/>
      <c r="G3777" s="73"/>
      <c r="H3777" s="73"/>
      <c r="I3777" s="73"/>
      <c r="J3777" s="73"/>
    </row>
    <row r="3778" spans="2:10">
      <c r="B3778" s="73"/>
      <c r="C3778" s="73"/>
      <c r="D3778" s="73"/>
      <c r="E3778" s="73"/>
      <c r="F3778" s="73"/>
      <c r="G3778" s="73"/>
      <c r="H3778" s="73"/>
      <c r="I3778" s="73"/>
      <c r="J3778" s="73"/>
    </row>
    <row r="3779" spans="2:10">
      <c r="B3779" s="73"/>
      <c r="C3779" s="73"/>
      <c r="D3779" s="73"/>
      <c r="E3779" s="73"/>
      <c r="F3779" s="73"/>
      <c r="G3779" s="73"/>
      <c r="H3779" s="73"/>
      <c r="I3779" s="73"/>
      <c r="J3779" s="73"/>
    </row>
    <row r="3780" spans="2:10">
      <c r="B3780" s="73"/>
      <c r="C3780" s="73"/>
      <c r="D3780" s="73"/>
      <c r="E3780" s="73"/>
      <c r="F3780" s="73"/>
      <c r="G3780" s="73"/>
      <c r="H3780" s="73"/>
      <c r="I3780" s="73"/>
      <c r="J3780" s="73"/>
    </row>
    <row r="3781" spans="2:10">
      <c r="B3781" s="73"/>
      <c r="C3781" s="73"/>
      <c r="D3781" s="73"/>
      <c r="E3781" s="73"/>
      <c r="F3781" s="73"/>
      <c r="G3781" s="73"/>
      <c r="H3781" s="73"/>
      <c r="I3781" s="73"/>
      <c r="J3781" s="73"/>
    </row>
    <row r="3782" spans="2:10">
      <c r="B3782" s="73"/>
      <c r="C3782" s="73"/>
      <c r="D3782" s="73"/>
      <c r="E3782" s="73"/>
      <c r="F3782" s="73"/>
      <c r="G3782" s="73"/>
      <c r="H3782" s="73"/>
      <c r="I3782" s="73"/>
      <c r="J3782" s="73"/>
    </row>
    <row r="3783" spans="2:10">
      <c r="B3783" s="73"/>
      <c r="C3783" s="73"/>
      <c r="D3783" s="73"/>
      <c r="E3783" s="73"/>
      <c r="F3783" s="73"/>
      <c r="G3783" s="73"/>
      <c r="H3783" s="73"/>
      <c r="I3783" s="73"/>
      <c r="J3783" s="73"/>
    </row>
    <row r="3784" spans="2:10">
      <c r="B3784" s="73"/>
      <c r="C3784" s="73"/>
      <c r="D3784" s="73"/>
      <c r="E3784" s="73"/>
      <c r="F3784" s="73"/>
      <c r="G3784" s="73"/>
      <c r="H3784" s="73"/>
      <c r="I3784" s="73"/>
      <c r="J3784" s="73"/>
    </row>
    <row r="3785" spans="2:10">
      <c r="B3785" s="73"/>
      <c r="C3785" s="73"/>
      <c r="D3785" s="73"/>
      <c r="E3785" s="73"/>
      <c r="F3785" s="73"/>
      <c r="G3785" s="73"/>
      <c r="H3785" s="73"/>
      <c r="I3785" s="73"/>
      <c r="J3785" s="73"/>
    </row>
    <row r="3786" spans="2:10">
      <c r="B3786" s="73"/>
      <c r="C3786" s="73"/>
      <c r="D3786" s="73"/>
      <c r="E3786" s="73"/>
      <c r="F3786" s="73"/>
      <c r="G3786" s="73"/>
      <c r="H3786" s="73"/>
      <c r="I3786" s="73"/>
      <c r="J3786" s="73"/>
    </row>
    <row r="3787" spans="2:10">
      <c r="B3787" s="73"/>
      <c r="C3787" s="73"/>
      <c r="D3787" s="73"/>
      <c r="E3787" s="73"/>
      <c r="F3787" s="73"/>
      <c r="G3787" s="73"/>
      <c r="H3787" s="73"/>
      <c r="I3787" s="73"/>
      <c r="J3787" s="73"/>
    </row>
    <row r="3788" spans="2:10">
      <c r="B3788" s="73"/>
      <c r="C3788" s="73"/>
      <c r="D3788" s="73"/>
      <c r="E3788" s="73"/>
      <c r="F3788" s="73"/>
      <c r="G3788" s="73"/>
      <c r="H3788" s="73"/>
      <c r="I3788" s="73"/>
      <c r="J3788" s="73"/>
    </row>
    <row r="3789" spans="2:10">
      <c r="B3789" s="73"/>
      <c r="C3789" s="73"/>
      <c r="D3789" s="73"/>
      <c r="E3789" s="73"/>
      <c r="F3789" s="73"/>
      <c r="G3789" s="73"/>
      <c r="H3789" s="73"/>
      <c r="I3789" s="73"/>
      <c r="J3789" s="73"/>
    </row>
    <row r="3790" spans="2:10">
      <c r="B3790" s="73"/>
      <c r="C3790" s="73"/>
      <c r="D3790" s="73"/>
      <c r="E3790" s="73"/>
      <c r="F3790" s="73"/>
      <c r="G3790" s="73"/>
      <c r="H3790" s="73"/>
      <c r="I3790" s="73"/>
      <c r="J3790" s="73"/>
    </row>
    <row r="3791" spans="2:10">
      <c r="B3791" s="73"/>
      <c r="C3791" s="73"/>
      <c r="D3791" s="73"/>
      <c r="E3791" s="73"/>
      <c r="F3791" s="73"/>
      <c r="G3791" s="73"/>
      <c r="H3791" s="73"/>
      <c r="I3791" s="73"/>
      <c r="J3791" s="73"/>
    </row>
    <row r="3792" spans="2:10">
      <c r="B3792" s="73"/>
      <c r="C3792" s="73"/>
      <c r="D3792" s="73"/>
      <c r="E3792" s="73"/>
      <c r="F3792" s="73"/>
      <c r="G3792" s="73"/>
      <c r="H3792" s="73"/>
      <c r="I3792" s="73"/>
      <c r="J3792" s="73"/>
    </row>
    <row r="3793" spans="2:10">
      <c r="B3793" s="73"/>
      <c r="C3793" s="73"/>
      <c r="D3793" s="73"/>
      <c r="E3793" s="73"/>
      <c r="F3793" s="73"/>
      <c r="G3793" s="73"/>
      <c r="H3793" s="73"/>
      <c r="I3793" s="73"/>
      <c r="J3793" s="73"/>
    </row>
    <row r="3794" spans="2:10">
      <c r="B3794" s="73"/>
      <c r="C3794" s="73"/>
      <c r="D3794" s="73"/>
      <c r="E3794" s="73"/>
      <c r="F3794" s="73"/>
      <c r="G3794" s="73"/>
      <c r="H3794" s="73"/>
      <c r="I3794" s="73"/>
      <c r="J3794" s="73"/>
    </row>
    <row r="3795" spans="2:10">
      <c r="B3795" s="73"/>
      <c r="C3795" s="73"/>
      <c r="D3795" s="73"/>
      <c r="E3795" s="73"/>
      <c r="F3795" s="73"/>
      <c r="G3795" s="73"/>
      <c r="H3795" s="73"/>
      <c r="I3795" s="73"/>
      <c r="J3795" s="73"/>
    </row>
    <row r="3796" spans="2:10">
      <c r="B3796" s="73"/>
      <c r="C3796" s="73"/>
      <c r="D3796" s="73"/>
      <c r="E3796" s="73"/>
      <c r="F3796" s="73"/>
      <c r="G3796" s="73"/>
      <c r="H3796" s="73"/>
      <c r="I3796" s="73"/>
      <c r="J3796" s="73"/>
    </row>
    <row r="3797" spans="2:10">
      <c r="B3797" s="73"/>
      <c r="C3797" s="73"/>
      <c r="D3797" s="73"/>
      <c r="E3797" s="73"/>
      <c r="F3797" s="73"/>
      <c r="G3797" s="73"/>
      <c r="H3797" s="73"/>
      <c r="I3797" s="73"/>
      <c r="J3797" s="73"/>
    </row>
    <row r="3798" spans="2:10">
      <c r="B3798" s="73"/>
      <c r="C3798" s="73"/>
      <c r="D3798" s="73"/>
      <c r="E3798" s="73"/>
      <c r="F3798" s="73"/>
      <c r="G3798" s="73"/>
      <c r="H3798" s="73"/>
      <c r="I3798" s="73"/>
      <c r="J3798" s="73"/>
    </row>
    <row r="3799" spans="2:10">
      <c r="B3799" s="73"/>
      <c r="C3799" s="73"/>
      <c r="D3799" s="73"/>
      <c r="E3799" s="73"/>
      <c r="F3799" s="73"/>
      <c r="G3799" s="73"/>
      <c r="H3799" s="73"/>
      <c r="I3799" s="73"/>
      <c r="J3799" s="73"/>
    </row>
    <row r="3800" spans="2:10">
      <c r="B3800" s="73"/>
      <c r="C3800" s="73"/>
      <c r="D3800" s="73"/>
      <c r="E3800" s="73"/>
      <c r="F3800" s="73"/>
      <c r="G3800" s="73"/>
      <c r="H3800" s="73"/>
      <c r="I3800" s="73"/>
      <c r="J3800" s="73"/>
    </row>
    <row r="3801" spans="2:10">
      <c r="B3801" s="73"/>
      <c r="C3801" s="73"/>
      <c r="D3801" s="73"/>
      <c r="E3801" s="73"/>
      <c r="F3801" s="73"/>
      <c r="G3801" s="73"/>
      <c r="H3801" s="73"/>
      <c r="I3801" s="73"/>
      <c r="J3801" s="73"/>
    </row>
    <row r="3802" spans="2:10">
      <c r="B3802" s="73"/>
      <c r="C3802" s="73"/>
      <c r="D3802" s="73"/>
      <c r="E3802" s="73"/>
      <c r="F3802" s="73"/>
      <c r="G3802" s="73"/>
      <c r="H3802" s="73"/>
      <c r="I3802" s="73"/>
      <c r="J3802" s="73"/>
    </row>
    <row r="3803" spans="2:10">
      <c r="B3803" s="73"/>
      <c r="C3803" s="73"/>
      <c r="D3803" s="73"/>
      <c r="E3803" s="73"/>
      <c r="F3803" s="73"/>
      <c r="G3803" s="73"/>
      <c r="H3803" s="73"/>
      <c r="I3803" s="73"/>
      <c r="J3803" s="73"/>
    </row>
    <row r="3804" spans="2:10">
      <c r="B3804" s="73"/>
      <c r="C3804" s="73"/>
      <c r="D3804" s="73"/>
      <c r="E3804" s="73"/>
      <c r="F3804" s="73"/>
      <c r="G3804" s="73"/>
      <c r="H3804" s="73"/>
      <c r="I3804" s="73"/>
      <c r="J3804" s="73"/>
    </row>
    <row r="3805" spans="2:10">
      <c r="B3805" s="73"/>
      <c r="C3805" s="73"/>
      <c r="D3805" s="73"/>
      <c r="E3805" s="73"/>
      <c r="F3805" s="73"/>
      <c r="G3805" s="73"/>
      <c r="H3805" s="73"/>
      <c r="I3805" s="73"/>
      <c r="J3805" s="73"/>
    </row>
    <row r="3806" spans="2:10">
      <c r="B3806" s="73"/>
      <c r="C3806" s="73"/>
      <c r="D3806" s="73"/>
      <c r="E3806" s="73"/>
      <c r="F3806" s="73"/>
      <c r="G3806" s="73"/>
      <c r="H3806" s="73"/>
      <c r="I3806" s="73"/>
      <c r="J3806" s="73"/>
    </row>
    <row r="3807" spans="2:10">
      <c r="B3807" s="73"/>
      <c r="C3807" s="73"/>
      <c r="D3807" s="73"/>
      <c r="E3807" s="73"/>
      <c r="F3807" s="73"/>
      <c r="G3807" s="73"/>
      <c r="H3807" s="73"/>
      <c r="I3807" s="73"/>
      <c r="J3807" s="73"/>
    </row>
    <row r="3808" spans="2:10">
      <c r="B3808" s="73"/>
      <c r="C3808" s="73"/>
      <c r="D3808" s="73"/>
      <c r="E3808" s="73"/>
      <c r="F3808" s="73"/>
      <c r="G3808" s="73"/>
      <c r="H3808" s="73"/>
      <c r="I3808" s="73"/>
      <c r="J3808" s="73"/>
    </row>
    <row r="3809" spans="2:10">
      <c r="B3809" s="73"/>
      <c r="C3809" s="73"/>
      <c r="D3809" s="73"/>
      <c r="E3809" s="73"/>
      <c r="F3809" s="73"/>
      <c r="G3809" s="73"/>
      <c r="H3809" s="73"/>
      <c r="I3809" s="73"/>
      <c r="J3809" s="73"/>
    </row>
    <row r="3810" spans="2:10">
      <c r="B3810" s="73"/>
      <c r="C3810" s="73"/>
      <c r="D3810" s="73"/>
      <c r="E3810" s="73"/>
      <c r="F3810" s="73"/>
      <c r="G3810" s="73"/>
      <c r="H3810" s="73"/>
      <c r="I3810" s="73"/>
      <c r="J3810" s="73"/>
    </row>
    <row r="3811" spans="2:10">
      <c r="B3811" s="73"/>
      <c r="C3811" s="73"/>
      <c r="D3811" s="73"/>
      <c r="E3811" s="73"/>
      <c r="F3811" s="73"/>
      <c r="G3811" s="73"/>
      <c r="H3811" s="73"/>
      <c r="I3811" s="73"/>
      <c r="J3811" s="73"/>
    </row>
    <row r="3812" spans="2:10">
      <c r="B3812" s="73"/>
      <c r="C3812" s="73"/>
      <c r="D3812" s="73"/>
      <c r="E3812" s="73"/>
      <c r="F3812" s="73"/>
      <c r="G3812" s="73"/>
      <c r="H3812" s="73"/>
      <c r="I3812" s="73"/>
      <c r="J3812" s="73"/>
    </row>
    <row r="3813" spans="2:10">
      <c r="B3813" s="73"/>
      <c r="C3813" s="73"/>
      <c r="D3813" s="73"/>
      <c r="E3813" s="73"/>
      <c r="F3813" s="73"/>
      <c r="G3813" s="73"/>
      <c r="H3813" s="73"/>
      <c r="I3813" s="73"/>
      <c r="J3813" s="73"/>
    </row>
    <row r="3814" spans="2:10">
      <c r="B3814" s="73"/>
      <c r="C3814" s="73"/>
      <c r="D3814" s="73"/>
      <c r="E3814" s="73"/>
      <c r="F3814" s="73"/>
      <c r="G3814" s="73"/>
      <c r="H3814" s="73"/>
      <c r="I3814" s="73"/>
      <c r="J3814" s="73"/>
    </row>
    <row r="3815" spans="2:10">
      <c r="B3815" s="73"/>
      <c r="C3815" s="73"/>
      <c r="D3815" s="73"/>
      <c r="E3815" s="73"/>
      <c r="F3815" s="73"/>
      <c r="G3815" s="73"/>
      <c r="H3815" s="73"/>
      <c r="I3815" s="73"/>
      <c r="J3815" s="73"/>
    </row>
    <row r="3816" spans="2:10">
      <c r="B3816" s="73"/>
      <c r="C3816" s="73"/>
      <c r="D3816" s="73"/>
      <c r="E3816" s="73"/>
      <c r="F3816" s="73"/>
      <c r="G3816" s="73"/>
      <c r="H3816" s="73"/>
      <c r="I3816" s="73"/>
      <c r="J3816" s="73"/>
    </row>
    <row r="3817" spans="2:10">
      <c r="B3817" s="73"/>
      <c r="C3817" s="73"/>
      <c r="D3817" s="73"/>
      <c r="E3817" s="73"/>
      <c r="F3817" s="73"/>
      <c r="G3817" s="73"/>
      <c r="H3817" s="73"/>
      <c r="I3817" s="73"/>
      <c r="J3817" s="73"/>
    </row>
    <row r="3818" spans="2:10">
      <c r="B3818" s="73"/>
      <c r="C3818" s="73"/>
      <c r="D3818" s="73"/>
      <c r="E3818" s="73"/>
      <c r="F3818" s="73"/>
      <c r="G3818" s="73"/>
      <c r="H3818" s="73"/>
      <c r="I3818" s="73"/>
      <c r="J3818" s="73"/>
    </row>
    <row r="3819" spans="2:10">
      <c r="B3819" s="73"/>
      <c r="C3819" s="73"/>
      <c r="D3819" s="73"/>
      <c r="E3819" s="73"/>
      <c r="F3819" s="73"/>
      <c r="G3819" s="73"/>
      <c r="H3819" s="73"/>
      <c r="I3819" s="73"/>
      <c r="J3819" s="73"/>
    </row>
    <row r="3820" spans="2:10">
      <c r="B3820" s="73"/>
      <c r="C3820" s="73"/>
      <c r="D3820" s="73"/>
      <c r="E3820" s="73"/>
      <c r="F3820" s="73"/>
      <c r="G3820" s="73"/>
      <c r="H3820" s="73"/>
      <c r="I3820" s="73"/>
      <c r="J3820" s="73"/>
    </row>
    <row r="3821" spans="2:10">
      <c r="B3821" s="73"/>
      <c r="C3821" s="73"/>
      <c r="D3821" s="73"/>
      <c r="E3821" s="73"/>
      <c r="F3821" s="73"/>
      <c r="G3821" s="73"/>
      <c r="H3821" s="73"/>
      <c r="I3821" s="73"/>
      <c r="J3821" s="73"/>
    </row>
    <row r="3822" spans="2:10">
      <c r="B3822" s="73"/>
      <c r="C3822" s="73"/>
      <c r="D3822" s="73"/>
      <c r="E3822" s="73"/>
      <c r="F3822" s="73"/>
      <c r="G3822" s="73"/>
      <c r="H3822" s="73"/>
      <c r="I3822" s="73"/>
      <c r="J3822" s="73"/>
    </row>
    <row r="3823" spans="2:10">
      <c r="B3823" s="73"/>
      <c r="C3823" s="73"/>
      <c r="D3823" s="73"/>
      <c r="E3823" s="73"/>
      <c r="F3823" s="73"/>
      <c r="G3823" s="73"/>
      <c r="H3823" s="73"/>
      <c r="I3823" s="73"/>
      <c r="J3823" s="73"/>
    </row>
    <row r="3824" spans="2:10">
      <c r="B3824" s="73"/>
      <c r="C3824" s="73"/>
      <c r="D3824" s="73"/>
      <c r="E3824" s="73"/>
      <c r="F3824" s="73"/>
      <c r="G3824" s="73"/>
      <c r="H3824" s="73"/>
      <c r="I3824" s="73"/>
      <c r="J3824" s="73"/>
    </row>
    <row r="3825" spans="2:10">
      <c r="B3825" s="73"/>
      <c r="C3825" s="73"/>
      <c r="D3825" s="73"/>
      <c r="E3825" s="73"/>
      <c r="F3825" s="73"/>
      <c r="G3825" s="73"/>
      <c r="H3825" s="73"/>
      <c r="I3825" s="73"/>
      <c r="J3825" s="73"/>
    </row>
    <row r="3826" spans="2:10">
      <c r="B3826" s="73"/>
      <c r="C3826" s="73"/>
      <c r="D3826" s="73"/>
      <c r="E3826" s="73"/>
      <c r="F3826" s="73"/>
      <c r="G3826" s="73"/>
      <c r="H3826" s="73"/>
      <c r="I3826" s="73"/>
      <c r="J3826" s="73"/>
    </row>
    <row r="3827" spans="2:10">
      <c r="B3827" s="73"/>
      <c r="C3827" s="73"/>
      <c r="D3827" s="73"/>
      <c r="E3827" s="73"/>
      <c r="F3827" s="73"/>
      <c r="G3827" s="73"/>
      <c r="H3827" s="73"/>
      <c r="I3827" s="73"/>
      <c r="J3827" s="73"/>
    </row>
    <row r="3828" spans="2:10">
      <c r="B3828" s="73"/>
      <c r="C3828" s="73"/>
      <c r="D3828" s="73"/>
      <c r="E3828" s="73"/>
      <c r="F3828" s="73"/>
      <c r="G3828" s="73"/>
      <c r="H3828" s="73"/>
      <c r="I3828" s="73"/>
      <c r="J3828" s="73"/>
    </row>
    <row r="3829" spans="2:10">
      <c r="B3829" s="73"/>
      <c r="C3829" s="73"/>
      <c r="D3829" s="73"/>
      <c r="E3829" s="73"/>
      <c r="F3829" s="73"/>
      <c r="G3829" s="73"/>
      <c r="H3829" s="73"/>
      <c r="I3829" s="73"/>
      <c r="J3829" s="73"/>
    </row>
    <row r="3830" spans="2:10">
      <c r="B3830" s="73"/>
      <c r="C3830" s="73"/>
      <c r="D3830" s="73"/>
      <c r="E3830" s="73"/>
      <c r="F3830" s="73"/>
      <c r="G3830" s="73"/>
      <c r="H3830" s="73"/>
      <c r="I3830" s="73"/>
      <c r="J3830" s="73"/>
    </row>
    <row r="3831" spans="2:10">
      <c r="B3831" s="73"/>
      <c r="C3831" s="73"/>
      <c r="D3831" s="73"/>
      <c r="E3831" s="73"/>
      <c r="F3831" s="73"/>
      <c r="G3831" s="73"/>
      <c r="H3831" s="73"/>
      <c r="I3831" s="73"/>
      <c r="J3831" s="73"/>
    </row>
    <row r="3832" spans="2:10">
      <c r="B3832" s="73"/>
      <c r="C3832" s="73"/>
      <c r="D3832" s="73"/>
      <c r="E3832" s="73"/>
      <c r="F3832" s="73"/>
      <c r="G3832" s="73"/>
      <c r="H3832" s="73"/>
      <c r="I3832" s="73"/>
      <c r="J3832" s="73"/>
    </row>
    <row r="3833" spans="2:10">
      <c r="B3833" s="73"/>
      <c r="C3833" s="73"/>
      <c r="D3833" s="73"/>
      <c r="E3833" s="73"/>
      <c r="F3833" s="73"/>
      <c r="G3833" s="73"/>
      <c r="H3833" s="73"/>
      <c r="I3833" s="73"/>
      <c r="J3833" s="73"/>
    </row>
    <row r="3834" spans="2:10">
      <c r="B3834" s="73"/>
      <c r="C3834" s="73"/>
      <c r="D3834" s="73"/>
      <c r="E3834" s="73"/>
      <c r="F3834" s="73"/>
      <c r="G3834" s="73"/>
      <c r="H3834" s="73"/>
      <c r="I3834" s="73"/>
      <c r="J3834" s="73"/>
    </row>
    <row r="3835" spans="2:10">
      <c r="B3835" s="73"/>
      <c r="C3835" s="73"/>
      <c r="D3835" s="73"/>
      <c r="E3835" s="73"/>
      <c r="F3835" s="73"/>
      <c r="G3835" s="73"/>
      <c r="H3835" s="73"/>
      <c r="I3835" s="73"/>
      <c r="J3835" s="73"/>
    </row>
    <row r="3836" spans="2:10">
      <c r="B3836" s="73"/>
      <c r="C3836" s="73"/>
      <c r="D3836" s="73"/>
      <c r="E3836" s="73"/>
      <c r="F3836" s="73"/>
      <c r="G3836" s="73"/>
      <c r="H3836" s="73"/>
      <c r="I3836" s="73"/>
      <c r="J3836" s="73"/>
    </row>
    <row r="3837" spans="2:10">
      <c r="B3837" s="73"/>
      <c r="C3837" s="73"/>
      <c r="D3837" s="73"/>
      <c r="E3837" s="73"/>
      <c r="F3837" s="73"/>
      <c r="G3837" s="73"/>
      <c r="H3837" s="73"/>
      <c r="I3837" s="73"/>
      <c r="J3837" s="73"/>
    </row>
    <row r="3838" spans="2:10">
      <c r="B3838" s="73"/>
      <c r="C3838" s="73"/>
      <c r="D3838" s="73"/>
      <c r="E3838" s="73"/>
      <c r="F3838" s="73"/>
      <c r="G3838" s="73"/>
      <c r="H3838" s="73"/>
      <c r="I3838" s="73"/>
      <c r="J3838" s="73"/>
    </row>
    <row r="3839" spans="2:10">
      <c r="B3839" s="73"/>
      <c r="C3839" s="73"/>
      <c r="D3839" s="73"/>
      <c r="E3839" s="73"/>
      <c r="F3839" s="73"/>
      <c r="G3839" s="73"/>
      <c r="H3839" s="73"/>
      <c r="I3839" s="73"/>
      <c r="J3839" s="73"/>
    </row>
    <row r="3840" spans="2:10">
      <c r="B3840" s="73"/>
      <c r="C3840" s="73"/>
      <c r="D3840" s="73"/>
      <c r="E3840" s="73"/>
      <c r="F3840" s="73"/>
      <c r="G3840" s="73"/>
      <c r="H3840" s="73"/>
      <c r="I3840" s="73"/>
      <c r="J3840" s="73"/>
    </row>
    <row r="3841" spans="2:10">
      <c r="B3841" s="73"/>
      <c r="C3841" s="73"/>
      <c r="D3841" s="73"/>
      <c r="E3841" s="73"/>
      <c r="F3841" s="73"/>
      <c r="G3841" s="73"/>
      <c r="H3841" s="73"/>
      <c r="I3841" s="73"/>
      <c r="J3841" s="73"/>
    </row>
    <row r="3842" spans="2:10">
      <c r="B3842" s="73"/>
      <c r="C3842" s="73"/>
      <c r="D3842" s="73"/>
      <c r="E3842" s="73"/>
      <c r="F3842" s="73"/>
      <c r="G3842" s="73"/>
      <c r="H3842" s="73"/>
      <c r="I3842" s="73"/>
      <c r="J3842" s="73"/>
    </row>
    <row r="3843" spans="2:10">
      <c r="B3843" s="73"/>
      <c r="C3843" s="73"/>
      <c r="D3843" s="73"/>
      <c r="E3843" s="73"/>
      <c r="F3843" s="73"/>
      <c r="G3843" s="73"/>
      <c r="H3843" s="73"/>
      <c r="I3843" s="73"/>
      <c r="J3843" s="73"/>
    </row>
    <row r="3844" spans="2:10">
      <c r="B3844" s="73"/>
      <c r="C3844" s="73"/>
      <c r="D3844" s="73"/>
      <c r="E3844" s="73"/>
      <c r="F3844" s="73"/>
      <c r="G3844" s="73"/>
      <c r="H3844" s="73"/>
      <c r="I3844" s="73"/>
      <c r="J3844" s="73"/>
    </row>
    <row r="3845" spans="2:10">
      <c r="B3845" s="73"/>
      <c r="C3845" s="73"/>
      <c r="D3845" s="73"/>
      <c r="E3845" s="73"/>
      <c r="F3845" s="73"/>
      <c r="G3845" s="73"/>
      <c r="H3845" s="73"/>
      <c r="I3845" s="73"/>
      <c r="J3845" s="73"/>
    </row>
    <row r="3846" spans="2:10">
      <c r="B3846" s="73"/>
      <c r="C3846" s="73"/>
      <c r="D3846" s="73"/>
      <c r="E3846" s="73"/>
      <c r="F3846" s="73"/>
      <c r="G3846" s="73"/>
      <c r="H3846" s="73"/>
      <c r="I3846" s="73"/>
      <c r="J3846" s="73"/>
    </row>
    <row r="3847" spans="2:10">
      <c r="B3847" s="73"/>
      <c r="C3847" s="73"/>
      <c r="D3847" s="73"/>
      <c r="E3847" s="73"/>
      <c r="F3847" s="73"/>
      <c r="G3847" s="73"/>
      <c r="H3847" s="73"/>
      <c r="I3847" s="73"/>
      <c r="J3847" s="73"/>
    </row>
    <row r="3848" spans="2:10">
      <c r="B3848" s="73"/>
      <c r="C3848" s="73"/>
      <c r="D3848" s="73"/>
      <c r="E3848" s="73"/>
      <c r="F3848" s="73"/>
      <c r="G3848" s="73"/>
      <c r="H3848" s="73"/>
      <c r="I3848" s="73"/>
      <c r="J3848" s="73"/>
    </row>
    <row r="3849" spans="2:10">
      <c r="B3849" s="73"/>
      <c r="C3849" s="73"/>
      <c r="D3849" s="73"/>
      <c r="E3849" s="73"/>
      <c r="F3849" s="73"/>
      <c r="G3849" s="73"/>
      <c r="H3849" s="73"/>
      <c r="I3849" s="73"/>
      <c r="J3849" s="73"/>
    </row>
    <row r="3850" spans="2:10">
      <c r="B3850" s="73"/>
      <c r="C3850" s="73"/>
      <c r="D3850" s="73"/>
      <c r="E3850" s="73"/>
      <c r="F3850" s="73"/>
      <c r="G3850" s="73"/>
      <c r="H3850" s="73"/>
      <c r="I3850" s="73"/>
      <c r="J3850" s="73"/>
    </row>
    <row r="3851" spans="2:10">
      <c r="B3851" s="73"/>
      <c r="C3851" s="73"/>
      <c r="D3851" s="73"/>
      <c r="E3851" s="73"/>
      <c r="F3851" s="73"/>
      <c r="G3851" s="73"/>
      <c r="H3851" s="73"/>
      <c r="I3851" s="73"/>
      <c r="J3851" s="73"/>
    </row>
    <row r="3852" spans="2:10">
      <c r="B3852" s="73"/>
      <c r="C3852" s="73"/>
      <c r="D3852" s="73"/>
      <c r="E3852" s="73"/>
      <c r="F3852" s="73"/>
      <c r="G3852" s="73"/>
      <c r="H3852" s="73"/>
      <c r="I3852" s="73"/>
      <c r="J3852" s="73"/>
    </row>
    <row r="3853" spans="2:10">
      <c r="B3853" s="73"/>
      <c r="C3853" s="73"/>
      <c r="D3853" s="73"/>
      <c r="E3853" s="73"/>
      <c r="F3853" s="73"/>
      <c r="G3853" s="73"/>
      <c r="H3853" s="73"/>
      <c r="I3853" s="73"/>
      <c r="J3853" s="73"/>
    </row>
    <row r="3854" spans="2:10">
      <c r="B3854" s="73"/>
      <c r="C3854" s="73"/>
      <c r="D3854" s="73"/>
      <c r="E3854" s="73"/>
      <c r="F3854" s="73"/>
      <c r="G3854" s="73"/>
      <c r="H3854" s="73"/>
      <c r="I3854" s="73"/>
      <c r="J3854" s="73"/>
    </row>
    <row r="3855" spans="2:10">
      <c r="B3855" s="73"/>
      <c r="C3855" s="73"/>
      <c r="D3855" s="73"/>
      <c r="E3855" s="73"/>
      <c r="F3855" s="73"/>
      <c r="G3855" s="73"/>
      <c r="H3855" s="73"/>
      <c r="I3855" s="73"/>
      <c r="J3855" s="73"/>
    </row>
    <row r="3856" spans="2:10">
      <c r="B3856" s="73"/>
      <c r="C3856" s="73"/>
      <c r="D3856" s="73"/>
      <c r="E3856" s="73"/>
      <c r="F3856" s="73"/>
      <c r="G3856" s="73"/>
      <c r="H3856" s="73"/>
      <c r="I3856" s="73"/>
      <c r="J3856" s="73"/>
    </row>
    <row r="3857" spans="2:10">
      <c r="B3857" s="73"/>
      <c r="C3857" s="73"/>
      <c r="D3857" s="73"/>
      <c r="E3857" s="73"/>
      <c r="F3857" s="73"/>
      <c r="G3857" s="73"/>
      <c r="H3857" s="73"/>
      <c r="I3857" s="73"/>
      <c r="J3857" s="73"/>
    </row>
    <row r="3858" spans="2:10">
      <c r="B3858" s="73"/>
      <c r="C3858" s="73"/>
      <c r="D3858" s="73"/>
      <c r="E3858" s="73"/>
      <c r="F3858" s="73"/>
      <c r="G3858" s="73"/>
      <c r="H3858" s="73"/>
      <c r="I3858" s="73"/>
      <c r="J3858" s="73"/>
    </row>
    <row r="3859" spans="2:10">
      <c r="B3859" s="73"/>
      <c r="C3859" s="73"/>
      <c r="D3859" s="73"/>
      <c r="E3859" s="73"/>
      <c r="F3859" s="73"/>
      <c r="G3859" s="73"/>
      <c r="H3859" s="73"/>
      <c r="I3859" s="73"/>
      <c r="J3859" s="73"/>
    </row>
    <row r="3860" spans="2:10">
      <c r="B3860" s="73"/>
      <c r="C3860" s="73"/>
      <c r="D3860" s="73"/>
      <c r="E3860" s="73"/>
      <c r="F3860" s="73"/>
      <c r="G3860" s="73"/>
      <c r="H3860" s="73"/>
      <c r="I3860" s="73"/>
      <c r="J3860" s="73"/>
    </row>
    <row r="3861" spans="2:10">
      <c r="B3861" s="73"/>
      <c r="C3861" s="73"/>
      <c r="D3861" s="73"/>
      <c r="E3861" s="73"/>
      <c r="F3861" s="73"/>
      <c r="G3861" s="73"/>
      <c r="H3861" s="73"/>
      <c r="I3861" s="73"/>
      <c r="J3861" s="73"/>
    </row>
    <row r="3862" spans="2:10">
      <c r="B3862" s="73"/>
      <c r="C3862" s="73"/>
      <c r="D3862" s="73"/>
      <c r="E3862" s="73"/>
      <c r="F3862" s="73"/>
      <c r="G3862" s="73"/>
      <c r="H3862" s="73"/>
      <c r="I3862" s="73"/>
      <c r="J3862" s="73"/>
    </row>
    <row r="3863" spans="2:10">
      <c r="B3863" s="73"/>
      <c r="C3863" s="73"/>
      <c r="D3863" s="73"/>
      <c r="E3863" s="73"/>
      <c r="F3863" s="73"/>
      <c r="G3863" s="73"/>
      <c r="H3863" s="73"/>
      <c r="I3863" s="73"/>
      <c r="J3863" s="73"/>
    </row>
    <row r="3864" spans="2:10">
      <c r="B3864" s="73"/>
      <c r="C3864" s="73"/>
      <c r="D3864" s="73"/>
      <c r="E3864" s="73"/>
      <c r="F3864" s="73"/>
      <c r="G3864" s="73"/>
      <c r="H3864" s="73"/>
      <c r="I3864" s="73"/>
      <c r="J3864" s="73"/>
    </row>
    <row r="3865" spans="2:10">
      <c r="B3865" s="73"/>
      <c r="C3865" s="73"/>
      <c r="D3865" s="73"/>
      <c r="E3865" s="73"/>
      <c r="F3865" s="73"/>
      <c r="G3865" s="73"/>
      <c r="H3865" s="73"/>
      <c r="I3865" s="73"/>
      <c r="J3865" s="73"/>
    </row>
    <row r="3866" spans="2:10">
      <c r="B3866" s="73"/>
      <c r="C3866" s="73"/>
      <c r="D3866" s="73"/>
      <c r="E3866" s="73"/>
      <c r="F3866" s="73"/>
      <c r="G3866" s="73"/>
      <c r="H3866" s="73"/>
      <c r="I3866" s="73"/>
      <c r="J3866" s="73"/>
    </row>
    <row r="3867" spans="2:10">
      <c r="B3867" s="73"/>
      <c r="C3867" s="73"/>
      <c r="D3867" s="73"/>
      <c r="E3867" s="73"/>
      <c r="F3867" s="73"/>
      <c r="G3867" s="73"/>
      <c r="H3867" s="73"/>
      <c r="I3867" s="73"/>
      <c r="J3867" s="73"/>
    </row>
    <row r="3868" spans="2:10">
      <c r="B3868" s="73"/>
      <c r="C3868" s="73"/>
      <c r="D3868" s="73"/>
      <c r="E3868" s="73"/>
      <c r="F3868" s="73"/>
      <c r="G3868" s="73"/>
      <c r="H3868" s="73"/>
      <c r="I3868" s="73"/>
      <c r="J3868" s="73"/>
    </row>
    <row r="3869" spans="2:10">
      <c r="B3869" s="73"/>
      <c r="C3869" s="73"/>
      <c r="D3869" s="73"/>
      <c r="E3869" s="73"/>
      <c r="F3869" s="73"/>
      <c r="G3869" s="73"/>
      <c r="H3869" s="73"/>
      <c r="I3869" s="73"/>
      <c r="J3869" s="73"/>
    </row>
    <row r="3870" spans="2:10">
      <c r="B3870" s="73"/>
      <c r="C3870" s="73"/>
      <c r="D3870" s="73"/>
      <c r="E3870" s="73"/>
      <c r="F3870" s="73"/>
      <c r="G3870" s="73"/>
      <c r="H3870" s="73"/>
      <c r="I3870" s="73"/>
      <c r="J3870" s="73"/>
    </row>
    <row r="3871" spans="2:10">
      <c r="B3871" s="73"/>
      <c r="C3871" s="73"/>
      <c r="D3871" s="73"/>
      <c r="E3871" s="73"/>
      <c r="F3871" s="73"/>
      <c r="G3871" s="73"/>
      <c r="H3871" s="73"/>
      <c r="I3871" s="73"/>
      <c r="J3871" s="73"/>
    </row>
    <row r="3872" spans="2:10">
      <c r="B3872" s="73"/>
      <c r="C3872" s="73"/>
      <c r="D3872" s="73"/>
      <c r="E3872" s="73"/>
      <c r="F3872" s="73"/>
      <c r="G3872" s="73"/>
      <c r="H3872" s="73"/>
      <c r="I3872" s="73"/>
      <c r="J3872" s="73"/>
    </row>
    <row r="3873" spans="2:10">
      <c r="B3873" s="73"/>
      <c r="C3873" s="73"/>
      <c r="D3873" s="73"/>
      <c r="E3873" s="73"/>
      <c r="F3873" s="73"/>
      <c r="G3873" s="73"/>
      <c r="H3873" s="73"/>
      <c r="I3873" s="73"/>
      <c r="J3873" s="73"/>
    </row>
    <row r="3874" spans="2:10">
      <c r="B3874" s="73"/>
      <c r="C3874" s="73"/>
      <c r="D3874" s="73"/>
      <c r="E3874" s="73"/>
      <c r="F3874" s="73"/>
      <c r="G3874" s="73"/>
      <c r="H3874" s="73"/>
      <c r="I3874" s="73"/>
      <c r="J3874" s="73"/>
    </row>
    <row r="3875" spans="2:10">
      <c r="B3875" s="73"/>
      <c r="C3875" s="73"/>
      <c r="D3875" s="73"/>
      <c r="E3875" s="73"/>
      <c r="F3875" s="73"/>
      <c r="G3875" s="73"/>
      <c r="H3875" s="73"/>
      <c r="I3875" s="73"/>
      <c r="J3875" s="73"/>
    </row>
    <row r="3876" spans="2:10">
      <c r="B3876" s="73"/>
      <c r="C3876" s="73"/>
      <c r="D3876" s="73"/>
      <c r="E3876" s="73"/>
      <c r="F3876" s="73"/>
      <c r="G3876" s="73"/>
      <c r="H3876" s="73"/>
      <c r="I3876" s="73"/>
      <c r="J3876" s="73"/>
    </row>
    <row r="3877" spans="2:10">
      <c r="B3877" s="73"/>
      <c r="C3877" s="73"/>
      <c r="D3877" s="73"/>
      <c r="E3877" s="73"/>
      <c r="F3877" s="73"/>
      <c r="G3877" s="73"/>
      <c r="H3877" s="73"/>
      <c r="I3877" s="73"/>
      <c r="J3877" s="73"/>
    </row>
    <row r="3878" spans="2:10">
      <c r="B3878" s="73"/>
      <c r="C3878" s="73"/>
      <c r="D3878" s="73"/>
      <c r="E3878" s="73"/>
      <c r="F3878" s="73"/>
      <c r="G3878" s="73"/>
      <c r="H3878" s="73"/>
      <c r="I3878" s="73"/>
      <c r="J3878" s="73"/>
    </row>
    <row r="3879" spans="2:10">
      <c r="B3879" s="73"/>
      <c r="C3879" s="73"/>
      <c r="D3879" s="73"/>
      <c r="E3879" s="73"/>
      <c r="F3879" s="73"/>
      <c r="G3879" s="73"/>
      <c r="H3879" s="73"/>
      <c r="I3879" s="73"/>
      <c r="J3879" s="73"/>
    </row>
    <row r="3880" spans="2:10">
      <c r="B3880" s="73"/>
      <c r="C3880" s="73"/>
      <c r="D3880" s="73"/>
      <c r="E3880" s="73"/>
      <c r="F3880" s="73"/>
      <c r="G3880" s="73"/>
      <c r="H3880" s="73"/>
      <c r="I3880" s="73"/>
      <c r="J3880" s="73"/>
    </row>
    <row r="3881" spans="2:10">
      <c r="B3881" s="73"/>
      <c r="C3881" s="73"/>
      <c r="D3881" s="73"/>
      <c r="E3881" s="73"/>
      <c r="F3881" s="73"/>
      <c r="G3881" s="73"/>
      <c r="H3881" s="73"/>
      <c r="I3881" s="73"/>
      <c r="J3881" s="73"/>
    </row>
    <row r="3882" spans="2:10">
      <c r="B3882" s="73"/>
      <c r="C3882" s="73"/>
      <c r="D3882" s="73"/>
      <c r="E3882" s="73"/>
      <c r="F3882" s="73"/>
      <c r="G3882" s="73"/>
      <c r="H3882" s="73"/>
      <c r="I3882" s="73"/>
      <c r="J3882" s="73"/>
    </row>
    <row r="3883" spans="2:10">
      <c r="B3883" s="73"/>
      <c r="C3883" s="73"/>
      <c r="D3883" s="73"/>
      <c r="E3883" s="73"/>
      <c r="F3883" s="73"/>
      <c r="G3883" s="73"/>
      <c r="H3883" s="73"/>
      <c r="I3883" s="73"/>
      <c r="J3883" s="73"/>
    </row>
    <row r="3884" spans="2:10">
      <c r="B3884" s="73"/>
      <c r="C3884" s="73"/>
      <c r="D3884" s="73"/>
      <c r="E3884" s="73"/>
      <c r="F3884" s="73"/>
      <c r="G3884" s="73"/>
      <c r="H3884" s="73"/>
      <c r="I3884" s="73"/>
      <c r="J3884" s="73"/>
    </row>
    <row r="3885" spans="2:10">
      <c r="B3885" s="73"/>
      <c r="C3885" s="73"/>
      <c r="D3885" s="73"/>
      <c r="E3885" s="73"/>
      <c r="F3885" s="73"/>
      <c r="G3885" s="73"/>
      <c r="H3885" s="73"/>
      <c r="I3885" s="73"/>
      <c r="J3885" s="73"/>
    </row>
    <row r="3886" spans="2:10">
      <c r="B3886" s="73"/>
      <c r="C3886" s="73"/>
      <c r="D3886" s="73"/>
      <c r="E3886" s="73"/>
      <c r="F3886" s="73"/>
      <c r="G3886" s="73"/>
      <c r="H3886" s="73"/>
      <c r="I3886" s="73"/>
      <c r="J3886" s="73"/>
    </row>
    <row r="3887" spans="2:10">
      <c r="B3887" s="73"/>
      <c r="C3887" s="73"/>
      <c r="D3887" s="73"/>
      <c r="E3887" s="73"/>
      <c r="F3887" s="73"/>
      <c r="G3887" s="73"/>
      <c r="H3887" s="73"/>
      <c r="I3887" s="73"/>
      <c r="J3887" s="73"/>
    </row>
    <row r="3888" spans="2:10">
      <c r="B3888" s="73"/>
      <c r="C3888" s="73"/>
      <c r="D3888" s="73"/>
      <c r="E3888" s="73"/>
      <c r="F3888" s="73"/>
      <c r="G3888" s="73"/>
      <c r="H3888" s="73"/>
      <c r="I3888" s="73"/>
      <c r="J3888" s="73"/>
    </row>
    <row r="3889" spans="2:10">
      <c r="B3889" s="73"/>
      <c r="C3889" s="73"/>
      <c r="D3889" s="73"/>
      <c r="E3889" s="73"/>
      <c r="F3889" s="73"/>
      <c r="G3889" s="73"/>
      <c r="H3889" s="73"/>
      <c r="I3889" s="73"/>
      <c r="J3889" s="73"/>
    </row>
    <row r="3890" spans="2:10">
      <c r="B3890" s="73"/>
      <c r="C3890" s="73"/>
      <c r="D3890" s="73"/>
      <c r="E3890" s="73"/>
      <c r="F3890" s="73"/>
      <c r="G3890" s="73"/>
      <c r="H3890" s="73"/>
      <c r="I3890" s="73"/>
      <c r="J3890" s="73"/>
    </row>
    <row r="3891" spans="2:10">
      <c r="B3891" s="73"/>
      <c r="C3891" s="73"/>
      <c r="D3891" s="73"/>
      <c r="E3891" s="73"/>
      <c r="F3891" s="73"/>
      <c r="G3891" s="73"/>
      <c r="H3891" s="73"/>
      <c r="I3891" s="73"/>
      <c r="J3891" s="73"/>
    </row>
    <row r="3892" spans="2:10">
      <c r="B3892" s="73"/>
      <c r="C3892" s="73"/>
      <c r="D3892" s="73"/>
      <c r="E3892" s="73"/>
      <c r="F3892" s="73"/>
      <c r="G3892" s="73"/>
      <c r="H3892" s="73"/>
      <c r="I3892" s="73"/>
      <c r="J3892" s="73"/>
    </row>
    <row r="3893" spans="2:10">
      <c r="B3893" s="73"/>
      <c r="C3893" s="73"/>
      <c r="D3893" s="73"/>
      <c r="E3893" s="73"/>
      <c r="F3893" s="73"/>
      <c r="G3893" s="73"/>
      <c r="H3893" s="73"/>
      <c r="I3893" s="73"/>
      <c r="J3893" s="73"/>
    </row>
    <row r="3894" spans="2:10">
      <c r="B3894" s="73"/>
      <c r="C3894" s="73"/>
      <c r="D3894" s="73"/>
      <c r="E3894" s="73"/>
      <c r="F3894" s="73"/>
      <c r="G3894" s="73"/>
      <c r="H3894" s="73"/>
      <c r="I3894" s="73"/>
      <c r="J3894" s="73"/>
    </row>
    <row r="3895" spans="2:10">
      <c r="B3895" s="73"/>
      <c r="C3895" s="73"/>
      <c r="D3895" s="73"/>
      <c r="E3895" s="73"/>
      <c r="F3895" s="73"/>
      <c r="G3895" s="73"/>
      <c r="H3895" s="73"/>
      <c r="I3895" s="73"/>
      <c r="J3895" s="73"/>
    </row>
    <row r="3896" spans="2:10">
      <c r="B3896" s="73"/>
      <c r="C3896" s="73"/>
      <c r="D3896" s="73"/>
      <c r="E3896" s="73"/>
      <c r="F3896" s="73"/>
      <c r="G3896" s="73"/>
      <c r="H3896" s="73"/>
      <c r="I3896" s="73"/>
      <c r="J3896" s="73"/>
    </row>
    <row r="3897" spans="2:10">
      <c r="B3897" s="73"/>
      <c r="C3897" s="73"/>
      <c r="D3897" s="73"/>
      <c r="E3897" s="73"/>
      <c r="F3897" s="73"/>
      <c r="G3897" s="73"/>
      <c r="H3897" s="73"/>
      <c r="I3897" s="73"/>
      <c r="J3897" s="73"/>
    </row>
    <row r="3898" spans="2:10">
      <c r="B3898" s="73"/>
      <c r="C3898" s="73"/>
      <c r="D3898" s="73"/>
      <c r="E3898" s="73"/>
      <c r="F3898" s="73"/>
      <c r="G3898" s="73"/>
      <c r="H3898" s="73"/>
      <c r="I3898" s="73"/>
      <c r="J3898" s="73"/>
    </row>
    <row r="3899" spans="2:10">
      <c r="B3899" s="73"/>
      <c r="C3899" s="73"/>
      <c r="D3899" s="73"/>
      <c r="E3899" s="73"/>
      <c r="F3899" s="73"/>
      <c r="G3899" s="73"/>
      <c r="H3899" s="73"/>
      <c r="I3899" s="73"/>
      <c r="J3899" s="73"/>
    </row>
    <row r="3900" spans="2:10">
      <c r="B3900" s="73"/>
      <c r="C3900" s="73"/>
      <c r="D3900" s="73"/>
      <c r="E3900" s="73"/>
      <c r="F3900" s="73"/>
      <c r="G3900" s="73"/>
      <c r="H3900" s="73"/>
      <c r="I3900" s="73"/>
      <c r="J3900" s="73"/>
    </row>
    <row r="3901" spans="2:10">
      <c r="B3901" s="73"/>
      <c r="C3901" s="73"/>
      <c r="D3901" s="73"/>
      <c r="E3901" s="73"/>
      <c r="F3901" s="73"/>
      <c r="G3901" s="73"/>
      <c r="H3901" s="73"/>
      <c r="I3901" s="73"/>
      <c r="J3901" s="73"/>
    </row>
    <row r="3902" spans="2:10">
      <c r="B3902" s="73"/>
      <c r="C3902" s="73"/>
      <c r="D3902" s="73"/>
      <c r="E3902" s="73"/>
      <c r="F3902" s="73"/>
      <c r="G3902" s="73"/>
      <c r="H3902" s="73"/>
      <c r="I3902" s="73"/>
      <c r="J3902" s="73"/>
    </row>
    <row r="3903" spans="2:10">
      <c r="B3903" s="73"/>
      <c r="C3903" s="73"/>
      <c r="D3903" s="73"/>
      <c r="E3903" s="73"/>
      <c r="F3903" s="73"/>
      <c r="G3903" s="73"/>
      <c r="H3903" s="73"/>
      <c r="I3903" s="73"/>
      <c r="J3903" s="73"/>
    </row>
    <row r="3904" spans="2:10">
      <c r="B3904" s="73"/>
      <c r="C3904" s="73"/>
      <c r="D3904" s="73"/>
      <c r="E3904" s="73"/>
      <c r="F3904" s="73"/>
      <c r="G3904" s="73"/>
      <c r="H3904" s="73"/>
      <c r="I3904" s="73"/>
      <c r="J3904" s="73"/>
    </row>
    <row r="3905" spans="2:10">
      <c r="B3905" s="73"/>
      <c r="C3905" s="73"/>
      <c r="D3905" s="73"/>
      <c r="E3905" s="73"/>
      <c r="F3905" s="73"/>
      <c r="G3905" s="73"/>
      <c r="H3905" s="73"/>
      <c r="I3905" s="73"/>
      <c r="J3905" s="73"/>
    </row>
    <row r="3906" spans="2:10">
      <c r="B3906" s="73"/>
      <c r="C3906" s="73"/>
      <c r="D3906" s="73"/>
      <c r="E3906" s="73"/>
      <c r="F3906" s="73"/>
      <c r="G3906" s="73"/>
      <c r="H3906" s="73"/>
      <c r="I3906" s="73"/>
      <c r="J3906" s="73"/>
    </row>
    <row r="3907" spans="2:10">
      <c r="B3907" s="73"/>
      <c r="C3907" s="73"/>
      <c r="D3907" s="73"/>
      <c r="E3907" s="73"/>
      <c r="F3907" s="73"/>
      <c r="G3907" s="73"/>
      <c r="H3907" s="73"/>
      <c r="I3907" s="73"/>
      <c r="J3907" s="73"/>
    </row>
    <row r="3908" spans="2:10">
      <c r="B3908" s="73"/>
      <c r="C3908" s="73"/>
      <c r="D3908" s="73"/>
      <c r="E3908" s="73"/>
      <c r="F3908" s="73"/>
      <c r="G3908" s="73"/>
      <c r="H3908" s="73"/>
      <c r="I3908" s="73"/>
      <c r="J3908" s="73"/>
    </row>
    <row r="3909" spans="2:10">
      <c r="B3909" s="73"/>
      <c r="C3909" s="73"/>
      <c r="D3909" s="73"/>
      <c r="E3909" s="73"/>
      <c r="F3909" s="73"/>
      <c r="G3909" s="73"/>
      <c r="H3909" s="73"/>
      <c r="I3909" s="73"/>
      <c r="J3909" s="73"/>
    </row>
    <row r="3910" spans="2:10">
      <c r="B3910" s="73"/>
      <c r="C3910" s="73"/>
      <c r="D3910" s="73"/>
      <c r="E3910" s="73"/>
      <c r="F3910" s="73"/>
      <c r="G3910" s="73"/>
      <c r="H3910" s="73"/>
      <c r="I3910" s="73"/>
      <c r="J3910" s="73"/>
    </row>
    <row r="3911" spans="2:10">
      <c r="B3911" s="73"/>
      <c r="C3911" s="73"/>
      <c r="D3911" s="73"/>
      <c r="E3911" s="73"/>
      <c r="F3911" s="73"/>
      <c r="G3911" s="73"/>
      <c r="H3911" s="73"/>
      <c r="I3911" s="73"/>
      <c r="J3911" s="73"/>
    </row>
    <row r="3912" spans="2:10">
      <c r="B3912" s="73"/>
      <c r="C3912" s="73"/>
      <c r="D3912" s="73"/>
      <c r="E3912" s="73"/>
      <c r="F3912" s="73"/>
      <c r="G3912" s="73"/>
      <c r="H3912" s="73"/>
      <c r="I3912" s="73"/>
      <c r="J3912" s="73"/>
    </row>
    <row r="3913" spans="2:10">
      <c r="B3913" s="73"/>
      <c r="C3913" s="73"/>
      <c r="D3913" s="73"/>
      <c r="E3913" s="73"/>
      <c r="F3913" s="73"/>
      <c r="G3913" s="73"/>
      <c r="H3913" s="73"/>
      <c r="I3913" s="73"/>
      <c r="J3913" s="73"/>
    </row>
    <row r="3914" spans="2:10">
      <c r="B3914" s="73"/>
      <c r="C3914" s="73"/>
      <c r="D3914" s="73"/>
      <c r="E3914" s="73"/>
      <c r="F3914" s="73"/>
      <c r="G3914" s="73"/>
      <c r="H3914" s="73"/>
      <c r="I3914" s="73"/>
      <c r="J3914" s="73"/>
    </row>
    <row r="3915" spans="2:10">
      <c r="B3915" s="73"/>
      <c r="C3915" s="73"/>
      <c r="D3915" s="73"/>
      <c r="E3915" s="73"/>
      <c r="F3915" s="73"/>
      <c r="G3915" s="73"/>
      <c r="H3915" s="73"/>
      <c r="I3915" s="73"/>
      <c r="J3915" s="73"/>
    </row>
    <row r="3916" spans="2:10">
      <c r="B3916" s="73"/>
      <c r="C3916" s="73"/>
      <c r="D3916" s="73"/>
      <c r="E3916" s="73"/>
      <c r="F3916" s="73"/>
      <c r="G3916" s="73"/>
      <c r="H3916" s="73"/>
      <c r="I3916" s="73"/>
      <c r="J3916" s="73"/>
    </row>
    <row r="3917" spans="2:10">
      <c r="B3917" s="73"/>
      <c r="C3917" s="73"/>
      <c r="D3917" s="73"/>
      <c r="E3917" s="73"/>
      <c r="F3917" s="73"/>
      <c r="G3917" s="73"/>
      <c r="H3917" s="73"/>
      <c r="I3917" s="73"/>
      <c r="J3917" s="73"/>
    </row>
    <row r="3918" spans="2:10">
      <c r="B3918" s="73"/>
      <c r="C3918" s="73"/>
      <c r="D3918" s="73"/>
      <c r="E3918" s="73"/>
      <c r="F3918" s="73"/>
      <c r="G3918" s="73"/>
      <c r="H3918" s="73"/>
      <c r="I3918" s="73"/>
      <c r="J3918" s="73"/>
    </row>
    <row r="3919" spans="2:10">
      <c r="B3919" s="73"/>
      <c r="C3919" s="73"/>
      <c r="D3919" s="73"/>
      <c r="E3919" s="73"/>
      <c r="F3919" s="73"/>
      <c r="G3919" s="73"/>
      <c r="H3919" s="73"/>
      <c r="I3919" s="73"/>
      <c r="J3919" s="73"/>
    </row>
    <row r="3920" spans="2:10">
      <c r="B3920" s="73"/>
      <c r="C3920" s="73"/>
      <c r="D3920" s="73"/>
      <c r="E3920" s="73"/>
      <c r="F3920" s="73"/>
      <c r="G3920" s="73"/>
      <c r="H3920" s="73"/>
      <c r="I3920" s="73"/>
      <c r="J3920" s="73"/>
    </row>
    <row r="3921" spans="2:10">
      <c r="B3921" s="73"/>
      <c r="C3921" s="73"/>
      <c r="D3921" s="73"/>
      <c r="E3921" s="73"/>
      <c r="F3921" s="73"/>
      <c r="G3921" s="73"/>
      <c r="H3921" s="73"/>
      <c r="I3921" s="73"/>
      <c r="J3921" s="73"/>
    </row>
    <row r="3922" spans="2:10">
      <c r="B3922" s="73"/>
      <c r="C3922" s="73"/>
      <c r="D3922" s="73"/>
      <c r="E3922" s="73"/>
      <c r="F3922" s="73"/>
      <c r="G3922" s="73"/>
      <c r="H3922" s="73"/>
      <c r="I3922" s="73"/>
      <c r="J3922" s="73"/>
    </row>
    <row r="3923" spans="2:10">
      <c r="B3923" s="73"/>
      <c r="C3923" s="73"/>
      <c r="D3923" s="73"/>
      <c r="E3923" s="73"/>
      <c r="F3923" s="73"/>
      <c r="G3923" s="73"/>
      <c r="H3923" s="73"/>
      <c r="I3923" s="73"/>
      <c r="J3923" s="73"/>
    </row>
  </sheetData>
  <autoFilter ref="A11:P326">
    <filterColumn colId="0"/>
    <filterColumn colId="4"/>
    <filterColumn colId="5"/>
    <filterColumn colId="6"/>
    <filterColumn colId="7"/>
    <filterColumn colId="8"/>
    <filterColumn colId="9"/>
  </autoFilter>
  <mergeCells count="7">
    <mergeCell ref="A1:M1"/>
    <mergeCell ref="K4:M4"/>
    <mergeCell ref="A8:M8"/>
    <mergeCell ref="B9:C9"/>
    <mergeCell ref="B10:D10"/>
    <mergeCell ref="E10:G10"/>
    <mergeCell ref="H10:J10"/>
  </mergeCells>
  <conditionalFormatting sqref="K115:M116 M117:M123 K12:K114 K117:K327">
    <cfRule type="cellIs" dxfId="85" priority="145" stopIfTrue="1" operator="equal">
      <formula>"Pass"</formula>
    </cfRule>
    <cfRule type="cellIs" dxfId="84" priority="146" stopIfTrue="1" operator="equal">
      <formula>"Fail"</formula>
    </cfRule>
  </conditionalFormatting>
  <conditionalFormatting sqref="K328">
    <cfRule type="cellIs" dxfId="83" priority="23" stopIfTrue="1" operator="equal">
      <formula>"Pass"</formula>
    </cfRule>
    <cfRule type="cellIs" dxfId="82" priority="24" stopIfTrue="1" operator="equal">
      <formula>"Fail"</formula>
    </cfRule>
  </conditionalFormatting>
  <conditionalFormatting sqref="K329">
    <cfRule type="cellIs" dxfId="81" priority="21" stopIfTrue="1" operator="equal">
      <formula>"Pass"</formula>
    </cfRule>
    <cfRule type="cellIs" dxfId="80" priority="22" stopIfTrue="1" operator="equal">
      <formula>"Fail"</formula>
    </cfRule>
  </conditionalFormatting>
  <conditionalFormatting sqref="K330">
    <cfRule type="cellIs" dxfId="79" priority="19" stopIfTrue="1" operator="equal">
      <formula>"Pass"</formula>
    </cfRule>
    <cfRule type="cellIs" dxfId="78" priority="20" stopIfTrue="1" operator="equal">
      <formula>"Fail"</formula>
    </cfRule>
  </conditionalFormatting>
  <conditionalFormatting sqref="K331">
    <cfRule type="cellIs" dxfId="77" priority="17" stopIfTrue="1" operator="equal">
      <formula>"Pass"</formula>
    </cfRule>
    <cfRule type="cellIs" dxfId="76" priority="18" stopIfTrue="1" operator="equal">
      <formula>"Fail"</formula>
    </cfRule>
  </conditionalFormatting>
  <conditionalFormatting sqref="K332">
    <cfRule type="cellIs" dxfId="75" priority="15" stopIfTrue="1" operator="equal">
      <formula>"Pass"</formula>
    </cfRule>
    <cfRule type="cellIs" dxfId="74" priority="16" stopIfTrue="1" operator="equal">
      <formula>"Fail"</formula>
    </cfRule>
  </conditionalFormatting>
  <conditionalFormatting sqref="K333">
    <cfRule type="cellIs" dxfId="73" priority="13" stopIfTrue="1" operator="equal">
      <formula>"Pass"</formula>
    </cfRule>
    <cfRule type="cellIs" dxfId="72" priority="14" stopIfTrue="1" operator="equal">
      <formula>"Fail"</formula>
    </cfRule>
  </conditionalFormatting>
  <conditionalFormatting sqref="K334">
    <cfRule type="cellIs" dxfId="71" priority="11" stopIfTrue="1" operator="equal">
      <formula>"Pass"</formula>
    </cfRule>
    <cfRule type="cellIs" dxfId="70" priority="12" stopIfTrue="1" operator="equal">
      <formula>"Fail"</formula>
    </cfRule>
  </conditionalFormatting>
  <conditionalFormatting sqref="K335">
    <cfRule type="cellIs" dxfId="69" priority="9" stopIfTrue="1" operator="equal">
      <formula>"Pass"</formula>
    </cfRule>
    <cfRule type="cellIs" dxfId="68" priority="10" stopIfTrue="1" operator="equal">
      <formula>"Fail"</formula>
    </cfRule>
  </conditionalFormatting>
  <conditionalFormatting sqref="K336">
    <cfRule type="cellIs" dxfId="67" priority="7" stopIfTrue="1" operator="equal">
      <formula>"Pass"</formula>
    </cfRule>
    <cfRule type="cellIs" dxfId="66" priority="8" stopIfTrue="1" operator="equal">
      <formula>"Fail"</formula>
    </cfRule>
  </conditionalFormatting>
  <conditionalFormatting sqref="K337">
    <cfRule type="cellIs" dxfId="65" priority="5" stopIfTrue="1" operator="equal">
      <formula>"Pass"</formula>
    </cfRule>
    <cfRule type="cellIs" dxfId="64" priority="6" stopIfTrue="1" operator="equal">
      <formula>"Fail"</formula>
    </cfRule>
  </conditionalFormatting>
  <conditionalFormatting sqref="K338">
    <cfRule type="cellIs" dxfId="63" priority="3" stopIfTrue="1" operator="equal">
      <formula>"Pass"</formula>
    </cfRule>
    <cfRule type="cellIs" dxfId="62" priority="4" stopIfTrue="1" operator="equal">
      <formula>"Fail"</formula>
    </cfRule>
  </conditionalFormatting>
  <conditionalFormatting sqref="K339">
    <cfRule type="cellIs" dxfId="61" priority="1" stopIfTrue="1" operator="equal">
      <formula>"Pass"</formula>
    </cfRule>
    <cfRule type="cellIs" dxfId="60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1208"/>
  <sheetViews>
    <sheetView topLeftCell="C1" zoomScale="70" zoomScaleNormal="70" workbookViewId="0">
      <pane ySplit="11" topLeftCell="A1176" activePane="bottomLeft" state="frozen"/>
      <selection pane="bottomLeft" activeCell="C1203" sqref="C1203:U1208"/>
    </sheetView>
  </sheetViews>
  <sheetFormatPr defaultColWidth="9" defaultRowHeight="12.75"/>
  <cols>
    <col min="1" max="2" width="12.25" style="99" customWidth="1"/>
    <col min="3" max="3" width="10.25" style="16" customWidth="1"/>
    <col min="4" max="4" width="9.125" style="16" customWidth="1"/>
    <col min="5" max="14" width="9" style="16"/>
    <col min="15" max="15" width="10.5" style="16" customWidth="1"/>
    <col min="16" max="16" width="9" style="16"/>
    <col min="17" max="17" width="10" style="169" bestFit="1" customWidth="1"/>
    <col min="18" max="18" width="9" style="16"/>
    <col min="19" max="19" width="10" style="16" customWidth="1"/>
    <col min="20" max="20" width="14.125" style="49" customWidth="1"/>
    <col min="21" max="21" width="58.5" style="48" customWidth="1"/>
    <col min="22" max="23" width="9" style="15"/>
    <col min="24" max="16384" width="9" style="16"/>
  </cols>
  <sheetData>
    <row r="1" spans="1:27" s="8" customFormat="1">
      <c r="A1" s="100" t="s">
        <v>11</v>
      </c>
      <c r="B1" s="108"/>
      <c r="C1" s="5"/>
      <c r="D1" s="5"/>
      <c r="E1" s="5"/>
      <c r="F1" s="5"/>
      <c r="G1" s="5"/>
      <c r="H1" s="5"/>
      <c r="I1" s="5"/>
      <c r="J1" s="5"/>
      <c r="K1" s="5"/>
      <c r="L1" s="6"/>
      <c r="M1" s="5"/>
      <c r="N1" s="5"/>
      <c r="O1" s="5"/>
      <c r="P1" s="5"/>
      <c r="Q1" s="164"/>
      <c r="R1" s="5"/>
      <c r="S1" s="5"/>
      <c r="T1" s="6"/>
      <c r="U1" s="9"/>
      <c r="V1" s="7"/>
      <c r="W1" s="7"/>
    </row>
    <row r="2" spans="1:27">
      <c r="A2" s="17" t="s">
        <v>256</v>
      </c>
      <c r="B2" s="109"/>
      <c r="C2" s="9"/>
      <c r="D2" s="10"/>
      <c r="E2" s="10"/>
      <c r="F2" s="10"/>
      <c r="G2" s="10"/>
      <c r="H2" s="10"/>
      <c r="I2" s="10"/>
      <c r="J2" s="10"/>
      <c r="K2" s="10"/>
      <c r="L2" s="11"/>
      <c r="M2" s="10"/>
      <c r="N2" s="12"/>
      <c r="O2" s="9"/>
      <c r="P2" s="9"/>
      <c r="Q2" s="165"/>
      <c r="R2" s="13"/>
      <c r="S2" s="12"/>
      <c r="T2" s="14" t="s">
        <v>257</v>
      </c>
      <c r="U2" s="65"/>
    </row>
    <row r="3" spans="1:27">
      <c r="A3" s="17" t="s">
        <v>258</v>
      </c>
      <c r="B3" s="109"/>
      <c r="C3" s="18"/>
      <c r="D3" s="19"/>
      <c r="E3" s="19"/>
      <c r="F3" s="19"/>
      <c r="G3" s="19"/>
      <c r="H3" s="19"/>
      <c r="I3" s="19"/>
      <c r="J3" s="19"/>
      <c r="K3" s="19"/>
      <c r="L3" s="20"/>
      <c r="M3" s="19"/>
      <c r="N3" s="19"/>
      <c r="O3" s="13"/>
      <c r="P3" s="13"/>
      <c r="Q3" s="166"/>
      <c r="R3" s="13"/>
      <c r="S3" s="13"/>
      <c r="T3" s="21"/>
      <c r="U3" s="13"/>
    </row>
    <row r="4" spans="1:27">
      <c r="A4" s="17" t="s">
        <v>259</v>
      </c>
      <c r="B4" s="109"/>
      <c r="C4" s="9"/>
      <c r="D4" s="10"/>
      <c r="E4" s="9"/>
      <c r="F4" s="19"/>
      <c r="G4" s="13" t="s">
        <v>260</v>
      </c>
      <c r="H4" s="13"/>
      <c r="I4" s="13"/>
      <c r="J4" s="13"/>
      <c r="K4" s="13"/>
      <c r="L4" s="21"/>
      <c r="M4" s="10"/>
      <c r="N4" s="10"/>
      <c r="O4" s="13"/>
      <c r="P4" s="13"/>
      <c r="Q4" s="166"/>
      <c r="R4" s="13"/>
      <c r="S4" s="13"/>
      <c r="T4" s="21"/>
      <c r="U4" s="13"/>
    </row>
    <row r="5" spans="1:27">
      <c r="A5" s="17" t="s">
        <v>120</v>
      </c>
      <c r="B5" s="109"/>
      <c r="C5" s="13"/>
      <c r="D5" s="13"/>
      <c r="E5" s="13"/>
      <c r="F5" s="13"/>
      <c r="G5" s="13" t="s">
        <v>261</v>
      </c>
      <c r="H5" s="13"/>
      <c r="I5" s="13"/>
      <c r="J5" s="13"/>
      <c r="K5" s="13"/>
      <c r="L5" s="21"/>
      <c r="M5" s="22"/>
      <c r="N5" s="10"/>
      <c r="O5" s="13"/>
      <c r="P5" s="13"/>
      <c r="Q5" s="166"/>
      <c r="R5" s="13"/>
      <c r="S5" s="13"/>
      <c r="T5" s="21"/>
      <c r="U5" s="13"/>
    </row>
    <row r="6" spans="1:27">
      <c r="A6" s="17" t="s">
        <v>262</v>
      </c>
      <c r="B6" s="109"/>
      <c r="C6" s="9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3"/>
      <c r="P6" s="23"/>
      <c r="Q6" s="167"/>
      <c r="R6" s="23"/>
      <c r="S6" s="24"/>
      <c r="T6" s="25"/>
      <c r="U6" s="85"/>
    </row>
    <row r="7" spans="1:27">
      <c r="A7" s="101" t="s">
        <v>396</v>
      </c>
      <c r="B7" s="110"/>
      <c r="C7" s="13"/>
      <c r="D7" s="10"/>
      <c r="E7" s="10"/>
      <c r="F7" s="10"/>
      <c r="G7" s="10"/>
      <c r="H7" s="10"/>
      <c r="I7" s="10"/>
      <c r="J7" s="10"/>
      <c r="K7" s="10"/>
      <c r="L7" s="11"/>
      <c r="M7" s="10"/>
      <c r="N7" s="10"/>
      <c r="O7" s="13"/>
      <c r="P7" s="13"/>
      <c r="Q7" s="166"/>
      <c r="R7" s="13"/>
      <c r="S7" s="13"/>
      <c r="T7" s="21"/>
      <c r="U7" s="13"/>
    </row>
    <row r="8" spans="1:27">
      <c r="A8" s="92"/>
      <c r="B8" s="105"/>
      <c r="D8" s="232" t="s">
        <v>302</v>
      </c>
      <c r="E8" s="233"/>
      <c r="F8" s="233"/>
      <c r="G8" s="233"/>
      <c r="H8" s="233"/>
      <c r="I8" s="233"/>
      <c r="J8" s="233"/>
      <c r="K8" s="233"/>
      <c r="L8" s="234"/>
      <c r="M8" s="10"/>
      <c r="N8" s="10"/>
      <c r="O8" s="13"/>
      <c r="P8" s="13"/>
      <c r="Q8" s="166"/>
      <c r="R8" s="13"/>
      <c r="S8" s="13"/>
      <c r="T8" s="21"/>
      <c r="U8" s="13"/>
    </row>
    <row r="9" spans="1:27">
      <c r="A9" s="105"/>
      <c r="B9" s="105"/>
      <c r="C9" s="75" t="s">
        <v>426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-85</v>
      </c>
      <c r="J9" s="30">
        <v>-42.5</v>
      </c>
      <c r="K9" s="30">
        <v>42.5</v>
      </c>
      <c r="L9" s="30">
        <v>85</v>
      </c>
      <c r="M9" s="10"/>
      <c r="N9" s="10"/>
      <c r="O9" s="13"/>
      <c r="P9" s="13"/>
      <c r="Q9" s="166"/>
      <c r="R9" s="13"/>
      <c r="S9" s="13"/>
      <c r="T9" s="21"/>
      <c r="U9" s="13"/>
    </row>
    <row r="10" spans="1:27" ht="13.5" thickBot="1">
      <c r="A10" s="105"/>
      <c r="B10" s="105"/>
      <c r="C10" s="54" t="s">
        <v>427</v>
      </c>
      <c r="D10" s="107">
        <v>85</v>
      </c>
      <c r="E10" s="107">
        <v>42.5</v>
      </c>
      <c r="F10" s="107">
        <v>0</v>
      </c>
      <c r="G10" s="107">
        <v>-42.5</v>
      </c>
      <c r="H10" s="107">
        <v>-85</v>
      </c>
      <c r="I10" s="107">
        <v>0</v>
      </c>
      <c r="J10" s="107">
        <v>0</v>
      </c>
      <c r="K10" s="107">
        <v>0</v>
      </c>
      <c r="L10" s="107">
        <v>0</v>
      </c>
      <c r="M10" s="10"/>
      <c r="N10" s="10"/>
      <c r="O10" s="13"/>
      <c r="P10" s="13"/>
      <c r="Q10" s="166"/>
      <c r="R10" s="13"/>
      <c r="S10" s="13"/>
      <c r="T10" s="21"/>
      <c r="U10" s="13"/>
    </row>
    <row r="11" spans="1:27" s="42" customFormat="1" ht="40.700000000000003" customHeight="1" thickBot="1">
      <c r="A11" s="79" t="s">
        <v>268</v>
      </c>
      <c r="B11" s="114" t="s">
        <v>428</v>
      </c>
      <c r="C11" s="87" t="s">
        <v>301</v>
      </c>
      <c r="D11" s="80">
        <v>1</v>
      </c>
      <c r="E11" s="80">
        <v>2</v>
      </c>
      <c r="F11" s="80">
        <v>3</v>
      </c>
      <c r="G11" s="80">
        <v>4</v>
      </c>
      <c r="H11" s="80">
        <v>5</v>
      </c>
      <c r="I11" s="80">
        <v>6</v>
      </c>
      <c r="J11" s="80">
        <v>7</v>
      </c>
      <c r="K11" s="80">
        <v>8</v>
      </c>
      <c r="L11" s="80">
        <v>9</v>
      </c>
      <c r="M11" s="80" t="s">
        <v>121</v>
      </c>
      <c r="N11" s="80" t="s">
        <v>122</v>
      </c>
      <c r="O11" s="80" t="s">
        <v>250</v>
      </c>
      <c r="P11" s="80" t="s">
        <v>123</v>
      </c>
      <c r="Q11" s="163" t="s">
        <v>255</v>
      </c>
      <c r="R11" s="81" t="s">
        <v>14</v>
      </c>
      <c r="S11" s="80" t="s">
        <v>15</v>
      </c>
      <c r="T11" s="81" t="s">
        <v>290</v>
      </c>
      <c r="U11" s="81" t="s">
        <v>17</v>
      </c>
      <c r="V11" s="82" t="s">
        <v>124</v>
      </c>
      <c r="W11" s="82" t="s">
        <v>18</v>
      </c>
      <c r="X11" s="81" t="s">
        <v>125</v>
      </c>
      <c r="Y11" s="81" t="s">
        <v>19</v>
      </c>
      <c r="Z11" s="83" t="s">
        <v>411</v>
      </c>
      <c r="AA11" s="83" t="s">
        <v>267</v>
      </c>
    </row>
    <row r="12" spans="1:27">
      <c r="A12" s="93">
        <v>42736</v>
      </c>
      <c r="B12" s="115" t="s">
        <v>429</v>
      </c>
      <c r="C12" s="88" t="s">
        <v>126</v>
      </c>
      <c r="D12" s="16">
        <v>29139.66</v>
      </c>
      <c r="E12" s="16">
        <v>28999.74</v>
      </c>
      <c r="F12" s="16">
        <v>29013.95</v>
      </c>
      <c r="G12" s="16">
        <v>29011.01</v>
      </c>
      <c r="H12" s="16">
        <v>29225.67</v>
      </c>
      <c r="I12" s="16">
        <v>29214.79</v>
      </c>
      <c r="J12" s="16">
        <v>29005.85</v>
      </c>
      <c r="K12" s="16">
        <v>29002.26</v>
      </c>
      <c r="L12" s="16">
        <v>29234.97</v>
      </c>
      <c r="M12" s="31">
        <f>IF((L13=""),"",MAX(D14:L14))</f>
        <v>9513.1200000000026</v>
      </c>
      <c r="N12" s="31">
        <f>IF(L13="","",MIN(D14:L14))</f>
        <v>8462.7600000000057</v>
      </c>
      <c r="O12" s="31">
        <f>IF((L14=""),"",AVERAGE(D14:L14))</f>
        <v>9029.75</v>
      </c>
      <c r="P12" s="31">
        <f>IF((L13=""),"",STDEV(D14:L14))</f>
        <v>340.70216080177732</v>
      </c>
      <c r="Q12" s="168">
        <f>IF((L13=""),"",((M12-N12)/(M12+P12))*100)</f>
        <v>10.659417055224507</v>
      </c>
      <c r="R12" s="28" t="str">
        <f>IF(L13="","",IF(Q12&lt;Z12,IF(N12&gt;V12,IF(M12&lt;W12,"Pass","Fail"),"Fail"),"Fail"))</f>
        <v>Fail</v>
      </c>
      <c r="S12" s="89">
        <v>1400</v>
      </c>
      <c r="T12" s="55" t="s">
        <v>127</v>
      </c>
      <c r="V12" s="22">
        <v>9000</v>
      </c>
      <c r="W12" s="22">
        <v>15600</v>
      </c>
      <c r="X12" s="48">
        <v>8090</v>
      </c>
      <c r="Y12" s="48">
        <v>12070</v>
      </c>
      <c r="Z12" s="49">
        <v>15</v>
      </c>
      <c r="AA12" s="49">
        <v>6</v>
      </c>
    </row>
    <row r="13" spans="1:27" ht="15.75" customHeight="1">
      <c r="A13" s="94"/>
      <c r="B13" s="94"/>
      <c r="C13" s="30" t="s">
        <v>128</v>
      </c>
      <c r="D13" s="16">
        <v>26260.14</v>
      </c>
      <c r="E13" s="16">
        <v>26025.23</v>
      </c>
      <c r="F13" s="16">
        <v>26015.61</v>
      </c>
      <c r="G13" s="16">
        <v>25926.85</v>
      </c>
      <c r="H13" s="16">
        <v>26111.56</v>
      </c>
      <c r="I13" s="16">
        <v>26393.87</v>
      </c>
      <c r="J13" s="16">
        <v>26039.01</v>
      </c>
      <c r="K13" s="16">
        <v>25922.45</v>
      </c>
      <c r="L13" s="16">
        <v>26063.93</v>
      </c>
      <c r="M13" s="31"/>
      <c r="N13" s="31"/>
      <c r="O13" s="31"/>
      <c r="P13" s="31"/>
      <c r="Q13" s="31"/>
      <c r="R13" s="32"/>
      <c r="S13" s="44"/>
      <c r="T13" s="55"/>
      <c r="V13" s="47"/>
      <c r="W13" s="47"/>
      <c r="X13" s="48"/>
      <c r="Y13" s="48"/>
      <c r="Z13" s="49"/>
      <c r="AA13" s="49"/>
    </row>
    <row r="14" spans="1:27" ht="16.5" customHeight="1" thickBot="1">
      <c r="A14" s="94"/>
      <c r="B14" s="94"/>
      <c r="C14" s="34" t="s">
        <v>129</v>
      </c>
      <c r="D14" s="35">
        <f t="shared" ref="D14:L14" si="0">IF(((D12="")*AND(D13="")),"",(D12-D13)*3)</f>
        <v>8638.5600000000013</v>
      </c>
      <c r="E14" s="35">
        <f t="shared" si="0"/>
        <v>8923.5300000000061</v>
      </c>
      <c r="F14" s="35">
        <f t="shared" si="0"/>
        <v>8995.02</v>
      </c>
      <c r="G14" s="35">
        <f t="shared" si="0"/>
        <v>9252.48</v>
      </c>
      <c r="H14" s="35">
        <f t="shared" si="0"/>
        <v>9342.3299999999908</v>
      </c>
      <c r="I14" s="35">
        <f t="shared" si="0"/>
        <v>8462.7600000000057</v>
      </c>
      <c r="J14" s="35">
        <f t="shared" si="0"/>
        <v>8900.52</v>
      </c>
      <c r="K14" s="35">
        <f t="shared" si="0"/>
        <v>9239.429999999993</v>
      </c>
      <c r="L14" s="35">
        <f t="shared" si="0"/>
        <v>9513.1200000000026</v>
      </c>
      <c r="M14" s="36"/>
      <c r="N14" s="36"/>
      <c r="O14" s="36"/>
      <c r="P14" s="36"/>
      <c r="Q14" s="36"/>
      <c r="R14" s="37"/>
      <c r="S14" s="45"/>
      <c r="T14" s="56"/>
      <c r="U14" s="51"/>
      <c r="V14" s="50"/>
      <c r="W14" s="50"/>
      <c r="X14" s="51"/>
      <c r="Y14" s="51"/>
      <c r="Z14" s="52"/>
      <c r="AA14" s="52"/>
    </row>
    <row r="15" spans="1:27">
      <c r="A15" s="95">
        <v>42741</v>
      </c>
      <c r="B15" s="115" t="s">
        <v>429</v>
      </c>
      <c r="C15" s="26" t="s">
        <v>126</v>
      </c>
      <c r="D15" s="16">
        <v>29171.19</v>
      </c>
      <c r="E15" s="16">
        <v>29014.37</v>
      </c>
      <c r="F15" s="16">
        <v>29060.21</v>
      </c>
      <c r="G15" s="16">
        <v>29027.24</v>
      </c>
      <c r="H15" s="16">
        <v>29282.080000000002</v>
      </c>
      <c r="I15" s="16">
        <v>29171.64</v>
      </c>
      <c r="J15" s="16">
        <v>29005.71</v>
      </c>
      <c r="K15" s="16">
        <v>29022.99</v>
      </c>
      <c r="L15" s="16">
        <v>29204.959999999999</v>
      </c>
      <c r="M15" s="27">
        <f>IF((L16=""),"",MAX(D17:L17))</f>
        <v>10018.319999999996</v>
      </c>
      <c r="N15" s="27">
        <f>IF(L16="","",MIN(D17:L17))</f>
        <v>8862.3900000000031</v>
      </c>
      <c r="O15" s="27">
        <f>IF((L17=""),"",AVERAGE(D17:L17))</f>
        <v>9436.9033333333318</v>
      </c>
      <c r="P15" s="27">
        <f>IF((L16=""),"",STDEV(D17:L17))</f>
        <v>369.20942749344749</v>
      </c>
      <c r="Q15" s="168">
        <f>IF((L16=""),"",((M15-N15)/(M15+P15))*100)</f>
        <v>11.128055117134084</v>
      </c>
      <c r="R15" s="28" t="str">
        <f>IF(L16="","",IF(Q15&lt;Z15,IF(N15&gt;V15,IF(M15&lt;W15,"Pass","Fail"),"Fail"),"Fail"))</f>
        <v>Fail</v>
      </c>
      <c r="S15" s="43">
        <v>1335</v>
      </c>
      <c r="T15" s="54"/>
      <c r="U15" s="40"/>
      <c r="V15" s="53">
        <v>9000</v>
      </c>
      <c r="W15" s="22">
        <v>15600</v>
      </c>
      <c r="X15" s="40">
        <v>8090</v>
      </c>
      <c r="Y15" s="40">
        <v>12070</v>
      </c>
      <c r="Z15" s="49">
        <v>15</v>
      </c>
      <c r="AA15" s="49">
        <v>6</v>
      </c>
    </row>
    <row r="16" spans="1:27" ht="15.75" customHeight="1">
      <c r="A16" s="94"/>
      <c r="B16" s="94"/>
      <c r="C16" s="30" t="s">
        <v>128</v>
      </c>
      <c r="D16" s="16">
        <v>26190.23</v>
      </c>
      <c r="E16" s="16">
        <v>25899.52</v>
      </c>
      <c r="F16" s="16">
        <v>25911.75</v>
      </c>
      <c r="G16" s="16">
        <v>25807.09</v>
      </c>
      <c r="H16" s="16">
        <v>26058.01</v>
      </c>
      <c r="I16" s="16">
        <v>26217.51</v>
      </c>
      <c r="J16" s="16">
        <v>25898.21</v>
      </c>
      <c r="K16" s="16">
        <v>25801.84</v>
      </c>
      <c r="L16" s="16">
        <v>25865.52</v>
      </c>
      <c r="M16" s="31"/>
      <c r="N16" s="31"/>
      <c r="O16" s="31"/>
      <c r="P16" s="31"/>
      <c r="Q16" s="31"/>
      <c r="R16" s="32"/>
      <c r="S16" s="44"/>
      <c r="T16" s="55"/>
      <c r="V16" s="47"/>
      <c r="W16" s="47"/>
      <c r="X16" s="48"/>
      <c r="Y16" s="48"/>
      <c r="Z16" s="49"/>
      <c r="AA16" s="49"/>
    </row>
    <row r="17" spans="1:27" ht="16.5" customHeight="1" thickBot="1">
      <c r="A17" s="94"/>
      <c r="B17" s="94"/>
      <c r="C17" s="34" t="s">
        <v>129</v>
      </c>
      <c r="D17" s="35">
        <f t="shared" ref="D17:L17" si="1">IF(((D15="")*AND(D16="")),"",(D15-D16)*3)</f>
        <v>8942.8799999999974</v>
      </c>
      <c r="E17" s="35">
        <f t="shared" si="1"/>
        <v>9344.5499999999956</v>
      </c>
      <c r="F17" s="35">
        <f t="shared" si="1"/>
        <v>9445.3799999999974</v>
      </c>
      <c r="G17" s="35">
        <f t="shared" si="1"/>
        <v>9660.4500000000044</v>
      </c>
      <c r="H17" s="35">
        <f t="shared" si="1"/>
        <v>9672.21000000001</v>
      </c>
      <c r="I17" s="35">
        <f t="shared" si="1"/>
        <v>8862.3900000000031</v>
      </c>
      <c r="J17" s="35">
        <f t="shared" si="1"/>
        <v>9322.5</v>
      </c>
      <c r="K17" s="35">
        <f t="shared" si="1"/>
        <v>9663.4500000000044</v>
      </c>
      <c r="L17" s="35">
        <f t="shared" si="1"/>
        <v>10018.319999999996</v>
      </c>
      <c r="M17" s="36"/>
      <c r="N17" s="36"/>
      <c r="O17" s="36"/>
      <c r="P17" s="36"/>
      <c r="Q17" s="36"/>
      <c r="R17" s="37"/>
      <c r="S17" s="45"/>
      <c r="T17" s="56"/>
      <c r="U17" s="51"/>
      <c r="V17" s="50"/>
      <c r="W17" s="50"/>
      <c r="X17" s="51"/>
      <c r="Y17" s="51"/>
      <c r="Z17" s="52"/>
      <c r="AA17" s="52"/>
    </row>
    <row r="18" spans="1:27">
      <c r="A18" s="95">
        <v>42745</v>
      </c>
      <c r="B18" s="115" t="s">
        <v>429</v>
      </c>
      <c r="C18" s="26" t="s">
        <v>126</v>
      </c>
      <c r="D18" s="16">
        <v>29014.55</v>
      </c>
      <c r="E18" s="16">
        <v>29005.58</v>
      </c>
      <c r="F18" s="16">
        <v>29045.9</v>
      </c>
      <c r="G18" s="16">
        <v>29002.93</v>
      </c>
      <c r="H18" s="16">
        <v>29140.65</v>
      </c>
      <c r="I18" s="16">
        <v>29078.17</v>
      </c>
      <c r="J18" s="16">
        <v>28991.41</v>
      </c>
      <c r="K18" s="16">
        <v>29012.01</v>
      </c>
      <c r="L18" s="16">
        <v>29253.56</v>
      </c>
      <c r="M18" s="27">
        <f>IF((L19=""),"",MAX(D20:L20))</f>
        <v>9641.7900000000009</v>
      </c>
      <c r="N18" s="27">
        <f>IF(L19="","",MIN(D20:L20))</f>
        <v>8529.2099999999991</v>
      </c>
      <c r="O18" s="27">
        <f>IF((L20=""),"",AVERAGE(D20:L20))</f>
        <v>9092.380000000001</v>
      </c>
      <c r="P18" s="27">
        <f>IF((L19=""),"",STDEV(D20:L20))</f>
        <v>324.40999025151058</v>
      </c>
      <c r="Q18" s="168">
        <f>IF((L19=""),"",((M18-N18)/(M18+P18))*100)</f>
        <v>11.163532751583126</v>
      </c>
      <c r="R18" s="28" t="str">
        <f>IF(L19="","",IF(Q18&lt;Z18,IF(N18&gt;V18,IF(M18&lt;W18,"Pass","Fail"),"Fail"),"Fail"))</f>
        <v>Fail</v>
      </c>
      <c r="S18" s="29">
        <v>1159</v>
      </c>
      <c r="T18" s="54" t="s">
        <v>130</v>
      </c>
      <c r="U18" s="40"/>
      <c r="V18" s="53">
        <v>9000</v>
      </c>
      <c r="W18" s="22">
        <v>15600</v>
      </c>
      <c r="X18" s="40">
        <v>8090</v>
      </c>
      <c r="Y18" s="40">
        <v>12070</v>
      </c>
      <c r="Z18" s="49">
        <v>15</v>
      </c>
      <c r="AA18" s="49">
        <v>6</v>
      </c>
    </row>
    <row r="19" spans="1:27" ht="15.75" customHeight="1">
      <c r="A19" s="94"/>
      <c r="B19" s="94"/>
      <c r="C19" s="30" t="s">
        <v>128</v>
      </c>
      <c r="D19" s="16">
        <v>26018.37</v>
      </c>
      <c r="E19" s="16">
        <v>26006.880000000001</v>
      </c>
      <c r="F19" s="16">
        <v>26036.61</v>
      </c>
      <c r="G19" s="16">
        <v>25916.44</v>
      </c>
      <c r="H19" s="16">
        <v>25926.720000000001</v>
      </c>
      <c r="I19" s="16">
        <v>26235.1</v>
      </c>
      <c r="J19" s="16">
        <v>26056.55</v>
      </c>
      <c r="K19" s="16">
        <v>25936.2</v>
      </c>
      <c r="L19" s="16">
        <v>26134.75</v>
      </c>
      <c r="M19" s="31"/>
      <c r="N19" s="31"/>
      <c r="O19" s="31"/>
      <c r="P19" s="31"/>
      <c r="Q19" s="31"/>
      <c r="R19" s="32"/>
      <c r="S19" s="33"/>
      <c r="T19" s="55"/>
      <c r="V19" s="47"/>
      <c r="W19" s="47"/>
      <c r="X19" s="48"/>
      <c r="Y19" s="48"/>
      <c r="Z19" s="49"/>
      <c r="AA19" s="49"/>
    </row>
    <row r="20" spans="1:27" ht="16.5" customHeight="1" thickBot="1">
      <c r="A20" s="94"/>
      <c r="B20" s="94"/>
      <c r="C20" s="34" t="s">
        <v>129</v>
      </c>
      <c r="D20" s="35">
        <f t="shared" ref="D20:L20" si="2">IF(((D18="")*AND(D19="")),"",(D18-D19)*3)</f>
        <v>8988.5400000000009</v>
      </c>
      <c r="E20" s="35">
        <f t="shared" si="2"/>
        <v>8996.1000000000022</v>
      </c>
      <c r="F20" s="35">
        <f t="shared" si="2"/>
        <v>9027.8700000000026</v>
      </c>
      <c r="G20" s="35">
        <f t="shared" si="2"/>
        <v>9259.4700000000048</v>
      </c>
      <c r="H20" s="35">
        <f t="shared" si="2"/>
        <v>9641.7900000000009</v>
      </c>
      <c r="I20" s="35">
        <f t="shared" si="2"/>
        <v>8529.2099999999991</v>
      </c>
      <c r="J20" s="35">
        <f t="shared" si="2"/>
        <v>8804.5800000000017</v>
      </c>
      <c r="K20" s="35">
        <f t="shared" si="2"/>
        <v>9227.429999999993</v>
      </c>
      <c r="L20" s="35">
        <f t="shared" si="2"/>
        <v>9356.4300000000039</v>
      </c>
      <c r="M20" s="36"/>
      <c r="N20" s="36"/>
      <c r="O20" s="36"/>
      <c r="P20" s="36"/>
      <c r="Q20" s="36"/>
      <c r="R20" s="37"/>
      <c r="S20" s="38"/>
      <c r="T20" s="56"/>
      <c r="U20" s="51"/>
      <c r="V20" s="50"/>
      <c r="W20" s="50"/>
      <c r="X20" s="51"/>
      <c r="Y20" s="51"/>
      <c r="Z20" s="52"/>
      <c r="AA20" s="52"/>
    </row>
    <row r="21" spans="1:27">
      <c r="A21" s="95">
        <v>42759</v>
      </c>
      <c r="B21" s="115" t="s">
        <v>429</v>
      </c>
      <c r="C21" s="26" t="s">
        <v>126</v>
      </c>
      <c r="D21" s="16">
        <v>29013.18</v>
      </c>
      <c r="E21" s="16">
        <v>28825.84</v>
      </c>
      <c r="F21" s="16">
        <v>28855</v>
      </c>
      <c r="G21" s="16">
        <v>28805.79</v>
      </c>
      <c r="H21" s="16">
        <v>29006.81</v>
      </c>
      <c r="I21" s="16">
        <v>28950.55</v>
      </c>
      <c r="J21" s="16">
        <v>28803.73</v>
      </c>
      <c r="K21" s="16">
        <v>28805.759999999998</v>
      </c>
      <c r="L21" s="16">
        <v>29049.27</v>
      </c>
      <c r="M21" s="27">
        <f>IF((L22=""),"",MAX(D23:L23))</f>
        <v>10267.740000000005</v>
      </c>
      <c r="N21" s="27">
        <f>IF(L22="","",MIN(D23:L23))</f>
        <v>9212.0400000000009</v>
      </c>
      <c r="O21" s="27">
        <f>IF((L23=""),"",AVERAGE(D23:L23))</f>
        <v>9830.9133333333339</v>
      </c>
      <c r="P21" s="27">
        <f>IF((L22=""),"",STDEV(D23:L23))</f>
        <v>323.28573193849564</v>
      </c>
      <c r="Q21" s="168">
        <f>IF((L22=""),"",((M21-N21)/(M21+P21))*100)</f>
        <v>9.9678730532814708</v>
      </c>
      <c r="R21" s="28" t="str">
        <f>IF(L22="","",IF(Q21&lt;Z21,IF(N21&gt;V21,IF(M21&lt;W21,"Pass","Fail"),"Fail"),"Fail"))</f>
        <v>Pass</v>
      </c>
      <c r="S21" s="29">
        <v>1159</v>
      </c>
      <c r="T21" s="54" t="s">
        <v>291</v>
      </c>
      <c r="U21" s="40" t="s">
        <v>292</v>
      </c>
      <c r="V21" s="53">
        <v>9000</v>
      </c>
      <c r="W21" s="22">
        <v>15600</v>
      </c>
      <c r="X21" s="40">
        <v>8090</v>
      </c>
      <c r="Y21" s="40">
        <v>12070</v>
      </c>
      <c r="Z21" s="49">
        <v>15</v>
      </c>
      <c r="AA21" s="49">
        <v>6</v>
      </c>
    </row>
    <row r="22" spans="1:27" ht="15.75" customHeight="1">
      <c r="A22" s="94"/>
      <c r="B22" s="94"/>
      <c r="C22" s="30" t="s">
        <v>128</v>
      </c>
      <c r="D22" s="16">
        <v>25850.22</v>
      </c>
      <c r="E22" s="16">
        <v>25550.26</v>
      </c>
      <c r="F22" s="16">
        <v>25565.58</v>
      </c>
      <c r="G22" s="16">
        <v>25450.93</v>
      </c>
      <c r="H22" s="16">
        <v>25676.98</v>
      </c>
      <c r="I22" s="16">
        <v>25879.87</v>
      </c>
      <c r="J22" s="16">
        <v>25567.7</v>
      </c>
      <c r="K22" s="16">
        <v>25454.959999999999</v>
      </c>
      <c r="L22" s="16">
        <v>25626.69</v>
      </c>
      <c r="M22" s="31"/>
      <c r="N22" s="31"/>
      <c r="O22" s="31"/>
      <c r="P22" s="31"/>
      <c r="Q22" s="31"/>
      <c r="R22" s="32"/>
      <c r="S22" s="33"/>
      <c r="T22" s="55"/>
      <c r="V22" s="47"/>
      <c r="W22" s="47"/>
      <c r="X22" s="48"/>
      <c r="Y22" s="48"/>
      <c r="Z22" s="49"/>
      <c r="AA22" s="49"/>
    </row>
    <row r="23" spans="1:27" ht="16.5" customHeight="1" thickBot="1">
      <c r="A23" s="94"/>
      <c r="B23" s="94"/>
      <c r="C23" s="34" t="s">
        <v>129</v>
      </c>
      <c r="D23" s="35">
        <f t="shared" ref="D23:L23" si="3">IF(((D21="")*AND(D22="")),"",(D21-D22)*3)</f>
        <v>9488.8799999999974</v>
      </c>
      <c r="E23" s="35">
        <f t="shared" si="3"/>
        <v>9826.7400000000052</v>
      </c>
      <c r="F23" s="35">
        <f t="shared" si="3"/>
        <v>9868.2599999999948</v>
      </c>
      <c r="G23" s="35">
        <f t="shared" si="3"/>
        <v>10064.580000000002</v>
      </c>
      <c r="H23" s="35">
        <f t="shared" si="3"/>
        <v>9989.4900000000052</v>
      </c>
      <c r="I23" s="35">
        <f t="shared" si="3"/>
        <v>9212.0400000000009</v>
      </c>
      <c r="J23" s="35">
        <f t="shared" si="3"/>
        <v>9708.0899999999965</v>
      </c>
      <c r="K23" s="35">
        <f t="shared" si="3"/>
        <v>10052.399999999998</v>
      </c>
      <c r="L23" s="35">
        <f t="shared" si="3"/>
        <v>10267.740000000005</v>
      </c>
      <c r="M23" s="36"/>
      <c r="N23" s="36"/>
      <c r="O23" s="36"/>
      <c r="P23" s="36"/>
      <c r="Q23" s="36"/>
      <c r="R23" s="37"/>
      <c r="S23" s="38"/>
      <c r="T23" s="56"/>
      <c r="U23" s="51"/>
      <c r="V23" s="50"/>
      <c r="W23" s="50"/>
      <c r="X23" s="51"/>
      <c r="Y23" s="51"/>
      <c r="Z23" s="52"/>
      <c r="AA23" s="52"/>
    </row>
    <row r="24" spans="1:27">
      <c r="A24" s="95">
        <v>42764</v>
      </c>
      <c r="B24" s="115" t="s">
        <v>429</v>
      </c>
      <c r="C24" s="26" t="s">
        <v>126</v>
      </c>
      <c r="D24" s="16">
        <v>28985.360000000001</v>
      </c>
      <c r="E24" s="16">
        <v>28807.67</v>
      </c>
      <c r="F24" s="16">
        <v>28811.86</v>
      </c>
      <c r="G24" s="16">
        <v>28809.67</v>
      </c>
      <c r="H24" s="16">
        <v>29048.400000000001</v>
      </c>
      <c r="I24" s="16">
        <v>28966.720000000001</v>
      </c>
      <c r="J24" s="16">
        <v>28802.05</v>
      </c>
      <c r="K24" s="16">
        <v>28810.959999999999</v>
      </c>
      <c r="L24" s="16">
        <v>29050.41</v>
      </c>
      <c r="M24" s="27">
        <f>IF((L25=""),"",MAX(D26:L26))</f>
        <v>10430.339999999997</v>
      </c>
      <c r="N24" s="27">
        <f>IF(L25="","",MIN(D26:L26))</f>
        <v>9330.2099999999991</v>
      </c>
      <c r="O24" s="27">
        <f>IF((L26=""),"",AVERAGE(D26:L26))</f>
        <v>9934.5533333333315</v>
      </c>
      <c r="P24" s="27">
        <f>IF((L25=""),"",STDEV(D26:L26))</f>
        <v>334.4325677921131</v>
      </c>
      <c r="Q24" s="168">
        <f>IF((L25=""),"",((M24-N24)/(M24+P24))*100)</f>
        <v>10.219723575875209</v>
      </c>
      <c r="R24" s="28" t="str">
        <f>IF(L25="","",IF(Q24&lt;Z24,IF(N24&gt;V24,IF(M24&lt;W24,"Pass","Fail"),"Fail"),"Fail"))</f>
        <v>Pass</v>
      </c>
      <c r="S24" s="29">
        <v>1400</v>
      </c>
      <c r="T24" s="54" t="s">
        <v>131</v>
      </c>
      <c r="U24" s="40"/>
      <c r="V24" s="53">
        <v>9000</v>
      </c>
      <c r="W24" s="22">
        <v>15600</v>
      </c>
      <c r="X24" s="40">
        <v>8090</v>
      </c>
      <c r="Y24" s="40">
        <v>12070</v>
      </c>
      <c r="Z24" s="49">
        <v>15</v>
      </c>
      <c r="AA24" s="49">
        <v>6</v>
      </c>
    </row>
    <row r="25" spans="1:27" ht="15.75" customHeight="1">
      <c r="A25" s="94"/>
      <c r="B25" s="94"/>
      <c r="C25" s="30" t="s">
        <v>128</v>
      </c>
      <c r="D25" s="16">
        <v>25806.43</v>
      </c>
      <c r="E25" s="16">
        <v>25506.43</v>
      </c>
      <c r="F25" s="16">
        <v>25479.46</v>
      </c>
      <c r="G25" s="16">
        <v>25431.52</v>
      </c>
      <c r="H25" s="16">
        <v>25692.880000000001</v>
      </c>
      <c r="I25" s="16">
        <v>25856.65</v>
      </c>
      <c r="J25" s="16">
        <v>25521.07</v>
      </c>
      <c r="K25" s="16">
        <v>25421.37</v>
      </c>
      <c r="L25" s="16">
        <v>25573.63</v>
      </c>
      <c r="M25" s="31"/>
      <c r="N25" s="31"/>
      <c r="O25" s="31"/>
      <c r="P25" s="31"/>
      <c r="Q25" s="31"/>
      <c r="R25" s="32"/>
      <c r="S25" s="33"/>
      <c r="T25" s="55"/>
      <c r="V25" s="47"/>
      <c r="W25" s="47"/>
      <c r="X25" s="48"/>
      <c r="Y25" s="48"/>
      <c r="Z25" s="49"/>
      <c r="AA25" s="49"/>
    </row>
    <row r="26" spans="1:27" ht="16.5" customHeight="1" thickBot="1">
      <c r="A26" s="94"/>
      <c r="B26" s="94"/>
      <c r="C26" s="34" t="s">
        <v>129</v>
      </c>
      <c r="D26" s="35">
        <f t="shared" ref="D26:L26" si="4">IF(((D24="")*AND(D25="")),"",(D24-D25)*3)</f>
        <v>9536.7900000000009</v>
      </c>
      <c r="E26" s="35">
        <f t="shared" si="4"/>
        <v>9903.7199999999939</v>
      </c>
      <c r="F26" s="35">
        <f t="shared" si="4"/>
        <v>9997.2000000000044</v>
      </c>
      <c r="G26" s="35">
        <f t="shared" si="4"/>
        <v>10134.449999999993</v>
      </c>
      <c r="H26" s="35">
        <f t="shared" si="4"/>
        <v>10066.560000000001</v>
      </c>
      <c r="I26" s="35">
        <f t="shared" si="4"/>
        <v>9330.2099999999991</v>
      </c>
      <c r="J26" s="35">
        <f t="shared" si="4"/>
        <v>9842.9399999999987</v>
      </c>
      <c r="K26" s="35">
        <f t="shared" si="4"/>
        <v>10168.77</v>
      </c>
      <c r="L26" s="35">
        <f t="shared" si="4"/>
        <v>10430.339999999997</v>
      </c>
      <c r="M26" s="36"/>
      <c r="N26" s="36"/>
      <c r="O26" s="36"/>
      <c r="P26" s="36"/>
      <c r="Q26" s="36"/>
      <c r="R26" s="37"/>
      <c r="S26" s="38"/>
      <c r="T26" s="56"/>
      <c r="U26" s="51"/>
      <c r="V26" s="50"/>
      <c r="W26" s="50"/>
      <c r="X26" s="51"/>
      <c r="Y26" s="51"/>
      <c r="Z26" s="52"/>
      <c r="AA26" s="52"/>
    </row>
    <row r="27" spans="1:27">
      <c r="A27" s="95">
        <v>42768</v>
      </c>
      <c r="B27" s="115" t="s">
        <v>429</v>
      </c>
      <c r="C27" s="26" t="s">
        <v>126</v>
      </c>
      <c r="D27" s="16">
        <v>29002.46</v>
      </c>
      <c r="E27" s="16">
        <v>28805.75</v>
      </c>
      <c r="F27" s="16">
        <v>28796.68</v>
      </c>
      <c r="G27" s="16">
        <v>28798.51</v>
      </c>
      <c r="H27" s="16">
        <v>29024.71</v>
      </c>
      <c r="I27" s="16">
        <v>28954.720000000001</v>
      </c>
      <c r="J27" s="16">
        <v>28800.84</v>
      </c>
      <c r="K27" s="16">
        <v>28786.27</v>
      </c>
      <c r="L27" s="16">
        <v>28976.38</v>
      </c>
      <c r="M27" s="27">
        <f>IF((L28=""),"",MAX(D29:L29))</f>
        <v>9645.9900000000052</v>
      </c>
      <c r="N27" s="27">
        <f>IF(L28="","",MIN(D29:L29))</f>
        <v>8739.7799999999952</v>
      </c>
      <c r="O27" s="27">
        <f>IF((L29=""),"",AVERAGE(D29:L29))</f>
        <v>9254.093333333336</v>
      </c>
      <c r="P27" s="27">
        <f>IF((L28=""),"",STDEV(D29:L29))</f>
        <v>308.12131831470299</v>
      </c>
      <c r="Q27" s="168">
        <f>IF((L28=""),"",((M27-N27)/(M27+P27))*100)</f>
        <v>9.103876489030835</v>
      </c>
      <c r="R27" s="28" t="str">
        <f>IF(L28="","",IF(Q27&lt;Z27,IF(N27&gt;V27,IF(M27&lt;W27,"Pass","Fail"),"Fail"),"Fail"))</f>
        <v>Fail</v>
      </c>
      <c r="S27" s="29">
        <v>1159</v>
      </c>
      <c r="T27" s="54" t="s">
        <v>132</v>
      </c>
      <c r="U27" s="40"/>
      <c r="V27" s="53">
        <v>9000</v>
      </c>
      <c r="W27" s="22">
        <v>15600</v>
      </c>
      <c r="X27" s="40">
        <v>8090</v>
      </c>
      <c r="Y27" s="40">
        <v>12070</v>
      </c>
      <c r="Z27" s="49">
        <v>15</v>
      </c>
      <c r="AA27" s="49">
        <v>6</v>
      </c>
    </row>
    <row r="28" spans="1:27" ht="15.75" customHeight="1">
      <c r="A28" s="94"/>
      <c r="B28" s="94"/>
      <c r="C28" s="30" t="s">
        <v>128</v>
      </c>
      <c r="D28" s="16">
        <v>26089.200000000001</v>
      </c>
      <c r="E28" s="16">
        <v>25737.01</v>
      </c>
      <c r="F28" s="16">
        <v>25703.94</v>
      </c>
      <c r="G28" s="16">
        <v>25635.64</v>
      </c>
      <c r="H28" s="16">
        <v>25884.7</v>
      </c>
      <c r="I28" s="16">
        <v>26018.76</v>
      </c>
      <c r="J28" s="16">
        <v>25730.39</v>
      </c>
      <c r="K28" s="16">
        <v>25623.35</v>
      </c>
      <c r="L28" s="16">
        <v>25761.05</v>
      </c>
      <c r="M28" s="31"/>
      <c r="N28" s="31"/>
      <c r="O28" s="31"/>
      <c r="P28" s="31"/>
      <c r="Q28" s="31"/>
      <c r="R28" s="32"/>
      <c r="S28" s="33"/>
      <c r="T28" s="55"/>
      <c r="V28" s="47"/>
      <c r="W28" s="47"/>
      <c r="X28" s="48"/>
      <c r="Y28" s="48"/>
      <c r="Z28" s="49"/>
      <c r="AA28" s="49"/>
    </row>
    <row r="29" spans="1:27" ht="16.5" customHeight="1" thickBot="1">
      <c r="A29" s="94"/>
      <c r="B29" s="94"/>
      <c r="C29" s="34" t="s">
        <v>129</v>
      </c>
      <c r="D29" s="35">
        <f t="shared" ref="D29:L29" si="5">IF(((D27="")*AND(D28="")),"",(D27-D28)*3)</f>
        <v>8739.7799999999952</v>
      </c>
      <c r="E29" s="35">
        <f t="shared" si="5"/>
        <v>9206.2200000000048</v>
      </c>
      <c r="F29" s="35">
        <f t="shared" si="5"/>
        <v>9278.2200000000048</v>
      </c>
      <c r="G29" s="35">
        <f t="shared" si="5"/>
        <v>9488.6099999999969</v>
      </c>
      <c r="H29" s="35">
        <f t="shared" si="5"/>
        <v>9420.0299999999952</v>
      </c>
      <c r="I29" s="35">
        <f t="shared" si="5"/>
        <v>8807.8800000000083</v>
      </c>
      <c r="J29" s="35">
        <f t="shared" si="5"/>
        <v>9211.3500000000022</v>
      </c>
      <c r="K29" s="35">
        <f t="shared" si="5"/>
        <v>9488.7600000000057</v>
      </c>
      <c r="L29" s="35">
        <f t="shared" si="5"/>
        <v>9645.9900000000052</v>
      </c>
      <c r="M29" s="36"/>
      <c r="N29" s="36"/>
      <c r="O29" s="36"/>
      <c r="P29" s="36"/>
      <c r="Q29" s="36"/>
      <c r="R29" s="37"/>
      <c r="S29" s="38"/>
      <c r="T29" s="56"/>
      <c r="U29" s="51"/>
      <c r="V29" s="50"/>
      <c r="W29" s="50"/>
      <c r="X29" s="51"/>
      <c r="Y29" s="51"/>
      <c r="Z29" s="52"/>
      <c r="AA29" s="52"/>
    </row>
    <row r="30" spans="1:27">
      <c r="A30" s="95">
        <v>42772</v>
      </c>
      <c r="B30" s="115" t="s">
        <v>429</v>
      </c>
      <c r="C30" s="26" t="s">
        <v>126</v>
      </c>
      <c r="D30" s="16">
        <v>28899.98</v>
      </c>
      <c r="E30" s="16">
        <v>28756.41</v>
      </c>
      <c r="F30" s="16">
        <v>28767.59</v>
      </c>
      <c r="G30" s="16">
        <v>28766.66</v>
      </c>
      <c r="H30" s="16">
        <v>28964.35</v>
      </c>
      <c r="I30" s="16">
        <v>28933.23</v>
      </c>
      <c r="J30" s="16">
        <v>28759.27</v>
      </c>
      <c r="K30" s="16">
        <v>28758.19</v>
      </c>
      <c r="L30" s="16">
        <v>29011.58</v>
      </c>
      <c r="M30" s="27">
        <f>IF((L31=""),"",MAX(D32:L32))</f>
        <v>9675.3600000000079</v>
      </c>
      <c r="N30" s="27">
        <f>IF(L31="","",MIN(D32:L32))</f>
        <v>8721.5099999999948</v>
      </c>
      <c r="O30" s="27">
        <f>IF((L32=""),"",AVERAGE(D32:L32))</f>
        <v>9305.4433333333327</v>
      </c>
      <c r="P30" s="27">
        <f>IF((L31=""),"",STDEV(D32:L32))</f>
        <v>328.26512566064611</v>
      </c>
      <c r="Q30" s="168">
        <f>IF((L31=""),"",((M30-N30)/(M30+P30))*100)</f>
        <v>9.535043426939886</v>
      </c>
      <c r="R30" s="28" t="str">
        <f>IF(L31="","",IF(Q30&lt;Z30,IF(N30&gt;V30,IF(M30&lt;W30,"Pass","Fail"),"Fail"),"Fail"))</f>
        <v>Fail</v>
      </c>
      <c r="S30" s="29"/>
      <c r="T30" s="54" t="s">
        <v>133</v>
      </c>
      <c r="U30" s="40"/>
      <c r="V30" s="53">
        <v>9000</v>
      </c>
      <c r="W30" s="22">
        <v>15600</v>
      </c>
      <c r="X30" s="40">
        <v>8090</v>
      </c>
      <c r="Y30" s="40">
        <v>12070</v>
      </c>
      <c r="Z30" s="49">
        <v>15</v>
      </c>
      <c r="AA30" s="49">
        <v>6</v>
      </c>
    </row>
    <row r="31" spans="1:27" ht="15.75" customHeight="1">
      <c r="A31" s="94"/>
      <c r="B31" s="94"/>
      <c r="C31" s="30" t="s">
        <v>128</v>
      </c>
      <c r="D31" s="16">
        <v>25944.59</v>
      </c>
      <c r="E31" s="16">
        <v>25673.07</v>
      </c>
      <c r="F31" s="16">
        <v>25641.62</v>
      </c>
      <c r="G31" s="16">
        <v>25579.62</v>
      </c>
      <c r="H31" s="16">
        <v>25778.27</v>
      </c>
      <c r="I31" s="16">
        <v>26026.06</v>
      </c>
      <c r="J31" s="16">
        <v>25686.45</v>
      </c>
      <c r="K31" s="16">
        <v>25584.79</v>
      </c>
      <c r="L31" s="16">
        <v>25786.46</v>
      </c>
      <c r="M31" s="31"/>
      <c r="N31" s="31"/>
      <c r="O31" s="31"/>
      <c r="P31" s="31"/>
      <c r="Q31" s="31"/>
      <c r="R31" s="32"/>
      <c r="S31" s="33"/>
      <c r="T31" s="55"/>
      <c r="V31" s="47"/>
      <c r="W31" s="47"/>
      <c r="X31" s="48"/>
      <c r="Y31" s="48"/>
      <c r="Z31" s="49"/>
      <c r="AA31" s="49"/>
    </row>
    <row r="32" spans="1:27" ht="16.5" customHeight="1" thickBot="1">
      <c r="A32" s="94"/>
      <c r="B32" s="94"/>
      <c r="C32" s="34" t="s">
        <v>129</v>
      </c>
      <c r="D32" s="35">
        <f t="shared" ref="D32:L32" si="6">IF(((D30="")*AND(D31="")),"",(D30-D31)*3)</f>
        <v>8866.1699999999983</v>
      </c>
      <c r="E32" s="35">
        <f t="shared" si="6"/>
        <v>9250.02</v>
      </c>
      <c r="F32" s="35">
        <f t="shared" si="6"/>
        <v>9377.9100000000035</v>
      </c>
      <c r="G32" s="35">
        <f t="shared" si="6"/>
        <v>9561.1200000000026</v>
      </c>
      <c r="H32" s="35">
        <f t="shared" si="6"/>
        <v>9558.2399999999943</v>
      </c>
      <c r="I32" s="35">
        <f t="shared" si="6"/>
        <v>8721.5099999999948</v>
      </c>
      <c r="J32" s="35">
        <f t="shared" si="6"/>
        <v>9218.4599999999991</v>
      </c>
      <c r="K32" s="35">
        <f t="shared" si="6"/>
        <v>9520.1999999999935</v>
      </c>
      <c r="L32" s="35">
        <f t="shared" si="6"/>
        <v>9675.3600000000079</v>
      </c>
      <c r="M32" s="36"/>
      <c r="N32" s="36"/>
      <c r="O32" s="36"/>
      <c r="P32" s="36"/>
      <c r="Q32" s="36"/>
      <c r="R32" s="37"/>
      <c r="S32" s="38"/>
      <c r="T32" s="56"/>
      <c r="U32" s="51"/>
      <c r="V32" s="50"/>
      <c r="W32" s="50"/>
      <c r="X32" s="51"/>
      <c r="Y32" s="51"/>
      <c r="Z32" s="52"/>
      <c r="AA32" s="52"/>
    </row>
    <row r="33" spans="1:27">
      <c r="A33" s="95">
        <v>42779</v>
      </c>
      <c r="B33" s="115" t="s">
        <v>429</v>
      </c>
      <c r="C33" s="26" t="s">
        <v>126</v>
      </c>
      <c r="D33" s="16">
        <v>29075.34</v>
      </c>
      <c r="E33" s="16">
        <v>28897.16</v>
      </c>
      <c r="F33" s="16">
        <v>28929.34</v>
      </c>
      <c r="G33" s="16">
        <v>28873.040000000001</v>
      </c>
      <c r="H33" s="16">
        <v>29150.37</v>
      </c>
      <c r="I33" s="16">
        <v>29014.98</v>
      </c>
      <c r="J33" s="16">
        <v>28836.9</v>
      </c>
      <c r="K33" s="16">
        <v>28888.5</v>
      </c>
      <c r="L33" s="16">
        <v>29063.14</v>
      </c>
      <c r="M33" s="27">
        <f>IF((L34=""),"",MAX(D35:L35))</f>
        <v>8288.2199999999939</v>
      </c>
      <c r="N33" s="27">
        <f>IF(L34="","",MIN(D35:L35))</f>
        <v>7196.6999999999935</v>
      </c>
      <c r="O33" s="27">
        <f>IF((L35=""),"",AVERAGE(D35:L35))</f>
        <v>7753.0266666666657</v>
      </c>
      <c r="P33" s="27">
        <f>IF((L34=""),"",STDEV(D35:L35))</f>
        <v>340.56977284399443</v>
      </c>
      <c r="Q33" s="168">
        <f>IF((L34=""),"",((M33-N33)/(M33+P33))*100)</f>
        <v>12.649746125872333</v>
      </c>
      <c r="R33" s="28" t="str">
        <f>IF(L34="","",IF(Q33&lt;Z33,IF(N33&gt;V33,IF(M33&lt;W33,"Pass","Fail"),"Fail"),"Fail"))</f>
        <v>Fail</v>
      </c>
      <c r="S33" s="29">
        <v>1335</v>
      </c>
      <c r="T33" s="54"/>
      <c r="U33" s="40"/>
      <c r="V33" s="53">
        <v>9000</v>
      </c>
      <c r="W33" s="22">
        <v>15600</v>
      </c>
      <c r="X33" s="40">
        <v>8090</v>
      </c>
      <c r="Y33" s="40">
        <v>12070</v>
      </c>
      <c r="Z33" s="49">
        <v>15</v>
      </c>
      <c r="AA33" s="49">
        <v>6</v>
      </c>
    </row>
    <row r="34" spans="1:27" ht="15.75" customHeight="1">
      <c r="A34" s="94"/>
      <c r="B34" s="94"/>
      <c r="C34" s="30" t="s">
        <v>128</v>
      </c>
      <c r="D34" s="16">
        <v>26573.64</v>
      </c>
      <c r="E34" s="16">
        <v>26363.21</v>
      </c>
      <c r="F34" s="16">
        <v>26317.200000000001</v>
      </c>
      <c r="G34" s="16">
        <v>26203.46</v>
      </c>
      <c r="H34" s="16">
        <v>26495.9</v>
      </c>
      <c r="I34" s="16">
        <v>26616.080000000002</v>
      </c>
      <c r="J34" s="16">
        <v>26356.66</v>
      </c>
      <c r="K34" s="16">
        <v>26243.14</v>
      </c>
      <c r="L34" s="16">
        <v>26300.400000000001</v>
      </c>
      <c r="M34" s="31"/>
      <c r="N34" s="31"/>
      <c r="O34" s="31"/>
      <c r="P34" s="31"/>
      <c r="Q34" s="31"/>
      <c r="R34" s="32"/>
      <c r="S34" s="33"/>
      <c r="T34" s="55"/>
      <c r="V34" s="47"/>
      <c r="W34" s="47"/>
      <c r="X34" s="48"/>
      <c r="Y34" s="48"/>
      <c r="Z34" s="49"/>
      <c r="AA34" s="49"/>
    </row>
    <row r="35" spans="1:27" ht="16.5" customHeight="1" thickBot="1">
      <c r="A35" s="94"/>
      <c r="B35" s="94"/>
      <c r="C35" s="34" t="s">
        <v>129</v>
      </c>
      <c r="D35" s="35">
        <f t="shared" ref="D35:L35" si="7">IF(((D33="")*AND(D34="")),"",(D33-D34)*3)</f>
        <v>7505.1000000000022</v>
      </c>
      <c r="E35" s="35">
        <f t="shared" si="7"/>
        <v>7601.8500000000022</v>
      </c>
      <c r="F35" s="35">
        <f t="shared" si="7"/>
        <v>7836.4199999999983</v>
      </c>
      <c r="G35" s="35">
        <f t="shared" si="7"/>
        <v>8008.7400000000052</v>
      </c>
      <c r="H35" s="35">
        <f t="shared" si="7"/>
        <v>7963.4099999999926</v>
      </c>
      <c r="I35" s="35">
        <f t="shared" si="7"/>
        <v>7196.6999999999935</v>
      </c>
      <c r="J35" s="35">
        <f t="shared" si="7"/>
        <v>7440.7200000000048</v>
      </c>
      <c r="K35" s="35">
        <f t="shared" si="7"/>
        <v>7936.0800000000017</v>
      </c>
      <c r="L35" s="35">
        <f t="shared" si="7"/>
        <v>8288.2199999999939</v>
      </c>
      <c r="M35" s="36"/>
      <c r="N35" s="36"/>
      <c r="O35" s="36"/>
      <c r="P35" s="36"/>
      <c r="Q35" s="36"/>
      <c r="R35" s="37"/>
      <c r="S35" s="38"/>
      <c r="T35" s="56"/>
      <c r="U35" s="51"/>
      <c r="V35" s="50"/>
      <c r="W35" s="50"/>
      <c r="X35" s="51"/>
      <c r="Y35" s="51"/>
      <c r="Z35" s="52"/>
      <c r="AA35" s="52"/>
    </row>
    <row r="36" spans="1:27">
      <c r="A36" s="95">
        <v>42779</v>
      </c>
      <c r="B36" s="115" t="s">
        <v>429</v>
      </c>
      <c r="C36" s="26" t="s">
        <v>126</v>
      </c>
      <c r="D36" s="16">
        <v>29096.560000000001</v>
      </c>
      <c r="E36" s="16">
        <v>28907.85</v>
      </c>
      <c r="F36" s="16">
        <v>28901.14</v>
      </c>
      <c r="G36" s="16">
        <v>28900.85</v>
      </c>
      <c r="H36" s="16">
        <v>29094.959999999999</v>
      </c>
      <c r="I36" s="16">
        <v>29069.41</v>
      </c>
      <c r="J36" s="16">
        <v>28888.59</v>
      </c>
      <c r="K36" s="16">
        <v>28895.56</v>
      </c>
      <c r="L36" s="16">
        <v>29145.08</v>
      </c>
      <c r="M36" s="27">
        <f>IF((L37=""),"",MAX(D38:L38))</f>
        <v>9563.7900000000009</v>
      </c>
      <c r="N36" s="27">
        <f>IF(L37="","",MIN(D38:L38))</f>
        <v>8561.1299999999974</v>
      </c>
      <c r="O36" s="27">
        <f>IF((L38=""),"",AVERAGE(D38:L38))</f>
        <v>9168.7999999999975</v>
      </c>
      <c r="P36" s="27">
        <f>IF((L37=""),"",STDEV(D38:L38))</f>
        <v>323.13805590650895</v>
      </c>
      <c r="Q36" s="168">
        <f>IF((L37=""),"",((M36-N36)/(M36+P36))*100)</f>
        <v>10.141269303573099</v>
      </c>
      <c r="R36" s="28" t="str">
        <f>IF(L37="","",IF(Q36&lt;Z36,IF(N36&gt;V36,IF(M36&lt;W36,"Pass","Fail"),"Fail"),"Fail"))</f>
        <v>Fail</v>
      </c>
      <c r="S36" s="29">
        <v>1335</v>
      </c>
      <c r="U36" s="54" t="s">
        <v>134</v>
      </c>
      <c r="V36" s="53">
        <v>9000</v>
      </c>
      <c r="W36" s="22">
        <v>15600</v>
      </c>
      <c r="X36" s="40">
        <v>8090</v>
      </c>
      <c r="Y36" s="40">
        <v>12070</v>
      </c>
      <c r="Z36" s="49">
        <v>15</v>
      </c>
      <c r="AA36" s="49">
        <v>6</v>
      </c>
    </row>
    <row r="37" spans="1:27" ht="15.75" customHeight="1">
      <c r="A37" s="94"/>
      <c r="B37" s="94"/>
      <c r="C37" s="30" t="s">
        <v>128</v>
      </c>
      <c r="D37" s="16">
        <v>26145.09</v>
      </c>
      <c r="E37" s="16">
        <v>25859.86</v>
      </c>
      <c r="F37" s="16">
        <v>25849.32</v>
      </c>
      <c r="G37" s="16">
        <v>25773.919999999998</v>
      </c>
      <c r="H37" s="16">
        <v>25930.18</v>
      </c>
      <c r="I37" s="16">
        <v>26215.7</v>
      </c>
      <c r="J37" s="16">
        <v>25885.02</v>
      </c>
      <c r="K37" s="16">
        <v>25777.360000000001</v>
      </c>
      <c r="L37" s="16">
        <v>25957.15</v>
      </c>
      <c r="M37" s="31"/>
      <c r="N37" s="31"/>
      <c r="O37" s="31"/>
      <c r="P37" s="31"/>
      <c r="Q37" s="31"/>
      <c r="R37" s="32"/>
      <c r="S37" s="33"/>
      <c r="T37" s="55"/>
      <c r="V37" s="47"/>
      <c r="W37" s="47"/>
      <c r="X37" s="48"/>
      <c r="Y37" s="48"/>
      <c r="Z37" s="49"/>
      <c r="AA37" s="49"/>
    </row>
    <row r="38" spans="1:27" ht="16.5" customHeight="1" thickBot="1">
      <c r="A38" s="94"/>
      <c r="B38" s="94"/>
      <c r="C38" s="34" t="s">
        <v>129</v>
      </c>
      <c r="D38" s="35">
        <f t="shared" ref="D38:L38" si="8">IF(((D36="")*AND(D37="")),"",(D36-D37)*3)</f>
        <v>8854.4100000000035</v>
      </c>
      <c r="E38" s="35">
        <f t="shared" si="8"/>
        <v>9143.9699999999939</v>
      </c>
      <c r="F38" s="35">
        <f t="shared" si="8"/>
        <v>9155.4599999999991</v>
      </c>
      <c r="G38" s="35">
        <f t="shared" si="8"/>
        <v>9380.7900000000009</v>
      </c>
      <c r="H38" s="35">
        <f t="shared" si="8"/>
        <v>9494.3399999999965</v>
      </c>
      <c r="I38" s="35">
        <f t="shared" si="8"/>
        <v>8561.1299999999974</v>
      </c>
      <c r="J38" s="35">
        <f t="shared" si="8"/>
        <v>9010.7099999999991</v>
      </c>
      <c r="K38" s="35">
        <f t="shared" si="8"/>
        <v>9354.6000000000022</v>
      </c>
      <c r="L38" s="35">
        <f t="shared" si="8"/>
        <v>9563.7900000000009</v>
      </c>
      <c r="M38" s="36"/>
      <c r="N38" s="36"/>
      <c r="O38" s="36"/>
      <c r="P38" s="36"/>
      <c r="Q38" s="36"/>
      <c r="R38" s="37"/>
      <c r="S38" s="38"/>
      <c r="T38" s="56"/>
      <c r="U38" s="51"/>
      <c r="V38" s="50"/>
      <c r="W38" s="50"/>
      <c r="X38" s="51"/>
      <c r="Y38" s="51"/>
      <c r="Z38" s="52"/>
      <c r="AA38" s="52"/>
    </row>
    <row r="39" spans="1:27">
      <c r="A39" s="95">
        <v>42779</v>
      </c>
      <c r="B39" s="115" t="s">
        <v>429</v>
      </c>
      <c r="C39" s="26" t="s">
        <v>126</v>
      </c>
      <c r="D39" s="16">
        <v>29064.47</v>
      </c>
      <c r="E39" s="16">
        <v>28900.63</v>
      </c>
      <c r="F39" s="16">
        <v>28907.39</v>
      </c>
      <c r="G39" s="16">
        <v>28910.240000000002</v>
      </c>
      <c r="H39" s="16">
        <v>29062.95</v>
      </c>
      <c r="I39" s="16">
        <v>29071.94</v>
      </c>
      <c r="J39" s="16">
        <v>28899.57</v>
      </c>
      <c r="K39" s="16">
        <v>28900.75</v>
      </c>
      <c r="L39" s="16">
        <v>29170.68</v>
      </c>
      <c r="M39" s="27">
        <f>IF((L40=""),"",MAX(D41:L41))</f>
        <v>13906.470000000005</v>
      </c>
      <c r="N39" s="27">
        <f>IF(L40="","",MIN(D41:L41))</f>
        <v>11084.759999999995</v>
      </c>
      <c r="O39" s="27">
        <f>IF((L41=""),"",AVERAGE(D41:L41))</f>
        <v>12445.993333333332</v>
      </c>
      <c r="P39" s="27">
        <f>IF((L40=""),"",STDEV(D41:L41))</f>
        <v>813.15029580949101</v>
      </c>
      <c r="Q39" s="168">
        <f>IF((L40=""),"",((M39-N39)/(M39+P39))*100)</f>
        <v>19.169720028738226</v>
      </c>
      <c r="R39" s="28" t="str">
        <f>IF(L40="","",IF(Q39&lt;Z39,IF(N39&gt;V39,IF(M39&lt;W39,"Pass","Fail"),"Fail"),"Fail"))</f>
        <v>Fail</v>
      </c>
      <c r="S39" s="29">
        <v>1400</v>
      </c>
      <c r="U39" s="54" t="s">
        <v>135</v>
      </c>
      <c r="V39" s="53">
        <v>9000</v>
      </c>
      <c r="W39" s="22">
        <v>15600</v>
      </c>
      <c r="X39" s="40">
        <v>8090</v>
      </c>
      <c r="Y39" s="40">
        <v>12070</v>
      </c>
      <c r="Z39" s="49">
        <v>15</v>
      </c>
      <c r="AA39" s="49">
        <v>6</v>
      </c>
    </row>
    <row r="40" spans="1:27" ht="15.75" customHeight="1">
      <c r="A40" s="94"/>
      <c r="B40" s="94"/>
      <c r="C40" s="30" t="s">
        <v>128</v>
      </c>
      <c r="D40" s="16">
        <v>25209.4</v>
      </c>
      <c r="E40" s="16">
        <v>24818</v>
      </c>
      <c r="F40" s="16">
        <v>24703.05</v>
      </c>
      <c r="G40" s="16">
        <v>24637</v>
      </c>
      <c r="H40" s="16">
        <v>24427.46</v>
      </c>
      <c r="I40" s="16">
        <v>25377.02</v>
      </c>
      <c r="J40" s="16">
        <v>24838.240000000002</v>
      </c>
      <c r="K40" s="16">
        <v>24654.84</v>
      </c>
      <c r="L40" s="16">
        <v>24885.63</v>
      </c>
      <c r="M40" s="31"/>
      <c r="N40" s="31"/>
      <c r="O40" s="31"/>
      <c r="P40" s="31"/>
      <c r="Q40" s="31"/>
      <c r="R40" s="32"/>
      <c r="S40" s="33"/>
      <c r="T40" s="55"/>
      <c r="V40" s="47"/>
      <c r="W40" s="47"/>
      <c r="X40" s="48"/>
      <c r="Y40" s="48"/>
      <c r="Z40" s="49"/>
      <c r="AA40" s="49"/>
    </row>
    <row r="41" spans="1:27" ht="16.5" customHeight="1" thickBot="1">
      <c r="A41" s="94"/>
      <c r="B41" s="94"/>
      <c r="C41" s="34" t="s">
        <v>129</v>
      </c>
      <c r="D41" s="35">
        <f t="shared" ref="D41:L41" si="9">IF(((D39="")*AND(D40="")),"",(D39-D40)*3)</f>
        <v>11565.21</v>
      </c>
      <c r="E41" s="35">
        <f t="shared" si="9"/>
        <v>12247.890000000003</v>
      </c>
      <c r="F41" s="35">
        <f t="shared" si="9"/>
        <v>12613.02</v>
      </c>
      <c r="G41" s="35">
        <f t="shared" si="9"/>
        <v>12819.720000000005</v>
      </c>
      <c r="H41" s="35">
        <f t="shared" si="9"/>
        <v>13906.470000000005</v>
      </c>
      <c r="I41" s="35">
        <f t="shared" si="9"/>
        <v>11084.759999999995</v>
      </c>
      <c r="J41" s="35">
        <f t="shared" si="9"/>
        <v>12183.989999999994</v>
      </c>
      <c r="K41" s="35">
        <f t="shared" si="9"/>
        <v>12737.73</v>
      </c>
      <c r="L41" s="35">
        <f t="shared" si="9"/>
        <v>12855.149999999998</v>
      </c>
      <c r="M41" s="36"/>
      <c r="N41" s="36"/>
      <c r="O41" s="36"/>
      <c r="P41" s="36"/>
      <c r="Q41" s="36"/>
      <c r="R41" s="37"/>
      <c r="S41" s="38"/>
      <c r="T41" s="56"/>
      <c r="U41" s="51"/>
      <c r="V41" s="50"/>
      <c r="W41" s="50"/>
      <c r="X41" s="51"/>
      <c r="Y41" s="51"/>
      <c r="Z41" s="52"/>
      <c r="AA41" s="52"/>
    </row>
    <row r="42" spans="1:27">
      <c r="A42" s="95">
        <v>42779</v>
      </c>
      <c r="B42" s="115" t="s">
        <v>429</v>
      </c>
      <c r="C42" s="26" t="s">
        <v>126</v>
      </c>
      <c r="D42" s="16">
        <v>28760.73</v>
      </c>
      <c r="E42" s="16">
        <v>28732.15</v>
      </c>
      <c r="F42" s="16">
        <v>28725.61</v>
      </c>
      <c r="G42" s="16">
        <v>28708.58</v>
      </c>
      <c r="H42" s="16">
        <v>28786.09</v>
      </c>
      <c r="I42" s="16">
        <v>28929.84</v>
      </c>
      <c r="J42" s="16">
        <v>28738.45</v>
      </c>
      <c r="K42" s="16">
        <v>28720.48</v>
      </c>
      <c r="L42" s="16">
        <v>28976.36</v>
      </c>
      <c r="M42" s="27">
        <f>IF((L43=""),"",MAX(D44:L44))</f>
        <v>11845.439999999999</v>
      </c>
      <c r="N42" s="27">
        <f>IF(L43="","",MIN(D44:L44))</f>
        <v>10537.950000000004</v>
      </c>
      <c r="O42" s="27">
        <f>IF((L44=""),"",AVERAGE(D44:L44))</f>
        <v>11349.420000000004</v>
      </c>
      <c r="P42" s="27">
        <f>IF((L43=""),"",STDEV(D44:L44))</f>
        <v>407.93175945864436</v>
      </c>
      <c r="Q42" s="168">
        <f>IF((L43=""),"",((M42-N42)/(M42+P42))*100)</f>
        <v>10.670450759732434</v>
      </c>
      <c r="R42" s="28" t="str">
        <f>IF(L43="","",IF(Q42&lt;Z42,IF(N42&gt;V42,IF(M42&lt;W42,"Pass","Fail"),"Fail"),"Fail"))</f>
        <v>Pass</v>
      </c>
      <c r="S42" s="29"/>
      <c r="U42" s="54" t="s">
        <v>136</v>
      </c>
      <c r="V42" s="53">
        <v>9000</v>
      </c>
      <c r="W42" s="22">
        <v>15600</v>
      </c>
      <c r="X42" s="40">
        <v>8090</v>
      </c>
      <c r="Y42" s="40">
        <v>12070</v>
      </c>
      <c r="Z42" s="49">
        <v>15</v>
      </c>
      <c r="AA42" s="49">
        <v>6</v>
      </c>
    </row>
    <row r="43" spans="1:27" ht="15.75" customHeight="1">
      <c r="A43" s="94"/>
      <c r="B43" s="94"/>
      <c r="C43" s="30" t="s">
        <v>128</v>
      </c>
      <c r="D43" s="16">
        <v>24902.17</v>
      </c>
      <c r="E43" s="16">
        <v>25018.76</v>
      </c>
      <c r="F43" s="16">
        <v>24990.880000000001</v>
      </c>
      <c r="G43" s="16">
        <v>24774.73</v>
      </c>
      <c r="H43" s="16">
        <v>24990</v>
      </c>
      <c r="I43" s="16">
        <v>25417.19</v>
      </c>
      <c r="J43" s="16">
        <v>25039.07</v>
      </c>
      <c r="K43" s="16">
        <v>24869.35</v>
      </c>
      <c r="L43" s="16">
        <v>25027.88</v>
      </c>
      <c r="M43" s="31"/>
      <c r="N43" s="31"/>
      <c r="O43" s="31"/>
      <c r="P43" s="31"/>
      <c r="Q43" s="31"/>
      <c r="R43" s="32"/>
      <c r="S43" s="33"/>
      <c r="T43" s="55"/>
      <c r="V43" s="47"/>
      <c r="W43" s="47"/>
      <c r="X43" s="48"/>
      <c r="Y43" s="48"/>
      <c r="Z43" s="49"/>
      <c r="AA43" s="49"/>
    </row>
    <row r="44" spans="1:27" ht="16.5" customHeight="1" thickBot="1">
      <c r="A44" s="94"/>
      <c r="B44" s="94"/>
      <c r="C44" s="34" t="s">
        <v>129</v>
      </c>
      <c r="D44" s="35">
        <f t="shared" ref="D44:L44" si="10">IF(((D42="")*AND(D43="")),"",(D42-D43)*3)</f>
        <v>11575.680000000004</v>
      </c>
      <c r="E44" s="35">
        <f t="shared" si="10"/>
        <v>11140.170000000009</v>
      </c>
      <c r="F44" s="35">
        <f t="shared" si="10"/>
        <v>11204.189999999999</v>
      </c>
      <c r="G44" s="35">
        <f t="shared" si="10"/>
        <v>11801.550000000007</v>
      </c>
      <c r="H44" s="35">
        <f t="shared" si="10"/>
        <v>11388.27</v>
      </c>
      <c r="I44" s="35">
        <f t="shared" si="10"/>
        <v>10537.950000000004</v>
      </c>
      <c r="J44" s="35">
        <f t="shared" si="10"/>
        <v>11098.140000000003</v>
      </c>
      <c r="K44" s="35">
        <f t="shared" si="10"/>
        <v>11553.390000000003</v>
      </c>
      <c r="L44" s="35">
        <f t="shared" si="10"/>
        <v>11845.439999999999</v>
      </c>
      <c r="M44" s="36"/>
      <c r="N44" s="36"/>
      <c r="O44" s="36"/>
      <c r="P44" s="36"/>
      <c r="Q44" s="36"/>
      <c r="R44" s="37"/>
      <c r="S44" s="38"/>
      <c r="T44" s="56"/>
      <c r="U44" s="51"/>
      <c r="V44" s="50"/>
      <c r="W44" s="50"/>
      <c r="X44" s="51"/>
      <c r="Y44" s="51"/>
      <c r="Z44" s="52"/>
      <c r="AA44" s="52"/>
    </row>
    <row r="45" spans="1:27">
      <c r="A45" s="95">
        <v>42781</v>
      </c>
      <c r="B45" s="115" t="s">
        <v>429</v>
      </c>
      <c r="C45" s="26" t="s">
        <v>126</v>
      </c>
      <c r="D45" s="16">
        <v>28896.43</v>
      </c>
      <c r="E45" s="16">
        <v>28740.880000000001</v>
      </c>
      <c r="F45" s="16">
        <v>28763.86</v>
      </c>
      <c r="G45" s="16">
        <v>28733.53</v>
      </c>
      <c r="H45" s="16">
        <v>28963.759999999998</v>
      </c>
      <c r="I45" s="16">
        <v>28848.48</v>
      </c>
      <c r="J45" s="16">
        <v>28724.44</v>
      </c>
      <c r="K45" s="16">
        <v>28736.32</v>
      </c>
      <c r="L45" s="16">
        <v>28942.98</v>
      </c>
      <c r="M45" s="27">
        <f>IF((L46=""),"",MAX(D47:L47))</f>
        <v>12276.060000000001</v>
      </c>
      <c r="N45" s="27">
        <f>IF(L46="","",MIN(D47:L47))</f>
        <v>9636.9300000000039</v>
      </c>
      <c r="O45" s="27">
        <f>IF((L47=""),"",AVERAGE(D47:L47))</f>
        <v>10433.536666666665</v>
      </c>
      <c r="P45" s="27">
        <f>IF((L46=""),"",STDEV(D47:L47))</f>
        <v>746.59904286038204</v>
      </c>
      <c r="Q45" s="168">
        <f>IF((L46=""),"",((M45-N45)/(M45+P45))*100)</f>
        <v>20.265676858420779</v>
      </c>
      <c r="R45" s="28" t="str">
        <f>IF(L46="","",IF(Q45&lt;Z45,IF(N45&gt;V45,IF(M45&lt;W45,"Pass","Fail"),"Fail"),"Fail"))</f>
        <v>Fail</v>
      </c>
      <c r="S45" s="29">
        <v>1400</v>
      </c>
      <c r="T45" s="54"/>
      <c r="U45" s="40"/>
      <c r="V45" s="53">
        <v>9000</v>
      </c>
      <c r="W45" s="22">
        <v>15600</v>
      </c>
      <c r="X45" s="40">
        <v>8090</v>
      </c>
      <c r="Y45" s="40">
        <v>12070</v>
      </c>
      <c r="Z45" s="49">
        <v>15</v>
      </c>
      <c r="AA45" s="49">
        <v>6</v>
      </c>
    </row>
    <row r="46" spans="1:27" ht="15.75" customHeight="1">
      <c r="A46" s="94"/>
      <c r="B46" s="94"/>
      <c r="C46" s="30" t="s">
        <v>128</v>
      </c>
      <c r="D46" s="16">
        <v>25600.6</v>
      </c>
      <c r="E46" s="16">
        <v>25316.26</v>
      </c>
      <c r="F46" s="16">
        <v>25263.22</v>
      </c>
      <c r="G46" s="16">
        <v>25258.68</v>
      </c>
      <c r="H46" s="16">
        <v>25534.41</v>
      </c>
      <c r="I46" s="16">
        <v>25636.17</v>
      </c>
      <c r="J46" s="16">
        <v>25340.55</v>
      </c>
      <c r="K46" s="16">
        <v>25249.22</v>
      </c>
      <c r="L46" s="16">
        <v>24850.959999999999</v>
      </c>
      <c r="M46" s="31"/>
      <c r="N46" s="31"/>
      <c r="O46" s="31"/>
      <c r="P46" s="31"/>
      <c r="Q46" s="31"/>
      <c r="R46" s="32"/>
      <c r="S46" s="33"/>
      <c r="T46" s="55"/>
      <c r="V46" s="47"/>
      <c r="W46" s="47"/>
      <c r="X46" s="48"/>
      <c r="Y46" s="48"/>
      <c r="Z46" s="49"/>
      <c r="AA46" s="49"/>
    </row>
    <row r="47" spans="1:27" ht="16.5" customHeight="1" thickBot="1">
      <c r="A47" s="94"/>
      <c r="B47" s="94"/>
      <c r="C47" s="34" t="s">
        <v>129</v>
      </c>
      <c r="D47" s="35">
        <f t="shared" ref="D47:L47" si="11">IF(((D45="")*AND(D46="")),"",(D45-D46)*3)</f>
        <v>9887.4900000000052</v>
      </c>
      <c r="E47" s="35">
        <f t="shared" si="11"/>
        <v>10273.860000000008</v>
      </c>
      <c r="F47" s="35">
        <f t="shared" si="11"/>
        <v>10501.919999999998</v>
      </c>
      <c r="G47" s="35">
        <f t="shared" si="11"/>
        <v>10424.549999999996</v>
      </c>
      <c r="H47" s="35">
        <f t="shared" si="11"/>
        <v>10288.049999999996</v>
      </c>
      <c r="I47" s="35">
        <f t="shared" si="11"/>
        <v>9636.9300000000039</v>
      </c>
      <c r="J47" s="35">
        <f t="shared" si="11"/>
        <v>10151.669999999998</v>
      </c>
      <c r="K47" s="35">
        <f t="shared" si="11"/>
        <v>10461.299999999996</v>
      </c>
      <c r="L47" s="35">
        <f t="shared" si="11"/>
        <v>12276.060000000001</v>
      </c>
      <c r="M47" s="36"/>
      <c r="N47" s="36"/>
      <c r="O47" s="36"/>
      <c r="P47" s="36"/>
      <c r="Q47" s="36"/>
      <c r="R47" s="37"/>
      <c r="S47" s="38"/>
      <c r="T47" s="56"/>
      <c r="U47" s="51"/>
      <c r="V47" s="50"/>
      <c r="W47" s="50"/>
      <c r="X47" s="51"/>
      <c r="Y47" s="51"/>
      <c r="Z47" s="52"/>
      <c r="AA47" s="52"/>
    </row>
    <row r="48" spans="1:27">
      <c r="A48" s="95">
        <v>42783</v>
      </c>
      <c r="B48" s="115" t="s">
        <v>429</v>
      </c>
      <c r="C48" s="26" t="s">
        <v>126</v>
      </c>
      <c r="D48" s="16">
        <v>28924.11</v>
      </c>
      <c r="E48" s="16">
        <v>28760.6</v>
      </c>
      <c r="F48" s="16">
        <v>28747.59</v>
      </c>
      <c r="G48" s="16">
        <v>28751.79</v>
      </c>
      <c r="H48" s="16">
        <v>28965.52</v>
      </c>
      <c r="I48" s="16">
        <v>28903.1</v>
      </c>
      <c r="J48" s="16">
        <v>28734.47</v>
      </c>
      <c r="K48" s="16">
        <v>28762.13</v>
      </c>
      <c r="L48" s="16">
        <v>28996.61</v>
      </c>
      <c r="M48" s="27">
        <f>IF((L49=""),"",MAX(D50:L50))</f>
        <v>9712.02</v>
      </c>
      <c r="N48" s="27">
        <f>IF(L49="","",MIN(D50:L50))</f>
        <v>8800.9199999999983</v>
      </c>
      <c r="O48" s="27">
        <f>IF((L50=""),"",AVERAGE(D50:L50))</f>
        <v>9218.0800000000017</v>
      </c>
      <c r="P48" s="27">
        <f>IF((L49=""),"",STDEV(D50:L50))</f>
        <v>285.47091331690558</v>
      </c>
      <c r="Q48" s="168">
        <f>IF((L49=""),"",((M48-N48)/(M48+P48))*100)</f>
        <v>9.1132866026054042</v>
      </c>
      <c r="R48" s="28" t="str">
        <f>IF(L49="","",IF(Q48&lt;Z48,IF(N48&gt;V48,IF(M48&lt;W48,"Pass","Fail"),"Fail"),"Fail"))</f>
        <v>Fail</v>
      </c>
      <c r="S48" s="29">
        <v>1335</v>
      </c>
      <c r="T48" s="54" t="s">
        <v>137</v>
      </c>
      <c r="U48" s="55" t="s">
        <v>138</v>
      </c>
      <c r="V48" s="53">
        <v>9000</v>
      </c>
      <c r="W48" s="22">
        <v>15600</v>
      </c>
      <c r="X48" s="40">
        <v>8090</v>
      </c>
      <c r="Y48" s="40">
        <v>12070</v>
      </c>
      <c r="Z48" s="49">
        <v>15</v>
      </c>
      <c r="AA48" s="49">
        <v>6</v>
      </c>
    </row>
    <row r="49" spans="1:27" ht="15.75" customHeight="1">
      <c r="A49" s="94"/>
      <c r="B49" s="94"/>
      <c r="C49" s="30" t="s">
        <v>128</v>
      </c>
      <c r="D49" s="16">
        <v>25970.48</v>
      </c>
      <c r="E49" s="16">
        <v>25703.360000000001</v>
      </c>
      <c r="F49" s="16">
        <v>25708.12</v>
      </c>
      <c r="G49" s="16">
        <v>25629.42</v>
      </c>
      <c r="H49" s="16">
        <v>25838.5</v>
      </c>
      <c r="I49" s="16">
        <v>25969.46</v>
      </c>
      <c r="J49" s="16">
        <v>25689.23</v>
      </c>
      <c r="K49" s="16">
        <v>25623.84</v>
      </c>
      <c r="L49" s="16">
        <v>25759.27</v>
      </c>
      <c r="M49" s="31"/>
      <c r="N49" s="31"/>
      <c r="O49" s="31"/>
      <c r="P49" s="31"/>
      <c r="Q49" s="31"/>
      <c r="R49" s="32"/>
      <c r="S49" s="33"/>
      <c r="V49" s="47"/>
      <c r="W49" s="47"/>
      <c r="X49" s="48"/>
      <c r="Y49" s="48"/>
      <c r="Z49" s="49"/>
      <c r="AA49" s="49"/>
    </row>
    <row r="50" spans="1:27" ht="16.5" customHeight="1" thickBot="1">
      <c r="A50" s="94"/>
      <c r="B50" s="94"/>
      <c r="C50" s="34" t="s">
        <v>129</v>
      </c>
      <c r="D50" s="35">
        <f t="shared" ref="D50:L50" si="12">IF(((D48="")*AND(D49="")),"",(D48-D49)*3)</f>
        <v>8860.8900000000031</v>
      </c>
      <c r="E50" s="35">
        <f t="shared" si="12"/>
        <v>9171.7199999999939</v>
      </c>
      <c r="F50" s="35">
        <f t="shared" si="12"/>
        <v>9118.4100000000035</v>
      </c>
      <c r="G50" s="35">
        <f t="shared" si="12"/>
        <v>9367.1100000000079</v>
      </c>
      <c r="H50" s="35">
        <f t="shared" si="12"/>
        <v>9381.0600000000013</v>
      </c>
      <c r="I50" s="35">
        <f t="shared" si="12"/>
        <v>8800.9199999999983</v>
      </c>
      <c r="J50" s="35">
        <f t="shared" si="12"/>
        <v>9135.7200000000048</v>
      </c>
      <c r="K50" s="35">
        <f t="shared" si="12"/>
        <v>9414.8700000000026</v>
      </c>
      <c r="L50" s="35">
        <f t="shared" si="12"/>
        <v>9712.02</v>
      </c>
      <c r="M50" s="36"/>
      <c r="N50" s="36"/>
      <c r="O50" s="36"/>
      <c r="P50" s="36"/>
      <c r="Q50" s="36"/>
      <c r="R50" s="37"/>
      <c r="S50" s="38"/>
      <c r="T50" s="56"/>
      <c r="U50" s="51"/>
      <c r="V50" s="50"/>
      <c r="W50" s="50"/>
      <c r="X50" s="51"/>
      <c r="Y50" s="51"/>
      <c r="Z50" s="52"/>
      <c r="AA50" s="52"/>
    </row>
    <row r="51" spans="1:27">
      <c r="A51" s="95">
        <v>42788</v>
      </c>
      <c r="B51" s="115" t="s">
        <v>429</v>
      </c>
      <c r="C51" s="26" t="s">
        <v>126</v>
      </c>
      <c r="D51" s="16">
        <v>29331.14</v>
      </c>
      <c r="E51" s="16">
        <v>29201.58</v>
      </c>
      <c r="F51" s="16">
        <v>29270.26</v>
      </c>
      <c r="G51" s="16">
        <v>29206.95</v>
      </c>
      <c r="H51" s="16">
        <v>29445.13</v>
      </c>
      <c r="I51" s="16">
        <v>29361.9</v>
      </c>
      <c r="J51" s="16">
        <v>29207.16</v>
      </c>
      <c r="K51" s="16">
        <v>29194.45</v>
      </c>
      <c r="L51" s="16">
        <v>29451.98</v>
      </c>
      <c r="M51" s="27">
        <f>IF((L52=""),"",MAX(D53:L53))</f>
        <v>12070.29</v>
      </c>
      <c r="N51" s="27">
        <f>IF(L52="","",MIN(D53:L53))</f>
        <v>11189.430000000004</v>
      </c>
      <c r="O51" s="27">
        <f>IF((L53=""),"",AVERAGE(D53:L53))</f>
        <v>11647.606666666668</v>
      </c>
      <c r="P51" s="27">
        <f>IF((L52=""),"",STDEV(D53:L53))</f>
        <v>262.19950748428442</v>
      </c>
      <c r="Q51" s="168">
        <f>IF((L52=""),"",((M51-N51)/(M51+P51))*100)</f>
        <v>7.1425967925245306</v>
      </c>
      <c r="R51" s="28" t="str">
        <f>IF(L52="","",IF(Q51&lt;Z51,IF(N51&gt;V51,IF(M51&lt;W51,"Pass","Fail"),"Fail"),"Fail"))</f>
        <v>Pass</v>
      </c>
      <c r="S51" s="29">
        <v>1400</v>
      </c>
      <c r="T51" s="54" t="s">
        <v>139</v>
      </c>
      <c r="U51" s="40"/>
      <c r="V51" s="53">
        <v>9000</v>
      </c>
      <c r="W51" s="22">
        <v>15600</v>
      </c>
      <c r="X51" s="40">
        <v>8090</v>
      </c>
      <c r="Y51" s="40">
        <v>12070</v>
      </c>
      <c r="Z51" s="49">
        <v>15</v>
      </c>
      <c r="AA51" s="49">
        <v>6</v>
      </c>
    </row>
    <row r="52" spans="1:27" ht="15.75" customHeight="1">
      <c r="A52" s="94"/>
      <c r="B52" s="94"/>
      <c r="C52" s="30" t="s">
        <v>128</v>
      </c>
      <c r="D52" s="16">
        <v>25553.72</v>
      </c>
      <c r="E52" s="16">
        <v>25318.59</v>
      </c>
      <c r="F52" s="16">
        <v>25371.17</v>
      </c>
      <c r="G52" s="16">
        <v>25268.9</v>
      </c>
      <c r="H52" s="16">
        <v>25570.35</v>
      </c>
      <c r="I52" s="16">
        <v>25632.09</v>
      </c>
      <c r="J52" s="16">
        <v>25330.99</v>
      </c>
      <c r="K52" s="16">
        <v>25253.37</v>
      </c>
      <c r="L52" s="16">
        <v>25428.55</v>
      </c>
      <c r="M52" s="31"/>
      <c r="N52" s="31"/>
      <c r="O52" s="31"/>
      <c r="P52" s="31"/>
      <c r="Q52" s="31"/>
      <c r="R52" s="32"/>
      <c r="S52" s="33"/>
      <c r="T52" s="55"/>
      <c r="V52" s="47"/>
      <c r="W52" s="47"/>
      <c r="X52" s="48"/>
      <c r="Y52" s="48"/>
      <c r="Z52" s="49"/>
      <c r="AA52" s="49"/>
    </row>
    <row r="53" spans="1:27" ht="16.5" customHeight="1" thickBot="1">
      <c r="A53" s="94"/>
      <c r="B53" s="94"/>
      <c r="C53" s="34" t="s">
        <v>129</v>
      </c>
      <c r="D53" s="35">
        <f t="shared" ref="D53:L53" si="13">IF(((D51="")*AND(D52="")),"",(D51-D52)*3)</f>
        <v>11332.259999999995</v>
      </c>
      <c r="E53" s="35">
        <f t="shared" si="13"/>
        <v>11648.970000000005</v>
      </c>
      <c r="F53" s="35">
        <f t="shared" si="13"/>
        <v>11697.27</v>
      </c>
      <c r="G53" s="35">
        <f t="shared" si="13"/>
        <v>11814.149999999998</v>
      </c>
      <c r="H53" s="35">
        <f t="shared" si="13"/>
        <v>11624.340000000007</v>
      </c>
      <c r="I53" s="35">
        <f t="shared" si="13"/>
        <v>11189.430000000004</v>
      </c>
      <c r="J53" s="35">
        <f t="shared" si="13"/>
        <v>11628.509999999995</v>
      </c>
      <c r="K53" s="35">
        <f t="shared" si="13"/>
        <v>11823.240000000005</v>
      </c>
      <c r="L53" s="35">
        <f t="shared" si="13"/>
        <v>12070.29</v>
      </c>
      <c r="M53" s="36"/>
      <c r="N53" s="36"/>
      <c r="O53" s="36"/>
      <c r="P53" s="36"/>
      <c r="Q53" s="36"/>
      <c r="R53" s="37"/>
      <c r="S53" s="38"/>
      <c r="T53" s="56"/>
      <c r="U53" s="51"/>
      <c r="V53" s="50"/>
      <c r="W53" s="50"/>
      <c r="X53" s="51"/>
      <c r="Y53" s="51"/>
      <c r="Z53" s="52"/>
      <c r="AA53" s="52"/>
    </row>
    <row r="54" spans="1:27">
      <c r="A54" s="95">
        <v>42793</v>
      </c>
      <c r="B54" s="115" t="s">
        <v>429</v>
      </c>
      <c r="C54" s="26" t="s">
        <v>126</v>
      </c>
      <c r="D54" s="16">
        <v>29285.1</v>
      </c>
      <c r="E54" s="16">
        <v>29132.21</v>
      </c>
      <c r="F54" s="16">
        <v>29121.85</v>
      </c>
      <c r="G54" s="16">
        <v>29137.64</v>
      </c>
      <c r="H54" s="16">
        <v>29371.39</v>
      </c>
      <c r="I54" s="16">
        <v>29290.45</v>
      </c>
      <c r="J54" s="16">
        <v>29127.55</v>
      </c>
      <c r="K54" s="16">
        <v>29147.09</v>
      </c>
      <c r="L54" s="16">
        <v>29377.63</v>
      </c>
      <c r="M54" s="27">
        <f>IF((L55=""),"",MAX(D56:L56))</f>
        <v>11972.04</v>
      </c>
      <c r="N54" s="27">
        <f>IF(L55="","",MIN(D56:L56))</f>
        <v>11019.419999999998</v>
      </c>
      <c r="O54" s="27">
        <f>IF((L56=""),"",AVERAGE(D56:L56))</f>
        <v>11540.006666666663</v>
      </c>
      <c r="P54" s="27">
        <f>IF((L55=""),"",STDEV(D56:L56))</f>
        <v>299.32130821249001</v>
      </c>
      <c r="Q54" s="168">
        <f>IF((L55=""),"",((M54-N54)/(M54+P54))*100)</f>
        <v>7.7629529118539677</v>
      </c>
      <c r="R54" s="28" t="str">
        <f>IF(L55="","",IF(Q54&lt;Z54,IF(N54&gt;V54,IF(M54&lt;W54,"Pass","Fail"),"Fail"),"Fail"))</f>
        <v>Pass</v>
      </c>
      <c r="S54" s="29">
        <v>1400</v>
      </c>
      <c r="T54" s="54" t="s">
        <v>140</v>
      </c>
      <c r="U54" s="40"/>
      <c r="V54" s="53">
        <v>9000</v>
      </c>
      <c r="W54" s="22">
        <v>15600</v>
      </c>
      <c r="X54" s="40">
        <v>8090</v>
      </c>
      <c r="Y54" s="40">
        <v>12070</v>
      </c>
      <c r="Z54" s="49">
        <v>15</v>
      </c>
      <c r="AA54" s="49">
        <v>6</v>
      </c>
    </row>
    <row r="55" spans="1:27" ht="15.75" customHeight="1">
      <c r="A55" s="94"/>
      <c r="B55" s="94"/>
      <c r="C55" s="30" t="s">
        <v>128</v>
      </c>
      <c r="D55" s="16">
        <v>25575.56</v>
      </c>
      <c r="E55" s="16">
        <v>25285.279999999999</v>
      </c>
      <c r="F55" s="16">
        <v>25244.57</v>
      </c>
      <c r="G55" s="16">
        <v>25231.94</v>
      </c>
      <c r="H55" s="16">
        <v>25518.36</v>
      </c>
      <c r="I55" s="16">
        <v>25617.31</v>
      </c>
      <c r="J55" s="16">
        <v>25284.7</v>
      </c>
      <c r="K55" s="16">
        <v>25226.22</v>
      </c>
      <c r="L55" s="16">
        <v>25386.95</v>
      </c>
      <c r="M55" s="31"/>
      <c r="N55" s="31"/>
      <c r="O55" s="31"/>
      <c r="P55" s="31"/>
      <c r="Q55" s="31"/>
      <c r="R55" s="32"/>
      <c r="S55" s="33"/>
      <c r="T55" s="55"/>
      <c r="V55" s="47"/>
      <c r="W55" s="47"/>
      <c r="X55" s="48"/>
      <c r="Y55" s="48"/>
      <c r="Z55" s="49"/>
      <c r="AA55" s="49"/>
    </row>
    <row r="56" spans="1:27" ht="16.5" customHeight="1" thickBot="1">
      <c r="A56" s="94"/>
      <c r="B56" s="94"/>
      <c r="C56" s="34" t="s">
        <v>129</v>
      </c>
      <c r="D56" s="35">
        <f t="shared" ref="D56:L56" si="14">IF(((D54="")*AND(D55="")),"",(D54-D55)*3)</f>
        <v>11128.619999999992</v>
      </c>
      <c r="E56" s="35">
        <f t="shared" si="14"/>
        <v>11540.79</v>
      </c>
      <c r="F56" s="35">
        <f t="shared" si="14"/>
        <v>11631.839999999997</v>
      </c>
      <c r="G56" s="35">
        <f t="shared" si="14"/>
        <v>11717.100000000002</v>
      </c>
      <c r="H56" s="35">
        <f t="shared" si="14"/>
        <v>11559.089999999997</v>
      </c>
      <c r="I56" s="35">
        <f t="shared" si="14"/>
        <v>11019.419999999998</v>
      </c>
      <c r="J56" s="35">
        <f t="shared" si="14"/>
        <v>11528.549999999996</v>
      </c>
      <c r="K56" s="35">
        <f t="shared" si="14"/>
        <v>11762.609999999997</v>
      </c>
      <c r="L56" s="35">
        <f t="shared" si="14"/>
        <v>11972.04</v>
      </c>
      <c r="M56" s="36"/>
      <c r="N56" s="36"/>
      <c r="O56" s="36"/>
      <c r="P56" s="36"/>
      <c r="Q56" s="36"/>
      <c r="R56" s="37"/>
      <c r="S56" s="38"/>
      <c r="T56" s="56"/>
      <c r="U56" s="51"/>
      <c r="V56" s="50"/>
      <c r="W56" s="50"/>
      <c r="X56" s="51"/>
      <c r="Y56" s="51"/>
      <c r="Z56" s="52"/>
      <c r="AA56" s="52"/>
    </row>
    <row r="57" spans="1:27">
      <c r="A57" s="95">
        <v>42800</v>
      </c>
      <c r="B57" s="115" t="s">
        <v>429</v>
      </c>
      <c r="C57" s="26" t="s">
        <v>126</v>
      </c>
      <c r="D57" s="16">
        <v>29248.17</v>
      </c>
      <c r="E57" s="16">
        <v>29070.959999999999</v>
      </c>
      <c r="F57" s="16">
        <v>29068.07</v>
      </c>
      <c r="G57" s="16">
        <v>29093.22</v>
      </c>
      <c r="H57" s="16">
        <v>29298.87</v>
      </c>
      <c r="I57" s="16">
        <v>29252.37</v>
      </c>
      <c r="J57" s="16">
        <v>29080.47</v>
      </c>
      <c r="K57" s="16">
        <v>29063.18</v>
      </c>
      <c r="L57" s="16">
        <v>29307.38</v>
      </c>
      <c r="M57" s="27">
        <f>IF((L58=""),"",MAX(D59:L59))</f>
        <v>9865.4700000000048</v>
      </c>
      <c r="N57" s="27">
        <f>IF(L58="","",MIN(D59:L59))</f>
        <v>9190.8599999999969</v>
      </c>
      <c r="O57" s="27">
        <f>IF((L59=""),"",AVERAGE(D59:L59))</f>
        <v>9611.9699999999993</v>
      </c>
      <c r="P57" s="27">
        <f>IF((L58=""),"",STDEV(D59:L59))</f>
        <v>230.15993108061977</v>
      </c>
      <c r="Q57" s="168">
        <f>IF((L58=""),"",((M57-N57)/(M57+P57))*100)</f>
        <v>6.6821981848120142</v>
      </c>
      <c r="R57" s="28" t="str">
        <f>IF(L58="","",IF(Q57&lt;Z57,IF(N57&gt;V57,IF(M57&lt;W57,"Pass","Fail"),"Fail"),"Fail"))</f>
        <v>Pass</v>
      </c>
      <c r="S57" s="29">
        <v>1400</v>
      </c>
      <c r="T57" s="54" t="s">
        <v>141</v>
      </c>
      <c r="U57" s="40"/>
      <c r="V57" s="53">
        <v>9000</v>
      </c>
      <c r="W57" s="22">
        <v>15600</v>
      </c>
      <c r="X57" s="40">
        <v>8090</v>
      </c>
      <c r="Y57" s="40">
        <v>12070</v>
      </c>
      <c r="Z57" s="49">
        <v>15</v>
      </c>
      <c r="AA57" s="49">
        <v>6</v>
      </c>
    </row>
    <row r="58" spans="1:27" ht="15.75" customHeight="1">
      <c r="A58" s="94"/>
      <c r="B58" s="94"/>
      <c r="C58" s="30" t="s">
        <v>128</v>
      </c>
      <c r="D58" s="16">
        <v>26184.55</v>
      </c>
      <c r="E58" s="16">
        <v>25887.78</v>
      </c>
      <c r="F58" s="16">
        <v>25870.95</v>
      </c>
      <c r="G58" s="16">
        <v>25823.51</v>
      </c>
      <c r="H58" s="16">
        <v>26032.97</v>
      </c>
      <c r="I58" s="16">
        <v>26147.87</v>
      </c>
      <c r="J58" s="16">
        <v>25858.21</v>
      </c>
      <c r="K58" s="16">
        <v>25822.05</v>
      </c>
      <c r="L58" s="16">
        <v>26018.89</v>
      </c>
      <c r="M58" s="31"/>
      <c r="N58" s="31"/>
      <c r="O58" s="31"/>
      <c r="P58" s="31"/>
      <c r="Q58" s="31"/>
      <c r="R58" s="32"/>
      <c r="S58" s="33"/>
      <c r="T58" s="55"/>
      <c r="V58" s="47"/>
      <c r="W58" s="47"/>
      <c r="X58" s="48"/>
      <c r="Y58" s="48"/>
      <c r="Z58" s="49"/>
      <c r="AA58" s="49"/>
    </row>
    <row r="59" spans="1:27" ht="16.5" customHeight="1" thickBot="1">
      <c r="A59" s="94"/>
      <c r="B59" s="94"/>
      <c r="C59" s="34" t="s">
        <v>129</v>
      </c>
      <c r="D59" s="35">
        <f t="shared" ref="D59:L59" si="15">IF(((D57="")*AND(D58="")),"",(D57-D58)*3)</f>
        <v>9190.8599999999969</v>
      </c>
      <c r="E59" s="35">
        <f t="shared" si="15"/>
        <v>9549.5400000000009</v>
      </c>
      <c r="F59" s="35">
        <f t="shared" si="15"/>
        <v>9591.3599999999969</v>
      </c>
      <c r="G59" s="35">
        <f t="shared" si="15"/>
        <v>9809.1300000000083</v>
      </c>
      <c r="H59" s="35">
        <f t="shared" si="15"/>
        <v>9797.6999999999935</v>
      </c>
      <c r="I59" s="35">
        <f t="shared" si="15"/>
        <v>9313.5</v>
      </c>
      <c r="J59" s="35">
        <f t="shared" si="15"/>
        <v>9666.7800000000061</v>
      </c>
      <c r="K59" s="35">
        <f t="shared" si="15"/>
        <v>9723.3900000000031</v>
      </c>
      <c r="L59" s="35">
        <f t="shared" si="15"/>
        <v>9865.4700000000048</v>
      </c>
      <c r="M59" s="36"/>
      <c r="N59" s="36"/>
      <c r="O59" s="36"/>
      <c r="P59" s="36"/>
      <c r="Q59" s="36"/>
      <c r="R59" s="37"/>
      <c r="S59" s="38"/>
      <c r="T59" s="56"/>
      <c r="U59" s="51"/>
      <c r="V59" s="50"/>
      <c r="W59" s="50"/>
      <c r="X59" s="51"/>
      <c r="Y59" s="51"/>
      <c r="Z59" s="52"/>
      <c r="AA59" s="52"/>
    </row>
    <row r="60" spans="1:27">
      <c r="A60" s="95">
        <v>42804</v>
      </c>
      <c r="B60" s="115" t="s">
        <v>429</v>
      </c>
      <c r="C60" s="26" t="s">
        <v>126</v>
      </c>
      <c r="D60" s="16">
        <v>29242.62</v>
      </c>
      <c r="E60" s="16">
        <v>29032.74</v>
      </c>
      <c r="F60" s="16">
        <v>28918.38</v>
      </c>
      <c r="G60" s="16">
        <v>29039.69</v>
      </c>
      <c r="H60" s="16">
        <v>29223.99</v>
      </c>
      <c r="I60" s="16">
        <v>29238.21</v>
      </c>
      <c r="J60" s="16">
        <v>29056.69</v>
      </c>
      <c r="K60" s="16">
        <v>29032.36</v>
      </c>
      <c r="L60" s="16">
        <v>29207.03</v>
      </c>
      <c r="M60" s="27">
        <f>IF((L61=""),"",MAX(D62:L62))</f>
        <v>10984.29</v>
      </c>
      <c r="N60" s="27">
        <f>IF(L61="","",MIN(D62:L62))</f>
        <v>10132.140000000003</v>
      </c>
      <c r="O60" s="27">
        <f>IF((L62=""),"",AVERAGE(D62:L62))</f>
        <v>10589.263333333336</v>
      </c>
      <c r="P60" s="27">
        <f>IF((L61=""),"",STDEV(D62:L62))</f>
        <v>315.22156711583887</v>
      </c>
      <c r="Q60" s="168">
        <f>IF((L61=""),"",((M60-N60)/(M60+P60))*100)</f>
        <v>7.5414764163784644</v>
      </c>
      <c r="R60" s="28" t="str">
        <f>IF(L61="","",IF(Q60&lt;Z60,IF(N60&gt;V60,IF(M60&lt;W60,"Pass","Fail"),"Fail"),"Fail"))</f>
        <v>Pass</v>
      </c>
      <c r="S60" s="29">
        <v>1400</v>
      </c>
      <c r="T60" s="54" t="s">
        <v>142</v>
      </c>
      <c r="U60" s="40"/>
      <c r="V60" s="53">
        <v>9000</v>
      </c>
      <c r="W60" s="22">
        <v>15600</v>
      </c>
      <c r="X60" s="40">
        <v>8090</v>
      </c>
      <c r="Y60" s="40">
        <v>12070</v>
      </c>
      <c r="Z60" s="49">
        <v>15</v>
      </c>
      <c r="AA60" s="49">
        <v>6</v>
      </c>
    </row>
    <row r="61" spans="1:27" ht="15.75" customHeight="1">
      <c r="A61" s="94"/>
      <c r="B61" s="94"/>
      <c r="C61" s="30" t="s">
        <v>128</v>
      </c>
      <c r="D61" s="16">
        <v>25811.26</v>
      </c>
      <c r="E61" s="16">
        <v>25530.76</v>
      </c>
      <c r="F61" s="16">
        <v>25541</v>
      </c>
      <c r="G61" s="16">
        <v>25423.19</v>
      </c>
      <c r="H61" s="16">
        <v>25633.94</v>
      </c>
      <c r="I61" s="16">
        <v>25837.21</v>
      </c>
      <c r="J61" s="16">
        <v>25488.240000000002</v>
      </c>
      <c r="K61" s="16">
        <v>25412.720000000001</v>
      </c>
      <c r="L61" s="16">
        <v>25545.599999999999</v>
      </c>
      <c r="M61" s="31"/>
      <c r="N61" s="31"/>
      <c r="O61" s="31"/>
      <c r="P61" s="31"/>
      <c r="Q61" s="31"/>
      <c r="R61" s="32"/>
      <c r="S61" s="33"/>
      <c r="T61" s="55"/>
      <c r="V61" s="47"/>
      <c r="W61" s="47"/>
      <c r="X61" s="48"/>
      <c r="Y61" s="48"/>
      <c r="Z61" s="49"/>
      <c r="AA61" s="49"/>
    </row>
    <row r="62" spans="1:27" ht="16.5" customHeight="1" thickBot="1">
      <c r="A62" s="94"/>
      <c r="B62" s="94"/>
      <c r="C62" s="34" t="s">
        <v>129</v>
      </c>
      <c r="D62" s="35">
        <f t="shared" ref="D62:L62" si="16">IF(((D60="")*AND(D61="")),"",(D60-D61)*3)</f>
        <v>10294.080000000002</v>
      </c>
      <c r="E62" s="35">
        <f t="shared" si="16"/>
        <v>10505.94000000001</v>
      </c>
      <c r="F62" s="35">
        <f t="shared" si="16"/>
        <v>10132.140000000003</v>
      </c>
      <c r="G62" s="35">
        <f t="shared" si="16"/>
        <v>10849.5</v>
      </c>
      <c r="H62" s="35">
        <f t="shared" si="16"/>
        <v>10770.150000000009</v>
      </c>
      <c r="I62" s="35">
        <f t="shared" si="16"/>
        <v>10203</v>
      </c>
      <c r="J62" s="35">
        <f t="shared" si="16"/>
        <v>10705.349999999991</v>
      </c>
      <c r="K62" s="35">
        <f t="shared" si="16"/>
        <v>10858.919999999998</v>
      </c>
      <c r="L62" s="35">
        <f t="shared" si="16"/>
        <v>10984.29</v>
      </c>
      <c r="M62" s="36"/>
      <c r="N62" s="36"/>
      <c r="O62" s="36"/>
      <c r="P62" s="36"/>
      <c r="Q62" s="36"/>
      <c r="R62" s="37"/>
      <c r="S62" s="38"/>
      <c r="T62" s="56"/>
      <c r="U62" s="51"/>
      <c r="V62" s="50"/>
      <c r="W62" s="50"/>
      <c r="X62" s="51"/>
      <c r="Y62" s="51"/>
      <c r="Z62" s="52"/>
      <c r="AA62" s="52"/>
    </row>
    <row r="63" spans="1:27">
      <c r="A63" s="95">
        <v>42814</v>
      </c>
      <c r="B63" s="115" t="s">
        <v>429</v>
      </c>
      <c r="C63" s="26" t="s">
        <v>126</v>
      </c>
      <c r="D63" s="16">
        <v>29105.15</v>
      </c>
      <c r="E63" s="16">
        <v>28931.84</v>
      </c>
      <c r="F63" s="16">
        <v>28942.04</v>
      </c>
      <c r="G63" s="16">
        <v>28945.97</v>
      </c>
      <c r="H63" s="16">
        <v>29165.45</v>
      </c>
      <c r="I63" s="16">
        <v>29120.37</v>
      </c>
      <c r="J63" s="16">
        <v>28942.560000000001</v>
      </c>
      <c r="K63" s="16">
        <v>28935.86</v>
      </c>
      <c r="L63" s="16">
        <v>29160.74</v>
      </c>
      <c r="M63" s="27">
        <f>IF((L64=""),"",MAX(D65:L65))</f>
        <v>11036.070000000007</v>
      </c>
      <c r="N63" s="27">
        <f>IF(L64="","",MIN(D65:L65))</f>
        <v>10183.649999999998</v>
      </c>
      <c r="O63" s="27">
        <f>IF((L65=""),"",AVERAGE(D65:L65))</f>
        <v>10628.203333333335</v>
      </c>
      <c r="P63" s="27">
        <f>IF((L64=""),"",STDEV(D65:L65))</f>
        <v>281.51347183570846</v>
      </c>
      <c r="Q63" s="168">
        <f>IF((L64=""),"",((M63-N63)/(M63+P63))*100)</f>
        <v>7.5318198635008295</v>
      </c>
      <c r="R63" s="28" t="str">
        <f>IF(L64="","",IF(Q63&lt;Z63,IF(N63&gt;V63,IF(M63&lt;W63,"Pass","Fail"),"Fail"),"Fail"))</f>
        <v>Pass</v>
      </c>
      <c r="S63" s="29">
        <v>1428</v>
      </c>
      <c r="T63" s="54" t="s">
        <v>143</v>
      </c>
      <c r="U63" s="40"/>
      <c r="V63" s="53">
        <v>9000</v>
      </c>
      <c r="W63" s="22">
        <v>15600</v>
      </c>
      <c r="X63" s="40">
        <v>8090</v>
      </c>
      <c r="Y63" s="40">
        <v>12070</v>
      </c>
      <c r="Z63" s="49">
        <v>15</v>
      </c>
      <c r="AA63" s="49">
        <v>6</v>
      </c>
    </row>
    <row r="64" spans="1:27" ht="15.75" customHeight="1">
      <c r="A64" s="94"/>
      <c r="B64" s="94"/>
      <c r="C64" s="30" t="s">
        <v>128</v>
      </c>
      <c r="D64" s="16">
        <v>25706.65</v>
      </c>
      <c r="E64" s="16">
        <v>25401</v>
      </c>
      <c r="F64" s="16">
        <v>25388.48</v>
      </c>
      <c r="G64" s="16">
        <v>25341.279999999999</v>
      </c>
      <c r="H64" s="16">
        <v>25579.95</v>
      </c>
      <c r="I64" s="16">
        <v>25725.82</v>
      </c>
      <c r="J64" s="16">
        <v>25404.06</v>
      </c>
      <c r="K64" s="16">
        <v>25336.080000000002</v>
      </c>
      <c r="L64" s="16">
        <v>25482.05</v>
      </c>
      <c r="M64" s="31"/>
      <c r="N64" s="31"/>
      <c r="O64" s="31"/>
      <c r="P64" s="31"/>
      <c r="Q64" s="31"/>
      <c r="R64" s="32"/>
      <c r="S64" s="33"/>
      <c r="T64" s="55"/>
      <c r="V64" s="47"/>
      <c r="W64" s="47"/>
      <c r="X64" s="48"/>
      <c r="Y64" s="48"/>
      <c r="Z64" s="49"/>
      <c r="AA64" s="49"/>
    </row>
    <row r="65" spans="1:27" ht="16.5" customHeight="1" thickBot="1">
      <c r="A65" s="94"/>
      <c r="B65" s="94"/>
      <c r="C65" s="34" t="s">
        <v>129</v>
      </c>
      <c r="D65" s="35">
        <f t="shared" ref="D65:L65" si="17">IF(((D63="")*AND(D64="")),"",(D63-D64)*3)</f>
        <v>10195.5</v>
      </c>
      <c r="E65" s="35">
        <f t="shared" si="17"/>
        <v>10592.52</v>
      </c>
      <c r="F65" s="35">
        <f t="shared" si="17"/>
        <v>10660.680000000004</v>
      </c>
      <c r="G65" s="35">
        <f t="shared" si="17"/>
        <v>10814.070000000007</v>
      </c>
      <c r="H65" s="35">
        <f t="shared" si="17"/>
        <v>10756.5</v>
      </c>
      <c r="I65" s="35">
        <f t="shared" si="17"/>
        <v>10183.649999999998</v>
      </c>
      <c r="J65" s="35">
        <f t="shared" si="17"/>
        <v>10615.5</v>
      </c>
      <c r="K65" s="35">
        <f t="shared" si="17"/>
        <v>10799.339999999997</v>
      </c>
      <c r="L65" s="35">
        <f t="shared" si="17"/>
        <v>11036.070000000007</v>
      </c>
      <c r="M65" s="36"/>
      <c r="N65" s="36"/>
      <c r="O65" s="36"/>
      <c r="P65" s="36"/>
      <c r="Q65" s="36"/>
      <c r="R65" s="37"/>
      <c r="S65" s="38"/>
      <c r="T65" s="56"/>
      <c r="U65" s="51"/>
      <c r="V65" s="50"/>
      <c r="W65" s="50"/>
      <c r="X65" s="51"/>
      <c r="Y65" s="51"/>
      <c r="Z65" s="52"/>
      <c r="AA65" s="52"/>
    </row>
    <row r="66" spans="1:27">
      <c r="A66" s="95">
        <v>42830</v>
      </c>
      <c r="B66" s="115" t="s">
        <v>429</v>
      </c>
      <c r="C66" s="26" t="s">
        <v>126</v>
      </c>
      <c r="D66" s="16">
        <v>28978.5</v>
      </c>
      <c r="E66" s="16">
        <v>28855.88</v>
      </c>
      <c r="F66" s="16">
        <v>28890.400000000001</v>
      </c>
      <c r="G66" s="16">
        <v>28851.59</v>
      </c>
      <c r="H66" s="16">
        <v>29061.88</v>
      </c>
      <c r="I66" s="16">
        <v>28980.73</v>
      </c>
      <c r="J66" s="16">
        <v>28839.39</v>
      </c>
      <c r="K66" s="16">
        <v>28855.33</v>
      </c>
      <c r="L66" s="16">
        <v>29114.86</v>
      </c>
      <c r="M66" s="27">
        <f>IF((L67=""),"",MAX(D68:L68))</f>
        <v>10503.660000000003</v>
      </c>
      <c r="N66" s="27">
        <f>IF(L67="","",MIN(D68:L68))</f>
        <v>9493.9199999999983</v>
      </c>
      <c r="O66" s="27">
        <f>IF((L68=""),"",AVERAGE(D68:L68))</f>
        <v>10062.833333333336</v>
      </c>
      <c r="P66" s="27">
        <f>IF((L67=""),"",STDEV(D68:L68))</f>
        <v>296.12249944071624</v>
      </c>
      <c r="Q66" s="168">
        <f>IF((L67=""),"",((M66-N66)/(M66+P66))*100)</f>
        <v>9.3496327361434908</v>
      </c>
      <c r="R66" s="28" t="str">
        <f>IF(L67="","",IF(Q66&lt;Z66,IF(N66&gt;V66,IF(M66&lt;W66,"Pass","Fail"),"Fail"),"Fail"))</f>
        <v>Pass</v>
      </c>
      <c r="S66" s="29">
        <v>1335</v>
      </c>
      <c r="T66" s="54"/>
      <c r="U66" s="40"/>
      <c r="V66" s="53">
        <v>9000</v>
      </c>
      <c r="W66" s="22">
        <v>15600</v>
      </c>
      <c r="X66" s="40">
        <v>8090</v>
      </c>
      <c r="Y66" s="40">
        <v>12070</v>
      </c>
      <c r="Z66" s="49">
        <v>15</v>
      </c>
      <c r="AA66" s="49">
        <v>6</v>
      </c>
    </row>
    <row r="67" spans="1:27" ht="15.75" customHeight="1">
      <c r="A67" s="94"/>
      <c r="B67" s="94"/>
      <c r="C67" s="30" t="s">
        <v>128</v>
      </c>
      <c r="D67" s="16">
        <v>25709.17</v>
      </c>
      <c r="E67" s="16">
        <v>25509.1</v>
      </c>
      <c r="F67" s="16">
        <v>25545.99</v>
      </c>
      <c r="G67" s="16">
        <v>25457.73</v>
      </c>
      <c r="H67" s="16">
        <v>25624.78</v>
      </c>
      <c r="I67" s="16">
        <v>25816.09</v>
      </c>
      <c r="J67" s="16">
        <v>25520.39</v>
      </c>
      <c r="K67" s="16">
        <v>25443.17</v>
      </c>
      <c r="L67" s="16">
        <v>25613.64</v>
      </c>
      <c r="M67" s="31"/>
      <c r="N67" s="31"/>
      <c r="O67" s="31"/>
      <c r="P67" s="31"/>
      <c r="Q67" s="31"/>
      <c r="R67" s="32"/>
      <c r="S67" s="33"/>
      <c r="T67" s="55"/>
      <c r="V67" s="47"/>
      <c r="W67" s="47"/>
      <c r="X67" s="48"/>
      <c r="Y67" s="48"/>
      <c r="Z67" s="49"/>
      <c r="AA67" s="49"/>
    </row>
    <row r="68" spans="1:27" ht="16.5" customHeight="1" thickBot="1">
      <c r="A68" s="94"/>
      <c r="B68" s="94"/>
      <c r="C68" s="34" t="s">
        <v>129</v>
      </c>
      <c r="D68" s="35">
        <f t="shared" ref="D68:L68" si="18">IF(((D66="")*AND(D67="")),"",(D66-D67)*3)</f>
        <v>9807.9900000000052</v>
      </c>
      <c r="E68" s="35">
        <f t="shared" si="18"/>
        <v>10040.340000000007</v>
      </c>
      <c r="F68" s="35">
        <f t="shared" si="18"/>
        <v>10033.23</v>
      </c>
      <c r="G68" s="35">
        <f t="shared" si="18"/>
        <v>10181.580000000002</v>
      </c>
      <c r="H68" s="35">
        <f t="shared" si="18"/>
        <v>10311.300000000007</v>
      </c>
      <c r="I68" s="35">
        <f t="shared" si="18"/>
        <v>9493.9199999999983</v>
      </c>
      <c r="J68" s="35">
        <f t="shared" si="18"/>
        <v>9957</v>
      </c>
      <c r="K68" s="35">
        <f t="shared" si="18"/>
        <v>10236.48000000001</v>
      </c>
      <c r="L68" s="35">
        <f t="shared" si="18"/>
        <v>10503.660000000003</v>
      </c>
      <c r="M68" s="36"/>
      <c r="N68" s="36"/>
      <c r="O68" s="36"/>
      <c r="P68" s="36"/>
      <c r="Q68" s="36"/>
      <c r="R68" s="37"/>
      <c r="S68" s="38"/>
      <c r="T68" s="56"/>
      <c r="U68" s="51"/>
      <c r="V68" s="50"/>
      <c r="W68" s="50"/>
      <c r="X68" s="51"/>
      <c r="Y68" s="51"/>
      <c r="Z68" s="52"/>
      <c r="AA68" s="52"/>
    </row>
    <row r="69" spans="1:27">
      <c r="A69" s="95">
        <v>42835</v>
      </c>
      <c r="B69" s="115" t="s">
        <v>429</v>
      </c>
      <c r="C69" s="26" t="s">
        <v>126</v>
      </c>
      <c r="D69" s="16">
        <v>29067.41</v>
      </c>
      <c r="E69" s="16">
        <v>28872.28</v>
      </c>
      <c r="F69" s="16">
        <v>28848.33</v>
      </c>
      <c r="G69" s="16">
        <v>28854.53</v>
      </c>
      <c r="H69" s="16">
        <v>29068.71</v>
      </c>
      <c r="I69" s="16">
        <v>29020.13</v>
      </c>
      <c r="J69" s="16">
        <v>28857.23</v>
      </c>
      <c r="K69" s="16">
        <v>28861.98</v>
      </c>
      <c r="L69" s="16">
        <v>29065.16</v>
      </c>
      <c r="M69" s="27">
        <f>IF((L70=""),"",MAX(D71:L71))</f>
        <v>10619.759999999995</v>
      </c>
      <c r="N69" s="27">
        <f>IF(L70="","",MIN(D71:L71))</f>
        <v>9738.9599999999991</v>
      </c>
      <c r="O69" s="27">
        <f>IF((L71=""),"",AVERAGE(D71:L71))</f>
        <v>10189.309999999998</v>
      </c>
      <c r="P69" s="27">
        <f>IF((L70=""),"",STDEV(D71:L71))</f>
        <v>275.82105802492794</v>
      </c>
      <c r="Q69" s="168">
        <f>IF((L70=""),"",((M69-N69)/(M69+P69))*100)</f>
        <v>8.0840112639174944</v>
      </c>
      <c r="R69" s="28" t="str">
        <f>IF(L70="","",IF(Q69&lt;Z69,IF(N69&gt;V69,IF(M69&lt;W69,"Pass","Fail"),"Fail"),"Fail"))</f>
        <v>Pass</v>
      </c>
      <c r="S69" s="29">
        <v>1400</v>
      </c>
      <c r="T69" s="54" t="s">
        <v>144</v>
      </c>
      <c r="U69" s="40"/>
      <c r="V69" s="53">
        <v>9000</v>
      </c>
      <c r="W69" s="22">
        <v>15600</v>
      </c>
      <c r="X69" s="40">
        <v>8090</v>
      </c>
      <c r="Y69" s="40">
        <v>12070</v>
      </c>
      <c r="Z69" s="49">
        <v>15</v>
      </c>
      <c r="AA69" s="49">
        <v>6</v>
      </c>
    </row>
    <row r="70" spans="1:27" ht="15.75" customHeight="1">
      <c r="A70" s="94"/>
      <c r="B70" s="94"/>
      <c r="C70" s="30" t="s">
        <v>128</v>
      </c>
      <c r="D70" s="16">
        <v>25794.62</v>
      </c>
      <c r="E70" s="16">
        <v>25484.33</v>
      </c>
      <c r="F70" s="16">
        <v>25456.34</v>
      </c>
      <c r="G70" s="16">
        <v>25398.89</v>
      </c>
      <c r="H70" s="16">
        <v>25663.79</v>
      </c>
      <c r="I70" s="16">
        <v>25773.81</v>
      </c>
      <c r="J70" s="16">
        <v>25459.72</v>
      </c>
      <c r="K70" s="16">
        <v>25391.09</v>
      </c>
      <c r="L70" s="16">
        <v>25525.24</v>
      </c>
      <c r="M70" s="31"/>
      <c r="N70" s="31"/>
      <c r="O70" s="31"/>
      <c r="P70" s="31"/>
      <c r="Q70" s="31"/>
      <c r="R70" s="32"/>
      <c r="S70" s="33"/>
      <c r="T70" s="55"/>
      <c r="V70" s="47"/>
      <c r="W70" s="47"/>
      <c r="X70" s="48"/>
      <c r="Y70" s="48"/>
      <c r="Z70" s="49"/>
      <c r="AA70" s="49"/>
    </row>
    <row r="71" spans="1:27" ht="16.5" customHeight="1" thickBot="1">
      <c r="A71" s="94"/>
      <c r="B71" s="94"/>
      <c r="C71" s="34" t="s">
        <v>129</v>
      </c>
      <c r="D71" s="35">
        <f t="shared" ref="D71:L71" si="19">IF(((D69="")*AND(D70="")),"",(D69-D70)*3)</f>
        <v>9818.3700000000026</v>
      </c>
      <c r="E71" s="35">
        <f t="shared" si="19"/>
        <v>10163.849999999991</v>
      </c>
      <c r="F71" s="35">
        <f t="shared" si="19"/>
        <v>10175.970000000005</v>
      </c>
      <c r="G71" s="35">
        <f t="shared" si="19"/>
        <v>10366.919999999998</v>
      </c>
      <c r="H71" s="35">
        <f t="shared" si="19"/>
        <v>10214.759999999995</v>
      </c>
      <c r="I71" s="35">
        <f t="shared" si="19"/>
        <v>9738.9599999999991</v>
      </c>
      <c r="J71" s="35">
        <f t="shared" si="19"/>
        <v>10192.529999999995</v>
      </c>
      <c r="K71" s="35">
        <f t="shared" si="19"/>
        <v>10412.669999999998</v>
      </c>
      <c r="L71" s="35">
        <f t="shared" si="19"/>
        <v>10619.759999999995</v>
      </c>
      <c r="M71" s="36"/>
      <c r="N71" s="36"/>
      <c r="O71" s="36"/>
      <c r="P71" s="36"/>
      <c r="Q71" s="36"/>
      <c r="R71" s="37"/>
      <c r="S71" s="38"/>
      <c r="T71" s="56"/>
      <c r="U71" s="51"/>
      <c r="V71" s="50"/>
      <c r="W71" s="50"/>
      <c r="X71" s="51"/>
      <c r="Y71" s="51"/>
      <c r="Z71" s="52"/>
      <c r="AA71" s="52"/>
    </row>
    <row r="72" spans="1:27">
      <c r="A72" s="95">
        <v>42838</v>
      </c>
      <c r="B72" s="115" t="s">
        <v>429</v>
      </c>
      <c r="C72" s="26" t="s">
        <v>126</v>
      </c>
      <c r="D72" s="16">
        <v>28985.89</v>
      </c>
      <c r="E72" s="16">
        <v>28804.77</v>
      </c>
      <c r="F72" s="16">
        <v>28847.05</v>
      </c>
      <c r="G72" s="16">
        <v>28810.85</v>
      </c>
      <c r="H72" s="16">
        <v>28990.02</v>
      </c>
      <c r="I72" s="16">
        <v>28946.31</v>
      </c>
      <c r="J72" s="16">
        <v>28790.16</v>
      </c>
      <c r="K72" s="16">
        <v>28798.1</v>
      </c>
      <c r="L72" s="16">
        <v>29037.86</v>
      </c>
      <c r="M72" s="27">
        <f>IF((L73=""),"",MAX(D74:L74))</f>
        <v>10923.54</v>
      </c>
      <c r="N72" s="27">
        <f>IF(L73="","",MIN(D74:L74))</f>
        <v>10002.720000000005</v>
      </c>
      <c r="O72" s="27">
        <f>IF((L74=""),"",AVERAGE(D74:L74))</f>
        <v>10579.21</v>
      </c>
      <c r="P72" s="27">
        <f>IF((L73=""),"",STDEV(D74:L74))</f>
        <v>305.58665722668724</v>
      </c>
      <c r="Q72" s="168">
        <f>IF((L73=""),"",((M72-N72)/(M72+P72))*100)</f>
        <v>8.2002815366534954</v>
      </c>
      <c r="R72" s="28" t="str">
        <f>IF(L73="","",IF(Q72&lt;Z72,IF(N72&gt;V72,IF(M72&lt;W72,"Pass","Fail"),"Fail"),"Fail"))</f>
        <v>Pass</v>
      </c>
      <c r="S72" s="29">
        <v>1428</v>
      </c>
      <c r="T72" s="54"/>
      <c r="U72" s="40"/>
      <c r="V72" s="53">
        <v>9000</v>
      </c>
      <c r="W72" s="22">
        <v>15600</v>
      </c>
      <c r="X72" s="40">
        <v>8090</v>
      </c>
      <c r="Y72" s="40">
        <v>12070</v>
      </c>
      <c r="Z72" s="49">
        <v>15</v>
      </c>
      <c r="AA72" s="49">
        <v>6</v>
      </c>
    </row>
    <row r="73" spans="1:27" ht="15.75" customHeight="1">
      <c r="A73" s="94"/>
      <c r="B73" s="94"/>
      <c r="C73" s="30" t="s">
        <v>128</v>
      </c>
      <c r="D73" s="16">
        <v>25585.24</v>
      </c>
      <c r="E73" s="16">
        <v>25283.66</v>
      </c>
      <c r="F73" s="16">
        <v>25305.24</v>
      </c>
      <c r="G73" s="16">
        <v>25201.57</v>
      </c>
      <c r="H73" s="16">
        <v>25389.200000000001</v>
      </c>
      <c r="I73" s="16">
        <v>25612.07</v>
      </c>
      <c r="J73" s="16">
        <v>25289.38</v>
      </c>
      <c r="K73" s="16">
        <v>25210.34</v>
      </c>
      <c r="L73" s="16">
        <v>25396.68</v>
      </c>
      <c r="M73" s="31"/>
      <c r="N73" s="31"/>
      <c r="O73" s="31"/>
      <c r="P73" s="31"/>
      <c r="Q73" s="31"/>
      <c r="R73" s="32"/>
      <c r="S73" s="33"/>
      <c r="T73" s="55"/>
      <c r="V73" s="47"/>
      <c r="W73" s="47"/>
      <c r="X73" s="48"/>
      <c r="Y73" s="48"/>
      <c r="Z73" s="49"/>
      <c r="AA73" s="49"/>
    </row>
    <row r="74" spans="1:27" ht="16.5" customHeight="1" thickBot="1">
      <c r="A74" s="94"/>
      <c r="B74" s="94"/>
      <c r="C74" s="34" t="s">
        <v>129</v>
      </c>
      <c r="D74" s="35">
        <f t="shared" ref="D74:L74" si="20">IF(((D72="")*AND(D73="")),"",(D72-D73)*3)</f>
        <v>10201.949999999993</v>
      </c>
      <c r="E74" s="35">
        <f t="shared" si="20"/>
        <v>10563.330000000002</v>
      </c>
      <c r="F74" s="35">
        <f t="shared" si="20"/>
        <v>10625.429999999993</v>
      </c>
      <c r="G74" s="35">
        <f t="shared" si="20"/>
        <v>10827.839999999997</v>
      </c>
      <c r="H74" s="35">
        <f t="shared" si="20"/>
        <v>10802.46</v>
      </c>
      <c r="I74" s="35">
        <f t="shared" si="20"/>
        <v>10002.720000000005</v>
      </c>
      <c r="J74" s="35">
        <f t="shared" si="20"/>
        <v>10502.339999999997</v>
      </c>
      <c r="K74" s="35">
        <f t="shared" si="20"/>
        <v>10763.279999999995</v>
      </c>
      <c r="L74" s="35">
        <f t="shared" si="20"/>
        <v>10923.54</v>
      </c>
      <c r="M74" s="36"/>
      <c r="N74" s="36"/>
      <c r="O74" s="36"/>
      <c r="P74" s="36"/>
      <c r="Q74" s="36"/>
      <c r="R74" s="37"/>
      <c r="S74" s="38"/>
      <c r="T74" s="56"/>
      <c r="U74" s="51"/>
      <c r="V74" s="50"/>
      <c r="W74" s="50"/>
      <c r="X74" s="51"/>
      <c r="Y74" s="51"/>
      <c r="Z74" s="52"/>
      <c r="AA74" s="52"/>
    </row>
    <row r="75" spans="1:27">
      <c r="A75" s="95">
        <v>42838</v>
      </c>
      <c r="B75" s="115" t="s">
        <v>429</v>
      </c>
      <c r="C75" s="26" t="s">
        <v>126</v>
      </c>
      <c r="D75" s="16">
        <v>29013.73</v>
      </c>
      <c r="E75" s="16">
        <v>28818.41</v>
      </c>
      <c r="F75" s="16">
        <v>28818.57</v>
      </c>
      <c r="G75" s="16">
        <v>28825.06</v>
      </c>
      <c r="H75" s="16">
        <v>29061.34</v>
      </c>
      <c r="I75" s="16">
        <v>28965.45</v>
      </c>
      <c r="J75" s="16">
        <v>28806.04</v>
      </c>
      <c r="K75" s="16">
        <v>28824.86</v>
      </c>
      <c r="L75" s="16">
        <v>29045.64</v>
      </c>
      <c r="M75" s="27">
        <f>IF((L76=""),"",MAX(D77:L77))</f>
        <v>10201.649999999998</v>
      </c>
      <c r="N75" s="27">
        <f>IF(L76="","",MIN(D77:L77))</f>
        <v>9300.0600000000013</v>
      </c>
      <c r="O75" s="27">
        <f>IF((L77=""),"",AVERAGE(D77:L77))</f>
        <v>9781.409999999998</v>
      </c>
      <c r="P75" s="27">
        <f>IF((L76=""),"",STDEV(D77:L77))</f>
        <v>271.71838799576449</v>
      </c>
      <c r="Q75" s="168">
        <f>IF((L76=""),"",((M75-N75)/(M75+P75))*100)</f>
        <v>8.6084053057216039</v>
      </c>
      <c r="R75" s="28" t="str">
        <f>IF(L76="","",IF(Q75&lt;Z75,IF(N75&gt;V75,IF(M75&lt;W75,"Pass","Fail"),"Fail"),"Fail"))</f>
        <v>Pass</v>
      </c>
      <c r="S75" s="29">
        <v>1159</v>
      </c>
      <c r="T75" s="54" t="s">
        <v>145</v>
      </c>
      <c r="U75" s="40"/>
      <c r="V75" s="53">
        <v>9000</v>
      </c>
      <c r="W75" s="22">
        <v>15600</v>
      </c>
      <c r="X75" s="40">
        <v>8090</v>
      </c>
      <c r="Y75" s="40">
        <v>12070</v>
      </c>
      <c r="Z75" s="49">
        <v>15</v>
      </c>
      <c r="AA75" s="49">
        <v>6</v>
      </c>
    </row>
    <row r="76" spans="1:27" ht="15.75" customHeight="1">
      <c r="A76" s="94"/>
      <c r="B76" s="94"/>
      <c r="C76" s="30" t="s">
        <v>128</v>
      </c>
      <c r="D76" s="16">
        <v>25865.18</v>
      </c>
      <c r="E76" s="16">
        <v>25552.52</v>
      </c>
      <c r="F76" s="16">
        <v>25554.48</v>
      </c>
      <c r="G76" s="16">
        <v>25514.85</v>
      </c>
      <c r="H76" s="16">
        <v>25784.79</v>
      </c>
      <c r="I76" s="16">
        <v>25865.43</v>
      </c>
      <c r="J76" s="16">
        <v>25557.54</v>
      </c>
      <c r="K76" s="16">
        <v>25494.99</v>
      </c>
      <c r="L76" s="16">
        <v>25645.09</v>
      </c>
      <c r="M76" s="31"/>
      <c r="N76" s="31"/>
      <c r="O76" s="31"/>
      <c r="P76" s="31"/>
      <c r="Q76" s="31"/>
      <c r="R76" s="32"/>
      <c r="S76" s="33"/>
      <c r="T76" s="55"/>
      <c r="V76" s="47"/>
      <c r="W76" s="47"/>
      <c r="X76" s="48"/>
      <c r="Y76" s="48"/>
      <c r="Z76" s="49"/>
      <c r="AA76" s="49"/>
    </row>
    <row r="77" spans="1:27" ht="16.5" customHeight="1" thickBot="1">
      <c r="A77" s="94"/>
      <c r="B77" s="94"/>
      <c r="C77" s="34" t="s">
        <v>129</v>
      </c>
      <c r="D77" s="35">
        <f t="shared" ref="D77:L77" si="21">IF(((D75="")*AND(D76="")),"",(D75-D76)*3)</f>
        <v>9445.6499999999978</v>
      </c>
      <c r="E77" s="35">
        <f t="shared" si="21"/>
        <v>9797.6699999999983</v>
      </c>
      <c r="F77" s="35">
        <f t="shared" si="21"/>
        <v>9792.27</v>
      </c>
      <c r="G77" s="35">
        <f t="shared" si="21"/>
        <v>9930.6300000000083</v>
      </c>
      <c r="H77" s="35">
        <f t="shared" si="21"/>
        <v>9829.6499999999978</v>
      </c>
      <c r="I77" s="35">
        <f t="shared" si="21"/>
        <v>9300.0600000000013</v>
      </c>
      <c r="J77" s="35">
        <f t="shared" si="21"/>
        <v>9745.5</v>
      </c>
      <c r="K77" s="35">
        <f t="shared" si="21"/>
        <v>9989.6099999999969</v>
      </c>
      <c r="L77" s="35">
        <f t="shared" si="21"/>
        <v>10201.649999999998</v>
      </c>
      <c r="M77" s="36"/>
      <c r="N77" s="36"/>
      <c r="O77" s="36"/>
      <c r="P77" s="36"/>
      <c r="Q77" s="36"/>
      <c r="R77" s="37"/>
      <c r="S77" s="38"/>
      <c r="T77" s="56"/>
      <c r="U77" s="51"/>
      <c r="V77" s="50"/>
      <c r="W77" s="50"/>
      <c r="X77" s="51"/>
      <c r="Y77" s="51"/>
      <c r="Z77" s="52"/>
      <c r="AA77" s="52"/>
    </row>
    <row r="78" spans="1:27">
      <c r="A78" s="95">
        <v>42843</v>
      </c>
      <c r="B78" s="115" t="s">
        <v>429</v>
      </c>
      <c r="C78" s="26" t="s">
        <v>126</v>
      </c>
      <c r="D78" s="16">
        <v>28950.63</v>
      </c>
      <c r="E78" s="16">
        <v>28809.27</v>
      </c>
      <c r="F78" s="16">
        <v>28867.4</v>
      </c>
      <c r="G78" s="16">
        <v>28827.81</v>
      </c>
      <c r="H78" s="16">
        <v>29066.89</v>
      </c>
      <c r="I78" s="16">
        <v>28959.3</v>
      </c>
      <c r="J78" s="16">
        <v>28804.95</v>
      </c>
      <c r="K78" s="16">
        <v>28813.91</v>
      </c>
      <c r="L78" s="16">
        <v>29043.01</v>
      </c>
      <c r="M78" s="27">
        <f>IF((L79=""),"",MAX(D80:L80))</f>
        <v>10495.469999999994</v>
      </c>
      <c r="N78" s="27">
        <f>IF(L79="","",MIN(D80:L80))</f>
        <v>9497.1599999999926</v>
      </c>
      <c r="O78" s="27">
        <f>IF((L80=""),"",AVERAGE(D80:L80))</f>
        <v>10047.960000000001</v>
      </c>
      <c r="P78" s="27">
        <f>IF((L79=""),"",STDEV(D80:L80))</f>
        <v>288.52095032246638</v>
      </c>
      <c r="Q78" s="168">
        <f>IF((L79=""),"",((M78-N78)/(M78+P78))*100)</f>
        <v>9.2573334361908941</v>
      </c>
      <c r="R78" s="28" t="str">
        <f>IF(L79="","",IF(Q78&lt;Z78,IF(N78&gt;V78,IF(M78&lt;W78,"Pass","Fail"),"Fail"),"Fail"))</f>
        <v>Pass</v>
      </c>
      <c r="S78" s="29">
        <v>1335</v>
      </c>
      <c r="T78" s="54"/>
      <c r="U78" s="40"/>
      <c r="V78" s="53">
        <v>9000</v>
      </c>
      <c r="W78" s="22">
        <v>15600</v>
      </c>
      <c r="X78" s="40">
        <v>8090</v>
      </c>
      <c r="Y78" s="40">
        <v>12070</v>
      </c>
      <c r="Z78" s="49">
        <v>15</v>
      </c>
      <c r="AA78" s="49">
        <v>6</v>
      </c>
    </row>
    <row r="79" spans="1:27" ht="15.75" customHeight="1">
      <c r="A79" s="94"/>
      <c r="B79" s="94"/>
      <c r="C79" s="30" t="s">
        <v>128</v>
      </c>
      <c r="D79" s="16">
        <v>25700.12</v>
      </c>
      <c r="E79" s="16">
        <v>25442.91</v>
      </c>
      <c r="F79" s="16">
        <v>25512.17</v>
      </c>
      <c r="G79" s="16">
        <v>25440.38</v>
      </c>
      <c r="H79" s="16">
        <v>25691.61</v>
      </c>
      <c r="I79" s="16">
        <v>25793.58</v>
      </c>
      <c r="J79" s="16">
        <v>25481.26</v>
      </c>
      <c r="K79" s="16">
        <v>25392.74</v>
      </c>
      <c r="L79" s="16">
        <v>25544.52</v>
      </c>
      <c r="M79" s="31"/>
      <c r="N79" s="31"/>
      <c r="O79" s="31"/>
      <c r="P79" s="31"/>
      <c r="Q79" s="31"/>
      <c r="R79" s="32"/>
      <c r="S79" s="33"/>
      <c r="T79" s="55"/>
      <c r="V79" s="47"/>
      <c r="W79" s="47"/>
      <c r="X79" s="48"/>
      <c r="Y79" s="48"/>
      <c r="Z79" s="49"/>
      <c r="AA79" s="49"/>
    </row>
    <row r="80" spans="1:27" ht="16.5" customHeight="1" thickBot="1">
      <c r="A80" s="94"/>
      <c r="B80" s="94"/>
      <c r="C80" s="34" t="s">
        <v>129</v>
      </c>
      <c r="D80" s="35">
        <f t="shared" ref="D80:L80" si="22">IF(((D78="")*AND(D79="")),"",(D78-D79)*3)</f>
        <v>9751.5300000000061</v>
      </c>
      <c r="E80" s="35">
        <f t="shared" si="22"/>
        <v>10099.080000000002</v>
      </c>
      <c r="F80" s="35">
        <f t="shared" si="22"/>
        <v>10065.69000000001</v>
      </c>
      <c r="G80" s="35">
        <f t="shared" si="22"/>
        <v>10162.290000000001</v>
      </c>
      <c r="H80" s="35">
        <f t="shared" si="22"/>
        <v>10125.839999999997</v>
      </c>
      <c r="I80" s="35">
        <f t="shared" si="22"/>
        <v>9497.1599999999926</v>
      </c>
      <c r="J80" s="35">
        <f t="shared" si="22"/>
        <v>9971.070000000007</v>
      </c>
      <c r="K80" s="35">
        <f t="shared" si="22"/>
        <v>10263.509999999995</v>
      </c>
      <c r="L80" s="35">
        <f t="shared" si="22"/>
        <v>10495.469999999994</v>
      </c>
      <c r="M80" s="36"/>
      <c r="N80" s="36"/>
      <c r="O80" s="36"/>
      <c r="P80" s="36"/>
      <c r="Q80" s="36"/>
      <c r="R80" s="37"/>
      <c r="S80" s="38"/>
      <c r="T80" s="56"/>
      <c r="U80" s="51"/>
      <c r="V80" s="50"/>
      <c r="W80" s="50"/>
      <c r="X80" s="51"/>
      <c r="Y80" s="51"/>
      <c r="Z80" s="52"/>
      <c r="AA80" s="52"/>
    </row>
    <row r="81" spans="1:27">
      <c r="A81" s="95">
        <v>42846</v>
      </c>
      <c r="B81" s="115" t="s">
        <v>429</v>
      </c>
      <c r="C81" s="26" t="s">
        <v>126</v>
      </c>
      <c r="D81" s="16">
        <v>28932.78</v>
      </c>
      <c r="E81" s="16">
        <v>28764.22</v>
      </c>
      <c r="F81" s="16">
        <v>28756.58</v>
      </c>
      <c r="G81" s="16">
        <v>28765.25</v>
      </c>
      <c r="H81" s="16">
        <v>28989.67</v>
      </c>
      <c r="I81" s="16">
        <v>28952.22</v>
      </c>
      <c r="J81" s="16">
        <v>28763.02</v>
      </c>
      <c r="K81" s="16">
        <v>28753.43</v>
      </c>
      <c r="L81" s="16">
        <v>28982.25</v>
      </c>
      <c r="M81" s="27">
        <f>IF((L82=""),"",MAX(D83:L83))</f>
        <v>11013.299999999996</v>
      </c>
      <c r="N81" s="27">
        <f>IF(L82="","",MIN(D83:L83))</f>
        <v>9826.6500000000087</v>
      </c>
      <c r="O81" s="27">
        <f>IF((L83=""),"",AVERAGE(D83:L83))</f>
        <v>10347.870000000003</v>
      </c>
      <c r="P81" s="27">
        <f>IF((L82=""),"",STDEV(D83:L83))</f>
        <v>340.37061859093751</v>
      </c>
      <c r="Q81" s="168">
        <f>IF((L82=""),"",((M81-N81)/(M81+P81))*100)</f>
        <v>10.451685977721786</v>
      </c>
      <c r="R81" s="28" t="str">
        <f>IF(L82="","",IF(Q81&lt;Z81,IF(N81&gt;V81,IF(M81&lt;W81,"Pass","Fail"),"Fail"),"Fail"))</f>
        <v>Pass</v>
      </c>
      <c r="S81" s="29">
        <v>1159</v>
      </c>
      <c r="T81" s="54" t="s">
        <v>146</v>
      </c>
      <c r="U81" s="40"/>
      <c r="V81" s="53">
        <v>9000</v>
      </c>
      <c r="W81" s="22">
        <v>15600</v>
      </c>
      <c r="X81" s="40">
        <v>8090</v>
      </c>
      <c r="Y81" s="40">
        <v>12070</v>
      </c>
      <c r="Z81" s="49">
        <v>15</v>
      </c>
      <c r="AA81" s="49">
        <v>6</v>
      </c>
    </row>
    <row r="82" spans="1:27" ht="15.75" customHeight="1">
      <c r="A82" s="94"/>
      <c r="B82" s="94"/>
      <c r="C82" s="30" t="s">
        <v>128</v>
      </c>
      <c r="D82" s="16">
        <v>25590.43</v>
      </c>
      <c r="E82" s="16">
        <v>25330.18</v>
      </c>
      <c r="F82" s="16">
        <v>25345.09</v>
      </c>
      <c r="G82" s="16">
        <v>25278.38</v>
      </c>
      <c r="H82" s="16">
        <v>25508.26</v>
      </c>
      <c r="I82" s="16">
        <v>25676.67</v>
      </c>
      <c r="J82" s="16">
        <v>25352.46</v>
      </c>
      <c r="K82" s="16">
        <v>25223.19</v>
      </c>
      <c r="L82" s="16">
        <v>25311.15</v>
      </c>
      <c r="M82" s="31"/>
      <c r="N82" s="31"/>
      <c r="O82" s="31"/>
      <c r="P82" s="31"/>
      <c r="Q82" s="31"/>
      <c r="R82" s="32"/>
      <c r="S82" s="33"/>
      <c r="T82" s="55"/>
      <c r="V82" s="47"/>
      <c r="W82" s="47"/>
      <c r="X82" s="48"/>
      <c r="Y82" s="48"/>
      <c r="Z82" s="49"/>
      <c r="AA82" s="49"/>
    </row>
    <row r="83" spans="1:27" ht="16.5" customHeight="1" thickBot="1">
      <c r="A83" s="94"/>
      <c r="B83" s="94"/>
      <c r="C83" s="34" t="s">
        <v>129</v>
      </c>
      <c r="D83" s="35">
        <f t="shared" ref="D83:L83" si="23">IF(((D81="")*AND(D82="")),"",(D81-D82)*3)</f>
        <v>10027.049999999996</v>
      </c>
      <c r="E83" s="35">
        <f t="shared" si="23"/>
        <v>10302.120000000003</v>
      </c>
      <c r="F83" s="35">
        <f t="shared" si="23"/>
        <v>10234.470000000005</v>
      </c>
      <c r="G83" s="35">
        <f t="shared" si="23"/>
        <v>10460.609999999997</v>
      </c>
      <c r="H83" s="35">
        <f t="shared" si="23"/>
        <v>10444.23</v>
      </c>
      <c r="I83" s="35">
        <f t="shared" si="23"/>
        <v>9826.6500000000087</v>
      </c>
      <c r="J83" s="35">
        <f t="shared" si="23"/>
        <v>10231.680000000004</v>
      </c>
      <c r="K83" s="35">
        <f t="shared" si="23"/>
        <v>10590.720000000005</v>
      </c>
      <c r="L83" s="35">
        <f t="shared" si="23"/>
        <v>11013.299999999996</v>
      </c>
      <c r="M83" s="36"/>
      <c r="N83" s="36"/>
      <c r="O83" s="36"/>
      <c r="P83" s="36"/>
      <c r="Q83" s="36"/>
      <c r="R83" s="37"/>
      <c r="S83" s="38"/>
      <c r="T83" s="56"/>
      <c r="U83" s="51"/>
      <c r="V83" s="50"/>
      <c r="W83" s="50"/>
      <c r="X83" s="51"/>
      <c r="Y83" s="51"/>
      <c r="Z83" s="52"/>
      <c r="AA83" s="52"/>
    </row>
    <row r="84" spans="1:27">
      <c r="A84" s="95">
        <v>42850</v>
      </c>
      <c r="B84" s="115" t="s">
        <v>429</v>
      </c>
      <c r="C84" s="26" t="s">
        <v>126</v>
      </c>
      <c r="D84" s="16">
        <v>28938.21</v>
      </c>
      <c r="E84" s="16">
        <v>28806.74</v>
      </c>
      <c r="F84" s="16">
        <v>28847.23</v>
      </c>
      <c r="G84" s="16">
        <v>28756.21</v>
      </c>
      <c r="H84" s="16">
        <v>29011.56</v>
      </c>
      <c r="I84" s="16">
        <v>28999.72</v>
      </c>
      <c r="J84" s="16">
        <v>28766.68</v>
      </c>
      <c r="K84" s="16">
        <v>28770.05</v>
      </c>
      <c r="L84" s="16">
        <v>29053.64</v>
      </c>
      <c r="M84" s="27">
        <f>IF((L85=""),"",MAX(D86:L86))</f>
        <v>11878.350000000002</v>
      </c>
      <c r="N84" s="27">
        <f>IF(L85="","",MIN(D86:L86))</f>
        <v>10331.880000000008</v>
      </c>
      <c r="O84" s="27">
        <f>IF((L86=""),"",AVERAGE(D86:L86))</f>
        <v>11037.773333333333</v>
      </c>
      <c r="P84" s="27">
        <f>IF((L85=""),"",STDEV(D86:L86))</f>
        <v>472.67631824006264</v>
      </c>
      <c r="Q84" s="168">
        <f>IF((L85=""),"",((M84-N84)/(M84+P84))*100)</f>
        <v>12.520983764046868</v>
      </c>
      <c r="R84" s="28" t="str">
        <f>IF(L85="","",IF(Q84&lt;Z84,IF(N84&gt;V84,IF(M84&lt;W84,"Pass","Fail"),"Fail"),"Fail"))</f>
        <v>Pass</v>
      </c>
      <c r="S84" s="29">
        <v>1335</v>
      </c>
      <c r="T84" s="54"/>
      <c r="U84" s="40"/>
      <c r="V84" s="53">
        <v>9000</v>
      </c>
      <c r="W84" s="22">
        <v>15600</v>
      </c>
      <c r="X84" s="40">
        <v>8090</v>
      </c>
      <c r="Y84" s="40">
        <v>12070</v>
      </c>
      <c r="Z84" s="49">
        <v>15</v>
      </c>
      <c r="AA84" s="49">
        <v>6</v>
      </c>
    </row>
    <row r="85" spans="1:27" ht="15.75" customHeight="1">
      <c r="A85" s="94"/>
      <c r="B85" s="94"/>
      <c r="C85" s="30" t="s">
        <v>128</v>
      </c>
      <c r="D85" s="16">
        <v>25411.99</v>
      </c>
      <c r="E85" s="16">
        <v>25104.06</v>
      </c>
      <c r="F85" s="16">
        <v>25103.8</v>
      </c>
      <c r="G85" s="16">
        <v>25074.560000000001</v>
      </c>
      <c r="H85" s="16">
        <v>25372.47</v>
      </c>
      <c r="I85" s="16">
        <v>25555.759999999998</v>
      </c>
      <c r="J85" s="16">
        <v>25187.33</v>
      </c>
      <c r="K85" s="16">
        <v>24932.560000000001</v>
      </c>
      <c r="L85" s="16">
        <v>25094.19</v>
      </c>
      <c r="M85" s="31"/>
      <c r="N85" s="31"/>
      <c r="O85" s="31"/>
      <c r="P85" s="31"/>
      <c r="Q85" s="31"/>
      <c r="R85" s="32"/>
      <c r="S85" s="33"/>
      <c r="T85" s="55"/>
      <c r="V85" s="47"/>
      <c r="W85" s="47"/>
      <c r="X85" s="48"/>
      <c r="Y85" s="48"/>
      <c r="Z85" s="49"/>
      <c r="AA85" s="49"/>
    </row>
    <row r="86" spans="1:27" ht="16.5" customHeight="1" thickBot="1">
      <c r="A86" s="94"/>
      <c r="B86" s="94"/>
      <c r="C86" s="34" t="s">
        <v>129</v>
      </c>
      <c r="D86" s="35">
        <f t="shared" ref="D86:L86" si="24">IF(((D84="")*AND(D85="")),"",(D84-D85)*3)</f>
        <v>10578.659999999993</v>
      </c>
      <c r="E86" s="35">
        <f t="shared" si="24"/>
        <v>11108.04</v>
      </c>
      <c r="F86" s="35">
        <f t="shared" si="24"/>
        <v>11230.29</v>
      </c>
      <c r="G86" s="35">
        <f t="shared" si="24"/>
        <v>11044.949999999993</v>
      </c>
      <c r="H86" s="35">
        <f t="shared" si="24"/>
        <v>10917.27</v>
      </c>
      <c r="I86" s="35">
        <f t="shared" si="24"/>
        <v>10331.880000000008</v>
      </c>
      <c r="J86" s="35">
        <f t="shared" si="24"/>
        <v>10738.049999999996</v>
      </c>
      <c r="K86" s="35">
        <f t="shared" si="24"/>
        <v>11512.469999999994</v>
      </c>
      <c r="L86" s="35">
        <f t="shared" si="24"/>
        <v>11878.350000000002</v>
      </c>
      <c r="M86" s="36"/>
      <c r="N86" s="36"/>
      <c r="O86" s="36"/>
      <c r="P86" s="36"/>
      <c r="Q86" s="36"/>
      <c r="R86" s="37"/>
      <c r="S86" s="38"/>
      <c r="T86" s="56"/>
      <c r="U86" s="51"/>
      <c r="V86" s="50"/>
      <c r="W86" s="50"/>
      <c r="X86" s="51"/>
      <c r="Y86" s="51"/>
      <c r="Z86" s="52"/>
      <c r="AA86" s="52"/>
    </row>
    <row r="87" spans="1:27">
      <c r="A87" s="95">
        <v>42851</v>
      </c>
      <c r="B87" s="115" t="s">
        <v>429</v>
      </c>
      <c r="C87" s="26" t="s">
        <v>126</v>
      </c>
      <c r="D87" s="16">
        <v>29004.77</v>
      </c>
      <c r="E87" s="16">
        <v>28805.58</v>
      </c>
      <c r="F87" s="16">
        <v>28838.799999999999</v>
      </c>
      <c r="G87" s="16">
        <v>28781.72</v>
      </c>
      <c r="H87" s="16">
        <v>28983.14</v>
      </c>
      <c r="I87" s="16">
        <v>28970.16</v>
      </c>
      <c r="J87" s="16">
        <v>28795.55</v>
      </c>
      <c r="K87" s="16">
        <v>28767.37</v>
      </c>
      <c r="L87" s="16">
        <v>28930.46</v>
      </c>
      <c r="M87" s="27">
        <f>IF((L88=""),"",MAX(D89:L89))</f>
        <v>10755.54</v>
      </c>
      <c r="N87" s="27">
        <f>IF(L88="","",MIN(D89:L89))</f>
        <v>9079.2000000000044</v>
      </c>
      <c r="O87" s="27">
        <f>IF((L89=""),"",AVERAGE(D89:L89))</f>
        <v>9818.1066666666666</v>
      </c>
      <c r="P87" s="27">
        <f>IF((L88=""),"",STDEV(D89:L89))</f>
        <v>461.89519309038769</v>
      </c>
      <c r="Q87" s="168">
        <f>IF((L88=""),"",((M87-N87)/(M87+P87))*100)</f>
        <v>14.94405780951222</v>
      </c>
      <c r="R87" s="28" t="str">
        <f>IF(L88="","",IF(Q87&lt;Z87,IF(N87&gt;V87,IF(M87&lt;W87,"Pass","Fail"),"Fail"),"Fail"))</f>
        <v>Pass</v>
      </c>
      <c r="S87" s="29">
        <v>1159</v>
      </c>
      <c r="T87" s="54" t="s">
        <v>147</v>
      </c>
      <c r="U87" s="40"/>
      <c r="V87" s="53">
        <v>9000</v>
      </c>
      <c r="W87" s="22">
        <v>15600</v>
      </c>
      <c r="X87" s="40">
        <v>8090</v>
      </c>
      <c r="Y87" s="40">
        <v>12070</v>
      </c>
      <c r="Z87" s="49">
        <v>15</v>
      </c>
      <c r="AA87" s="49">
        <v>6</v>
      </c>
    </row>
    <row r="88" spans="1:27" ht="15.75" customHeight="1">
      <c r="A88" s="94"/>
      <c r="B88" s="94"/>
      <c r="C88" s="30" t="s">
        <v>128</v>
      </c>
      <c r="D88" s="16">
        <v>25839.29</v>
      </c>
      <c r="E88" s="16">
        <v>25529.24</v>
      </c>
      <c r="F88" s="16">
        <v>25574.15</v>
      </c>
      <c r="G88" s="16">
        <v>25477.18</v>
      </c>
      <c r="H88" s="16">
        <v>25763.59</v>
      </c>
      <c r="I88" s="16">
        <v>25943.759999999998</v>
      </c>
      <c r="J88" s="16">
        <v>25572.2</v>
      </c>
      <c r="K88" s="16">
        <v>25378.54</v>
      </c>
      <c r="L88" s="16">
        <v>25345.279999999999</v>
      </c>
      <c r="M88" s="31"/>
      <c r="N88" s="31"/>
      <c r="O88" s="31"/>
      <c r="P88" s="31"/>
      <c r="Q88" s="31"/>
      <c r="R88" s="32"/>
      <c r="S88" s="33"/>
      <c r="T88" s="55"/>
      <c r="V88" s="47"/>
      <c r="W88" s="47"/>
      <c r="X88" s="48"/>
      <c r="Y88" s="48"/>
      <c r="Z88" s="49"/>
      <c r="AA88" s="49"/>
    </row>
    <row r="89" spans="1:27" ht="16.5" customHeight="1" thickBot="1">
      <c r="A89" s="94"/>
      <c r="B89" s="94"/>
      <c r="C89" s="34" t="s">
        <v>129</v>
      </c>
      <c r="D89" s="35">
        <f t="shared" ref="D89:L89" si="25">IF(((D87="")*AND(D88="")),"",(D87-D88)*3)</f>
        <v>9496.4399999999987</v>
      </c>
      <c r="E89" s="35">
        <f t="shared" si="25"/>
        <v>9829.02</v>
      </c>
      <c r="F89" s="35">
        <f t="shared" si="25"/>
        <v>9793.9499999999935</v>
      </c>
      <c r="G89" s="35">
        <f t="shared" si="25"/>
        <v>9913.6200000000026</v>
      </c>
      <c r="H89" s="35">
        <f t="shared" si="25"/>
        <v>9658.6499999999978</v>
      </c>
      <c r="I89" s="35">
        <f t="shared" si="25"/>
        <v>9079.2000000000044</v>
      </c>
      <c r="J89" s="35">
        <f t="shared" si="25"/>
        <v>9670.0499999999956</v>
      </c>
      <c r="K89" s="35">
        <f t="shared" si="25"/>
        <v>10166.489999999994</v>
      </c>
      <c r="L89" s="35">
        <f t="shared" si="25"/>
        <v>10755.54</v>
      </c>
      <c r="M89" s="36"/>
      <c r="N89" s="36"/>
      <c r="O89" s="36"/>
      <c r="P89" s="36"/>
      <c r="Q89" s="36"/>
      <c r="R89" s="37"/>
      <c r="S89" s="38"/>
      <c r="T89" s="56"/>
      <c r="U89" s="51"/>
      <c r="V89" s="50"/>
      <c r="W89" s="50"/>
      <c r="X89" s="51"/>
      <c r="Y89" s="51"/>
      <c r="Z89" s="52"/>
      <c r="AA89" s="52"/>
    </row>
    <row r="90" spans="1:27">
      <c r="A90" s="95">
        <v>42856</v>
      </c>
      <c r="B90" s="115" t="s">
        <v>429</v>
      </c>
      <c r="C90" s="26" t="s">
        <v>126</v>
      </c>
      <c r="D90" s="16">
        <v>24219</v>
      </c>
      <c r="E90" s="16">
        <v>24706</v>
      </c>
      <c r="F90" s="16">
        <v>24839</v>
      </c>
      <c r="G90" s="16">
        <v>24677</v>
      </c>
      <c r="H90" s="16">
        <v>24107</v>
      </c>
      <c r="I90" s="16">
        <v>24178</v>
      </c>
      <c r="J90" s="16">
        <v>24700</v>
      </c>
      <c r="K90" s="16">
        <v>24658</v>
      </c>
      <c r="L90" s="16">
        <v>24122</v>
      </c>
      <c r="M90" s="27">
        <f>IF((L91=""),"",MAX(D92:L92))</f>
        <v>8916</v>
      </c>
      <c r="N90" s="27">
        <f>IF(L91="","",MIN(D92:L92))</f>
        <v>7659</v>
      </c>
      <c r="O90" s="27">
        <f>IF((L92=""),"",AVERAGE(D92:L92))</f>
        <v>8466.3333333333339</v>
      </c>
      <c r="P90" s="27">
        <f>IF((L91=""),"",STDEV(D92:L92))</f>
        <v>359.52607694018525</v>
      </c>
      <c r="Q90" s="168">
        <f>IF((L91=""),"",((M90-N90)/(M90+P90))*100)</f>
        <v>13.551791990807057</v>
      </c>
      <c r="R90" s="28" t="str">
        <f>IF(L91="","",IF(Q90&lt;Z90,IF(N90&gt;V90,IF(M90&lt;W90,"Pass","Fail"),"Fail"),"Fail"))</f>
        <v>Fail</v>
      </c>
      <c r="S90" s="29">
        <v>121</v>
      </c>
      <c r="T90" s="54"/>
      <c r="U90" s="40"/>
      <c r="V90" s="53">
        <v>9000</v>
      </c>
      <c r="W90" s="22">
        <v>15600</v>
      </c>
      <c r="X90" s="40">
        <v>8090</v>
      </c>
      <c r="Y90" s="40">
        <v>12070</v>
      </c>
      <c r="Z90" s="49">
        <v>15</v>
      </c>
      <c r="AA90" s="49">
        <v>6</v>
      </c>
    </row>
    <row r="91" spans="1:27" ht="15.75" customHeight="1">
      <c r="A91" s="94"/>
      <c r="B91" s="94"/>
      <c r="C91" s="30" t="s">
        <v>128</v>
      </c>
      <c r="D91" s="16">
        <v>21349</v>
      </c>
      <c r="E91" s="16">
        <v>21815</v>
      </c>
      <c r="F91" s="16">
        <v>22014</v>
      </c>
      <c r="G91" s="16">
        <v>21900</v>
      </c>
      <c r="H91" s="16">
        <v>21554</v>
      </c>
      <c r="I91" s="16">
        <v>21206</v>
      </c>
      <c r="J91" s="16">
        <v>21794</v>
      </c>
      <c r="K91" s="16">
        <v>21816</v>
      </c>
      <c r="L91" s="16">
        <v>21359</v>
      </c>
      <c r="M91" s="31"/>
      <c r="N91" s="31"/>
      <c r="O91" s="31"/>
      <c r="P91" s="31"/>
      <c r="Q91" s="31"/>
      <c r="R91" s="32"/>
      <c r="S91" s="33"/>
      <c r="T91" s="55"/>
      <c r="V91" s="47"/>
      <c r="W91" s="47"/>
      <c r="X91" s="48"/>
      <c r="Y91" s="48"/>
      <c r="Z91" s="49"/>
      <c r="AA91" s="49"/>
    </row>
    <row r="92" spans="1:27" ht="16.5" customHeight="1" thickBot="1">
      <c r="A92" s="94"/>
      <c r="B92" s="94"/>
      <c r="C92" s="34" t="s">
        <v>129</v>
      </c>
      <c r="D92" s="35">
        <f t="shared" ref="D92:L92" si="26">IF(((D90="")*AND(D91="")),"",(D90-D91)*3)</f>
        <v>8610</v>
      </c>
      <c r="E92" s="35">
        <f t="shared" si="26"/>
        <v>8673</v>
      </c>
      <c r="F92" s="35">
        <f t="shared" si="26"/>
        <v>8475</v>
      </c>
      <c r="G92" s="35">
        <f t="shared" si="26"/>
        <v>8331</v>
      </c>
      <c r="H92" s="35">
        <f t="shared" si="26"/>
        <v>7659</v>
      </c>
      <c r="I92" s="35">
        <f t="shared" si="26"/>
        <v>8916</v>
      </c>
      <c r="J92" s="35">
        <f t="shared" si="26"/>
        <v>8718</v>
      </c>
      <c r="K92" s="35">
        <f t="shared" si="26"/>
        <v>8526</v>
      </c>
      <c r="L92" s="35">
        <f t="shared" si="26"/>
        <v>8289</v>
      </c>
      <c r="M92" s="36"/>
      <c r="N92" s="36"/>
      <c r="O92" s="36"/>
      <c r="P92" s="36"/>
      <c r="Q92" s="36"/>
      <c r="R92" s="37"/>
      <c r="S92" s="38"/>
      <c r="T92" s="56"/>
      <c r="U92" s="51"/>
      <c r="V92" s="50"/>
      <c r="W92" s="50"/>
      <c r="X92" s="51"/>
      <c r="Y92" s="51"/>
      <c r="Z92" s="52"/>
      <c r="AA92" s="52"/>
    </row>
    <row r="93" spans="1:27">
      <c r="A93" s="95">
        <v>42857</v>
      </c>
      <c r="B93" s="115" t="s">
        <v>429</v>
      </c>
      <c r="C93" s="26" t="s">
        <v>126</v>
      </c>
      <c r="D93" s="16">
        <v>29414.19</v>
      </c>
      <c r="E93" s="16">
        <v>29222.99</v>
      </c>
      <c r="F93" s="16">
        <v>29281.94</v>
      </c>
      <c r="G93" s="16">
        <v>29229.93</v>
      </c>
      <c r="H93" s="16">
        <v>29455.11</v>
      </c>
      <c r="I93" s="16">
        <v>29348.23</v>
      </c>
      <c r="J93" s="16">
        <v>29208.28</v>
      </c>
      <c r="K93" s="16">
        <v>29209.85</v>
      </c>
      <c r="L93" s="16">
        <v>29478.16</v>
      </c>
      <c r="M93" s="27">
        <f>IF((L94=""),"",MAX(D95:L95))</f>
        <v>11653.560000000001</v>
      </c>
      <c r="N93" s="27">
        <f>IF(L94="","",MIN(D95:L95))</f>
        <v>10337.640000000003</v>
      </c>
      <c r="O93" s="27">
        <f>IF((L95=""),"",AVERAGE(D95:L95))</f>
        <v>10935.140000000001</v>
      </c>
      <c r="P93" s="27">
        <f>IF((L94=""),"",STDEV(D95:L95))</f>
        <v>387.316982392895</v>
      </c>
      <c r="Q93" s="168">
        <f>IF((L94=""),"",((M93-N93)/(M93+P93))*100)</f>
        <v>10.928772064727831</v>
      </c>
      <c r="R93" s="28" t="str">
        <f>IF(L94="","",IF(Q93&lt;15,IF(O93&gt;9000,IF(O93&lt;15600,"Pass","Fail"),"Fail"),"Fail"))</f>
        <v>Pass</v>
      </c>
      <c r="S93" s="29">
        <v>122</v>
      </c>
      <c r="T93" s="54"/>
      <c r="U93" s="40"/>
      <c r="V93" s="53">
        <v>9000</v>
      </c>
      <c r="W93" s="22">
        <v>15600</v>
      </c>
      <c r="X93" s="40">
        <v>8090</v>
      </c>
      <c r="Y93" s="40">
        <v>12070</v>
      </c>
      <c r="Z93" s="49">
        <v>15</v>
      </c>
      <c r="AA93" s="49">
        <v>6</v>
      </c>
    </row>
    <row r="94" spans="1:27" ht="15.75" customHeight="1">
      <c r="A94" s="94"/>
      <c r="B94" s="94"/>
      <c r="C94" s="30" t="s">
        <v>128</v>
      </c>
      <c r="D94" s="16">
        <v>25681.52</v>
      </c>
      <c r="E94" s="16">
        <v>25530.799999999999</v>
      </c>
      <c r="F94" s="16">
        <v>25681.4</v>
      </c>
      <c r="G94" s="16">
        <v>25627.72</v>
      </c>
      <c r="H94" s="16">
        <v>26009.23</v>
      </c>
      <c r="I94" s="16">
        <v>25463.71</v>
      </c>
      <c r="J94" s="16">
        <v>25489.599999999999</v>
      </c>
      <c r="K94" s="16">
        <v>25599.8</v>
      </c>
      <c r="L94" s="16">
        <v>25959.48</v>
      </c>
      <c r="M94" s="31"/>
      <c r="N94" s="31"/>
      <c r="O94" s="31"/>
      <c r="P94" s="31"/>
      <c r="Q94" s="31"/>
      <c r="R94" s="32"/>
      <c r="S94" s="33"/>
      <c r="T94" s="55"/>
      <c r="V94" s="47"/>
      <c r="W94" s="47"/>
      <c r="X94" s="48"/>
      <c r="Y94" s="48"/>
      <c r="Z94" s="49"/>
      <c r="AA94" s="49"/>
    </row>
    <row r="95" spans="1:27" ht="16.5" customHeight="1" thickBot="1">
      <c r="A95" s="94"/>
      <c r="B95" s="94"/>
      <c r="C95" s="34" t="s">
        <v>129</v>
      </c>
      <c r="D95" s="35">
        <f t="shared" ref="D95:L95" si="27">IF(((D93="")*AND(D94="")),"",(D93-D94)*3)</f>
        <v>11198.009999999995</v>
      </c>
      <c r="E95" s="35">
        <f t="shared" si="27"/>
        <v>11076.570000000007</v>
      </c>
      <c r="F95" s="35">
        <f t="shared" si="27"/>
        <v>10801.619999999992</v>
      </c>
      <c r="G95" s="35">
        <f t="shared" si="27"/>
        <v>10806.629999999997</v>
      </c>
      <c r="H95" s="35">
        <f t="shared" si="27"/>
        <v>10337.640000000003</v>
      </c>
      <c r="I95" s="35">
        <f t="shared" si="27"/>
        <v>11653.560000000001</v>
      </c>
      <c r="J95" s="35">
        <f t="shared" si="27"/>
        <v>11156.04</v>
      </c>
      <c r="K95" s="35">
        <f t="shared" si="27"/>
        <v>10830.149999999998</v>
      </c>
      <c r="L95" s="35">
        <f t="shared" si="27"/>
        <v>10556.04</v>
      </c>
      <c r="M95" s="36"/>
      <c r="N95" s="36"/>
      <c r="O95" s="36"/>
      <c r="P95" s="36"/>
      <c r="Q95" s="36"/>
      <c r="R95" s="37"/>
      <c r="S95" s="38"/>
      <c r="T95" s="56"/>
      <c r="U95" s="51"/>
      <c r="V95" s="50"/>
      <c r="W95" s="50"/>
      <c r="X95" s="51"/>
      <c r="Y95" s="51"/>
      <c r="Z95" s="52"/>
      <c r="AA95" s="52"/>
    </row>
    <row r="96" spans="1:27">
      <c r="A96" s="95">
        <v>42859</v>
      </c>
      <c r="B96" s="115" t="s">
        <v>429</v>
      </c>
      <c r="C96" s="26" t="s">
        <v>126</v>
      </c>
      <c r="D96" s="16">
        <v>29414.19</v>
      </c>
      <c r="E96" s="16">
        <v>29222.99</v>
      </c>
      <c r="F96" s="16">
        <v>29281.94</v>
      </c>
      <c r="G96" s="16">
        <v>29229.93</v>
      </c>
      <c r="H96" s="16">
        <v>29455.11</v>
      </c>
      <c r="I96" s="16">
        <v>29348.23</v>
      </c>
      <c r="J96" s="16">
        <v>29208.28</v>
      </c>
      <c r="K96" s="16">
        <v>29209.85</v>
      </c>
      <c r="L96" s="16">
        <v>29478.16</v>
      </c>
      <c r="M96" s="27">
        <f>IF((L97=""),"",MAX(D98:L98))</f>
        <v>11653.560000000001</v>
      </c>
      <c r="N96" s="27">
        <f>IF(L97="","",MIN(D98:L98))</f>
        <v>10337.640000000003</v>
      </c>
      <c r="O96" s="27">
        <f>IF((L98=""),"",AVERAGE(D98:L98))</f>
        <v>10935.140000000001</v>
      </c>
      <c r="P96" s="27">
        <f>IF((L97=""),"",STDEV(D98:L98))</f>
        <v>387.316982392895</v>
      </c>
      <c r="Q96" s="168">
        <f>IF((L97=""),"",((M96-N96)/(M96+P96))*100)</f>
        <v>10.928772064727831</v>
      </c>
      <c r="R96" s="28" t="str">
        <f>IF(L97="","",IF(Q96&lt;15,IF(O96&gt;9000,IF(O96&lt;15600,"Pass","Fail"),"Fail"),"Fail"))</f>
        <v>Pass</v>
      </c>
      <c r="S96" s="29">
        <v>124</v>
      </c>
      <c r="T96" s="54"/>
      <c r="U96" s="40"/>
      <c r="V96" s="53">
        <v>9000</v>
      </c>
      <c r="W96" s="22">
        <v>15600</v>
      </c>
      <c r="X96" s="40">
        <v>8090</v>
      </c>
      <c r="Y96" s="40">
        <v>12070</v>
      </c>
      <c r="Z96" s="49">
        <v>15</v>
      </c>
      <c r="AA96" s="49">
        <v>6</v>
      </c>
    </row>
    <row r="97" spans="1:27" ht="15.75" customHeight="1">
      <c r="A97" s="94"/>
      <c r="B97" s="94"/>
      <c r="C97" s="30" t="s">
        <v>128</v>
      </c>
      <c r="D97" s="16">
        <v>25681.52</v>
      </c>
      <c r="E97" s="16">
        <v>25530.799999999999</v>
      </c>
      <c r="F97" s="16">
        <v>25681.4</v>
      </c>
      <c r="G97" s="16">
        <v>25627.72</v>
      </c>
      <c r="H97" s="16">
        <v>26009.23</v>
      </c>
      <c r="I97" s="16">
        <v>25463.71</v>
      </c>
      <c r="J97" s="16">
        <v>25489.599999999999</v>
      </c>
      <c r="K97" s="16">
        <v>25599.8</v>
      </c>
      <c r="L97" s="16">
        <v>25959.48</v>
      </c>
      <c r="M97" s="31"/>
      <c r="N97" s="31"/>
      <c r="O97" s="31"/>
      <c r="P97" s="31"/>
      <c r="Q97" s="31"/>
      <c r="R97" s="32"/>
      <c r="S97" s="33"/>
      <c r="T97" s="55"/>
      <c r="V97" s="47"/>
      <c r="W97" s="47"/>
      <c r="X97" s="48"/>
      <c r="Y97" s="48"/>
      <c r="Z97" s="49"/>
      <c r="AA97" s="49"/>
    </row>
    <row r="98" spans="1:27" ht="16.5" customHeight="1" thickBot="1">
      <c r="A98" s="94"/>
      <c r="B98" s="94"/>
      <c r="C98" s="34" t="s">
        <v>129</v>
      </c>
      <c r="D98" s="35">
        <f t="shared" ref="D98:L98" si="28">IF(((D96="")*AND(D97="")),"",(D96-D97)*3)</f>
        <v>11198.009999999995</v>
      </c>
      <c r="E98" s="35">
        <f t="shared" si="28"/>
        <v>11076.570000000007</v>
      </c>
      <c r="F98" s="35">
        <f t="shared" si="28"/>
        <v>10801.619999999992</v>
      </c>
      <c r="G98" s="35">
        <f t="shared" si="28"/>
        <v>10806.629999999997</v>
      </c>
      <c r="H98" s="35">
        <f t="shared" si="28"/>
        <v>10337.640000000003</v>
      </c>
      <c r="I98" s="35">
        <f t="shared" si="28"/>
        <v>11653.560000000001</v>
      </c>
      <c r="J98" s="35">
        <f>IF(((J96="")*AND(J97="")),"",(J96-J97)*3)</f>
        <v>11156.04</v>
      </c>
      <c r="K98" s="35">
        <f t="shared" si="28"/>
        <v>10830.149999999998</v>
      </c>
      <c r="L98" s="35">
        <f t="shared" si="28"/>
        <v>10556.04</v>
      </c>
      <c r="M98" s="36"/>
      <c r="N98" s="36"/>
      <c r="O98" s="36"/>
      <c r="P98" s="36"/>
      <c r="Q98" s="36"/>
      <c r="R98" s="37"/>
      <c r="S98" s="38"/>
      <c r="T98" s="56"/>
      <c r="U98" s="51"/>
      <c r="V98" s="50"/>
      <c r="W98" s="50"/>
      <c r="X98" s="51"/>
      <c r="Y98" s="51"/>
      <c r="Z98" s="52"/>
      <c r="AA98" s="52"/>
    </row>
    <row r="99" spans="1:27">
      <c r="A99" s="95">
        <v>42862</v>
      </c>
      <c r="B99" s="115" t="s">
        <v>429</v>
      </c>
      <c r="C99" s="26" t="s">
        <v>126</v>
      </c>
      <c r="D99" s="16">
        <v>29276.78</v>
      </c>
      <c r="E99" s="16">
        <v>29117.88</v>
      </c>
      <c r="F99" s="16">
        <v>29118.92</v>
      </c>
      <c r="G99" s="16">
        <v>29142.34</v>
      </c>
      <c r="H99" s="16">
        <v>29352</v>
      </c>
      <c r="I99" s="16">
        <v>29304.7</v>
      </c>
      <c r="J99" s="16">
        <v>29129.84</v>
      </c>
      <c r="K99" s="16">
        <v>29111.61</v>
      </c>
      <c r="L99" s="16">
        <v>29347.37</v>
      </c>
      <c r="M99" s="27">
        <f>IF((L100=""),"",MAX(D101:L101))</f>
        <v>11374.169999999998</v>
      </c>
      <c r="N99" s="27">
        <f>IF(L100="","",MIN(D101:L101))</f>
        <v>10128.899999999998</v>
      </c>
      <c r="O99" s="27">
        <f>IF((L101=""),"",AVERAGE(D101:L101))</f>
        <v>10804.716666666665</v>
      </c>
      <c r="P99" s="27">
        <f>IF((L100=""),"",STDEV(D101:L101))</f>
        <v>381.78571034679709</v>
      </c>
      <c r="Q99" s="168">
        <f>IF((L100=""),"",((M99-N99)/(M99+P99))*100)</f>
        <v>10.59267345575314</v>
      </c>
      <c r="R99" s="28" t="str">
        <f>IF(L100="","",IF(Q99&lt;Z99,IF(N99&gt;V99,IF(M99&lt;W99,"Pass","Fail"),"Fail"),"Fail"))</f>
        <v>Pass</v>
      </c>
      <c r="S99" s="29">
        <v>1428</v>
      </c>
      <c r="T99" s="54" t="s">
        <v>148</v>
      </c>
      <c r="U99" s="40"/>
      <c r="V99" s="53">
        <v>9000</v>
      </c>
      <c r="W99" s="22">
        <v>15600</v>
      </c>
      <c r="X99" s="40">
        <v>8090</v>
      </c>
      <c r="Y99" s="40">
        <v>12070</v>
      </c>
      <c r="Z99" s="49">
        <v>15</v>
      </c>
      <c r="AA99" s="49">
        <v>6</v>
      </c>
    </row>
    <row r="100" spans="1:27" ht="15.75" customHeight="1">
      <c r="A100" s="94"/>
      <c r="B100" s="94"/>
      <c r="C100" s="30" t="s">
        <v>128</v>
      </c>
      <c r="D100" s="16">
        <v>25837.11</v>
      </c>
      <c r="E100" s="16">
        <v>25518.54</v>
      </c>
      <c r="F100" s="16">
        <v>25497.8</v>
      </c>
      <c r="G100" s="16">
        <v>25468</v>
      </c>
      <c r="H100" s="16">
        <v>25710.86</v>
      </c>
      <c r="I100" s="16">
        <v>25928.400000000001</v>
      </c>
      <c r="J100" s="16">
        <v>25553.72</v>
      </c>
      <c r="K100" s="16">
        <v>25416.880000000001</v>
      </c>
      <c r="L100" s="16">
        <v>25555.98</v>
      </c>
      <c r="M100" s="31"/>
      <c r="N100" s="31"/>
      <c r="O100" s="31"/>
      <c r="P100" s="31"/>
      <c r="Q100" s="31"/>
      <c r="R100" s="32"/>
      <c r="S100" s="33"/>
      <c r="T100" s="55"/>
      <c r="V100" s="47"/>
      <c r="W100" s="47"/>
      <c r="X100" s="48"/>
      <c r="Y100" s="48"/>
      <c r="Z100" s="49"/>
      <c r="AA100" s="49"/>
    </row>
    <row r="101" spans="1:27" ht="16.5" customHeight="1" thickBot="1">
      <c r="A101" s="94"/>
      <c r="B101" s="94"/>
      <c r="C101" s="34" t="s">
        <v>129</v>
      </c>
      <c r="D101" s="35">
        <f t="shared" ref="D101:L101" si="29">IF(((D99="")*AND(D100="")),"",(D99-D100)*3)</f>
        <v>10319.009999999995</v>
      </c>
      <c r="E101" s="35">
        <f t="shared" si="29"/>
        <v>10798.02</v>
      </c>
      <c r="F101" s="35">
        <f t="shared" si="29"/>
        <v>10863.359999999997</v>
      </c>
      <c r="G101" s="35">
        <f t="shared" si="29"/>
        <v>11023.02</v>
      </c>
      <c r="H101" s="35">
        <f t="shared" si="29"/>
        <v>10923.419999999998</v>
      </c>
      <c r="I101" s="35">
        <f t="shared" si="29"/>
        <v>10128.899999999998</v>
      </c>
      <c r="J101" s="35">
        <f t="shared" si="29"/>
        <v>10728.359999999997</v>
      </c>
      <c r="K101" s="35">
        <f t="shared" si="29"/>
        <v>11084.189999999999</v>
      </c>
      <c r="L101" s="35">
        <f t="shared" si="29"/>
        <v>11374.169999999998</v>
      </c>
      <c r="M101" s="36"/>
      <c r="N101" s="36"/>
      <c r="O101" s="36"/>
      <c r="P101" s="36"/>
      <c r="Q101" s="36"/>
      <c r="R101" s="37"/>
      <c r="S101" s="38"/>
      <c r="T101" s="56"/>
      <c r="U101" s="51"/>
      <c r="V101" s="50"/>
      <c r="W101" s="50"/>
      <c r="X101" s="51"/>
      <c r="Y101" s="51"/>
      <c r="Z101" s="52"/>
      <c r="AA101" s="52"/>
    </row>
    <row r="102" spans="1:27">
      <c r="A102" s="95">
        <v>42866</v>
      </c>
      <c r="B102" s="115" t="s">
        <v>429</v>
      </c>
      <c r="C102" s="26" t="s">
        <v>126</v>
      </c>
      <c r="D102" s="16">
        <v>29319.26</v>
      </c>
      <c r="E102" s="16">
        <v>29130.16</v>
      </c>
      <c r="F102" s="16">
        <v>29146.05</v>
      </c>
      <c r="G102" s="16">
        <v>29148.63</v>
      </c>
      <c r="H102" s="16">
        <v>29335.25</v>
      </c>
      <c r="I102" s="16">
        <v>29345.53</v>
      </c>
      <c r="J102" s="16">
        <v>29147.119999999999</v>
      </c>
      <c r="K102" s="16">
        <v>29133.61</v>
      </c>
      <c r="L102" s="16">
        <v>29328.22</v>
      </c>
      <c r="M102" s="27">
        <f>IF((L103=""),"",MAX(D104:L104))</f>
        <v>11849.759999999995</v>
      </c>
      <c r="N102" s="27">
        <f>IF(L103="","",MIN(D104:L104))</f>
        <v>10292.040000000001</v>
      </c>
      <c r="O102" s="27">
        <f>IF((L104=""),"",AVERAGE(D104:L104))</f>
        <v>11090.056666666667</v>
      </c>
      <c r="P102" s="27">
        <f>IF((L103=""),"",STDEV(D104:L104))</f>
        <v>445.16481787643147</v>
      </c>
      <c r="Q102" s="168">
        <f>IF((L103=""),"",((M102-N102)/(M102+P102))*100)</f>
        <v>12.669617936460408</v>
      </c>
      <c r="R102" s="28" t="str">
        <f>IF(L103="","",IF(Q102&lt;Z102,IF(N102&gt;V102,IF(M102&lt;W102,"Pass","Fail"),"Fail"),"Fail"))</f>
        <v>Pass</v>
      </c>
      <c r="S102" s="29">
        <v>1428</v>
      </c>
      <c r="T102" s="54" t="s">
        <v>149</v>
      </c>
      <c r="U102" s="40"/>
      <c r="V102" s="53">
        <v>9000</v>
      </c>
      <c r="W102" s="22">
        <v>15600</v>
      </c>
      <c r="X102" s="40">
        <v>8090</v>
      </c>
      <c r="Y102" s="40">
        <v>12070</v>
      </c>
      <c r="Z102" s="49">
        <v>15</v>
      </c>
      <c r="AA102" s="49">
        <v>6</v>
      </c>
    </row>
    <row r="103" spans="1:27" ht="15.75" customHeight="1">
      <c r="A103" s="94"/>
      <c r="B103" s="94"/>
      <c r="C103" s="30" t="s">
        <v>128</v>
      </c>
      <c r="D103" s="16">
        <v>25658.06</v>
      </c>
      <c r="E103" s="16">
        <v>25380.62</v>
      </c>
      <c r="F103" s="16">
        <v>25429.46</v>
      </c>
      <c r="G103" s="16">
        <v>25426.42</v>
      </c>
      <c r="H103" s="16">
        <v>25770.85</v>
      </c>
      <c r="I103" s="16">
        <v>25395.61</v>
      </c>
      <c r="J103" s="16">
        <v>25321.89</v>
      </c>
      <c r="K103" s="16">
        <v>25483.21</v>
      </c>
      <c r="L103" s="16">
        <v>25897.54</v>
      </c>
      <c r="M103" s="31"/>
      <c r="N103" s="31"/>
      <c r="O103" s="31"/>
      <c r="P103" s="31"/>
      <c r="Q103" s="31"/>
      <c r="R103" s="32"/>
      <c r="S103" s="33"/>
      <c r="T103" s="55"/>
      <c r="V103" s="47"/>
      <c r="W103" s="47"/>
      <c r="X103" s="48"/>
      <c r="Y103" s="48"/>
      <c r="Z103" s="49"/>
      <c r="AA103" s="49"/>
    </row>
    <row r="104" spans="1:27" ht="16.5" customHeight="1" thickBot="1">
      <c r="A104" s="94"/>
      <c r="B104" s="94"/>
      <c r="C104" s="34" t="s">
        <v>129</v>
      </c>
      <c r="D104" s="35">
        <f t="shared" ref="D104:L104" si="30">IF(((D102="")*AND(D103="")),"",(D102-D103)*3)</f>
        <v>10983.599999999991</v>
      </c>
      <c r="E104" s="35">
        <f t="shared" si="30"/>
        <v>11248.620000000003</v>
      </c>
      <c r="F104" s="35">
        <f t="shared" si="30"/>
        <v>11149.77</v>
      </c>
      <c r="G104" s="35">
        <f t="shared" si="30"/>
        <v>11166.630000000008</v>
      </c>
      <c r="H104" s="35">
        <f t="shared" si="30"/>
        <v>10693.200000000004</v>
      </c>
      <c r="I104" s="35">
        <f t="shared" si="30"/>
        <v>11849.759999999995</v>
      </c>
      <c r="J104" s="35">
        <f t="shared" si="30"/>
        <v>11475.689999999999</v>
      </c>
      <c r="K104" s="35">
        <f t="shared" si="30"/>
        <v>10951.200000000004</v>
      </c>
      <c r="L104" s="35">
        <f t="shared" si="30"/>
        <v>10292.040000000001</v>
      </c>
      <c r="M104" s="36"/>
      <c r="N104" s="36"/>
      <c r="O104" s="36"/>
      <c r="P104" s="36"/>
      <c r="Q104" s="36"/>
      <c r="R104" s="37"/>
      <c r="S104" s="38"/>
      <c r="T104" s="56"/>
      <c r="U104" s="51"/>
      <c r="V104" s="50"/>
      <c r="W104" s="50"/>
      <c r="X104" s="51"/>
      <c r="Y104" s="51"/>
      <c r="Z104" s="52"/>
      <c r="AA104" s="52"/>
    </row>
    <row r="105" spans="1:27">
      <c r="A105" s="95">
        <v>42870</v>
      </c>
      <c r="B105" s="115" t="s">
        <v>429</v>
      </c>
      <c r="C105" s="26" t="s">
        <v>126</v>
      </c>
      <c r="D105" s="16">
        <v>29232.69</v>
      </c>
      <c r="E105" s="16">
        <v>28988.35</v>
      </c>
      <c r="F105" s="16">
        <v>29062.17</v>
      </c>
      <c r="G105" s="16">
        <v>29080.77</v>
      </c>
      <c r="H105" s="16">
        <v>29253.84</v>
      </c>
      <c r="I105" s="16">
        <v>29290.880000000001</v>
      </c>
      <c r="J105" s="16">
        <v>29047.32</v>
      </c>
      <c r="K105" s="16">
        <v>29039.42</v>
      </c>
      <c r="L105" s="16">
        <v>29219.3</v>
      </c>
      <c r="M105" s="27">
        <f>IF((L106=""),"",MAX(D107:L107))</f>
        <v>11971.890000000003</v>
      </c>
      <c r="N105" s="27">
        <f>IF(L106="","",MIN(D107:L107))</f>
        <v>10340.700000000004</v>
      </c>
      <c r="O105" s="27">
        <f>IF((L107=""),"",AVERAGE(D107:L107))</f>
        <v>11166.64</v>
      </c>
      <c r="P105" s="27">
        <f>IF((L106=""),"",STDEV(D107:L107))</f>
        <v>476.83841649974602</v>
      </c>
      <c r="Q105" s="168">
        <f>IF((L106=""),"",((M105-N105)/(M105+P105))*100)</f>
        <v>13.103266015812448</v>
      </c>
      <c r="R105" s="28" t="str">
        <f>IF(L106="","",IF(Q105&lt;Z105,IF(N105&gt;V105,IF(M105&lt;W105,"Pass","Fail"),"Fail"),"Fail"))</f>
        <v>Pass</v>
      </c>
      <c r="S105" s="29">
        <v>1159</v>
      </c>
      <c r="T105" s="54" t="s">
        <v>150</v>
      </c>
      <c r="U105" s="40"/>
      <c r="V105" s="53">
        <v>9000</v>
      </c>
      <c r="W105" s="22">
        <v>15600</v>
      </c>
      <c r="X105" s="40">
        <v>8090</v>
      </c>
      <c r="Y105" s="40">
        <v>12070</v>
      </c>
      <c r="Z105" s="49">
        <v>15</v>
      </c>
      <c r="AA105" s="49">
        <v>6</v>
      </c>
    </row>
    <row r="106" spans="1:27" ht="15.75" customHeight="1">
      <c r="A106" s="94"/>
      <c r="B106" s="94"/>
      <c r="C106" s="30" t="s">
        <v>128</v>
      </c>
      <c r="D106" s="16">
        <v>25671.14</v>
      </c>
      <c r="E106" s="16">
        <v>25309.41</v>
      </c>
      <c r="F106" s="16">
        <v>25285.9</v>
      </c>
      <c r="G106" s="16">
        <v>25261.74</v>
      </c>
      <c r="H106" s="16">
        <v>25509.5</v>
      </c>
      <c r="I106" s="16">
        <v>25843.98</v>
      </c>
      <c r="J106" s="16">
        <v>25387.06</v>
      </c>
      <c r="K106" s="16">
        <v>25217.42</v>
      </c>
      <c r="L106" s="16">
        <v>25228.67</v>
      </c>
      <c r="M106" s="31"/>
      <c r="N106" s="31"/>
      <c r="O106" s="31"/>
      <c r="P106" s="31"/>
      <c r="Q106" s="31"/>
      <c r="R106" s="32"/>
      <c r="S106" s="33"/>
      <c r="T106" s="55"/>
      <c r="V106" s="47"/>
      <c r="W106" s="47"/>
      <c r="X106" s="48"/>
      <c r="Y106" s="48"/>
      <c r="Z106" s="49"/>
      <c r="AA106" s="49"/>
    </row>
    <row r="107" spans="1:27" ht="16.5" customHeight="1" thickBot="1">
      <c r="A107" s="94"/>
      <c r="B107" s="94"/>
      <c r="C107" s="34" t="s">
        <v>129</v>
      </c>
      <c r="D107" s="35">
        <f t="shared" ref="D107:L107" si="31">IF(((D105="")*AND(D106="")),"",(D105-D106)*3)</f>
        <v>10684.649999999998</v>
      </c>
      <c r="E107" s="35">
        <f t="shared" si="31"/>
        <v>11036.819999999996</v>
      </c>
      <c r="F107" s="35">
        <f t="shared" si="31"/>
        <v>11328.80999999999</v>
      </c>
      <c r="G107" s="35">
        <f t="shared" si="31"/>
        <v>11457.089999999997</v>
      </c>
      <c r="H107" s="35">
        <f t="shared" si="31"/>
        <v>11233.02</v>
      </c>
      <c r="I107" s="35">
        <f t="shared" si="31"/>
        <v>10340.700000000004</v>
      </c>
      <c r="J107" s="35">
        <f t="shared" si="31"/>
        <v>10980.779999999995</v>
      </c>
      <c r="K107" s="35">
        <f t="shared" si="31"/>
        <v>11466</v>
      </c>
      <c r="L107" s="35">
        <f t="shared" si="31"/>
        <v>11971.890000000003</v>
      </c>
      <c r="M107" s="36"/>
      <c r="N107" s="36"/>
      <c r="O107" s="36"/>
      <c r="P107" s="36"/>
      <c r="Q107" s="36"/>
      <c r="R107" s="37"/>
      <c r="S107" s="38"/>
      <c r="T107" s="56"/>
      <c r="U107" s="51"/>
      <c r="V107" s="50"/>
      <c r="W107" s="50"/>
      <c r="X107" s="51"/>
      <c r="Y107" s="51"/>
      <c r="Z107" s="52"/>
      <c r="AA107" s="52"/>
    </row>
    <row r="108" spans="1:27">
      <c r="A108" s="95">
        <v>42875</v>
      </c>
      <c r="B108" s="115" t="s">
        <v>429</v>
      </c>
      <c r="C108" s="26" t="s">
        <v>126</v>
      </c>
      <c r="D108" s="16">
        <v>29208.25</v>
      </c>
      <c r="E108" s="16">
        <v>29055.55</v>
      </c>
      <c r="F108" s="16">
        <v>29093.47</v>
      </c>
      <c r="G108" s="16">
        <v>29048.560000000001</v>
      </c>
      <c r="H108" s="16">
        <v>29271.49</v>
      </c>
      <c r="I108" s="16">
        <v>29183.05</v>
      </c>
      <c r="J108" s="16">
        <v>29051.96</v>
      </c>
      <c r="K108" s="16">
        <v>29044.49</v>
      </c>
      <c r="L108" s="16">
        <v>29274.6</v>
      </c>
      <c r="M108" s="27">
        <f>IF((L109=""),"",MAX(D110:L110))</f>
        <v>11785.409999999993</v>
      </c>
      <c r="N108" s="27">
        <f>IF(L109="","",MIN(D110:L110))</f>
        <v>10097.790000000001</v>
      </c>
      <c r="O108" s="27">
        <f>IF((L110=""),"",AVERAGE(D110:L110))</f>
        <v>10986.376666666667</v>
      </c>
      <c r="P108" s="27">
        <f>IF((L109=""),"",STDEV(D110:L110))</f>
        <v>471.39709497412116</v>
      </c>
      <c r="Q108" s="168">
        <f>IF((L109=""),"",((M108-N108)/(M108+P108))*100)</f>
        <v>13.76883871079278</v>
      </c>
      <c r="R108" s="28" t="str">
        <f>IF(L109="","",IF(Q108&lt;Z108,IF(N108&gt;V108,IF(M108&lt;W108,"Pass","Fail"),"Fail"),"Fail"))</f>
        <v>Pass</v>
      </c>
      <c r="S108" s="29">
        <v>1428</v>
      </c>
      <c r="T108" s="54" t="s">
        <v>151</v>
      </c>
      <c r="U108" s="40"/>
      <c r="V108" s="53">
        <v>9000</v>
      </c>
      <c r="W108" s="22">
        <v>15600</v>
      </c>
      <c r="X108" s="40">
        <v>8090</v>
      </c>
      <c r="Y108" s="40">
        <v>12070</v>
      </c>
      <c r="Z108" s="49">
        <v>15</v>
      </c>
      <c r="AA108" s="49">
        <v>6</v>
      </c>
    </row>
    <row r="109" spans="1:27" ht="15.75" customHeight="1">
      <c r="A109" s="94"/>
      <c r="B109" s="94"/>
      <c r="C109" s="30" t="s">
        <v>128</v>
      </c>
      <c r="D109" s="16">
        <v>25668.38</v>
      </c>
      <c r="E109" s="16">
        <v>25372.47</v>
      </c>
      <c r="F109" s="16">
        <v>25408.6</v>
      </c>
      <c r="G109" s="16">
        <v>25338.84</v>
      </c>
      <c r="H109" s="16">
        <v>25627.69</v>
      </c>
      <c r="I109" s="16">
        <v>25817.119999999999</v>
      </c>
      <c r="J109" s="16">
        <v>25443.05</v>
      </c>
      <c r="K109" s="16">
        <v>25250.01</v>
      </c>
      <c r="L109" s="16">
        <v>25346.13</v>
      </c>
      <c r="M109" s="31"/>
      <c r="N109" s="31"/>
      <c r="O109" s="31"/>
      <c r="P109" s="31"/>
      <c r="Q109" s="31"/>
      <c r="R109" s="32"/>
      <c r="S109" s="33"/>
      <c r="T109" s="55"/>
      <c r="V109" s="47"/>
      <c r="W109" s="47"/>
      <c r="X109" s="48"/>
      <c r="Y109" s="48"/>
      <c r="Z109" s="49"/>
      <c r="AA109" s="49"/>
    </row>
    <row r="110" spans="1:27" ht="16.5" customHeight="1" thickBot="1">
      <c r="A110" s="94"/>
      <c r="B110" s="94"/>
      <c r="C110" s="34" t="s">
        <v>129</v>
      </c>
      <c r="D110" s="35">
        <f t="shared" ref="D110:L110" si="32">IF(((D108="")*AND(D109="")),"",(D108-D109)*3)</f>
        <v>10619.609999999997</v>
      </c>
      <c r="E110" s="35">
        <f t="shared" si="32"/>
        <v>11049.239999999994</v>
      </c>
      <c r="F110" s="35">
        <f t="shared" si="32"/>
        <v>11054.610000000008</v>
      </c>
      <c r="G110" s="35">
        <f t="shared" si="32"/>
        <v>11129.160000000003</v>
      </c>
      <c r="H110" s="35">
        <f t="shared" si="32"/>
        <v>10931.400000000009</v>
      </c>
      <c r="I110" s="35">
        <f t="shared" si="32"/>
        <v>10097.790000000001</v>
      </c>
      <c r="J110" s="35">
        <f t="shared" si="32"/>
        <v>10826.73</v>
      </c>
      <c r="K110" s="35">
        <f t="shared" si="32"/>
        <v>11383.44000000001</v>
      </c>
      <c r="L110" s="35">
        <f t="shared" si="32"/>
        <v>11785.409999999993</v>
      </c>
      <c r="M110" s="36"/>
      <c r="N110" s="36"/>
      <c r="O110" s="36"/>
      <c r="P110" s="36"/>
      <c r="Q110" s="36"/>
      <c r="R110" s="37"/>
      <c r="S110" s="38"/>
      <c r="T110" s="56"/>
      <c r="U110" s="51"/>
      <c r="V110" s="50"/>
      <c r="W110" s="50"/>
      <c r="X110" s="51"/>
      <c r="Y110" s="51"/>
      <c r="Z110" s="52"/>
      <c r="AA110" s="52"/>
    </row>
    <row r="111" spans="1:27">
      <c r="A111" s="95">
        <v>42880</v>
      </c>
      <c r="B111" s="115" t="s">
        <v>429</v>
      </c>
      <c r="C111" s="26" t="s">
        <v>126</v>
      </c>
      <c r="D111" s="16">
        <v>29116</v>
      </c>
      <c r="E111" s="16">
        <v>28971</v>
      </c>
      <c r="F111" s="16">
        <v>28968</v>
      </c>
      <c r="G111" s="16">
        <v>28980</v>
      </c>
      <c r="H111" s="16">
        <v>29193</v>
      </c>
      <c r="I111" s="16">
        <v>29146</v>
      </c>
      <c r="J111" s="16">
        <v>28970</v>
      </c>
      <c r="K111" s="16">
        <v>28964</v>
      </c>
      <c r="L111" s="16">
        <v>29208</v>
      </c>
      <c r="M111" s="27">
        <f>IF((L112=""),"",MAX(D113:L113))</f>
        <v>9903</v>
      </c>
      <c r="N111" s="27">
        <f>IF(L112="","",MIN(D113:L113))</f>
        <v>8208</v>
      </c>
      <c r="O111" s="27">
        <f>IF((L113=""),"",AVERAGE(D113:L113))</f>
        <v>8935.6666666666661</v>
      </c>
      <c r="P111" s="27">
        <f>IF((L112=""),"",STDEV(D113:L113))</f>
        <v>527.13020213226253</v>
      </c>
      <c r="Q111" s="168">
        <f>IF((L112=""),"",((M111-N111)/(M111+P111))*100)</f>
        <v>16.250995597864023</v>
      </c>
      <c r="R111" s="28" t="str">
        <f>IF(L112="","",IF(Q111&lt;Z111,IF(N111&gt;V111,IF(M111&lt;W111,"Pass","Fail"),"Fail"),"Fail"))</f>
        <v>Fail</v>
      </c>
      <c r="S111" s="29">
        <v>121</v>
      </c>
      <c r="T111" s="54"/>
      <c r="U111" s="40"/>
      <c r="V111" s="53">
        <v>9000</v>
      </c>
      <c r="W111" s="22">
        <v>15600</v>
      </c>
      <c r="X111" s="40">
        <v>8090</v>
      </c>
      <c r="Y111" s="40">
        <v>12070</v>
      </c>
      <c r="Z111" s="49">
        <v>15</v>
      </c>
      <c r="AA111" s="49">
        <v>6</v>
      </c>
    </row>
    <row r="112" spans="1:27" ht="15.75" customHeight="1">
      <c r="A112" s="94"/>
      <c r="B112" s="94"/>
      <c r="C112" s="30" t="s">
        <v>128</v>
      </c>
      <c r="D112" s="16">
        <v>26325</v>
      </c>
      <c r="E112" s="16">
        <v>26037</v>
      </c>
      <c r="F112" s="16">
        <v>26039</v>
      </c>
      <c r="G112" s="16">
        <v>25931</v>
      </c>
      <c r="H112" s="16">
        <v>26138</v>
      </c>
      <c r="I112" s="16">
        <v>26410</v>
      </c>
      <c r="J112" s="16">
        <v>26091</v>
      </c>
      <c r="K112" s="16">
        <v>25831</v>
      </c>
      <c r="L112" s="16">
        <v>25907</v>
      </c>
      <c r="M112" s="31"/>
      <c r="N112" s="31"/>
      <c r="O112" s="31"/>
      <c r="P112" s="31"/>
      <c r="Q112" s="31"/>
      <c r="R112" s="32"/>
      <c r="S112" s="33"/>
      <c r="T112" s="55"/>
      <c r="V112" s="47"/>
      <c r="W112" s="47"/>
      <c r="X112" s="48"/>
      <c r="Y112" s="48"/>
      <c r="Z112" s="49"/>
      <c r="AA112" s="49"/>
    </row>
    <row r="113" spans="1:27" ht="16.5" customHeight="1" thickBot="1">
      <c r="A113" s="94"/>
      <c r="B113" s="94"/>
      <c r="C113" s="34" t="s">
        <v>129</v>
      </c>
      <c r="D113" s="35">
        <f t="shared" ref="D113:L113" si="33">IF(((D111="")*AND(D112="")),"",(D111-D112)*3)</f>
        <v>8373</v>
      </c>
      <c r="E113" s="35">
        <f t="shared" si="33"/>
        <v>8802</v>
      </c>
      <c r="F113" s="35">
        <f t="shared" si="33"/>
        <v>8787</v>
      </c>
      <c r="G113" s="35">
        <f t="shared" si="33"/>
        <v>9147</v>
      </c>
      <c r="H113" s="35">
        <f t="shared" si="33"/>
        <v>9165</v>
      </c>
      <c r="I113" s="35">
        <f t="shared" si="33"/>
        <v>8208</v>
      </c>
      <c r="J113" s="35">
        <f t="shared" si="33"/>
        <v>8637</v>
      </c>
      <c r="K113" s="35">
        <f t="shared" si="33"/>
        <v>9399</v>
      </c>
      <c r="L113" s="35">
        <f t="shared" si="33"/>
        <v>9903</v>
      </c>
      <c r="M113" s="36"/>
      <c r="N113" s="36"/>
      <c r="O113" s="36"/>
      <c r="P113" s="36"/>
      <c r="Q113" s="36"/>
      <c r="R113" s="37"/>
      <c r="S113" s="38"/>
      <c r="T113" s="56"/>
      <c r="U113" s="51"/>
      <c r="V113" s="50"/>
      <c r="W113" s="50"/>
      <c r="X113" s="51"/>
      <c r="Y113" s="51"/>
      <c r="Z113" s="52"/>
      <c r="AA113" s="52"/>
    </row>
    <row r="114" spans="1:27">
      <c r="A114" s="95">
        <v>42875</v>
      </c>
      <c r="B114" s="115" t="s">
        <v>429</v>
      </c>
      <c r="C114" s="26" t="s">
        <v>126</v>
      </c>
      <c r="D114" s="16">
        <v>29182</v>
      </c>
      <c r="E114" s="16">
        <v>28995</v>
      </c>
      <c r="F114" s="16">
        <v>29044</v>
      </c>
      <c r="G114" s="16">
        <v>28988</v>
      </c>
      <c r="H114" s="16">
        <v>29185</v>
      </c>
      <c r="I114" s="16">
        <v>29178</v>
      </c>
      <c r="J114" s="16">
        <v>29002</v>
      </c>
      <c r="K114" s="16">
        <v>29892</v>
      </c>
      <c r="L114" s="16">
        <v>29180</v>
      </c>
      <c r="M114" s="27">
        <f>IF((L115=""),"",MAX(D116:L116))</f>
        <v>13011</v>
      </c>
      <c r="N114" s="27">
        <f>IF(L115="","",MIN(D116:L116))</f>
        <v>9396</v>
      </c>
      <c r="O114" s="27">
        <f>IF((L116=""),"",AVERAGE(D116:L116))</f>
        <v>10302.333333333334</v>
      </c>
      <c r="P114" s="27">
        <f>IF((L115=""),"",STDEV(D116:L116))</f>
        <v>1074.8287072831652</v>
      </c>
      <c r="Q114" s="168">
        <f>IF((L115=""),"",((M114-N114)/(M114+P114))*100)</f>
        <v>25.664091727388694</v>
      </c>
      <c r="R114" s="28" t="str">
        <f>IF(L115="","",IF(Q114&lt;Z114,IF(N114&gt;V114,IF(M114&lt;W114,"Pass","Fail"),"Fail"),"Fail"))</f>
        <v>Fail</v>
      </c>
      <c r="S114" s="29"/>
      <c r="T114" s="54"/>
      <c r="U114" s="40"/>
      <c r="V114" s="53">
        <v>9000</v>
      </c>
      <c r="W114" s="22">
        <v>15600</v>
      </c>
      <c r="X114" s="40">
        <v>8090</v>
      </c>
      <c r="Y114" s="40">
        <v>12070</v>
      </c>
      <c r="Z114" s="49">
        <v>15</v>
      </c>
      <c r="AA114" s="49">
        <v>6</v>
      </c>
    </row>
    <row r="115" spans="1:27" ht="15.75" customHeight="1">
      <c r="A115" s="94"/>
      <c r="B115" s="94"/>
      <c r="C115" s="30" t="s">
        <v>128</v>
      </c>
      <c r="D115" s="16">
        <v>25982</v>
      </c>
      <c r="E115" s="16">
        <v>25694</v>
      </c>
      <c r="F115" s="16">
        <v>25682</v>
      </c>
      <c r="G115" s="16">
        <v>25605</v>
      </c>
      <c r="H115" s="16">
        <v>25841</v>
      </c>
      <c r="I115" s="16">
        <v>26046</v>
      </c>
      <c r="J115" s="16">
        <v>25704</v>
      </c>
      <c r="K115" s="16">
        <v>25555</v>
      </c>
      <c r="L115" s="16">
        <v>25630</v>
      </c>
      <c r="M115" s="31"/>
      <c r="N115" s="31"/>
      <c r="O115" s="31"/>
      <c r="P115" s="31"/>
      <c r="Q115" s="31"/>
      <c r="R115" s="32"/>
      <c r="S115" s="33"/>
      <c r="T115" s="55"/>
      <c r="V115" s="47"/>
      <c r="W115" s="47"/>
      <c r="X115" s="48"/>
      <c r="Y115" s="48"/>
      <c r="Z115" s="49"/>
      <c r="AA115" s="49"/>
    </row>
    <row r="116" spans="1:27" ht="16.5" customHeight="1" thickBot="1">
      <c r="A116" s="94"/>
      <c r="B116" s="94"/>
      <c r="C116" s="34" t="s">
        <v>129</v>
      </c>
      <c r="D116" s="35">
        <f t="shared" ref="D116:L116" si="34">IF(((D114="")*AND(D115="")),"",(D114-D115)*3)</f>
        <v>9600</v>
      </c>
      <c r="E116" s="35">
        <f t="shared" si="34"/>
        <v>9903</v>
      </c>
      <c r="F116" s="35">
        <f t="shared" si="34"/>
        <v>10086</v>
      </c>
      <c r="G116" s="35">
        <f t="shared" si="34"/>
        <v>10149</v>
      </c>
      <c r="H116" s="35">
        <f t="shared" si="34"/>
        <v>10032</v>
      </c>
      <c r="I116" s="35">
        <f t="shared" si="34"/>
        <v>9396</v>
      </c>
      <c r="J116" s="35">
        <f t="shared" si="34"/>
        <v>9894</v>
      </c>
      <c r="K116" s="35">
        <f t="shared" si="34"/>
        <v>13011</v>
      </c>
      <c r="L116" s="35">
        <f t="shared" si="34"/>
        <v>10650</v>
      </c>
      <c r="M116" s="36"/>
      <c r="N116" s="36"/>
      <c r="O116" s="36"/>
      <c r="P116" s="36"/>
      <c r="Q116" s="36"/>
      <c r="R116" s="37"/>
      <c r="S116" s="38"/>
      <c r="T116" s="56"/>
      <c r="U116" s="51"/>
      <c r="V116" s="50"/>
      <c r="W116" s="50"/>
      <c r="X116" s="51"/>
      <c r="Y116" s="51"/>
      <c r="Z116" s="52"/>
      <c r="AA116" s="52"/>
    </row>
    <row r="117" spans="1:27">
      <c r="A117" s="95">
        <v>42887</v>
      </c>
      <c r="B117" s="115" t="s">
        <v>429</v>
      </c>
      <c r="C117" s="26" t="s">
        <v>126</v>
      </c>
      <c r="D117" s="16">
        <v>29118.15</v>
      </c>
      <c r="E117" s="16">
        <v>28948.59</v>
      </c>
      <c r="F117" s="16">
        <v>28993.37</v>
      </c>
      <c r="G117" s="16">
        <v>28951.85</v>
      </c>
      <c r="H117" s="16">
        <v>29137.82</v>
      </c>
      <c r="I117" s="16">
        <v>29120</v>
      </c>
      <c r="J117" s="16">
        <v>28938.03</v>
      </c>
      <c r="K117" s="16">
        <v>28940.83</v>
      </c>
      <c r="L117" s="16">
        <v>29137.21</v>
      </c>
      <c r="M117" s="27">
        <f>IF((L118=""),"",MAX(D119:L119))</f>
        <v>10242.48</v>
      </c>
      <c r="N117" s="27">
        <f>IF(L118="","",MIN(D119:L119))</f>
        <v>8570.3700000000026</v>
      </c>
      <c r="O117" s="27">
        <f>IF((L119=""),"",AVERAGE(D119:L119))</f>
        <v>9368.5833333333339</v>
      </c>
      <c r="P117" s="27">
        <f>IF((L118=""),"",STDEV(D119:L119))</f>
        <v>515.540718081519</v>
      </c>
      <c r="Q117" s="168">
        <f>IF((L118=""),"",((M117-N117)/(M117+P117))*100)</f>
        <v>15.5429148522609</v>
      </c>
      <c r="R117" s="28" t="str">
        <f>IF(L118="","",IF(Q117&lt;Z117,IF(N117&gt;V117,IF(M117&lt;W117,"Pass","Fail"),"Fail"),"Fail"))</f>
        <v>Fail</v>
      </c>
      <c r="S117" s="29">
        <v>1159</v>
      </c>
      <c r="T117" s="54" t="s">
        <v>152</v>
      </c>
      <c r="U117" s="40"/>
      <c r="V117" s="53">
        <v>9000</v>
      </c>
      <c r="W117" s="22">
        <v>15600</v>
      </c>
      <c r="X117" s="40">
        <v>8090</v>
      </c>
      <c r="Y117" s="40">
        <v>12070</v>
      </c>
      <c r="Z117" s="49">
        <v>15</v>
      </c>
      <c r="AA117" s="49">
        <v>6</v>
      </c>
    </row>
    <row r="118" spans="1:27" ht="15.75" customHeight="1">
      <c r="A118" s="94"/>
      <c r="B118" s="94"/>
      <c r="C118" s="30" t="s">
        <v>128</v>
      </c>
      <c r="D118" s="16">
        <v>26177.46</v>
      </c>
      <c r="E118" s="16">
        <v>25872.68</v>
      </c>
      <c r="F118" s="16">
        <v>25899.54</v>
      </c>
      <c r="G118" s="16">
        <v>25738.22</v>
      </c>
      <c r="H118" s="16">
        <v>25913.279999999999</v>
      </c>
      <c r="I118" s="16">
        <v>26263.21</v>
      </c>
      <c r="J118" s="16">
        <v>25906.67</v>
      </c>
      <c r="K118" s="16">
        <v>25685.99</v>
      </c>
      <c r="L118" s="16">
        <v>25723.05</v>
      </c>
      <c r="M118" s="31"/>
      <c r="N118" s="31"/>
      <c r="O118" s="31"/>
      <c r="P118" s="31"/>
      <c r="Q118" s="31"/>
      <c r="R118" s="32"/>
      <c r="S118" s="33"/>
      <c r="T118" s="55"/>
      <c r="V118" s="47"/>
      <c r="W118" s="47"/>
      <c r="X118" s="48"/>
      <c r="Y118" s="48"/>
      <c r="Z118" s="49"/>
      <c r="AA118" s="49"/>
    </row>
    <row r="119" spans="1:27" ht="16.5" customHeight="1" thickBot="1">
      <c r="A119" s="94"/>
      <c r="B119" s="94"/>
      <c r="C119" s="34" t="s">
        <v>129</v>
      </c>
      <c r="D119" s="35">
        <f t="shared" ref="D119:L119" si="35">IF(((D117="")*AND(D118="")),"",(D117-D118)*3)</f>
        <v>8822.070000000007</v>
      </c>
      <c r="E119" s="35">
        <f t="shared" si="35"/>
        <v>9227.73</v>
      </c>
      <c r="F119" s="35">
        <f t="shared" si="35"/>
        <v>9281.4899999999943</v>
      </c>
      <c r="G119" s="35">
        <f t="shared" si="35"/>
        <v>9640.8899999999921</v>
      </c>
      <c r="H119" s="35">
        <f t="shared" si="35"/>
        <v>9673.6200000000026</v>
      </c>
      <c r="I119" s="35">
        <f t="shared" si="35"/>
        <v>8570.3700000000026</v>
      </c>
      <c r="J119" s="35">
        <f t="shared" si="35"/>
        <v>9094.0800000000017</v>
      </c>
      <c r="K119" s="35">
        <f t="shared" si="35"/>
        <v>9764.52</v>
      </c>
      <c r="L119" s="35">
        <f t="shared" si="35"/>
        <v>10242.48</v>
      </c>
      <c r="M119" s="36"/>
      <c r="N119" s="36"/>
      <c r="O119" s="36"/>
      <c r="P119" s="36"/>
      <c r="Q119" s="36"/>
      <c r="R119" s="37"/>
      <c r="S119" s="38"/>
      <c r="T119" s="56"/>
      <c r="U119" s="51"/>
      <c r="V119" s="50"/>
      <c r="W119" s="50"/>
      <c r="X119" s="51"/>
      <c r="Y119" s="51"/>
      <c r="Z119" s="52"/>
      <c r="AA119" s="52"/>
    </row>
    <row r="120" spans="1:27">
      <c r="A120" s="95">
        <v>42891</v>
      </c>
      <c r="B120" s="115" t="s">
        <v>429</v>
      </c>
      <c r="C120" s="26" t="s">
        <v>126</v>
      </c>
      <c r="D120" s="16">
        <v>29110</v>
      </c>
      <c r="E120" s="16">
        <v>28905</v>
      </c>
      <c r="F120" s="16">
        <v>28888</v>
      </c>
      <c r="G120" s="16">
        <v>28879</v>
      </c>
      <c r="H120" s="16">
        <v>29127</v>
      </c>
      <c r="I120" s="16">
        <v>29051</v>
      </c>
      <c r="J120" s="16">
        <v>28892</v>
      </c>
      <c r="K120" s="16">
        <v>28891</v>
      </c>
      <c r="L120" s="16">
        <v>29131</v>
      </c>
      <c r="M120" s="27">
        <f>IF((L121=""),"",MAX(D122:L122))</f>
        <v>10641</v>
      </c>
      <c r="N120" s="27">
        <f>IF(L121="","",MIN(D122:L122))</f>
        <v>8976</v>
      </c>
      <c r="O120" s="27">
        <f>IF((L122=""),"",AVERAGE(D122:L122))</f>
        <v>9821.3333333333339</v>
      </c>
      <c r="P120" s="27">
        <f>IF((L121=""),"",STDEV(D122:L122))</f>
        <v>479.08454368722857</v>
      </c>
      <c r="Q120" s="168">
        <f>IF((L121=""),"",((M120-N120)/(M120+P120))*100)</f>
        <v>14.972907745968584</v>
      </c>
      <c r="R120" s="28" t="str">
        <f>IF(L121="","",IF(Q120&lt;Z120,IF(N120&gt;V120,IF(M120&lt;W120,"Pass","Fail"),"Fail"),"Fail"))</f>
        <v>Fail</v>
      </c>
      <c r="S120" s="29">
        <v>1335</v>
      </c>
      <c r="T120" s="54"/>
      <c r="U120" s="40"/>
      <c r="V120" s="53">
        <v>9000</v>
      </c>
      <c r="W120" s="22">
        <v>15600</v>
      </c>
      <c r="X120" s="40">
        <v>8090</v>
      </c>
      <c r="Y120" s="40">
        <v>12070</v>
      </c>
      <c r="Z120" s="49">
        <v>15</v>
      </c>
      <c r="AA120" s="49">
        <v>6</v>
      </c>
    </row>
    <row r="121" spans="1:27" ht="15.75" customHeight="1">
      <c r="A121" s="94"/>
      <c r="B121" s="94"/>
      <c r="C121" s="30" t="s">
        <v>128</v>
      </c>
      <c r="D121" s="16">
        <v>25949</v>
      </c>
      <c r="E121" s="16">
        <v>25652</v>
      </c>
      <c r="F121" s="16">
        <v>25657</v>
      </c>
      <c r="G121" s="16">
        <v>25544</v>
      </c>
      <c r="H121" s="16">
        <v>25748</v>
      </c>
      <c r="I121" s="16">
        <v>26059</v>
      </c>
      <c r="J121" s="16">
        <v>25709</v>
      </c>
      <c r="K121" s="16">
        <v>25508</v>
      </c>
      <c r="L121" s="16">
        <v>25584</v>
      </c>
      <c r="M121" s="31"/>
      <c r="N121" s="31"/>
      <c r="O121" s="31"/>
      <c r="P121" s="31"/>
      <c r="Q121" s="31"/>
      <c r="R121" s="32"/>
      <c r="S121" s="33"/>
      <c r="T121" s="55"/>
      <c r="V121" s="47"/>
      <c r="W121" s="47"/>
      <c r="X121" s="48"/>
      <c r="Y121" s="48"/>
      <c r="Z121" s="49"/>
      <c r="AA121" s="49"/>
    </row>
    <row r="122" spans="1:27" ht="16.5" customHeight="1" thickBot="1">
      <c r="A122" s="94"/>
      <c r="B122" s="94"/>
      <c r="C122" s="34" t="s">
        <v>129</v>
      </c>
      <c r="D122" s="35">
        <f t="shared" ref="D122:L122" si="36">IF(((D120="")*AND(D121="")),"",(D120-D121)*3)</f>
        <v>9483</v>
      </c>
      <c r="E122" s="35">
        <f t="shared" si="36"/>
        <v>9759</v>
      </c>
      <c r="F122" s="35">
        <f t="shared" si="36"/>
        <v>9693</v>
      </c>
      <c r="G122" s="35">
        <f t="shared" si="36"/>
        <v>10005</v>
      </c>
      <c r="H122" s="35">
        <f t="shared" si="36"/>
        <v>10137</v>
      </c>
      <c r="I122" s="35">
        <f t="shared" si="36"/>
        <v>8976</v>
      </c>
      <c r="J122" s="35">
        <f t="shared" si="36"/>
        <v>9549</v>
      </c>
      <c r="K122" s="35">
        <f t="shared" si="36"/>
        <v>10149</v>
      </c>
      <c r="L122" s="35">
        <f t="shared" si="36"/>
        <v>10641</v>
      </c>
      <c r="M122" s="36"/>
      <c r="N122" s="36"/>
      <c r="O122" s="36"/>
      <c r="P122" s="36"/>
      <c r="Q122" s="36"/>
      <c r="R122" s="37"/>
      <c r="S122" s="38"/>
      <c r="T122" s="56"/>
      <c r="U122" s="51"/>
      <c r="V122" s="50"/>
      <c r="W122" s="50"/>
      <c r="X122" s="51"/>
      <c r="Y122" s="51"/>
      <c r="Z122" s="52"/>
      <c r="AA122" s="52"/>
    </row>
    <row r="123" spans="1:27">
      <c r="A123" s="95">
        <v>42895</v>
      </c>
      <c r="B123" s="115" t="s">
        <v>429</v>
      </c>
      <c r="C123" s="26" t="s">
        <v>126</v>
      </c>
      <c r="D123" s="16">
        <v>29085</v>
      </c>
      <c r="E123" s="16">
        <v>28902</v>
      </c>
      <c r="F123" s="16">
        <v>28890</v>
      </c>
      <c r="G123" s="16">
        <v>28889</v>
      </c>
      <c r="H123" s="16">
        <v>29111</v>
      </c>
      <c r="I123" s="16">
        <v>29083</v>
      </c>
      <c r="J123" s="16">
        <v>28887</v>
      </c>
      <c r="K123" s="16">
        <v>28890</v>
      </c>
      <c r="L123" s="16">
        <v>29120</v>
      </c>
      <c r="M123" s="27">
        <f>IF((L124=""),"",MAX(D125:L125))</f>
        <v>9942</v>
      </c>
      <c r="N123" s="27">
        <f>IF(L124="","",MIN(D125:L125))</f>
        <v>8442</v>
      </c>
      <c r="O123" s="27">
        <f>IF((L125=""),"",AVERAGE(D125:L125))</f>
        <v>9148.6666666666661</v>
      </c>
      <c r="P123" s="27">
        <f>IF((L124=""),"",STDEV(D125:L125))</f>
        <v>450.47502705477473</v>
      </c>
      <c r="Q123" s="168">
        <f>IF((L124=""),"",((M123-N123)/(M123+P123))*100)</f>
        <v>14.433520370220219</v>
      </c>
      <c r="R123" s="28" t="str">
        <f>IF(L124="","",IF(Q123&lt;Z123,IF(N123&gt;V123,IF(M123&lt;W123,"Pass","Fail"),"Fail"),"Fail"))</f>
        <v>Fail</v>
      </c>
      <c r="S123" s="29">
        <v>121</v>
      </c>
      <c r="T123" s="54"/>
      <c r="U123" s="40"/>
      <c r="V123" s="53">
        <v>9000</v>
      </c>
      <c r="W123" s="22">
        <v>15600</v>
      </c>
      <c r="X123" s="40">
        <v>8090</v>
      </c>
      <c r="Y123" s="40">
        <v>12070</v>
      </c>
      <c r="Z123" s="49">
        <v>15</v>
      </c>
      <c r="AA123" s="49">
        <v>6</v>
      </c>
    </row>
    <row r="124" spans="1:27" ht="15.75" customHeight="1">
      <c r="A124" s="94"/>
      <c r="B124" s="94"/>
      <c r="C124" s="30" t="s">
        <v>128</v>
      </c>
      <c r="D124" s="16">
        <v>26159</v>
      </c>
      <c r="E124" s="16">
        <v>25884</v>
      </c>
      <c r="F124" s="16">
        <v>25891</v>
      </c>
      <c r="G124" s="16">
        <v>25773</v>
      </c>
      <c r="H124" s="16">
        <v>25967</v>
      </c>
      <c r="I124" s="16">
        <v>26269</v>
      </c>
      <c r="J124" s="16">
        <v>25936</v>
      </c>
      <c r="K124" s="16">
        <v>25726</v>
      </c>
      <c r="L124" s="16">
        <v>25806</v>
      </c>
      <c r="M124" s="31"/>
      <c r="N124" s="31"/>
      <c r="O124" s="31"/>
      <c r="P124" s="31"/>
      <c r="Q124" s="31"/>
      <c r="R124" s="32"/>
      <c r="S124" s="33"/>
      <c r="T124" s="55"/>
      <c r="V124" s="47"/>
      <c r="W124" s="47"/>
      <c r="X124" s="48"/>
      <c r="Y124" s="48"/>
      <c r="Z124" s="49"/>
      <c r="AA124" s="49"/>
    </row>
    <row r="125" spans="1:27" ht="16.5" customHeight="1" thickBot="1">
      <c r="A125" s="94"/>
      <c r="B125" s="94"/>
      <c r="C125" s="34" t="s">
        <v>129</v>
      </c>
      <c r="D125" s="35">
        <f t="shared" ref="D125:L125" si="37">IF(((D123="")*AND(D124="")),"",(D123-D124)*3)</f>
        <v>8778</v>
      </c>
      <c r="E125" s="35">
        <f t="shared" si="37"/>
        <v>9054</v>
      </c>
      <c r="F125" s="35">
        <f t="shared" si="37"/>
        <v>8997</v>
      </c>
      <c r="G125" s="35">
        <f t="shared" si="37"/>
        <v>9348</v>
      </c>
      <c r="H125" s="35">
        <f t="shared" si="37"/>
        <v>9432</v>
      </c>
      <c r="I125" s="35">
        <f t="shared" si="37"/>
        <v>8442</v>
      </c>
      <c r="J125" s="35">
        <f t="shared" si="37"/>
        <v>8853</v>
      </c>
      <c r="K125" s="35">
        <f t="shared" si="37"/>
        <v>9492</v>
      </c>
      <c r="L125" s="35">
        <f t="shared" si="37"/>
        <v>9942</v>
      </c>
      <c r="M125" s="36"/>
      <c r="N125" s="36"/>
      <c r="O125" s="36"/>
      <c r="P125" s="36"/>
      <c r="Q125" s="36"/>
      <c r="R125" s="37"/>
      <c r="S125" s="38"/>
      <c r="T125" s="56"/>
      <c r="U125" s="51"/>
      <c r="V125" s="50"/>
      <c r="W125" s="50"/>
      <c r="X125" s="51"/>
      <c r="Y125" s="51"/>
      <c r="Z125" s="52"/>
      <c r="AA125" s="52"/>
    </row>
    <row r="126" spans="1:27">
      <c r="A126" s="95">
        <v>42905</v>
      </c>
      <c r="B126" s="115" t="s">
        <v>429</v>
      </c>
      <c r="C126" s="26" t="s">
        <v>126</v>
      </c>
      <c r="D126" s="16">
        <v>29384</v>
      </c>
      <c r="E126" s="16">
        <v>29218</v>
      </c>
      <c r="F126" s="16">
        <v>29260</v>
      </c>
      <c r="G126" s="16">
        <v>29214</v>
      </c>
      <c r="H126" s="16">
        <v>29410</v>
      </c>
      <c r="I126" s="16">
        <v>29370</v>
      </c>
      <c r="J126" s="16">
        <v>29196</v>
      </c>
      <c r="K126" s="16">
        <v>29224</v>
      </c>
      <c r="L126" s="16">
        <v>29485</v>
      </c>
      <c r="M126" s="27">
        <f>IF((L127=""),"",MAX(D128:L128))</f>
        <v>12543</v>
      </c>
      <c r="N126" s="27">
        <f>IF(L127="","",MIN(D128:L128))</f>
        <v>11067</v>
      </c>
      <c r="O126" s="27">
        <f>IF((L128=""),"",AVERAGE(D128:L128))</f>
        <v>11759.333333333334</v>
      </c>
      <c r="P126" s="27">
        <f>IF((L127=""),"",STDEV(D128:L128))</f>
        <v>474.20828756992427</v>
      </c>
      <c r="Q126" s="168">
        <f>IF((L127=""),"",((M126-N126)/(M126+P126))*100)</f>
        <v>11.338836772009142</v>
      </c>
      <c r="R126" s="28" t="str">
        <f>IF(L127="","",IF(Q126&lt;Z126,IF(N126&gt;V126,IF(M126&lt;W126,"Pass","Fail"),"Fail"),"Fail"))</f>
        <v>Pass</v>
      </c>
      <c r="S126" s="29">
        <v>1159</v>
      </c>
      <c r="T126" s="55" t="s">
        <v>154</v>
      </c>
      <c r="U126" s="54" t="s">
        <v>153</v>
      </c>
      <c r="V126" s="53">
        <v>9000</v>
      </c>
      <c r="W126" s="22">
        <v>15600</v>
      </c>
      <c r="X126" s="40">
        <v>8090</v>
      </c>
      <c r="Y126" s="40">
        <v>12070</v>
      </c>
      <c r="Z126" s="49">
        <v>15</v>
      </c>
      <c r="AA126" s="49">
        <v>6</v>
      </c>
    </row>
    <row r="127" spans="1:27" ht="15.75" customHeight="1">
      <c r="A127" s="94"/>
      <c r="B127" s="94"/>
      <c r="C127" s="30" t="s">
        <v>128</v>
      </c>
      <c r="D127" s="16">
        <v>25695</v>
      </c>
      <c r="E127" s="16">
        <v>25348</v>
      </c>
      <c r="F127" s="16">
        <v>25391</v>
      </c>
      <c r="G127" s="16">
        <v>25190</v>
      </c>
      <c r="H127" s="16">
        <v>25392</v>
      </c>
      <c r="I127" s="16">
        <v>25642</v>
      </c>
      <c r="J127" s="16">
        <v>25331</v>
      </c>
      <c r="K127" s="16">
        <v>25190</v>
      </c>
      <c r="L127" s="16">
        <v>25304</v>
      </c>
      <c r="M127" s="31"/>
      <c r="N127" s="31"/>
      <c r="O127" s="31"/>
      <c r="P127" s="31"/>
      <c r="Q127" s="31"/>
      <c r="R127" s="32"/>
      <c r="S127" s="33"/>
      <c r="T127" s="16"/>
      <c r="V127" s="47"/>
      <c r="W127" s="47"/>
      <c r="X127" s="48"/>
      <c r="Y127" s="48"/>
      <c r="Z127" s="49"/>
      <c r="AA127" s="49"/>
    </row>
    <row r="128" spans="1:27" ht="16.5" customHeight="1" thickBot="1">
      <c r="A128" s="94"/>
      <c r="B128" s="94"/>
      <c r="C128" s="34" t="s">
        <v>129</v>
      </c>
      <c r="D128" s="35">
        <f t="shared" ref="D128:L128" si="38">IF(((D126="")*AND(D127="")),"",(D126-D127)*3)</f>
        <v>11067</v>
      </c>
      <c r="E128" s="35">
        <f t="shared" si="38"/>
        <v>11610</v>
      </c>
      <c r="F128" s="35">
        <f t="shared" si="38"/>
        <v>11607</v>
      </c>
      <c r="G128" s="35">
        <f t="shared" si="38"/>
        <v>12072</v>
      </c>
      <c r="H128" s="35">
        <f t="shared" si="38"/>
        <v>12054</v>
      </c>
      <c r="I128" s="35">
        <f t="shared" si="38"/>
        <v>11184</v>
      </c>
      <c r="J128" s="35">
        <f t="shared" si="38"/>
        <v>11595</v>
      </c>
      <c r="K128" s="35">
        <f t="shared" si="38"/>
        <v>12102</v>
      </c>
      <c r="L128" s="35">
        <f t="shared" si="38"/>
        <v>12543</v>
      </c>
      <c r="M128" s="36"/>
      <c r="N128" s="36"/>
      <c r="O128" s="36"/>
      <c r="P128" s="36"/>
      <c r="Q128" s="36"/>
      <c r="R128" s="37"/>
      <c r="S128" s="38"/>
      <c r="T128" s="56"/>
      <c r="U128" s="51"/>
      <c r="V128" s="50"/>
      <c r="W128" s="50"/>
      <c r="X128" s="51"/>
      <c r="Y128" s="51"/>
      <c r="Z128" s="52"/>
      <c r="AA128" s="52"/>
    </row>
    <row r="129" spans="1:27">
      <c r="A129" s="95">
        <v>42909</v>
      </c>
      <c r="B129" s="115" t="s">
        <v>429</v>
      </c>
      <c r="C129" s="26" t="s">
        <v>126</v>
      </c>
      <c r="D129" s="16">
        <v>29334</v>
      </c>
      <c r="E129" s="16">
        <v>29135</v>
      </c>
      <c r="F129" s="16">
        <v>29126</v>
      </c>
      <c r="G129" s="16">
        <v>29115</v>
      </c>
      <c r="H129" s="16">
        <v>29327</v>
      </c>
      <c r="I129" s="16">
        <v>29285</v>
      </c>
      <c r="J129" s="16">
        <v>29112</v>
      </c>
      <c r="K129" s="16">
        <v>29126</v>
      </c>
      <c r="L129" s="16">
        <v>29361</v>
      </c>
      <c r="M129" s="27">
        <f>IF((L130=""),"",MAX(D131:L131))</f>
        <v>11430</v>
      </c>
      <c r="N129" s="27">
        <f>IF(L130="","",MIN(D131:L131))</f>
        <v>9378</v>
      </c>
      <c r="O129" s="27">
        <f>IF((L131=""),"",AVERAGE(D131:L131))</f>
        <v>10369.666666666666</v>
      </c>
      <c r="P129" s="27">
        <f>IF((L130=""),"",STDEV(D131:L131))</f>
        <v>575.86543567052195</v>
      </c>
      <c r="Q129" s="168">
        <f>IF((L130=""),"",((M129-N129)/(M129+P129))*100)</f>
        <v>17.091645837569697</v>
      </c>
      <c r="R129" s="28" t="str">
        <f>IF(L130="","",IF(Q129&lt;Z129,IF(N129&gt;V129,IF(M129&lt;W129,"Pass","Fail"),"Fail"),"Fail"))</f>
        <v>Fail</v>
      </c>
      <c r="S129" s="29">
        <v>1159</v>
      </c>
      <c r="T129" s="54" t="s">
        <v>155</v>
      </c>
      <c r="U129" s="40"/>
      <c r="V129" s="53">
        <v>9000</v>
      </c>
      <c r="W129" s="22">
        <v>15600</v>
      </c>
      <c r="X129" s="40">
        <v>8090</v>
      </c>
      <c r="Y129" s="40">
        <v>12070</v>
      </c>
      <c r="Z129" s="49">
        <v>15</v>
      </c>
      <c r="AA129" s="49">
        <v>6</v>
      </c>
    </row>
    <row r="130" spans="1:27" ht="15.75" customHeight="1">
      <c r="A130" s="94"/>
      <c r="B130" s="94"/>
      <c r="C130" s="30" t="s">
        <v>128</v>
      </c>
      <c r="D130" s="16">
        <v>26010</v>
      </c>
      <c r="E130" s="16">
        <v>25693</v>
      </c>
      <c r="F130" s="16">
        <v>25698</v>
      </c>
      <c r="G130" s="16">
        <v>25594</v>
      </c>
      <c r="H130" s="16">
        <v>25825</v>
      </c>
      <c r="I130" s="16">
        <v>26159</v>
      </c>
      <c r="J130" s="16">
        <v>25766</v>
      </c>
      <c r="K130" s="16">
        <v>25516</v>
      </c>
      <c r="L130" s="16">
        <v>25551</v>
      </c>
      <c r="M130" s="31"/>
      <c r="N130" s="31"/>
      <c r="O130" s="31"/>
      <c r="P130" s="31"/>
      <c r="Q130" s="31"/>
      <c r="R130" s="32"/>
      <c r="S130" s="33"/>
      <c r="T130" s="55"/>
      <c r="V130" s="47"/>
      <c r="W130" s="47"/>
      <c r="X130" s="48"/>
      <c r="Y130" s="48"/>
      <c r="Z130" s="49"/>
      <c r="AA130" s="49"/>
    </row>
    <row r="131" spans="1:27" ht="16.5" customHeight="1" thickBot="1">
      <c r="A131" s="94"/>
      <c r="B131" s="94"/>
      <c r="C131" s="34" t="s">
        <v>129</v>
      </c>
      <c r="D131" s="35">
        <f t="shared" ref="D131:L131" si="39">IF(((D129="")*AND(D130="")),"",(D129-D130)*3)</f>
        <v>9972</v>
      </c>
      <c r="E131" s="35">
        <f t="shared" si="39"/>
        <v>10326</v>
      </c>
      <c r="F131" s="35">
        <f t="shared" si="39"/>
        <v>10284</v>
      </c>
      <c r="G131" s="35">
        <f t="shared" si="39"/>
        <v>10563</v>
      </c>
      <c r="H131" s="35">
        <f t="shared" si="39"/>
        <v>10506</v>
      </c>
      <c r="I131" s="35">
        <f t="shared" si="39"/>
        <v>9378</v>
      </c>
      <c r="J131" s="35">
        <f t="shared" si="39"/>
        <v>10038</v>
      </c>
      <c r="K131" s="35">
        <f t="shared" si="39"/>
        <v>10830</v>
      </c>
      <c r="L131" s="35">
        <f t="shared" si="39"/>
        <v>11430</v>
      </c>
      <c r="M131" s="36"/>
      <c r="N131" s="36"/>
      <c r="O131" s="36"/>
      <c r="P131" s="36"/>
      <c r="Q131" s="36"/>
      <c r="R131" s="37"/>
      <c r="S131" s="38"/>
      <c r="T131" s="56"/>
      <c r="U131" s="51"/>
      <c r="V131" s="50"/>
      <c r="W131" s="50"/>
      <c r="X131" s="51"/>
      <c r="Y131" s="51"/>
      <c r="Z131" s="52"/>
      <c r="AA131" s="52"/>
    </row>
    <row r="132" spans="1:27">
      <c r="A132" s="95">
        <v>42915</v>
      </c>
      <c r="B132" s="115" t="s">
        <v>429</v>
      </c>
      <c r="C132" s="26" t="s">
        <v>126</v>
      </c>
      <c r="D132" s="16">
        <v>29276.03</v>
      </c>
      <c r="E132" s="16">
        <v>29104.69</v>
      </c>
      <c r="F132" s="16">
        <v>29076.560000000001</v>
      </c>
      <c r="G132" s="16">
        <v>29090.07</v>
      </c>
      <c r="H132" s="16">
        <v>29319.35</v>
      </c>
      <c r="I132" s="16">
        <v>29267.06</v>
      </c>
      <c r="J132" s="16">
        <v>29083.599999999999</v>
      </c>
      <c r="K132" s="16">
        <v>29098.880000000001</v>
      </c>
      <c r="L132" s="16">
        <v>29354.13</v>
      </c>
      <c r="M132" s="27">
        <f>IF((L133=""),"",MAX(D134:L134))</f>
        <v>10750.170000000009</v>
      </c>
      <c r="N132" s="27">
        <f>IF(L133="","",MIN(D134:L134))</f>
        <v>9159.27</v>
      </c>
      <c r="O132" s="27">
        <f>IF((L134=""),"",AVERAGE(D134:L134))</f>
        <v>9983.7000000000025</v>
      </c>
      <c r="P132" s="27">
        <f>IF((L133=""),"",STDEV(D134:L134))</f>
        <v>475.40571943865751</v>
      </c>
      <c r="Q132" s="168">
        <f>IF((L133=""),"",((M132-N132)/(M132+P132))*100)</f>
        <v>14.172101634352179</v>
      </c>
      <c r="R132" s="28" t="str">
        <f>IF(L133="","",IF(Q132&lt;Z132,IF(N132&gt;V132,IF(M132&lt;W132,"Pass","Fail"),"Fail"),"Fail"))</f>
        <v>Pass</v>
      </c>
      <c r="S132" s="29">
        <v>64</v>
      </c>
      <c r="T132" s="54"/>
      <c r="U132" s="40"/>
      <c r="V132" s="53">
        <v>9000</v>
      </c>
      <c r="W132" s="22">
        <v>15600</v>
      </c>
      <c r="X132" s="40">
        <v>8090</v>
      </c>
      <c r="Y132" s="40">
        <v>12070</v>
      </c>
      <c r="Z132" s="49">
        <v>15</v>
      </c>
      <c r="AA132" s="49">
        <v>6</v>
      </c>
    </row>
    <row r="133" spans="1:27" ht="15.75" customHeight="1">
      <c r="A133" s="94"/>
      <c r="B133" s="94"/>
      <c r="C133" s="30" t="s">
        <v>128</v>
      </c>
      <c r="D133" s="16">
        <v>25863.17</v>
      </c>
      <c r="E133" s="16">
        <v>25684.04</v>
      </c>
      <c r="F133" s="16">
        <v>25778.37</v>
      </c>
      <c r="G133" s="16">
        <v>25773.599999999999</v>
      </c>
      <c r="H133" s="16">
        <v>26151.19</v>
      </c>
      <c r="I133" s="16">
        <v>25683.67</v>
      </c>
      <c r="J133" s="16">
        <v>25642.67</v>
      </c>
      <c r="K133" s="16">
        <v>25841.52</v>
      </c>
      <c r="L133" s="16">
        <v>26301.040000000001</v>
      </c>
      <c r="M133" s="31"/>
      <c r="N133" s="31"/>
      <c r="O133" s="31"/>
      <c r="P133" s="31"/>
      <c r="Q133" s="31"/>
      <c r="R133" s="32"/>
      <c r="S133" s="33"/>
      <c r="T133" s="55"/>
      <c r="V133" s="47"/>
      <c r="W133" s="47"/>
      <c r="X133" s="48"/>
      <c r="Y133" s="48"/>
      <c r="Z133" s="49"/>
      <c r="AA133" s="49"/>
    </row>
    <row r="134" spans="1:27" ht="16.5" customHeight="1" thickBot="1">
      <c r="A134" s="94"/>
      <c r="B134" s="94"/>
      <c r="C134" s="34" t="s">
        <v>129</v>
      </c>
      <c r="D134" s="35">
        <f t="shared" ref="D134:L134" si="40">IF(((D132="")*AND(D133="")),"",(D132-D133)*3)</f>
        <v>10238.580000000002</v>
      </c>
      <c r="E134" s="35">
        <f t="shared" si="40"/>
        <v>10261.949999999993</v>
      </c>
      <c r="F134" s="35">
        <f t="shared" si="40"/>
        <v>9894.570000000007</v>
      </c>
      <c r="G134" s="35">
        <f t="shared" si="40"/>
        <v>9949.4100000000035</v>
      </c>
      <c r="H134" s="35">
        <f t="shared" si="40"/>
        <v>9504.48</v>
      </c>
      <c r="I134" s="35">
        <f t="shared" si="40"/>
        <v>10750.170000000009</v>
      </c>
      <c r="J134" s="35">
        <f t="shared" si="40"/>
        <v>10322.790000000001</v>
      </c>
      <c r="K134" s="35">
        <f t="shared" si="40"/>
        <v>9772.0800000000017</v>
      </c>
      <c r="L134" s="35">
        <f t="shared" si="40"/>
        <v>9159.27</v>
      </c>
      <c r="M134" s="36"/>
      <c r="N134" s="36"/>
      <c r="O134" s="36"/>
      <c r="P134" s="36"/>
      <c r="Q134" s="36"/>
      <c r="R134" s="37"/>
      <c r="S134" s="38"/>
      <c r="T134" s="56"/>
      <c r="U134" s="51"/>
      <c r="V134" s="50"/>
      <c r="W134" s="50"/>
      <c r="X134" s="51"/>
      <c r="Y134" s="51"/>
      <c r="Z134" s="52"/>
      <c r="AA134" s="52"/>
    </row>
    <row r="135" spans="1:27">
      <c r="A135" s="95">
        <v>42915</v>
      </c>
      <c r="B135" s="115" t="s">
        <v>429</v>
      </c>
      <c r="C135" s="26" t="s">
        <v>126</v>
      </c>
      <c r="D135" s="16">
        <v>29227.4</v>
      </c>
      <c r="E135" s="16">
        <v>29041.31</v>
      </c>
      <c r="F135" s="16">
        <v>29091.86</v>
      </c>
      <c r="G135" s="16">
        <v>29043.77</v>
      </c>
      <c r="H135" s="16">
        <v>29222.82</v>
      </c>
      <c r="I135" s="16">
        <v>29194.34</v>
      </c>
      <c r="J135" s="16">
        <v>29035.5</v>
      </c>
      <c r="K135" s="16">
        <v>29029.07</v>
      </c>
      <c r="L135" s="16">
        <v>29268.62</v>
      </c>
      <c r="M135" s="27">
        <f>IF((L136=""),"",MAX(D137:L137))</f>
        <v>10761.779999999995</v>
      </c>
      <c r="N135" s="27">
        <f>IF(L136="","",MIN(D137:L137))</f>
        <v>9209.1600000000035</v>
      </c>
      <c r="O135" s="27">
        <f>IF((L137=""),"",AVERAGE(D137:L137))</f>
        <v>10007.186666666668</v>
      </c>
      <c r="P135" s="27">
        <f>IF((L136=""),"",STDEV(D137:L137))</f>
        <v>456.6896813483001</v>
      </c>
      <c r="Q135" s="168">
        <f>IF((L136=""),"",((M135-N135)/(M135+P135))*100)</f>
        <v>13.839855560525876</v>
      </c>
      <c r="R135" s="28" t="str">
        <f>IF(L136="","",IF(Q135&lt;Z135,IF(N135&gt;V135,IF(M135&lt;W135,"Pass","Fail"),"Fail"),"Fail"))</f>
        <v>Pass</v>
      </c>
      <c r="S135" s="29">
        <v>1428</v>
      </c>
      <c r="T135" s="54" t="s">
        <v>156</v>
      </c>
      <c r="U135" s="40"/>
      <c r="V135" s="53">
        <v>9000</v>
      </c>
      <c r="W135" s="22">
        <v>15600</v>
      </c>
      <c r="X135" s="40">
        <v>8090</v>
      </c>
      <c r="Y135" s="40">
        <v>12070</v>
      </c>
      <c r="Z135" s="49">
        <v>15</v>
      </c>
      <c r="AA135" s="49">
        <v>6</v>
      </c>
    </row>
    <row r="136" spans="1:27" ht="15.75" customHeight="1">
      <c r="A136" s="94"/>
      <c r="B136" s="94"/>
      <c r="C136" s="30" t="s">
        <v>128</v>
      </c>
      <c r="D136" s="16">
        <v>26045.53</v>
      </c>
      <c r="E136" s="16">
        <v>25720.85</v>
      </c>
      <c r="F136" s="16">
        <v>25777.53</v>
      </c>
      <c r="G136" s="16">
        <v>25622.6</v>
      </c>
      <c r="H136" s="16">
        <v>25812.11</v>
      </c>
      <c r="I136" s="16">
        <v>26124.62</v>
      </c>
      <c r="J136" s="16">
        <v>25758.36</v>
      </c>
      <c r="K136" s="16">
        <v>25590.17</v>
      </c>
      <c r="L136" s="16">
        <v>25681.360000000001</v>
      </c>
      <c r="M136" s="31"/>
      <c r="N136" s="31"/>
      <c r="O136" s="31"/>
      <c r="P136" s="31"/>
      <c r="Q136" s="31"/>
      <c r="R136" s="32"/>
      <c r="S136" s="33"/>
      <c r="T136" s="55"/>
      <c r="V136" s="47"/>
      <c r="W136" s="47"/>
      <c r="X136" s="48"/>
      <c r="Y136" s="48"/>
      <c r="Z136" s="49"/>
      <c r="AA136" s="49"/>
    </row>
    <row r="137" spans="1:27" ht="16.5" customHeight="1" thickBot="1">
      <c r="A137" s="94"/>
      <c r="B137" s="94"/>
      <c r="C137" s="34" t="s">
        <v>129</v>
      </c>
      <c r="D137" s="35">
        <f t="shared" ref="D137:L137" si="41">IF(((D135="")*AND(D136="")),"",(D135-D136)*3)</f>
        <v>9545.6100000000079</v>
      </c>
      <c r="E137" s="35">
        <f t="shared" si="41"/>
        <v>9961.3800000000083</v>
      </c>
      <c r="F137" s="35">
        <f t="shared" si="41"/>
        <v>9942.9900000000052</v>
      </c>
      <c r="G137" s="35">
        <f t="shared" si="41"/>
        <v>10263.510000000006</v>
      </c>
      <c r="H137" s="35">
        <f t="shared" si="41"/>
        <v>10232.129999999997</v>
      </c>
      <c r="I137" s="35">
        <f t="shared" si="41"/>
        <v>9209.1600000000035</v>
      </c>
      <c r="J137" s="35">
        <f t="shared" si="41"/>
        <v>9831.4199999999983</v>
      </c>
      <c r="K137" s="35">
        <f t="shared" si="41"/>
        <v>10316.700000000004</v>
      </c>
      <c r="L137" s="35">
        <f t="shared" si="41"/>
        <v>10761.779999999995</v>
      </c>
      <c r="M137" s="36"/>
      <c r="N137" s="36"/>
      <c r="O137" s="36"/>
      <c r="P137" s="36"/>
      <c r="Q137" s="36"/>
      <c r="R137" s="37"/>
      <c r="S137" s="38"/>
      <c r="T137" s="56"/>
      <c r="U137" s="51"/>
      <c r="V137" s="50"/>
      <c r="W137" s="50"/>
      <c r="X137" s="51"/>
      <c r="Y137" s="51"/>
      <c r="Z137" s="52"/>
      <c r="AA137" s="52"/>
    </row>
    <row r="138" spans="1:27">
      <c r="A138" s="95">
        <v>42923</v>
      </c>
      <c r="B138" s="115" t="s">
        <v>429</v>
      </c>
      <c r="C138" s="26" t="s">
        <v>126</v>
      </c>
      <c r="D138" s="16">
        <v>29247.01</v>
      </c>
      <c r="E138" s="16">
        <v>29040.79</v>
      </c>
      <c r="F138" s="16">
        <v>29100</v>
      </c>
      <c r="G138" s="16">
        <v>29018.84</v>
      </c>
      <c r="H138" s="16">
        <v>29215.29</v>
      </c>
      <c r="I138" s="16">
        <v>29180.16</v>
      </c>
      <c r="J138" s="16">
        <v>29010.55</v>
      </c>
      <c r="K138" s="16">
        <v>29027.06</v>
      </c>
      <c r="L138" s="16">
        <v>29227.07</v>
      </c>
      <c r="M138" s="27">
        <f>IF((L139=""),"",MAX(D140:L140))</f>
        <v>10580.819999999996</v>
      </c>
      <c r="N138" s="27">
        <f>IF(L139="","",MIN(D140:L140))</f>
        <v>8956.5900000000074</v>
      </c>
      <c r="O138" s="27">
        <f>IF((L140=""),"",AVERAGE(D140:L140))</f>
        <v>9656.4866666666712</v>
      </c>
      <c r="P138" s="27">
        <f>IF((L139=""),"",STDEV(D140:L140))</f>
        <v>503.61143513620561</v>
      </c>
      <c r="Q138" s="168">
        <f>IF((L139=""),"",((M138-N138)/(M138+P138))*100)</f>
        <v>14.653254968508278</v>
      </c>
      <c r="R138" s="28" t="str">
        <f>IF(L139="","",IF(Q138&lt;Z138,IF(N138&gt;V138,IF(M138&lt;W138,"Pass","Fail"),"Fail"),"Fail"))</f>
        <v>Fail</v>
      </c>
      <c r="S138" s="29">
        <v>1428</v>
      </c>
      <c r="T138" s="54" t="s">
        <v>157</v>
      </c>
      <c r="U138" s="40"/>
      <c r="V138" s="53">
        <v>9000</v>
      </c>
      <c r="W138" s="22">
        <v>15600</v>
      </c>
      <c r="X138" s="40">
        <v>8090</v>
      </c>
      <c r="Y138" s="40">
        <v>12070</v>
      </c>
      <c r="Z138" s="49">
        <v>15</v>
      </c>
      <c r="AA138" s="49">
        <v>6</v>
      </c>
    </row>
    <row r="139" spans="1:27" ht="15.75" customHeight="1">
      <c r="A139" s="94"/>
      <c r="B139" s="94"/>
      <c r="C139" s="30" t="s">
        <v>128</v>
      </c>
      <c r="D139" s="16">
        <v>25931.46</v>
      </c>
      <c r="E139" s="16">
        <v>25733.37</v>
      </c>
      <c r="F139" s="16">
        <v>25912.2</v>
      </c>
      <c r="G139" s="16">
        <v>25860.67</v>
      </c>
      <c r="H139" s="16">
        <v>26229.759999999998</v>
      </c>
      <c r="I139" s="16">
        <v>25653.22</v>
      </c>
      <c r="J139" s="16">
        <v>25699.62</v>
      </c>
      <c r="K139" s="16">
        <v>25861.64</v>
      </c>
      <c r="L139" s="16">
        <v>26215.37</v>
      </c>
      <c r="M139" s="31"/>
      <c r="N139" s="31"/>
      <c r="O139" s="31"/>
      <c r="P139" s="31"/>
      <c r="Q139" s="31"/>
      <c r="R139" s="32"/>
      <c r="S139" s="33"/>
      <c r="T139" s="55"/>
      <c r="V139" s="47"/>
      <c r="W139" s="47"/>
      <c r="X139" s="48"/>
      <c r="Y139" s="48"/>
      <c r="Z139" s="49"/>
      <c r="AA139" s="49"/>
    </row>
    <row r="140" spans="1:27" ht="16.5" customHeight="1" thickBot="1">
      <c r="A140" s="94"/>
      <c r="B140" s="94"/>
      <c r="C140" s="34" t="s">
        <v>129</v>
      </c>
      <c r="D140" s="35">
        <f t="shared" ref="D140:L140" si="42">IF(((D138="")*AND(D139="")),"",(D138-D139)*3)</f>
        <v>9946.6499999999978</v>
      </c>
      <c r="E140" s="35">
        <f t="shared" si="42"/>
        <v>9922.2600000000057</v>
      </c>
      <c r="F140" s="35">
        <f t="shared" si="42"/>
        <v>9563.3999999999978</v>
      </c>
      <c r="G140" s="35">
        <f t="shared" si="42"/>
        <v>9474.5100000000057</v>
      </c>
      <c r="H140" s="35">
        <f t="shared" si="42"/>
        <v>8956.5900000000074</v>
      </c>
      <c r="I140" s="35">
        <f t="shared" si="42"/>
        <v>10580.819999999996</v>
      </c>
      <c r="J140" s="35">
        <f t="shared" si="42"/>
        <v>9932.7900000000009</v>
      </c>
      <c r="K140" s="35">
        <f t="shared" si="42"/>
        <v>9496.2600000000057</v>
      </c>
      <c r="L140" s="35">
        <f t="shared" si="42"/>
        <v>9035.1000000000022</v>
      </c>
      <c r="M140" s="36"/>
      <c r="N140" s="36"/>
      <c r="O140" s="36"/>
      <c r="P140" s="36"/>
      <c r="Q140" s="36"/>
      <c r="R140" s="37"/>
      <c r="S140" s="38"/>
      <c r="T140" s="56"/>
      <c r="U140" s="51"/>
      <c r="V140" s="50"/>
      <c r="W140" s="50"/>
      <c r="X140" s="51"/>
      <c r="Y140" s="51"/>
      <c r="Z140" s="52"/>
      <c r="AA140" s="52"/>
    </row>
    <row r="141" spans="1:27">
      <c r="A141" s="95">
        <v>42933</v>
      </c>
      <c r="B141" s="115" t="s">
        <v>429</v>
      </c>
      <c r="C141" s="26" t="s">
        <v>126</v>
      </c>
      <c r="D141" s="16">
        <v>29108.83</v>
      </c>
      <c r="E141" s="16">
        <v>28938.04</v>
      </c>
      <c r="F141" s="16">
        <v>28918.400000000001</v>
      </c>
      <c r="G141" s="16">
        <v>28938.29</v>
      </c>
      <c r="H141" s="16">
        <v>29160.75</v>
      </c>
      <c r="I141" s="16">
        <v>29128.04</v>
      </c>
      <c r="J141" s="16">
        <v>28935.66</v>
      </c>
      <c r="K141" s="16">
        <v>28926.63</v>
      </c>
      <c r="L141" s="16">
        <v>29145.06</v>
      </c>
      <c r="M141" s="27">
        <f>IF((L142=""),"",MAX(D143:L143))</f>
        <v>10484.910000000003</v>
      </c>
      <c r="N141" s="27">
        <f>IF(L142="","",MIN(D143:L143))</f>
        <v>8838.570000000007</v>
      </c>
      <c r="O141" s="27">
        <f>IF((L143=""),"",AVERAGE(D143:L143))</f>
        <v>9578.3966666666711</v>
      </c>
      <c r="P141" s="27">
        <f>IF((L142=""),"",STDEV(D143:L143))</f>
        <v>498.08495723619529</v>
      </c>
      <c r="Q141" s="168">
        <f>IF((L142=""),"",((M141-N141)/(M141+P141))*100)</f>
        <v>14.989900354231681</v>
      </c>
      <c r="R141" s="28" t="str">
        <f>IF(L142="","",IF(Q141&lt;Z141,IF(N141&gt;V141,IF(M141&lt;W141,"Pass","Fail"),"Fail"),"Fail"))</f>
        <v>Fail</v>
      </c>
      <c r="S141" s="29">
        <v>102</v>
      </c>
      <c r="T141" s="54" t="s">
        <v>158</v>
      </c>
      <c r="U141" s="40"/>
      <c r="V141" s="53">
        <v>9000</v>
      </c>
      <c r="W141" s="22">
        <v>15600</v>
      </c>
      <c r="X141" s="40">
        <v>8090</v>
      </c>
      <c r="Y141" s="40">
        <v>12070</v>
      </c>
      <c r="Z141" s="49">
        <v>15</v>
      </c>
      <c r="AA141" s="49">
        <v>6</v>
      </c>
    </row>
    <row r="142" spans="1:27" ht="15.75" customHeight="1">
      <c r="A142" s="94"/>
      <c r="B142" s="94"/>
      <c r="C142" s="30" t="s">
        <v>128</v>
      </c>
      <c r="D142" s="16">
        <v>26053.47</v>
      </c>
      <c r="E142" s="16">
        <v>25804.84</v>
      </c>
      <c r="F142" s="16">
        <v>25792.14</v>
      </c>
      <c r="G142" s="16">
        <v>25672.23</v>
      </c>
      <c r="H142" s="16">
        <v>25845.68</v>
      </c>
      <c r="I142" s="16">
        <v>26181.85</v>
      </c>
      <c r="J142" s="16">
        <v>25839.42</v>
      </c>
      <c r="K142" s="16">
        <v>25624.79</v>
      </c>
      <c r="L142" s="16">
        <v>25650.09</v>
      </c>
      <c r="M142" s="31"/>
      <c r="N142" s="31"/>
      <c r="O142" s="31"/>
      <c r="P142" s="31"/>
      <c r="Q142" s="31"/>
      <c r="R142" s="32"/>
      <c r="S142" s="33"/>
      <c r="T142" s="55"/>
      <c r="V142" s="47"/>
      <c r="W142" s="47"/>
      <c r="X142" s="48"/>
      <c r="Y142" s="48"/>
      <c r="Z142" s="49"/>
      <c r="AA142" s="49"/>
    </row>
    <row r="143" spans="1:27" ht="16.5" customHeight="1" thickBot="1">
      <c r="A143" s="94"/>
      <c r="B143" s="94"/>
      <c r="C143" s="34" t="s">
        <v>129</v>
      </c>
      <c r="D143" s="35">
        <f t="shared" ref="D143:L143" si="43">IF(((D141="")*AND(D142="")),"",(D141-D142)*3)</f>
        <v>9166.0800000000017</v>
      </c>
      <c r="E143" s="35">
        <f t="shared" si="43"/>
        <v>9399.6000000000022</v>
      </c>
      <c r="F143" s="35">
        <f t="shared" si="43"/>
        <v>9378.7800000000061</v>
      </c>
      <c r="G143" s="35">
        <f t="shared" si="43"/>
        <v>9798.1800000000039</v>
      </c>
      <c r="H143" s="35">
        <f t="shared" si="43"/>
        <v>9945.2099999999991</v>
      </c>
      <c r="I143" s="35">
        <f t="shared" si="43"/>
        <v>8838.570000000007</v>
      </c>
      <c r="J143" s="35">
        <f t="shared" si="43"/>
        <v>9288.7200000000048</v>
      </c>
      <c r="K143" s="35">
        <f t="shared" si="43"/>
        <v>9905.52</v>
      </c>
      <c r="L143" s="35">
        <f t="shared" si="43"/>
        <v>10484.910000000003</v>
      </c>
      <c r="M143" s="36"/>
      <c r="N143" s="36"/>
      <c r="O143" s="36"/>
      <c r="P143" s="36"/>
      <c r="Q143" s="36"/>
      <c r="R143" s="37"/>
      <c r="S143" s="38"/>
      <c r="T143" s="56"/>
      <c r="U143" s="51"/>
      <c r="V143" s="50"/>
      <c r="W143" s="50"/>
      <c r="X143" s="51"/>
      <c r="Y143" s="51"/>
      <c r="Z143" s="52"/>
      <c r="AA143" s="52"/>
    </row>
    <row r="144" spans="1:27">
      <c r="A144" s="95">
        <v>42937</v>
      </c>
      <c r="B144" s="115" t="s">
        <v>429</v>
      </c>
      <c r="C144" s="26" t="s">
        <v>126</v>
      </c>
      <c r="D144" s="16">
        <v>29057.17</v>
      </c>
      <c r="E144" s="16">
        <v>28928.43</v>
      </c>
      <c r="F144" s="16">
        <v>28902.720000000001</v>
      </c>
      <c r="G144" s="16">
        <v>28914.09</v>
      </c>
      <c r="H144" s="16">
        <v>29081.83</v>
      </c>
      <c r="I144" s="16">
        <v>29102.75</v>
      </c>
      <c r="J144" s="16">
        <v>28915.08</v>
      </c>
      <c r="K144" s="16">
        <v>28923.66</v>
      </c>
      <c r="L144" s="16">
        <v>29157.3</v>
      </c>
      <c r="M144" s="27">
        <f>IF((L145=""),"",MAX(D146:L146))</f>
        <v>10339.529999999995</v>
      </c>
      <c r="N144" s="27">
        <f>IF(L145="","",MIN(D146:L146))</f>
        <v>8936.7900000000009</v>
      </c>
      <c r="O144" s="27">
        <f>IF((L146=""),"",AVERAGE(D146:L146))</f>
        <v>9501.5133333333306</v>
      </c>
      <c r="P144" s="27">
        <f>IF((L145=""),"",STDEV(D146:L146))</f>
        <v>465.88357105074709</v>
      </c>
      <c r="Q144" s="168">
        <f>IF((L145=""),"",((M144-N144)/(M144+P144))*100)</f>
        <v>12.98182610759237</v>
      </c>
      <c r="R144" s="28" t="str">
        <f>IF(L145="","",IF(Q144&lt;Z144,IF(N144&gt;V144,IF(M144&lt;W144,"Pass","Fail"),"Fail"),"Fail"))</f>
        <v>Fail</v>
      </c>
      <c r="S144" s="29">
        <v>1428</v>
      </c>
      <c r="T144" s="54"/>
      <c r="U144" s="40"/>
      <c r="V144" s="53">
        <v>9000</v>
      </c>
      <c r="W144" s="22">
        <v>15600</v>
      </c>
      <c r="X144" s="40">
        <v>8090</v>
      </c>
      <c r="Y144" s="40">
        <v>12070</v>
      </c>
      <c r="Z144" s="49">
        <v>15</v>
      </c>
      <c r="AA144" s="49">
        <v>6</v>
      </c>
    </row>
    <row r="145" spans="1:27" ht="15.75" customHeight="1">
      <c r="A145" s="94"/>
      <c r="B145" s="94"/>
      <c r="C145" s="30" t="s">
        <v>128</v>
      </c>
      <c r="D145" s="16">
        <v>25745.59</v>
      </c>
      <c r="E145" s="16">
        <v>25687.58</v>
      </c>
      <c r="F145" s="16">
        <v>25808.97</v>
      </c>
      <c r="G145" s="16">
        <v>25808.7</v>
      </c>
      <c r="H145" s="16">
        <v>26102.9</v>
      </c>
      <c r="I145" s="16">
        <v>25656.240000000002</v>
      </c>
      <c r="J145" s="16">
        <v>25674.799999999999</v>
      </c>
      <c r="K145" s="16">
        <v>25816.38</v>
      </c>
      <c r="L145" s="16">
        <v>26177.33</v>
      </c>
      <c r="M145" s="31"/>
      <c r="N145" s="31"/>
      <c r="O145" s="31"/>
      <c r="P145" s="31"/>
      <c r="Q145" s="31"/>
      <c r="R145" s="32"/>
      <c r="S145" s="33"/>
      <c r="T145" s="55"/>
      <c r="V145" s="47"/>
      <c r="W145" s="47"/>
      <c r="X145" s="48"/>
      <c r="Y145" s="48"/>
      <c r="Z145" s="49"/>
      <c r="AA145" s="49"/>
    </row>
    <row r="146" spans="1:27" ht="16.5" customHeight="1" thickBot="1">
      <c r="A146" s="94"/>
      <c r="B146" s="94"/>
      <c r="C146" s="34" t="s">
        <v>129</v>
      </c>
      <c r="D146" s="35">
        <f t="shared" ref="D146:L146" si="44">IF(((D144="")*AND(D145="")),"",(D144-D145)*3)</f>
        <v>9934.7399999999943</v>
      </c>
      <c r="E146" s="35">
        <f t="shared" si="44"/>
        <v>9722.5499999999956</v>
      </c>
      <c r="F146" s="35">
        <f t="shared" si="44"/>
        <v>9281.25</v>
      </c>
      <c r="G146" s="35">
        <f t="shared" si="44"/>
        <v>9316.1699999999983</v>
      </c>
      <c r="H146" s="35">
        <f t="shared" si="44"/>
        <v>8936.7900000000009</v>
      </c>
      <c r="I146" s="35">
        <f t="shared" si="44"/>
        <v>10339.529999999995</v>
      </c>
      <c r="J146" s="35">
        <f t="shared" si="44"/>
        <v>9720.8400000000074</v>
      </c>
      <c r="K146" s="35">
        <f t="shared" si="44"/>
        <v>9321.8399999999965</v>
      </c>
      <c r="L146" s="35">
        <f t="shared" si="44"/>
        <v>8939.9099999999926</v>
      </c>
      <c r="M146" s="36"/>
      <c r="N146" s="36"/>
      <c r="O146" s="36"/>
      <c r="P146" s="36"/>
      <c r="Q146" s="36"/>
      <c r="R146" s="37"/>
      <c r="S146" s="38"/>
      <c r="T146" s="56"/>
      <c r="U146" s="51"/>
      <c r="V146" s="50"/>
      <c r="W146" s="50"/>
      <c r="X146" s="51"/>
      <c r="Y146" s="51"/>
      <c r="Z146" s="52"/>
      <c r="AA146" s="52"/>
    </row>
    <row r="147" spans="1:27">
      <c r="A147" s="95">
        <v>42940</v>
      </c>
      <c r="B147" s="115" t="s">
        <v>429</v>
      </c>
      <c r="C147" s="26" t="s">
        <v>126</v>
      </c>
      <c r="D147" s="16">
        <v>29060.65</v>
      </c>
      <c r="E147" s="16">
        <v>28888.45</v>
      </c>
      <c r="F147" s="16">
        <v>28875.17</v>
      </c>
      <c r="G147" s="16">
        <v>28885.98</v>
      </c>
      <c r="H147" s="16">
        <v>29084.38</v>
      </c>
      <c r="I147" s="16">
        <v>29049.96</v>
      </c>
      <c r="J147" s="16">
        <v>28875.72</v>
      </c>
      <c r="K147" s="16">
        <v>28898.37</v>
      </c>
      <c r="L147" s="16">
        <v>29117.11</v>
      </c>
      <c r="M147" s="27">
        <f>IF((L148=""),"",MAX(D149:L149))</f>
        <v>10455.330000000002</v>
      </c>
      <c r="N147" s="27">
        <f>IF(L148="","",MIN(D149:L149))</f>
        <v>8874.48</v>
      </c>
      <c r="O147" s="27">
        <f>IF((L149=""),"",AVERAGE(D149:L149))</f>
        <v>9546.6666666666679</v>
      </c>
      <c r="P147" s="27">
        <f>IF((L148=""),"",STDEV(D149:L149))</f>
        <v>478.49647328894901</v>
      </c>
      <c r="Q147" s="168">
        <f>IF((L148=""),"",((M147-N147)/(M147+P147))*100)</f>
        <v>14.458341769571495</v>
      </c>
      <c r="R147" s="28" t="str">
        <f>IF(L148="","",IF(Q147&lt;Z147,IF(N147&gt;V147,IF(M147&lt;W147,"Pass","Fail"),"Fail"),"Fail"))</f>
        <v>Fail</v>
      </c>
      <c r="S147" s="29">
        <v>121</v>
      </c>
      <c r="T147" s="54" t="s">
        <v>159</v>
      </c>
      <c r="U147" s="40"/>
      <c r="V147" s="53">
        <v>9000</v>
      </c>
      <c r="W147" s="22">
        <v>15600</v>
      </c>
      <c r="X147" s="40">
        <v>8090</v>
      </c>
      <c r="Y147" s="40">
        <v>12070</v>
      </c>
      <c r="Z147" s="49">
        <v>15</v>
      </c>
      <c r="AA147" s="49">
        <v>6</v>
      </c>
    </row>
    <row r="148" spans="1:27" ht="15.75" customHeight="1">
      <c r="A148" s="94"/>
      <c r="B148" s="94"/>
      <c r="C148" s="30" t="s">
        <v>128</v>
      </c>
      <c r="D148" s="16">
        <v>26026.35</v>
      </c>
      <c r="E148" s="16">
        <v>25757.4</v>
      </c>
      <c r="F148" s="16">
        <v>25766.69</v>
      </c>
      <c r="G148" s="16">
        <v>25638.53</v>
      </c>
      <c r="H148" s="16">
        <v>25800.9</v>
      </c>
      <c r="I148" s="16">
        <v>26091.8</v>
      </c>
      <c r="J148" s="16">
        <v>25771.25</v>
      </c>
      <c r="K148" s="16">
        <v>25610.87</v>
      </c>
      <c r="L148" s="16">
        <v>25632</v>
      </c>
      <c r="M148" s="31"/>
      <c r="N148" s="31"/>
      <c r="O148" s="31"/>
      <c r="P148" s="31"/>
      <c r="Q148" s="31"/>
      <c r="R148" s="32"/>
      <c r="S148" s="33"/>
      <c r="T148" s="55"/>
      <c r="V148" s="47"/>
      <c r="W148" s="47"/>
      <c r="X148" s="48"/>
      <c r="Y148" s="48"/>
      <c r="Z148" s="49"/>
      <c r="AA148" s="49"/>
    </row>
    <row r="149" spans="1:27" ht="16.5" customHeight="1" thickBot="1">
      <c r="A149" s="94"/>
      <c r="B149" s="94"/>
      <c r="C149" s="34" t="s">
        <v>129</v>
      </c>
      <c r="D149" s="35">
        <f t="shared" ref="D149:L149" si="45">IF(((D147="")*AND(D148="")),"",(D147-D148)*3)</f>
        <v>9102.9000000000087</v>
      </c>
      <c r="E149" s="35">
        <f t="shared" si="45"/>
        <v>9393.1499999999978</v>
      </c>
      <c r="F149" s="35">
        <f t="shared" si="45"/>
        <v>9325.4399999999987</v>
      </c>
      <c r="G149" s="35">
        <f t="shared" si="45"/>
        <v>9742.3500000000022</v>
      </c>
      <c r="H149" s="35">
        <f t="shared" si="45"/>
        <v>9850.4399999999987</v>
      </c>
      <c r="I149" s="35">
        <f t="shared" si="45"/>
        <v>8874.48</v>
      </c>
      <c r="J149" s="35">
        <f t="shared" si="45"/>
        <v>9313.4100000000035</v>
      </c>
      <c r="K149" s="35">
        <f t="shared" si="45"/>
        <v>9862.5</v>
      </c>
      <c r="L149" s="35">
        <f t="shared" si="45"/>
        <v>10455.330000000002</v>
      </c>
      <c r="M149" s="36"/>
      <c r="N149" s="36"/>
      <c r="O149" s="36"/>
      <c r="P149" s="36"/>
      <c r="Q149" s="36"/>
      <c r="R149" s="37"/>
      <c r="S149" s="38"/>
      <c r="T149" s="56"/>
      <c r="U149" s="51"/>
      <c r="V149" s="50"/>
      <c r="W149" s="50"/>
      <c r="X149" s="51"/>
      <c r="Y149" s="51"/>
      <c r="Z149" s="52"/>
      <c r="AA149" s="52"/>
    </row>
    <row r="150" spans="1:27">
      <c r="A150" s="95">
        <v>42944</v>
      </c>
      <c r="B150" s="115" t="s">
        <v>429</v>
      </c>
      <c r="C150" s="26" t="s">
        <v>126</v>
      </c>
      <c r="D150" s="16">
        <v>29124.11</v>
      </c>
      <c r="E150" s="16">
        <v>28923.22</v>
      </c>
      <c r="F150" s="16">
        <v>28896</v>
      </c>
      <c r="G150" s="16">
        <v>28900.27</v>
      </c>
      <c r="H150" s="16">
        <v>29111.439999999999</v>
      </c>
      <c r="I150" s="16">
        <v>29084.03</v>
      </c>
      <c r="J150" s="16">
        <v>28903.13</v>
      </c>
      <c r="K150" s="16">
        <v>28905.57</v>
      </c>
      <c r="L150" s="16">
        <v>29108.62</v>
      </c>
      <c r="M150" s="27">
        <f>IF((L151=""),"",MAX(D152:L152))</f>
        <v>10657.259999999995</v>
      </c>
      <c r="N150" s="27">
        <f>IF(L151="","",MIN(D152:L152))</f>
        <v>8970.8100000000013</v>
      </c>
      <c r="O150" s="27">
        <f>IF((L152=""),"",AVERAGE(D152:L152))</f>
        <v>9763.01</v>
      </c>
      <c r="P150" s="27">
        <f>IF((L151=""),"",STDEV(D152:L152))</f>
        <v>471.70104261066797</v>
      </c>
      <c r="Q150" s="168">
        <f>IF((L151=""),"",((M150-N150)/(M150+P150))*100)</f>
        <v>15.153705665271888</v>
      </c>
      <c r="R150" s="28" t="str">
        <f>IF(L151="","",IF(Q150&lt;Z150,IF(N150&gt;V150,IF(M150&lt;W150,"Pass","Fail"),"Fail"),"Fail"))</f>
        <v>Fail</v>
      </c>
      <c r="S150" s="29">
        <v>102</v>
      </c>
      <c r="T150" s="54" t="s">
        <v>160</v>
      </c>
      <c r="U150" s="40"/>
      <c r="V150" s="53">
        <v>9000</v>
      </c>
      <c r="W150" s="22">
        <v>15600</v>
      </c>
      <c r="X150" s="40">
        <v>8090</v>
      </c>
      <c r="Y150" s="40">
        <v>12070</v>
      </c>
      <c r="Z150" s="49">
        <v>15</v>
      </c>
      <c r="AA150" s="49">
        <v>6</v>
      </c>
    </row>
    <row r="151" spans="1:27" ht="15.75" customHeight="1">
      <c r="A151" s="94"/>
      <c r="B151" s="94"/>
      <c r="C151" s="30" t="s">
        <v>128</v>
      </c>
      <c r="D151" s="16">
        <v>25972.68</v>
      </c>
      <c r="E151" s="16">
        <v>25688.46</v>
      </c>
      <c r="F151" s="16">
        <v>25683.26</v>
      </c>
      <c r="G151" s="16">
        <v>25592.68</v>
      </c>
      <c r="H151" s="16">
        <v>25797.65</v>
      </c>
      <c r="I151" s="16">
        <v>26093.759999999998</v>
      </c>
      <c r="J151" s="16">
        <v>25740.04</v>
      </c>
      <c r="K151" s="16">
        <v>25542.63</v>
      </c>
      <c r="L151" s="16">
        <v>25556.2</v>
      </c>
      <c r="M151" s="31"/>
      <c r="N151" s="31"/>
      <c r="O151" s="31"/>
      <c r="P151" s="31"/>
      <c r="Q151" s="31"/>
      <c r="R151" s="32"/>
      <c r="S151" s="33"/>
      <c r="T151" s="55"/>
      <c r="V151" s="47"/>
      <c r="W151" s="47"/>
      <c r="X151" s="48"/>
      <c r="Y151" s="48"/>
      <c r="Z151" s="49"/>
      <c r="AA151" s="49"/>
    </row>
    <row r="152" spans="1:27" ht="16.5" customHeight="1" thickBot="1">
      <c r="A152" s="94"/>
      <c r="B152" s="94"/>
      <c r="C152" s="34" t="s">
        <v>129</v>
      </c>
      <c r="D152" s="35">
        <f t="shared" ref="D152:L152" si="46">IF(((D150="")*AND(D151="")),"",(D150-D151)*3)</f>
        <v>9454.2900000000009</v>
      </c>
      <c r="E152" s="35">
        <f t="shared" si="46"/>
        <v>9704.2800000000061</v>
      </c>
      <c r="F152" s="35">
        <f t="shared" si="46"/>
        <v>9638.2200000000048</v>
      </c>
      <c r="G152" s="35">
        <f t="shared" si="46"/>
        <v>9922.77</v>
      </c>
      <c r="H152" s="35">
        <f t="shared" si="46"/>
        <v>9941.3699999999917</v>
      </c>
      <c r="I152" s="35">
        <f t="shared" si="46"/>
        <v>8970.8100000000013</v>
      </c>
      <c r="J152" s="35">
        <f t="shared" si="46"/>
        <v>9489.27</v>
      </c>
      <c r="K152" s="35">
        <f t="shared" si="46"/>
        <v>10088.819999999996</v>
      </c>
      <c r="L152" s="35">
        <f t="shared" si="46"/>
        <v>10657.259999999995</v>
      </c>
      <c r="M152" s="36"/>
      <c r="N152" s="36"/>
      <c r="O152" s="36"/>
      <c r="P152" s="36"/>
      <c r="Q152" s="36"/>
      <c r="R152" s="37"/>
      <c r="S152" s="38"/>
      <c r="T152" s="56"/>
      <c r="U152" s="51"/>
      <c r="V152" s="50"/>
      <c r="W152" s="50"/>
      <c r="X152" s="51"/>
      <c r="Y152" s="51"/>
      <c r="Z152" s="52"/>
      <c r="AA152" s="52"/>
    </row>
    <row r="153" spans="1:27">
      <c r="A153" s="95">
        <v>42948</v>
      </c>
      <c r="B153" s="115" t="s">
        <v>429</v>
      </c>
      <c r="C153" s="26" t="s">
        <v>126</v>
      </c>
      <c r="D153" s="16">
        <v>29341.4</v>
      </c>
      <c r="E153" s="16">
        <v>29181.41</v>
      </c>
      <c r="F153" s="16">
        <v>29240.080000000002</v>
      </c>
      <c r="G153" s="16">
        <v>29192.82</v>
      </c>
      <c r="H153" s="16">
        <v>29441.74</v>
      </c>
      <c r="I153" s="16">
        <v>29345.15</v>
      </c>
      <c r="J153" s="16">
        <v>29187.13</v>
      </c>
      <c r="K153" s="16">
        <v>29175.75</v>
      </c>
      <c r="L153" s="16">
        <v>29419.57</v>
      </c>
      <c r="M153" s="27">
        <f>IF((L154=""),"",MAX(D155:L155))</f>
        <v>10393.589999999997</v>
      </c>
      <c r="N153" s="27">
        <f>IF(L154="","",MIN(D155:L155))</f>
        <v>8799.8700000000026</v>
      </c>
      <c r="O153" s="27">
        <f>IF((L155=""),"",AVERAGE(D155:L155))</f>
        <v>9497.9699999999993</v>
      </c>
      <c r="P153" s="27">
        <f>IF((L154=""),"",STDEV(D155:L155))</f>
        <v>478.40841553009051</v>
      </c>
      <c r="Q153" s="168">
        <f>IF((L154=""),"",((M153-N153)/(M153+P153))*100)</f>
        <v>14.658942533724503</v>
      </c>
      <c r="R153" s="28" t="str">
        <f>IF(L154="","",IF(Q153&lt;Z153,IF(N153&gt;V153,IF(M153&lt;W153,"Pass","Fail"),"Fail"),"Fail"))</f>
        <v>Fail</v>
      </c>
      <c r="S153" s="29">
        <v>1159</v>
      </c>
      <c r="T153" s="54" t="s">
        <v>161</v>
      </c>
      <c r="U153" s="40"/>
      <c r="V153" s="53">
        <v>9000</v>
      </c>
      <c r="W153" s="22">
        <v>15600</v>
      </c>
      <c r="X153" s="40">
        <v>8090</v>
      </c>
      <c r="Y153" s="40">
        <v>12070</v>
      </c>
      <c r="Z153" s="49">
        <v>15</v>
      </c>
      <c r="AA153" s="49">
        <v>6</v>
      </c>
    </row>
    <row r="154" spans="1:27" ht="15.75" customHeight="1">
      <c r="A154" s="94"/>
      <c r="B154" s="94"/>
      <c r="C154" s="30" t="s">
        <v>128</v>
      </c>
      <c r="D154" s="16">
        <v>26303.4</v>
      </c>
      <c r="E154" s="16">
        <v>26066.49</v>
      </c>
      <c r="F154" s="16">
        <v>26133.68</v>
      </c>
      <c r="G154" s="16">
        <v>25961.66</v>
      </c>
      <c r="H154" s="16">
        <v>26168.97</v>
      </c>
      <c r="I154" s="16">
        <v>26411.86</v>
      </c>
      <c r="J154" s="16">
        <v>26125.54</v>
      </c>
      <c r="K154" s="16">
        <v>25904.5</v>
      </c>
      <c r="L154" s="16">
        <v>25955.040000000001</v>
      </c>
      <c r="M154" s="31"/>
      <c r="N154" s="31"/>
      <c r="O154" s="31"/>
      <c r="P154" s="31"/>
      <c r="Q154" s="31"/>
      <c r="R154" s="32"/>
      <c r="S154" s="33"/>
      <c r="T154" s="55"/>
      <c r="V154" s="47"/>
      <c r="W154" s="47"/>
      <c r="X154" s="48"/>
      <c r="Y154" s="48"/>
      <c r="Z154" s="49"/>
      <c r="AA154" s="49"/>
    </row>
    <row r="155" spans="1:27" ht="16.5" customHeight="1" thickBot="1">
      <c r="A155" s="94"/>
      <c r="B155" s="94"/>
      <c r="C155" s="34" t="s">
        <v>129</v>
      </c>
      <c r="D155" s="35">
        <f t="shared" ref="D155:L155" si="47">IF(((D153="")*AND(D154="")),"",(D153-D154)*3)</f>
        <v>9114</v>
      </c>
      <c r="E155" s="35">
        <f t="shared" si="47"/>
        <v>9344.7599999999948</v>
      </c>
      <c r="F155" s="35">
        <f t="shared" si="47"/>
        <v>9319.2000000000044</v>
      </c>
      <c r="G155" s="35">
        <f t="shared" si="47"/>
        <v>9693.48</v>
      </c>
      <c r="H155" s="35">
        <f t="shared" si="47"/>
        <v>9818.3100000000013</v>
      </c>
      <c r="I155" s="35">
        <f t="shared" si="47"/>
        <v>8799.8700000000026</v>
      </c>
      <c r="J155" s="35">
        <f t="shared" si="47"/>
        <v>9184.77</v>
      </c>
      <c r="K155" s="35">
        <f t="shared" si="47"/>
        <v>9813.75</v>
      </c>
      <c r="L155" s="35">
        <f t="shared" si="47"/>
        <v>10393.589999999997</v>
      </c>
      <c r="M155" s="36"/>
      <c r="N155" s="36"/>
      <c r="O155" s="36"/>
      <c r="P155" s="36"/>
      <c r="Q155" s="36"/>
      <c r="R155" s="37"/>
      <c r="S155" s="38"/>
      <c r="T155" s="56"/>
      <c r="U155" s="51"/>
      <c r="V155" s="50"/>
      <c r="W155" s="50"/>
      <c r="X155" s="51"/>
      <c r="Y155" s="51"/>
      <c r="Z155" s="52"/>
      <c r="AA155" s="52"/>
    </row>
    <row r="156" spans="1:27">
      <c r="A156" s="95">
        <v>42952</v>
      </c>
      <c r="B156" s="115" t="s">
        <v>429</v>
      </c>
      <c r="C156" s="26" t="s">
        <v>126</v>
      </c>
      <c r="D156" s="16">
        <v>29073.64</v>
      </c>
      <c r="E156" s="16">
        <v>28879.81</v>
      </c>
      <c r="F156" s="16">
        <v>28922.49</v>
      </c>
      <c r="G156" s="16">
        <v>28872.63</v>
      </c>
      <c r="H156" s="16">
        <v>29048.49</v>
      </c>
      <c r="I156" s="16">
        <v>28991.279999999999</v>
      </c>
      <c r="J156" s="16">
        <v>28862.25</v>
      </c>
      <c r="K156" s="16">
        <v>28878.85</v>
      </c>
      <c r="L156" s="16">
        <v>29121.34</v>
      </c>
      <c r="M156" s="27">
        <f>IF((L157=""),"",MAX(D158:L158))</f>
        <v>11435.069999999996</v>
      </c>
      <c r="N156" s="27">
        <f>IF(L157="","",MIN(D158:L158))</f>
        <v>9875.1599999999926</v>
      </c>
      <c r="O156" s="27">
        <f>IF((L158=""),"",AVERAGE(D158:L158))</f>
        <v>10587.009999999998</v>
      </c>
      <c r="P156" s="27">
        <f>IF((L157=""),"",STDEV(D158:L158))</f>
        <v>428.99332153897569</v>
      </c>
      <c r="Q156" s="168">
        <f>IF((L157=""),"",((M156-N156)/(M156+P156))*100)</f>
        <v>13.148193479109455</v>
      </c>
      <c r="R156" s="28" t="str">
        <f>IF(L157="","",IF(Q156&lt;Z156,IF(N156&gt;V156,IF(M156&lt;W156,"Pass","Fail"),"Fail"),"Fail"))</f>
        <v>Pass</v>
      </c>
      <c r="S156" s="29">
        <v>1534</v>
      </c>
      <c r="T156" s="54"/>
      <c r="U156" s="40"/>
      <c r="V156" s="53">
        <v>9000</v>
      </c>
      <c r="W156" s="22">
        <v>15600</v>
      </c>
      <c r="X156" s="40">
        <v>8090</v>
      </c>
      <c r="Y156" s="40">
        <v>12070</v>
      </c>
      <c r="Z156" s="49">
        <v>15</v>
      </c>
      <c r="AA156" s="49">
        <v>6</v>
      </c>
    </row>
    <row r="157" spans="1:27" ht="15.75" customHeight="1">
      <c r="A157" s="94"/>
      <c r="B157" s="94"/>
      <c r="C157" s="30" t="s">
        <v>128</v>
      </c>
      <c r="D157" s="16">
        <v>25637.41</v>
      </c>
      <c r="E157" s="16">
        <v>25376.25</v>
      </c>
      <c r="F157" s="16">
        <v>25434.54</v>
      </c>
      <c r="G157" s="16">
        <v>25285.63</v>
      </c>
      <c r="H157" s="16">
        <v>25477.87</v>
      </c>
      <c r="I157" s="16">
        <v>25699.56</v>
      </c>
      <c r="J157" s="16">
        <v>25401.07</v>
      </c>
      <c r="K157" s="16">
        <v>25267.77</v>
      </c>
      <c r="L157" s="16">
        <v>25309.65</v>
      </c>
      <c r="M157" s="31"/>
      <c r="N157" s="31"/>
      <c r="O157" s="31"/>
      <c r="P157" s="31"/>
      <c r="Q157" s="31"/>
      <c r="R157" s="32"/>
      <c r="S157" s="33"/>
      <c r="T157" s="55"/>
      <c r="V157" s="47"/>
      <c r="W157" s="47"/>
      <c r="X157" s="48"/>
      <c r="Y157" s="48"/>
      <c r="Z157" s="49"/>
      <c r="AA157" s="49"/>
    </row>
    <row r="158" spans="1:27" ht="16.5" customHeight="1" thickBot="1">
      <c r="A158" s="94"/>
      <c r="B158" s="94"/>
      <c r="C158" s="34" t="s">
        <v>129</v>
      </c>
      <c r="D158" s="35">
        <f t="shared" ref="D158:L158" si="48">IF(((D156="")*AND(D157="")),"",(D156-D157)*3)</f>
        <v>10308.689999999999</v>
      </c>
      <c r="E158" s="35">
        <f t="shared" si="48"/>
        <v>10510.680000000004</v>
      </c>
      <c r="F158" s="35">
        <f t="shared" si="48"/>
        <v>10463.850000000002</v>
      </c>
      <c r="G158" s="35">
        <f t="shared" si="48"/>
        <v>10761</v>
      </c>
      <c r="H158" s="35">
        <f t="shared" si="48"/>
        <v>10711.860000000008</v>
      </c>
      <c r="I158" s="35">
        <f t="shared" si="48"/>
        <v>9875.1599999999926</v>
      </c>
      <c r="J158" s="35">
        <f t="shared" si="48"/>
        <v>10383.540000000001</v>
      </c>
      <c r="K158" s="35">
        <f t="shared" si="48"/>
        <v>10833.239999999994</v>
      </c>
      <c r="L158" s="35">
        <f t="shared" si="48"/>
        <v>11435.069999999996</v>
      </c>
      <c r="M158" s="36"/>
      <c r="N158" s="36"/>
      <c r="O158" s="36"/>
      <c r="P158" s="36"/>
      <c r="Q158" s="36"/>
      <c r="R158" s="37"/>
      <c r="S158" s="38"/>
      <c r="T158" s="56"/>
      <c r="U158" s="51"/>
      <c r="V158" s="50"/>
      <c r="W158" s="50"/>
      <c r="X158" s="51"/>
      <c r="Y158" s="51"/>
      <c r="Z158" s="52"/>
      <c r="AA158" s="52"/>
    </row>
    <row r="159" spans="1:27">
      <c r="A159" s="95">
        <v>42954</v>
      </c>
      <c r="B159" s="115" t="s">
        <v>429</v>
      </c>
      <c r="C159" s="26" t="s">
        <v>126</v>
      </c>
      <c r="D159" s="16">
        <v>29331.66</v>
      </c>
      <c r="E159" s="16">
        <v>29116.71</v>
      </c>
      <c r="F159" s="16">
        <v>29122.67</v>
      </c>
      <c r="G159" s="16">
        <v>29103.23</v>
      </c>
      <c r="H159" s="16">
        <v>29359.05</v>
      </c>
      <c r="I159" s="16">
        <v>29297.66</v>
      </c>
      <c r="J159" s="16">
        <v>29114.38</v>
      </c>
      <c r="K159" s="16">
        <v>29094.67</v>
      </c>
      <c r="L159" s="16">
        <v>29313.33</v>
      </c>
      <c r="M159" s="27">
        <f>IF((L160=""),"",MAX(D161:L161))</f>
        <v>10256.220000000005</v>
      </c>
      <c r="N159" s="27">
        <f>IF(L160="","",MIN(D161:L161))</f>
        <v>8756.5499999999956</v>
      </c>
      <c r="O159" s="27">
        <f>IF((L161=""),"",AVERAGE(D161:L161))</f>
        <v>9534.0433333333294</v>
      </c>
      <c r="P159" s="27">
        <f>IF((L160=""),"",STDEV(D161:L161))</f>
        <v>454.8514547355266</v>
      </c>
      <c r="Q159" s="168">
        <f>IF((L160=""),"",((M159-N159)/(M159+P159))*100)</f>
        <v>14.00112030190016</v>
      </c>
      <c r="R159" s="28" t="str">
        <f>IF(L160="","",IF(Q159&lt;Z159,IF(N159&gt;V159,IF(M159&lt;W159,"Pass","Fail"),"Fail"),"Fail"))</f>
        <v>Fail</v>
      </c>
      <c r="S159" s="29">
        <v>1428</v>
      </c>
      <c r="T159" s="54" t="s">
        <v>293</v>
      </c>
      <c r="U159" s="55" t="s">
        <v>162</v>
      </c>
      <c r="V159" s="53">
        <v>9000</v>
      </c>
      <c r="W159" s="22">
        <v>15600</v>
      </c>
      <c r="X159" s="40">
        <v>8090</v>
      </c>
      <c r="Y159" s="40">
        <v>12070</v>
      </c>
      <c r="Z159" s="49">
        <v>15</v>
      </c>
      <c r="AA159" s="49">
        <v>6</v>
      </c>
    </row>
    <row r="160" spans="1:27" ht="15.75" customHeight="1">
      <c r="A160" s="94"/>
      <c r="B160" s="94"/>
      <c r="C160" s="30" t="s">
        <v>128</v>
      </c>
      <c r="D160" s="16">
        <v>26251.46</v>
      </c>
      <c r="E160" s="16">
        <v>25984.04</v>
      </c>
      <c r="F160" s="16">
        <v>25998.11</v>
      </c>
      <c r="G160" s="16">
        <v>25833.43</v>
      </c>
      <c r="H160" s="16">
        <v>26042.11</v>
      </c>
      <c r="I160" s="16">
        <v>26378.81</v>
      </c>
      <c r="J160" s="16">
        <v>26034.91</v>
      </c>
      <c r="K160" s="16">
        <v>25833.77</v>
      </c>
      <c r="L160" s="16">
        <v>25894.59</v>
      </c>
      <c r="M160" s="31"/>
      <c r="N160" s="31"/>
      <c r="O160" s="31"/>
      <c r="P160" s="31"/>
      <c r="Q160" s="31"/>
      <c r="R160" s="32"/>
      <c r="S160" s="33"/>
      <c r="V160" s="47"/>
      <c r="W160" s="47"/>
      <c r="X160" s="48"/>
      <c r="Y160" s="48"/>
      <c r="Z160" s="49"/>
      <c r="AA160" s="49"/>
    </row>
    <row r="161" spans="1:27" ht="16.5" customHeight="1" thickBot="1">
      <c r="A161" s="94"/>
      <c r="B161" s="94"/>
      <c r="C161" s="34" t="s">
        <v>129</v>
      </c>
      <c r="D161" s="35">
        <f t="shared" ref="D161:L161" si="49">IF(((D159="")*AND(D160="")),"",(D159-D160)*3)</f>
        <v>9240.6000000000022</v>
      </c>
      <c r="E161" s="35">
        <f t="shared" si="49"/>
        <v>9398.0099999999948</v>
      </c>
      <c r="F161" s="35">
        <f t="shared" si="49"/>
        <v>9373.679999999993</v>
      </c>
      <c r="G161" s="35">
        <f t="shared" si="49"/>
        <v>9809.3999999999978</v>
      </c>
      <c r="H161" s="35">
        <f t="shared" si="49"/>
        <v>9950.8199999999961</v>
      </c>
      <c r="I161" s="35">
        <f t="shared" si="49"/>
        <v>8756.5499999999956</v>
      </c>
      <c r="J161" s="35">
        <f t="shared" si="49"/>
        <v>9238.4100000000035</v>
      </c>
      <c r="K161" s="35">
        <f t="shared" si="49"/>
        <v>9782.6999999999935</v>
      </c>
      <c r="L161" s="35">
        <f t="shared" si="49"/>
        <v>10256.220000000005</v>
      </c>
      <c r="M161" s="36"/>
      <c r="N161" s="36"/>
      <c r="O161" s="36"/>
      <c r="P161" s="36"/>
      <c r="Q161" s="36"/>
      <c r="R161" s="37"/>
      <c r="S161" s="38"/>
      <c r="T161" s="56"/>
      <c r="U161" s="51"/>
      <c r="V161" s="50"/>
      <c r="W161" s="50"/>
      <c r="X161" s="51"/>
      <c r="Y161" s="51"/>
      <c r="Z161" s="52"/>
      <c r="AA161" s="52"/>
    </row>
    <row r="162" spans="1:27">
      <c r="A162" s="95">
        <v>42957</v>
      </c>
      <c r="B162" s="115" t="s">
        <v>429</v>
      </c>
      <c r="C162" s="26" t="s">
        <v>126</v>
      </c>
      <c r="D162" s="16">
        <v>28969.24</v>
      </c>
      <c r="E162" s="16">
        <v>28838.85</v>
      </c>
      <c r="F162" s="16">
        <v>28842.01</v>
      </c>
      <c r="G162" s="16">
        <v>28829.34</v>
      </c>
      <c r="H162" s="16">
        <v>29046.62</v>
      </c>
      <c r="I162" s="16">
        <v>29116.63</v>
      </c>
      <c r="J162" s="16">
        <v>28843.23</v>
      </c>
      <c r="K162" s="16">
        <v>28816.71</v>
      </c>
      <c r="L162" s="16">
        <v>29091.18</v>
      </c>
      <c r="M162" s="27">
        <f>IF((L163=""),"",MAX(D164:L164))</f>
        <v>10470.540000000001</v>
      </c>
      <c r="N162" s="27">
        <f>IF(L163="","",MIN(D164:L164))</f>
        <v>8533.5300000000061</v>
      </c>
      <c r="O162" s="27">
        <f>IF((L164=""),"",AVERAGE(D164:L164))</f>
        <v>9121</v>
      </c>
      <c r="P162" s="27">
        <f>IF((L163=""),"",STDEV(D164:L164))</f>
        <v>603.36967660793528</v>
      </c>
      <c r="Q162" s="168">
        <f>IF((L163=""),"",((M162-N162)/(M162+P162))*100)</f>
        <v>17.491654316918023</v>
      </c>
      <c r="R162" s="28" t="str">
        <f>IF(L163="","",IF(Q162&lt;Z162,IF(N162&gt;V162,IF(M162&lt;W162,"Pass","Fail"),"Fail"),"Fail"))</f>
        <v>Fail</v>
      </c>
      <c r="S162" s="29">
        <v>1428</v>
      </c>
      <c r="T162" s="54" t="s">
        <v>294</v>
      </c>
      <c r="U162" s="40" t="s">
        <v>295</v>
      </c>
      <c r="V162" s="53">
        <v>9000</v>
      </c>
      <c r="W162" s="22">
        <v>15600</v>
      </c>
      <c r="X162" s="40">
        <v>8090</v>
      </c>
      <c r="Y162" s="40">
        <v>12070</v>
      </c>
      <c r="Z162" s="49">
        <v>15</v>
      </c>
      <c r="AA162" s="49">
        <v>6</v>
      </c>
    </row>
    <row r="163" spans="1:27" ht="15.75" customHeight="1">
      <c r="A163" s="94"/>
      <c r="B163" s="94"/>
      <c r="C163" s="30" t="s">
        <v>128</v>
      </c>
      <c r="D163" s="16">
        <v>26124.73</v>
      </c>
      <c r="E163" s="16">
        <v>25892.42</v>
      </c>
      <c r="F163" s="16">
        <v>25905.29</v>
      </c>
      <c r="G163" s="16">
        <v>25754.59</v>
      </c>
      <c r="H163" s="16">
        <v>25862.959999999999</v>
      </c>
      <c r="I163" s="16">
        <v>26257.040000000001</v>
      </c>
      <c r="J163" s="16">
        <v>25890.95</v>
      </c>
      <c r="K163" s="16">
        <v>25741.83</v>
      </c>
      <c r="L163" s="16">
        <v>25601</v>
      </c>
      <c r="M163" s="31"/>
      <c r="N163" s="31"/>
      <c r="O163" s="31"/>
      <c r="P163" s="31"/>
      <c r="Q163" s="31"/>
      <c r="R163" s="32"/>
      <c r="S163" s="33"/>
      <c r="T163" s="55"/>
      <c r="V163" s="47"/>
      <c r="W163" s="47"/>
      <c r="X163" s="48"/>
      <c r="Y163" s="48"/>
      <c r="Z163" s="49"/>
      <c r="AA163" s="49"/>
    </row>
    <row r="164" spans="1:27" ht="16.5" customHeight="1" thickBot="1">
      <c r="A164" s="94"/>
      <c r="B164" s="94"/>
      <c r="C164" s="34" t="s">
        <v>129</v>
      </c>
      <c r="D164" s="35">
        <f t="shared" ref="D164:L164" si="50">IF(((D162="")*AND(D163="")),"",(D162-D163)*3)</f>
        <v>8533.5300000000061</v>
      </c>
      <c r="E164" s="35">
        <f t="shared" si="50"/>
        <v>8839.2900000000009</v>
      </c>
      <c r="F164" s="35">
        <f t="shared" si="50"/>
        <v>8810.1599999999926</v>
      </c>
      <c r="G164" s="35">
        <f t="shared" si="50"/>
        <v>9224.25</v>
      </c>
      <c r="H164" s="35">
        <f t="shared" si="50"/>
        <v>9550.98</v>
      </c>
      <c r="I164" s="35">
        <f t="shared" si="50"/>
        <v>8578.77</v>
      </c>
      <c r="J164" s="35">
        <f t="shared" si="50"/>
        <v>8856.8399999999965</v>
      </c>
      <c r="K164" s="35">
        <f t="shared" si="50"/>
        <v>9224.6399999999921</v>
      </c>
      <c r="L164" s="35">
        <f t="shared" si="50"/>
        <v>10470.540000000001</v>
      </c>
      <c r="M164" s="36"/>
      <c r="N164" s="36"/>
      <c r="O164" s="36"/>
      <c r="P164" s="36"/>
      <c r="Q164" s="36"/>
      <c r="R164" s="37"/>
      <c r="S164" s="38"/>
      <c r="T164" s="56"/>
      <c r="U164" s="51"/>
      <c r="V164" s="50"/>
      <c r="W164" s="50"/>
      <c r="X164" s="51"/>
      <c r="Y164" s="51"/>
      <c r="Z164" s="52"/>
      <c r="AA164" s="52"/>
    </row>
    <row r="165" spans="1:27">
      <c r="A165" s="95">
        <v>42969</v>
      </c>
      <c r="B165" s="115" t="s">
        <v>429</v>
      </c>
      <c r="C165" s="26" t="s">
        <v>126</v>
      </c>
      <c r="D165" s="16">
        <v>28936.14</v>
      </c>
      <c r="E165" s="16">
        <v>28815.5</v>
      </c>
      <c r="F165" s="16">
        <v>28865.48</v>
      </c>
      <c r="G165" s="16">
        <v>28828.76</v>
      </c>
      <c r="H165" s="16">
        <v>29035.41</v>
      </c>
      <c r="I165" s="16">
        <v>28997.56</v>
      </c>
      <c r="J165" s="16">
        <v>28810.43</v>
      </c>
      <c r="K165" s="16">
        <v>28810.55</v>
      </c>
      <c r="L165" s="16">
        <v>29040.46</v>
      </c>
      <c r="M165" s="27">
        <f>IF((L166=""),"",MAX(D167:L167))</f>
        <v>9865.4699999999939</v>
      </c>
      <c r="N165" s="27">
        <f>IF(L166="","",MIN(D167:L167))</f>
        <v>8128.4399999999987</v>
      </c>
      <c r="O165" s="27">
        <f>IF((L167=""),"",AVERAGE(D167:L167))</f>
        <v>8989.18</v>
      </c>
      <c r="P165" s="27">
        <f>IF((L166=""),"",STDEV(D167:L167))</f>
        <v>527.09578555516612</v>
      </c>
      <c r="Q165" s="168">
        <f>IF((L166=""),"",((M165-N165)/(M165+P165))*100)</f>
        <v>16.714159292735282</v>
      </c>
      <c r="R165" s="28" t="str">
        <f>IF(L166="","",IF(Q165&lt;Z165,IF(N165&gt;V165,IF(M165&lt;W165,"Pass","Fail"),"Fail"),"Fail"))</f>
        <v>Fail</v>
      </c>
      <c r="S165" s="29">
        <v>1159</v>
      </c>
      <c r="T165" s="54"/>
      <c r="U165" s="40"/>
      <c r="V165" s="53">
        <v>9000</v>
      </c>
      <c r="W165" s="22">
        <v>15600</v>
      </c>
      <c r="X165" s="40">
        <v>8090</v>
      </c>
      <c r="Y165" s="40">
        <v>12070</v>
      </c>
      <c r="Z165" s="49">
        <v>15</v>
      </c>
      <c r="AA165" s="49">
        <v>6</v>
      </c>
    </row>
    <row r="166" spans="1:27" ht="15.75" customHeight="1">
      <c r="A166" s="94"/>
      <c r="B166" s="94"/>
      <c r="C166" s="30" t="s">
        <v>128</v>
      </c>
      <c r="D166" s="16">
        <v>26097.01</v>
      </c>
      <c r="E166" s="16">
        <v>25858.639999999999</v>
      </c>
      <c r="F166" s="16">
        <v>25911.87</v>
      </c>
      <c r="G166" s="16">
        <v>25740.44</v>
      </c>
      <c r="H166" s="16">
        <v>25914.37</v>
      </c>
      <c r="I166" s="16">
        <v>26288.080000000002</v>
      </c>
      <c r="J166" s="16">
        <v>25921.42</v>
      </c>
      <c r="K166" s="16">
        <v>25688.95</v>
      </c>
      <c r="L166" s="16">
        <v>25751.97</v>
      </c>
      <c r="M166" s="31"/>
      <c r="N166" s="31"/>
      <c r="O166" s="31"/>
      <c r="P166" s="31"/>
      <c r="Q166" s="31"/>
      <c r="R166" s="32"/>
      <c r="S166" s="33"/>
      <c r="T166" s="55"/>
      <c r="V166" s="47"/>
      <c r="W166" s="47"/>
      <c r="X166" s="48"/>
      <c r="Y166" s="48"/>
      <c r="Z166" s="49"/>
      <c r="AA166" s="49"/>
    </row>
    <row r="167" spans="1:27" ht="16.5" customHeight="1" thickBot="1">
      <c r="A167" s="94"/>
      <c r="B167" s="94"/>
      <c r="C167" s="34" t="s">
        <v>129</v>
      </c>
      <c r="D167" s="35">
        <f t="shared" ref="D167:L167" si="51">IF(((D165="")*AND(D166="")),"",(D165-D166)*3)</f>
        <v>8517.3900000000031</v>
      </c>
      <c r="E167" s="35">
        <f t="shared" si="51"/>
        <v>8870.5800000000017</v>
      </c>
      <c r="F167" s="35">
        <f t="shared" si="51"/>
        <v>8860.8300000000017</v>
      </c>
      <c r="G167" s="35">
        <f t="shared" si="51"/>
        <v>9264.9599999999991</v>
      </c>
      <c r="H167" s="35">
        <f t="shared" si="51"/>
        <v>9363.1200000000026</v>
      </c>
      <c r="I167" s="35">
        <f t="shared" si="51"/>
        <v>8128.4399999999987</v>
      </c>
      <c r="J167" s="35">
        <f t="shared" si="51"/>
        <v>8667.0300000000061</v>
      </c>
      <c r="K167" s="35">
        <f t="shared" si="51"/>
        <v>9364.7999999999956</v>
      </c>
      <c r="L167" s="35">
        <f t="shared" si="51"/>
        <v>9865.4699999999939</v>
      </c>
      <c r="M167" s="36"/>
      <c r="N167" s="36"/>
      <c r="O167" s="36"/>
      <c r="P167" s="36"/>
      <c r="Q167" s="36"/>
      <c r="R167" s="37"/>
      <c r="S167" s="38"/>
      <c r="T167" s="56"/>
      <c r="U167" s="51"/>
      <c r="V167" s="50"/>
      <c r="W167" s="50"/>
      <c r="X167" s="51"/>
      <c r="Y167" s="51"/>
      <c r="Z167" s="52"/>
      <c r="AA167" s="52"/>
    </row>
    <row r="168" spans="1:27">
      <c r="A168" s="95">
        <v>42969</v>
      </c>
      <c r="B168" s="115" t="s">
        <v>429</v>
      </c>
      <c r="C168" s="26" t="s">
        <v>126</v>
      </c>
      <c r="D168" s="16">
        <v>29175</v>
      </c>
      <c r="E168" s="16">
        <v>29011</v>
      </c>
      <c r="F168" s="16">
        <v>29055</v>
      </c>
      <c r="G168" s="16">
        <v>29017</v>
      </c>
      <c r="H168" s="16">
        <v>29231</v>
      </c>
      <c r="I168" s="16">
        <v>29173</v>
      </c>
      <c r="J168" s="16">
        <v>28995</v>
      </c>
      <c r="K168" s="16">
        <v>29009</v>
      </c>
      <c r="L168" s="16">
        <v>29190</v>
      </c>
      <c r="M168" s="27">
        <f>IF((L169=""),"",MAX(D170:L170))</f>
        <v>9507</v>
      </c>
      <c r="N168" s="27">
        <f>IF(L169="","",MIN(D170:L170))</f>
        <v>8124</v>
      </c>
      <c r="O168" s="27">
        <f>IF((L170=""),"",AVERAGE(D170:L170))</f>
        <v>9067.3333333333339</v>
      </c>
      <c r="P168" s="27">
        <f>IF((L169=""),"",STDEV(D170:L170))</f>
        <v>448.36480682587029</v>
      </c>
      <c r="Q168" s="168">
        <f>IF((L169=""),"",((M168-N168)/(M168+P168))*100)</f>
        <v>13.892007242685366</v>
      </c>
      <c r="R168" s="28" t="str">
        <f>IF(L169="","",IF(Q168&lt;Z168,IF(N168&gt;V168,IF(M168&lt;W168,"Pass","Fail"),"Fail"),"Fail"))</f>
        <v>Fail</v>
      </c>
      <c r="S168" s="29">
        <v>1159</v>
      </c>
      <c r="T168" s="54" t="s">
        <v>296</v>
      </c>
      <c r="U168" s="40" t="s">
        <v>297</v>
      </c>
      <c r="V168" s="53">
        <v>9000</v>
      </c>
      <c r="W168" s="22">
        <v>15600</v>
      </c>
      <c r="X168" s="40">
        <v>8090</v>
      </c>
      <c r="Y168" s="40">
        <v>12070</v>
      </c>
      <c r="Z168" s="49">
        <v>15</v>
      </c>
      <c r="AA168" s="49">
        <v>6</v>
      </c>
    </row>
    <row r="169" spans="1:27" ht="15.75" customHeight="1">
      <c r="A169" s="94"/>
      <c r="B169" s="94"/>
      <c r="C169" s="30" t="s">
        <v>128</v>
      </c>
      <c r="D169" s="16">
        <v>26467</v>
      </c>
      <c r="E169" s="16">
        <v>26079</v>
      </c>
      <c r="F169" s="16">
        <v>26018</v>
      </c>
      <c r="G169" s="16">
        <v>25871</v>
      </c>
      <c r="H169" s="16">
        <v>26082</v>
      </c>
      <c r="I169" s="16">
        <v>26247</v>
      </c>
      <c r="J169" s="16">
        <v>25979</v>
      </c>
      <c r="K169" s="16">
        <v>25890</v>
      </c>
      <c r="L169" s="16">
        <v>26021</v>
      </c>
      <c r="M169" s="31"/>
      <c r="N169" s="31"/>
      <c r="O169" s="31"/>
      <c r="P169" s="31"/>
      <c r="Q169" s="31"/>
      <c r="R169" s="32"/>
      <c r="S169" s="33"/>
      <c r="T169" s="55"/>
      <c r="V169" s="47"/>
      <c r="W169" s="47"/>
      <c r="X169" s="48"/>
      <c r="Y169" s="48"/>
      <c r="Z169" s="49"/>
      <c r="AA169" s="49"/>
    </row>
    <row r="170" spans="1:27" ht="16.5" customHeight="1" thickBot="1">
      <c r="A170" s="94"/>
      <c r="B170" s="94"/>
      <c r="C170" s="34" t="s">
        <v>129</v>
      </c>
      <c r="D170" s="35">
        <f t="shared" ref="D170:L170" si="52">IF(((D168="")*AND(D169="")),"",(D168-D169)*3)</f>
        <v>8124</v>
      </c>
      <c r="E170" s="35">
        <f t="shared" si="52"/>
        <v>8796</v>
      </c>
      <c r="F170" s="35">
        <f t="shared" si="52"/>
        <v>9111</v>
      </c>
      <c r="G170" s="35">
        <f t="shared" si="52"/>
        <v>9438</v>
      </c>
      <c r="H170" s="35">
        <f t="shared" si="52"/>
        <v>9447</v>
      </c>
      <c r="I170" s="35">
        <f t="shared" si="52"/>
        <v>8778</v>
      </c>
      <c r="J170" s="35">
        <f t="shared" si="52"/>
        <v>9048</v>
      </c>
      <c r="K170" s="35">
        <f t="shared" si="52"/>
        <v>9357</v>
      </c>
      <c r="L170" s="35">
        <f t="shared" si="52"/>
        <v>9507</v>
      </c>
      <c r="M170" s="36"/>
      <c r="N170" s="36"/>
      <c r="O170" s="36"/>
      <c r="P170" s="36"/>
      <c r="Q170" s="36"/>
      <c r="R170" s="37"/>
      <c r="S170" s="38"/>
      <c r="T170" s="56"/>
      <c r="U170" s="51"/>
      <c r="V170" s="50"/>
      <c r="W170" s="50"/>
      <c r="X170" s="51"/>
      <c r="Y170" s="51"/>
      <c r="Z170" s="52"/>
      <c r="AA170" s="52"/>
    </row>
    <row r="171" spans="1:27">
      <c r="A171" s="95">
        <v>42970</v>
      </c>
      <c r="B171" s="115" t="s">
        <v>429</v>
      </c>
      <c r="C171" s="26" t="s">
        <v>126</v>
      </c>
      <c r="D171" s="16">
        <v>29258.09</v>
      </c>
      <c r="E171" s="16">
        <v>29048.79</v>
      </c>
      <c r="F171" s="16">
        <v>29074.87</v>
      </c>
      <c r="G171" s="16">
        <v>29029.46</v>
      </c>
      <c r="H171" s="16">
        <v>29215.74</v>
      </c>
      <c r="I171" s="16">
        <v>29193.09</v>
      </c>
      <c r="J171" s="16">
        <v>29028.5</v>
      </c>
      <c r="K171" s="16">
        <v>29017.27</v>
      </c>
      <c r="L171" s="16">
        <v>29241.13</v>
      </c>
      <c r="M171" s="27">
        <f>IF((L172=""),"",MAX(D173:L173))</f>
        <v>9700.4100000000035</v>
      </c>
      <c r="N171" s="27">
        <f>IF(L172="","",MIN(D173:L173))</f>
        <v>8274.7200000000048</v>
      </c>
      <c r="O171" s="27">
        <f>IF((L173=""),"",AVERAGE(D173:L173))</f>
        <v>8979.0999999999985</v>
      </c>
      <c r="P171" s="27">
        <f>IF((L172=""),"",STDEV(D173:L173))</f>
        <v>467.7286278121656</v>
      </c>
      <c r="Q171" s="168">
        <f>IF((L172=""),"",((M171-N171)/(M171+P171))*100)</f>
        <v>14.021150302774322</v>
      </c>
      <c r="R171" s="28" t="str">
        <f>IF(L172="","",IF(Q171&lt;Z171,IF(N171&gt;V171,IF(M171&lt;W171,"Pass","Fail"),"Fail"),"Fail"))</f>
        <v>Fail</v>
      </c>
      <c r="S171" s="29">
        <v>1159</v>
      </c>
      <c r="T171" s="16"/>
      <c r="U171" s="54" t="s">
        <v>163</v>
      </c>
      <c r="V171" s="53">
        <v>9000</v>
      </c>
      <c r="W171" s="22">
        <v>15600</v>
      </c>
      <c r="X171" s="40">
        <v>8090</v>
      </c>
      <c r="Y171" s="40">
        <v>12070</v>
      </c>
      <c r="Z171" s="49">
        <v>15</v>
      </c>
      <c r="AA171" s="49">
        <v>6</v>
      </c>
    </row>
    <row r="172" spans="1:27" ht="15.75" customHeight="1">
      <c r="A172" s="94"/>
      <c r="B172" s="94"/>
      <c r="C172" s="30" t="s">
        <v>128</v>
      </c>
      <c r="D172" s="16">
        <v>26437.09</v>
      </c>
      <c r="E172" s="16">
        <v>26111.73</v>
      </c>
      <c r="F172" s="16">
        <v>26119.59</v>
      </c>
      <c r="G172" s="16">
        <v>25931.08</v>
      </c>
      <c r="H172" s="16">
        <v>26088.080000000002</v>
      </c>
      <c r="I172" s="16">
        <v>26434.85</v>
      </c>
      <c r="J172" s="16">
        <v>26120.12</v>
      </c>
      <c r="K172" s="16">
        <v>25919.439999999999</v>
      </c>
      <c r="L172" s="16">
        <v>26007.66</v>
      </c>
      <c r="M172" s="31"/>
      <c r="N172" s="31"/>
      <c r="O172" s="31"/>
      <c r="P172" s="31"/>
      <c r="Q172" s="31"/>
      <c r="R172" s="32"/>
      <c r="S172" s="33"/>
      <c r="T172" s="55"/>
      <c r="V172" s="47"/>
      <c r="W172" s="47"/>
      <c r="X172" s="48"/>
      <c r="Y172" s="48"/>
      <c r="Z172" s="49"/>
      <c r="AA172" s="49"/>
    </row>
    <row r="173" spans="1:27" ht="16.5" customHeight="1" thickBot="1">
      <c r="A173" s="94"/>
      <c r="B173" s="94"/>
      <c r="C173" s="34" t="s">
        <v>129</v>
      </c>
      <c r="D173" s="35">
        <f t="shared" ref="D173:L173" si="53">IF(((D171="")*AND(D172="")),"",(D171-D172)*3)</f>
        <v>8463</v>
      </c>
      <c r="E173" s="35">
        <f t="shared" si="53"/>
        <v>8811.1800000000039</v>
      </c>
      <c r="F173" s="35">
        <f t="shared" si="53"/>
        <v>8865.8399999999965</v>
      </c>
      <c r="G173" s="35">
        <f t="shared" si="53"/>
        <v>9295.1399999999921</v>
      </c>
      <c r="H173" s="35">
        <f t="shared" si="53"/>
        <v>9382.98</v>
      </c>
      <c r="I173" s="35">
        <f t="shared" si="53"/>
        <v>8274.7200000000048</v>
      </c>
      <c r="J173" s="35">
        <f t="shared" si="53"/>
        <v>8725.1400000000031</v>
      </c>
      <c r="K173" s="35">
        <f t="shared" si="53"/>
        <v>9293.4900000000052</v>
      </c>
      <c r="L173" s="35">
        <f t="shared" si="53"/>
        <v>9700.4100000000035</v>
      </c>
      <c r="M173" s="36"/>
      <c r="N173" s="36"/>
      <c r="O173" s="36"/>
      <c r="P173" s="36"/>
      <c r="Q173" s="36"/>
      <c r="R173" s="37"/>
      <c r="S173" s="38"/>
      <c r="T173" s="56"/>
      <c r="U173" s="51"/>
      <c r="V173" s="50"/>
      <c r="W173" s="50"/>
      <c r="X173" s="51"/>
      <c r="Y173" s="51"/>
      <c r="Z173" s="52"/>
      <c r="AA173" s="52"/>
    </row>
    <row r="174" spans="1:27">
      <c r="A174" s="95">
        <v>42970</v>
      </c>
      <c r="B174" s="115" t="s">
        <v>429</v>
      </c>
      <c r="C174" s="26" t="s">
        <v>126</v>
      </c>
      <c r="D174" s="16">
        <v>29200.39</v>
      </c>
      <c r="E174" s="16">
        <v>29035.67</v>
      </c>
      <c r="F174" s="16">
        <v>29024.31</v>
      </c>
      <c r="G174" s="16">
        <v>29040.560000000001</v>
      </c>
      <c r="H174" s="16">
        <v>29275.55</v>
      </c>
      <c r="I174" s="16">
        <v>29224.38</v>
      </c>
      <c r="J174" s="16">
        <v>29020.83</v>
      </c>
      <c r="K174" s="16">
        <v>29025.439999999999</v>
      </c>
      <c r="L174" s="16">
        <v>29253.57</v>
      </c>
      <c r="M174" s="27">
        <f>IF((L175=""),"",MAX(D176:L176))</f>
        <v>15819.629999999997</v>
      </c>
      <c r="N174" s="27">
        <f>IF(L175="","",MIN(D176:L176))</f>
        <v>12386.760000000006</v>
      </c>
      <c r="O174" s="27">
        <f>IF((L176=""),"",AVERAGE(D176:L176))</f>
        <v>14267.833333333334</v>
      </c>
      <c r="P174" s="27">
        <f>IF((L175=""),"",STDEV(D176:L176))</f>
        <v>1041.3736440154273</v>
      </c>
      <c r="Q174" s="168">
        <f>IF((L175=""),"",((M174-N174)/(M174+P174))*100)</f>
        <v>20.359820046764774</v>
      </c>
      <c r="R174" s="28" t="str">
        <f>IF(L175="","",IF(Q174&lt;Z174,IF(N174&gt;V174,IF(M174&lt;W174,"Pass","Fail"),"Fail"),"Fail"))</f>
        <v>Fail</v>
      </c>
      <c r="S174" s="29">
        <v>1159</v>
      </c>
      <c r="T174" s="16"/>
      <c r="U174" s="54" t="s">
        <v>164</v>
      </c>
      <c r="V174" s="53">
        <v>9000</v>
      </c>
      <c r="W174" s="22">
        <v>15600</v>
      </c>
      <c r="X174" s="40">
        <v>8090</v>
      </c>
      <c r="Y174" s="40">
        <v>12070</v>
      </c>
      <c r="Z174" s="49">
        <v>15</v>
      </c>
      <c r="AA174" s="49">
        <v>6</v>
      </c>
    </row>
    <row r="175" spans="1:27" ht="15.75" customHeight="1">
      <c r="A175" s="94"/>
      <c r="B175" s="94"/>
      <c r="C175" s="30" t="s">
        <v>128</v>
      </c>
      <c r="D175" s="16">
        <v>24792.07</v>
      </c>
      <c r="E175" s="16">
        <v>24342.68</v>
      </c>
      <c r="F175" s="16">
        <v>24219.95</v>
      </c>
      <c r="G175" s="16">
        <v>24064.86</v>
      </c>
      <c r="H175" s="16">
        <v>24368.22</v>
      </c>
      <c r="I175" s="16">
        <v>25095.46</v>
      </c>
      <c r="J175" s="16">
        <v>24437.88</v>
      </c>
      <c r="K175" s="16">
        <v>23995.72</v>
      </c>
      <c r="L175" s="16">
        <v>23980.36</v>
      </c>
      <c r="M175" s="31"/>
      <c r="N175" s="31"/>
      <c r="O175" s="31"/>
      <c r="P175" s="31"/>
      <c r="Q175" s="31"/>
      <c r="R175" s="32"/>
      <c r="S175" s="33"/>
      <c r="T175" s="55"/>
      <c r="V175" s="47"/>
      <c r="W175" s="47"/>
      <c r="X175" s="48"/>
      <c r="Y175" s="48"/>
      <c r="Z175" s="49"/>
      <c r="AA175" s="49"/>
    </row>
    <row r="176" spans="1:27" ht="16.5" customHeight="1" thickBot="1">
      <c r="A176" s="94"/>
      <c r="B176" s="94"/>
      <c r="C176" s="34" t="s">
        <v>129</v>
      </c>
      <c r="D176" s="35">
        <f t="shared" ref="D176:L176" si="54">IF(((D174="")*AND(D175="")),"",(D174-D175)*3)</f>
        <v>13224.96</v>
      </c>
      <c r="E176" s="35">
        <f t="shared" si="54"/>
        <v>14078.969999999994</v>
      </c>
      <c r="F176" s="35">
        <f t="shared" si="54"/>
        <v>14413.080000000002</v>
      </c>
      <c r="G176" s="35">
        <f t="shared" si="54"/>
        <v>14927.100000000002</v>
      </c>
      <c r="H176" s="35">
        <f t="shared" si="54"/>
        <v>14721.989999999994</v>
      </c>
      <c r="I176" s="35">
        <f t="shared" si="54"/>
        <v>12386.760000000006</v>
      </c>
      <c r="J176" s="35">
        <f t="shared" si="54"/>
        <v>13748.850000000002</v>
      </c>
      <c r="K176" s="35">
        <f t="shared" si="54"/>
        <v>15089.159999999993</v>
      </c>
      <c r="L176" s="35">
        <f t="shared" si="54"/>
        <v>15819.629999999997</v>
      </c>
      <c r="M176" s="36"/>
      <c r="N176" s="36"/>
      <c r="O176" s="36"/>
      <c r="P176" s="36"/>
      <c r="Q176" s="36"/>
      <c r="R176" s="37"/>
      <c r="S176" s="38"/>
      <c r="T176" s="56"/>
      <c r="U176" s="51"/>
      <c r="V176" s="50"/>
      <c r="W176" s="50"/>
      <c r="X176" s="51"/>
      <c r="Y176" s="51"/>
      <c r="Z176" s="52"/>
      <c r="AA176" s="52"/>
    </row>
    <row r="177" spans="1:27">
      <c r="A177" s="95">
        <v>42970</v>
      </c>
      <c r="B177" s="115" t="s">
        <v>429</v>
      </c>
      <c r="C177" s="26" t="s">
        <v>126</v>
      </c>
      <c r="D177" s="16">
        <v>29171.13</v>
      </c>
      <c r="E177" s="16">
        <v>29022.94</v>
      </c>
      <c r="F177" s="16">
        <v>29076.63</v>
      </c>
      <c r="G177" s="16">
        <v>29016.43</v>
      </c>
      <c r="H177" s="16">
        <v>29246.7</v>
      </c>
      <c r="I177" s="16">
        <v>29169.18</v>
      </c>
      <c r="J177" s="16">
        <v>28993.439999999999</v>
      </c>
      <c r="K177" s="16">
        <v>29016.55</v>
      </c>
      <c r="L177" s="16">
        <v>29251.86</v>
      </c>
      <c r="M177" s="27">
        <f>IF((L178=""),"",MAX(D179:L179))</f>
        <v>9993.8100000000013</v>
      </c>
      <c r="N177" s="27">
        <f>IF(L178="","",MIN(D179:L179))</f>
        <v>8432.8799999999974</v>
      </c>
      <c r="O177" s="27">
        <f>IF((L179=""),"",AVERAGE(D179:L179))</f>
        <v>9253.8166666666675</v>
      </c>
      <c r="P177" s="27">
        <f>IF((L178=""),"",STDEV(D179:L179))</f>
        <v>481.12963141444061</v>
      </c>
      <c r="Q177" s="168">
        <f>IF((L178=""),"",((M177-N177)/(M177+P177))*100)</f>
        <v>14.901565592977361</v>
      </c>
      <c r="R177" s="28" t="str">
        <f>IF(L178="","",IF(Q177&lt;Z177,IF(N177&gt;V177,IF(M177&lt;W177,"Pass","Fail"),"Fail"),"Fail"))</f>
        <v>Fail</v>
      </c>
      <c r="S177" s="29">
        <v>102</v>
      </c>
      <c r="T177" s="16"/>
      <c r="U177" s="54" t="s">
        <v>165</v>
      </c>
      <c r="V177" s="53">
        <v>9000</v>
      </c>
      <c r="W177" s="22">
        <v>15600</v>
      </c>
      <c r="X177" s="40">
        <v>8090</v>
      </c>
      <c r="Y177" s="40">
        <v>12070</v>
      </c>
      <c r="Z177" s="49">
        <v>15</v>
      </c>
      <c r="AA177" s="49">
        <v>6</v>
      </c>
    </row>
    <row r="178" spans="1:27" ht="15.75" customHeight="1">
      <c r="A178" s="94"/>
      <c r="B178" s="94"/>
      <c r="C178" s="30" t="s">
        <v>128</v>
      </c>
      <c r="D178" s="16">
        <v>26257.11</v>
      </c>
      <c r="E178" s="16">
        <v>25957.7</v>
      </c>
      <c r="F178" s="16">
        <v>26012.03</v>
      </c>
      <c r="G178" s="16">
        <v>25830.92</v>
      </c>
      <c r="H178" s="16">
        <v>26066.12</v>
      </c>
      <c r="I178" s="16">
        <v>26358.22</v>
      </c>
      <c r="J178" s="16">
        <v>25988.73</v>
      </c>
      <c r="K178" s="16">
        <v>25811.99</v>
      </c>
      <c r="L178" s="16">
        <v>25920.59</v>
      </c>
      <c r="M178" s="31"/>
      <c r="N178" s="31"/>
      <c r="O178" s="31"/>
      <c r="P178" s="31"/>
      <c r="Q178" s="31"/>
      <c r="R178" s="32"/>
      <c r="S178" s="33"/>
      <c r="T178" s="55"/>
      <c r="V178" s="47"/>
      <c r="W178" s="47"/>
      <c r="X178" s="48"/>
      <c r="Y178" s="48"/>
      <c r="Z178" s="49"/>
      <c r="AA178" s="49"/>
    </row>
    <row r="179" spans="1:27" ht="16.5" customHeight="1" thickBot="1">
      <c r="A179" s="94"/>
      <c r="B179" s="94"/>
      <c r="C179" s="34" t="s">
        <v>129</v>
      </c>
      <c r="D179" s="35">
        <f t="shared" ref="D179:L179" si="55">IF(((D177="")*AND(D178="")),"",(D177-D178)*3)</f>
        <v>8742.0600000000013</v>
      </c>
      <c r="E179" s="35">
        <f t="shared" si="55"/>
        <v>9195.7199999999939</v>
      </c>
      <c r="F179" s="35">
        <f t="shared" si="55"/>
        <v>9193.8000000000065</v>
      </c>
      <c r="G179" s="35">
        <f t="shared" si="55"/>
        <v>9556.5300000000061</v>
      </c>
      <c r="H179" s="35">
        <f t="shared" si="55"/>
        <v>9541.7400000000052</v>
      </c>
      <c r="I179" s="35">
        <f t="shared" si="55"/>
        <v>8432.8799999999974</v>
      </c>
      <c r="J179" s="35">
        <f t="shared" si="55"/>
        <v>9014.1299999999974</v>
      </c>
      <c r="K179" s="35">
        <f t="shared" si="55"/>
        <v>9613.679999999993</v>
      </c>
      <c r="L179" s="35">
        <f t="shared" si="55"/>
        <v>9993.8100000000013</v>
      </c>
      <c r="M179" s="36"/>
      <c r="N179" s="36"/>
      <c r="O179" s="36"/>
      <c r="P179" s="36"/>
      <c r="Q179" s="36"/>
      <c r="R179" s="37"/>
      <c r="S179" s="38"/>
      <c r="T179" s="56"/>
      <c r="U179" s="51"/>
      <c r="V179" s="50"/>
      <c r="W179" s="50"/>
      <c r="X179" s="51"/>
      <c r="Y179" s="51"/>
      <c r="Z179" s="52"/>
      <c r="AA179" s="52"/>
    </row>
    <row r="180" spans="1:27">
      <c r="A180" s="95">
        <v>42971</v>
      </c>
      <c r="B180" s="115" t="s">
        <v>429</v>
      </c>
      <c r="C180" s="26" t="s">
        <v>126</v>
      </c>
      <c r="D180" s="16">
        <v>29264.91</v>
      </c>
      <c r="E180" s="16">
        <v>29046.01</v>
      </c>
      <c r="F180" s="16">
        <v>29033.96</v>
      </c>
      <c r="G180" s="16">
        <v>29026.86</v>
      </c>
      <c r="H180" s="16">
        <v>29261.58</v>
      </c>
      <c r="I180" s="16">
        <v>29209.57</v>
      </c>
      <c r="J180" s="16">
        <v>29037.96</v>
      </c>
      <c r="K180" s="16">
        <v>29019.14</v>
      </c>
      <c r="L180" s="16">
        <v>29232.27</v>
      </c>
      <c r="M180" s="27">
        <f>IF((L181=""),"",MAX(D182:L182))</f>
        <v>13421.430000000004</v>
      </c>
      <c r="N180" s="27">
        <f>IF(L181="","",MIN(D182:L182))</f>
        <v>11245.23</v>
      </c>
      <c r="O180" s="27">
        <f>IF((L182=""),"",AVERAGE(D182:L182))</f>
        <v>12418.89</v>
      </c>
      <c r="P180" s="27">
        <f>IF((L181=""),"",STDEV(D182:L182))</f>
        <v>617.60819430685592</v>
      </c>
      <c r="Q180" s="168">
        <f>IF((L181=""),"",((M180-N180)/(M180+P180))*100)</f>
        <v>15.501061895269302</v>
      </c>
      <c r="R180" s="28" t="str">
        <f>IF(L181="","",IF(Q180&lt;Z180,IF(N180&gt;V180,IF(M180&lt;W180,"Pass","Fail"),"Fail"),"Fail"))</f>
        <v>Fail</v>
      </c>
      <c r="S180" s="29">
        <v>1159</v>
      </c>
      <c r="T180" s="16"/>
      <c r="U180" s="54" t="s">
        <v>166</v>
      </c>
      <c r="V180" s="53">
        <v>9000</v>
      </c>
      <c r="W180" s="22">
        <v>15600</v>
      </c>
      <c r="X180" s="40">
        <v>8090</v>
      </c>
      <c r="Y180" s="40">
        <v>12070</v>
      </c>
      <c r="Z180" s="49">
        <v>15</v>
      </c>
      <c r="AA180" s="49">
        <v>6</v>
      </c>
    </row>
    <row r="181" spans="1:27" ht="15.75" customHeight="1">
      <c r="A181" s="94"/>
      <c r="B181" s="94"/>
      <c r="C181" s="30" t="s">
        <v>128</v>
      </c>
      <c r="D181" s="16">
        <v>25262.78</v>
      </c>
      <c r="E181" s="16">
        <v>24944.02</v>
      </c>
      <c r="F181" s="16">
        <v>24936.06</v>
      </c>
      <c r="G181" s="16">
        <v>24765.13</v>
      </c>
      <c r="H181" s="16">
        <v>25002.16</v>
      </c>
      <c r="I181" s="16">
        <v>25461.16</v>
      </c>
      <c r="J181" s="16">
        <v>24988.37</v>
      </c>
      <c r="K181" s="16">
        <v>24757.45</v>
      </c>
      <c r="L181" s="16">
        <v>24758.46</v>
      </c>
      <c r="M181" s="31"/>
      <c r="N181" s="31"/>
      <c r="O181" s="31"/>
      <c r="P181" s="31"/>
      <c r="Q181" s="31"/>
      <c r="R181" s="32"/>
      <c r="S181" s="33"/>
      <c r="T181" s="55"/>
      <c r="V181" s="47"/>
      <c r="W181" s="47"/>
      <c r="X181" s="48"/>
      <c r="Y181" s="48"/>
      <c r="Z181" s="49"/>
      <c r="AA181" s="49"/>
    </row>
    <row r="182" spans="1:27" ht="16.5" customHeight="1" thickBot="1">
      <c r="A182" s="94"/>
      <c r="B182" s="94"/>
      <c r="C182" s="34" t="s">
        <v>129</v>
      </c>
      <c r="D182" s="35">
        <f t="shared" ref="D182:L182" si="56">IF(((D180="")*AND(D181="")),"",(D180-D181)*3)</f>
        <v>12006.390000000003</v>
      </c>
      <c r="E182" s="35">
        <f t="shared" si="56"/>
        <v>12305.969999999994</v>
      </c>
      <c r="F182" s="35">
        <f t="shared" si="56"/>
        <v>12293.699999999993</v>
      </c>
      <c r="G182" s="35">
        <f t="shared" si="56"/>
        <v>12785.189999999999</v>
      </c>
      <c r="H182" s="35">
        <f t="shared" si="56"/>
        <v>12778.260000000006</v>
      </c>
      <c r="I182" s="35">
        <f t="shared" si="56"/>
        <v>11245.23</v>
      </c>
      <c r="J182" s="35">
        <f t="shared" si="56"/>
        <v>12148.77</v>
      </c>
      <c r="K182" s="35">
        <f t="shared" si="56"/>
        <v>12785.069999999996</v>
      </c>
      <c r="L182" s="35">
        <f t="shared" si="56"/>
        <v>13421.430000000004</v>
      </c>
      <c r="M182" s="36"/>
      <c r="N182" s="36"/>
      <c r="O182" s="36"/>
      <c r="P182" s="36"/>
      <c r="Q182" s="36"/>
      <c r="R182" s="37"/>
      <c r="S182" s="38"/>
      <c r="T182" s="56"/>
      <c r="U182" s="51"/>
      <c r="V182" s="50"/>
      <c r="W182" s="50"/>
      <c r="X182" s="51"/>
      <c r="Y182" s="51"/>
      <c r="Z182" s="52"/>
      <c r="AA182" s="52"/>
    </row>
    <row r="183" spans="1:27">
      <c r="A183" s="95">
        <v>42975</v>
      </c>
      <c r="B183" s="115" t="s">
        <v>429</v>
      </c>
      <c r="C183" s="26" t="s">
        <v>126</v>
      </c>
      <c r="D183" s="16">
        <v>29199.8</v>
      </c>
      <c r="E183" s="16">
        <v>28985.13</v>
      </c>
      <c r="F183" s="16">
        <v>28985.32</v>
      </c>
      <c r="G183" s="16">
        <v>28996.639999999999</v>
      </c>
      <c r="H183" s="16">
        <v>29244.93</v>
      </c>
      <c r="I183" s="16">
        <v>29162.51</v>
      </c>
      <c r="J183" s="16">
        <v>28982.16</v>
      </c>
      <c r="K183" s="16">
        <v>28982.73</v>
      </c>
      <c r="L183" s="16">
        <v>29208.14</v>
      </c>
      <c r="M183" s="27">
        <f>IF((L184=""),"",MAX(D185:L185))</f>
        <v>10502.46</v>
      </c>
      <c r="N183" s="27">
        <f>IF(L184="","",MIN(D185:L185))</f>
        <v>9110.2199999999939</v>
      </c>
      <c r="O183" s="27">
        <f>IF((L185=""),"",AVERAGE(D185:L185))</f>
        <v>9826.1299999999974</v>
      </c>
      <c r="P183" s="27">
        <f>IF((L184=""),"",STDEV(D185:L185))</f>
        <v>429.49709757464575</v>
      </c>
      <c r="Q183" s="168">
        <f>IF((L184=""),"",((M183-N183)/(M183+P183))*100)</f>
        <v>12.735505523607355</v>
      </c>
      <c r="R183" s="28" t="str">
        <f>IF(L184="","",IF(Q183&lt;Z183,IF(N183&gt;V183,IF(M183&lt;W183,"Pass","Fail"),"Fail"),"Fail"))</f>
        <v>Pass</v>
      </c>
      <c r="S183" s="29">
        <v>1428</v>
      </c>
      <c r="T183" s="54"/>
      <c r="U183" s="40"/>
      <c r="V183" s="53">
        <v>9000</v>
      </c>
      <c r="W183" s="22">
        <v>15600</v>
      </c>
      <c r="X183" s="40">
        <v>8090</v>
      </c>
      <c r="Y183" s="40">
        <v>12070</v>
      </c>
      <c r="Z183" s="49">
        <v>15</v>
      </c>
      <c r="AA183" s="49">
        <v>6</v>
      </c>
    </row>
    <row r="184" spans="1:27" ht="15.75" customHeight="1">
      <c r="A184" s="94"/>
      <c r="B184" s="94"/>
      <c r="C184" s="30" t="s">
        <v>128</v>
      </c>
      <c r="D184" s="16">
        <v>26064.87</v>
      </c>
      <c r="E184" s="16">
        <v>25739.71</v>
      </c>
      <c r="F184" s="16">
        <v>25751.14</v>
      </c>
      <c r="G184" s="16">
        <v>25633.79</v>
      </c>
      <c r="H184" s="16">
        <v>25856.89</v>
      </c>
      <c r="I184" s="16">
        <v>26125.77</v>
      </c>
      <c r="J184" s="16">
        <v>25775.79</v>
      </c>
      <c r="K184" s="16">
        <v>25613.69</v>
      </c>
      <c r="L184" s="16">
        <v>25707.32</v>
      </c>
      <c r="M184" s="31"/>
      <c r="N184" s="31"/>
      <c r="O184" s="31"/>
      <c r="P184" s="31"/>
      <c r="Q184" s="31"/>
      <c r="R184" s="32"/>
      <c r="S184" s="33"/>
      <c r="T184" s="55"/>
      <c r="V184" s="47"/>
      <c r="W184" s="47"/>
      <c r="X184" s="48"/>
      <c r="Y184" s="48"/>
      <c r="Z184" s="49"/>
      <c r="AA184" s="49"/>
    </row>
    <row r="185" spans="1:27" ht="16.5" customHeight="1" thickBot="1">
      <c r="A185" s="94"/>
      <c r="B185" s="94"/>
      <c r="C185" s="34" t="s">
        <v>129</v>
      </c>
      <c r="D185" s="35">
        <f t="shared" ref="D185:L185" si="57">IF(((D183="")*AND(D184="")),"",(D183-D184)*3)</f>
        <v>9404.7900000000009</v>
      </c>
      <c r="E185" s="35">
        <f t="shared" si="57"/>
        <v>9736.2600000000057</v>
      </c>
      <c r="F185" s="35">
        <f t="shared" si="57"/>
        <v>9702.5400000000009</v>
      </c>
      <c r="G185" s="35">
        <f t="shared" si="57"/>
        <v>10088.549999999996</v>
      </c>
      <c r="H185" s="35">
        <f t="shared" si="57"/>
        <v>10164.120000000003</v>
      </c>
      <c r="I185" s="35">
        <f t="shared" si="57"/>
        <v>9110.2199999999939</v>
      </c>
      <c r="J185" s="35">
        <f t="shared" si="57"/>
        <v>9619.1099999999969</v>
      </c>
      <c r="K185" s="35">
        <f t="shared" si="57"/>
        <v>10107.120000000003</v>
      </c>
      <c r="L185" s="35">
        <f t="shared" si="57"/>
        <v>10502.46</v>
      </c>
      <c r="M185" s="36"/>
      <c r="N185" s="36"/>
      <c r="O185" s="36"/>
      <c r="P185" s="36"/>
      <c r="Q185" s="36"/>
      <c r="R185" s="37"/>
      <c r="S185" s="38"/>
      <c r="T185" s="56"/>
      <c r="U185" s="51"/>
      <c r="V185" s="50"/>
      <c r="W185" s="50"/>
      <c r="X185" s="51"/>
      <c r="Y185" s="51"/>
      <c r="Z185" s="52"/>
      <c r="AA185" s="52"/>
    </row>
    <row r="186" spans="1:27">
      <c r="A186" s="95">
        <v>42982</v>
      </c>
      <c r="B186" s="115" t="s">
        <v>429</v>
      </c>
      <c r="C186" s="26" t="s">
        <v>126</v>
      </c>
      <c r="D186" s="16">
        <v>29221</v>
      </c>
      <c r="E186" s="16">
        <v>28981</v>
      </c>
      <c r="F186" s="16">
        <v>29026</v>
      </c>
      <c r="G186" s="16">
        <v>28970</v>
      </c>
      <c r="H186" s="16">
        <v>29161</v>
      </c>
      <c r="I186" s="16">
        <v>29171</v>
      </c>
      <c r="J186" s="16">
        <v>28999</v>
      </c>
      <c r="K186" s="16">
        <v>28958</v>
      </c>
      <c r="L186" s="16">
        <v>29113</v>
      </c>
      <c r="M186" s="27">
        <f>IF((L187=""),"",MAX(D188:L188))</f>
        <v>10647</v>
      </c>
      <c r="N186" s="27">
        <f>IF(L187="","",MIN(D188:L188))</f>
        <v>9438</v>
      </c>
      <c r="O186" s="27">
        <f>IF((L188=""),"",AVERAGE(D188:L188))</f>
        <v>10075.333333333334</v>
      </c>
      <c r="P186" s="27">
        <f>IF((L187=""),"",STDEV(D188:L188))</f>
        <v>379.32242222151854</v>
      </c>
      <c r="Q186" s="168">
        <f>IF((L187=""),"",((M186-N186)/(M186+P186))*100)</f>
        <v>10.964671208629667</v>
      </c>
      <c r="R186" s="28" t="str">
        <f>IF(L187="","",IF(Q186&lt;Z186,IF(N186&gt;V186,IF(M186&lt;W186,"Pass","Fail"),"Fail"),"Fail"))</f>
        <v>Pass</v>
      </c>
      <c r="S186" s="29">
        <v>1335</v>
      </c>
      <c r="T186" s="54" t="s">
        <v>167</v>
      </c>
      <c r="U186" s="40"/>
      <c r="V186" s="53">
        <v>9000</v>
      </c>
      <c r="W186" s="22">
        <v>15600</v>
      </c>
      <c r="X186" s="40">
        <v>8090</v>
      </c>
      <c r="Y186" s="40">
        <v>12070</v>
      </c>
      <c r="Z186" s="49">
        <v>15</v>
      </c>
      <c r="AA186" s="49">
        <v>6</v>
      </c>
    </row>
    <row r="187" spans="1:27" ht="15.75" customHeight="1">
      <c r="A187" s="94"/>
      <c r="B187" s="94"/>
      <c r="C187" s="30" t="s">
        <v>128</v>
      </c>
      <c r="D187" s="16">
        <v>25705</v>
      </c>
      <c r="E187" s="16">
        <v>25580</v>
      </c>
      <c r="F187" s="16">
        <v>25727</v>
      </c>
      <c r="G187" s="16">
        <v>25631</v>
      </c>
      <c r="H187" s="16">
        <v>25893</v>
      </c>
      <c r="I187" s="16">
        <v>26025</v>
      </c>
      <c r="J187" s="16">
        <v>25707</v>
      </c>
      <c r="K187" s="16">
        <v>25542</v>
      </c>
      <c r="L187" s="16">
        <v>25564</v>
      </c>
      <c r="M187" s="31"/>
      <c r="N187" s="31"/>
      <c r="O187" s="31"/>
      <c r="P187" s="31"/>
      <c r="Q187" s="31"/>
      <c r="R187" s="32"/>
      <c r="S187" s="33"/>
      <c r="T187" s="55"/>
      <c r="V187" s="47"/>
      <c r="W187" s="47"/>
      <c r="X187" s="48"/>
      <c r="Y187" s="48"/>
      <c r="Z187" s="49"/>
      <c r="AA187" s="49"/>
    </row>
    <row r="188" spans="1:27" ht="16.5" customHeight="1" thickBot="1">
      <c r="A188" s="94"/>
      <c r="B188" s="94"/>
      <c r="C188" s="34" t="s">
        <v>129</v>
      </c>
      <c r="D188" s="35">
        <f t="shared" ref="D188:L188" si="58">IF(((D186="")*AND(D187="")),"",(D186-D187)*3)</f>
        <v>10548</v>
      </c>
      <c r="E188" s="35">
        <f t="shared" si="58"/>
        <v>10203</v>
      </c>
      <c r="F188" s="35">
        <f t="shared" si="58"/>
        <v>9897</v>
      </c>
      <c r="G188" s="35">
        <f t="shared" si="58"/>
        <v>10017</v>
      </c>
      <c r="H188" s="35">
        <f t="shared" si="58"/>
        <v>9804</v>
      </c>
      <c r="I188" s="35">
        <f t="shared" si="58"/>
        <v>9438</v>
      </c>
      <c r="J188" s="35">
        <f t="shared" si="58"/>
        <v>9876</v>
      </c>
      <c r="K188" s="35">
        <f t="shared" si="58"/>
        <v>10248</v>
      </c>
      <c r="L188" s="35">
        <f t="shared" si="58"/>
        <v>10647</v>
      </c>
      <c r="M188" s="36"/>
      <c r="N188" s="36"/>
      <c r="O188" s="36"/>
      <c r="P188" s="36"/>
      <c r="Q188" s="36"/>
      <c r="R188" s="37"/>
      <c r="S188" s="38"/>
      <c r="T188" s="56"/>
      <c r="U188" s="51"/>
      <c r="V188" s="50"/>
      <c r="W188" s="50"/>
      <c r="X188" s="51"/>
      <c r="Y188" s="51"/>
      <c r="Z188" s="52"/>
      <c r="AA188" s="52"/>
    </row>
    <row r="189" spans="1:27">
      <c r="A189" s="95">
        <v>42989</v>
      </c>
      <c r="B189" s="115" t="s">
        <v>429</v>
      </c>
      <c r="C189" s="26" t="s">
        <v>126</v>
      </c>
      <c r="D189" s="16">
        <v>29064.23</v>
      </c>
      <c r="E189" s="16">
        <v>28911.51</v>
      </c>
      <c r="F189" s="16">
        <v>28952.720000000001</v>
      </c>
      <c r="G189" s="16">
        <v>28911.52</v>
      </c>
      <c r="H189" s="16">
        <v>29154.75</v>
      </c>
      <c r="I189" s="16">
        <v>29027.93</v>
      </c>
      <c r="J189" s="16">
        <v>28886.05</v>
      </c>
      <c r="K189" s="16">
        <v>28910.12</v>
      </c>
      <c r="L189" s="16">
        <v>29173.84</v>
      </c>
      <c r="M189" s="27">
        <f>IF((L190=""),"",MAX(D191:L191))</f>
        <v>10453.379999999997</v>
      </c>
      <c r="N189" s="27">
        <f>IF(L190="","",MIN(D191:L191))</f>
        <v>8881.7999999999956</v>
      </c>
      <c r="O189" s="27">
        <f>IF((L191=""),"",AVERAGE(D191:L191))</f>
        <v>9676.1399999999976</v>
      </c>
      <c r="P189" s="27">
        <f>IF((L190=""),"",STDEV(D191:L191))</f>
        <v>471.89891242724968</v>
      </c>
      <c r="Q189" s="168">
        <f>IF((L190=""),"",((M189-N189)/(M189+P189))*100)</f>
        <v>14.384804384374721</v>
      </c>
      <c r="R189" s="28" t="str">
        <f>IF(L190="","",IF(Q189&lt;Z189,IF(N189&gt;V189,IF(M189&lt;W189,"Pass","Fail"),"Fail"),"Fail"))</f>
        <v>Fail</v>
      </c>
      <c r="S189" s="29">
        <v>102</v>
      </c>
      <c r="T189" s="16"/>
      <c r="U189" s="54" t="s">
        <v>168</v>
      </c>
      <c r="V189" s="53">
        <v>9000</v>
      </c>
      <c r="W189" s="22">
        <v>15600</v>
      </c>
      <c r="X189" s="40">
        <v>8090</v>
      </c>
      <c r="Y189" s="40">
        <v>12070</v>
      </c>
      <c r="Z189" s="49">
        <v>15</v>
      </c>
      <c r="AA189" s="49">
        <v>6</v>
      </c>
    </row>
    <row r="190" spans="1:27" ht="15.75" customHeight="1">
      <c r="A190" s="94"/>
      <c r="B190" s="94"/>
      <c r="C190" s="30" t="s">
        <v>128</v>
      </c>
      <c r="D190" s="16">
        <v>25967.27</v>
      </c>
      <c r="E190" s="16">
        <v>25715.55</v>
      </c>
      <c r="F190" s="16">
        <v>25776.240000000002</v>
      </c>
      <c r="G190" s="16">
        <v>25595.19</v>
      </c>
      <c r="H190" s="16">
        <v>25798.06</v>
      </c>
      <c r="I190" s="16">
        <v>26067.33</v>
      </c>
      <c r="J190" s="16">
        <v>25753.34</v>
      </c>
      <c r="K190" s="16">
        <v>25601.89</v>
      </c>
      <c r="L190" s="16">
        <v>25689.38</v>
      </c>
      <c r="M190" s="31"/>
      <c r="N190" s="31"/>
      <c r="O190" s="31"/>
      <c r="P190" s="31"/>
      <c r="Q190" s="31"/>
      <c r="R190" s="32"/>
      <c r="S190" s="33"/>
      <c r="T190" s="55"/>
      <c r="V190" s="47"/>
      <c r="W190" s="47"/>
      <c r="X190" s="48"/>
      <c r="Y190" s="48"/>
      <c r="Z190" s="49"/>
      <c r="AA190" s="49"/>
    </row>
    <row r="191" spans="1:27" ht="16.5" customHeight="1" thickBot="1">
      <c r="A191" s="94"/>
      <c r="B191" s="94"/>
      <c r="C191" s="34" t="s">
        <v>129</v>
      </c>
      <c r="D191" s="35">
        <f t="shared" ref="D191:L191" si="59">IF(((D189="")*AND(D190="")),"",(D189-D190)*3)</f>
        <v>9290.8799999999974</v>
      </c>
      <c r="E191" s="35">
        <f t="shared" si="59"/>
        <v>9587.8799999999974</v>
      </c>
      <c r="F191" s="35">
        <f t="shared" si="59"/>
        <v>9529.4399999999987</v>
      </c>
      <c r="G191" s="35">
        <f t="shared" si="59"/>
        <v>9948.9900000000052</v>
      </c>
      <c r="H191" s="35">
        <f t="shared" si="59"/>
        <v>10070.069999999996</v>
      </c>
      <c r="I191" s="35">
        <f t="shared" si="59"/>
        <v>8881.7999999999956</v>
      </c>
      <c r="J191" s="35">
        <f t="shared" si="59"/>
        <v>9398.1299999999974</v>
      </c>
      <c r="K191" s="35">
        <f t="shared" si="59"/>
        <v>9924.6899999999987</v>
      </c>
      <c r="L191" s="35">
        <f t="shared" si="59"/>
        <v>10453.379999999997</v>
      </c>
      <c r="M191" s="36"/>
      <c r="N191" s="36"/>
      <c r="O191" s="36"/>
      <c r="P191" s="36"/>
      <c r="Q191" s="36"/>
      <c r="R191" s="37"/>
      <c r="S191" s="38"/>
      <c r="T191" s="56"/>
      <c r="U191" s="51"/>
      <c r="V191" s="50"/>
      <c r="W191" s="50"/>
      <c r="X191" s="51"/>
      <c r="Y191" s="51"/>
      <c r="Z191" s="52"/>
      <c r="AA191" s="52"/>
    </row>
    <row r="192" spans="1:27">
      <c r="A192" s="95">
        <v>42989</v>
      </c>
      <c r="B192" s="115" t="s">
        <v>429</v>
      </c>
      <c r="C192" s="26" t="s">
        <v>126</v>
      </c>
      <c r="D192" s="16">
        <v>29345.26</v>
      </c>
      <c r="E192" s="16">
        <v>29139.24</v>
      </c>
      <c r="F192" s="16">
        <v>29138.15</v>
      </c>
      <c r="G192" s="16">
        <v>29129.9</v>
      </c>
      <c r="H192" s="16">
        <v>29378.28</v>
      </c>
      <c r="I192" s="16">
        <v>29293</v>
      </c>
      <c r="J192" s="16">
        <v>29120.9</v>
      </c>
      <c r="K192" s="16">
        <v>29136.880000000001</v>
      </c>
      <c r="L192" s="16">
        <v>29382.44</v>
      </c>
      <c r="M192" s="27">
        <f>IF((L193=""),"",MAX(D194:L194))</f>
        <v>11689.740000000005</v>
      </c>
      <c r="N192" s="27">
        <f>IF(L193="","",MIN(D194:L194))</f>
        <v>10261.529999999995</v>
      </c>
      <c r="O192" s="27">
        <f>IF((L194=""),"",AVERAGE(D194:L194))</f>
        <v>11009.626666666671</v>
      </c>
      <c r="P192" s="27">
        <f>IF((L193=""),"",STDEV(D194:L194))</f>
        <v>438.88931637137387</v>
      </c>
      <c r="Q192" s="168">
        <f>IF((L193=""),"",((M192-N192)/(M192+P192))*100)</f>
        <v>11.775526836096754</v>
      </c>
      <c r="R192" s="28" t="str">
        <f>IF(L193="","",IF(Q192&lt;Z192,IF(N192&gt;V192,IF(M192&lt;W192,"Pass","Fail"),"Fail"),"Fail"))</f>
        <v>Pass</v>
      </c>
      <c r="S192" s="29">
        <v>121</v>
      </c>
      <c r="T192" s="54" t="s">
        <v>169</v>
      </c>
      <c r="U192" s="40"/>
      <c r="V192" s="53">
        <v>9000</v>
      </c>
      <c r="W192" s="22">
        <v>15600</v>
      </c>
      <c r="X192" s="40">
        <v>8090</v>
      </c>
      <c r="Y192" s="40">
        <v>12070</v>
      </c>
      <c r="Z192" s="49">
        <v>15</v>
      </c>
      <c r="AA192" s="49">
        <v>6</v>
      </c>
    </row>
    <row r="193" spans="1:27" ht="15.75" customHeight="1">
      <c r="A193" s="94"/>
      <c r="B193" s="94"/>
      <c r="C193" s="30" t="s">
        <v>128</v>
      </c>
      <c r="D193" s="16">
        <v>25537.24</v>
      </c>
      <c r="E193" s="16">
        <v>25368.13</v>
      </c>
      <c r="F193" s="16">
        <v>25497.32</v>
      </c>
      <c r="G193" s="16">
        <v>25495.91</v>
      </c>
      <c r="H193" s="16">
        <v>25835.71</v>
      </c>
      <c r="I193" s="16">
        <v>25396.42</v>
      </c>
      <c r="J193" s="16">
        <v>25393.72</v>
      </c>
      <c r="K193" s="16">
        <v>25548.79</v>
      </c>
      <c r="L193" s="16">
        <v>25961.93</v>
      </c>
      <c r="M193" s="31"/>
      <c r="N193" s="31"/>
      <c r="O193" s="31"/>
      <c r="P193" s="31"/>
      <c r="Q193" s="31"/>
      <c r="R193" s="32"/>
      <c r="S193" s="33"/>
      <c r="T193" s="55"/>
      <c r="V193" s="47"/>
      <c r="W193" s="47"/>
      <c r="X193" s="48"/>
      <c r="Y193" s="48"/>
      <c r="Z193" s="49"/>
      <c r="AA193" s="49"/>
    </row>
    <row r="194" spans="1:27" ht="16.5" customHeight="1" thickBot="1">
      <c r="A194" s="94"/>
      <c r="B194" s="94"/>
      <c r="C194" s="34" t="s">
        <v>129</v>
      </c>
      <c r="D194" s="35">
        <f t="shared" ref="D194:L194" si="60">IF(((D192="")*AND(D193="")),"",(D192-D193)*3)</f>
        <v>11424.05999999999</v>
      </c>
      <c r="E194" s="35">
        <f t="shared" si="60"/>
        <v>11313.330000000002</v>
      </c>
      <c r="F194" s="35">
        <f t="shared" si="60"/>
        <v>10922.490000000005</v>
      </c>
      <c r="G194" s="35">
        <f t="shared" si="60"/>
        <v>10901.970000000005</v>
      </c>
      <c r="H194" s="35">
        <f t="shared" si="60"/>
        <v>10627.71</v>
      </c>
      <c r="I194" s="35">
        <f t="shared" si="60"/>
        <v>11689.740000000005</v>
      </c>
      <c r="J194" s="35">
        <f t="shared" si="60"/>
        <v>11181.54</v>
      </c>
      <c r="K194" s="35">
        <f t="shared" si="60"/>
        <v>10764.27</v>
      </c>
      <c r="L194" s="35">
        <f t="shared" si="60"/>
        <v>10261.529999999995</v>
      </c>
      <c r="M194" s="36"/>
      <c r="N194" s="36"/>
      <c r="O194" s="36"/>
      <c r="P194" s="36"/>
      <c r="Q194" s="36"/>
      <c r="R194" s="37"/>
      <c r="S194" s="38"/>
      <c r="T194" s="56"/>
      <c r="U194" s="51"/>
      <c r="V194" s="50"/>
      <c r="W194" s="50"/>
      <c r="X194" s="51"/>
      <c r="Y194" s="51"/>
      <c r="Z194" s="52"/>
      <c r="AA194" s="52"/>
    </row>
    <row r="195" spans="1:27">
      <c r="A195" s="95">
        <v>42993</v>
      </c>
      <c r="B195" s="115" t="s">
        <v>429</v>
      </c>
      <c r="C195" s="26" t="s">
        <v>126</v>
      </c>
      <c r="D195" s="16">
        <v>29284.92</v>
      </c>
      <c r="E195" s="16">
        <v>29094.02</v>
      </c>
      <c r="F195" s="16">
        <v>29079.03</v>
      </c>
      <c r="G195" s="16">
        <v>29081.34</v>
      </c>
      <c r="H195" s="16">
        <v>29340.71</v>
      </c>
      <c r="I195" s="16">
        <v>29247.29</v>
      </c>
      <c r="J195" s="16">
        <v>29075.71</v>
      </c>
      <c r="K195" s="16">
        <v>29079.18</v>
      </c>
      <c r="L195" s="16">
        <v>29299.66</v>
      </c>
      <c r="M195" s="27">
        <f>IF((L196=""),"",MAX(D197:L197))</f>
        <v>11405.009999999995</v>
      </c>
      <c r="N195" s="27">
        <f>IF(L196="","",MIN(D197:L197))</f>
        <v>9958.3799999999974</v>
      </c>
      <c r="O195" s="27">
        <f>IF((L197=""),"",AVERAGE(D197:L197))</f>
        <v>10722.686666666665</v>
      </c>
      <c r="P195" s="27">
        <f>IF((L196=""),"",STDEV(D197:L197))</f>
        <v>434.31741560753369</v>
      </c>
      <c r="Q195" s="168">
        <f>IF((L196=""),"",((M195-N195)/(M195+P195))*100)</f>
        <v>12.218852889336741</v>
      </c>
      <c r="R195" s="28" t="str">
        <f>IF(L196="","",IF(Q195&lt;Z195,IF(N195&gt;V195,IF(M195&lt;W195,"Pass","Fail"),"Fail"),"Fail"))</f>
        <v>Pass</v>
      </c>
      <c r="S195" s="29">
        <v>1159</v>
      </c>
      <c r="T195" s="54"/>
      <c r="U195" s="40"/>
      <c r="V195" s="53">
        <v>9000</v>
      </c>
      <c r="W195" s="22">
        <v>15600</v>
      </c>
      <c r="X195" s="40">
        <v>8090</v>
      </c>
      <c r="Y195" s="40">
        <v>12070</v>
      </c>
      <c r="Z195" s="49">
        <v>15</v>
      </c>
      <c r="AA195" s="49">
        <v>6</v>
      </c>
    </row>
    <row r="196" spans="1:27" ht="15.75" customHeight="1">
      <c r="A196" s="94"/>
      <c r="B196" s="94"/>
      <c r="C196" s="30" t="s">
        <v>128</v>
      </c>
      <c r="D196" s="16">
        <v>25835.41</v>
      </c>
      <c r="E196" s="16">
        <v>25545.86</v>
      </c>
      <c r="F196" s="16">
        <v>25529.09</v>
      </c>
      <c r="G196" s="16">
        <v>25421.93</v>
      </c>
      <c r="H196" s="16">
        <v>25641.21</v>
      </c>
      <c r="I196" s="16">
        <v>25927.83</v>
      </c>
      <c r="J196" s="16">
        <v>25580.44</v>
      </c>
      <c r="K196" s="16">
        <v>25434.04</v>
      </c>
      <c r="L196" s="16">
        <v>25497.99</v>
      </c>
      <c r="M196" s="31"/>
      <c r="N196" s="31"/>
      <c r="O196" s="31"/>
      <c r="P196" s="31"/>
      <c r="Q196" s="31"/>
      <c r="R196" s="32"/>
      <c r="S196" s="33"/>
      <c r="T196" s="55"/>
      <c r="V196" s="47"/>
      <c r="W196" s="47"/>
      <c r="X196" s="48"/>
      <c r="Y196" s="48"/>
      <c r="Z196" s="49"/>
      <c r="AA196" s="49"/>
    </row>
    <row r="197" spans="1:27" ht="16.5" customHeight="1" thickBot="1">
      <c r="A197" s="94"/>
      <c r="B197" s="94"/>
      <c r="C197" s="34" t="s">
        <v>129</v>
      </c>
      <c r="D197" s="35">
        <f t="shared" ref="D197:L197" si="61">IF(((D195="")*AND(D196="")),"",(D195-D196)*3)</f>
        <v>10348.529999999995</v>
      </c>
      <c r="E197" s="35">
        <f t="shared" si="61"/>
        <v>10644.48</v>
      </c>
      <c r="F197" s="35">
        <f t="shared" si="61"/>
        <v>10649.819999999996</v>
      </c>
      <c r="G197" s="35">
        <f t="shared" si="61"/>
        <v>10978.23</v>
      </c>
      <c r="H197" s="35">
        <f t="shared" si="61"/>
        <v>11098.5</v>
      </c>
      <c r="I197" s="35">
        <f t="shared" si="61"/>
        <v>9958.3799999999974</v>
      </c>
      <c r="J197" s="35">
        <f t="shared" si="61"/>
        <v>10485.810000000001</v>
      </c>
      <c r="K197" s="35">
        <f t="shared" si="61"/>
        <v>10935.419999999998</v>
      </c>
      <c r="L197" s="35">
        <f t="shared" si="61"/>
        <v>11405.009999999995</v>
      </c>
      <c r="M197" s="36"/>
      <c r="N197" s="36"/>
      <c r="O197" s="36"/>
      <c r="P197" s="36"/>
      <c r="Q197" s="36"/>
      <c r="R197" s="37"/>
      <c r="S197" s="38"/>
      <c r="T197" s="56"/>
      <c r="U197" s="51"/>
      <c r="V197" s="50"/>
      <c r="W197" s="50"/>
      <c r="X197" s="51"/>
      <c r="Y197" s="51"/>
      <c r="Z197" s="52"/>
      <c r="AA197" s="52"/>
    </row>
    <row r="198" spans="1:27">
      <c r="A198" s="95">
        <v>42997</v>
      </c>
      <c r="B198" s="115" t="s">
        <v>429</v>
      </c>
      <c r="C198" s="26" t="s">
        <v>126</v>
      </c>
      <c r="D198" s="16">
        <v>29249.16</v>
      </c>
      <c r="E198" s="16">
        <v>29037.86</v>
      </c>
      <c r="F198" s="16">
        <v>29048.31</v>
      </c>
      <c r="G198" s="16">
        <v>29055.98</v>
      </c>
      <c r="H198" s="16">
        <v>29315.64</v>
      </c>
      <c r="I198" s="16">
        <v>29186.67</v>
      </c>
      <c r="J198" s="16">
        <v>29033.43</v>
      </c>
      <c r="K198" s="16">
        <v>29058.3</v>
      </c>
      <c r="L198" s="16">
        <v>29283.09</v>
      </c>
      <c r="M198" s="27">
        <f>IF((L199=""),"",MAX(D200:L200))</f>
        <v>11089.140000000003</v>
      </c>
      <c r="N198" s="27">
        <f>IF(L199="","",MIN(D200:L200))</f>
        <v>9483.2399999999943</v>
      </c>
      <c r="O198" s="27">
        <f>IF((L200=""),"",AVERAGE(D200:L200))</f>
        <v>10305.046666666663</v>
      </c>
      <c r="P198" s="27">
        <f>IF((L199=""),"",STDEV(D200:L200))</f>
        <v>497.75578306539194</v>
      </c>
      <c r="Q198" s="168">
        <f>IF((L199=""),"",((M198-N198)/(M198+P198))*100)</f>
        <v>13.859622370532417</v>
      </c>
      <c r="R198" s="28" t="str">
        <f>IF(L199="","",IF(Q198&lt;Z198,IF(N198&gt;V198,IF(M198&lt;W198,"Pass","Fail"),"Fail"),"Fail"))</f>
        <v>Pass</v>
      </c>
      <c r="S198" s="29">
        <v>1428</v>
      </c>
      <c r="T198" s="54" t="s">
        <v>170</v>
      </c>
      <c r="U198" s="40"/>
      <c r="V198" s="53">
        <v>9000</v>
      </c>
      <c r="W198" s="22">
        <v>15600</v>
      </c>
      <c r="X198" s="40">
        <v>8090</v>
      </c>
      <c r="Y198" s="40">
        <v>12070</v>
      </c>
      <c r="Z198" s="49">
        <v>15</v>
      </c>
      <c r="AA198" s="49">
        <v>6</v>
      </c>
    </row>
    <row r="199" spans="1:27" ht="15.75" customHeight="1">
      <c r="A199" s="94"/>
      <c r="B199" s="94"/>
      <c r="C199" s="30" t="s">
        <v>128</v>
      </c>
      <c r="D199" s="16">
        <v>25973.24</v>
      </c>
      <c r="E199" s="16">
        <v>25650.799999999999</v>
      </c>
      <c r="F199" s="16">
        <v>25651.599999999999</v>
      </c>
      <c r="G199" s="16">
        <v>25517.68</v>
      </c>
      <c r="H199" s="16">
        <v>25737.81</v>
      </c>
      <c r="I199" s="16">
        <v>26025.59</v>
      </c>
      <c r="J199" s="16">
        <v>25683.79</v>
      </c>
      <c r="K199" s="16">
        <v>25526.080000000002</v>
      </c>
      <c r="L199" s="16">
        <v>25586.71</v>
      </c>
      <c r="M199" s="31"/>
      <c r="N199" s="31"/>
      <c r="O199" s="31"/>
      <c r="P199" s="31"/>
      <c r="Q199" s="31"/>
      <c r="R199" s="32"/>
      <c r="S199" s="33"/>
      <c r="T199" s="55"/>
      <c r="V199" s="47"/>
      <c r="W199" s="47"/>
      <c r="X199" s="48"/>
      <c r="Y199" s="48"/>
      <c r="Z199" s="49"/>
      <c r="AA199" s="49"/>
    </row>
    <row r="200" spans="1:27" ht="16.5" customHeight="1" thickBot="1">
      <c r="A200" s="94"/>
      <c r="B200" s="94"/>
      <c r="C200" s="34" t="s">
        <v>129</v>
      </c>
      <c r="D200" s="35">
        <f t="shared" ref="D200:L200" si="62">IF(((D198="")*AND(D199="")),"",(D198-D199)*3)</f>
        <v>9827.7599999999948</v>
      </c>
      <c r="E200" s="35">
        <f t="shared" si="62"/>
        <v>10161.180000000004</v>
      </c>
      <c r="F200" s="35">
        <f t="shared" si="62"/>
        <v>10190.130000000008</v>
      </c>
      <c r="G200" s="35">
        <f t="shared" si="62"/>
        <v>10614.899999999998</v>
      </c>
      <c r="H200" s="35">
        <f t="shared" si="62"/>
        <v>10733.489999999994</v>
      </c>
      <c r="I200" s="35">
        <f t="shared" si="62"/>
        <v>9483.2399999999943</v>
      </c>
      <c r="J200" s="35">
        <f t="shared" si="62"/>
        <v>10048.919999999998</v>
      </c>
      <c r="K200" s="35">
        <f t="shared" si="62"/>
        <v>10596.659999999993</v>
      </c>
      <c r="L200" s="35">
        <f t="shared" si="62"/>
        <v>11089.140000000003</v>
      </c>
      <c r="M200" s="36"/>
      <c r="N200" s="36"/>
      <c r="O200" s="36"/>
      <c r="P200" s="36"/>
      <c r="Q200" s="36"/>
      <c r="R200" s="37"/>
      <c r="S200" s="38"/>
      <c r="T200" s="56"/>
      <c r="U200" s="51"/>
      <c r="V200" s="50"/>
      <c r="W200" s="50"/>
      <c r="X200" s="51"/>
      <c r="Y200" s="51"/>
      <c r="Z200" s="52"/>
      <c r="AA200" s="52"/>
    </row>
    <row r="201" spans="1:27">
      <c r="A201" s="95">
        <v>42998</v>
      </c>
      <c r="B201" s="115" t="s">
        <v>429</v>
      </c>
      <c r="C201" s="26" t="s">
        <v>126</v>
      </c>
      <c r="D201" s="16">
        <v>29363.56</v>
      </c>
      <c r="E201" s="16">
        <v>29188.97</v>
      </c>
      <c r="F201" s="16">
        <v>29237.08</v>
      </c>
      <c r="G201" s="16">
        <v>29175.03</v>
      </c>
      <c r="H201" s="16">
        <v>29354.19</v>
      </c>
      <c r="I201" s="16">
        <v>29367.85</v>
      </c>
      <c r="J201" s="16">
        <v>29186.560000000001</v>
      </c>
      <c r="K201" s="16">
        <v>29159.69</v>
      </c>
      <c r="L201" s="16">
        <v>29335.69</v>
      </c>
      <c r="M201" s="27">
        <f>IF((L202=""),"",MAX(D203:L203))</f>
        <v>11915.219999999994</v>
      </c>
      <c r="N201" s="27">
        <f>IF(L202="","",MIN(D203:L203))</f>
        <v>11371.439999999999</v>
      </c>
      <c r="O201" s="27">
        <f>IF((L203=""),"",AVERAGE(D203:L203))</f>
        <v>11662.879999999997</v>
      </c>
      <c r="P201" s="27">
        <f>IF((L202=""),"",STDEV(D203:L203))</f>
        <v>180.17704792782857</v>
      </c>
      <c r="Q201" s="168">
        <f>IF((L202=""),"",((M201-N201)/(M201+P201))*100)</f>
        <v>4.4957598154510796</v>
      </c>
      <c r="R201" s="28" t="str">
        <f>IF(L202="","",IF(Q201&lt;Z201,IF(N201&gt;V201,IF(M201&lt;W201,"Pass","Fail"),"Fail"),"Fail"))</f>
        <v>Pass</v>
      </c>
      <c r="S201" s="29">
        <v>64</v>
      </c>
      <c r="T201" s="54"/>
      <c r="U201" s="40"/>
      <c r="V201" s="53">
        <v>9000</v>
      </c>
      <c r="W201" s="22">
        <v>15600</v>
      </c>
      <c r="X201" s="40">
        <v>8090</v>
      </c>
      <c r="Y201" s="40">
        <v>12070</v>
      </c>
      <c r="Z201" s="49">
        <v>15</v>
      </c>
      <c r="AA201" s="49">
        <v>6</v>
      </c>
    </row>
    <row r="202" spans="1:27" ht="15.75" customHeight="1">
      <c r="A202" s="94"/>
      <c r="B202" s="94"/>
      <c r="C202" s="30" t="s">
        <v>128</v>
      </c>
      <c r="D202" s="16">
        <v>25573.08</v>
      </c>
      <c r="E202" s="16">
        <v>25285.360000000001</v>
      </c>
      <c r="F202" s="16">
        <v>25330.42</v>
      </c>
      <c r="G202" s="16">
        <v>25203.29</v>
      </c>
      <c r="H202" s="16">
        <v>25485.9</v>
      </c>
      <c r="I202" s="16">
        <v>25558.68</v>
      </c>
      <c r="J202" s="16">
        <v>25314.09</v>
      </c>
      <c r="K202" s="16">
        <v>25246.95</v>
      </c>
      <c r="L202" s="16">
        <v>25382.21</v>
      </c>
      <c r="M202" s="31"/>
      <c r="N202" s="31"/>
      <c r="O202" s="31"/>
      <c r="P202" s="31"/>
      <c r="Q202" s="31"/>
      <c r="R202" s="32"/>
      <c r="S202" s="33"/>
      <c r="T202" s="55"/>
      <c r="V202" s="47"/>
      <c r="W202" s="47"/>
      <c r="X202" s="48"/>
      <c r="Y202" s="48"/>
      <c r="Z202" s="49"/>
      <c r="AA202" s="49"/>
    </row>
    <row r="203" spans="1:27" ht="16.5" customHeight="1" thickBot="1">
      <c r="A203" s="94"/>
      <c r="B203" s="94"/>
      <c r="C203" s="34" t="s">
        <v>129</v>
      </c>
      <c r="D203" s="35">
        <f t="shared" ref="D203:L203" si="63">IF(((D201="")*AND(D202="")),"",(D201-D202)*3)</f>
        <v>11371.439999999999</v>
      </c>
      <c r="E203" s="35">
        <f t="shared" si="63"/>
        <v>11710.830000000002</v>
      </c>
      <c r="F203" s="35">
        <f t="shared" si="63"/>
        <v>11719.98000000001</v>
      </c>
      <c r="G203" s="35">
        <f t="shared" si="63"/>
        <v>11915.219999999994</v>
      </c>
      <c r="H203" s="35">
        <f t="shared" si="63"/>
        <v>11604.869999999992</v>
      </c>
      <c r="I203" s="35">
        <f t="shared" si="63"/>
        <v>11427.509999999995</v>
      </c>
      <c r="J203" s="35">
        <f t="shared" si="63"/>
        <v>11617.410000000003</v>
      </c>
      <c r="K203" s="35">
        <f t="shared" si="63"/>
        <v>11738.219999999994</v>
      </c>
      <c r="L203" s="35">
        <f t="shared" si="63"/>
        <v>11860.439999999999</v>
      </c>
      <c r="M203" s="36"/>
      <c r="N203" s="36"/>
      <c r="O203" s="36"/>
      <c r="P203" s="36"/>
      <c r="Q203" s="36"/>
      <c r="R203" s="37"/>
      <c r="S203" s="38"/>
      <c r="T203" s="56"/>
      <c r="U203" s="51"/>
      <c r="V203" s="50"/>
      <c r="W203" s="50"/>
      <c r="X203" s="51"/>
      <c r="Y203" s="51"/>
      <c r="Z203" s="52"/>
      <c r="AA203" s="52"/>
    </row>
    <row r="204" spans="1:27">
      <c r="A204" s="95">
        <v>43003</v>
      </c>
      <c r="B204" s="115" t="s">
        <v>429</v>
      </c>
      <c r="C204" s="26" t="s">
        <v>126</v>
      </c>
      <c r="D204" s="16">
        <v>29225.05</v>
      </c>
      <c r="E204" s="16">
        <v>29028.19</v>
      </c>
      <c r="F204" s="16">
        <v>29030.47</v>
      </c>
      <c r="G204" s="16">
        <v>29035.27</v>
      </c>
      <c r="H204" s="16">
        <v>29322.31</v>
      </c>
      <c r="I204" s="16">
        <v>29210.44</v>
      </c>
      <c r="J204" s="16">
        <v>29036.75</v>
      </c>
      <c r="K204" s="16">
        <v>29016.54</v>
      </c>
      <c r="L204" s="16">
        <v>29236.959999999999</v>
      </c>
      <c r="M204" s="27">
        <f>IF((L205=""),"",MAX(D206:L206))</f>
        <v>11402.969999999994</v>
      </c>
      <c r="N204" s="27">
        <f>IF(L205="","",MIN(D206:L206))</f>
        <v>10095.810000000001</v>
      </c>
      <c r="O204" s="27">
        <f>IF((L206=""),"",AVERAGE(D206:L206))</f>
        <v>10788.5</v>
      </c>
      <c r="P204" s="27">
        <f>IF((L205=""),"",STDEV(D206:L206))</f>
        <v>396.15047567179403</v>
      </c>
      <c r="Q204" s="168">
        <f>IF((L205=""),"",((M204-N204)/(M204+P204))*100)</f>
        <v>11.078452861763571</v>
      </c>
      <c r="R204" s="28" t="str">
        <f>IF(L205="","",IF(Q204&lt;Z204,IF(N204&gt;V204,IF(M204&lt;W204,"Pass","Fail"),"Fail"),"Fail"))</f>
        <v>Pass</v>
      </c>
      <c r="S204" s="29" t="s">
        <v>47</v>
      </c>
      <c r="T204" s="54" t="s">
        <v>171</v>
      </c>
      <c r="U204" s="40"/>
      <c r="V204" s="53">
        <v>9000</v>
      </c>
      <c r="W204" s="22">
        <v>15600</v>
      </c>
      <c r="X204" s="40">
        <v>8090</v>
      </c>
      <c r="Y204" s="40">
        <v>12070</v>
      </c>
      <c r="Z204" s="49">
        <v>15</v>
      </c>
      <c r="AA204" s="49">
        <v>6</v>
      </c>
    </row>
    <row r="205" spans="1:27" ht="15.75" customHeight="1">
      <c r="A205" s="94"/>
      <c r="B205" s="94"/>
      <c r="C205" s="30" t="s">
        <v>128</v>
      </c>
      <c r="D205" s="16">
        <v>25764.29</v>
      </c>
      <c r="E205" s="16">
        <v>25460.91</v>
      </c>
      <c r="F205" s="16">
        <v>25470.62</v>
      </c>
      <c r="G205" s="16">
        <v>25351.13</v>
      </c>
      <c r="H205" s="16">
        <v>25619.9</v>
      </c>
      <c r="I205" s="16">
        <v>25845.17</v>
      </c>
      <c r="J205" s="16">
        <v>25470.12</v>
      </c>
      <c r="K205" s="16">
        <v>25358.37</v>
      </c>
      <c r="L205" s="16">
        <v>25435.97</v>
      </c>
      <c r="M205" s="31"/>
      <c r="N205" s="31"/>
      <c r="O205" s="31"/>
      <c r="P205" s="31"/>
      <c r="Q205" s="31"/>
      <c r="R205" s="32"/>
      <c r="S205" s="33"/>
      <c r="T205" s="55"/>
      <c r="V205" s="47"/>
      <c r="W205" s="47"/>
      <c r="X205" s="48"/>
      <c r="Y205" s="48"/>
      <c r="Z205" s="49"/>
      <c r="AA205" s="49"/>
    </row>
    <row r="206" spans="1:27" ht="16.5" customHeight="1" thickBot="1">
      <c r="A206" s="94"/>
      <c r="B206" s="94"/>
      <c r="C206" s="34" t="s">
        <v>129</v>
      </c>
      <c r="D206" s="35">
        <f t="shared" ref="D206:L206" si="64">IF(((D204="")*AND(D205="")),"",(D204-D205)*3)</f>
        <v>10382.279999999995</v>
      </c>
      <c r="E206" s="35">
        <f t="shared" si="64"/>
        <v>10701.839999999997</v>
      </c>
      <c r="F206" s="35">
        <f t="shared" si="64"/>
        <v>10679.550000000007</v>
      </c>
      <c r="G206" s="35">
        <f t="shared" si="64"/>
        <v>11052.419999999998</v>
      </c>
      <c r="H206" s="35">
        <f t="shared" si="64"/>
        <v>11107.23</v>
      </c>
      <c r="I206" s="35">
        <f t="shared" si="64"/>
        <v>10095.810000000001</v>
      </c>
      <c r="J206" s="35">
        <f t="shared" si="64"/>
        <v>10699.890000000003</v>
      </c>
      <c r="K206" s="35">
        <f t="shared" si="64"/>
        <v>10974.510000000006</v>
      </c>
      <c r="L206" s="35">
        <f t="shared" si="64"/>
        <v>11402.969999999994</v>
      </c>
      <c r="M206" s="36"/>
      <c r="N206" s="36"/>
      <c r="O206" s="36"/>
      <c r="P206" s="36"/>
      <c r="Q206" s="36"/>
      <c r="R206" s="37"/>
      <c r="S206" s="38"/>
      <c r="T206" s="56"/>
      <c r="U206" s="51"/>
      <c r="V206" s="50"/>
      <c r="W206" s="50"/>
      <c r="X206" s="51"/>
      <c r="Y206" s="51"/>
      <c r="Z206" s="52"/>
      <c r="AA206" s="52"/>
    </row>
    <row r="207" spans="1:27">
      <c r="A207" s="95">
        <v>43007</v>
      </c>
      <c r="B207" s="115" t="s">
        <v>429</v>
      </c>
      <c r="C207" s="26" t="s">
        <v>126</v>
      </c>
      <c r="D207" s="16">
        <v>29232.82</v>
      </c>
      <c r="E207" s="16">
        <v>29035.57</v>
      </c>
      <c r="F207" s="16">
        <v>29104.16</v>
      </c>
      <c r="G207" s="16">
        <v>29050.080000000002</v>
      </c>
      <c r="H207" s="16">
        <v>29273.599999999999</v>
      </c>
      <c r="I207" s="16">
        <v>29204.2</v>
      </c>
      <c r="J207" s="16">
        <v>29033.5</v>
      </c>
      <c r="K207" s="16">
        <v>29034.400000000001</v>
      </c>
      <c r="L207" s="16">
        <v>29227.23</v>
      </c>
      <c r="M207" s="27">
        <f>IF((L208=""),"",MAX(D209:L209))</f>
        <v>22067.79</v>
      </c>
      <c r="N207" s="27">
        <f>IF(L208="","",MIN(D209:L209))</f>
        <v>16848.030000000006</v>
      </c>
      <c r="O207" s="27">
        <f>IF((L209=""),"",AVERAGE(D209:L209))</f>
        <v>19960.963333333333</v>
      </c>
      <c r="P207" s="27">
        <f>IF((L208=""),"",STDEV(D209:L209))</f>
        <v>1756.0129929758339</v>
      </c>
      <c r="Q207" s="168">
        <f>IF((L208=""),"",((M207-N207)/(M207+P207))*100)</f>
        <v>21.909852098504086</v>
      </c>
      <c r="R207" s="28" t="str">
        <f>IF(L208="","",IF(Q207&lt;Z207,IF(N207&gt;V207,IF(M207&lt;W207,"Pass","Fail"),"Fail"),"Fail"))</f>
        <v>Fail</v>
      </c>
      <c r="S207" s="29">
        <v>1159</v>
      </c>
      <c r="T207" s="54"/>
      <c r="U207" s="40"/>
      <c r="V207" s="53">
        <v>9000</v>
      </c>
      <c r="W207" s="22">
        <v>15600</v>
      </c>
      <c r="X207" s="40">
        <v>8090</v>
      </c>
      <c r="Y207" s="40">
        <v>12070</v>
      </c>
      <c r="Z207" s="49">
        <v>15</v>
      </c>
      <c r="AA207" s="49">
        <v>6</v>
      </c>
    </row>
    <row r="208" spans="1:27" ht="15.75" customHeight="1">
      <c r="A208" s="94"/>
      <c r="B208" s="94"/>
      <c r="C208" s="30" t="s">
        <v>128</v>
      </c>
      <c r="D208" s="16">
        <v>23330.080000000002</v>
      </c>
      <c r="E208" s="16">
        <v>22481.68</v>
      </c>
      <c r="F208" s="16">
        <v>22159.47</v>
      </c>
      <c r="G208" s="16">
        <v>22001.7</v>
      </c>
      <c r="H208" s="16">
        <v>22269.61</v>
      </c>
      <c r="I208" s="16">
        <v>23588.19</v>
      </c>
      <c r="J208" s="16">
        <v>22638.6</v>
      </c>
      <c r="K208" s="16">
        <v>21972.04</v>
      </c>
      <c r="L208" s="16">
        <v>21871.3</v>
      </c>
      <c r="M208" s="31"/>
      <c r="N208" s="31"/>
      <c r="O208" s="31"/>
      <c r="P208" s="31"/>
      <c r="Q208" s="31"/>
      <c r="R208" s="32"/>
      <c r="S208" s="33"/>
      <c r="T208" s="55"/>
      <c r="V208" s="47"/>
      <c r="W208" s="47"/>
      <c r="X208" s="48"/>
      <c r="Y208" s="48"/>
      <c r="Z208" s="49"/>
      <c r="AA208" s="49"/>
    </row>
    <row r="209" spans="1:27" ht="16.5" customHeight="1" thickBot="1">
      <c r="A209" s="94"/>
      <c r="B209" s="94"/>
      <c r="C209" s="34" t="s">
        <v>129</v>
      </c>
      <c r="D209" s="35">
        <f t="shared" ref="D209:L209" si="65">IF(((D207="")*AND(D208="")),"",(D207-D208)*3)</f>
        <v>17708.219999999994</v>
      </c>
      <c r="E209" s="35">
        <f t="shared" si="65"/>
        <v>19661.669999999998</v>
      </c>
      <c r="F209" s="35">
        <f t="shared" si="65"/>
        <v>20834.069999999996</v>
      </c>
      <c r="G209" s="35">
        <f t="shared" si="65"/>
        <v>21145.140000000003</v>
      </c>
      <c r="H209" s="35">
        <f t="shared" si="65"/>
        <v>21011.969999999994</v>
      </c>
      <c r="I209" s="35">
        <f t="shared" si="65"/>
        <v>16848.030000000006</v>
      </c>
      <c r="J209" s="35">
        <f t="shared" si="65"/>
        <v>19184.700000000004</v>
      </c>
      <c r="K209" s="35">
        <f t="shared" si="65"/>
        <v>21187.08</v>
      </c>
      <c r="L209" s="35">
        <f t="shared" si="65"/>
        <v>22067.79</v>
      </c>
      <c r="M209" s="36"/>
      <c r="N209" s="36"/>
      <c r="O209" s="36"/>
      <c r="P209" s="36"/>
      <c r="Q209" s="36"/>
      <c r="R209" s="37"/>
      <c r="S209" s="38"/>
      <c r="T209" s="56"/>
      <c r="U209" s="51"/>
      <c r="V209" s="50"/>
      <c r="W209" s="50"/>
      <c r="X209" s="51"/>
      <c r="Y209" s="51"/>
      <c r="Z209" s="52"/>
      <c r="AA209" s="52"/>
    </row>
    <row r="210" spans="1:27">
      <c r="A210" s="95">
        <v>43007</v>
      </c>
      <c r="B210" s="115" t="s">
        <v>429</v>
      </c>
      <c r="C210" s="26" t="s">
        <v>126</v>
      </c>
      <c r="D210" s="16">
        <v>29227.9</v>
      </c>
      <c r="E210" s="16">
        <v>29075.22</v>
      </c>
      <c r="F210" s="16">
        <v>29022.400000000001</v>
      </c>
      <c r="G210" s="16">
        <v>29016.91</v>
      </c>
      <c r="H210" s="16">
        <v>29216.45</v>
      </c>
      <c r="I210" s="16">
        <v>29194.58</v>
      </c>
      <c r="J210" s="16">
        <v>29004.12</v>
      </c>
      <c r="K210" s="16">
        <v>29025.15</v>
      </c>
      <c r="L210" s="16">
        <v>29309.33</v>
      </c>
      <c r="M210" s="27">
        <f>IF((L211=""),"",MAX(D212:L212))</f>
        <v>13430.490000000005</v>
      </c>
      <c r="N210" s="27">
        <f>IF(L211="","",MIN(D212:L212))</f>
        <v>11253.75</v>
      </c>
      <c r="O210" s="27">
        <f>IF((L212=""),"",AVERAGE(D212:L212))</f>
        <v>12469.116666666667</v>
      </c>
      <c r="P210" s="27">
        <f>IF((L211=""),"",STDEV(D212:L212))</f>
        <v>691.00089723173664</v>
      </c>
      <c r="Q210" s="168">
        <f>IF((L211=""),"",((M210-N210)/(M210+P210))*100)</f>
        <v>15.414378098184484</v>
      </c>
      <c r="R210" s="28" t="str">
        <f>IF(L211="","",IF(Q210&lt;Z210,IF(N210&gt;V210,IF(M210&lt;W210,"Pass","Fail"),"Fail"),"Fail"))</f>
        <v>Fail</v>
      </c>
      <c r="S210" s="29">
        <v>1159</v>
      </c>
      <c r="T210" s="54" t="s">
        <v>172</v>
      </c>
      <c r="U210" s="40"/>
      <c r="V210" s="53">
        <v>9000</v>
      </c>
      <c r="W210" s="22">
        <v>15600</v>
      </c>
      <c r="X210" s="40">
        <v>8090</v>
      </c>
      <c r="Y210" s="40">
        <v>12070</v>
      </c>
      <c r="Z210" s="49">
        <v>15</v>
      </c>
      <c r="AA210" s="49">
        <v>6</v>
      </c>
    </row>
    <row r="211" spans="1:27" ht="15.75" customHeight="1">
      <c r="A211" s="94"/>
      <c r="B211" s="94"/>
      <c r="C211" s="30" t="s">
        <v>128</v>
      </c>
      <c r="D211" s="16">
        <v>25341.74</v>
      </c>
      <c r="E211" s="16">
        <v>24910.19</v>
      </c>
      <c r="F211" s="16">
        <v>24868.880000000001</v>
      </c>
      <c r="G211" s="16">
        <v>24685.96</v>
      </c>
      <c r="H211" s="16">
        <v>24953.32</v>
      </c>
      <c r="I211" s="16">
        <v>25443.33</v>
      </c>
      <c r="J211" s="16">
        <v>24955.91</v>
      </c>
      <c r="K211" s="16">
        <v>24692.880000000001</v>
      </c>
      <c r="L211" s="16">
        <v>24832.5</v>
      </c>
      <c r="M211" s="31"/>
      <c r="N211" s="31"/>
      <c r="O211" s="31"/>
      <c r="P211" s="31"/>
      <c r="Q211" s="31"/>
      <c r="R211" s="32"/>
      <c r="S211" s="33"/>
      <c r="T211" s="55"/>
      <c r="V211" s="47"/>
      <c r="W211" s="47"/>
      <c r="X211" s="48"/>
      <c r="Y211" s="48"/>
      <c r="Z211" s="49"/>
      <c r="AA211" s="49"/>
    </row>
    <row r="212" spans="1:27" ht="16.5" customHeight="1" thickBot="1">
      <c r="A212" s="94"/>
      <c r="B212" s="94"/>
      <c r="C212" s="34" t="s">
        <v>129</v>
      </c>
      <c r="D212" s="35">
        <f t="shared" ref="D212:L212" si="66">IF(((D210="")*AND(D211="")),"",(D210-D211)*3)</f>
        <v>11658.48</v>
      </c>
      <c r="E212" s="35">
        <f t="shared" si="66"/>
        <v>12495.090000000007</v>
      </c>
      <c r="F212" s="35">
        <f t="shared" si="66"/>
        <v>12460.560000000001</v>
      </c>
      <c r="G212" s="35">
        <f t="shared" si="66"/>
        <v>12992.850000000002</v>
      </c>
      <c r="H212" s="35">
        <f t="shared" si="66"/>
        <v>12789.390000000003</v>
      </c>
      <c r="I212" s="35">
        <f t="shared" si="66"/>
        <v>11253.75</v>
      </c>
      <c r="J212" s="35">
        <f t="shared" si="66"/>
        <v>12144.629999999997</v>
      </c>
      <c r="K212" s="35">
        <f t="shared" si="66"/>
        <v>12996.810000000001</v>
      </c>
      <c r="L212" s="35">
        <f t="shared" si="66"/>
        <v>13430.490000000005</v>
      </c>
      <c r="M212" s="36"/>
      <c r="N212" s="36"/>
      <c r="O212" s="36"/>
      <c r="P212" s="36"/>
      <c r="Q212" s="36"/>
      <c r="R212" s="37"/>
      <c r="S212" s="38"/>
      <c r="T212" s="56"/>
      <c r="U212" s="51"/>
      <c r="V212" s="50"/>
      <c r="W212" s="50"/>
      <c r="X212" s="51"/>
      <c r="Y212" s="51"/>
      <c r="Z212" s="52"/>
      <c r="AA212" s="52"/>
    </row>
    <row r="213" spans="1:27">
      <c r="A213" s="95">
        <v>43007</v>
      </c>
      <c r="B213" s="115" t="s">
        <v>429</v>
      </c>
      <c r="C213" s="26" t="s">
        <v>126</v>
      </c>
      <c r="D213" s="16">
        <v>29164.5</v>
      </c>
      <c r="E213" s="16">
        <v>28990.36</v>
      </c>
      <c r="F213" s="16">
        <v>29052.93</v>
      </c>
      <c r="G213" s="16">
        <v>28994.25</v>
      </c>
      <c r="H213" s="16">
        <v>29202.799999999999</v>
      </c>
      <c r="I213" s="16">
        <v>29184.83</v>
      </c>
      <c r="J213" s="16">
        <v>28997.84</v>
      </c>
      <c r="K213" s="16">
        <v>28981.24</v>
      </c>
      <c r="L213" s="16">
        <v>29159.73</v>
      </c>
      <c r="M213" s="27">
        <f>IF((L214=""),"",MAX(D215:L215))</f>
        <v>13019.550000000007</v>
      </c>
      <c r="N213" s="27">
        <f>IF(L214="","",MIN(D215:L215))</f>
        <v>10824.089999999997</v>
      </c>
      <c r="O213" s="27">
        <f>IF((L215=""),"",AVERAGE(D215:L215))</f>
        <v>11962.003333333334</v>
      </c>
      <c r="P213" s="27">
        <f>IF((L214=""),"",STDEV(D215:L215))</f>
        <v>674.07356442008506</v>
      </c>
      <c r="Q213" s="168">
        <f>IF((L214=""),"",((M213-N213)/(M213+P213))*100)</f>
        <v>16.032717634391794</v>
      </c>
      <c r="R213" s="28" t="str">
        <f>IF(L214="","",IF(Q213&lt;Z213,IF(N213&gt;V213,IF(M213&lt;W213,"Pass","Fail"),"Fail"),"Fail"))</f>
        <v>Fail</v>
      </c>
      <c r="S213" s="29" t="s">
        <v>173</v>
      </c>
      <c r="T213" s="54"/>
      <c r="U213" s="40"/>
      <c r="V213" s="53">
        <v>9000</v>
      </c>
      <c r="W213" s="22">
        <v>15600</v>
      </c>
      <c r="X213" s="40">
        <v>8090</v>
      </c>
      <c r="Y213" s="40">
        <v>12070</v>
      </c>
      <c r="Z213" s="49">
        <v>15</v>
      </c>
      <c r="AA213" s="49">
        <v>6</v>
      </c>
    </row>
    <row r="214" spans="1:27" ht="15.75" customHeight="1">
      <c r="A214" s="94"/>
      <c r="B214" s="94"/>
      <c r="C214" s="30" t="s">
        <v>128</v>
      </c>
      <c r="D214" s="16">
        <v>25079.11</v>
      </c>
      <c r="E214" s="16">
        <v>24856.9</v>
      </c>
      <c r="F214" s="16">
        <v>25046.83</v>
      </c>
      <c r="G214" s="16">
        <v>25035.07</v>
      </c>
      <c r="H214" s="16">
        <v>25454.73</v>
      </c>
      <c r="I214" s="16">
        <v>24844.98</v>
      </c>
      <c r="J214" s="16">
        <v>24843.38</v>
      </c>
      <c r="K214" s="16">
        <v>25129.77</v>
      </c>
      <c r="L214" s="16">
        <v>25551.7</v>
      </c>
      <c r="M214" s="31"/>
      <c r="N214" s="31"/>
      <c r="O214" s="31"/>
      <c r="P214" s="31"/>
      <c r="Q214" s="31"/>
      <c r="R214" s="32"/>
      <c r="S214" s="33"/>
      <c r="T214" s="55"/>
      <c r="V214" s="47"/>
      <c r="W214" s="47"/>
      <c r="X214" s="48"/>
      <c r="Y214" s="48"/>
      <c r="Z214" s="49"/>
      <c r="AA214" s="49"/>
    </row>
    <row r="215" spans="1:27" ht="16.5" customHeight="1" thickBot="1">
      <c r="A215" s="94"/>
      <c r="B215" s="94"/>
      <c r="C215" s="34" t="s">
        <v>129</v>
      </c>
      <c r="D215" s="35">
        <f t="shared" ref="D215:L215" si="67">IF(((D213="")*AND(D214="")),"",(D213-D214)*3)</f>
        <v>12256.169999999998</v>
      </c>
      <c r="E215" s="35">
        <f t="shared" si="67"/>
        <v>12400.379999999997</v>
      </c>
      <c r="F215" s="35">
        <f t="shared" si="67"/>
        <v>12018.299999999996</v>
      </c>
      <c r="G215" s="35">
        <f t="shared" si="67"/>
        <v>11877.54</v>
      </c>
      <c r="H215" s="35">
        <f t="shared" si="67"/>
        <v>11244.21</v>
      </c>
      <c r="I215" s="35">
        <f t="shared" si="67"/>
        <v>13019.550000000007</v>
      </c>
      <c r="J215" s="35">
        <f t="shared" si="67"/>
        <v>12463.379999999997</v>
      </c>
      <c r="K215" s="35">
        <f t="shared" si="67"/>
        <v>11554.410000000003</v>
      </c>
      <c r="L215" s="35">
        <f t="shared" si="67"/>
        <v>10824.089999999997</v>
      </c>
      <c r="M215" s="36"/>
      <c r="N215" s="36"/>
      <c r="O215" s="36"/>
      <c r="P215" s="36"/>
      <c r="Q215" s="36"/>
      <c r="R215" s="37"/>
      <c r="S215" s="38"/>
      <c r="T215" s="56"/>
      <c r="U215" s="51"/>
      <c r="V215" s="50"/>
      <c r="W215" s="50"/>
      <c r="X215" s="51"/>
      <c r="Y215" s="51"/>
      <c r="Z215" s="52"/>
      <c r="AA215" s="52"/>
    </row>
    <row r="216" spans="1:27">
      <c r="A216" s="95">
        <v>43010</v>
      </c>
      <c r="B216" s="115" t="s">
        <v>429</v>
      </c>
      <c r="C216" s="26" t="s">
        <v>126</v>
      </c>
      <c r="D216" s="16">
        <v>29198.959999999999</v>
      </c>
      <c r="E216" s="16">
        <v>29022.39</v>
      </c>
      <c r="F216" s="16">
        <v>29092.57</v>
      </c>
      <c r="G216" s="16">
        <v>29024.76</v>
      </c>
      <c r="H216" s="16">
        <v>29231.13</v>
      </c>
      <c r="I216" s="16">
        <v>29205.66</v>
      </c>
      <c r="J216" s="16">
        <v>29039.78</v>
      </c>
      <c r="K216" s="16">
        <v>29025.53</v>
      </c>
      <c r="L216" s="16">
        <v>29201.25</v>
      </c>
      <c r="M216" s="27">
        <f>IF((L217=""),"",MAX(D218:L218))</f>
        <v>11368.680000000004</v>
      </c>
      <c r="N216" s="27">
        <f>IF(L217="","",MIN(D218:L218))</f>
        <v>9830.9700000000048</v>
      </c>
      <c r="O216" s="27">
        <f>IF((L218=""),"",AVERAGE(D218:L218))</f>
        <v>10645.996666666666</v>
      </c>
      <c r="P216" s="27">
        <f>IF((L217=""),"",STDEV(D218:L218))</f>
        <v>478.62101450418533</v>
      </c>
      <c r="Q216" s="168">
        <f>IF((L217=""),"",((M216-N216)/(M216+P216))*100)</f>
        <v>12.979411919368305</v>
      </c>
      <c r="R216" s="28" t="str">
        <f>IF(L217="","",IF(Q216&lt;Z216,IF(N216&gt;V216,IF(M216&lt;W216,"Pass","Fail"),"Fail"),"Fail"))</f>
        <v>Pass</v>
      </c>
      <c r="S216" s="29">
        <v>1159</v>
      </c>
      <c r="T216" s="54" t="s">
        <v>174</v>
      </c>
      <c r="U216" s="40"/>
      <c r="V216" s="53">
        <v>9000</v>
      </c>
      <c r="W216" s="22">
        <v>15600</v>
      </c>
      <c r="X216" s="40">
        <v>8090</v>
      </c>
      <c r="Y216" s="40">
        <v>12070</v>
      </c>
      <c r="Z216" s="49">
        <v>15</v>
      </c>
      <c r="AA216" s="49">
        <v>6</v>
      </c>
    </row>
    <row r="217" spans="1:27" ht="15.75" customHeight="1">
      <c r="A217" s="94"/>
      <c r="B217" s="94"/>
      <c r="C217" s="30" t="s">
        <v>128</v>
      </c>
      <c r="D217" s="16">
        <v>25824.240000000002</v>
      </c>
      <c r="E217" s="16">
        <v>25511.15</v>
      </c>
      <c r="F217" s="16">
        <v>25523.99</v>
      </c>
      <c r="G217" s="16">
        <v>25386.1</v>
      </c>
      <c r="H217" s="16">
        <v>25552.32</v>
      </c>
      <c r="I217" s="16">
        <v>25928.67</v>
      </c>
      <c r="J217" s="16">
        <v>25575.78</v>
      </c>
      <c r="K217" s="16">
        <v>25390.1</v>
      </c>
      <c r="L217" s="16">
        <v>25411.69</v>
      </c>
      <c r="M217" s="31"/>
      <c r="N217" s="31"/>
      <c r="O217" s="31"/>
      <c r="P217" s="31"/>
      <c r="Q217" s="31"/>
      <c r="R217" s="32"/>
      <c r="S217" s="33"/>
      <c r="T217" s="55"/>
      <c r="V217" s="47"/>
      <c r="W217" s="47"/>
      <c r="X217" s="48"/>
      <c r="Y217" s="48"/>
      <c r="Z217" s="49"/>
      <c r="AA217" s="49"/>
    </row>
    <row r="218" spans="1:27" ht="16.5" customHeight="1" thickBot="1">
      <c r="A218" s="94"/>
      <c r="B218" s="94"/>
      <c r="C218" s="34" t="s">
        <v>129</v>
      </c>
      <c r="D218" s="35">
        <f t="shared" ref="D218:L218" si="68">IF(((D216="")*AND(D217="")),"",(D216-D217)*3)</f>
        <v>10124.159999999993</v>
      </c>
      <c r="E218" s="35">
        <f t="shared" si="68"/>
        <v>10533.719999999994</v>
      </c>
      <c r="F218" s="35">
        <f t="shared" si="68"/>
        <v>10705.739999999994</v>
      </c>
      <c r="G218" s="35">
        <f t="shared" si="68"/>
        <v>10915.98</v>
      </c>
      <c r="H218" s="35">
        <f t="shared" si="68"/>
        <v>11036.430000000004</v>
      </c>
      <c r="I218" s="35">
        <f t="shared" si="68"/>
        <v>9830.9700000000048</v>
      </c>
      <c r="J218" s="35">
        <f t="shared" si="68"/>
        <v>10392</v>
      </c>
      <c r="K218" s="35">
        <f t="shared" si="68"/>
        <v>10906.29</v>
      </c>
      <c r="L218" s="35">
        <f t="shared" si="68"/>
        <v>11368.680000000004</v>
      </c>
      <c r="M218" s="36"/>
      <c r="N218" s="36"/>
      <c r="O218" s="36"/>
      <c r="P218" s="36"/>
      <c r="Q218" s="36"/>
      <c r="R218" s="37"/>
      <c r="S218" s="38"/>
      <c r="T218" s="56"/>
      <c r="U218" s="51"/>
      <c r="V218" s="50"/>
      <c r="W218" s="50"/>
      <c r="X218" s="51"/>
      <c r="Y218" s="51"/>
      <c r="Z218" s="52"/>
      <c r="AA218" s="52"/>
    </row>
    <row r="219" spans="1:27">
      <c r="A219" s="95">
        <v>43011</v>
      </c>
      <c r="B219" s="115" t="s">
        <v>429</v>
      </c>
      <c r="C219" s="26" t="s">
        <v>126</v>
      </c>
      <c r="D219" s="16">
        <v>29123.51</v>
      </c>
      <c r="E219" s="16">
        <v>28984.76</v>
      </c>
      <c r="F219" s="16">
        <v>29053.1</v>
      </c>
      <c r="G219" s="16">
        <v>29004.14</v>
      </c>
      <c r="H219" s="16">
        <v>29228.73</v>
      </c>
      <c r="I219" s="16">
        <v>29172.63</v>
      </c>
      <c r="J219" s="16">
        <v>28986.99</v>
      </c>
      <c r="K219" s="16">
        <v>28977.58</v>
      </c>
      <c r="L219" s="16">
        <v>29179.13</v>
      </c>
      <c r="M219" s="27">
        <f>IF((L220=""),"",MAX(D221:L221))</f>
        <v>11219.52</v>
      </c>
      <c r="N219" s="27">
        <f>IF(L220="","",MIN(D221:L221))</f>
        <v>9742.4700000000048</v>
      </c>
      <c r="O219" s="27">
        <f>IF((L221=""),"",AVERAGE(D221:L221))</f>
        <v>10533.986666666666</v>
      </c>
      <c r="P219" s="27">
        <f>IF((L220=""),"",STDEV(D221:L221))</f>
        <v>500.0558264333925</v>
      </c>
      <c r="Q219" s="168">
        <f>IF((L220=""),"",((M219-N219)/(M219+P219))*100)</f>
        <v>12.603271840850445</v>
      </c>
      <c r="R219" s="28" t="str">
        <f>IF(L220="","",IF(Q219&lt;Z219,IF(N219&gt;V219,IF(M219&lt;W219,"Pass","Fail"),"Fail"),"Fail"))</f>
        <v>Pass</v>
      </c>
      <c r="S219" s="29" t="s">
        <v>175</v>
      </c>
      <c r="T219" s="54" t="s">
        <v>176</v>
      </c>
      <c r="U219" s="40"/>
      <c r="V219" s="53">
        <v>9000</v>
      </c>
      <c r="W219" s="22">
        <v>15600</v>
      </c>
      <c r="X219" s="40">
        <v>8090</v>
      </c>
      <c r="Y219" s="40">
        <v>12070</v>
      </c>
      <c r="Z219" s="49">
        <v>15</v>
      </c>
      <c r="AA219" s="49">
        <v>6</v>
      </c>
    </row>
    <row r="220" spans="1:27" ht="15.75" customHeight="1">
      <c r="A220" s="94"/>
      <c r="B220" s="94"/>
      <c r="C220" s="30" t="s">
        <v>128</v>
      </c>
      <c r="D220" s="16">
        <v>25775.63</v>
      </c>
      <c r="E220" s="16">
        <v>25496.54</v>
      </c>
      <c r="F220" s="16">
        <v>25578.06</v>
      </c>
      <c r="G220" s="16">
        <v>25377.16</v>
      </c>
      <c r="H220" s="16">
        <v>25544.639999999999</v>
      </c>
      <c r="I220" s="16">
        <v>25925.14</v>
      </c>
      <c r="J220" s="16">
        <v>25609.52</v>
      </c>
      <c r="K220" s="16">
        <v>25362.63</v>
      </c>
      <c r="L220" s="16">
        <v>25439.29</v>
      </c>
      <c r="M220" s="31"/>
      <c r="N220" s="31"/>
      <c r="O220" s="31"/>
      <c r="P220" s="31"/>
      <c r="Q220" s="31"/>
      <c r="R220" s="32"/>
      <c r="S220" s="33"/>
      <c r="T220" s="55"/>
      <c r="V220" s="47"/>
      <c r="W220" s="47"/>
      <c r="X220" s="48"/>
      <c r="Y220" s="48"/>
      <c r="Z220" s="49"/>
      <c r="AA220" s="49"/>
    </row>
    <row r="221" spans="1:27" ht="16.5" customHeight="1" thickBot="1">
      <c r="A221" s="94"/>
      <c r="B221" s="94"/>
      <c r="C221" s="34" t="s">
        <v>129</v>
      </c>
      <c r="D221" s="35">
        <f t="shared" ref="D221:L221" si="69">IF(((D219="")*AND(D220="")),"",(D219-D220)*3)</f>
        <v>10043.639999999992</v>
      </c>
      <c r="E221" s="35">
        <f t="shared" si="69"/>
        <v>10464.659999999993</v>
      </c>
      <c r="F221" s="35">
        <f t="shared" si="69"/>
        <v>10425.119999999992</v>
      </c>
      <c r="G221" s="35">
        <f t="shared" si="69"/>
        <v>10880.939999999999</v>
      </c>
      <c r="H221" s="35">
        <f t="shared" si="69"/>
        <v>11052.27</v>
      </c>
      <c r="I221" s="35">
        <f t="shared" si="69"/>
        <v>9742.4700000000048</v>
      </c>
      <c r="J221" s="35">
        <f t="shared" si="69"/>
        <v>10132.410000000003</v>
      </c>
      <c r="K221" s="35">
        <f t="shared" si="69"/>
        <v>10844.850000000002</v>
      </c>
      <c r="L221" s="35">
        <f t="shared" si="69"/>
        <v>11219.52</v>
      </c>
      <c r="M221" s="36"/>
      <c r="N221" s="36"/>
      <c r="O221" s="36"/>
      <c r="P221" s="36"/>
      <c r="Q221" s="36"/>
      <c r="R221" s="37"/>
      <c r="S221" s="38"/>
      <c r="T221" s="56"/>
      <c r="U221" s="51"/>
      <c r="V221" s="50"/>
      <c r="W221" s="50"/>
      <c r="X221" s="51"/>
      <c r="Y221" s="51"/>
      <c r="Z221" s="52"/>
      <c r="AA221" s="52"/>
    </row>
    <row r="222" spans="1:27">
      <c r="A222" s="95">
        <v>43012</v>
      </c>
      <c r="B222" s="115" t="s">
        <v>429</v>
      </c>
      <c r="C222" s="26" t="s">
        <v>126</v>
      </c>
      <c r="D222" s="16">
        <v>29454.49</v>
      </c>
      <c r="E222" s="16">
        <v>29279.09</v>
      </c>
      <c r="F222" s="16">
        <v>29299.24</v>
      </c>
      <c r="G222" s="16">
        <v>29272.54</v>
      </c>
      <c r="H222" s="16">
        <v>29515</v>
      </c>
      <c r="I222" s="16">
        <v>29429.53</v>
      </c>
      <c r="J222" s="16">
        <v>29258.66</v>
      </c>
      <c r="K222" s="16">
        <v>29268.61</v>
      </c>
      <c r="L222" s="16">
        <v>29522.9</v>
      </c>
      <c r="M222" s="27">
        <f>IF((L223=""),"",MAX(D224:L224))</f>
        <v>11826</v>
      </c>
      <c r="N222" s="27">
        <f>IF(L223="","",MIN(D224:L224))</f>
        <v>10212.449999999993</v>
      </c>
      <c r="O222" s="27">
        <f>IF((L224=""),"",AVERAGE(D224:L224))</f>
        <v>10984.833333333334</v>
      </c>
      <c r="P222" s="27">
        <f>IF((L223=""),"",STDEV(D224:L224))</f>
        <v>506.57783084140874</v>
      </c>
      <c r="Q222" s="168">
        <f>IF((L223=""),"",((M222-N222)/(M222+P222))*100)</f>
        <v>13.083639301791617</v>
      </c>
      <c r="R222" s="28" t="str">
        <f>IF(L223="","",IF(Q222&lt;Z222,IF(N222&gt;V222,IF(M222&lt;W222,"Pass","Fail"),"Fail"),"Fail"))</f>
        <v>Pass</v>
      </c>
      <c r="S222" s="29">
        <v>121</v>
      </c>
      <c r="T222" s="54"/>
      <c r="U222" s="40"/>
      <c r="V222" s="53">
        <v>9000</v>
      </c>
      <c r="W222" s="22">
        <v>15600</v>
      </c>
      <c r="X222" s="40">
        <v>8090</v>
      </c>
      <c r="Y222" s="40">
        <v>12070</v>
      </c>
      <c r="Z222" s="49">
        <v>15</v>
      </c>
      <c r="AA222" s="49">
        <v>6</v>
      </c>
    </row>
    <row r="223" spans="1:27" ht="15.75" customHeight="1">
      <c r="A223" s="94"/>
      <c r="B223" s="94"/>
      <c r="C223" s="30" t="s">
        <v>128</v>
      </c>
      <c r="D223" s="16">
        <v>25933.15</v>
      </c>
      <c r="E223" s="16">
        <v>25623.09</v>
      </c>
      <c r="F223" s="16">
        <v>25683.85</v>
      </c>
      <c r="G223" s="16">
        <v>25518.31</v>
      </c>
      <c r="H223" s="16">
        <v>25732.560000000001</v>
      </c>
      <c r="I223" s="16">
        <v>26025.38</v>
      </c>
      <c r="J223" s="16">
        <v>25755.57</v>
      </c>
      <c r="K223" s="16">
        <v>25492.75</v>
      </c>
      <c r="L223" s="16">
        <v>25580.9</v>
      </c>
      <c r="M223" s="31"/>
      <c r="N223" s="31"/>
      <c r="O223" s="31"/>
      <c r="P223" s="31"/>
      <c r="Q223" s="31"/>
      <c r="R223" s="32"/>
      <c r="S223" s="33"/>
      <c r="T223" s="55"/>
      <c r="V223" s="47"/>
      <c r="W223" s="47"/>
      <c r="X223" s="48"/>
      <c r="Y223" s="48"/>
      <c r="Z223" s="49"/>
      <c r="AA223" s="49"/>
    </row>
    <row r="224" spans="1:27" ht="16.5" customHeight="1" thickBot="1">
      <c r="A224" s="94"/>
      <c r="B224" s="94"/>
      <c r="C224" s="34" t="s">
        <v>129</v>
      </c>
      <c r="D224" s="35">
        <f t="shared" ref="D224:L224" si="70">IF(((D222="")*AND(D223="")),"",(D222-D223)*3)</f>
        <v>10564.02</v>
      </c>
      <c r="E224" s="35">
        <f t="shared" si="70"/>
        <v>10968</v>
      </c>
      <c r="F224" s="35">
        <f t="shared" si="70"/>
        <v>10846.170000000009</v>
      </c>
      <c r="G224" s="35">
        <f t="shared" si="70"/>
        <v>11262.689999999999</v>
      </c>
      <c r="H224" s="35">
        <f t="shared" si="70"/>
        <v>11347.319999999996</v>
      </c>
      <c r="I224" s="35">
        <f t="shared" si="70"/>
        <v>10212.449999999993</v>
      </c>
      <c r="J224" s="35">
        <f t="shared" si="70"/>
        <v>10509.27</v>
      </c>
      <c r="K224" s="35">
        <f t="shared" si="70"/>
        <v>11327.580000000002</v>
      </c>
      <c r="L224" s="35">
        <f t="shared" si="70"/>
        <v>11826</v>
      </c>
      <c r="M224" s="36"/>
      <c r="N224" s="36"/>
      <c r="O224" s="36"/>
      <c r="P224" s="36"/>
      <c r="Q224" s="36"/>
      <c r="R224" s="37"/>
      <c r="S224" s="38"/>
      <c r="T224" s="56"/>
      <c r="U224" s="51"/>
      <c r="V224" s="50"/>
      <c r="W224" s="50"/>
      <c r="X224" s="51"/>
      <c r="Y224" s="51"/>
      <c r="Z224" s="52"/>
      <c r="AA224" s="52"/>
    </row>
    <row r="225" spans="1:27">
      <c r="A225" s="95">
        <v>43017</v>
      </c>
      <c r="B225" s="115" t="s">
        <v>429</v>
      </c>
      <c r="C225" s="26" t="s">
        <v>126</v>
      </c>
      <c r="D225" s="16">
        <v>29403.4</v>
      </c>
      <c r="E225" s="16">
        <v>29225.73</v>
      </c>
      <c r="F225" s="16">
        <v>29302.33</v>
      </c>
      <c r="G225" s="16">
        <v>29250.12</v>
      </c>
      <c r="H225" s="16">
        <v>29454.26</v>
      </c>
      <c r="I225" s="16">
        <v>29412.46</v>
      </c>
      <c r="J225" s="16">
        <v>29226.74</v>
      </c>
      <c r="K225" s="16">
        <v>29240.57</v>
      </c>
      <c r="L225" s="16">
        <v>29450.94</v>
      </c>
      <c r="M225" s="27">
        <f>IF((L226=""),"",MAX(D227:L227))</f>
        <v>11997.449999999993</v>
      </c>
      <c r="N225" s="27">
        <f>IF(L226="","",MIN(D227:L227))</f>
        <v>10375.469999999994</v>
      </c>
      <c r="O225" s="27">
        <f>IF((L227=""),"",AVERAGE(D227:L227))</f>
        <v>11170.79</v>
      </c>
      <c r="P225" s="27">
        <f>IF((L226=""),"",STDEV(D227:L227))</f>
        <v>519.74656189337691</v>
      </c>
      <c r="Q225" s="168">
        <f>IF((L226=""),"",((M225-N225)/(M225+P225))*100)</f>
        <v>12.958013337729806</v>
      </c>
      <c r="R225" s="28" t="str">
        <f>IF(L226="","",IF(Q225&lt;Z225,IF(N225&gt;V225,IF(M225&lt;W225,"Pass","Fail"),"Fail"),"Fail"))</f>
        <v>Pass</v>
      </c>
      <c r="S225" s="29">
        <v>1428</v>
      </c>
      <c r="T225" s="54" t="s">
        <v>177</v>
      </c>
      <c r="U225" s="40"/>
      <c r="V225" s="53">
        <v>9000</v>
      </c>
      <c r="W225" s="22">
        <v>15600</v>
      </c>
      <c r="X225" s="40">
        <v>8090</v>
      </c>
      <c r="Y225" s="40">
        <v>12070</v>
      </c>
      <c r="Z225" s="49">
        <v>15</v>
      </c>
      <c r="AA225" s="49">
        <v>6</v>
      </c>
    </row>
    <row r="226" spans="1:27" ht="15.75" customHeight="1">
      <c r="A226" s="94"/>
      <c r="B226" s="94"/>
      <c r="C226" s="30" t="s">
        <v>128</v>
      </c>
      <c r="D226" s="16">
        <v>25852.14</v>
      </c>
      <c r="E226" s="16">
        <v>25542.48</v>
      </c>
      <c r="F226" s="16">
        <v>25599.91</v>
      </c>
      <c r="G226" s="16">
        <v>25420.62</v>
      </c>
      <c r="H226" s="16">
        <v>25591.45</v>
      </c>
      <c r="I226" s="16">
        <v>25953.97</v>
      </c>
      <c r="J226" s="16">
        <v>25639.1</v>
      </c>
      <c r="K226" s="16">
        <v>25402.720000000001</v>
      </c>
      <c r="L226" s="16">
        <v>25451.79</v>
      </c>
      <c r="M226" s="31"/>
      <c r="N226" s="31"/>
      <c r="O226" s="31"/>
      <c r="P226" s="31"/>
      <c r="Q226" s="31"/>
      <c r="R226" s="32"/>
      <c r="S226" s="33"/>
      <c r="T226" s="55"/>
      <c r="V226" s="47"/>
      <c r="W226" s="47"/>
      <c r="X226" s="48"/>
      <c r="Y226" s="48"/>
      <c r="Z226" s="49"/>
      <c r="AA226" s="49"/>
    </row>
    <row r="227" spans="1:27" ht="16.5" customHeight="1" thickBot="1">
      <c r="A227" s="94"/>
      <c r="B227" s="94"/>
      <c r="C227" s="34" t="s">
        <v>129</v>
      </c>
      <c r="D227" s="35">
        <f t="shared" ref="D227:L227" si="71">IF(((D225="")*AND(D226="")),"",(D225-D226)*3)</f>
        <v>10653.780000000006</v>
      </c>
      <c r="E227" s="35">
        <f t="shared" si="71"/>
        <v>11049.75</v>
      </c>
      <c r="F227" s="35">
        <f t="shared" si="71"/>
        <v>11107.260000000006</v>
      </c>
      <c r="G227" s="35">
        <f t="shared" si="71"/>
        <v>11488.5</v>
      </c>
      <c r="H227" s="35">
        <f t="shared" si="71"/>
        <v>11588.429999999993</v>
      </c>
      <c r="I227" s="35">
        <f t="shared" si="71"/>
        <v>10375.469999999994</v>
      </c>
      <c r="J227" s="35">
        <f t="shared" si="71"/>
        <v>10762.920000000009</v>
      </c>
      <c r="K227" s="35">
        <f t="shared" si="71"/>
        <v>11513.549999999996</v>
      </c>
      <c r="L227" s="35">
        <f t="shared" si="71"/>
        <v>11997.449999999993</v>
      </c>
      <c r="M227" s="36"/>
      <c r="N227" s="36"/>
      <c r="O227" s="36"/>
      <c r="P227" s="36"/>
      <c r="Q227" s="36"/>
      <c r="R227" s="37"/>
      <c r="S227" s="38"/>
      <c r="T227" s="56"/>
      <c r="U227" s="51"/>
      <c r="V227" s="50"/>
      <c r="W227" s="50"/>
      <c r="X227" s="51"/>
      <c r="Y227" s="51"/>
      <c r="Z227" s="52"/>
      <c r="AA227" s="52"/>
    </row>
    <row r="228" spans="1:27">
      <c r="A228" s="95">
        <v>43023</v>
      </c>
      <c r="B228" s="115" t="s">
        <v>429</v>
      </c>
      <c r="C228" s="26" t="s">
        <v>126</v>
      </c>
      <c r="D228" s="16">
        <v>29295.63</v>
      </c>
      <c r="E228" s="16">
        <v>29136.46</v>
      </c>
      <c r="F228" s="16">
        <v>29151.74</v>
      </c>
      <c r="G228" s="16">
        <v>29173.31</v>
      </c>
      <c r="H228" s="16">
        <v>29429.74</v>
      </c>
      <c r="I228" s="16">
        <v>29288.37</v>
      </c>
      <c r="J228" s="16">
        <v>29140.93</v>
      </c>
      <c r="K228" s="16">
        <v>29158.46</v>
      </c>
      <c r="L228" s="16">
        <v>29382.11</v>
      </c>
      <c r="M228" s="27">
        <f>IF((L229=""),"",MAX(D230:L230))</f>
        <v>10926.870000000003</v>
      </c>
      <c r="N228" s="27">
        <f>IF(L229="","",MIN(D230:L230))</f>
        <v>9389.429999999993</v>
      </c>
      <c r="O228" s="27">
        <f>IF((L230=""),"",AVERAGE(D230:L230))</f>
        <v>10164.113333333333</v>
      </c>
      <c r="P228" s="27">
        <f>IF((L229=""),"",STDEV(D230:L230))</f>
        <v>498.99616205940896</v>
      </c>
      <c r="Q228" s="168">
        <f>IF((L229=""),"",((M228-N228)/(M228+P228))*100)</f>
        <v>13.455785129929263</v>
      </c>
      <c r="R228" s="28" t="str">
        <f>IF(L229="","",IF(Q228&lt;Z228,IF(N228&gt;V228,IF(M228&lt;W228,"Pass","Fail"),"Fail"),"Fail"))</f>
        <v>Pass</v>
      </c>
      <c r="S228" s="29">
        <v>121</v>
      </c>
      <c r="T228" s="54"/>
      <c r="U228" s="40"/>
      <c r="V228" s="53">
        <v>9000</v>
      </c>
      <c r="W228" s="22">
        <v>15600</v>
      </c>
      <c r="X228" s="40">
        <v>8090</v>
      </c>
      <c r="Y228" s="40">
        <v>12070</v>
      </c>
      <c r="Z228" s="49">
        <v>15</v>
      </c>
      <c r="AA228" s="49">
        <v>6</v>
      </c>
    </row>
    <row r="229" spans="1:27" ht="15.75" customHeight="1">
      <c r="A229" s="94"/>
      <c r="B229" s="94"/>
      <c r="C229" s="30" t="s">
        <v>128</v>
      </c>
      <c r="D229" s="16">
        <v>26074.81</v>
      </c>
      <c r="E229" s="16">
        <v>25770.5</v>
      </c>
      <c r="F229" s="16">
        <v>25794.86</v>
      </c>
      <c r="G229" s="16">
        <v>25681.48</v>
      </c>
      <c r="H229" s="16">
        <v>25914.67</v>
      </c>
      <c r="I229" s="16">
        <v>26158.560000000001</v>
      </c>
      <c r="J229" s="16">
        <v>25885.81</v>
      </c>
      <c r="K229" s="16">
        <v>25643.9</v>
      </c>
      <c r="L229" s="16">
        <v>25739.82</v>
      </c>
      <c r="M229" s="31"/>
      <c r="N229" s="31"/>
      <c r="O229" s="31"/>
      <c r="P229" s="31"/>
      <c r="Q229" s="31"/>
      <c r="R229" s="32"/>
      <c r="S229" s="33"/>
      <c r="T229" s="55"/>
      <c r="V229" s="47"/>
      <c r="W229" s="47"/>
      <c r="X229" s="48"/>
      <c r="Y229" s="48"/>
      <c r="Z229" s="49"/>
      <c r="AA229" s="49"/>
    </row>
    <row r="230" spans="1:27" ht="16.5" customHeight="1" thickBot="1">
      <c r="A230" s="94"/>
      <c r="B230" s="94"/>
      <c r="C230" s="34" t="s">
        <v>129</v>
      </c>
      <c r="D230" s="35">
        <f t="shared" ref="D230:L230" si="72">IF(((D228="")*AND(D229="")),"",(D228-D229)*3)</f>
        <v>9662.4599999999991</v>
      </c>
      <c r="E230" s="35">
        <f t="shared" si="72"/>
        <v>10097.879999999997</v>
      </c>
      <c r="F230" s="35">
        <f t="shared" si="72"/>
        <v>10070.640000000003</v>
      </c>
      <c r="G230" s="35">
        <f t="shared" si="72"/>
        <v>10475.490000000005</v>
      </c>
      <c r="H230" s="35">
        <f t="shared" si="72"/>
        <v>10545.21000000001</v>
      </c>
      <c r="I230" s="35">
        <f t="shared" si="72"/>
        <v>9389.429999999993</v>
      </c>
      <c r="J230" s="35">
        <f t="shared" si="72"/>
        <v>9765.3599999999969</v>
      </c>
      <c r="K230" s="35">
        <f t="shared" si="72"/>
        <v>10543.679999999993</v>
      </c>
      <c r="L230" s="35">
        <f t="shared" si="72"/>
        <v>10926.870000000003</v>
      </c>
      <c r="M230" s="36"/>
      <c r="N230" s="36"/>
      <c r="O230" s="36"/>
      <c r="P230" s="36"/>
      <c r="Q230" s="36"/>
      <c r="R230" s="37"/>
      <c r="S230" s="38"/>
      <c r="T230" s="56"/>
      <c r="U230" s="51"/>
      <c r="V230" s="50"/>
      <c r="W230" s="50"/>
      <c r="X230" s="51"/>
      <c r="Y230" s="51"/>
      <c r="Z230" s="52"/>
      <c r="AA230" s="52"/>
    </row>
    <row r="231" spans="1:27">
      <c r="A231" s="95">
        <v>43028</v>
      </c>
      <c r="B231" s="115" t="s">
        <v>429</v>
      </c>
      <c r="C231" s="26" t="s">
        <v>126</v>
      </c>
      <c r="D231" s="16">
        <v>29278.46</v>
      </c>
      <c r="E231" s="16">
        <v>29129.17</v>
      </c>
      <c r="F231" s="16">
        <v>29176.57</v>
      </c>
      <c r="G231" s="16">
        <v>29132.22</v>
      </c>
      <c r="H231" s="16">
        <v>29383.74</v>
      </c>
      <c r="I231" s="16">
        <v>29272.78</v>
      </c>
      <c r="J231" s="16">
        <v>29100.49</v>
      </c>
      <c r="K231" s="16">
        <v>29127.38</v>
      </c>
      <c r="L231" s="16">
        <v>29378.32</v>
      </c>
      <c r="M231" s="27">
        <f>IF((L232=""),"",MAX(D233:L233))</f>
        <v>11439.509999999995</v>
      </c>
      <c r="N231" s="27">
        <f>IF(L232="","",MIN(D233:L233))</f>
        <v>9933.5099999999948</v>
      </c>
      <c r="O231" s="27">
        <f>IF((L233=""),"",AVERAGE(D233:L233))</f>
        <v>10662.306666666667</v>
      </c>
      <c r="P231" s="27">
        <f>IF((L232=""),"",STDEV(D233:L233))</f>
        <v>461.96829869589158</v>
      </c>
      <c r="Q231" s="168">
        <f>IF((L232=""),"",((M231-N231)/(M231+P231))*100)</f>
        <v>12.653890232821086</v>
      </c>
      <c r="R231" s="28" t="str">
        <f>IF(L232="","",IF(Q231&lt;Z231,IF(N231&gt;V231,IF(M231&lt;W231,"Pass","Fail"),"Fail"),"Fail"))</f>
        <v>Pass</v>
      </c>
      <c r="S231" s="29">
        <v>121</v>
      </c>
      <c r="T231" s="54"/>
      <c r="U231" s="40"/>
      <c r="V231" s="53">
        <v>9000</v>
      </c>
      <c r="W231" s="22">
        <v>15600</v>
      </c>
      <c r="X231" s="40">
        <v>8090</v>
      </c>
      <c r="Y231" s="40">
        <v>12070</v>
      </c>
      <c r="Z231" s="49">
        <v>15</v>
      </c>
      <c r="AA231" s="49">
        <v>6</v>
      </c>
    </row>
    <row r="232" spans="1:27" ht="15.75" customHeight="1">
      <c r="A232" s="94"/>
      <c r="B232" s="94"/>
      <c r="C232" s="30" t="s">
        <v>128</v>
      </c>
      <c r="D232" s="16">
        <v>25838.58</v>
      </c>
      <c r="E232" s="16">
        <v>25580.47</v>
      </c>
      <c r="F232" s="16">
        <v>25656.01</v>
      </c>
      <c r="G232" s="16">
        <v>25496.32</v>
      </c>
      <c r="H232" s="16">
        <v>25726.17</v>
      </c>
      <c r="I232" s="16">
        <v>25961.61</v>
      </c>
      <c r="J232" s="16">
        <v>25694.62</v>
      </c>
      <c r="K232" s="16">
        <v>25473.279999999999</v>
      </c>
      <c r="L232" s="16">
        <v>25565.15</v>
      </c>
      <c r="M232" s="31"/>
      <c r="N232" s="31"/>
      <c r="O232" s="31"/>
      <c r="P232" s="31"/>
      <c r="Q232" s="31"/>
      <c r="R232" s="32"/>
      <c r="S232" s="33"/>
      <c r="T232" s="55"/>
      <c r="V232" s="47"/>
      <c r="W232" s="47"/>
      <c r="X232" s="48"/>
      <c r="Y232" s="48"/>
      <c r="Z232" s="49"/>
      <c r="AA232" s="49"/>
    </row>
    <row r="233" spans="1:27" ht="16.5" customHeight="1" thickBot="1">
      <c r="A233" s="94"/>
      <c r="B233" s="94"/>
      <c r="C233" s="34" t="s">
        <v>129</v>
      </c>
      <c r="D233" s="35">
        <f t="shared" ref="D233:L233" si="73">IF(((D231="")*AND(D232="")),"",(D231-D232)*3)</f>
        <v>10319.639999999992</v>
      </c>
      <c r="E233" s="35">
        <f t="shared" si="73"/>
        <v>10646.099999999991</v>
      </c>
      <c r="F233" s="35">
        <f t="shared" si="73"/>
        <v>10561.680000000004</v>
      </c>
      <c r="G233" s="35">
        <f t="shared" si="73"/>
        <v>10907.700000000004</v>
      </c>
      <c r="H233" s="35">
        <f t="shared" si="73"/>
        <v>10972.71000000001</v>
      </c>
      <c r="I233" s="35">
        <f t="shared" si="73"/>
        <v>9933.5099999999948</v>
      </c>
      <c r="J233" s="35">
        <f t="shared" si="73"/>
        <v>10217.610000000008</v>
      </c>
      <c r="K233" s="35">
        <f t="shared" si="73"/>
        <v>10962.300000000007</v>
      </c>
      <c r="L233" s="35">
        <f t="shared" si="73"/>
        <v>11439.509999999995</v>
      </c>
      <c r="M233" s="36"/>
      <c r="N233" s="36"/>
      <c r="O233" s="36"/>
      <c r="P233" s="36"/>
      <c r="Q233" s="36"/>
      <c r="R233" s="37"/>
      <c r="S233" s="38"/>
      <c r="T233" s="56"/>
      <c r="U233" s="51"/>
      <c r="V233" s="50"/>
      <c r="W233" s="50"/>
      <c r="X233" s="51"/>
      <c r="Y233" s="51"/>
      <c r="Z233" s="52"/>
      <c r="AA233" s="52"/>
    </row>
    <row r="234" spans="1:27">
      <c r="A234" s="95">
        <v>43032</v>
      </c>
      <c r="B234" s="115" t="s">
        <v>429</v>
      </c>
      <c r="C234" s="26" t="s">
        <v>126</v>
      </c>
      <c r="D234" s="16">
        <v>29238.29</v>
      </c>
      <c r="E234" s="16">
        <v>29054.84</v>
      </c>
      <c r="F234" s="16">
        <v>29072.11</v>
      </c>
      <c r="G234" s="16">
        <v>29072.74</v>
      </c>
      <c r="H234" s="16">
        <v>29308.29</v>
      </c>
      <c r="I234" s="16">
        <v>29230.19</v>
      </c>
      <c r="J234" s="16">
        <v>29057.5</v>
      </c>
      <c r="K234" s="16">
        <v>29068.97</v>
      </c>
      <c r="L234" s="16">
        <v>29287.93</v>
      </c>
      <c r="M234" s="27">
        <f>IF((L235=""),"",MAX(D236:L236))</f>
        <v>11731.589999999997</v>
      </c>
      <c r="N234" s="27">
        <f>IF(L235="","",MIN(D236:L236))</f>
        <v>10220.579999999991</v>
      </c>
      <c r="O234" s="27">
        <f>IF((L236=""),"",AVERAGE(D236:L236))</f>
        <v>10926.610000000002</v>
      </c>
      <c r="P234" s="27">
        <f>IF((L235=""),"",STDEV(D236:L236))</f>
        <v>453.63502072150192</v>
      </c>
      <c r="Q234" s="168">
        <f>IF((L235=""),"",((M234-N234)/(M234+P234))*100)</f>
        <v>12.400345479303569</v>
      </c>
      <c r="R234" s="28" t="str">
        <f>IF(L235="","",IF(Q234&lt;Z234,IF(N234&gt;V234,IF(M234&lt;W234,"Pass","Fail"),"Fail"),"Fail"))</f>
        <v>Pass</v>
      </c>
      <c r="S234" s="29">
        <v>1159</v>
      </c>
      <c r="T234" s="54"/>
      <c r="U234" s="40"/>
      <c r="V234" s="53">
        <v>9000</v>
      </c>
      <c r="W234" s="22">
        <v>15600</v>
      </c>
      <c r="X234" s="40">
        <v>8090</v>
      </c>
      <c r="Y234" s="40">
        <v>12070</v>
      </c>
      <c r="Z234" s="49">
        <v>15</v>
      </c>
      <c r="AA234" s="49">
        <v>6</v>
      </c>
    </row>
    <row r="235" spans="1:27" ht="15.75" customHeight="1">
      <c r="A235" s="94"/>
      <c r="B235" s="94"/>
      <c r="C235" s="30" t="s">
        <v>128</v>
      </c>
      <c r="D235" s="16">
        <v>25704.76</v>
      </c>
      <c r="E235" s="16">
        <v>25429.55</v>
      </c>
      <c r="F235" s="16">
        <v>25470.58</v>
      </c>
      <c r="G235" s="16">
        <v>25356.39</v>
      </c>
      <c r="H235" s="16">
        <v>25584.94</v>
      </c>
      <c r="I235" s="16">
        <v>25823.33</v>
      </c>
      <c r="J235" s="16">
        <v>25547.67</v>
      </c>
      <c r="K235" s="16">
        <v>25316.41</v>
      </c>
      <c r="L235" s="16">
        <v>25377.4</v>
      </c>
      <c r="M235" s="31"/>
      <c r="N235" s="31"/>
      <c r="O235" s="31"/>
      <c r="P235" s="31"/>
      <c r="Q235" s="31"/>
      <c r="R235" s="32"/>
      <c r="S235" s="33"/>
      <c r="T235" s="55"/>
      <c r="V235" s="47"/>
      <c r="W235" s="47"/>
      <c r="X235" s="48"/>
      <c r="Y235" s="48"/>
      <c r="Z235" s="49"/>
      <c r="AA235" s="49"/>
    </row>
    <row r="236" spans="1:27" ht="16.5" customHeight="1" thickBot="1">
      <c r="A236" s="94"/>
      <c r="B236" s="94"/>
      <c r="C236" s="34" t="s">
        <v>129</v>
      </c>
      <c r="D236" s="35">
        <f t="shared" ref="D236:L236" si="74">IF(((D234="")*AND(D235="")),"",(D234-D235)*3)</f>
        <v>10600.590000000007</v>
      </c>
      <c r="E236" s="35">
        <f t="shared" si="74"/>
        <v>10875.870000000003</v>
      </c>
      <c r="F236" s="35">
        <f t="shared" si="74"/>
        <v>10804.589999999997</v>
      </c>
      <c r="G236" s="35">
        <f t="shared" si="74"/>
        <v>11149.050000000007</v>
      </c>
      <c r="H236" s="35">
        <f t="shared" si="74"/>
        <v>11170.050000000007</v>
      </c>
      <c r="I236" s="35">
        <f t="shared" si="74"/>
        <v>10220.579999999991</v>
      </c>
      <c r="J236" s="35">
        <f t="shared" si="74"/>
        <v>10529.490000000005</v>
      </c>
      <c r="K236" s="35">
        <f t="shared" si="74"/>
        <v>11257.680000000004</v>
      </c>
      <c r="L236" s="35">
        <f t="shared" si="74"/>
        <v>11731.589999999997</v>
      </c>
      <c r="M236" s="36"/>
      <c r="N236" s="36"/>
      <c r="O236" s="36"/>
      <c r="P236" s="36"/>
      <c r="Q236" s="36"/>
      <c r="R236" s="37"/>
      <c r="S236" s="38"/>
      <c r="T236" s="56"/>
      <c r="U236" s="51"/>
      <c r="V236" s="50"/>
      <c r="W236" s="50"/>
      <c r="X236" s="51"/>
      <c r="Y236" s="51"/>
      <c r="Z236" s="52"/>
      <c r="AA236" s="52"/>
    </row>
    <row r="237" spans="1:27">
      <c r="A237" s="95">
        <v>43038</v>
      </c>
      <c r="B237" s="115" t="s">
        <v>429</v>
      </c>
      <c r="C237" s="26" t="s">
        <v>126</v>
      </c>
      <c r="D237" s="16">
        <v>29278.5</v>
      </c>
      <c r="E237" s="16">
        <v>29084.75</v>
      </c>
      <c r="F237" s="16">
        <v>29081.97</v>
      </c>
      <c r="G237" s="16">
        <v>29067.79</v>
      </c>
      <c r="H237" s="16">
        <v>29226.94</v>
      </c>
      <c r="I237" s="16">
        <v>29265.84</v>
      </c>
      <c r="J237" s="16">
        <v>29063.73</v>
      </c>
      <c r="K237" s="16">
        <v>29085.57</v>
      </c>
      <c r="L237" s="16">
        <v>29287.08</v>
      </c>
      <c r="M237" s="27">
        <f>IF((L238=""),"",MAX(D239:L239))</f>
        <v>10670.73</v>
      </c>
      <c r="N237" s="27">
        <f>IF(L238="","",MIN(D239:L239))</f>
        <v>9345.7200000000048</v>
      </c>
      <c r="O237" s="27">
        <f>IF((L239=""),"",AVERAGE(D239:L239))</f>
        <v>9937.9766666666674</v>
      </c>
      <c r="P237" s="27">
        <f>IF((L238=""),"",STDEV(D239:L239))</f>
        <v>465.80093959220392</v>
      </c>
      <c r="Q237" s="168">
        <f>IF((L238=""),"",((M237-N237)/(M237+P237))*100)</f>
        <v>11.897870236137591</v>
      </c>
      <c r="R237" s="28" t="str">
        <f>IF(L238="","",IF(Q237&lt;Z237,IF(N237&gt;V237,IF(M237&lt;W237,"Pass","Fail"),"Fail"),"Fail"))</f>
        <v>Pass</v>
      </c>
      <c r="S237" s="29">
        <v>64</v>
      </c>
      <c r="T237" s="54"/>
      <c r="U237" s="40"/>
      <c r="V237" s="53">
        <v>9000</v>
      </c>
      <c r="W237" s="22">
        <v>15600</v>
      </c>
      <c r="X237" s="40">
        <v>8090</v>
      </c>
      <c r="Y237" s="40">
        <v>12070</v>
      </c>
      <c r="Z237" s="49">
        <v>15</v>
      </c>
      <c r="AA237" s="49">
        <v>6</v>
      </c>
    </row>
    <row r="238" spans="1:27" ht="15.75" customHeight="1">
      <c r="A238" s="94"/>
      <c r="B238" s="94"/>
      <c r="C238" s="30" t="s">
        <v>128</v>
      </c>
      <c r="D238" s="16">
        <v>25833.58</v>
      </c>
      <c r="E238" s="16">
        <v>25666.81</v>
      </c>
      <c r="F238" s="16">
        <v>25816.51</v>
      </c>
      <c r="G238" s="16">
        <v>25786.74</v>
      </c>
      <c r="H238" s="16">
        <v>26111.119999999999</v>
      </c>
      <c r="I238" s="16">
        <v>25708.93</v>
      </c>
      <c r="J238" s="16">
        <v>25646.71</v>
      </c>
      <c r="K238" s="16">
        <v>25886</v>
      </c>
      <c r="L238" s="16">
        <v>26171.84</v>
      </c>
      <c r="M238" s="31"/>
      <c r="N238" s="31"/>
      <c r="O238" s="31"/>
      <c r="P238" s="31"/>
      <c r="Q238" s="31"/>
      <c r="R238" s="32"/>
      <c r="S238" s="33"/>
      <c r="T238" s="55"/>
      <c r="V238" s="47"/>
      <c r="W238" s="47"/>
      <c r="X238" s="48"/>
      <c r="Y238" s="48"/>
      <c r="Z238" s="49"/>
      <c r="AA238" s="49"/>
    </row>
    <row r="239" spans="1:27" ht="16.5" customHeight="1" thickBot="1">
      <c r="A239" s="94"/>
      <c r="B239" s="94"/>
      <c r="C239" s="34" t="s">
        <v>129</v>
      </c>
      <c r="D239" s="35">
        <f t="shared" ref="D239:L239" si="75">IF(((D237="")*AND(D238="")),"",(D237-D238)*3)</f>
        <v>10334.759999999995</v>
      </c>
      <c r="E239" s="35">
        <f t="shared" si="75"/>
        <v>10253.819999999996</v>
      </c>
      <c r="F239" s="35">
        <f t="shared" si="75"/>
        <v>9796.3800000000083</v>
      </c>
      <c r="G239" s="35">
        <f t="shared" si="75"/>
        <v>9843.1499999999978</v>
      </c>
      <c r="H239" s="35">
        <f t="shared" si="75"/>
        <v>9347.4599999999991</v>
      </c>
      <c r="I239" s="35">
        <f t="shared" si="75"/>
        <v>10670.73</v>
      </c>
      <c r="J239" s="35">
        <f t="shared" si="75"/>
        <v>10251.060000000001</v>
      </c>
      <c r="K239" s="35">
        <f t="shared" si="75"/>
        <v>9598.7099999999991</v>
      </c>
      <c r="L239" s="35">
        <f t="shared" si="75"/>
        <v>9345.7200000000048</v>
      </c>
      <c r="M239" s="36"/>
      <c r="N239" s="36"/>
      <c r="O239" s="36"/>
      <c r="P239" s="36"/>
      <c r="Q239" s="36"/>
      <c r="R239" s="37"/>
      <c r="S239" s="38"/>
      <c r="T239" s="56"/>
      <c r="U239" s="51"/>
      <c r="V239" s="50"/>
      <c r="W239" s="50"/>
      <c r="X239" s="51"/>
      <c r="Y239" s="51"/>
      <c r="Z239" s="52"/>
      <c r="AA239" s="52"/>
    </row>
    <row r="240" spans="1:27">
      <c r="A240" s="95">
        <v>43040</v>
      </c>
      <c r="B240" s="115" t="s">
        <v>429</v>
      </c>
      <c r="C240" s="26" t="s">
        <v>126</v>
      </c>
      <c r="D240" s="16">
        <v>29233.8</v>
      </c>
      <c r="E240" s="16">
        <v>29054.15</v>
      </c>
      <c r="F240" s="16">
        <v>29047.98</v>
      </c>
      <c r="G240" s="16">
        <v>29048.7</v>
      </c>
      <c r="H240" s="16">
        <v>29264.93</v>
      </c>
      <c r="I240" s="16">
        <v>29194.31</v>
      </c>
      <c r="J240" s="16">
        <v>29039.24</v>
      </c>
      <c r="K240" s="16">
        <v>29044.78</v>
      </c>
      <c r="L240" s="16">
        <v>29287.78</v>
      </c>
      <c r="M240" s="27">
        <f>IF((L241=""),"",MAX(D242:L242))</f>
        <v>10304.370000000003</v>
      </c>
      <c r="N240" s="27">
        <f>IF(L241="","",MIN(D242:L242))</f>
        <v>9078.1199999999917</v>
      </c>
      <c r="O240" s="27">
        <f>IF((L242=""),"",AVERAGE(D242:L242))</f>
        <v>9700.4233333333341</v>
      </c>
      <c r="P240" s="27">
        <f>IF((L241=""),"",STDEV(D242:L242))</f>
        <v>414.48508947847029</v>
      </c>
      <c r="Q240" s="168">
        <f>IF((L241=""),"",((M240-N240)/(M240+P240))*100)</f>
        <v>11.440121074159183</v>
      </c>
      <c r="R240" s="28" t="str">
        <f>IF(L241="","",IF(Q240&lt;Z240,IF(N240&gt;V240,IF(M240&lt;W240,"Pass","Fail"),"Fail"),"Fail"))</f>
        <v>Pass</v>
      </c>
      <c r="S240" s="29">
        <v>1335</v>
      </c>
      <c r="T240" s="54"/>
      <c r="U240" s="40"/>
      <c r="V240" s="53">
        <v>9000</v>
      </c>
      <c r="W240" s="22">
        <v>15600</v>
      </c>
      <c r="X240" s="40">
        <v>8090</v>
      </c>
      <c r="Y240" s="40">
        <v>12070</v>
      </c>
      <c r="Z240" s="49">
        <v>15</v>
      </c>
      <c r="AA240" s="49">
        <v>6</v>
      </c>
    </row>
    <row r="241" spans="1:27" ht="15.75" customHeight="1">
      <c r="A241" s="94"/>
      <c r="B241" s="94"/>
      <c r="C241" s="30" t="s">
        <v>128</v>
      </c>
      <c r="D241" s="16">
        <v>25871.439999999999</v>
      </c>
      <c r="E241" s="16">
        <v>25726.11</v>
      </c>
      <c r="F241" s="16">
        <v>25866.959999999999</v>
      </c>
      <c r="G241" s="16">
        <v>25815.83</v>
      </c>
      <c r="H241" s="16">
        <v>26151.94</v>
      </c>
      <c r="I241" s="16">
        <v>25759.52</v>
      </c>
      <c r="J241" s="16">
        <v>25715.03</v>
      </c>
      <c r="K241" s="16">
        <v>25945.83</v>
      </c>
      <c r="L241" s="16">
        <v>26261.74</v>
      </c>
      <c r="M241" s="31"/>
      <c r="N241" s="31"/>
      <c r="O241" s="31"/>
      <c r="P241" s="31"/>
      <c r="Q241" s="31"/>
      <c r="R241" s="32"/>
      <c r="S241" s="33"/>
      <c r="T241" s="55"/>
      <c r="V241" s="47"/>
      <c r="W241" s="47"/>
      <c r="X241" s="48"/>
      <c r="Y241" s="48"/>
      <c r="Z241" s="49"/>
      <c r="AA241" s="49"/>
    </row>
    <row r="242" spans="1:27" ht="16.5" customHeight="1" thickBot="1">
      <c r="A242" s="94"/>
      <c r="B242" s="94"/>
      <c r="C242" s="34" t="s">
        <v>129</v>
      </c>
      <c r="D242" s="35">
        <f t="shared" ref="D242:L242" si="76">IF(((D240="")*AND(D241="")),"",(D240-D241)*3)</f>
        <v>10087.080000000002</v>
      </c>
      <c r="E242" s="35">
        <f t="shared" si="76"/>
        <v>9984.1200000000026</v>
      </c>
      <c r="F242" s="35">
        <f t="shared" si="76"/>
        <v>9543.0600000000013</v>
      </c>
      <c r="G242" s="35">
        <f t="shared" si="76"/>
        <v>9698.6099999999969</v>
      </c>
      <c r="H242" s="35">
        <f t="shared" si="76"/>
        <v>9338.9700000000048</v>
      </c>
      <c r="I242" s="35">
        <f t="shared" si="76"/>
        <v>10304.370000000003</v>
      </c>
      <c r="J242" s="35">
        <f t="shared" si="76"/>
        <v>9972.6300000000083</v>
      </c>
      <c r="K242" s="35">
        <f t="shared" si="76"/>
        <v>9296.8499999999913</v>
      </c>
      <c r="L242" s="35">
        <f t="shared" si="76"/>
        <v>9078.1199999999917</v>
      </c>
      <c r="M242" s="36"/>
      <c r="N242" s="36"/>
      <c r="O242" s="36"/>
      <c r="P242" s="36"/>
      <c r="Q242" s="36"/>
      <c r="R242" s="37"/>
      <c r="S242" s="38"/>
      <c r="T242" s="56"/>
      <c r="U242" s="51"/>
      <c r="V242" s="50"/>
      <c r="W242" s="50"/>
      <c r="X242" s="51"/>
      <c r="Y242" s="51"/>
      <c r="Z242" s="52"/>
      <c r="AA242" s="52"/>
    </row>
    <row r="243" spans="1:27">
      <c r="A243" s="95">
        <v>43042</v>
      </c>
      <c r="B243" s="115" t="s">
        <v>429</v>
      </c>
      <c r="C243" s="26" t="s">
        <v>126</v>
      </c>
      <c r="D243" s="16">
        <v>29184.48</v>
      </c>
      <c r="E243" s="16">
        <v>29020.28</v>
      </c>
      <c r="F243" s="16">
        <v>29051.97</v>
      </c>
      <c r="G243" s="16">
        <v>29018.82</v>
      </c>
      <c r="H243" s="16">
        <v>29275.03</v>
      </c>
      <c r="I243" s="16">
        <v>29155.4</v>
      </c>
      <c r="J243" s="16">
        <v>29022.62</v>
      </c>
      <c r="K243" s="16">
        <v>29020.44</v>
      </c>
      <c r="L243" s="16">
        <v>29266.87</v>
      </c>
      <c r="M243" s="27">
        <f>IF((L244=""),"",MAX(D245:L245))</f>
        <v>10435.799999999996</v>
      </c>
      <c r="N243" s="27">
        <f>IF(L244="","",MIN(D245:L245))</f>
        <v>9071.8500000000022</v>
      </c>
      <c r="O243" s="27">
        <f>IF((L245=""),"",AVERAGE(D245:L245))</f>
        <v>9723.486666666664</v>
      </c>
      <c r="P243" s="27">
        <f>IF((L244=""),"",STDEV(D245:L245))</f>
        <v>448.39109826136917</v>
      </c>
      <c r="Q243" s="168">
        <f>IF((L244=""),"",((M243-N243)/(M243+P243))*100)</f>
        <v>12.531477880959571</v>
      </c>
      <c r="R243" s="28" t="str">
        <f>IF(L244="","",IF(Q243&lt;Z243,IF(N243&gt;V243,IF(M243&lt;W243,"Pass","Fail"),"Fail"),"Fail"))</f>
        <v>Pass</v>
      </c>
      <c r="S243" s="29">
        <v>121</v>
      </c>
      <c r="T243" s="54"/>
      <c r="U243" s="40"/>
      <c r="V243" s="53">
        <v>9000</v>
      </c>
      <c r="W243" s="22">
        <v>15600</v>
      </c>
      <c r="X243" s="40">
        <v>8090</v>
      </c>
      <c r="Y243" s="40">
        <v>12070</v>
      </c>
      <c r="Z243" s="49">
        <v>15</v>
      </c>
      <c r="AA243" s="49">
        <v>6</v>
      </c>
    </row>
    <row r="244" spans="1:27" ht="15.75" customHeight="1">
      <c r="A244" s="94"/>
      <c r="B244" s="94"/>
      <c r="C244" s="30" t="s">
        <v>128</v>
      </c>
      <c r="D244" s="16">
        <v>26086.81</v>
      </c>
      <c r="E244" s="16">
        <v>25790</v>
      </c>
      <c r="F244" s="16">
        <v>25859.72</v>
      </c>
      <c r="G244" s="16">
        <v>25688.78</v>
      </c>
      <c r="H244" s="16">
        <v>25905.8</v>
      </c>
      <c r="I244" s="16">
        <v>26131.45</v>
      </c>
      <c r="J244" s="16">
        <v>25914.98</v>
      </c>
      <c r="K244" s="16">
        <v>25679.64</v>
      </c>
      <c r="L244" s="16">
        <v>25788.27</v>
      </c>
      <c r="M244" s="31"/>
      <c r="N244" s="31"/>
      <c r="O244" s="31"/>
      <c r="P244" s="31"/>
      <c r="Q244" s="31"/>
      <c r="R244" s="32"/>
      <c r="S244" s="33"/>
      <c r="T244" s="55"/>
      <c r="V244" s="47"/>
      <c r="W244" s="47"/>
      <c r="X244" s="48"/>
      <c r="Y244" s="48"/>
      <c r="Z244" s="49"/>
      <c r="AA244" s="49"/>
    </row>
    <row r="245" spans="1:27" ht="16.5" customHeight="1" thickBot="1">
      <c r="A245" s="94"/>
      <c r="B245" s="94"/>
      <c r="C245" s="34" t="s">
        <v>129</v>
      </c>
      <c r="D245" s="35">
        <f t="shared" ref="D245:L245" si="77">IF(((D243="")*AND(D244="")),"",(D243-D244)*3)</f>
        <v>9293.0099999999948</v>
      </c>
      <c r="E245" s="35">
        <f t="shared" si="77"/>
        <v>9690.8399999999965</v>
      </c>
      <c r="F245" s="35">
        <f t="shared" si="77"/>
        <v>9576.75</v>
      </c>
      <c r="G245" s="35">
        <f t="shared" si="77"/>
        <v>9990.1200000000026</v>
      </c>
      <c r="H245" s="35">
        <f t="shared" si="77"/>
        <v>10107.689999999999</v>
      </c>
      <c r="I245" s="35">
        <f t="shared" si="77"/>
        <v>9071.8500000000022</v>
      </c>
      <c r="J245" s="35">
        <f t="shared" si="77"/>
        <v>9322.9199999999983</v>
      </c>
      <c r="K245" s="35">
        <f t="shared" si="77"/>
        <v>10022.399999999998</v>
      </c>
      <c r="L245" s="35">
        <f t="shared" si="77"/>
        <v>10435.799999999996</v>
      </c>
      <c r="M245" s="36"/>
      <c r="N245" s="36"/>
      <c r="O245" s="36"/>
      <c r="P245" s="36"/>
      <c r="Q245" s="36"/>
      <c r="R245" s="37"/>
      <c r="S245" s="38"/>
      <c r="T245" s="56"/>
      <c r="U245" s="51"/>
      <c r="V245" s="50"/>
      <c r="W245" s="50"/>
      <c r="X245" s="51"/>
      <c r="Y245" s="51"/>
      <c r="Z245" s="52"/>
      <c r="AA245" s="52"/>
    </row>
    <row r="246" spans="1:27">
      <c r="A246" s="95">
        <v>43046</v>
      </c>
      <c r="B246" s="115" t="s">
        <v>429</v>
      </c>
      <c r="C246" s="26" t="s">
        <v>126</v>
      </c>
      <c r="D246" s="16">
        <v>29371.279999999999</v>
      </c>
      <c r="E246" s="16">
        <v>29181.49</v>
      </c>
      <c r="F246" s="16">
        <v>29210.04</v>
      </c>
      <c r="G246" s="16">
        <v>29161.45</v>
      </c>
      <c r="H246" s="16">
        <v>29347.57</v>
      </c>
      <c r="I246" s="16">
        <v>29335.74</v>
      </c>
      <c r="J246" s="16">
        <v>29168.07</v>
      </c>
      <c r="K246" s="16">
        <v>29179.13</v>
      </c>
      <c r="L246" s="16">
        <v>29443.89</v>
      </c>
      <c r="M246" s="27">
        <f>IF((L247=""),"",MAX(D248:L248))</f>
        <v>11503.080000000002</v>
      </c>
      <c r="N246" s="27">
        <f>IF(L247="","",MIN(D248:L248))</f>
        <v>10202.790000000001</v>
      </c>
      <c r="O246" s="27">
        <f>IF((L248=""),"",AVERAGE(D248:L248))</f>
        <v>10806.673333333334</v>
      </c>
      <c r="P246" s="27">
        <f>IF((L247=""),"",STDEV(D248:L248))</f>
        <v>393.80191175260273</v>
      </c>
      <c r="Q246" s="168">
        <f>IF((L247=""),"",((M246-N246)/(M246+P246))*100)</f>
        <v>10.929670561119718</v>
      </c>
      <c r="R246" s="28" t="str">
        <f>IF(L247="","",IF(Q246&lt;Z246,IF(N246&gt;V246,IF(M246&lt;W246,"Pass","Fail"),"Fail"),"Fail"))</f>
        <v>Pass</v>
      </c>
      <c r="S246" s="29">
        <v>1335</v>
      </c>
      <c r="T246" s="54"/>
      <c r="U246" s="40"/>
      <c r="V246" s="53">
        <v>9000</v>
      </c>
      <c r="W246" s="22">
        <v>15600</v>
      </c>
      <c r="X246" s="40">
        <v>8090</v>
      </c>
      <c r="Y246" s="40">
        <v>12070</v>
      </c>
      <c r="Z246" s="49">
        <v>15</v>
      </c>
      <c r="AA246" s="49">
        <v>6</v>
      </c>
    </row>
    <row r="247" spans="1:27" ht="15.75" customHeight="1">
      <c r="A247" s="94"/>
      <c r="B247" s="94"/>
      <c r="C247" s="30" t="s">
        <v>128</v>
      </c>
      <c r="D247" s="16">
        <v>25872.93</v>
      </c>
      <c r="E247" s="16">
        <v>25587.51</v>
      </c>
      <c r="F247" s="16">
        <v>25644.86</v>
      </c>
      <c r="G247" s="16">
        <v>25489.75</v>
      </c>
      <c r="H247" s="16">
        <v>25685.31</v>
      </c>
      <c r="I247" s="16">
        <v>25934.81</v>
      </c>
      <c r="J247" s="16">
        <v>25678.02</v>
      </c>
      <c r="K247" s="16">
        <v>25475.919999999998</v>
      </c>
      <c r="L247" s="16">
        <v>25609.53</v>
      </c>
      <c r="M247" s="31"/>
      <c r="N247" s="31"/>
      <c r="O247" s="31"/>
      <c r="P247" s="31"/>
      <c r="Q247" s="31"/>
      <c r="R247" s="32"/>
      <c r="S247" s="33"/>
      <c r="T247" s="55"/>
      <c r="V247" s="47"/>
      <c r="W247" s="47"/>
      <c r="X247" s="48"/>
      <c r="Y247" s="48"/>
      <c r="Z247" s="49"/>
      <c r="AA247" s="49"/>
    </row>
    <row r="248" spans="1:27" ht="16.5" customHeight="1" thickBot="1">
      <c r="A248" s="94"/>
      <c r="B248" s="94"/>
      <c r="C248" s="34" t="s">
        <v>129</v>
      </c>
      <c r="D248" s="35">
        <f t="shared" ref="D248:L248" si="78">IF(((D246="")*AND(D247="")),"",(D246-D247)*3)</f>
        <v>10495.049999999996</v>
      </c>
      <c r="E248" s="35">
        <f t="shared" si="78"/>
        <v>10781.94000000001</v>
      </c>
      <c r="F248" s="35">
        <f t="shared" si="78"/>
        <v>10695.54</v>
      </c>
      <c r="G248" s="35">
        <f t="shared" si="78"/>
        <v>11015.100000000002</v>
      </c>
      <c r="H248" s="35">
        <f t="shared" si="78"/>
        <v>10986.779999999995</v>
      </c>
      <c r="I248" s="35">
        <f t="shared" si="78"/>
        <v>10202.790000000001</v>
      </c>
      <c r="J248" s="35">
        <f t="shared" si="78"/>
        <v>10470.149999999998</v>
      </c>
      <c r="K248" s="35">
        <f t="shared" si="78"/>
        <v>11109.630000000008</v>
      </c>
      <c r="L248" s="35">
        <f t="shared" si="78"/>
        <v>11503.080000000002</v>
      </c>
      <c r="M248" s="36"/>
      <c r="N248" s="36"/>
      <c r="O248" s="36"/>
      <c r="P248" s="36"/>
      <c r="Q248" s="36"/>
      <c r="R248" s="37"/>
      <c r="S248" s="38"/>
      <c r="T248" s="56"/>
      <c r="U248" s="51"/>
      <c r="V248" s="50"/>
      <c r="W248" s="50"/>
      <c r="X248" s="51"/>
      <c r="Y248" s="51"/>
      <c r="Z248" s="52"/>
      <c r="AA248" s="52"/>
    </row>
    <row r="249" spans="1:27">
      <c r="A249" s="95">
        <v>43052</v>
      </c>
      <c r="B249" s="115" t="s">
        <v>429</v>
      </c>
      <c r="C249" s="26" t="s">
        <v>126</v>
      </c>
      <c r="D249" s="16">
        <v>29307.21</v>
      </c>
      <c r="E249" s="16">
        <v>29128.03</v>
      </c>
      <c r="F249" s="16">
        <v>29188.15</v>
      </c>
      <c r="G249" s="16">
        <v>29146.12</v>
      </c>
      <c r="H249" s="16">
        <v>29359.07</v>
      </c>
      <c r="I249" s="16">
        <v>29299.09</v>
      </c>
      <c r="J249" s="16">
        <v>29130.99</v>
      </c>
      <c r="K249" s="16">
        <v>29128.29</v>
      </c>
      <c r="L249" s="16">
        <v>29317.71</v>
      </c>
      <c r="M249" s="27">
        <f>IF((L250=""),"",MAX(D251:L251))</f>
        <v>11264.879999999997</v>
      </c>
      <c r="N249" s="27">
        <f>IF(L250="","",MIN(D251:L251))</f>
        <v>10118.069999999996</v>
      </c>
      <c r="O249" s="27">
        <f>IF((L251=""),"",AVERAGE(D251:L251))</f>
        <v>10719.403333333332</v>
      </c>
      <c r="P249" s="27">
        <f>IF((L250=""),"",STDEV(D251:L251))</f>
        <v>348.64316141297672</v>
      </c>
      <c r="Q249" s="168">
        <f>IF((L250=""),"",((M249-N249)/(M249+P249))*100)</f>
        <v>9.8747811844934841</v>
      </c>
      <c r="R249" s="28" t="str">
        <f>IF(L250="","",IF(Q249&lt;Z249,IF(N249&gt;V249,IF(M249&lt;W249,"Pass","Fail"),"Fail"),"Fail"))</f>
        <v>Pass</v>
      </c>
      <c r="S249" s="29">
        <v>102</v>
      </c>
      <c r="T249" s="54" t="s">
        <v>178</v>
      </c>
      <c r="U249" s="40"/>
      <c r="V249" s="53">
        <v>9000</v>
      </c>
      <c r="W249" s="22">
        <v>15600</v>
      </c>
      <c r="X249" s="40">
        <v>8090</v>
      </c>
      <c r="Y249" s="40">
        <v>12070</v>
      </c>
      <c r="Z249" s="49">
        <v>15</v>
      </c>
      <c r="AA249" s="49">
        <v>6</v>
      </c>
    </row>
    <row r="250" spans="1:27" ht="15.75" customHeight="1">
      <c r="A250" s="94"/>
      <c r="B250" s="94"/>
      <c r="C250" s="30" t="s">
        <v>128</v>
      </c>
      <c r="D250" s="16">
        <v>25662.89</v>
      </c>
      <c r="E250" s="16">
        <v>25472.6</v>
      </c>
      <c r="F250" s="16">
        <v>25640.62</v>
      </c>
      <c r="G250" s="16">
        <v>25567.89</v>
      </c>
      <c r="H250" s="16">
        <v>25860.81</v>
      </c>
      <c r="I250" s="16">
        <v>25544.13</v>
      </c>
      <c r="J250" s="16">
        <v>25488.43</v>
      </c>
      <c r="K250" s="16">
        <v>25664.06</v>
      </c>
      <c r="L250" s="16">
        <v>25945.02</v>
      </c>
      <c r="M250" s="31"/>
      <c r="N250" s="31"/>
      <c r="O250" s="31"/>
      <c r="P250" s="31"/>
      <c r="Q250" s="31"/>
      <c r="R250" s="32"/>
      <c r="S250" s="33"/>
      <c r="T250" s="55"/>
      <c r="V250" s="47"/>
      <c r="W250" s="47"/>
      <c r="X250" s="48"/>
      <c r="Y250" s="48"/>
      <c r="Z250" s="49"/>
      <c r="AA250" s="49"/>
    </row>
    <row r="251" spans="1:27" ht="16.5" customHeight="1" thickBot="1">
      <c r="A251" s="94"/>
      <c r="B251" s="94"/>
      <c r="C251" s="34" t="s">
        <v>129</v>
      </c>
      <c r="D251" s="35">
        <f t="shared" ref="D251:L251" si="79">IF(((D249="")*AND(D250="")),"",(D249-D250)*3)</f>
        <v>10932.96</v>
      </c>
      <c r="E251" s="35">
        <f t="shared" si="79"/>
        <v>10966.29</v>
      </c>
      <c r="F251" s="35">
        <f t="shared" si="79"/>
        <v>10642.590000000007</v>
      </c>
      <c r="G251" s="35">
        <f t="shared" si="79"/>
        <v>10734.689999999999</v>
      </c>
      <c r="H251" s="35">
        <f t="shared" si="79"/>
        <v>10494.779999999995</v>
      </c>
      <c r="I251" s="35">
        <f t="shared" si="79"/>
        <v>11264.879999999997</v>
      </c>
      <c r="J251" s="35">
        <f t="shared" si="79"/>
        <v>10927.680000000004</v>
      </c>
      <c r="K251" s="35">
        <f t="shared" si="79"/>
        <v>10392.689999999999</v>
      </c>
      <c r="L251" s="35">
        <f t="shared" si="79"/>
        <v>10118.069999999996</v>
      </c>
      <c r="M251" s="36"/>
      <c r="N251" s="36"/>
      <c r="O251" s="36"/>
      <c r="P251" s="36"/>
      <c r="Q251" s="36"/>
      <c r="R251" s="37"/>
      <c r="S251" s="38"/>
      <c r="T251" s="56"/>
      <c r="U251" s="51"/>
      <c r="V251" s="50"/>
      <c r="W251" s="50"/>
      <c r="X251" s="51"/>
      <c r="Y251" s="51"/>
      <c r="Z251" s="52"/>
      <c r="AA251" s="52"/>
    </row>
    <row r="252" spans="1:27">
      <c r="A252" s="95">
        <v>43053</v>
      </c>
      <c r="B252" s="115" t="s">
        <v>429</v>
      </c>
      <c r="C252" s="26" t="s">
        <v>126</v>
      </c>
      <c r="D252" s="16">
        <v>29121.599999999999</v>
      </c>
      <c r="E252" s="16">
        <v>28932.16</v>
      </c>
      <c r="F252" s="16">
        <v>28923.75</v>
      </c>
      <c r="G252" s="16">
        <v>28918.76</v>
      </c>
      <c r="H252" s="16">
        <v>29112.52</v>
      </c>
      <c r="I252" s="16">
        <v>29104.02</v>
      </c>
      <c r="J252" s="16">
        <v>28915.9</v>
      </c>
      <c r="K252" s="16">
        <v>28914.16</v>
      </c>
      <c r="L252" s="16">
        <v>29154.94</v>
      </c>
      <c r="M252" s="27">
        <f>IF((L253=""),"",MAX(D254:L254))</f>
        <v>10053.029999999995</v>
      </c>
      <c r="N252" s="27">
        <f>IF(L253="","",MIN(D254:L254))</f>
        <v>8761.9199999999983</v>
      </c>
      <c r="O252" s="27">
        <f>IF((L254=""),"",AVERAGE(D254:L254))</f>
        <v>9312.536666666665</v>
      </c>
      <c r="P252" s="27">
        <f>IF((L253=""),"",STDEV(D254:L254))</f>
        <v>427.56516515031234</v>
      </c>
      <c r="Q252" s="168">
        <f>IF((L253=""),"",((M252-N252)/(M252+P252))*100)</f>
        <v>12.319052302422183</v>
      </c>
      <c r="R252" s="28" t="str">
        <f>IF(L253="","",IF(Q252&lt;Z252,IF(N252&gt;V252,IF(M252&lt;W252,"Pass","Fail"),"Fail"),"Fail"))</f>
        <v>Fail</v>
      </c>
      <c r="S252" s="29" t="s">
        <v>47</v>
      </c>
      <c r="T252" s="16"/>
      <c r="U252" s="54" t="s">
        <v>179</v>
      </c>
      <c r="V252" s="53">
        <v>9000</v>
      </c>
      <c r="W252" s="22">
        <v>15600</v>
      </c>
      <c r="X252" s="40">
        <v>8090</v>
      </c>
      <c r="Y252" s="40">
        <v>12070</v>
      </c>
      <c r="Z252" s="49">
        <v>15</v>
      </c>
      <c r="AA252" s="49">
        <v>6</v>
      </c>
    </row>
    <row r="253" spans="1:27" ht="15.75" customHeight="1">
      <c r="A253" s="94"/>
      <c r="B253" s="94"/>
      <c r="C253" s="30" t="s">
        <v>128</v>
      </c>
      <c r="D253" s="16">
        <v>26153.69</v>
      </c>
      <c r="E253" s="16">
        <v>25853.919999999998</v>
      </c>
      <c r="F253" s="16">
        <v>25869.13</v>
      </c>
      <c r="G253" s="16">
        <v>25745.43</v>
      </c>
      <c r="H253" s="16">
        <v>25894.18</v>
      </c>
      <c r="I253" s="16">
        <v>26183.38</v>
      </c>
      <c r="J253" s="16">
        <v>25946.97</v>
      </c>
      <c r="K253" s="16">
        <v>25709.57</v>
      </c>
      <c r="L253" s="16">
        <v>25803.93</v>
      </c>
      <c r="M253" s="31"/>
      <c r="N253" s="31"/>
      <c r="O253" s="31"/>
      <c r="P253" s="31"/>
      <c r="Q253" s="31"/>
      <c r="R253" s="32"/>
      <c r="S253" s="33"/>
      <c r="T253" s="55"/>
      <c r="V253" s="47"/>
      <c r="W253" s="47"/>
      <c r="X253" s="48"/>
      <c r="Y253" s="48"/>
      <c r="Z253" s="49"/>
      <c r="AA253" s="49"/>
    </row>
    <row r="254" spans="1:27" ht="16.5" customHeight="1" thickBot="1">
      <c r="A254" s="94"/>
      <c r="B254" s="94"/>
      <c r="C254" s="34" t="s">
        <v>129</v>
      </c>
      <c r="D254" s="35">
        <f t="shared" ref="D254:L254" si="80">IF(((D252="")*AND(D253="")),"",(D252-D253)*3)</f>
        <v>8903.73</v>
      </c>
      <c r="E254" s="35">
        <f t="shared" si="80"/>
        <v>9234.7200000000048</v>
      </c>
      <c r="F254" s="35">
        <f t="shared" si="80"/>
        <v>9163.8599999999969</v>
      </c>
      <c r="G254" s="35">
        <f t="shared" si="80"/>
        <v>9519.9899999999943</v>
      </c>
      <c r="H254" s="35">
        <f t="shared" si="80"/>
        <v>9655.02</v>
      </c>
      <c r="I254" s="35">
        <f t="shared" si="80"/>
        <v>8761.9199999999983</v>
      </c>
      <c r="J254" s="35">
        <f t="shared" si="80"/>
        <v>8906.7900000000009</v>
      </c>
      <c r="K254" s="35">
        <f t="shared" si="80"/>
        <v>9613.77</v>
      </c>
      <c r="L254" s="35">
        <f t="shared" si="80"/>
        <v>10053.029999999995</v>
      </c>
      <c r="M254" s="36"/>
      <c r="N254" s="36"/>
      <c r="O254" s="36"/>
      <c r="P254" s="36"/>
      <c r="Q254" s="36"/>
      <c r="R254" s="37"/>
      <c r="S254" s="38"/>
      <c r="T254" s="56"/>
      <c r="U254" s="51"/>
      <c r="V254" s="50"/>
      <c r="W254" s="50"/>
      <c r="X254" s="51"/>
      <c r="Y254" s="51"/>
      <c r="Z254" s="52"/>
      <c r="AA254" s="52"/>
    </row>
    <row r="255" spans="1:27">
      <c r="A255" s="95">
        <v>43053</v>
      </c>
      <c r="B255" s="115" t="s">
        <v>429</v>
      </c>
      <c r="C255" s="26" t="s">
        <v>126</v>
      </c>
      <c r="D255" s="16">
        <v>29538.89</v>
      </c>
      <c r="E255" s="16">
        <v>29321.81</v>
      </c>
      <c r="F255" s="16">
        <v>29372.93</v>
      </c>
      <c r="G255" s="16">
        <v>29308.42</v>
      </c>
      <c r="H255" s="16">
        <v>29506.81</v>
      </c>
      <c r="I255" s="16">
        <v>29477.14</v>
      </c>
      <c r="J255" s="16">
        <v>29308.81</v>
      </c>
      <c r="K255" s="16">
        <v>29313.74</v>
      </c>
      <c r="L255" s="16">
        <v>29491.91</v>
      </c>
      <c r="M255" s="27">
        <f>IF((L256=""),"",MAX(D257:L257))</f>
        <v>11038.109999999997</v>
      </c>
      <c r="N255" s="27">
        <f>IF(L256="","",MIN(D257:L257))</f>
        <v>9584.6099999999969</v>
      </c>
      <c r="O255" s="27">
        <f>IF((L257=""),"",AVERAGE(D257:L257))</f>
        <v>10365.450000000003</v>
      </c>
      <c r="P255" s="27">
        <f>IF((L256=""),"",STDEV(D257:L257))</f>
        <v>442.97330627809492</v>
      </c>
      <c r="Q255" s="168">
        <f>IF((L256=""),"",((M255-N255)/(M255+P255))*100)</f>
        <v>12.659955173439046</v>
      </c>
      <c r="R255" s="28" t="str">
        <f>IF(L256="","",IF(Q255&lt;Z255,IF(N255&gt;V255,IF(M255&lt;W255,"Pass","Fail"),"Fail"),"Fail"))</f>
        <v>Pass</v>
      </c>
      <c r="S255" s="29">
        <v>102</v>
      </c>
      <c r="T255" s="16"/>
      <c r="U255" s="54" t="s">
        <v>180</v>
      </c>
      <c r="V255" s="53">
        <v>9000</v>
      </c>
      <c r="W255" s="22">
        <v>15600</v>
      </c>
      <c r="X255" s="40">
        <v>8090</v>
      </c>
      <c r="Y255" s="40">
        <v>12070</v>
      </c>
      <c r="Z255" s="49">
        <v>15</v>
      </c>
      <c r="AA255" s="49">
        <v>6</v>
      </c>
    </row>
    <row r="256" spans="1:27" ht="15.75" customHeight="1">
      <c r="A256" s="94"/>
      <c r="B256" s="94"/>
      <c r="C256" s="30" t="s">
        <v>128</v>
      </c>
      <c r="D256" s="16">
        <v>26142.799999999999</v>
      </c>
      <c r="E256" s="16">
        <v>25852.19</v>
      </c>
      <c r="F256" s="16">
        <v>25976.55</v>
      </c>
      <c r="G256" s="16">
        <v>25780.63</v>
      </c>
      <c r="H256" s="16">
        <v>25945.72</v>
      </c>
      <c r="I256" s="16">
        <v>26282.27</v>
      </c>
      <c r="J256" s="16">
        <v>25999.7</v>
      </c>
      <c r="K256" s="16">
        <v>25751.71</v>
      </c>
      <c r="L256" s="16">
        <v>25812.54</v>
      </c>
      <c r="M256" s="31"/>
      <c r="N256" s="31"/>
      <c r="O256" s="31"/>
      <c r="P256" s="31"/>
      <c r="Q256" s="31"/>
      <c r="R256" s="32"/>
      <c r="S256" s="33"/>
      <c r="T256" s="55"/>
      <c r="V256" s="47"/>
      <c r="W256" s="47"/>
      <c r="X256" s="48"/>
      <c r="Y256" s="48"/>
      <c r="Z256" s="49"/>
      <c r="AA256" s="49"/>
    </row>
    <row r="257" spans="1:27" ht="16.5" customHeight="1" thickBot="1">
      <c r="A257" s="94"/>
      <c r="B257" s="94"/>
      <c r="C257" s="34" t="s">
        <v>129</v>
      </c>
      <c r="D257" s="35">
        <f t="shared" ref="D257:L257" si="81">IF(((D255="")*AND(D256="")),"",(D255-D256)*3)</f>
        <v>10188.27</v>
      </c>
      <c r="E257" s="35">
        <f t="shared" si="81"/>
        <v>10408.860000000008</v>
      </c>
      <c r="F257" s="35">
        <f t="shared" si="81"/>
        <v>10189.140000000003</v>
      </c>
      <c r="G257" s="35">
        <f t="shared" si="81"/>
        <v>10583.369999999992</v>
      </c>
      <c r="H257" s="35">
        <f t="shared" si="81"/>
        <v>10683.27</v>
      </c>
      <c r="I257" s="35">
        <f t="shared" si="81"/>
        <v>9584.6099999999969</v>
      </c>
      <c r="J257" s="35">
        <f t="shared" si="81"/>
        <v>9927.3300000000017</v>
      </c>
      <c r="K257" s="35">
        <f t="shared" si="81"/>
        <v>10686.090000000007</v>
      </c>
      <c r="L257" s="35">
        <f t="shared" si="81"/>
        <v>11038.109999999997</v>
      </c>
      <c r="M257" s="36"/>
      <c r="N257" s="36"/>
      <c r="O257" s="36"/>
      <c r="P257" s="36"/>
      <c r="Q257" s="36"/>
      <c r="R257" s="37"/>
      <c r="S257" s="38"/>
      <c r="T257" s="56"/>
      <c r="U257" s="51"/>
      <c r="V257" s="50"/>
      <c r="W257" s="50"/>
      <c r="X257" s="51"/>
      <c r="Y257" s="51"/>
      <c r="Z257" s="52"/>
      <c r="AA257" s="52"/>
    </row>
    <row r="258" spans="1:27">
      <c r="A258" s="95">
        <v>43056</v>
      </c>
      <c r="B258" s="115" t="s">
        <v>429</v>
      </c>
      <c r="C258" s="26" t="s">
        <v>126</v>
      </c>
      <c r="D258" s="16">
        <v>29459</v>
      </c>
      <c r="E258" s="16">
        <v>29253</v>
      </c>
      <c r="F258" s="16">
        <v>29311</v>
      </c>
      <c r="G258" s="16">
        <v>29276</v>
      </c>
      <c r="H258" s="16">
        <v>29453</v>
      </c>
      <c r="I258" s="16">
        <v>29445</v>
      </c>
      <c r="J258" s="16">
        <v>29263</v>
      </c>
      <c r="K258" s="16">
        <v>29267</v>
      </c>
      <c r="L258" s="16">
        <v>29443</v>
      </c>
      <c r="M258" s="27">
        <f>IF((L259=""),"",MAX(D260:L260))</f>
        <v>10704</v>
      </c>
      <c r="N258" s="27">
        <f>IF(L259="","",MIN(D260:L260))</f>
        <v>9501</v>
      </c>
      <c r="O258" s="27">
        <f>IF((L260=""),"",AVERAGE(D260:L260))</f>
        <v>9953.6666666666661</v>
      </c>
      <c r="P258" s="27">
        <f>IF((L259=""),"",STDEV(D260:L260))</f>
        <v>417.07133682381004</v>
      </c>
      <c r="Q258" s="168">
        <f>IF((L259=""),"",((M258-N258)/(M258+P258))*100)</f>
        <v>10.817303149712355</v>
      </c>
      <c r="R258" s="28" t="str">
        <f>IF(L259="","",IF(Q258&lt;Z258,IF(N258&gt;V258,IF(M258&lt;W258,"Pass","Fail"),"Fail"),"Fail"))</f>
        <v>Pass</v>
      </c>
      <c r="S258" s="29">
        <v>121</v>
      </c>
      <c r="T258" s="16"/>
      <c r="U258" s="54" t="s">
        <v>181</v>
      </c>
      <c r="V258" s="53">
        <v>9000</v>
      </c>
      <c r="W258" s="22">
        <v>15600</v>
      </c>
      <c r="X258" s="40">
        <v>8090</v>
      </c>
      <c r="Y258" s="40">
        <v>12070</v>
      </c>
      <c r="Z258" s="49">
        <v>15</v>
      </c>
      <c r="AA258" s="49">
        <v>6</v>
      </c>
    </row>
    <row r="259" spans="1:27" ht="15.75" customHeight="1">
      <c r="A259" s="94"/>
      <c r="B259" s="94"/>
      <c r="C259" s="30" t="s">
        <v>128</v>
      </c>
      <c r="D259" s="16">
        <v>26010</v>
      </c>
      <c r="E259" s="16">
        <v>25866</v>
      </c>
      <c r="F259" s="16">
        <v>26080</v>
      </c>
      <c r="G259" s="16">
        <v>25990</v>
      </c>
      <c r="H259" s="16">
        <v>26265</v>
      </c>
      <c r="I259" s="16">
        <v>25877</v>
      </c>
      <c r="J259" s="16">
        <v>25869</v>
      </c>
      <c r="K259" s="16">
        <v>26076</v>
      </c>
      <c r="L259" s="16">
        <v>26276</v>
      </c>
      <c r="M259" s="31"/>
      <c r="N259" s="31"/>
      <c r="O259" s="31"/>
      <c r="P259" s="31"/>
      <c r="Q259" s="31"/>
      <c r="R259" s="32"/>
      <c r="S259" s="33"/>
      <c r="T259" s="55"/>
      <c r="V259" s="47"/>
      <c r="W259" s="47"/>
      <c r="X259" s="48"/>
      <c r="Y259" s="48"/>
      <c r="Z259" s="49"/>
      <c r="AA259" s="49"/>
    </row>
    <row r="260" spans="1:27" ht="16.5" customHeight="1" thickBot="1">
      <c r="A260" s="94"/>
      <c r="B260" s="94"/>
      <c r="C260" s="34" t="s">
        <v>129</v>
      </c>
      <c r="D260" s="35">
        <f t="shared" ref="D260:L260" si="82">IF(((D258="")*AND(D259="")),"",(D258-D259)*3)</f>
        <v>10347</v>
      </c>
      <c r="E260" s="35">
        <f t="shared" si="82"/>
        <v>10161</v>
      </c>
      <c r="F260" s="35">
        <f t="shared" si="82"/>
        <v>9693</v>
      </c>
      <c r="G260" s="35">
        <f t="shared" si="82"/>
        <v>9858</v>
      </c>
      <c r="H260" s="35">
        <f t="shared" si="82"/>
        <v>9564</v>
      </c>
      <c r="I260" s="35">
        <f t="shared" si="82"/>
        <v>10704</v>
      </c>
      <c r="J260" s="35">
        <f t="shared" si="82"/>
        <v>10182</v>
      </c>
      <c r="K260" s="35">
        <f t="shared" si="82"/>
        <v>9573</v>
      </c>
      <c r="L260" s="35">
        <f t="shared" si="82"/>
        <v>9501</v>
      </c>
      <c r="M260" s="36"/>
      <c r="N260" s="36"/>
      <c r="O260" s="36"/>
      <c r="P260" s="36"/>
      <c r="Q260" s="36"/>
      <c r="R260" s="37"/>
      <c r="S260" s="38"/>
      <c r="T260" s="56"/>
      <c r="U260" s="51"/>
      <c r="V260" s="50"/>
      <c r="W260" s="50"/>
      <c r="X260" s="51"/>
      <c r="Y260" s="51"/>
      <c r="Z260" s="52"/>
      <c r="AA260" s="52"/>
    </row>
    <row r="261" spans="1:27">
      <c r="A261" s="95">
        <v>43060</v>
      </c>
      <c r="B261" s="115" t="s">
        <v>429</v>
      </c>
      <c r="C261" s="26" t="s">
        <v>126</v>
      </c>
      <c r="D261" s="16">
        <v>29380.79</v>
      </c>
      <c r="E261" s="16">
        <v>29238.83</v>
      </c>
      <c r="F261" s="16">
        <v>29297.89</v>
      </c>
      <c r="G261" s="16">
        <v>29254.76</v>
      </c>
      <c r="H261" s="16">
        <v>29476.63</v>
      </c>
      <c r="I261" s="16">
        <v>29387.87</v>
      </c>
      <c r="J261" s="16">
        <v>29225.17</v>
      </c>
      <c r="K261" s="16">
        <v>29233.7</v>
      </c>
      <c r="L261" s="16">
        <v>29422.07</v>
      </c>
      <c r="M261" s="27">
        <f>IF((L262=""),"",MAX(D263:L263))</f>
        <v>11512.589999999997</v>
      </c>
      <c r="N261" s="27">
        <f>IF(L262="","",MIN(D263:L263))</f>
        <v>10259.429999999993</v>
      </c>
      <c r="O261" s="27">
        <f>IF((L263=""),"",AVERAGE(D263:L263))</f>
        <v>10833.749999999998</v>
      </c>
      <c r="P261" s="27">
        <f>IF((L262=""),"",STDEV(D263:L263))</f>
        <v>404.09626167539494</v>
      </c>
      <c r="Q261" s="168">
        <f>IF((L262=""),"",((M261-N261)/(M261+P261))*100)</f>
        <v>10.516010680168893</v>
      </c>
      <c r="R261" s="28" t="str">
        <f>IF(L262="","",IF(Q261&lt;Z261,IF(N261&gt;V261,IF(M261&lt;W261,"Pass","Fail"),"Fail"),"Fail"))</f>
        <v>Pass</v>
      </c>
      <c r="S261" s="29">
        <v>1428</v>
      </c>
      <c r="T261" s="16"/>
      <c r="U261" s="54" t="s">
        <v>182</v>
      </c>
      <c r="V261" s="53">
        <v>9000</v>
      </c>
      <c r="W261" s="22">
        <v>15600</v>
      </c>
      <c r="X261" s="40">
        <v>8090</v>
      </c>
      <c r="Y261" s="40">
        <v>12070</v>
      </c>
      <c r="Z261" s="49">
        <v>15</v>
      </c>
      <c r="AA261" s="49">
        <v>6</v>
      </c>
    </row>
    <row r="262" spans="1:27" ht="15.75" customHeight="1">
      <c r="A262" s="94"/>
      <c r="B262" s="94"/>
      <c r="C262" s="30" t="s">
        <v>128</v>
      </c>
      <c r="D262" s="16">
        <v>25864.87</v>
      </c>
      <c r="E262" s="16">
        <v>25664.27</v>
      </c>
      <c r="F262" s="16">
        <v>25722.46</v>
      </c>
      <c r="G262" s="16">
        <v>25569.85</v>
      </c>
      <c r="H262" s="16">
        <v>25733.89</v>
      </c>
      <c r="I262" s="16">
        <v>25968.06</v>
      </c>
      <c r="J262" s="16">
        <v>25750.65</v>
      </c>
      <c r="K262" s="16">
        <v>25557.87</v>
      </c>
      <c r="L262" s="16">
        <v>25584.54</v>
      </c>
      <c r="M262" s="31"/>
      <c r="N262" s="31"/>
      <c r="O262" s="31"/>
      <c r="P262" s="31"/>
      <c r="Q262" s="31"/>
      <c r="R262" s="32"/>
      <c r="S262" s="33"/>
      <c r="T262" s="55"/>
      <c r="V262" s="47"/>
      <c r="W262" s="47"/>
      <c r="X262" s="48"/>
      <c r="Y262" s="48"/>
      <c r="Z262" s="49"/>
      <c r="AA262" s="49"/>
    </row>
    <row r="263" spans="1:27" ht="16.5" customHeight="1" thickBot="1">
      <c r="A263" s="94"/>
      <c r="B263" s="94"/>
      <c r="C263" s="34" t="s">
        <v>129</v>
      </c>
      <c r="D263" s="35">
        <f t="shared" ref="D263:L263" si="83">IF(((D261="")*AND(D262="")),"",(D261-D262)*3)</f>
        <v>10547.760000000006</v>
      </c>
      <c r="E263" s="35">
        <f t="shared" si="83"/>
        <v>10723.680000000004</v>
      </c>
      <c r="F263" s="35">
        <f t="shared" si="83"/>
        <v>10726.29</v>
      </c>
      <c r="G263" s="35">
        <f t="shared" si="83"/>
        <v>11054.73</v>
      </c>
      <c r="H263" s="35">
        <f t="shared" si="83"/>
        <v>11228.220000000005</v>
      </c>
      <c r="I263" s="35">
        <f t="shared" si="83"/>
        <v>10259.429999999993</v>
      </c>
      <c r="J263" s="35">
        <f t="shared" si="83"/>
        <v>10423.55999999999</v>
      </c>
      <c r="K263" s="35">
        <f t="shared" si="83"/>
        <v>11027.490000000005</v>
      </c>
      <c r="L263" s="35">
        <f t="shared" si="83"/>
        <v>11512.589999999997</v>
      </c>
      <c r="M263" s="36"/>
      <c r="N263" s="36"/>
      <c r="O263" s="36"/>
      <c r="P263" s="36"/>
      <c r="Q263" s="36"/>
      <c r="R263" s="37"/>
      <c r="S263" s="38"/>
      <c r="T263" s="56"/>
      <c r="U263" s="51"/>
      <c r="V263" s="50"/>
      <c r="W263" s="50"/>
      <c r="X263" s="51"/>
      <c r="Y263" s="51"/>
      <c r="Z263" s="52"/>
      <c r="AA263" s="52"/>
    </row>
    <row r="264" spans="1:27">
      <c r="A264" s="95">
        <v>43063</v>
      </c>
      <c r="B264" s="115" t="s">
        <v>429</v>
      </c>
      <c r="C264" s="26" t="s">
        <v>126</v>
      </c>
      <c r="D264" s="16">
        <v>29341.58</v>
      </c>
      <c r="E264" s="16">
        <v>29198.45</v>
      </c>
      <c r="F264" s="16">
        <v>29198.55</v>
      </c>
      <c r="G264" s="16">
        <v>29214.09</v>
      </c>
      <c r="H264" s="16">
        <v>29410.05</v>
      </c>
      <c r="I264" s="16">
        <v>29400.13</v>
      </c>
      <c r="J264" s="16">
        <v>29211.84</v>
      </c>
      <c r="K264" s="16">
        <v>29202.12</v>
      </c>
      <c r="L264" s="16">
        <v>29417.15</v>
      </c>
      <c r="M264" s="27">
        <f>IF((L265=""),"",MAX(D266:L266))</f>
        <v>12319.080000000002</v>
      </c>
      <c r="N264" s="27">
        <f>IF(L265="","",MIN(D266:L266))</f>
        <v>11016.48</v>
      </c>
      <c r="O264" s="27">
        <f>IF((L266=""),"",AVERAGE(D266:L266))</f>
        <v>11601.276666666665</v>
      </c>
      <c r="P264" s="27">
        <f>IF((L265=""),"",STDEV(D266:L266))</f>
        <v>409.91349639283487</v>
      </c>
      <c r="Q264" s="168">
        <f>IF((L265=""),"",((M264-N264)/(M264+P264))*100)</f>
        <v>10.233330705755606</v>
      </c>
      <c r="R264" s="28" t="str">
        <f>IF(L265="","",IF(Q264&lt;Z264,IF(N264&gt;V264,IF(M264&lt;W264,"Pass","Fail"),"Fail"),"Fail"))</f>
        <v>Pass</v>
      </c>
      <c r="S264" s="29">
        <v>1428</v>
      </c>
      <c r="T264" s="16"/>
      <c r="U264" s="54" t="s">
        <v>183</v>
      </c>
      <c r="V264" s="53">
        <v>9000</v>
      </c>
      <c r="W264" s="22">
        <v>15600</v>
      </c>
      <c r="X264" s="40">
        <v>8090</v>
      </c>
      <c r="Y264" s="40">
        <v>12070</v>
      </c>
      <c r="Z264" s="49">
        <v>15</v>
      </c>
      <c r="AA264" s="49">
        <v>6</v>
      </c>
    </row>
    <row r="265" spans="1:27" ht="15.75" customHeight="1">
      <c r="A265" s="94"/>
      <c r="B265" s="94"/>
      <c r="C265" s="30" t="s">
        <v>128</v>
      </c>
      <c r="D265" s="16">
        <v>25552.22</v>
      </c>
      <c r="E265" s="16">
        <v>25357.01</v>
      </c>
      <c r="F265" s="16">
        <v>25386.61</v>
      </c>
      <c r="G265" s="16">
        <v>25289.58</v>
      </c>
      <c r="H265" s="16">
        <v>25427.22</v>
      </c>
      <c r="I265" s="16">
        <v>25727.97</v>
      </c>
      <c r="J265" s="16">
        <v>25488.11</v>
      </c>
      <c r="K265" s="16">
        <v>25250.62</v>
      </c>
      <c r="L265" s="16">
        <v>25310.79</v>
      </c>
      <c r="M265" s="31"/>
      <c r="N265" s="31"/>
      <c r="O265" s="31"/>
      <c r="P265" s="31"/>
      <c r="Q265" s="31"/>
      <c r="R265" s="32"/>
      <c r="S265" s="33"/>
      <c r="T265" s="55"/>
      <c r="V265" s="47"/>
      <c r="W265" s="47"/>
      <c r="X265" s="48"/>
      <c r="Y265" s="48"/>
      <c r="Z265" s="49"/>
      <c r="AA265" s="49"/>
    </row>
    <row r="266" spans="1:27" ht="16.5" customHeight="1" thickBot="1">
      <c r="A266" s="94"/>
      <c r="B266" s="94"/>
      <c r="C266" s="34" t="s">
        <v>129</v>
      </c>
      <c r="D266" s="35">
        <f t="shared" ref="D266:L266" si="84">IF(((D264="")*AND(D265="")),"",(D264-D265)*3)</f>
        <v>11368.080000000002</v>
      </c>
      <c r="E266" s="35">
        <f t="shared" si="84"/>
        <v>11524.320000000007</v>
      </c>
      <c r="F266" s="35">
        <f t="shared" si="84"/>
        <v>11435.819999999996</v>
      </c>
      <c r="G266" s="35">
        <f t="shared" si="84"/>
        <v>11773.529999999995</v>
      </c>
      <c r="H266" s="35">
        <f t="shared" si="84"/>
        <v>11948.489999999994</v>
      </c>
      <c r="I266" s="35">
        <f t="shared" si="84"/>
        <v>11016.48</v>
      </c>
      <c r="J266" s="35">
        <f t="shared" si="84"/>
        <v>11171.189999999999</v>
      </c>
      <c r="K266" s="35">
        <f t="shared" si="84"/>
        <v>11854.5</v>
      </c>
      <c r="L266" s="35">
        <f t="shared" si="84"/>
        <v>12319.080000000002</v>
      </c>
      <c r="M266" s="36"/>
      <c r="N266" s="36"/>
      <c r="O266" s="36"/>
      <c r="P266" s="36"/>
      <c r="Q266" s="36"/>
      <c r="R266" s="37"/>
      <c r="S266" s="38"/>
      <c r="T266" s="56"/>
      <c r="U266" s="51"/>
      <c r="V266" s="50"/>
      <c r="W266" s="50"/>
      <c r="X266" s="51"/>
      <c r="Y266" s="51"/>
      <c r="Z266" s="52"/>
      <c r="AA266" s="52"/>
    </row>
    <row r="267" spans="1:27">
      <c r="A267" s="95">
        <v>43063</v>
      </c>
      <c r="B267" s="115" t="s">
        <v>429</v>
      </c>
      <c r="C267" s="26" t="s">
        <v>126</v>
      </c>
      <c r="D267" s="16">
        <v>29535.27</v>
      </c>
      <c r="E267" s="16">
        <v>29345.91</v>
      </c>
      <c r="F267" s="16">
        <v>29414.32</v>
      </c>
      <c r="G267" s="16">
        <v>29337.37</v>
      </c>
      <c r="H267" s="16">
        <v>29528.37</v>
      </c>
      <c r="I267" s="16">
        <v>29456.54</v>
      </c>
      <c r="J267" s="16">
        <v>29321.07</v>
      </c>
      <c r="K267" s="16">
        <v>29345.83</v>
      </c>
      <c r="L267" s="16">
        <v>29565.91</v>
      </c>
      <c r="M267" s="27">
        <f>IF((L268=""),"",MAX(D269:L269))</f>
        <v>12010.02</v>
      </c>
      <c r="N267" s="27">
        <f>IF(L268="","",MIN(D269:L269))</f>
        <v>10601.220000000005</v>
      </c>
      <c r="O267" s="27">
        <f>IF((L269=""),"",AVERAGE(D269:L269))</f>
        <v>11284.916666666668</v>
      </c>
      <c r="P267" s="27">
        <f>IF((L268=""),"",STDEV(D269:L269))</f>
        <v>427.99679566548917</v>
      </c>
      <c r="Q267" s="168">
        <f>IF((L268=""),"",((M267-N267)/(M267+P267))*100)</f>
        <v>11.32656454114893</v>
      </c>
      <c r="R267" s="28" t="str">
        <f>IF(L268="","",IF(Q267&lt;Z267,IF(N267&gt;V267,IF(M267&lt;W267,"Pass","Fail"),"Fail"),"Fail"))</f>
        <v>Pass</v>
      </c>
      <c r="S267" s="29">
        <v>1335</v>
      </c>
      <c r="T267" s="16"/>
      <c r="U267" s="54" t="s">
        <v>184</v>
      </c>
      <c r="V267" s="53">
        <v>9000</v>
      </c>
      <c r="W267" s="22">
        <v>15600</v>
      </c>
      <c r="X267" s="40">
        <v>8090</v>
      </c>
      <c r="Y267" s="40">
        <v>12070</v>
      </c>
      <c r="Z267" s="49">
        <v>15</v>
      </c>
      <c r="AA267" s="49">
        <v>6</v>
      </c>
    </row>
    <row r="268" spans="1:27" ht="15.75" customHeight="1">
      <c r="A268" s="94"/>
      <c r="B268" s="94"/>
      <c r="C268" s="30" t="s">
        <v>128</v>
      </c>
      <c r="D268" s="16">
        <v>25853.439999999999</v>
      </c>
      <c r="E268" s="16">
        <v>25594.7</v>
      </c>
      <c r="F268" s="16">
        <v>25681.11</v>
      </c>
      <c r="G268" s="16">
        <v>25506.22</v>
      </c>
      <c r="H268" s="16">
        <v>25700.44</v>
      </c>
      <c r="I268" s="16">
        <v>25922.799999999999</v>
      </c>
      <c r="J268" s="16">
        <v>25708.09</v>
      </c>
      <c r="K268" s="16">
        <v>25466.47</v>
      </c>
      <c r="L268" s="16">
        <v>25562.57</v>
      </c>
      <c r="M268" s="31"/>
      <c r="N268" s="31"/>
      <c r="O268" s="31"/>
      <c r="P268" s="31"/>
      <c r="Q268" s="31"/>
      <c r="R268" s="32"/>
      <c r="S268" s="33"/>
      <c r="T268" s="55"/>
      <c r="V268" s="47"/>
      <c r="W268" s="47"/>
      <c r="X268" s="48"/>
      <c r="Y268" s="48"/>
      <c r="Z268" s="49"/>
      <c r="AA268" s="49"/>
    </row>
    <row r="269" spans="1:27" ht="16.5" customHeight="1" thickBot="1">
      <c r="A269" s="94"/>
      <c r="B269" s="94"/>
      <c r="C269" s="34" t="s">
        <v>129</v>
      </c>
      <c r="D269" s="35">
        <f t="shared" ref="D269:L269" si="85">IF(((D267="")*AND(D268="")),"",(D267-D268)*3)</f>
        <v>11045.490000000005</v>
      </c>
      <c r="E269" s="35">
        <f t="shared" si="85"/>
        <v>11253.629999999997</v>
      </c>
      <c r="F269" s="35">
        <f t="shared" si="85"/>
        <v>11199.629999999997</v>
      </c>
      <c r="G269" s="35">
        <f t="shared" si="85"/>
        <v>11493.449999999993</v>
      </c>
      <c r="H269" s="35">
        <f t="shared" si="85"/>
        <v>11483.79</v>
      </c>
      <c r="I269" s="35">
        <f t="shared" si="85"/>
        <v>10601.220000000005</v>
      </c>
      <c r="J269" s="35">
        <f t="shared" si="85"/>
        <v>10838.939999999999</v>
      </c>
      <c r="K269" s="35">
        <f t="shared" si="85"/>
        <v>11638.080000000002</v>
      </c>
      <c r="L269" s="35">
        <f t="shared" si="85"/>
        <v>12010.02</v>
      </c>
      <c r="M269" s="36"/>
      <c r="N269" s="36"/>
      <c r="O269" s="36"/>
      <c r="P269" s="36"/>
      <c r="Q269" s="36"/>
      <c r="R269" s="37"/>
      <c r="S269" s="38"/>
      <c r="T269" s="56"/>
      <c r="U269" s="51"/>
      <c r="V269" s="50"/>
      <c r="W269" s="50"/>
      <c r="X269" s="51"/>
      <c r="Y269" s="51"/>
      <c r="Z269" s="52"/>
      <c r="AA269" s="52"/>
    </row>
    <row r="270" spans="1:27">
      <c r="A270" s="95">
        <v>43063</v>
      </c>
      <c r="B270" s="115" t="s">
        <v>429</v>
      </c>
      <c r="C270" s="26" t="s">
        <v>126</v>
      </c>
      <c r="D270" s="16">
        <v>29485.27</v>
      </c>
      <c r="E270" s="16">
        <v>29331.29</v>
      </c>
      <c r="F270" s="16">
        <v>29325.88</v>
      </c>
      <c r="G270" s="16">
        <v>29331.24</v>
      </c>
      <c r="H270" s="16">
        <v>29546.84</v>
      </c>
      <c r="I270" s="16">
        <v>29491.06</v>
      </c>
      <c r="J270" s="16">
        <v>29323.99</v>
      </c>
      <c r="K270" s="16">
        <v>29327.05</v>
      </c>
      <c r="L270" s="16">
        <v>29544.25</v>
      </c>
      <c r="M270" s="27">
        <f>IF((L271=""),"",MAX(D272:L272))</f>
        <v>10950.450000000004</v>
      </c>
      <c r="N270" s="27">
        <f>IF(L271="","",MIN(D272:L272))</f>
        <v>9498.6600000000035</v>
      </c>
      <c r="O270" s="27">
        <f>IF((L272=""),"",AVERAGE(D272:L272))</f>
        <v>10177.813333333337</v>
      </c>
      <c r="P270" s="27">
        <f>IF((L271=""),"",STDEV(D272:L272))</f>
        <v>456.34069742354569</v>
      </c>
      <c r="Q270" s="168">
        <f>IF((L271=""),"",((M270-N270)/(M270+P270))*100)</f>
        <v>12.727418592224335</v>
      </c>
      <c r="R270" s="28" t="str">
        <f>IF(L271="","",IF(Q270&lt;Z270,IF(N270&gt;V270,IF(M270&lt;W270,"Pass","Fail"),"Fail"),"Fail"))</f>
        <v>Pass</v>
      </c>
      <c r="S270" s="29">
        <v>121</v>
      </c>
      <c r="T270" s="16"/>
      <c r="U270" s="54" t="s">
        <v>185</v>
      </c>
      <c r="V270" s="53">
        <v>9000</v>
      </c>
      <c r="W270" s="22">
        <v>15600</v>
      </c>
      <c r="X270" s="40">
        <v>8090</v>
      </c>
      <c r="Y270" s="40">
        <v>12070</v>
      </c>
      <c r="Z270" s="49">
        <v>15</v>
      </c>
      <c r="AA270" s="49">
        <v>6</v>
      </c>
    </row>
    <row r="271" spans="1:27" ht="15.75" customHeight="1">
      <c r="A271" s="94"/>
      <c r="B271" s="94"/>
      <c r="C271" s="30" t="s">
        <v>128</v>
      </c>
      <c r="D271" s="16">
        <v>26215.86</v>
      </c>
      <c r="E271" s="16">
        <v>25951.94</v>
      </c>
      <c r="F271" s="16">
        <v>25966.01</v>
      </c>
      <c r="G271" s="16">
        <v>25866.28</v>
      </c>
      <c r="H271" s="16">
        <v>26082.55</v>
      </c>
      <c r="I271" s="16">
        <v>26324.84</v>
      </c>
      <c r="J271" s="16">
        <v>26077.07</v>
      </c>
      <c r="K271" s="16">
        <v>25794.78</v>
      </c>
      <c r="L271" s="16">
        <v>25894.1</v>
      </c>
      <c r="M271" s="31"/>
      <c r="N271" s="31"/>
      <c r="O271" s="31"/>
      <c r="P271" s="31"/>
      <c r="Q271" s="31"/>
      <c r="R271" s="32"/>
      <c r="S271" s="33"/>
      <c r="T271" s="55"/>
      <c r="V271" s="47"/>
      <c r="W271" s="47"/>
      <c r="X271" s="48"/>
      <c r="Y271" s="48"/>
      <c r="Z271" s="49"/>
      <c r="AA271" s="49"/>
    </row>
    <row r="272" spans="1:27" ht="16.5" customHeight="1" thickBot="1">
      <c r="A272" s="94"/>
      <c r="B272" s="94"/>
      <c r="C272" s="34" t="s">
        <v>129</v>
      </c>
      <c r="D272" s="35">
        <f t="shared" ref="D272:L272" si="86">IF(((D270="")*AND(D271="")),"",(D270-D271)*3)</f>
        <v>9808.23</v>
      </c>
      <c r="E272" s="35">
        <f t="shared" si="86"/>
        <v>10138.050000000007</v>
      </c>
      <c r="F272" s="35">
        <f t="shared" si="86"/>
        <v>10079.610000000008</v>
      </c>
      <c r="G272" s="35">
        <f t="shared" si="86"/>
        <v>10394.880000000008</v>
      </c>
      <c r="H272" s="35">
        <f t="shared" si="86"/>
        <v>10392.870000000003</v>
      </c>
      <c r="I272" s="35">
        <f t="shared" si="86"/>
        <v>9498.6600000000035</v>
      </c>
      <c r="J272" s="35">
        <f t="shared" si="86"/>
        <v>9740.7600000000057</v>
      </c>
      <c r="K272" s="35">
        <f t="shared" si="86"/>
        <v>10596.810000000001</v>
      </c>
      <c r="L272" s="35">
        <f t="shared" si="86"/>
        <v>10950.450000000004</v>
      </c>
      <c r="M272" s="36"/>
      <c r="N272" s="36"/>
      <c r="O272" s="36"/>
      <c r="P272" s="36"/>
      <c r="Q272" s="36"/>
      <c r="R272" s="37"/>
      <c r="S272" s="38"/>
      <c r="T272" s="56"/>
      <c r="U272" s="51"/>
      <c r="V272" s="50"/>
      <c r="W272" s="50"/>
      <c r="X272" s="51"/>
      <c r="Y272" s="51"/>
      <c r="Z272" s="52"/>
      <c r="AA272" s="52"/>
    </row>
    <row r="273" spans="1:27">
      <c r="A273" s="95">
        <v>43068</v>
      </c>
      <c r="B273" s="115" t="s">
        <v>429</v>
      </c>
      <c r="C273" s="26" t="s">
        <v>126</v>
      </c>
      <c r="D273" s="16">
        <v>29411.56</v>
      </c>
      <c r="E273" s="16">
        <v>29249.599999999999</v>
      </c>
      <c r="F273" s="16">
        <v>29310.27</v>
      </c>
      <c r="G273" s="16">
        <v>29251.45</v>
      </c>
      <c r="H273" s="16">
        <v>29510.67</v>
      </c>
      <c r="I273" s="16">
        <v>29382.78</v>
      </c>
      <c r="J273" s="16">
        <v>29242.07</v>
      </c>
      <c r="K273" s="16">
        <v>29242</v>
      </c>
      <c r="L273" s="16">
        <v>29494.33</v>
      </c>
      <c r="M273" s="27">
        <f>IF((L274=""),"",MAX(D275:L275))</f>
        <v>10548.450000000004</v>
      </c>
      <c r="N273" s="27">
        <f>IF(L274="","",MIN(D275:L275))</f>
        <v>9277.3199999999961</v>
      </c>
      <c r="O273" s="27">
        <f>IF((L275=""),"",AVERAGE(D275:L275))</f>
        <v>9829.0133333333324</v>
      </c>
      <c r="P273" s="27">
        <f>IF((L274=""),"",STDEV(D275:L275))</f>
        <v>411.96343560445342</v>
      </c>
      <c r="Q273" s="168">
        <f>IF((L274=""),"",((M273-N273)/(M273+P273))*100)</f>
        <v>11.597463977688962</v>
      </c>
      <c r="R273" s="28" t="str">
        <f>IF(L274="","",IF(Q273&lt;Z273,IF(N273&gt;V273,IF(M273&lt;W273,"Pass","Fail"),"Fail"),"Fail"))</f>
        <v>Pass</v>
      </c>
      <c r="S273" s="29">
        <v>1335</v>
      </c>
      <c r="T273" s="54" t="s">
        <v>186</v>
      </c>
      <c r="U273" s="40"/>
      <c r="V273" s="53">
        <v>9000</v>
      </c>
      <c r="W273" s="22">
        <v>15600</v>
      </c>
      <c r="X273" s="40">
        <v>8090</v>
      </c>
      <c r="Y273" s="40">
        <v>12070</v>
      </c>
      <c r="Z273" s="49">
        <v>15</v>
      </c>
      <c r="AA273" s="49">
        <v>6</v>
      </c>
    </row>
    <row r="274" spans="1:27" ht="15.75" customHeight="1">
      <c r="A274" s="94"/>
      <c r="B274" s="94"/>
      <c r="C274" s="30" t="s">
        <v>128</v>
      </c>
      <c r="D274" s="16">
        <v>26270.25</v>
      </c>
      <c r="E274" s="16">
        <v>25977.19</v>
      </c>
      <c r="F274" s="16">
        <v>26060.12</v>
      </c>
      <c r="G274" s="16">
        <v>25910.21</v>
      </c>
      <c r="H274" s="16">
        <v>26181.26</v>
      </c>
      <c r="I274" s="16">
        <v>26290.34</v>
      </c>
      <c r="J274" s="16">
        <v>26099.58</v>
      </c>
      <c r="K274" s="16">
        <v>25840.560000000001</v>
      </c>
      <c r="L274" s="16">
        <v>25978.18</v>
      </c>
      <c r="M274" s="31"/>
      <c r="N274" s="31"/>
      <c r="O274" s="31"/>
      <c r="P274" s="31"/>
      <c r="Q274" s="31"/>
      <c r="R274" s="32"/>
      <c r="S274" s="33"/>
      <c r="T274" s="55"/>
      <c r="V274" s="47"/>
      <c r="W274" s="47"/>
      <c r="X274" s="48"/>
      <c r="Y274" s="48"/>
      <c r="Z274" s="49"/>
      <c r="AA274" s="49"/>
    </row>
    <row r="275" spans="1:27" ht="16.5" customHeight="1" thickBot="1">
      <c r="A275" s="94"/>
      <c r="B275" s="94"/>
      <c r="C275" s="34" t="s">
        <v>129</v>
      </c>
      <c r="D275" s="35">
        <f t="shared" ref="D275:L275" si="87">IF(((D273="")*AND(D274="")),"",(D273-D274)*3)</f>
        <v>9423.9300000000039</v>
      </c>
      <c r="E275" s="35">
        <f t="shared" si="87"/>
        <v>9817.23</v>
      </c>
      <c r="F275" s="35">
        <f t="shared" si="87"/>
        <v>9750.4500000000044</v>
      </c>
      <c r="G275" s="35">
        <f t="shared" si="87"/>
        <v>10023.720000000005</v>
      </c>
      <c r="H275" s="35">
        <f t="shared" si="87"/>
        <v>9988.23</v>
      </c>
      <c r="I275" s="35">
        <f t="shared" si="87"/>
        <v>9277.3199999999961</v>
      </c>
      <c r="J275" s="35">
        <f t="shared" si="87"/>
        <v>9427.4699999999939</v>
      </c>
      <c r="K275" s="35">
        <f t="shared" si="87"/>
        <v>10204.319999999996</v>
      </c>
      <c r="L275" s="35">
        <f t="shared" si="87"/>
        <v>10548.450000000004</v>
      </c>
      <c r="M275" s="36"/>
      <c r="N275" s="36"/>
      <c r="O275" s="36"/>
      <c r="P275" s="36"/>
      <c r="Q275" s="36"/>
      <c r="R275" s="37"/>
      <c r="S275" s="38"/>
      <c r="T275" s="56"/>
      <c r="U275" s="51"/>
      <c r="V275" s="50"/>
      <c r="W275" s="50"/>
      <c r="X275" s="51"/>
      <c r="Y275" s="51"/>
      <c r="Z275" s="52"/>
      <c r="AA275" s="52"/>
    </row>
    <row r="276" spans="1:27">
      <c r="A276" s="95">
        <v>43043</v>
      </c>
      <c r="B276" s="115" t="s">
        <v>429</v>
      </c>
      <c r="C276" s="26" t="s">
        <v>126</v>
      </c>
      <c r="D276" s="16">
        <v>29324.05</v>
      </c>
      <c r="E276" s="16">
        <v>29174.59</v>
      </c>
      <c r="F276" s="16">
        <v>29244.16</v>
      </c>
      <c r="G276" s="16">
        <v>29185</v>
      </c>
      <c r="H276" s="16">
        <v>29401.17</v>
      </c>
      <c r="I276" s="16">
        <v>29322.79</v>
      </c>
      <c r="J276" s="16">
        <v>29159.95</v>
      </c>
      <c r="K276" s="16">
        <v>29177.51</v>
      </c>
      <c r="L276" s="16">
        <v>29377.72</v>
      </c>
      <c r="M276" s="27">
        <f>IF((L277=""),"",MAX(D278:L278))</f>
        <v>9796.4399999999987</v>
      </c>
      <c r="N276" s="27">
        <f>IF(L277="","",MIN(D278:L278))</f>
        <v>8618.0699999999961</v>
      </c>
      <c r="O276" s="27">
        <f>IF((L278=""),"",AVERAGE(D278:L278))</f>
        <v>9137.2233333333334</v>
      </c>
      <c r="P276" s="27">
        <f>IF((L277=""),"",STDEV(D278:L278))</f>
        <v>408.99512570445319</v>
      </c>
      <c r="Q276" s="168">
        <f>IF((L277=""),"",((M276-N276)/(M276+P276))*100)</f>
        <v>11.546494446199942</v>
      </c>
      <c r="R276" s="28" t="str">
        <f>IF(L277="","",IF(Q276&lt;Z276,IF(N276&gt;V276,IF(M276&lt;W276,"Pass","Fail"),"Fail"),"Fail"))</f>
        <v>Fail</v>
      </c>
      <c r="S276" s="29">
        <v>1428</v>
      </c>
      <c r="T276" s="16"/>
      <c r="U276" s="54" t="s">
        <v>168</v>
      </c>
      <c r="V276" s="53">
        <v>9000</v>
      </c>
      <c r="W276" s="22">
        <v>15600</v>
      </c>
      <c r="X276" s="40">
        <v>8090</v>
      </c>
      <c r="Y276" s="40">
        <v>12070</v>
      </c>
      <c r="Z276" s="49">
        <v>15</v>
      </c>
      <c r="AA276" s="49">
        <v>6</v>
      </c>
    </row>
    <row r="277" spans="1:27" ht="15.75" customHeight="1">
      <c r="A277" s="94"/>
      <c r="B277" s="94"/>
      <c r="C277" s="30" t="s">
        <v>128</v>
      </c>
      <c r="D277" s="16">
        <v>26198.720000000001</v>
      </c>
      <c r="E277" s="16">
        <v>26049.62</v>
      </c>
      <c r="F277" s="16">
        <v>26219.279999999999</v>
      </c>
      <c r="G277" s="16">
        <v>26170.1</v>
      </c>
      <c r="H277" s="16">
        <v>26528.48</v>
      </c>
      <c r="I277" s="16">
        <v>26057.31</v>
      </c>
      <c r="J277" s="16">
        <v>25987.08</v>
      </c>
      <c r="K277" s="16">
        <v>26251.77</v>
      </c>
      <c r="L277" s="16">
        <v>26492.91</v>
      </c>
      <c r="M277" s="31"/>
      <c r="N277" s="31"/>
      <c r="O277" s="31"/>
      <c r="P277" s="31"/>
      <c r="Q277" s="31"/>
      <c r="R277" s="32"/>
      <c r="S277" s="33"/>
      <c r="T277" s="55"/>
      <c r="V277" s="47"/>
      <c r="W277" s="47"/>
      <c r="X277" s="48"/>
      <c r="Y277" s="48"/>
      <c r="Z277" s="49"/>
      <c r="AA277" s="49"/>
    </row>
    <row r="278" spans="1:27" ht="16.5" customHeight="1" thickBot="1">
      <c r="A278" s="94"/>
      <c r="B278" s="94"/>
      <c r="C278" s="34" t="s">
        <v>129</v>
      </c>
      <c r="D278" s="35">
        <f t="shared" ref="D278:L278" si="88">IF(((D276="")*AND(D277="")),"",(D276-D277)*3)</f>
        <v>9375.9899999999943</v>
      </c>
      <c r="E278" s="35">
        <f t="shared" si="88"/>
        <v>9374.9100000000035</v>
      </c>
      <c r="F278" s="35">
        <f t="shared" si="88"/>
        <v>9074.6400000000031</v>
      </c>
      <c r="G278" s="35">
        <f t="shared" si="88"/>
        <v>9044.7000000000044</v>
      </c>
      <c r="H278" s="35">
        <f t="shared" si="88"/>
        <v>8618.0699999999961</v>
      </c>
      <c r="I278" s="35">
        <f t="shared" si="88"/>
        <v>9796.4399999999987</v>
      </c>
      <c r="J278" s="35">
        <f t="shared" si="88"/>
        <v>9518.6099999999969</v>
      </c>
      <c r="K278" s="35">
        <f t="shared" si="88"/>
        <v>8777.2199999999939</v>
      </c>
      <c r="L278" s="35">
        <f t="shared" si="88"/>
        <v>8654.4300000000039</v>
      </c>
      <c r="M278" s="36"/>
      <c r="N278" s="36"/>
      <c r="O278" s="36"/>
      <c r="P278" s="36"/>
      <c r="Q278" s="36"/>
      <c r="R278" s="37"/>
      <c r="S278" s="38"/>
      <c r="T278" s="56"/>
      <c r="U278" s="51"/>
      <c r="V278" s="50"/>
      <c r="W278" s="50"/>
      <c r="X278" s="51"/>
      <c r="Y278" s="51"/>
      <c r="Z278" s="52"/>
      <c r="AA278" s="52"/>
    </row>
    <row r="279" spans="1:27">
      <c r="A279" s="95">
        <v>43073</v>
      </c>
      <c r="B279" s="115" t="s">
        <v>429</v>
      </c>
      <c r="C279" s="26" t="s">
        <v>126</v>
      </c>
      <c r="D279" s="16">
        <v>29578.5</v>
      </c>
      <c r="E279" s="16">
        <v>29401.05</v>
      </c>
      <c r="F279" s="16">
        <v>29453.71</v>
      </c>
      <c r="G279" s="16">
        <v>29385.85</v>
      </c>
      <c r="H279" s="16">
        <v>29564.58</v>
      </c>
      <c r="I279" s="16">
        <v>29499.85</v>
      </c>
      <c r="J279" s="16">
        <v>29373.119999999999</v>
      </c>
      <c r="K279" s="16">
        <v>29390.29</v>
      </c>
      <c r="L279" s="16">
        <v>29621.59</v>
      </c>
      <c r="M279" s="27">
        <f>IF((L280=""),"",MAX(D281:L281))</f>
        <v>11356.919999999998</v>
      </c>
      <c r="N279" s="27">
        <f>IF(L280="","",MIN(D281:L281))</f>
        <v>10137.75</v>
      </c>
      <c r="O279" s="27">
        <f>IF((L281=""),"",AVERAGE(D281:L281))</f>
        <v>10776.626666666663</v>
      </c>
      <c r="P279" s="27">
        <f>IF((L280=""),"",STDEV(D281:L281))</f>
        <v>392.28511404341606</v>
      </c>
      <c r="Q279" s="168">
        <f>IF((L280=""),"",((M279-N279)/(M279+P279))*100)</f>
        <v>10.376616870385273</v>
      </c>
      <c r="R279" s="28" t="str">
        <f>IF(L280="","",IF(Q279&lt;Z279,IF(N279&gt;V279,IF(M279&lt;W279,"Pass","Fail"),"Fail"),"Fail"))</f>
        <v>Pass</v>
      </c>
      <c r="S279" s="29">
        <v>102</v>
      </c>
      <c r="T279" s="54"/>
      <c r="U279" s="40"/>
      <c r="V279" s="53">
        <v>9000</v>
      </c>
      <c r="W279" s="22">
        <v>15600</v>
      </c>
      <c r="X279" s="40">
        <v>8090</v>
      </c>
      <c r="Y279" s="40">
        <v>12070</v>
      </c>
      <c r="Z279" s="49">
        <v>15</v>
      </c>
      <c r="AA279" s="49">
        <v>6</v>
      </c>
    </row>
    <row r="280" spans="1:27" ht="15.75" customHeight="1">
      <c r="A280" s="94"/>
      <c r="B280" s="94"/>
      <c r="C280" s="30" t="s">
        <v>128</v>
      </c>
      <c r="D280" s="16">
        <v>26108.74</v>
      </c>
      <c r="E280" s="16">
        <v>25788.79</v>
      </c>
      <c r="F280" s="16">
        <v>25862.46</v>
      </c>
      <c r="G280" s="16">
        <v>25717.77</v>
      </c>
      <c r="H280" s="16">
        <v>25921.47</v>
      </c>
      <c r="I280" s="16">
        <v>26120.6</v>
      </c>
      <c r="J280" s="16">
        <v>25905.88</v>
      </c>
      <c r="K280" s="16">
        <v>25677</v>
      </c>
      <c r="L280" s="16">
        <v>25835.95</v>
      </c>
      <c r="M280" s="31"/>
      <c r="N280" s="31"/>
      <c r="O280" s="31"/>
      <c r="P280" s="31"/>
      <c r="Q280" s="31"/>
      <c r="R280" s="32"/>
      <c r="S280" s="33"/>
      <c r="T280" s="55"/>
      <c r="V280" s="47"/>
      <c r="W280" s="47"/>
      <c r="X280" s="48"/>
      <c r="Y280" s="48"/>
      <c r="Z280" s="49"/>
      <c r="AA280" s="49"/>
    </row>
    <row r="281" spans="1:27" ht="16.5" customHeight="1" thickBot="1">
      <c r="A281" s="94"/>
      <c r="B281" s="94"/>
      <c r="C281" s="34" t="s">
        <v>129</v>
      </c>
      <c r="D281" s="35">
        <f t="shared" ref="D281:L281" si="89">IF(((D279="")*AND(D280="")),"",(D279-D280)*3)</f>
        <v>10409.279999999995</v>
      </c>
      <c r="E281" s="35">
        <f t="shared" si="89"/>
        <v>10836.779999999995</v>
      </c>
      <c r="F281" s="35">
        <f t="shared" si="89"/>
        <v>10773.75</v>
      </c>
      <c r="G281" s="35">
        <f t="shared" si="89"/>
        <v>11004.239999999994</v>
      </c>
      <c r="H281" s="35">
        <f t="shared" si="89"/>
        <v>10929.330000000002</v>
      </c>
      <c r="I281" s="35">
        <f t="shared" si="89"/>
        <v>10137.75</v>
      </c>
      <c r="J281" s="35">
        <f t="shared" si="89"/>
        <v>10401.719999999994</v>
      </c>
      <c r="K281" s="35">
        <f t="shared" si="89"/>
        <v>11139.870000000003</v>
      </c>
      <c r="L281" s="35">
        <f t="shared" si="89"/>
        <v>11356.919999999998</v>
      </c>
      <c r="M281" s="36"/>
      <c r="N281" s="36"/>
      <c r="O281" s="36"/>
      <c r="P281" s="36"/>
      <c r="Q281" s="36"/>
      <c r="R281" s="37"/>
      <c r="S281" s="38"/>
      <c r="T281" s="56"/>
      <c r="U281" s="51"/>
      <c r="V281" s="50"/>
      <c r="W281" s="50"/>
      <c r="X281" s="51"/>
      <c r="Y281" s="51"/>
      <c r="Z281" s="52"/>
      <c r="AA281" s="52"/>
    </row>
    <row r="282" spans="1:27">
      <c r="A282" s="95">
        <v>43076</v>
      </c>
      <c r="B282" s="115" t="s">
        <v>429</v>
      </c>
      <c r="C282" s="26" t="s">
        <v>126</v>
      </c>
      <c r="D282" s="16">
        <v>29293.75</v>
      </c>
      <c r="E282" s="16">
        <v>29155.54</v>
      </c>
      <c r="F282" s="16">
        <v>29221.919999999998</v>
      </c>
      <c r="G282" s="16">
        <v>29132.32</v>
      </c>
      <c r="H282" s="16">
        <v>29337.77</v>
      </c>
      <c r="I282" s="16">
        <v>29290.81</v>
      </c>
      <c r="J282" s="16">
        <v>29136.51</v>
      </c>
      <c r="K282" s="16">
        <v>29153.5</v>
      </c>
      <c r="L282" s="16">
        <v>29357.98</v>
      </c>
      <c r="M282" s="27">
        <f>IF((L283=""),"",MAX(D284:L284))</f>
        <v>10269.990000000005</v>
      </c>
      <c r="N282" s="27">
        <f>IF(L283="","",MIN(D284:L284))</f>
        <v>8964.6899999999987</v>
      </c>
      <c r="O282" s="27">
        <f>IF((L284=""),"",AVERAGE(D284:L284))</f>
        <v>9582.19</v>
      </c>
      <c r="P282" s="27">
        <f>IF((L283=""),"",STDEV(D284:L284))</f>
        <v>421.13773604962046</v>
      </c>
      <c r="Q282" s="168">
        <f>IF((L283=""),"",((M282-N282)/(M282+P282))*100)</f>
        <v>12.209189079264664</v>
      </c>
      <c r="R282" s="28" t="str">
        <f>IF(L283="","",IF(Q282&lt;Z282,IF(N282&gt;V282,IF(M282&lt;W282,"Pass","Fail"),"Fail"),"Fail"))</f>
        <v>Fail</v>
      </c>
      <c r="S282" s="29">
        <v>103</v>
      </c>
      <c r="T282" s="54"/>
      <c r="U282" s="40"/>
      <c r="V282" s="53">
        <v>9000</v>
      </c>
      <c r="W282" s="22">
        <v>15600</v>
      </c>
      <c r="X282" s="40">
        <v>8090</v>
      </c>
      <c r="Y282" s="40">
        <v>12070</v>
      </c>
      <c r="Z282" s="49">
        <v>15</v>
      </c>
      <c r="AA282" s="49">
        <v>6</v>
      </c>
    </row>
    <row r="283" spans="1:27" ht="15.75" customHeight="1">
      <c r="A283" s="94"/>
      <c r="B283" s="94"/>
      <c r="C283" s="30" t="s">
        <v>128</v>
      </c>
      <c r="D283" s="16">
        <v>26045.75</v>
      </c>
      <c r="E283" s="16">
        <v>25875.62</v>
      </c>
      <c r="F283" s="16">
        <v>26026.3</v>
      </c>
      <c r="G283" s="16">
        <v>25967.08</v>
      </c>
      <c r="H283" s="16">
        <v>26349.54</v>
      </c>
      <c r="I283" s="16">
        <v>25867.48</v>
      </c>
      <c r="J283" s="16">
        <v>25817.17</v>
      </c>
      <c r="K283" s="16">
        <v>26060.14</v>
      </c>
      <c r="L283" s="16">
        <v>26324.45</v>
      </c>
      <c r="M283" s="31"/>
      <c r="N283" s="31"/>
      <c r="O283" s="31"/>
      <c r="P283" s="31"/>
      <c r="Q283" s="31"/>
      <c r="R283" s="32"/>
      <c r="S283" s="33"/>
      <c r="T283" s="55"/>
      <c r="V283" s="47"/>
      <c r="W283" s="47"/>
      <c r="X283" s="48"/>
      <c r="Y283" s="48"/>
      <c r="Z283" s="49"/>
      <c r="AA283" s="49"/>
    </row>
    <row r="284" spans="1:27" ht="16.5" customHeight="1" thickBot="1">
      <c r="A284" s="94"/>
      <c r="B284" s="94"/>
      <c r="C284" s="34" t="s">
        <v>129</v>
      </c>
      <c r="D284" s="35">
        <f t="shared" ref="D284:L284" si="90">IF(((D282="")*AND(D283="")),"",(D282-D283)*3)</f>
        <v>9744</v>
      </c>
      <c r="E284" s="35">
        <f t="shared" si="90"/>
        <v>9839.7600000000057</v>
      </c>
      <c r="F284" s="35">
        <f t="shared" si="90"/>
        <v>9586.8599999999969</v>
      </c>
      <c r="G284" s="35">
        <f t="shared" si="90"/>
        <v>9495.7199999999939</v>
      </c>
      <c r="H284" s="35">
        <f t="shared" si="90"/>
        <v>8964.6899999999987</v>
      </c>
      <c r="I284" s="35">
        <f t="shared" si="90"/>
        <v>10269.990000000005</v>
      </c>
      <c r="J284" s="35">
        <f t="shared" si="90"/>
        <v>9958.02</v>
      </c>
      <c r="K284" s="35">
        <f t="shared" si="90"/>
        <v>9280.0800000000017</v>
      </c>
      <c r="L284" s="35">
        <f t="shared" si="90"/>
        <v>9100.5899999999965</v>
      </c>
      <c r="M284" s="36"/>
      <c r="N284" s="36"/>
      <c r="O284" s="36"/>
      <c r="P284" s="36"/>
      <c r="Q284" s="36"/>
      <c r="R284" s="37"/>
      <c r="S284" s="38"/>
      <c r="T284" s="56"/>
      <c r="U284" s="51"/>
      <c r="V284" s="50"/>
      <c r="W284" s="50"/>
      <c r="X284" s="51"/>
      <c r="Y284" s="51"/>
      <c r="Z284" s="52"/>
      <c r="AA284" s="52"/>
    </row>
    <row r="285" spans="1:27">
      <c r="A285" s="95">
        <v>43081</v>
      </c>
      <c r="B285" s="115" t="s">
        <v>429</v>
      </c>
      <c r="C285" s="26" t="s">
        <v>126</v>
      </c>
      <c r="D285" s="16">
        <v>29323.21</v>
      </c>
      <c r="E285" s="16">
        <v>29152.19</v>
      </c>
      <c r="F285" s="16">
        <v>29214.82</v>
      </c>
      <c r="G285" s="16">
        <v>29166.43</v>
      </c>
      <c r="H285" s="16">
        <v>29424.36</v>
      </c>
      <c r="I285" s="16">
        <v>29306.86</v>
      </c>
      <c r="J285" s="16">
        <v>29148.94</v>
      </c>
      <c r="K285" s="16">
        <v>29155.27</v>
      </c>
      <c r="L285" s="16">
        <v>29393.21</v>
      </c>
      <c r="M285" s="27">
        <f>IF((L286=""),"",MAX(D287:L287))</f>
        <v>10146.899999999998</v>
      </c>
      <c r="N285" s="27">
        <f>IF(L286="","",MIN(D287:L287))</f>
        <v>8952.2099999999991</v>
      </c>
      <c r="O285" s="27">
        <f>IF((L287=""),"",AVERAGE(D287:L287))</f>
        <v>9461.5566666666637</v>
      </c>
      <c r="P285" s="27">
        <f>IF((L286=""),"",STDEV(D287:L287))</f>
        <v>407.13488532673961</v>
      </c>
      <c r="Q285" s="168">
        <f>IF((L286=""),"",((M285-N285)/(M285+P285))*100)</f>
        <v>11.319746551728523</v>
      </c>
      <c r="R285" s="28" t="str">
        <f>IF(L286="","",IF(Q285&lt;Z285,IF(N285&gt;V285,IF(M285&lt;W285,"Pass","Fail"),"Fail"),"Fail"))</f>
        <v>Fail</v>
      </c>
      <c r="S285" s="29">
        <v>1159</v>
      </c>
      <c r="T285" s="16"/>
      <c r="U285" s="54" t="s">
        <v>187</v>
      </c>
      <c r="V285" s="53">
        <v>9000</v>
      </c>
      <c r="W285" s="22">
        <v>15600</v>
      </c>
      <c r="X285" s="40">
        <v>8090</v>
      </c>
      <c r="Y285" s="40">
        <v>12070</v>
      </c>
      <c r="Z285" s="49">
        <v>15</v>
      </c>
      <c r="AA285" s="49">
        <v>6</v>
      </c>
    </row>
    <row r="286" spans="1:27" ht="15.75" customHeight="1">
      <c r="A286" s="94"/>
      <c r="B286" s="94"/>
      <c r="C286" s="30" t="s">
        <v>128</v>
      </c>
      <c r="D286" s="16">
        <v>26339.14</v>
      </c>
      <c r="E286" s="16">
        <v>26018.49</v>
      </c>
      <c r="F286" s="16">
        <v>26084.11</v>
      </c>
      <c r="G286" s="16">
        <v>25938.02</v>
      </c>
      <c r="H286" s="16">
        <v>26209.06</v>
      </c>
      <c r="I286" s="16">
        <v>26309.97</v>
      </c>
      <c r="J286" s="16">
        <v>26117.59</v>
      </c>
      <c r="K286" s="16">
        <v>25873.33</v>
      </c>
      <c r="L286" s="16">
        <v>26010.91</v>
      </c>
      <c r="M286" s="31"/>
      <c r="N286" s="31"/>
      <c r="O286" s="31"/>
      <c r="P286" s="31"/>
      <c r="Q286" s="31"/>
      <c r="R286" s="32"/>
      <c r="S286" s="33"/>
      <c r="T286" s="55"/>
      <c r="V286" s="47"/>
      <c r="W286" s="47"/>
      <c r="X286" s="48"/>
      <c r="Y286" s="48"/>
      <c r="Z286" s="49"/>
      <c r="AA286" s="49"/>
    </row>
    <row r="287" spans="1:27" ht="16.5" customHeight="1" thickBot="1">
      <c r="A287" s="94"/>
      <c r="B287" s="94"/>
      <c r="C287" s="34" t="s">
        <v>129</v>
      </c>
      <c r="D287" s="35">
        <f t="shared" ref="D287:L287" si="91">IF(((D285="")*AND(D286="")),"",(D285-D286)*3)</f>
        <v>8952.2099999999991</v>
      </c>
      <c r="E287" s="35">
        <f t="shared" si="91"/>
        <v>9401.0999999999913</v>
      </c>
      <c r="F287" s="35">
        <f t="shared" si="91"/>
        <v>9392.1299999999974</v>
      </c>
      <c r="G287" s="35">
        <f t="shared" si="91"/>
        <v>9685.23</v>
      </c>
      <c r="H287" s="35">
        <f t="shared" si="91"/>
        <v>9645.8999999999978</v>
      </c>
      <c r="I287" s="35">
        <f t="shared" si="91"/>
        <v>8990.6699999999983</v>
      </c>
      <c r="J287" s="35">
        <f t="shared" si="91"/>
        <v>9094.0499999999956</v>
      </c>
      <c r="K287" s="35">
        <f t="shared" si="91"/>
        <v>9845.8199999999961</v>
      </c>
      <c r="L287" s="35">
        <f t="shared" si="91"/>
        <v>10146.899999999998</v>
      </c>
      <c r="M287" s="36"/>
      <c r="N287" s="36"/>
      <c r="O287" s="36"/>
      <c r="P287" s="36"/>
      <c r="Q287" s="36"/>
      <c r="R287" s="37"/>
      <c r="S287" s="38"/>
      <c r="T287" s="56"/>
      <c r="U287" s="51"/>
      <c r="V287" s="50"/>
      <c r="W287" s="50"/>
      <c r="X287" s="51"/>
      <c r="Y287" s="51"/>
      <c r="Z287" s="52"/>
      <c r="AA287" s="52"/>
    </row>
    <row r="288" spans="1:27">
      <c r="A288" s="95">
        <v>43085</v>
      </c>
      <c r="B288" s="115" t="s">
        <v>429</v>
      </c>
      <c r="C288" s="26" t="s">
        <v>126</v>
      </c>
      <c r="D288" s="16">
        <v>29325.98</v>
      </c>
      <c r="E288" s="16">
        <v>29133.78</v>
      </c>
      <c r="F288" s="16">
        <v>29141.88</v>
      </c>
      <c r="G288" s="16">
        <v>29143.09</v>
      </c>
      <c r="H288" s="16">
        <v>29366.18</v>
      </c>
      <c r="I288" s="16">
        <v>29278.87</v>
      </c>
      <c r="J288" s="16">
        <v>29119.93</v>
      </c>
      <c r="K288" s="16">
        <v>29126.959999999999</v>
      </c>
      <c r="L288" s="16">
        <v>29377.759999999998</v>
      </c>
      <c r="M288" s="27">
        <f>IF((L289=""),"",MAX(D290:L290))</f>
        <v>10506.299999999996</v>
      </c>
      <c r="N288" s="27">
        <f>IF(L289="","",MIN(D290:L290))</f>
        <v>9322.7099999999991</v>
      </c>
      <c r="O288" s="27">
        <f>IF((L290=""),"",AVERAGE(D290:L290))</f>
        <v>9907.5166666666664</v>
      </c>
      <c r="P288" s="27">
        <f>IF((L289=""),"",STDEV(D290:L290))</f>
        <v>400.6654164324587</v>
      </c>
      <c r="Q288" s="168">
        <f>IF((L289=""),"",((M288-N288)/(M288+P288))*100)</f>
        <v>10.851689308712739</v>
      </c>
      <c r="R288" s="28" t="str">
        <f>IF(L289="","",IF(Q288&lt;Z288,IF(N288&gt;V288,IF(M288&lt;W288,"Pass","Fail"),"Fail"),"Fail"))</f>
        <v>Pass</v>
      </c>
      <c r="S288" s="29">
        <v>121</v>
      </c>
      <c r="T288" s="54"/>
      <c r="U288" s="40"/>
      <c r="V288" s="53">
        <v>9000</v>
      </c>
      <c r="W288" s="22">
        <v>15600</v>
      </c>
      <c r="X288" s="40">
        <v>8090</v>
      </c>
      <c r="Y288" s="40">
        <v>12070</v>
      </c>
      <c r="Z288" s="49">
        <v>15</v>
      </c>
      <c r="AA288" s="49">
        <v>6</v>
      </c>
    </row>
    <row r="289" spans="1:27" ht="15.75" customHeight="1">
      <c r="A289" s="94"/>
      <c r="B289" s="94"/>
      <c r="C289" s="30" t="s">
        <v>128</v>
      </c>
      <c r="D289" s="16">
        <v>26190.62</v>
      </c>
      <c r="E289" s="16">
        <v>25838.81</v>
      </c>
      <c r="F289" s="16">
        <v>25836.54</v>
      </c>
      <c r="G289" s="16">
        <v>25755.71</v>
      </c>
      <c r="H289" s="16">
        <v>26000.959999999999</v>
      </c>
      <c r="I289" s="16">
        <v>26171.3</v>
      </c>
      <c r="J289" s="16">
        <v>25920.6</v>
      </c>
      <c r="K289" s="16">
        <v>25701.68</v>
      </c>
      <c r="L289" s="16">
        <v>25875.66</v>
      </c>
      <c r="M289" s="31"/>
      <c r="N289" s="31"/>
      <c r="O289" s="31"/>
      <c r="P289" s="31"/>
      <c r="Q289" s="31"/>
      <c r="R289" s="32"/>
      <c r="S289" s="33"/>
      <c r="T289" s="55"/>
      <c r="V289" s="47"/>
      <c r="W289" s="47"/>
      <c r="X289" s="48"/>
      <c r="Y289" s="48"/>
      <c r="Z289" s="49"/>
      <c r="AA289" s="49"/>
    </row>
    <row r="290" spans="1:27" ht="16.5" customHeight="1" thickBot="1">
      <c r="A290" s="94"/>
      <c r="B290" s="94"/>
      <c r="C290" s="34" t="s">
        <v>129</v>
      </c>
      <c r="D290" s="35">
        <f t="shared" ref="D290:L290" si="92">IF(((D288="")*AND(D289="")),"",(D288-D289)*3)</f>
        <v>9406.0800000000017</v>
      </c>
      <c r="E290" s="35">
        <f t="shared" si="92"/>
        <v>9884.9099999999926</v>
      </c>
      <c r="F290" s="35">
        <f t="shared" si="92"/>
        <v>9916.02</v>
      </c>
      <c r="G290" s="35">
        <f t="shared" si="92"/>
        <v>10162.140000000003</v>
      </c>
      <c r="H290" s="35">
        <f t="shared" si="92"/>
        <v>10095.660000000003</v>
      </c>
      <c r="I290" s="35">
        <f t="shared" si="92"/>
        <v>9322.7099999999991</v>
      </c>
      <c r="J290" s="35">
        <f t="shared" si="92"/>
        <v>9597.9900000000052</v>
      </c>
      <c r="K290" s="35">
        <f t="shared" si="92"/>
        <v>10275.839999999997</v>
      </c>
      <c r="L290" s="35">
        <f t="shared" si="92"/>
        <v>10506.299999999996</v>
      </c>
      <c r="M290" s="36"/>
      <c r="N290" s="36"/>
      <c r="O290" s="36"/>
      <c r="P290" s="36"/>
      <c r="Q290" s="36"/>
      <c r="R290" s="37"/>
      <c r="S290" s="38"/>
      <c r="T290" s="56"/>
      <c r="U290" s="51"/>
      <c r="V290" s="50"/>
      <c r="W290" s="50"/>
      <c r="X290" s="51"/>
      <c r="Y290" s="51"/>
      <c r="Z290" s="52"/>
      <c r="AA290" s="52"/>
    </row>
    <row r="291" spans="1:27">
      <c r="A291" s="95">
        <v>43090</v>
      </c>
      <c r="B291" s="115" t="s">
        <v>429</v>
      </c>
      <c r="C291" s="26" t="s">
        <v>126</v>
      </c>
      <c r="D291" s="16">
        <v>29238.75</v>
      </c>
      <c r="E291" s="16">
        <v>29107.59</v>
      </c>
      <c r="F291" s="16">
        <v>29151.279999999999</v>
      </c>
      <c r="G291" s="16">
        <v>29107.74</v>
      </c>
      <c r="H291" s="16">
        <v>29324.75</v>
      </c>
      <c r="I291" s="16">
        <v>29256.23</v>
      </c>
      <c r="J291" s="16">
        <v>29085.84</v>
      </c>
      <c r="K291" s="16">
        <v>29108.35</v>
      </c>
      <c r="L291" s="16">
        <v>29338.45</v>
      </c>
      <c r="M291" s="27">
        <f>IF((L292=""),"",MAX(D293:L293))</f>
        <v>9914.4900000000052</v>
      </c>
      <c r="N291" s="27">
        <f>IF(L292="","",MIN(D293:L293))</f>
        <v>8688.8999999999978</v>
      </c>
      <c r="O291" s="27">
        <f>IF((L293=""),"",AVERAGE(D293:L293))</f>
        <v>9207.0999999999985</v>
      </c>
      <c r="P291" s="27">
        <f>IF((L292=""),"",STDEV(D293:L293))</f>
        <v>416.09883173957923</v>
      </c>
      <c r="Q291" s="168">
        <f>IF((L292=""),"",((M291-N291)/(M291+P291))*100)</f>
        <v>11.863699349203781</v>
      </c>
      <c r="R291" s="28" t="str">
        <f>IF(L292="","",IF(Q291&lt;Z291,IF(N291&gt;V291,IF(M291&lt;W291,"Pass","Fail"),"Fail"),"Fail"))</f>
        <v>Fail</v>
      </c>
      <c r="S291" s="29">
        <v>1335</v>
      </c>
      <c r="T291" s="54"/>
      <c r="U291" s="40"/>
      <c r="V291" s="53">
        <v>9000</v>
      </c>
      <c r="W291" s="22">
        <v>15600</v>
      </c>
      <c r="X291" s="40">
        <v>8090</v>
      </c>
      <c r="Y291" s="40">
        <v>12070</v>
      </c>
      <c r="Z291" s="49">
        <v>15</v>
      </c>
      <c r="AA291" s="49">
        <v>6</v>
      </c>
    </row>
    <row r="292" spans="1:27" ht="15.75" customHeight="1">
      <c r="A292" s="94"/>
      <c r="B292" s="94"/>
      <c r="C292" s="30" t="s">
        <v>128</v>
      </c>
      <c r="D292" s="16">
        <v>26327.81</v>
      </c>
      <c r="E292" s="16">
        <v>26030.959999999999</v>
      </c>
      <c r="F292" s="16">
        <v>26093.119999999999</v>
      </c>
      <c r="G292" s="16">
        <v>25969.119999999999</v>
      </c>
      <c r="H292" s="16">
        <v>26245.45</v>
      </c>
      <c r="I292" s="16">
        <v>26359.93</v>
      </c>
      <c r="J292" s="16">
        <v>26145.74</v>
      </c>
      <c r="K292" s="16">
        <v>25891.93</v>
      </c>
      <c r="L292" s="16">
        <v>26033.62</v>
      </c>
      <c r="M292" s="31"/>
      <c r="N292" s="31"/>
      <c r="O292" s="31"/>
      <c r="P292" s="31"/>
      <c r="Q292" s="31"/>
      <c r="R292" s="32"/>
      <c r="S292" s="33"/>
      <c r="T292" s="55"/>
      <c r="V292" s="47"/>
      <c r="W292" s="47"/>
      <c r="X292" s="48"/>
      <c r="Y292" s="48"/>
      <c r="Z292" s="49"/>
      <c r="AA292" s="49"/>
    </row>
    <row r="293" spans="1:27" ht="16.5" customHeight="1" thickBot="1">
      <c r="A293" s="94"/>
      <c r="B293" s="94"/>
      <c r="C293" s="34" t="s">
        <v>129</v>
      </c>
      <c r="D293" s="35">
        <f t="shared" ref="D293:L293" si="93">IF(((D291="")*AND(D292="")),"",(D291-D292)*3)</f>
        <v>8732.8199999999961</v>
      </c>
      <c r="E293" s="35">
        <f t="shared" si="93"/>
        <v>9229.8900000000031</v>
      </c>
      <c r="F293" s="35">
        <f t="shared" si="93"/>
        <v>9174.48</v>
      </c>
      <c r="G293" s="35">
        <f t="shared" si="93"/>
        <v>9415.8600000000079</v>
      </c>
      <c r="H293" s="35">
        <f t="shared" si="93"/>
        <v>9237.8999999999978</v>
      </c>
      <c r="I293" s="35">
        <f t="shared" si="93"/>
        <v>8688.8999999999978</v>
      </c>
      <c r="J293" s="35">
        <f t="shared" si="93"/>
        <v>8820.2999999999956</v>
      </c>
      <c r="K293" s="35">
        <f t="shared" si="93"/>
        <v>9649.2599999999948</v>
      </c>
      <c r="L293" s="35">
        <f t="shared" si="93"/>
        <v>9914.4900000000052</v>
      </c>
      <c r="M293" s="36"/>
      <c r="N293" s="36"/>
      <c r="O293" s="36"/>
      <c r="P293" s="36"/>
      <c r="Q293" s="36"/>
      <c r="R293" s="37"/>
      <c r="S293" s="38"/>
      <c r="T293" s="56"/>
      <c r="U293" s="51"/>
      <c r="V293" s="50"/>
      <c r="W293" s="50"/>
      <c r="X293" s="51"/>
      <c r="Y293" s="51"/>
      <c r="Z293" s="52"/>
      <c r="AA293" s="52"/>
    </row>
    <row r="294" spans="1:27">
      <c r="A294" s="95">
        <v>43095</v>
      </c>
      <c r="B294" s="115" t="s">
        <v>429</v>
      </c>
      <c r="C294" s="26" t="s">
        <v>126</v>
      </c>
      <c r="D294" s="16">
        <v>29230.720000000001</v>
      </c>
      <c r="E294" s="16">
        <v>29037.31</v>
      </c>
      <c r="F294" s="16">
        <v>29037.13</v>
      </c>
      <c r="G294" s="16">
        <v>29025.67</v>
      </c>
      <c r="H294" s="16">
        <v>29268.26</v>
      </c>
      <c r="I294" s="16">
        <v>29214.71</v>
      </c>
      <c r="J294" s="16">
        <v>29017.8</v>
      </c>
      <c r="K294" s="16">
        <v>29029.8</v>
      </c>
      <c r="L294" s="16">
        <v>29291.59</v>
      </c>
      <c r="M294" s="27">
        <f>IF((L295=""),"",MAX(D296:L296))</f>
        <v>10321.560000000001</v>
      </c>
      <c r="N294" s="27">
        <f>IF(L295="","",MIN(D296:L296))</f>
        <v>9269.5499999999956</v>
      </c>
      <c r="O294" s="27">
        <f>IF((L296=""),"",AVERAGE(D296:L296))</f>
        <v>9858.4800000000032</v>
      </c>
      <c r="P294" s="27">
        <f>IF((L295=""),"",STDEV(D296:L296))</f>
        <v>348.59115995672158</v>
      </c>
      <c r="Q294" s="168">
        <f>IF((L295=""),"",((M294-N294)/(M294+P294))*100)</f>
        <v>9.8593729763456572</v>
      </c>
      <c r="R294" s="28" t="str">
        <f>IF(L295="","",IF(Q294&lt;Z294,IF(N294&gt;V294,IF(M294&lt;W294,"Pass","Fail"),"Fail"),"Fail"))</f>
        <v>Pass</v>
      </c>
      <c r="S294" s="29">
        <v>64</v>
      </c>
      <c r="T294" s="54"/>
      <c r="U294" s="40"/>
      <c r="V294" s="53">
        <v>9000</v>
      </c>
      <c r="W294" s="22">
        <v>15600</v>
      </c>
      <c r="X294" s="40">
        <v>8090</v>
      </c>
      <c r="Y294" s="40">
        <v>12070</v>
      </c>
      <c r="Z294" s="49">
        <v>15</v>
      </c>
      <c r="AA294" s="49">
        <v>6</v>
      </c>
    </row>
    <row r="295" spans="1:27" ht="15.75" customHeight="1">
      <c r="A295" s="94"/>
      <c r="B295" s="94"/>
      <c r="C295" s="30" t="s">
        <v>128</v>
      </c>
      <c r="D295" s="16">
        <v>25903.43</v>
      </c>
      <c r="E295" s="16">
        <v>25659.51</v>
      </c>
      <c r="F295" s="16">
        <v>25744.42</v>
      </c>
      <c r="G295" s="16">
        <v>25739.59</v>
      </c>
      <c r="H295" s="16">
        <v>26178.41</v>
      </c>
      <c r="I295" s="16">
        <v>25774.19</v>
      </c>
      <c r="J295" s="16">
        <v>25621.1</v>
      </c>
      <c r="K295" s="16">
        <v>25818.39</v>
      </c>
      <c r="L295" s="16">
        <v>26138.51</v>
      </c>
      <c r="M295" s="31"/>
      <c r="N295" s="31"/>
      <c r="O295" s="31"/>
      <c r="P295" s="31"/>
      <c r="Q295" s="31"/>
      <c r="R295" s="32"/>
      <c r="S295" s="33"/>
      <c r="T295" s="55"/>
      <c r="V295" s="47"/>
      <c r="W295" s="47"/>
      <c r="X295" s="48"/>
      <c r="Y295" s="48"/>
      <c r="Z295" s="49"/>
      <c r="AA295" s="49"/>
    </row>
    <row r="296" spans="1:27" ht="16.5" customHeight="1" thickBot="1">
      <c r="A296" s="94"/>
      <c r="B296" s="94"/>
      <c r="C296" s="34" t="s">
        <v>129</v>
      </c>
      <c r="D296" s="35">
        <f t="shared" ref="D296:L296" si="94">IF(((D294="")*AND(D295="")),"",(D294-D295)*3)</f>
        <v>9981.8700000000026</v>
      </c>
      <c r="E296" s="35">
        <f t="shared" si="94"/>
        <v>10133.400000000009</v>
      </c>
      <c r="F296" s="35">
        <f t="shared" si="94"/>
        <v>9878.1300000000083</v>
      </c>
      <c r="G296" s="35">
        <f t="shared" si="94"/>
        <v>9858.2399999999943</v>
      </c>
      <c r="H296" s="35">
        <f t="shared" si="94"/>
        <v>9269.5499999999956</v>
      </c>
      <c r="I296" s="35">
        <f t="shared" si="94"/>
        <v>10321.560000000001</v>
      </c>
      <c r="J296" s="35">
        <f t="shared" si="94"/>
        <v>10190.100000000002</v>
      </c>
      <c r="K296" s="35">
        <f t="shared" si="94"/>
        <v>9634.23</v>
      </c>
      <c r="L296" s="35">
        <f t="shared" si="94"/>
        <v>9459.2400000000052</v>
      </c>
      <c r="M296" s="36"/>
      <c r="N296" s="36"/>
      <c r="O296" s="36"/>
      <c r="P296" s="36"/>
      <c r="Q296" s="36"/>
      <c r="R296" s="37"/>
      <c r="S296" s="38"/>
      <c r="T296" s="56"/>
      <c r="U296" s="51"/>
      <c r="V296" s="50"/>
      <c r="W296" s="50"/>
      <c r="X296" s="51"/>
      <c r="Y296" s="51"/>
      <c r="Z296" s="52"/>
      <c r="AA296" s="52"/>
    </row>
    <row r="297" spans="1:27">
      <c r="A297" s="95">
        <v>43097</v>
      </c>
      <c r="B297" s="115" t="s">
        <v>429</v>
      </c>
      <c r="C297" s="26" t="s">
        <v>126</v>
      </c>
      <c r="D297" s="16">
        <v>29234.639999999999</v>
      </c>
      <c r="E297" s="16">
        <v>29022.68</v>
      </c>
      <c r="F297" s="16">
        <v>29021.5</v>
      </c>
      <c r="G297" s="16">
        <v>29011.38</v>
      </c>
      <c r="H297" s="16">
        <v>29246.87</v>
      </c>
      <c r="I297" s="16">
        <v>29191.8</v>
      </c>
      <c r="J297" s="16">
        <v>29016.19</v>
      </c>
      <c r="K297" s="16">
        <v>29020.25</v>
      </c>
      <c r="L297" s="16">
        <v>29249.9</v>
      </c>
      <c r="M297" s="27">
        <f>IF((L298=""),"",MAX(D299:L299))</f>
        <v>8546.2200000000048</v>
      </c>
      <c r="N297" s="27">
        <f>IF(L298="","",MIN(D299:L299))</f>
        <v>7361.4599999999991</v>
      </c>
      <c r="O297" s="27">
        <f>IF((L299=""),"",AVERAGE(D299:L299))</f>
        <v>7819.8899999999976</v>
      </c>
      <c r="P297" s="27">
        <f>IF((L298=""),"",STDEV(D299:L299))</f>
        <v>389.29632672302461</v>
      </c>
      <c r="Q297" s="168">
        <f>IF((L298=""),"",((M297-N297)/(M297+P297))*100)</f>
        <v>13.258998771641203</v>
      </c>
      <c r="R297" s="28" t="str">
        <f>IF(L298="","",IF(Q297&lt;Z297,IF(N297&gt;V297,IF(M297&lt;W297,"Pass","Fail"),"Fail"),"Fail"))</f>
        <v>Fail</v>
      </c>
      <c r="S297" s="29">
        <v>64</v>
      </c>
      <c r="T297" s="54"/>
      <c r="U297" s="40"/>
      <c r="V297" s="53">
        <v>9000</v>
      </c>
      <c r="W297" s="22">
        <v>15600</v>
      </c>
      <c r="X297" s="40">
        <v>8090</v>
      </c>
      <c r="Y297" s="40">
        <v>12070</v>
      </c>
      <c r="Z297" s="49">
        <v>15</v>
      </c>
      <c r="AA297" s="49">
        <v>6</v>
      </c>
    </row>
    <row r="298" spans="1:27" ht="15.75" customHeight="1">
      <c r="A298" s="94"/>
      <c r="B298" s="94"/>
      <c r="C298" s="30" t="s">
        <v>128</v>
      </c>
      <c r="D298" s="16">
        <v>26704.560000000001</v>
      </c>
      <c r="E298" s="16">
        <v>26389.55</v>
      </c>
      <c r="F298" s="16">
        <v>26466.13</v>
      </c>
      <c r="G298" s="16">
        <v>26377.59</v>
      </c>
      <c r="H298" s="16">
        <v>26645.8</v>
      </c>
      <c r="I298" s="16">
        <v>26737.98</v>
      </c>
      <c r="J298" s="16">
        <v>26560.54</v>
      </c>
      <c r="K298" s="16">
        <v>26272.23</v>
      </c>
      <c r="L298" s="16">
        <v>26401.16</v>
      </c>
      <c r="M298" s="31"/>
      <c r="N298" s="31"/>
      <c r="O298" s="31"/>
      <c r="P298" s="31"/>
      <c r="Q298" s="31"/>
      <c r="R298" s="32"/>
      <c r="S298" s="33"/>
      <c r="T298" s="55"/>
      <c r="V298" s="47"/>
      <c r="W298" s="47"/>
      <c r="X298" s="48"/>
      <c r="Y298" s="48"/>
      <c r="Z298" s="49"/>
      <c r="AA298" s="49"/>
    </row>
    <row r="299" spans="1:27" ht="16.5" customHeight="1" thickBot="1">
      <c r="A299" s="94"/>
      <c r="B299" s="94"/>
      <c r="C299" s="34" t="s">
        <v>129</v>
      </c>
      <c r="D299" s="35">
        <f t="shared" ref="D299:L299" si="95">IF(((D297="")*AND(D298="")),"",(D297-D298)*3)</f>
        <v>7590.2399999999943</v>
      </c>
      <c r="E299" s="35">
        <f t="shared" si="95"/>
        <v>7899.3900000000031</v>
      </c>
      <c r="F299" s="35">
        <f t="shared" si="95"/>
        <v>7666.1099999999969</v>
      </c>
      <c r="G299" s="35">
        <f t="shared" si="95"/>
        <v>7901.3700000000026</v>
      </c>
      <c r="H299" s="35">
        <f t="shared" si="95"/>
        <v>7803.2099999999991</v>
      </c>
      <c r="I299" s="35">
        <f t="shared" si="95"/>
        <v>7361.4599999999991</v>
      </c>
      <c r="J299" s="35">
        <f t="shared" si="95"/>
        <v>7366.9499999999935</v>
      </c>
      <c r="K299" s="35">
        <f t="shared" si="95"/>
        <v>8244.0600000000013</v>
      </c>
      <c r="L299" s="35">
        <f t="shared" si="95"/>
        <v>8546.2200000000048</v>
      </c>
      <c r="M299" s="36"/>
      <c r="N299" s="36"/>
      <c r="O299" s="36"/>
      <c r="P299" s="36"/>
      <c r="Q299" s="36"/>
      <c r="R299" s="37"/>
      <c r="S299" s="38"/>
      <c r="T299" s="56"/>
      <c r="U299" s="51"/>
      <c r="V299" s="50"/>
      <c r="W299" s="50"/>
      <c r="X299" s="51"/>
      <c r="Y299" s="51"/>
      <c r="Z299" s="52"/>
      <c r="AA299" s="52"/>
    </row>
    <row r="300" spans="1:27">
      <c r="A300" s="95">
        <v>43097</v>
      </c>
      <c r="B300" s="115" t="s">
        <v>429</v>
      </c>
      <c r="C300" s="26" t="s">
        <v>126</v>
      </c>
      <c r="D300" s="16">
        <v>29223.62</v>
      </c>
      <c r="E300" s="16">
        <v>29035.84</v>
      </c>
      <c r="F300" s="16">
        <v>29112.69</v>
      </c>
      <c r="G300" s="16">
        <v>29052.87</v>
      </c>
      <c r="H300" s="16">
        <v>29283.4</v>
      </c>
      <c r="I300" s="16">
        <v>29203.06</v>
      </c>
      <c r="J300" s="16">
        <v>29044.45</v>
      </c>
      <c r="K300" s="16">
        <v>29041.69</v>
      </c>
      <c r="L300" s="16">
        <v>29256.31</v>
      </c>
      <c r="M300" s="27">
        <f>IF((L301=""),"",MAX(D302:L302))</f>
        <v>11517.600000000002</v>
      </c>
      <c r="N300" s="27">
        <f>IF(L301="","",MIN(D302:L302))</f>
        <v>10264.890000000003</v>
      </c>
      <c r="O300" s="27">
        <f>IF((L302=""),"",AVERAGE(D302:L302))</f>
        <v>10873.700000000003</v>
      </c>
      <c r="P300" s="27">
        <f>IF((L301=""),"",STDEV(D302:L302))</f>
        <v>374.6082197442604</v>
      </c>
      <c r="Q300" s="168">
        <f>IF((L301=""),"",((M300-N300)/(M300+P300))*100)</f>
        <v>10.533872068605087</v>
      </c>
      <c r="R300" s="28" t="str">
        <f>IF(L301="","",IF(Q300&lt;Z300,IF(N300&gt;V300,IF(M300&lt;W300,"Pass","Fail"),"Fail"),"Fail"))</f>
        <v>Pass</v>
      </c>
      <c r="S300" s="29">
        <v>64</v>
      </c>
      <c r="T300" s="54"/>
      <c r="U300" s="40"/>
      <c r="V300" s="53">
        <v>9000</v>
      </c>
      <c r="W300" s="22">
        <v>15600</v>
      </c>
      <c r="X300" s="40">
        <v>8090</v>
      </c>
      <c r="Y300" s="40">
        <v>12070</v>
      </c>
      <c r="Z300" s="49">
        <v>15</v>
      </c>
      <c r="AA300" s="49">
        <v>6</v>
      </c>
    </row>
    <row r="301" spans="1:27" ht="15.75" customHeight="1">
      <c r="A301" s="94"/>
      <c r="B301" s="94"/>
      <c r="C301" s="30" t="s">
        <v>128</v>
      </c>
      <c r="D301" s="16">
        <v>25711.599999999999</v>
      </c>
      <c r="E301" s="16">
        <v>25407.67</v>
      </c>
      <c r="F301" s="16">
        <v>25472.2</v>
      </c>
      <c r="G301" s="16">
        <v>25378.23</v>
      </c>
      <c r="H301" s="16">
        <v>25649</v>
      </c>
      <c r="I301" s="16">
        <v>25781.43</v>
      </c>
      <c r="J301" s="16">
        <v>25513.39</v>
      </c>
      <c r="K301" s="16">
        <v>25302.2</v>
      </c>
      <c r="L301" s="16">
        <v>25417.11</v>
      </c>
      <c r="M301" s="31"/>
      <c r="N301" s="31"/>
      <c r="O301" s="31"/>
      <c r="P301" s="31"/>
      <c r="Q301" s="31"/>
      <c r="R301" s="32"/>
      <c r="S301" s="33"/>
      <c r="T301" s="55"/>
      <c r="V301" s="47"/>
      <c r="W301" s="47"/>
      <c r="X301" s="48"/>
      <c r="Y301" s="48"/>
      <c r="Z301" s="49"/>
      <c r="AA301" s="49"/>
    </row>
    <row r="302" spans="1:27" ht="16.5" customHeight="1" thickBot="1">
      <c r="A302" s="94"/>
      <c r="B302" s="94"/>
      <c r="C302" s="34" t="s">
        <v>129</v>
      </c>
      <c r="D302" s="35">
        <f t="shared" ref="D302:L302" si="96">IF(((D300="")*AND(D301="")),"",(D300-D301)*3)</f>
        <v>10536.060000000001</v>
      </c>
      <c r="E302" s="35">
        <f t="shared" si="96"/>
        <v>10884.510000000006</v>
      </c>
      <c r="F302" s="35">
        <f t="shared" si="96"/>
        <v>10921.469999999994</v>
      </c>
      <c r="G302" s="35">
        <f t="shared" si="96"/>
        <v>11023.919999999998</v>
      </c>
      <c r="H302" s="35">
        <f t="shared" si="96"/>
        <v>10903.200000000004</v>
      </c>
      <c r="I302" s="35">
        <f t="shared" si="96"/>
        <v>10264.890000000003</v>
      </c>
      <c r="J302" s="35">
        <f t="shared" si="96"/>
        <v>10593.180000000004</v>
      </c>
      <c r="K302" s="35">
        <f t="shared" si="96"/>
        <v>11218.469999999994</v>
      </c>
      <c r="L302" s="35">
        <f t="shared" si="96"/>
        <v>11517.600000000002</v>
      </c>
      <c r="M302" s="36"/>
      <c r="N302" s="36"/>
      <c r="O302" s="36"/>
      <c r="P302" s="36"/>
      <c r="Q302" s="36"/>
      <c r="R302" s="37"/>
      <c r="S302" s="38"/>
      <c r="T302" s="56"/>
      <c r="U302" s="51"/>
      <c r="V302" s="50"/>
      <c r="W302" s="50"/>
      <c r="X302" s="51"/>
      <c r="Y302" s="51"/>
      <c r="Z302" s="52"/>
      <c r="AA302" s="52"/>
    </row>
    <row r="303" spans="1:27">
      <c r="A303" s="95">
        <v>43099</v>
      </c>
      <c r="B303" s="115" t="s">
        <v>429</v>
      </c>
      <c r="C303" s="26" t="s">
        <v>126</v>
      </c>
      <c r="D303" s="16">
        <v>29226.77</v>
      </c>
      <c r="E303" s="16">
        <v>29921.89</v>
      </c>
      <c r="F303" s="16">
        <v>29469.77</v>
      </c>
      <c r="G303" s="16">
        <v>29020.98</v>
      </c>
      <c r="H303" s="16">
        <v>29220.23</v>
      </c>
      <c r="I303" s="16">
        <v>31223.08</v>
      </c>
      <c r="J303" s="16">
        <v>30596.77</v>
      </c>
      <c r="K303" s="16">
        <v>29031.71</v>
      </c>
      <c r="L303" s="16">
        <v>29261.16</v>
      </c>
      <c r="M303" s="27">
        <f>IF((L304=""),"",MAX(D305:L305))</f>
        <v>10136.910000000003</v>
      </c>
      <c r="N303" s="27">
        <f>IF(L304="","",MIN(D305:L305))</f>
        <v>9265.0800000000017</v>
      </c>
      <c r="O303" s="27">
        <f>IF((L305=""),"",AVERAGE(D305:L305))</f>
        <v>9733.2300000000032</v>
      </c>
      <c r="P303" s="27">
        <f>IF((L304=""),"",STDEV(D305:L305))</f>
        <v>274.93526719942275</v>
      </c>
      <c r="Q303" s="168">
        <f>IF((L304=""),"",((M303-N303)/(M303+P303))*100)</f>
        <v>8.3734436848244318</v>
      </c>
      <c r="R303" s="28" t="str">
        <f>IF(L304="","",IF(Q303&lt;Z303,IF(N303&gt;V303,IF(M303&lt;W303,"Pass","Fail"),"Fail"),"Fail"))</f>
        <v>Pass</v>
      </c>
      <c r="S303" s="29">
        <v>121</v>
      </c>
      <c r="T303" s="16"/>
      <c r="U303" s="54" t="s">
        <v>188</v>
      </c>
      <c r="V303" s="53">
        <v>9000</v>
      </c>
      <c r="W303" s="22">
        <v>15600</v>
      </c>
      <c r="X303" s="40">
        <v>8090</v>
      </c>
      <c r="Y303" s="40">
        <v>12070</v>
      </c>
      <c r="Z303" s="49">
        <v>15</v>
      </c>
      <c r="AA303" s="49">
        <v>6</v>
      </c>
    </row>
    <row r="304" spans="1:27" ht="15.75" customHeight="1">
      <c r="A304" s="94"/>
      <c r="B304" s="94"/>
      <c r="C304" s="30" t="s">
        <v>128</v>
      </c>
      <c r="D304" s="16">
        <v>26022.04</v>
      </c>
      <c r="E304" s="16">
        <v>26600.1</v>
      </c>
      <c r="F304" s="16">
        <v>26241.46</v>
      </c>
      <c r="G304" s="16">
        <v>25752.5</v>
      </c>
      <c r="H304" s="16">
        <v>25946.37</v>
      </c>
      <c r="I304" s="16">
        <v>28134.720000000001</v>
      </c>
      <c r="J304" s="16">
        <v>27462.92</v>
      </c>
      <c r="K304" s="16">
        <v>25730.37</v>
      </c>
      <c r="L304" s="16">
        <v>25882.19</v>
      </c>
      <c r="M304" s="31"/>
      <c r="N304" s="31"/>
      <c r="O304" s="31"/>
      <c r="P304" s="31"/>
      <c r="Q304" s="31"/>
      <c r="R304" s="32"/>
      <c r="S304" s="33"/>
      <c r="T304" s="55"/>
      <c r="V304" s="47"/>
      <c r="W304" s="47"/>
      <c r="X304" s="48"/>
      <c r="Y304" s="48"/>
      <c r="Z304" s="49"/>
      <c r="AA304" s="49"/>
    </row>
    <row r="305" spans="1:27" ht="16.5" customHeight="1" thickBot="1">
      <c r="A305" s="94"/>
      <c r="B305" s="94"/>
      <c r="C305" s="34" t="s">
        <v>129</v>
      </c>
      <c r="D305" s="35">
        <f t="shared" ref="D305:L305" si="97">IF(((D303="")*AND(D304="")),"",(D303-D304)*3)</f>
        <v>9614.1899999999987</v>
      </c>
      <c r="E305" s="35">
        <f t="shared" si="97"/>
        <v>9965.3700000000026</v>
      </c>
      <c r="F305" s="35">
        <f t="shared" si="97"/>
        <v>9684.9300000000039</v>
      </c>
      <c r="G305" s="35">
        <f t="shared" si="97"/>
        <v>9805.4399999999987</v>
      </c>
      <c r="H305" s="35">
        <f t="shared" si="97"/>
        <v>9821.5800000000017</v>
      </c>
      <c r="I305" s="35">
        <f t="shared" si="97"/>
        <v>9265.0800000000017</v>
      </c>
      <c r="J305" s="35">
        <f t="shared" si="97"/>
        <v>9401.5500000000065</v>
      </c>
      <c r="K305" s="35">
        <f t="shared" si="97"/>
        <v>9904.02</v>
      </c>
      <c r="L305" s="35">
        <f t="shared" si="97"/>
        <v>10136.910000000003</v>
      </c>
      <c r="M305" s="36"/>
      <c r="N305" s="36"/>
      <c r="O305" s="36"/>
      <c r="P305" s="36"/>
      <c r="Q305" s="36"/>
      <c r="R305" s="37"/>
      <c r="S305" s="38"/>
      <c r="T305" s="56"/>
      <c r="U305" s="51"/>
      <c r="V305" s="50"/>
      <c r="W305" s="50"/>
      <c r="X305" s="51"/>
      <c r="Y305" s="51"/>
      <c r="Z305" s="52"/>
      <c r="AA305" s="52"/>
    </row>
    <row r="306" spans="1:27">
      <c r="A306" s="95">
        <v>43106</v>
      </c>
      <c r="B306" s="115" t="s">
        <v>429</v>
      </c>
      <c r="C306" s="26" t="s">
        <v>126</v>
      </c>
      <c r="D306" s="16">
        <v>29155.33</v>
      </c>
      <c r="E306" s="16">
        <v>28967.47</v>
      </c>
      <c r="F306" s="16">
        <v>28965.38</v>
      </c>
      <c r="G306" s="16">
        <v>28976.11</v>
      </c>
      <c r="H306" s="16">
        <v>29208.14</v>
      </c>
      <c r="I306" s="16">
        <v>29169.02</v>
      </c>
      <c r="J306" s="16">
        <v>28971.21</v>
      </c>
      <c r="K306" s="16">
        <v>28967.439999999999</v>
      </c>
      <c r="L306" s="16">
        <v>29220.74</v>
      </c>
      <c r="M306" s="27">
        <f>IF((L307=""),"",MAX(D308:L308))</f>
        <v>9146.73</v>
      </c>
      <c r="N306" s="27">
        <f>IF(L307="","",MIN(D308:L308))</f>
        <v>8204.9100000000035</v>
      </c>
      <c r="O306" s="27">
        <f>IF((L308=""),"",AVERAGE(D308:L308))</f>
        <v>8597.4066666666677</v>
      </c>
      <c r="P306" s="27">
        <f>IF((L307=""),"",STDEV(D308:L308))</f>
        <v>312.63583663744015</v>
      </c>
      <c r="Q306" s="168">
        <f>IF((L307=""),"",((M306-N306)/(M306+P306))*100)</f>
        <v>9.956481399125046</v>
      </c>
      <c r="R306" s="28" t="str">
        <f>IF(L307="","",IF(Q306&lt;Z306,IF(N306&gt;V306,IF(M306&lt;W306,"Pass","Fail"),"Fail"),"Fail"))</f>
        <v>Fail</v>
      </c>
      <c r="S306" s="29">
        <v>102</v>
      </c>
      <c r="T306" s="54"/>
      <c r="U306" s="40"/>
      <c r="V306" s="53">
        <v>9000</v>
      </c>
      <c r="W306" s="22">
        <v>15600</v>
      </c>
      <c r="X306" s="40">
        <v>8090</v>
      </c>
      <c r="Y306" s="40">
        <v>12070</v>
      </c>
      <c r="Z306" s="49">
        <v>15</v>
      </c>
      <c r="AA306" s="49">
        <v>6</v>
      </c>
    </row>
    <row r="307" spans="1:27" ht="15.75" customHeight="1">
      <c r="A307" s="94"/>
      <c r="B307" s="94"/>
      <c r="C307" s="30" t="s">
        <v>128</v>
      </c>
      <c r="D307" s="16">
        <v>26387.919999999998</v>
      </c>
      <c r="E307" s="16">
        <v>26097.19</v>
      </c>
      <c r="F307" s="16">
        <v>26108.720000000001</v>
      </c>
      <c r="G307" s="16">
        <v>26066.080000000002</v>
      </c>
      <c r="H307" s="16">
        <v>26321.58</v>
      </c>
      <c r="I307" s="16">
        <v>26434.05</v>
      </c>
      <c r="J307" s="16">
        <v>26221.97</v>
      </c>
      <c r="K307" s="16">
        <v>25999.279999999999</v>
      </c>
      <c r="L307" s="16">
        <v>26171.83</v>
      </c>
      <c r="M307" s="31"/>
      <c r="N307" s="31"/>
      <c r="O307" s="31"/>
      <c r="P307" s="31"/>
      <c r="Q307" s="31"/>
      <c r="R307" s="32"/>
      <c r="S307" s="33"/>
      <c r="T307" s="55"/>
      <c r="V307" s="47"/>
      <c r="W307" s="47"/>
      <c r="X307" s="48"/>
      <c r="Y307" s="48"/>
      <c r="Z307" s="49"/>
      <c r="AA307" s="49"/>
    </row>
    <row r="308" spans="1:27" ht="16.5" customHeight="1" thickBot="1">
      <c r="A308" s="94"/>
      <c r="B308" s="94"/>
      <c r="C308" s="34" t="s">
        <v>129</v>
      </c>
      <c r="D308" s="35">
        <f t="shared" ref="D308:L308" si="98">IF(((D306="")*AND(D307="")),"",(D306-D307)*3)</f>
        <v>8302.2300000000105</v>
      </c>
      <c r="E308" s="35">
        <f t="shared" si="98"/>
        <v>8610.8400000000074</v>
      </c>
      <c r="F308" s="35">
        <f t="shared" si="98"/>
        <v>8569.98</v>
      </c>
      <c r="G308" s="35">
        <f t="shared" si="98"/>
        <v>8730.0899999999965</v>
      </c>
      <c r="H308" s="35">
        <f t="shared" si="98"/>
        <v>8659.679999999993</v>
      </c>
      <c r="I308" s="35">
        <f t="shared" si="98"/>
        <v>8204.9100000000035</v>
      </c>
      <c r="J308" s="35">
        <f t="shared" si="98"/>
        <v>8247.7199999999939</v>
      </c>
      <c r="K308" s="35">
        <f t="shared" si="98"/>
        <v>8904.48</v>
      </c>
      <c r="L308" s="35">
        <f t="shared" si="98"/>
        <v>9146.73</v>
      </c>
      <c r="M308" s="36"/>
      <c r="N308" s="36"/>
      <c r="O308" s="36"/>
      <c r="P308" s="36"/>
      <c r="Q308" s="36"/>
      <c r="R308" s="37"/>
      <c r="S308" s="38"/>
      <c r="T308" s="56"/>
      <c r="U308" s="51"/>
      <c r="V308" s="50"/>
      <c r="W308" s="50"/>
      <c r="X308" s="51"/>
      <c r="Y308" s="51"/>
      <c r="Z308" s="52"/>
      <c r="AA308" s="52"/>
    </row>
    <row r="309" spans="1:27">
      <c r="A309" s="95">
        <v>43106</v>
      </c>
      <c r="B309" s="115" t="s">
        <v>429</v>
      </c>
      <c r="C309" s="26" t="s">
        <v>126</v>
      </c>
      <c r="D309" s="16">
        <v>29167.599999999999</v>
      </c>
      <c r="E309" s="16">
        <v>28976.720000000001</v>
      </c>
      <c r="F309" s="16">
        <v>29016.93</v>
      </c>
      <c r="G309" s="16">
        <v>28948.41</v>
      </c>
      <c r="H309" s="16">
        <v>29145.96</v>
      </c>
      <c r="I309" s="16">
        <v>29111.77</v>
      </c>
      <c r="J309" s="16">
        <v>28952.2</v>
      </c>
      <c r="K309" s="16">
        <v>28960.26</v>
      </c>
      <c r="L309" s="16">
        <v>29206.67</v>
      </c>
      <c r="M309" s="27">
        <f>IF((L310=""),"",MAX(D311:L311))</f>
        <v>8248.28999999999</v>
      </c>
      <c r="N309" s="27">
        <f>IF(L310="","",MIN(D311:L311))</f>
        <v>7107.1800000000039</v>
      </c>
      <c r="O309" s="27">
        <f>IF((L311=""),"",AVERAGE(D311:L311))</f>
        <v>7730.4633333333331</v>
      </c>
      <c r="P309" s="27">
        <f>IF((L310=""),"",STDEV(D311:L311))</f>
        <v>375.07733006004776</v>
      </c>
      <c r="Q309" s="168">
        <f>IF((L310=""),"",((M309-N309)/(M309+P309))*100)</f>
        <v>13.23276576682767</v>
      </c>
      <c r="R309" s="28" t="str">
        <f>IF(L310="","",IF(Q309&lt;Z309,IF(N309&gt;V309,IF(M309&lt;W309,"Pass","Fail"),"Fail"),"Fail"))</f>
        <v>Fail</v>
      </c>
      <c r="S309" s="29">
        <v>102</v>
      </c>
      <c r="T309" s="16"/>
      <c r="U309" s="54" t="s">
        <v>263</v>
      </c>
      <c r="V309" s="53">
        <v>9000</v>
      </c>
      <c r="W309" s="22">
        <v>15600</v>
      </c>
      <c r="X309" s="40">
        <v>8090</v>
      </c>
      <c r="Y309" s="40">
        <v>12070</v>
      </c>
      <c r="Z309" s="49">
        <v>15</v>
      </c>
      <c r="AA309" s="49">
        <v>6</v>
      </c>
    </row>
    <row r="310" spans="1:27" ht="15.75" customHeight="1">
      <c r="A310" s="94"/>
      <c r="B310" s="94"/>
      <c r="C310" s="30" t="s">
        <v>128</v>
      </c>
      <c r="D310" s="16">
        <v>26643.18</v>
      </c>
      <c r="E310" s="16">
        <v>26357.98</v>
      </c>
      <c r="F310" s="16">
        <v>26472.27</v>
      </c>
      <c r="G310" s="16">
        <v>26318.52</v>
      </c>
      <c r="H310" s="16">
        <v>26509.41</v>
      </c>
      <c r="I310" s="16">
        <v>26742.71</v>
      </c>
      <c r="J310" s="16">
        <v>26533.52</v>
      </c>
      <c r="K310" s="16">
        <v>26260.3</v>
      </c>
      <c r="L310" s="16">
        <v>26457.24</v>
      </c>
      <c r="M310" s="31"/>
      <c r="N310" s="31"/>
      <c r="O310" s="31"/>
      <c r="P310" s="31"/>
      <c r="Q310" s="31"/>
      <c r="R310" s="32"/>
      <c r="S310" s="33"/>
      <c r="T310" s="16"/>
      <c r="U310" s="55"/>
      <c r="V310" s="47"/>
      <c r="W310" s="47"/>
      <c r="X310" s="48"/>
      <c r="Y310" s="48"/>
      <c r="Z310" s="49"/>
      <c r="AA310" s="49"/>
    </row>
    <row r="311" spans="1:27" ht="16.5" customHeight="1" thickBot="1">
      <c r="A311" s="94"/>
      <c r="B311" s="94"/>
      <c r="C311" s="34" t="s">
        <v>129</v>
      </c>
      <c r="D311" s="35">
        <f t="shared" ref="D311:L311" si="99">IF(((D309="")*AND(D310="")),"",(D309-D310)*3)</f>
        <v>7573.2599999999948</v>
      </c>
      <c r="E311" s="35">
        <f t="shared" si="99"/>
        <v>7856.2200000000048</v>
      </c>
      <c r="F311" s="35">
        <f t="shared" si="99"/>
        <v>7633.98</v>
      </c>
      <c r="G311" s="35">
        <f t="shared" si="99"/>
        <v>7889.6699999999983</v>
      </c>
      <c r="H311" s="35">
        <f t="shared" si="99"/>
        <v>7909.6499999999978</v>
      </c>
      <c r="I311" s="35">
        <f t="shared" si="99"/>
        <v>7107.1800000000039</v>
      </c>
      <c r="J311" s="35">
        <f t="shared" si="99"/>
        <v>7256.0400000000009</v>
      </c>
      <c r="K311" s="35">
        <f t="shared" si="99"/>
        <v>8099.8799999999974</v>
      </c>
      <c r="L311" s="35">
        <f t="shared" si="99"/>
        <v>8248.28999999999</v>
      </c>
      <c r="M311" s="36"/>
      <c r="N311" s="36"/>
      <c r="O311" s="36"/>
      <c r="P311" s="36"/>
      <c r="Q311" s="36"/>
      <c r="R311" s="37"/>
      <c r="S311" s="38"/>
      <c r="T311" s="16"/>
      <c r="U311" s="56"/>
      <c r="V311" s="50"/>
      <c r="W311" s="50"/>
      <c r="X311" s="51"/>
      <c r="Y311" s="51"/>
      <c r="Z311" s="52"/>
      <c r="AA311" s="52"/>
    </row>
    <row r="312" spans="1:27">
      <c r="A312" s="95">
        <v>43106</v>
      </c>
      <c r="B312" s="115" t="s">
        <v>429</v>
      </c>
      <c r="C312" s="26" t="s">
        <v>126</v>
      </c>
      <c r="D312" s="16">
        <v>29144.68</v>
      </c>
      <c r="E312" s="16">
        <v>28974.9</v>
      </c>
      <c r="F312" s="16">
        <v>28963.63</v>
      </c>
      <c r="G312" s="16">
        <v>29079.39</v>
      </c>
      <c r="H312" s="16">
        <v>29212.92</v>
      </c>
      <c r="I312" s="16">
        <v>29159.09</v>
      </c>
      <c r="J312" s="16">
        <v>28960.93</v>
      </c>
      <c r="K312" s="16">
        <v>30241.07</v>
      </c>
      <c r="L312" s="16">
        <v>29206</v>
      </c>
      <c r="M312" s="27">
        <f>IF((L313=""),"",MAX(D314:L314))</f>
        <v>8374.2599999999948</v>
      </c>
      <c r="N312" s="27">
        <f>IF(L313="","",MIN(D314:L314))</f>
        <v>7203.75</v>
      </c>
      <c r="O312" s="27">
        <f>IF((L314=""),"",AVERAGE(D314:L314))</f>
        <v>7714.2366666666658</v>
      </c>
      <c r="P312" s="27">
        <f>IF((L313=""),"",STDEV(D314:L314))</f>
        <v>371.65966118209207</v>
      </c>
      <c r="Q312" s="168">
        <f>IF((L313=""),"",((M312-N312)/(M312+P312))*100)</f>
        <v>13.38349819510908</v>
      </c>
      <c r="R312" s="28" t="str">
        <f>IF(L313="","",IF(Q312&lt;Z312,IF(N312&gt;V312,IF(M312&lt;W312,"Pass","Fail"),"Fail"),"Fail"))</f>
        <v>Fail</v>
      </c>
      <c r="S312" s="29">
        <v>102</v>
      </c>
      <c r="T312" s="16"/>
      <c r="U312" s="54" t="s">
        <v>264</v>
      </c>
      <c r="V312" s="53">
        <v>9000</v>
      </c>
      <c r="W312" s="22">
        <v>15600</v>
      </c>
      <c r="X312" s="40">
        <v>8090</v>
      </c>
      <c r="Y312" s="40">
        <v>12070</v>
      </c>
      <c r="Z312" s="49">
        <v>15</v>
      </c>
      <c r="AA312" s="49">
        <v>6</v>
      </c>
    </row>
    <row r="313" spans="1:27" ht="15.75" customHeight="1">
      <c r="A313" s="94"/>
      <c r="B313" s="94"/>
      <c r="C313" s="30" t="s">
        <v>128</v>
      </c>
      <c r="D313" s="16">
        <v>26602.15</v>
      </c>
      <c r="E313" s="16">
        <v>26365.87</v>
      </c>
      <c r="F313" s="16">
        <v>26455.99</v>
      </c>
      <c r="G313" s="16">
        <v>26501.24</v>
      </c>
      <c r="H313" s="16">
        <v>26650.62</v>
      </c>
      <c r="I313" s="16">
        <v>26723.45</v>
      </c>
      <c r="J313" s="16">
        <v>26559.68</v>
      </c>
      <c r="K313" s="16">
        <v>27526.32</v>
      </c>
      <c r="L313" s="16">
        <v>26414.58</v>
      </c>
      <c r="M313" s="31"/>
      <c r="N313" s="31"/>
      <c r="O313" s="31"/>
      <c r="P313" s="31"/>
      <c r="Q313" s="31"/>
      <c r="R313" s="32"/>
      <c r="S313" s="33"/>
      <c r="T313" s="16"/>
      <c r="U313" s="55"/>
      <c r="V313" s="47"/>
      <c r="W313" s="47"/>
      <c r="X313" s="48"/>
      <c r="Y313" s="48"/>
      <c r="Z313" s="49"/>
      <c r="AA313" s="49"/>
    </row>
    <row r="314" spans="1:27" ht="16.5" customHeight="1" thickBot="1">
      <c r="A314" s="94"/>
      <c r="B314" s="94"/>
      <c r="C314" s="34" t="s">
        <v>129</v>
      </c>
      <c r="D314" s="35">
        <f t="shared" ref="D314:L314" si="100">IF(((D312="")*AND(D313="")),"",(D312-D313)*3)</f>
        <v>7627.5899999999965</v>
      </c>
      <c r="E314" s="35">
        <f t="shared" si="100"/>
        <v>7827.0900000000074</v>
      </c>
      <c r="F314" s="35">
        <f t="shared" si="100"/>
        <v>7522.9199999999983</v>
      </c>
      <c r="G314" s="35">
        <f t="shared" si="100"/>
        <v>7734.4499999999935</v>
      </c>
      <c r="H314" s="35">
        <f t="shared" si="100"/>
        <v>7686.8999999999978</v>
      </c>
      <c r="I314" s="35">
        <f t="shared" si="100"/>
        <v>7306.9199999999983</v>
      </c>
      <c r="J314" s="35">
        <f t="shared" si="100"/>
        <v>7203.75</v>
      </c>
      <c r="K314" s="35">
        <f t="shared" si="100"/>
        <v>8144.25</v>
      </c>
      <c r="L314" s="35">
        <f t="shared" si="100"/>
        <v>8374.2599999999948</v>
      </c>
      <c r="M314" s="36"/>
      <c r="N314" s="36"/>
      <c r="O314" s="36"/>
      <c r="P314" s="36"/>
      <c r="Q314" s="36"/>
      <c r="R314" s="37"/>
      <c r="S314" s="38"/>
      <c r="T314" s="16"/>
      <c r="U314" s="56"/>
      <c r="V314" s="50"/>
      <c r="W314" s="50"/>
      <c r="X314" s="51"/>
      <c r="Y314" s="51"/>
      <c r="Z314" s="52"/>
      <c r="AA314" s="52"/>
    </row>
    <row r="315" spans="1:27">
      <c r="A315" s="95">
        <v>43106</v>
      </c>
      <c r="B315" s="115" t="s">
        <v>429</v>
      </c>
      <c r="C315" s="26" t="s">
        <v>126</v>
      </c>
      <c r="D315" s="16">
        <v>29427.09</v>
      </c>
      <c r="E315" s="16">
        <v>29214.03</v>
      </c>
      <c r="F315" s="16">
        <v>29273.68</v>
      </c>
      <c r="G315" s="16">
        <v>29204.45</v>
      </c>
      <c r="H315" s="16">
        <v>29411.87</v>
      </c>
      <c r="I315" s="16">
        <v>29339.69</v>
      </c>
      <c r="J315" s="16">
        <v>29184.26</v>
      </c>
      <c r="K315" s="16">
        <v>29212.37</v>
      </c>
      <c r="L315" s="16">
        <v>29456.71</v>
      </c>
      <c r="M315" s="27">
        <f>IF((L316=""),"",MAX(D317:L317))</f>
        <v>9005.6099999999969</v>
      </c>
      <c r="N315" s="27">
        <f>IF(L316="","",MIN(D317:L317))</f>
        <v>7978.1099999999969</v>
      </c>
      <c r="O315" s="27">
        <f>IF((L317=""),"",AVERAGE(D317:L317))</f>
        <v>8462.4233333333323</v>
      </c>
      <c r="P315" s="27">
        <f>IF((L316=""),"",STDEV(D317:L317))</f>
        <v>335.8047603891273</v>
      </c>
      <c r="Q315" s="168">
        <f>IF((L316=""),"",((M315-N315)/(M315+P315))*100)</f>
        <v>10.999404547980895</v>
      </c>
      <c r="R315" s="28" t="str">
        <f>IF(L316="","",IF(Q315&lt;Z315,IF(N315&gt;V315,IF(M315&lt;W315,"Pass","Fail"),"Fail"),"Fail"))</f>
        <v>Fail</v>
      </c>
      <c r="S315" s="29">
        <v>102</v>
      </c>
      <c r="T315" s="16"/>
      <c r="U315" s="54" t="s">
        <v>265</v>
      </c>
      <c r="V315" s="53">
        <v>9000</v>
      </c>
      <c r="W315" s="22">
        <v>15600</v>
      </c>
      <c r="X315" s="40">
        <v>8090</v>
      </c>
      <c r="Y315" s="40">
        <v>12070</v>
      </c>
      <c r="Z315" s="49">
        <v>15</v>
      </c>
      <c r="AA315" s="49">
        <v>6</v>
      </c>
    </row>
    <row r="316" spans="1:27" ht="15.75" customHeight="1">
      <c r="A316" s="94"/>
      <c r="B316" s="94"/>
      <c r="C316" s="30" t="s">
        <v>128</v>
      </c>
      <c r="D316" s="16">
        <v>26631.91</v>
      </c>
      <c r="E316" s="16">
        <v>26357.59</v>
      </c>
      <c r="F316" s="16">
        <v>26503.360000000001</v>
      </c>
      <c r="G316" s="16">
        <v>26351.08</v>
      </c>
      <c r="H316" s="16">
        <v>26568.11</v>
      </c>
      <c r="I316" s="16">
        <v>26667.98</v>
      </c>
      <c r="J316" s="16">
        <v>26524.89</v>
      </c>
      <c r="K316" s="16">
        <v>26277.119999999999</v>
      </c>
      <c r="L316" s="16">
        <v>26454.84</v>
      </c>
      <c r="M316" s="31"/>
      <c r="N316" s="31"/>
      <c r="O316" s="31"/>
      <c r="P316" s="31"/>
      <c r="Q316" s="31"/>
      <c r="R316" s="32"/>
      <c r="S316" s="33"/>
      <c r="T316" s="16"/>
      <c r="U316" s="55"/>
      <c r="V316" s="47"/>
      <c r="W316" s="47"/>
      <c r="X316" s="48"/>
      <c r="Y316" s="48"/>
      <c r="Z316" s="49"/>
      <c r="AA316" s="49"/>
    </row>
    <row r="317" spans="1:27" ht="16.5" customHeight="1" thickBot="1">
      <c r="A317" s="94"/>
      <c r="B317" s="94"/>
      <c r="C317" s="34" t="s">
        <v>129</v>
      </c>
      <c r="D317" s="35">
        <f t="shared" ref="D317:L317" si="101">IF(((D315="")*AND(D316="")),"",(D315-D316)*3)</f>
        <v>8385.5400000000009</v>
      </c>
      <c r="E317" s="35">
        <f t="shared" si="101"/>
        <v>8569.3199999999961</v>
      </c>
      <c r="F317" s="35">
        <f t="shared" si="101"/>
        <v>8310.9599999999991</v>
      </c>
      <c r="G317" s="35">
        <f t="shared" si="101"/>
        <v>8560.1099999999969</v>
      </c>
      <c r="H317" s="35">
        <f t="shared" si="101"/>
        <v>8531.2799999999952</v>
      </c>
      <c r="I317" s="35">
        <f t="shared" si="101"/>
        <v>8015.1299999999974</v>
      </c>
      <c r="J317" s="35">
        <f t="shared" si="101"/>
        <v>7978.1099999999969</v>
      </c>
      <c r="K317" s="35">
        <f t="shared" si="101"/>
        <v>8805.75</v>
      </c>
      <c r="L317" s="35">
        <f t="shared" si="101"/>
        <v>9005.6099999999969</v>
      </c>
      <c r="M317" s="36"/>
      <c r="N317" s="36"/>
      <c r="O317" s="36"/>
      <c r="P317" s="36"/>
      <c r="Q317" s="36"/>
      <c r="R317" s="37"/>
      <c r="S317" s="38"/>
      <c r="T317" s="16"/>
      <c r="U317" s="56"/>
      <c r="V317" s="50"/>
      <c r="W317" s="50"/>
      <c r="X317" s="51"/>
      <c r="Y317" s="51"/>
      <c r="Z317" s="52"/>
      <c r="AA317" s="52"/>
    </row>
    <row r="318" spans="1:27">
      <c r="A318" s="95">
        <v>43106</v>
      </c>
      <c r="B318" s="115" t="s">
        <v>429</v>
      </c>
      <c r="C318" s="26" t="s">
        <v>126</v>
      </c>
      <c r="D318" s="16">
        <v>29395.75</v>
      </c>
      <c r="E318" s="16">
        <v>29210.44</v>
      </c>
      <c r="F318" s="16">
        <v>29224.67</v>
      </c>
      <c r="G318" s="16">
        <v>29191.34</v>
      </c>
      <c r="H318" s="16">
        <v>29402.9</v>
      </c>
      <c r="I318" s="16">
        <v>29392.81</v>
      </c>
      <c r="J318" s="16">
        <v>29195.040000000001</v>
      </c>
      <c r="K318" s="16">
        <v>29193.439999999999</v>
      </c>
      <c r="L318" s="16">
        <v>29419.72</v>
      </c>
      <c r="M318" s="27">
        <f>IF((L319=""),"",MAX(D320:L320))</f>
        <v>11177.220000000005</v>
      </c>
      <c r="N318" s="27">
        <f>IF(L319="","",MIN(D320:L320))</f>
        <v>10159.560000000001</v>
      </c>
      <c r="O318" s="27">
        <f>IF((L320=""),"",AVERAGE(D320:L320))</f>
        <v>10671.970000000001</v>
      </c>
      <c r="P318" s="27">
        <f>IF((L319=""),"",STDEV(D320:L320))</f>
        <v>324.60717413515391</v>
      </c>
      <c r="Q318" s="168">
        <f>IF((L319=""),"",((M318-N318)/(M318+P318))*100)</f>
        <v>8.8478116093456514</v>
      </c>
      <c r="R318" s="28" t="str">
        <f>IF(L319="","",IF(Q318&lt;Z318,IF(N318&gt;V318,IF(M318&lt;W318,"Pass","Fail"),"Fail"),"Fail"))</f>
        <v>Pass</v>
      </c>
      <c r="S318" s="29">
        <v>102</v>
      </c>
      <c r="T318" s="16"/>
      <c r="U318" s="86" t="s">
        <v>298</v>
      </c>
      <c r="V318" s="53">
        <v>9000</v>
      </c>
      <c r="W318" s="22">
        <v>15600</v>
      </c>
      <c r="X318" s="40">
        <v>8090</v>
      </c>
      <c r="Y318" s="40">
        <v>12070</v>
      </c>
      <c r="Z318" s="49">
        <v>15</v>
      </c>
      <c r="AA318" s="49">
        <v>6</v>
      </c>
    </row>
    <row r="319" spans="1:27" ht="15.75" customHeight="1">
      <c r="A319" s="94"/>
      <c r="B319" s="94"/>
      <c r="C319" s="30" t="s">
        <v>128</v>
      </c>
      <c r="D319" s="16">
        <v>25792.69</v>
      </c>
      <c r="E319" s="16">
        <v>25585.02</v>
      </c>
      <c r="F319" s="16">
        <v>25674.25</v>
      </c>
      <c r="G319" s="16">
        <v>25623.42</v>
      </c>
      <c r="H319" s="16">
        <v>25956.71</v>
      </c>
      <c r="I319" s="16">
        <v>25667.07</v>
      </c>
      <c r="J319" s="16">
        <v>25547.86</v>
      </c>
      <c r="K319" s="16">
        <v>25729.98</v>
      </c>
      <c r="L319" s="16">
        <v>26033.200000000001</v>
      </c>
      <c r="M319" s="31"/>
      <c r="N319" s="31"/>
      <c r="O319" s="31"/>
      <c r="P319" s="31"/>
      <c r="Q319" s="31"/>
      <c r="R319" s="32"/>
      <c r="S319" s="33"/>
      <c r="T319" s="16"/>
      <c r="U319" s="55"/>
      <c r="V319" s="47"/>
      <c r="W319" s="47"/>
      <c r="X319" s="48"/>
      <c r="Y319" s="48"/>
      <c r="Z319" s="49"/>
      <c r="AA319" s="49"/>
    </row>
    <row r="320" spans="1:27" ht="16.5" customHeight="1" thickBot="1">
      <c r="A320" s="94"/>
      <c r="B320" s="94"/>
      <c r="C320" s="34" t="s">
        <v>129</v>
      </c>
      <c r="D320" s="35">
        <f t="shared" ref="D320:L320" si="102">IF(((D318="")*AND(D319="")),"",(D318-D319)*3)</f>
        <v>10809.180000000004</v>
      </c>
      <c r="E320" s="35">
        <f t="shared" si="102"/>
        <v>10876.259999999995</v>
      </c>
      <c r="F320" s="35">
        <f t="shared" si="102"/>
        <v>10651.259999999995</v>
      </c>
      <c r="G320" s="35">
        <f t="shared" si="102"/>
        <v>10703.760000000006</v>
      </c>
      <c r="H320" s="35">
        <f t="shared" si="102"/>
        <v>10338.570000000007</v>
      </c>
      <c r="I320" s="35">
        <f t="shared" si="102"/>
        <v>11177.220000000005</v>
      </c>
      <c r="J320" s="35">
        <f t="shared" si="102"/>
        <v>10941.54</v>
      </c>
      <c r="K320" s="35">
        <f t="shared" si="102"/>
        <v>10390.379999999997</v>
      </c>
      <c r="L320" s="35">
        <f t="shared" si="102"/>
        <v>10159.560000000001</v>
      </c>
      <c r="M320" s="36"/>
      <c r="N320" s="36"/>
      <c r="O320" s="36"/>
      <c r="P320" s="36"/>
      <c r="Q320" s="36"/>
      <c r="R320" s="37"/>
      <c r="S320" s="38"/>
      <c r="T320" s="16"/>
      <c r="U320" s="56"/>
      <c r="V320" s="50"/>
      <c r="W320" s="50"/>
      <c r="X320" s="51"/>
      <c r="Y320" s="51"/>
      <c r="Z320" s="52"/>
      <c r="AA320" s="52"/>
    </row>
    <row r="321" spans="1:27">
      <c r="A321" s="95">
        <v>43109</v>
      </c>
      <c r="B321" s="115" t="s">
        <v>429</v>
      </c>
      <c r="C321" s="26" t="s">
        <v>126</v>
      </c>
      <c r="D321" s="16">
        <v>29168.87</v>
      </c>
      <c r="E321" s="16">
        <v>28960.92</v>
      </c>
      <c r="F321" s="16">
        <v>28971.54</v>
      </c>
      <c r="G321" s="16">
        <v>28976.7</v>
      </c>
      <c r="H321" s="16">
        <v>29236.17</v>
      </c>
      <c r="I321" s="16">
        <v>29142.87</v>
      </c>
      <c r="J321" s="16">
        <v>28955.75</v>
      </c>
      <c r="K321" s="16">
        <v>28969.4</v>
      </c>
      <c r="L321" s="16">
        <v>29206.13</v>
      </c>
      <c r="M321" s="27">
        <f>IF((L322=""),"",MAX(D323:L323))</f>
        <v>9555.3900000000031</v>
      </c>
      <c r="N321" s="27">
        <f>IF(L322="","",MIN(D323:L323))</f>
        <v>8541.8999999999978</v>
      </c>
      <c r="O321" s="27">
        <f>IF((L323=""),"",AVERAGE(D323:L323))</f>
        <v>8974.5933333333305</v>
      </c>
      <c r="P321" s="27">
        <f>IF((L322=""),"",STDEV(D323:L323))</f>
        <v>331.81633903412472</v>
      </c>
      <c r="Q321" s="168">
        <f>IF((L322=""),"",((M321-N321)/(M321+P321))*100)</f>
        <v>10.250519360547825</v>
      </c>
      <c r="R321" s="28" t="str">
        <f>IF(L322="","",IF(Q321&lt;Z321,IF(N321&gt;V321,IF(M321&lt;W321,"Pass","Fail"),"Fail"),"Fail"))</f>
        <v>Fail</v>
      </c>
      <c r="S321" s="29"/>
      <c r="T321" s="54"/>
      <c r="U321" s="40"/>
      <c r="V321" s="53">
        <v>9000</v>
      </c>
      <c r="W321" s="22">
        <v>15600</v>
      </c>
      <c r="X321" s="40">
        <v>8090</v>
      </c>
      <c r="Y321" s="40">
        <v>12070</v>
      </c>
      <c r="Z321" s="49">
        <v>15</v>
      </c>
      <c r="AA321" s="49">
        <v>6</v>
      </c>
    </row>
    <row r="322" spans="1:27" ht="15.75" customHeight="1">
      <c r="A322" s="94"/>
      <c r="B322" s="94"/>
      <c r="C322" s="30" t="s">
        <v>128</v>
      </c>
      <c r="D322" s="16">
        <v>26279.57</v>
      </c>
      <c r="E322" s="16">
        <v>25961.15</v>
      </c>
      <c r="F322" s="16">
        <v>26006.720000000001</v>
      </c>
      <c r="G322" s="16">
        <v>25940.34</v>
      </c>
      <c r="H322" s="16">
        <v>26218.77</v>
      </c>
      <c r="I322" s="16">
        <v>26295.57</v>
      </c>
      <c r="J322" s="16">
        <v>26077.200000000001</v>
      </c>
      <c r="K322" s="16">
        <v>25864.25</v>
      </c>
      <c r="L322" s="16">
        <v>26021</v>
      </c>
      <c r="M322" s="31"/>
      <c r="N322" s="31"/>
      <c r="O322" s="31"/>
      <c r="P322" s="31"/>
      <c r="Q322" s="31"/>
      <c r="R322" s="32"/>
      <c r="S322" s="33"/>
      <c r="T322" s="55"/>
      <c r="V322" s="47"/>
      <c r="W322" s="47"/>
      <c r="X322" s="48"/>
      <c r="Y322" s="48"/>
      <c r="Z322" s="49"/>
      <c r="AA322" s="49"/>
    </row>
    <row r="323" spans="1:27" ht="16.5" customHeight="1" thickBot="1">
      <c r="A323" s="94"/>
      <c r="B323" s="94"/>
      <c r="C323" s="34" t="s">
        <v>129</v>
      </c>
      <c r="D323" s="35">
        <f t="shared" ref="D323:L323" si="103">IF(((D321="")*AND(D322="")),"",(D321-D322)*3)</f>
        <v>8667.8999999999978</v>
      </c>
      <c r="E323" s="35">
        <f t="shared" si="103"/>
        <v>8999.3099999999904</v>
      </c>
      <c r="F323" s="35">
        <f t="shared" si="103"/>
        <v>8894.4599999999991</v>
      </c>
      <c r="G323" s="35">
        <f t="shared" si="103"/>
        <v>9109.0800000000017</v>
      </c>
      <c r="H323" s="35">
        <f t="shared" si="103"/>
        <v>9052.1999999999935</v>
      </c>
      <c r="I323" s="35">
        <f t="shared" si="103"/>
        <v>8541.8999999999978</v>
      </c>
      <c r="J323" s="35">
        <f t="shared" si="103"/>
        <v>8635.6499999999978</v>
      </c>
      <c r="K323" s="35">
        <f t="shared" si="103"/>
        <v>9315.4500000000044</v>
      </c>
      <c r="L323" s="35">
        <f t="shared" si="103"/>
        <v>9555.3900000000031</v>
      </c>
      <c r="M323" s="36"/>
      <c r="N323" s="36"/>
      <c r="O323" s="36"/>
      <c r="P323" s="36"/>
      <c r="Q323" s="36"/>
      <c r="R323" s="37"/>
      <c r="S323" s="38"/>
      <c r="T323" s="56"/>
      <c r="U323" s="51"/>
      <c r="V323" s="50"/>
      <c r="W323" s="50"/>
      <c r="X323" s="51"/>
      <c r="Y323" s="51"/>
      <c r="Z323" s="52"/>
      <c r="AA323" s="52"/>
    </row>
    <row r="324" spans="1:27">
      <c r="A324" s="95">
        <v>43109</v>
      </c>
      <c r="B324" s="115" t="s">
        <v>429</v>
      </c>
      <c r="C324" s="26" t="s">
        <v>126</v>
      </c>
      <c r="D324" s="16">
        <v>29169.81</v>
      </c>
      <c r="E324" s="16">
        <v>28975.5</v>
      </c>
      <c r="F324" s="16">
        <v>29023.08</v>
      </c>
      <c r="G324" s="16">
        <v>28963.46</v>
      </c>
      <c r="H324" s="16">
        <v>29204.15</v>
      </c>
      <c r="I324" s="16">
        <v>29143.19</v>
      </c>
      <c r="J324" s="16">
        <v>28956.89</v>
      </c>
      <c r="K324" s="16">
        <v>28962.73</v>
      </c>
      <c r="L324" s="16">
        <v>29176.74</v>
      </c>
      <c r="M324" s="27">
        <f>IF((L325=""),"",MAX(D326:L326))</f>
        <v>10891.830000000002</v>
      </c>
      <c r="N324" s="27">
        <f>IF(L325="","",MIN(D326:L326))</f>
        <v>9725.3999999999978</v>
      </c>
      <c r="O324" s="27">
        <f>IF((L326=""),"",AVERAGE(D326:L326))</f>
        <v>10356.893333333333</v>
      </c>
      <c r="P324" s="27">
        <f>IF((L325=""),"",STDEV(D326:L326))</f>
        <v>362.1178919910069</v>
      </c>
      <c r="Q324" s="168">
        <f>IF((L325=""),"",((M324-N324)/(M324+P324))*100)</f>
        <v>10.364629472205982</v>
      </c>
      <c r="R324" s="28" t="str">
        <f>IF(L325="","",IF(Q324&lt;Z324,IF(N324&gt;V324,IF(M324&lt;W324,"Pass","Fail"),"Fail"),"Fail"))</f>
        <v>Pass</v>
      </c>
      <c r="S324" s="29">
        <v>121</v>
      </c>
      <c r="U324" s="54" t="s">
        <v>189</v>
      </c>
      <c r="V324" s="53">
        <v>9000</v>
      </c>
      <c r="W324" s="22">
        <v>15600</v>
      </c>
      <c r="X324" s="40">
        <v>8090</v>
      </c>
      <c r="Y324" s="40">
        <v>12070</v>
      </c>
      <c r="Z324" s="49">
        <v>15</v>
      </c>
      <c r="AA324" s="49">
        <v>6</v>
      </c>
    </row>
    <row r="325" spans="1:27" ht="15.75" customHeight="1">
      <c r="A325" s="94"/>
      <c r="B325" s="94"/>
      <c r="C325" s="30" t="s">
        <v>128</v>
      </c>
      <c r="D325" s="16">
        <v>25820.59</v>
      </c>
      <c r="E325" s="16">
        <v>25513.67</v>
      </c>
      <c r="F325" s="16">
        <v>25549.88</v>
      </c>
      <c r="G325" s="16">
        <v>25443.42</v>
      </c>
      <c r="H325" s="16">
        <v>25723.23</v>
      </c>
      <c r="I325" s="16">
        <v>25901.39</v>
      </c>
      <c r="J325" s="16">
        <v>25609.58</v>
      </c>
      <c r="K325" s="16">
        <v>25396.98</v>
      </c>
      <c r="L325" s="16">
        <v>25546.13</v>
      </c>
      <c r="M325" s="31"/>
      <c r="N325" s="31"/>
      <c r="O325" s="31"/>
      <c r="P325" s="31"/>
      <c r="Q325" s="31"/>
      <c r="R325" s="32"/>
      <c r="S325" s="33"/>
      <c r="T325" s="55"/>
      <c r="V325" s="47"/>
      <c r="W325" s="47"/>
      <c r="X325" s="48"/>
      <c r="Y325" s="48"/>
      <c r="Z325" s="49"/>
      <c r="AA325" s="49"/>
    </row>
    <row r="326" spans="1:27" ht="16.5" customHeight="1" thickBot="1">
      <c r="A326" s="94"/>
      <c r="B326" s="94"/>
      <c r="C326" s="34" t="s">
        <v>129</v>
      </c>
      <c r="D326" s="35">
        <f t="shared" ref="D326:L326" si="104">IF(((D324="")*AND(D325="")),"",(D324-D325)*3)</f>
        <v>10047.660000000003</v>
      </c>
      <c r="E326" s="35">
        <f t="shared" si="104"/>
        <v>10385.490000000005</v>
      </c>
      <c r="F326" s="35">
        <f t="shared" si="104"/>
        <v>10419.600000000002</v>
      </c>
      <c r="G326" s="35">
        <f t="shared" si="104"/>
        <v>10560.120000000003</v>
      </c>
      <c r="H326" s="35">
        <f t="shared" si="104"/>
        <v>10442.760000000006</v>
      </c>
      <c r="I326" s="35">
        <f t="shared" si="104"/>
        <v>9725.3999999999978</v>
      </c>
      <c r="J326" s="35">
        <f t="shared" si="104"/>
        <v>10041.929999999993</v>
      </c>
      <c r="K326" s="35">
        <f t="shared" si="104"/>
        <v>10697.25</v>
      </c>
      <c r="L326" s="35">
        <f t="shared" si="104"/>
        <v>10891.830000000002</v>
      </c>
      <c r="M326" s="36"/>
      <c r="N326" s="36"/>
      <c r="O326" s="36"/>
      <c r="P326" s="36"/>
      <c r="Q326" s="36"/>
      <c r="R326" s="37"/>
      <c r="S326" s="38"/>
      <c r="T326" s="56"/>
      <c r="U326" s="51"/>
      <c r="V326" s="50"/>
      <c r="W326" s="50"/>
      <c r="X326" s="51"/>
      <c r="Y326" s="51"/>
      <c r="Z326" s="52"/>
      <c r="AA326" s="52"/>
    </row>
    <row r="327" spans="1:27">
      <c r="A327" s="95">
        <v>43111</v>
      </c>
      <c r="B327" s="115" t="s">
        <v>429</v>
      </c>
      <c r="C327" s="26" t="s">
        <v>126</v>
      </c>
      <c r="D327" s="16">
        <v>29164.77</v>
      </c>
      <c r="E327" s="16">
        <v>28944.46</v>
      </c>
      <c r="F327" s="16">
        <v>28940.66</v>
      </c>
      <c r="G327" s="16">
        <v>28931.38</v>
      </c>
      <c r="H327" s="16">
        <v>29180.58</v>
      </c>
      <c r="I327" s="16">
        <v>29134.7</v>
      </c>
      <c r="J327" s="16">
        <v>28938.18</v>
      </c>
      <c r="K327" s="16">
        <v>28934.49</v>
      </c>
      <c r="L327" s="16">
        <v>29181.39</v>
      </c>
      <c r="M327" s="27">
        <f>IF((L328=""),"",MAX(D329:L329))</f>
        <v>9597.5400000000009</v>
      </c>
      <c r="N327" s="27">
        <f>IF(L328="","",MIN(D329:L329))</f>
        <v>8536.77</v>
      </c>
      <c r="O327" s="27">
        <f>IF((L329=""),"",AVERAGE(D329:L329))</f>
        <v>9059.963333333335</v>
      </c>
      <c r="P327" s="27">
        <f>IF((L328=""),"",STDEV(D329:L329))</f>
        <v>379.95445430997779</v>
      </c>
      <c r="Q327" s="168">
        <f>IF((L328=""),"",((M327-N327)/(M327+P327))*100)</f>
        <v>10.631627056848721</v>
      </c>
      <c r="R327" s="28" t="str">
        <f>IF(L328="","",IF(Q327&lt;Z327,IF(N327&gt;V327,IF(M327&lt;W327,"Pass","Fail"),"Fail"),"Fail"))</f>
        <v>Fail</v>
      </c>
      <c r="S327" s="29">
        <v>121</v>
      </c>
      <c r="U327" s="54" t="s">
        <v>190</v>
      </c>
      <c r="V327" s="53">
        <v>9000</v>
      </c>
      <c r="W327" s="22">
        <v>15600</v>
      </c>
      <c r="X327" s="40">
        <v>8090</v>
      </c>
      <c r="Y327" s="40">
        <v>12070</v>
      </c>
      <c r="Z327" s="49">
        <v>15</v>
      </c>
      <c r="AA327" s="49">
        <v>6</v>
      </c>
    </row>
    <row r="328" spans="1:27" ht="15.75" customHeight="1">
      <c r="A328" s="94"/>
      <c r="B328" s="94"/>
      <c r="C328" s="30" t="s">
        <v>128</v>
      </c>
      <c r="D328" s="16">
        <v>26019.64</v>
      </c>
      <c r="E328" s="16">
        <v>25835.37</v>
      </c>
      <c r="F328" s="16">
        <v>25953.360000000001</v>
      </c>
      <c r="G328" s="16">
        <v>25950.12</v>
      </c>
      <c r="H328" s="16">
        <v>26334.99</v>
      </c>
      <c r="I328" s="16">
        <v>25935.52</v>
      </c>
      <c r="J328" s="16">
        <v>25820.87</v>
      </c>
      <c r="K328" s="16">
        <v>26027.99</v>
      </c>
      <c r="L328" s="16">
        <v>26292.86</v>
      </c>
      <c r="M328" s="31"/>
      <c r="N328" s="31"/>
      <c r="O328" s="31"/>
      <c r="P328" s="31"/>
      <c r="Q328" s="31"/>
      <c r="R328" s="32"/>
      <c r="S328" s="33"/>
      <c r="T328" s="55"/>
      <c r="V328" s="47"/>
      <c r="W328" s="47"/>
      <c r="X328" s="48"/>
      <c r="Y328" s="48"/>
      <c r="Z328" s="49"/>
      <c r="AA328" s="49"/>
    </row>
    <row r="329" spans="1:27" ht="16.5" customHeight="1" thickBot="1">
      <c r="A329" s="94"/>
      <c r="B329" s="94"/>
      <c r="C329" s="34" t="s">
        <v>129</v>
      </c>
      <c r="D329" s="35">
        <f t="shared" ref="D329:L329" si="105">IF(((D327="")*AND(D328="")),"",(D327-D328)*3)</f>
        <v>9435.3900000000031</v>
      </c>
      <c r="E329" s="35">
        <f t="shared" si="105"/>
        <v>9327.27</v>
      </c>
      <c r="F329" s="35">
        <f t="shared" si="105"/>
        <v>8961.8999999999978</v>
      </c>
      <c r="G329" s="35">
        <f t="shared" si="105"/>
        <v>8943.7800000000061</v>
      </c>
      <c r="H329" s="35">
        <f t="shared" si="105"/>
        <v>8536.77</v>
      </c>
      <c r="I329" s="35">
        <f t="shared" si="105"/>
        <v>9597.5400000000009</v>
      </c>
      <c r="J329" s="35">
        <f t="shared" si="105"/>
        <v>9351.9300000000039</v>
      </c>
      <c r="K329" s="35">
        <f t="shared" si="105"/>
        <v>8719.5</v>
      </c>
      <c r="L329" s="35">
        <f t="shared" si="105"/>
        <v>8665.5899999999965</v>
      </c>
      <c r="M329" s="36"/>
      <c r="N329" s="36"/>
      <c r="O329" s="36"/>
      <c r="P329" s="36"/>
      <c r="Q329" s="36"/>
      <c r="R329" s="37"/>
      <c r="S329" s="38"/>
      <c r="T329" s="56"/>
      <c r="U329" s="51"/>
      <c r="V329" s="50"/>
      <c r="W329" s="50"/>
      <c r="X329" s="51"/>
      <c r="Y329" s="51"/>
      <c r="Z329" s="52"/>
      <c r="AA329" s="52"/>
    </row>
    <row r="330" spans="1:27">
      <c r="A330" s="95">
        <v>43111</v>
      </c>
      <c r="B330" s="115" t="s">
        <v>429</v>
      </c>
      <c r="C330" s="26" t="s">
        <v>126</v>
      </c>
      <c r="D330" s="16">
        <v>29321.68</v>
      </c>
      <c r="E330" s="16">
        <v>29159.19</v>
      </c>
      <c r="F330" s="16">
        <v>29217.09</v>
      </c>
      <c r="G330" s="16">
        <v>29142.95</v>
      </c>
      <c r="H330" s="16">
        <v>29358.55</v>
      </c>
      <c r="I330" s="16">
        <v>29303.200000000001</v>
      </c>
      <c r="J330" s="16">
        <v>29130.98</v>
      </c>
      <c r="K330" s="16">
        <v>29161.15</v>
      </c>
      <c r="L330" s="16">
        <v>29375.4</v>
      </c>
      <c r="M330" s="27">
        <f>IF((L331=""),"",MAX(D332:L332))</f>
        <v>10809.21</v>
      </c>
      <c r="N330" s="27">
        <f>IF(L331="","",MIN(D332:L332))</f>
        <v>9744.6000000000022</v>
      </c>
      <c r="O330" s="27">
        <f>IF((L332=""),"",AVERAGE(D332:L332))</f>
        <v>10334.136666666665</v>
      </c>
      <c r="P330" s="27">
        <f>IF((L331=""),"",STDEV(D332:L332))</f>
        <v>351.96501278546413</v>
      </c>
      <c r="Q330" s="168">
        <f>IF((L331=""),"",((M330-N330)/(M330+P330))*100)</f>
        <v>9.5385118393041424</v>
      </c>
      <c r="R330" s="28" t="str">
        <f>IF(L331="","",IF(Q330&lt;Z330,IF(N330&gt;V330,IF(M330&lt;W330,"Pass","Fail"),"Fail"),"Fail"))</f>
        <v>Pass</v>
      </c>
      <c r="S330" s="29">
        <v>121</v>
      </c>
      <c r="U330" s="54" t="s">
        <v>191</v>
      </c>
      <c r="V330" s="53">
        <v>9000</v>
      </c>
      <c r="W330" s="22">
        <v>15600</v>
      </c>
      <c r="X330" s="40">
        <v>8090</v>
      </c>
      <c r="Y330" s="40">
        <v>12070</v>
      </c>
      <c r="Z330" s="49">
        <v>15</v>
      </c>
      <c r="AA330" s="49">
        <v>6</v>
      </c>
    </row>
    <row r="331" spans="1:27" ht="15.75" customHeight="1">
      <c r="A331" s="94"/>
      <c r="B331" s="94"/>
      <c r="C331" s="30" t="s">
        <v>128</v>
      </c>
      <c r="D331" s="16">
        <v>25995.06</v>
      </c>
      <c r="E331" s="16">
        <v>25716.21</v>
      </c>
      <c r="F331" s="16">
        <v>25753.19</v>
      </c>
      <c r="G331" s="16">
        <v>25625.88</v>
      </c>
      <c r="H331" s="16">
        <v>25862.45</v>
      </c>
      <c r="I331" s="16">
        <v>26055</v>
      </c>
      <c r="J331" s="16">
        <v>25788.55</v>
      </c>
      <c r="K331" s="16">
        <v>25599.11</v>
      </c>
      <c r="L331" s="16">
        <v>25772.33</v>
      </c>
      <c r="M331" s="31"/>
      <c r="N331" s="31"/>
      <c r="O331" s="31"/>
      <c r="P331" s="31"/>
      <c r="Q331" s="31"/>
      <c r="R331" s="32"/>
      <c r="S331" s="33"/>
      <c r="T331" s="55"/>
      <c r="V331" s="47"/>
      <c r="W331" s="47"/>
      <c r="X331" s="48"/>
      <c r="Y331" s="48"/>
      <c r="Z331" s="49"/>
      <c r="AA331" s="49"/>
    </row>
    <row r="332" spans="1:27" ht="16.5" customHeight="1" thickBot="1">
      <c r="A332" s="94"/>
      <c r="B332" s="94"/>
      <c r="C332" s="34" t="s">
        <v>129</v>
      </c>
      <c r="D332" s="35">
        <f t="shared" ref="D332:L332" si="106">IF(((D330="")*AND(D331="")),"",(D330-D331)*3)</f>
        <v>9979.8599999999969</v>
      </c>
      <c r="E332" s="35">
        <f t="shared" si="106"/>
        <v>10328.939999999999</v>
      </c>
      <c r="F332" s="35">
        <f t="shared" si="106"/>
        <v>10391.700000000004</v>
      </c>
      <c r="G332" s="35">
        <f t="shared" si="106"/>
        <v>10551.21</v>
      </c>
      <c r="H332" s="35">
        <f t="shared" si="106"/>
        <v>10488.299999999996</v>
      </c>
      <c r="I332" s="35">
        <f t="shared" si="106"/>
        <v>9744.6000000000022</v>
      </c>
      <c r="J332" s="35">
        <f t="shared" si="106"/>
        <v>10027.290000000001</v>
      </c>
      <c r="K332" s="35">
        <f t="shared" si="106"/>
        <v>10686.120000000003</v>
      </c>
      <c r="L332" s="35">
        <f t="shared" si="106"/>
        <v>10809.21</v>
      </c>
      <c r="M332" s="36"/>
      <c r="N332" s="36"/>
      <c r="O332" s="36"/>
      <c r="P332" s="36"/>
      <c r="Q332" s="36"/>
      <c r="R332" s="37"/>
      <c r="S332" s="38"/>
      <c r="T332" s="56"/>
      <c r="U332" s="51"/>
      <c r="V332" s="50"/>
      <c r="W332" s="50"/>
      <c r="X332" s="51"/>
      <c r="Y332" s="51"/>
      <c r="Z332" s="52"/>
      <c r="AA332" s="52"/>
    </row>
    <row r="333" spans="1:27">
      <c r="A333" s="95">
        <v>43115</v>
      </c>
      <c r="B333" s="115" t="s">
        <v>429</v>
      </c>
      <c r="C333" s="26" t="s">
        <v>126</v>
      </c>
      <c r="D333" s="16">
        <v>29159.63</v>
      </c>
      <c r="E333" s="16">
        <v>28999.89</v>
      </c>
      <c r="F333" s="16">
        <v>29050.69</v>
      </c>
      <c r="G333" s="16">
        <v>28977.759999999998</v>
      </c>
      <c r="H333" s="16">
        <v>29190.02</v>
      </c>
      <c r="I333" s="16">
        <v>29157.96</v>
      </c>
      <c r="J333" s="16">
        <v>28974.75</v>
      </c>
      <c r="K333" s="16">
        <v>28976.54</v>
      </c>
      <c r="L333" s="16">
        <v>29194.15</v>
      </c>
      <c r="M333" s="27">
        <f>IF((L334=""),"",MAX(D335:L335))</f>
        <v>9490.77</v>
      </c>
      <c r="N333" s="27">
        <f>IF(L334="","",MIN(D335:L335))</f>
        <v>8270.9399999999987</v>
      </c>
      <c r="O333" s="27">
        <f>IF((L335=""),"",AVERAGE(D335:L335))</f>
        <v>8868.3733333333312</v>
      </c>
      <c r="P333" s="27">
        <f>IF((L334=""),"",STDEV(D335:L335))</f>
        <v>439.96740975894841</v>
      </c>
      <c r="Q333" s="168">
        <f>IF((L334=""),"",((M333-N333)/(M333+P333))*100)</f>
        <v>12.283377856726663</v>
      </c>
      <c r="R333" s="28" t="str">
        <f>IF(L334="","",IF(Q333&lt;Z333,IF(N333&gt;V333,IF(M333&lt;W333,"Pass","Fail"),"Fail"),"Fail"))</f>
        <v>Fail</v>
      </c>
      <c r="S333" s="29">
        <v>1159</v>
      </c>
      <c r="T333" s="54"/>
      <c r="U333" s="40"/>
      <c r="V333" s="53">
        <v>9000</v>
      </c>
      <c r="W333" s="22">
        <v>15600</v>
      </c>
      <c r="X333" s="40">
        <v>8090</v>
      </c>
      <c r="Y333" s="40">
        <v>12070</v>
      </c>
      <c r="Z333" s="49">
        <v>15</v>
      </c>
      <c r="AA333" s="49">
        <v>6</v>
      </c>
    </row>
    <row r="334" spans="1:27" ht="15.75" customHeight="1">
      <c r="A334" s="94"/>
      <c r="B334" s="94"/>
      <c r="C334" s="30" t="s">
        <v>128</v>
      </c>
      <c r="D334" s="16">
        <v>26402.65</v>
      </c>
      <c r="E334" s="16">
        <v>26091.55</v>
      </c>
      <c r="F334" s="16">
        <v>26108.22</v>
      </c>
      <c r="G334" s="16">
        <v>25908.22</v>
      </c>
      <c r="H334" s="16">
        <v>26106.37</v>
      </c>
      <c r="I334" s="16">
        <v>26360.31</v>
      </c>
      <c r="J334" s="16">
        <v>26160.23</v>
      </c>
      <c r="K334" s="16">
        <v>25908.16</v>
      </c>
      <c r="L334" s="16">
        <v>26030.560000000001</v>
      </c>
      <c r="M334" s="31"/>
      <c r="N334" s="31"/>
      <c r="O334" s="31"/>
      <c r="P334" s="31"/>
      <c r="Q334" s="31"/>
      <c r="R334" s="32"/>
      <c r="S334" s="33"/>
      <c r="T334" s="55"/>
      <c r="V334" s="47"/>
      <c r="W334" s="47"/>
      <c r="X334" s="48"/>
      <c r="Y334" s="48"/>
      <c r="Z334" s="49"/>
      <c r="AA334" s="49"/>
    </row>
    <row r="335" spans="1:27" ht="16.5" customHeight="1" thickBot="1">
      <c r="A335" s="94"/>
      <c r="B335" s="94"/>
      <c r="C335" s="34" t="s">
        <v>129</v>
      </c>
      <c r="D335" s="35">
        <f t="shared" ref="D335:L335" si="107">IF(((D333="")*AND(D334="")),"",(D333-D334)*3)</f>
        <v>8270.9399999999987</v>
      </c>
      <c r="E335" s="35">
        <f t="shared" si="107"/>
        <v>8725.02</v>
      </c>
      <c r="F335" s="35">
        <f t="shared" si="107"/>
        <v>8827.4099999999926</v>
      </c>
      <c r="G335" s="35">
        <f t="shared" si="107"/>
        <v>9208.6199999999917</v>
      </c>
      <c r="H335" s="35">
        <f t="shared" si="107"/>
        <v>9250.9500000000044</v>
      </c>
      <c r="I335" s="35">
        <f t="shared" si="107"/>
        <v>8392.9499999999935</v>
      </c>
      <c r="J335" s="35">
        <f t="shared" si="107"/>
        <v>8443.5600000000013</v>
      </c>
      <c r="K335" s="35">
        <f t="shared" si="107"/>
        <v>9205.1400000000031</v>
      </c>
      <c r="L335" s="35">
        <f t="shared" si="107"/>
        <v>9490.77</v>
      </c>
      <c r="M335" s="36"/>
      <c r="N335" s="36"/>
      <c r="O335" s="36"/>
      <c r="P335" s="36"/>
      <c r="Q335" s="36"/>
      <c r="R335" s="37"/>
      <c r="S335" s="38"/>
      <c r="T335" s="56"/>
      <c r="U335" s="51"/>
      <c r="V335" s="50"/>
      <c r="W335" s="50"/>
      <c r="X335" s="51"/>
      <c r="Y335" s="51"/>
      <c r="Z335" s="52"/>
      <c r="AA335" s="52"/>
    </row>
    <row r="336" spans="1:27">
      <c r="A336" s="95">
        <v>43115</v>
      </c>
      <c r="B336" s="115" t="s">
        <v>429</v>
      </c>
      <c r="C336" s="26" t="s">
        <v>126</v>
      </c>
      <c r="D336" s="16">
        <v>29300.71</v>
      </c>
      <c r="E336" s="16">
        <v>29164.55</v>
      </c>
      <c r="F336" s="16">
        <v>29159.11</v>
      </c>
      <c r="G336" s="16">
        <v>29167.53</v>
      </c>
      <c r="H336" s="16">
        <v>29361.87</v>
      </c>
      <c r="I336" s="16">
        <v>29309.86</v>
      </c>
      <c r="J336" s="16">
        <v>29149.78</v>
      </c>
      <c r="K336" s="16">
        <v>29152.86</v>
      </c>
      <c r="L336" s="16">
        <v>29344.92</v>
      </c>
      <c r="M336" s="27">
        <f>IF((L337=""),"",MAX(D338:L338))</f>
        <v>10870.71</v>
      </c>
      <c r="N336" s="27">
        <f>IF(L337="","",MIN(D338:L338))</f>
        <v>9728.4900000000052</v>
      </c>
      <c r="O336" s="27">
        <f>IF((L338=""),"",AVERAGE(D338:L338))</f>
        <v>10355.226666666664</v>
      </c>
      <c r="P336" s="27">
        <f>IF((L337=""),"",STDEV(D338:L338))</f>
        <v>418.55471464312774</v>
      </c>
      <c r="Q336" s="168">
        <f>IF((L337=""),"",((M336-N336)/(M336+P336))*100)</f>
        <v>10.117753714450849</v>
      </c>
      <c r="R336" s="28" t="str">
        <f>IF(L337="","",IF(Q336&lt;Z336,IF(N336&gt;V336,IF(M336&lt;W336,"Pass","Fail"),"Fail"),"Fail"))</f>
        <v>Pass</v>
      </c>
      <c r="S336" s="29">
        <v>1159</v>
      </c>
      <c r="T336" s="54" t="s">
        <v>192</v>
      </c>
      <c r="U336" s="40"/>
      <c r="V336" s="53">
        <v>9000</v>
      </c>
      <c r="W336" s="22">
        <v>15600</v>
      </c>
      <c r="X336" s="40">
        <v>8090</v>
      </c>
      <c r="Y336" s="40">
        <v>12070</v>
      </c>
      <c r="Z336" s="49">
        <v>15</v>
      </c>
      <c r="AA336" s="49">
        <v>6</v>
      </c>
    </row>
    <row r="337" spans="1:27" ht="15.75" customHeight="1">
      <c r="A337" s="94"/>
      <c r="B337" s="94"/>
      <c r="C337" s="30" t="s">
        <v>128</v>
      </c>
      <c r="D337" s="16">
        <v>26022.97</v>
      </c>
      <c r="E337" s="16">
        <v>25719.31</v>
      </c>
      <c r="F337" s="16">
        <v>25717.7</v>
      </c>
      <c r="G337" s="16">
        <v>25603.66</v>
      </c>
      <c r="H337" s="16">
        <v>25789.09</v>
      </c>
      <c r="I337" s="16">
        <v>26067.03</v>
      </c>
      <c r="J337" s="16">
        <v>25812.22</v>
      </c>
      <c r="K337" s="16">
        <v>25592.18</v>
      </c>
      <c r="L337" s="16">
        <v>25721.35</v>
      </c>
      <c r="M337" s="31"/>
      <c r="N337" s="31"/>
      <c r="O337" s="31"/>
      <c r="P337" s="31"/>
      <c r="Q337" s="31"/>
      <c r="R337" s="32"/>
      <c r="S337" s="33"/>
      <c r="T337" s="55"/>
      <c r="V337" s="47"/>
      <c r="W337" s="47"/>
      <c r="X337" s="48"/>
      <c r="Y337" s="48"/>
      <c r="Z337" s="49"/>
      <c r="AA337" s="49"/>
    </row>
    <row r="338" spans="1:27" ht="16.5" customHeight="1" thickBot="1">
      <c r="A338" s="94"/>
      <c r="B338" s="94"/>
      <c r="C338" s="34" t="s">
        <v>129</v>
      </c>
      <c r="D338" s="35">
        <f t="shared" ref="D338:L338" si="108">IF(((D336="")*AND(D337="")),"",(D336-D337)*3)</f>
        <v>9833.2199999999939</v>
      </c>
      <c r="E338" s="35">
        <f t="shared" si="108"/>
        <v>10335.719999999994</v>
      </c>
      <c r="F338" s="35">
        <f t="shared" si="108"/>
        <v>10324.23</v>
      </c>
      <c r="G338" s="35">
        <f t="shared" si="108"/>
        <v>10691.609999999997</v>
      </c>
      <c r="H338" s="35">
        <f t="shared" si="108"/>
        <v>10718.339999999997</v>
      </c>
      <c r="I338" s="35">
        <f t="shared" si="108"/>
        <v>9728.4900000000052</v>
      </c>
      <c r="J338" s="35">
        <f t="shared" si="108"/>
        <v>10012.679999999993</v>
      </c>
      <c r="K338" s="35">
        <f t="shared" si="108"/>
        <v>10682.04</v>
      </c>
      <c r="L338" s="35">
        <f t="shared" si="108"/>
        <v>10870.71</v>
      </c>
      <c r="M338" s="36"/>
      <c r="N338" s="36"/>
      <c r="O338" s="36"/>
      <c r="P338" s="36"/>
      <c r="Q338" s="36"/>
      <c r="R338" s="37"/>
      <c r="S338" s="38"/>
      <c r="T338" s="56"/>
      <c r="U338" s="51"/>
      <c r="V338" s="50"/>
      <c r="W338" s="50"/>
      <c r="X338" s="51"/>
      <c r="Y338" s="51"/>
      <c r="Z338" s="52"/>
      <c r="AA338" s="52"/>
    </row>
    <row r="339" spans="1:27">
      <c r="A339" s="95">
        <v>43121</v>
      </c>
      <c r="B339" s="115" t="s">
        <v>429</v>
      </c>
      <c r="C339" s="26" t="s">
        <v>126</v>
      </c>
      <c r="D339" s="16">
        <v>29222.21</v>
      </c>
      <c r="E339" s="16">
        <v>29048.87</v>
      </c>
      <c r="F339" s="16">
        <v>29033.279999999999</v>
      </c>
      <c r="G339" s="16">
        <v>29029.86</v>
      </c>
      <c r="H339" s="16">
        <v>29251</v>
      </c>
      <c r="I339" s="16">
        <v>29214.5</v>
      </c>
      <c r="J339" s="16">
        <v>29020.1</v>
      </c>
      <c r="K339" s="16">
        <v>29031.54</v>
      </c>
      <c r="L339" s="16">
        <v>29269.46</v>
      </c>
      <c r="M339" s="27">
        <f>IF((L340=""),"",MAX(D341:L341))</f>
        <v>10396.379999999997</v>
      </c>
      <c r="N339" s="27">
        <f>IF(L340="","",MIN(D341:L341))</f>
        <v>9117.7200000000048</v>
      </c>
      <c r="O339" s="27">
        <f>IF((L341=""),"",AVERAGE(D341:L341))</f>
        <v>9802.9233333333323</v>
      </c>
      <c r="P339" s="27">
        <f>IF((L340=""),"",STDEV(D341:L341))</f>
        <v>420.06480503013881</v>
      </c>
      <c r="Q339" s="168">
        <f>IF((L340=""),"",((M339-N339)/(M339+P339))*100)</f>
        <v>11.821444319721003</v>
      </c>
      <c r="R339" s="28" t="str">
        <f>IF(L340="","",IF(Q339&lt;Z339,IF(N339&gt;V339,IF(M339&lt;W339,"Pass","Fail"),"Fail"),"Fail"))</f>
        <v>Pass</v>
      </c>
      <c r="S339" s="29">
        <v>1159</v>
      </c>
      <c r="T339" s="54" t="s">
        <v>193</v>
      </c>
      <c r="U339" s="40"/>
      <c r="V339" s="53">
        <v>9000</v>
      </c>
      <c r="W339" s="22">
        <v>15600</v>
      </c>
      <c r="X339" s="40">
        <v>8090</v>
      </c>
      <c r="Y339" s="40">
        <v>12070</v>
      </c>
      <c r="Z339" s="49">
        <v>15</v>
      </c>
      <c r="AA339" s="49">
        <v>6</v>
      </c>
    </row>
    <row r="340" spans="1:27" ht="15.75" customHeight="1">
      <c r="A340" s="94"/>
      <c r="B340" s="94"/>
      <c r="C340" s="30" t="s">
        <v>128</v>
      </c>
      <c r="D340" s="16">
        <v>26096.17</v>
      </c>
      <c r="E340" s="16">
        <v>25781.34</v>
      </c>
      <c r="F340" s="16">
        <v>25762.82</v>
      </c>
      <c r="G340" s="16">
        <v>25675.49</v>
      </c>
      <c r="H340" s="16">
        <v>25892.36</v>
      </c>
      <c r="I340" s="16">
        <v>26175.26</v>
      </c>
      <c r="J340" s="16">
        <v>25878.35</v>
      </c>
      <c r="K340" s="16">
        <v>25646.26</v>
      </c>
      <c r="L340" s="16">
        <v>25804</v>
      </c>
      <c r="M340" s="31"/>
      <c r="N340" s="31"/>
      <c r="O340" s="31"/>
      <c r="P340" s="31"/>
      <c r="Q340" s="31"/>
      <c r="R340" s="32"/>
      <c r="S340" s="33"/>
      <c r="T340" s="55"/>
      <c r="V340" s="47"/>
      <c r="W340" s="47"/>
      <c r="X340" s="48"/>
      <c r="Y340" s="48"/>
      <c r="Z340" s="49"/>
      <c r="AA340" s="49"/>
    </row>
    <row r="341" spans="1:27" ht="16.5" customHeight="1" thickBot="1">
      <c r="A341" s="94"/>
      <c r="B341" s="94"/>
      <c r="C341" s="34" t="s">
        <v>129</v>
      </c>
      <c r="D341" s="35">
        <f t="shared" ref="D341:L341" si="109">IF(((D339="")*AND(D340="")),"",(D339-D340)*3)</f>
        <v>9378.1200000000026</v>
      </c>
      <c r="E341" s="35">
        <f t="shared" si="109"/>
        <v>9802.5899999999965</v>
      </c>
      <c r="F341" s="35">
        <f t="shared" si="109"/>
        <v>9811.3799999999974</v>
      </c>
      <c r="G341" s="35">
        <f t="shared" si="109"/>
        <v>10063.109999999997</v>
      </c>
      <c r="H341" s="35">
        <f t="shared" si="109"/>
        <v>10075.919999999998</v>
      </c>
      <c r="I341" s="35">
        <f t="shared" si="109"/>
        <v>9117.7200000000048</v>
      </c>
      <c r="J341" s="35">
        <f t="shared" si="109"/>
        <v>9425.25</v>
      </c>
      <c r="K341" s="35">
        <f t="shared" si="109"/>
        <v>10155.840000000007</v>
      </c>
      <c r="L341" s="35">
        <f t="shared" si="109"/>
        <v>10396.379999999997</v>
      </c>
      <c r="M341" s="36"/>
      <c r="N341" s="36"/>
      <c r="O341" s="36"/>
      <c r="P341" s="36"/>
      <c r="Q341" s="36"/>
      <c r="R341" s="37"/>
      <c r="S341" s="38"/>
      <c r="T341" s="56"/>
      <c r="U341" s="51"/>
      <c r="V341" s="50"/>
      <c r="W341" s="50"/>
      <c r="X341" s="51"/>
      <c r="Y341" s="51"/>
      <c r="Z341" s="52"/>
      <c r="AA341" s="52"/>
    </row>
    <row r="342" spans="1:27">
      <c r="A342" s="95">
        <v>43125</v>
      </c>
      <c r="B342" s="115" t="s">
        <v>429</v>
      </c>
      <c r="C342" s="26" t="s">
        <v>126</v>
      </c>
      <c r="D342" s="16">
        <v>29434.63</v>
      </c>
      <c r="E342" s="16">
        <v>29256.720000000001</v>
      </c>
      <c r="F342" s="16">
        <v>29322.84</v>
      </c>
      <c r="G342" s="16">
        <v>29252.97</v>
      </c>
      <c r="H342" s="16">
        <v>29441.66</v>
      </c>
      <c r="I342" s="16">
        <v>29451</v>
      </c>
      <c r="J342" s="16">
        <v>29258.01</v>
      </c>
      <c r="K342" s="16">
        <v>29249.22</v>
      </c>
      <c r="L342" s="16">
        <v>29455.119999999999</v>
      </c>
      <c r="M342" s="27">
        <f>IF((L343=""),"",MAX(D344:L344))</f>
        <v>9637.3500000000022</v>
      </c>
      <c r="N342" s="27">
        <f>IF(L343="","",MIN(D344:L344))</f>
        <v>8473.4100000000035</v>
      </c>
      <c r="O342" s="27">
        <f>IF((L344=""),"",AVERAGE(D344:L344))</f>
        <v>9140.463333333335</v>
      </c>
      <c r="P342" s="27">
        <f>IF((L343=""),"",STDEV(D344:L344))</f>
        <v>377.61575275005333</v>
      </c>
      <c r="Q342" s="168">
        <f>IF((L343=""),"",((M342-N342)/(M342+P342))*100)</f>
        <v>11.622006791989151</v>
      </c>
      <c r="R342" s="28" t="str">
        <f>IF(L343="","",IF(Q342&lt;Z342,IF(N342&gt;V342,IF(M342&lt;W342,"Pass","Fail"),"Fail"),"Fail"))</f>
        <v>Fail</v>
      </c>
      <c r="S342" s="29">
        <v>102</v>
      </c>
      <c r="T342" s="54"/>
      <c r="U342" s="40"/>
      <c r="V342" s="53">
        <v>9000</v>
      </c>
      <c r="W342" s="22">
        <v>15600</v>
      </c>
      <c r="X342" s="40">
        <v>8090</v>
      </c>
      <c r="Y342" s="40">
        <v>12070</v>
      </c>
      <c r="Z342" s="49">
        <v>15</v>
      </c>
      <c r="AA342" s="49">
        <v>6</v>
      </c>
    </row>
    <row r="343" spans="1:27" ht="15.75" customHeight="1">
      <c r="A343" s="94"/>
      <c r="B343" s="94"/>
      <c r="C343" s="30" t="s">
        <v>128</v>
      </c>
      <c r="D343" s="16">
        <v>26281.43</v>
      </c>
      <c r="E343" s="16">
        <v>26101.73</v>
      </c>
      <c r="F343" s="16">
        <v>26294.799999999999</v>
      </c>
      <c r="G343" s="16">
        <v>26258.49</v>
      </c>
      <c r="H343" s="16">
        <v>26617.19</v>
      </c>
      <c r="I343" s="16">
        <v>26238.55</v>
      </c>
      <c r="J343" s="16">
        <v>26121.07</v>
      </c>
      <c r="K343" s="16">
        <v>26288.240000000002</v>
      </c>
      <c r="L343" s="16">
        <v>26499.279999999999</v>
      </c>
      <c r="M343" s="31"/>
      <c r="N343" s="31"/>
      <c r="O343" s="31"/>
      <c r="P343" s="31"/>
      <c r="Q343" s="31"/>
      <c r="R343" s="32"/>
      <c r="S343" s="33"/>
      <c r="T343" s="55"/>
      <c r="V343" s="47"/>
      <c r="W343" s="47"/>
      <c r="X343" s="48"/>
      <c r="Y343" s="48"/>
      <c r="Z343" s="49"/>
      <c r="AA343" s="49"/>
    </row>
    <row r="344" spans="1:27" ht="16.5" customHeight="1" thickBot="1">
      <c r="A344" s="94"/>
      <c r="B344" s="94"/>
      <c r="C344" s="34" t="s">
        <v>129</v>
      </c>
      <c r="D344" s="35">
        <f t="shared" ref="D344:L344" si="110">IF(((D342="")*AND(D343="")),"",(D342-D343)*3)</f>
        <v>9459.6000000000022</v>
      </c>
      <c r="E344" s="35">
        <f t="shared" si="110"/>
        <v>9464.9700000000048</v>
      </c>
      <c r="F344" s="35">
        <f t="shared" si="110"/>
        <v>9084.1200000000026</v>
      </c>
      <c r="G344" s="35">
        <f t="shared" si="110"/>
        <v>8983.4399999999987</v>
      </c>
      <c r="H344" s="35">
        <f t="shared" si="110"/>
        <v>8473.4100000000035</v>
      </c>
      <c r="I344" s="35">
        <f t="shared" si="110"/>
        <v>9637.3500000000022</v>
      </c>
      <c r="J344" s="35">
        <f t="shared" si="110"/>
        <v>9410.8199999999961</v>
      </c>
      <c r="K344" s="35">
        <f t="shared" si="110"/>
        <v>8882.9399999999987</v>
      </c>
      <c r="L344" s="35">
        <f t="shared" si="110"/>
        <v>8867.52</v>
      </c>
      <c r="M344" s="36"/>
      <c r="N344" s="36"/>
      <c r="O344" s="36"/>
      <c r="P344" s="36"/>
      <c r="Q344" s="36"/>
      <c r="R344" s="37"/>
      <c r="S344" s="38"/>
      <c r="T344" s="56"/>
      <c r="U344" s="51"/>
      <c r="V344" s="50"/>
      <c r="W344" s="50"/>
      <c r="X344" s="51"/>
      <c r="Y344" s="51"/>
      <c r="Z344" s="52"/>
      <c r="AA344" s="52"/>
    </row>
    <row r="345" spans="1:27">
      <c r="A345" s="95">
        <v>43129</v>
      </c>
      <c r="B345" s="115" t="s">
        <v>429</v>
      </c>
      <c r="C345" s="26" t="s">
        <v>126</v>
      </c>
      <c r="D345" s="16">
        <v>29369.54</v>
      </c>
      <c r="E345" s="16">
        <v>29206.25</v>
      </c>
      <c r="F345" s="16">
        <v>29279.93</v>
      </c>
      <c r="G345" s="16">
        <v>29218.53</v>
      </c>
      <c r="H345" s="16">
        <v>29425.78</v>
      </c>
      <c r="I345" s="16">
        <v>29366.43</v>
      </c>
      <c r="J345" s="16">
        <v>29197.68</v>
      </c>
      <c r="K345" s="16">
        <v>29225.08</v>
      </c>
      <c r="L345" s="16">
        <v>29434.58</v>
      </c>
      <c r="M345" s="27">
        <f>IF((L346=""),"",MAX(D347:L347))</f>
        <v>10185.030000000006</v>
      </c>
      <c r="N345" s="27">
        <f>IF(L346="","",MIN(D347:L347))</f>
        <v>9132.3599999999969</v>
      </c>
      <c r="O345" s="27">
        <f>IF((L347=""),"",AVERAGE(D347:L347))</f>
        <v>9669.760000000002</v>
      </c>
      <c r="P345" s="27">
        <f>IF((L346=""),"",STDEV(D347:L347))</f>
        <v>391.74481024004041</v>
      </c>
      <c r="Q345" s="168">
        <f>IF((L346=""),"",((M345-N345)/(M345+P345))*100)</f>
        <v>9.9526558793787725</v>
      </c>
      <c r="R345" s="28" t="str">
        <f>IF(L346="","",IF(Q345&lt;Z345,IF(N345&gt;V345,IF(M345&lt;W345,"Pass","Fail"),"Fail"),"Fail"))</f>
        <v>Pass</v>
      </c>
      <c r="S345" s="29" t="s">
        <v>67</v>
      </c>
      <c r="T345" s="54" t="s">
        <v>194</v>
      </c>
      <c r="U345" s="40"/>
      <c r="V345" s="53">
        <v>9000</v>
      </c>
      <c r="W345" s="22">
        <v>15600</v>
      </c>
      <c r="X345" s="40">
        <v>8090</v>
      </c>
      <c r="Y345" s="40">
        <v>12070</v>
      </c>
      <c r="Z345" s="49">
        <v>15</v>
      </c>
      <c r="AA345" s="49">
        <v>6</v>
      </c>
    </row>
    <row r="346" spans="1:27" ht="15.75" customHeight="1">
      <c r="A346" s="94"/>
      <c r="B346" s="94"/>
      <c r="C346" s="30" t="s">
        <v>128</v>
      </c>
      <c r="D346" s="16">
        <v>26308.47</v>
      </c>
      <c r="E346" s="16">
        <v>26008.17</v>
      </c>
      <c r="F346" s="16">
        <v>26069.13</v>
      </c>
      <c r="G346" s="16">
        <v>25889.17</v>
      </c>
      <c r="H346" s="16">
        <v>26103.69</v>
      </c>
      <c r="I346" s="16">
        <v>26322.31</v>
      </c>
      <c r="J346" s="16">
        <v>26088.85</v>
      </c>
      <c r="K346" s="16">
        <v>25885.16</v>
      </c>
      <c r="L346" s="16">
        <v>26039.57</v>
      </c>
      <c r="M346" s="31"/>
      <c r="N346" s="31"/>
      <c r="O346" s="31"/>
      <c r="P346" s="31"/>
      <c r="Q346" s="31"/>
      <c r="R346" s="32"/>
      <c r="S346" s="33"/>
      <c r="T346" s="55"/>
      <c r="V346" s="47"/>
      <c r="W346" s="47"/>
      <c r="X346" s="48"/>
      <c r="Y346" s="48"/>
      <c r="Z346" s="49"/>
      <c r="AA346" s="49"/>
    </row>
    <row r="347" spans="1:27" ht="16.5" customHeight="1" thickBot="1">
      <c r="A347" s="94"/>
      <c r="B347" s="94"/>
      <c r="C347" s="34" t="s">
        <v>129</v>
      </c>
      <c r="D347" s="35">
        <f t="shared" ref="D347:L347" si="111">IF(((D345="")*AND(D346="")),"",(D345-D346)*3)</f>
        <v>9183.2099999999991</v>
      </c>
      <c r="E347" s="35">
        <f t="shared" si="111"/>
        <v>9594.2400000000052</v>
      </c>
      <c r="F347" s="35">
        <f t="shared" si="111"/>
        <v>9632.3999999999978</v>
      </c>
      <c r="G347" s="35">
        <f t="shared" si="111"/>
        <v>9988.0800000000017</v>
      </c>
      <c r="H347" s="35">
        <f t="shared" si="111"/>
        <v>9966.27</v>
      </c>
      <c r="I347" s="35">
        <f t="shared" si="111"/>
        <v>9132.3599999999969</v>
      </c>
      <c r="J347" s="35">
        <f t="shared" si="111"/>
        <v>9326.4900000000052</v>
      </c>
      <c r="K347" s="35">
        <f t="shared" si="111"/>
        <v>10019.760000000006</v>
      </c>
      <c r="L347" s="35">
        <f t="shared" si="111"/>
        <v>10185.030000000006</v>
      </c>
      <c r="M347" s="36"/>
      <c r="N347" s="36"/>
      <c r="O347" s="36"/>
      <c r="P347" s="36"/>
      <c r="Q347" s="36"/>
      <c r="R347" s="37"/>
      <c r="S347" s="38"/>
      <c r="T347" s="56"/>
      <c r="U347" s="51"/>
      <c r="V347" s="50"/>
      <c r="W347" s="50"/>
      <c r="X347" s="51"/>
      <c r="Y347" s="51"/>
      <c r="Z347" s="52"/>
      <c r="AA347" s="52"/>
    </row>
    <row r="348" spans="1:27">
      <c r="A348" s="95">
        <v>43133</v>
      </c>
      <c r="B348" s="115" t="s">
        <v>429</v>
      </c>
      <c r="C348" s="26" t="s">
        <v>126</v>
      </c>
      <c r="D348" s="16">
        <v>29317.82</v>
      </c>
      <c r="E348" s="16">
        <v>29134.21</v>
      </c>
      <c r="F348" s="16">
        <v>29147.3</v>
      </c>
      <c r="G348" s="16">
        <v>29149.03</v>
      </c>
      <c r="H348" s="16">
        <v>29360.23</v>
      </c>
      <c r="I348" s="16">
        <v>29345.62</v>
      </c>
      <c r="J348" s="16">
        <v>29140.720000000001</v>
      </c>
      <c r="K348" s="16">
        <v>29143.13</v>
      </c>
      <c r="L348" s="16">
        <v>29402.86</v>
      </c>
      <c r="M348" s="27">
        <f>IF((L349=""),"",MAX(D350:L350))</f>
        <v>11032.140000000003</v>
      </c>
      <c r="N348" s="27">
        <f>IF(L349="","",MIN(D350:L350))</f>
        <v>10202.73</v>
      </c>
      <c r="O348" s="27">
        <f>IF((L350=""),"",AVERAGE(D350:L350))</f>
        <v>10617.376666666667</v>
      </c>
      <c r="P348" s="27">
        <f>IF((L349=""),"",STDEV(D350:L350))</f>
        <v>300.64178680786046</v>
      </c>
      <c r="Q348" s="168">
        <f>IF((L349=""),"",((M348-N348)/(M348+P348))*100)</f>
        <v>7.3186796993258421</v>
      </c>
      <c r="R348" s="28" t="str">
        <f>IF(L349="","",IF(Q348&lt;Z348,IF(N348&gt;V348,IF(M348&lt;W348,"Pass","Fail"),"Fail"),"Fail"))</f>
        <v>Pass</v>
      </c>
      <c r="S348" s="29">
        <v>1335</v>
      </c>
      <c r="T348" s="54" t="s">
        <v>195</v>
      </c>
      <c r="U348" s="40"/>
      <c r="V348" s="53">
        <v>9000</v>
      </c>
      <c r="W348" s="22">
        <v>15600</v>
      </c>
      <c r="X348" s="40">
        <v>8090</v>
      </c>
      <c r="Y348" s="40">
        <v>12070</v>
      </c>
      <c r="Z348" s="49">
        <v>15</v>
      </c>
      <c r="AA348" s="49">
        <v>6</v>
      </c>
    </row>
    <row r="349" spans="1:27" ht="15.75" customHeight="1">
      <c r="A349" s="94"/>
      <c r="B349" s="94"/>
      <c r="C349" s="30" t="s">
        <v>128</v>
      </c>
      <c r="D349" s="16">
        <v>25910.84</v>
      </c>
      <c r="E349" s="16">
        <v>25618.77</v>
      </c>
      <c r="F349" s="16">
        <v>25608.41</v>
      </c>
      <c r="G349" s="16">
        <v>25526.91</v>
      </c>
      <c r="H349" s="16">
        <v>25745.75</v>
      </c>
      <c r="I349" s="16">
        <v>25944.71</v>
      </c>
      <c r="J349" s="16">
        <v>25678.69</v>
      </c>
      <c r="K349" s="16">
        <v>25529.23</v>
      </c>
      <c r="L349" s="16">
        <v>25725.48</v>
      </c>
      <c r="M349" s="31"/>
      <c r="N349" s="31"/>
      <c r="O349" s="31"/>
      <c r="P349" s="31"/>
      <c r="Q349" s="31"/>
      <c r="R349" s="32"/>
      <c r="S349" s="33"/>
      <c r="T349" s="55"/>
      <c r="V349" s="47"/>
      <c r="W349" s="47"/>
      <c r="X349" s="48"/>
      <c r="Y349" s="48"/>
      <c r="Z349" s="49"/>
      <c r="AA349" s="49"/>
    </row>
    <row r="350" spans="1:27" ht="16.5" customHeight="1" thickBot="1">
      <c r="A350" s="94"/>
      <c r="B350" s="94"/>
      <c r="C350" s="34" t="s">
        <v>129</v>
      </c>
      <c r="D350" s="35">
        <f t="shared" ref="D350:L350" si="112">IF(((D348="")*AND(D349="")),"",(D348-D349)*3)</f>
        <v>10220.939999999999</v>
      </c>
      <c r="E350" s="35">
        <f t="shared" si="112"/>
        <v>10546.319999999996</v>
      </c>
      <c r="F350" s="35">
        <f t="shared" si="112"/>
        <v>10616.669999999998</v>
      </c>
      <c r="G350" s="35">
        <f t="shared" si="112"/>
        <v>10866.359999999997</v>
      </c>
      <c r="H350" s="35">
        <f t="shared" si="112"/>
        <v>10843.439999999999</v>
      </c>
      <c r="I350" s="35">
        <f t="shared" si="112"/>
        <v>10202.73</v>
      </c>
      <c r="J350" s="35">
        <f t="shared" si="112"/>
        <v>10386.090000000007</v>
      </c>
      <c r="K350" s="35">
        <f t="shared" si="112"/>
        <v>10841.700000000004</v>
      </c>
      <c r="L350" s="35">
        <f t="shared" si="112"/>
        <v>11032.140000000003</v>
      </c>
      <c r="M350" s="36"/>
      <c r="N350" s="36"/>
      <c r="O350" s="36"/>
      <c r="P350" s="36"/>
      <c r="Q350" s="36"/>
      <c r="R350" s="37"/>
      <c r="S350" s="38"/>
      <c r="T350" s="56"/>
      <c r="U350" s="51"/>
      <c r="V350" s="50"/>
      <c r="W350" s="50"/>
      <c r="X350" s="51"/>
      <c r="Y350" s="51"/>
      <c r="Z350" s="52"/>
      <c r="AA350" s="52"/>
    </row>
    <row r="351" spans="1:27">
      <c r="A351" s="95">
        <v>43133</v>
      </c>
      <c r="B351" s="115" t="s">
        <v>429</v>
      </c>
      <c r="C351" s="26" t="s">
        <v>126</v>
      </c>
      <c r="D351" s="16">
        <v>29337.09</v>
      </c>
      <c r="E351" s="16">
        <v>29159.86</v>
      </c>
      <c r="F351" s="16">
        <v>29146.75</v>
      </c>
      <c r="G351" s="16">
        <v>29123.200000000001</v>
      </c>
      <c r="H351" s="16">
        <v>29335.05</v>
      </c>
      <c r="I351" s="16">
        <v>29293.45</v>
      </c>
      <c r="J351" s="16">
        <v>29126.41</v>
      </c>
      <c r="K351" s="16">
        <v>29144.92</v>
      </c>
      <c r="L351" s="16">
        <v>29391.360000000001</v>
      </c>
      <c r="M351" s="27">
        <f>IF((L352=""),"",MAX(D353:L353))</f>
        <v>10260.870000000003</v>
      </c>
      <c r="N351" s="27">
        <f>IF(L352="","",MIN(D353:L353))</f>
        <v>9497.5499999999956</v>
      </c>
      <c r="O351" s="27">
        <f>IF((L353=""),"",AVERAGE(D353:L353))</f>
        <v>9940.090000000002</v>
      </c>
      <c r="P351" s="27">
        <f>IF((L352=""),"",STDEV(D353:L353))</f>
        <v>274.37045344746423</v>
      </c>
      <c r="Q351" s="168">
        <f>IF((L352=""),"",((M351-N351)/(M351+P351))*100)</f>
        <v>7.2453970402756624</v>
      </c>
      <c r="R351" s="28" t="str">
        <f>IF(L352="","",IF(Q351&lt;Z351,IF(N351&gt;V351,IF(M351&lt;W351,"Pass","Fail"),"Fail"),"Fail"))</f>
        <v>Pass</v>
      </c>
      <c r="S351" s="29">
        <v>1335</v>
      </c>
      <c r="U351" s="54" t="s">
        <v>196</v>
      </c>
      <c r="V351" s="53">
        <v>9000</v>
      </c>
      <c r="W351" s="22">
        <v>15600</v>
      </c>
      <c r="X351" s="40">
        <v>8090</v>
      </c>
      <c r="Y351" s="40">
        <v>12070</v>
      </c>
      <c r="Z351" s="49">
        <v>15</v>
      </c>
      <c r="AA351" s="49">
        <v>6</v>
      </c>
    </row>
    <row r="352" spans="1:27" ht="15.75" customHeight="1">
      <c r="A352" s="94"/>
      <c r="B352" s="94"/>
      <c r="C352" s="30" t="s">
        <v>128</v>
      </c>
      <c r="D352" s="16">
        <v>25929.01</v>
      </c>
      <c r="E352" s="16">
        <v>25739.57</v>
      </c>
      <c r="F352" s="16">
        <v>25830.63</v>
      </c>
      <c r="G352" s="16">
        <v>25809.98</v>
      </c>
      <c r="H352" s="16">
        <v>26169.200000000001</v>
      </c>
      <c r="I352" s="16">
        <v>25926.29</v>
      </c>
      <c r="J352" s="16">
        <v>25744.73</v>
      </c>
      <c r="K352" s="16">
        <v>25896.63</v>
      </c>
      <c r="L352" s="16">
        <v>26191.78</v>
      </c>
      <c r="M352" s="31"/>
      <c r="N352" s="31"/>
      <c r="O352" s="31"/>
      <c r="P352" s="31"/>
      <c r="Q352" s="31"/>
      <c r="R352" s="32"/>
      <c r="S352" s="33"/>
      <c r="T352" s="55"/>
      <c r="V352" s="47"/>
      <c r="W352" s="47"/>
      <c r="X352" s="48"/>
      <c r="Y352" s="48"/>
      <c r="Z352" s="49"/>
      <c r="AA352" s="49"/>
    </row>
    <row r="353" spans="1:27" ht="16.5" customHeight="1" thickBot="1">
      <c r="A353" s="94"/>
      <c r="B353" s="94"/>
      <c r="C353" s="34" t="s">
        <v>129</v>
      </c>
      <c r="D353" s="35">
        <f t="shared" ref="D353:L353" si="113">IF(((D351="")*AND(D352="")),"",(D351-D352)*3)</f>
        <v>10224.240000000005</v>
      </c>
      <c r="E353" s="35">
        <f t="shared" si="113"/>
        <v>10260.870000000003</v>
      </c>
      <c r="F353" s="35">
        <f t="shared" si="113"/>
        <v>9948.3599999999969</v>
      </c>
      <c r="G353" s="35">
        <f t="shared" si="113"/>
        <v>9939.6600000000035</v>
      </c>
      <c r="H353" s="35">
        <f t="shared" si="113"/>
        <v>9497.5499999999956</v>
      </c>
      <c r="I353" s="35">
        <f t="shared" si="113"/>
        <v>10101.48</v>
      </c>
      <c r="J353" s="35">
        <f t="shared" si="113"/>
        <v>10145.040000000001</v>
      </c>
      <c r="K353" s="35">
        <f t="shared" si="113"/>
        <v>9744.8699999999917</v>
      </c>
      <c r="L353" s="35">
        <f t="shared" si="113"/>
        <v>9598.7400000000052</v>
      </c>
      <c r="M353" s="36"/>
      <c r="N353" s="36"/>
      <c r="O353" s="36"/>
      <c r="P353" s="36"/>
      <c r="Q353" s="36"/>
      <c r="R353" s="37"/>
      <c r="S353" s="38"/>
      <c r="T353" s="56"/>
      <c r="U353" s="51"/>
      <c r="V353" s="50"/>
      <c r="W353" s="50"/>
      <c r="X353" s="51"/>
      <c r="Y353" s="51"/>
      <c r="Z353" s="52"/>
      <c r="AA353" s="52"/>
    </row>
    <row r="354" spans="1:27">
      <c r="A354" s="95">
        <v>43137</v>
      </c>
      <c r="B354" s="115" t="s">
        <v>429</v>
      </c>
      <c r="C354" s="26" t="s">
        <v>126</v>
      </c>
      <c r="D354" s="16">
        <v>29313.91</v>
      </c>
      <c r="E354" s="16">
        <v>29128.91</v>
      </c>
      <c r="F354" s="16">
        <v>29183.360000000001</v>
      </c>
      <c r="G354" s="16">
        <v>29115.37</v>
      </c>
      <c r="H354" s="16">
        <v>29343.07</v>
      </c>
      <c r="I354" s="16">
        <v>29306.37</v>
      </c>
      <c r="J354" s="16">
        <v>29114.06</v>
      </c>
      <c r="K354" s="16">
        <v>29132.02</v>
      </c>
      <c r="L354" s="16">
        <v>29421.08</v>
      </c>
      <c r="M354" s="27">
        <f>IF((L355=""),"",MAX(D356:L356))</f>
        <v>9677.8500000000022</v>
      </c>
      <c r="N354" s="27">
        <f>IF(L355="","",MIN(D356:L356))</f>
        <v>8469.9900000000052</v>
      </c>
      <c r="O354" s="27">
        <f>IF((L356=""),"",AVERAGE(D356:L356))</f>
        <v>9036.8866666666654</v>
      </c>
      <c r="P354" s="27">
        <f>IF((L355=""),"",STDEV(D356:L356))</f>
        <v>401.20431668292548</v>
      </c>
      <c r="Q354" s="168">
        <f>IF((L355=""),"",((M354-N354)/(M354+P354))*100)</f>
        <v>11.983862394716315</v>
      </c>
      <c r="R354" s="28" t="str">
        <f>IF(L355="","",IF(Q354&lt;Z354,IF(N354&gt;V354,IF(M354&lt;W354,"Pass","Fail"),"Fail"),"Fail"))</f>
        <v>Fail</v>
      </c>
      <c r="S354" s="29">
        <v>1519</v>
      </c>
      <c r="T354" s="54"/>
      <c r="U354" s="40"/>
      <c r="V354" s="53">
        <v>9000</v>
      </c>
      <c r="W354" s="22">
        <v>15600</v>
      </c>
      <c r="X354" s="40">
        <v>8090</v>
      </c>
      <c r="Y354" s="40">
        <v>12070</v>
      </c>
      <c r="Z354" s="49">
        <v>15</v>
      </c>
      <c r="AA354" s="49">
        <v>6</v>
      </c>
    </row>
    <row r="355" spans="1:27" ht="15.75" customHeight="1">
      <c r="A355" s="94"/>
      <c r="B355" s="94"/>
      <c r="C355" s="30" t="s">
        <v>128</v>
      </c>
      <c r="D355" s="16">
        <v>26458.74</v>
      </c>
      <c r="E355" s="16">
        <v>26101.96</v>
      </c>
      <c r="F355" s="16">
        <v>26151.22</v>
      </c>
      <c r="G355" s="16">
        <v>26048.45</v>
      </c>
      <c r="H355" s="16">
        <v>26369.49</v>
      </c>
      <c r="I355" s="16">
        <v>26372.6</v>
      </c>
      <c r="J355" s="16">
        <v>26290.73</v>
      </c>
      <c r="K355" s="16">
        <v>25959.17</v>
      </c>
      <c r="L355" s="16">
        <v>26195.13</v>
      </c>
      <c r="M355" s="31"/>
      <c r="N355" s="31"/>
      <c r="O355" s="31"/>
      <c r="P355" s="31"/>
      <c r="Q355" s="31"/>
      <c r="R355" s="32"/>
      <c r="S355" s="33"/>
      <c r="T355" s="55"/>
      <c r="V355" s="47"/>
      <c r="W355" s="47"/>
      <c r="X355" s="48"/>
      <c r="Y355" s="48"/>
      <c r="Z355" s="49"/>
      <c r="AA355" s="49"/>
    </row>
    <row r="356" spans="1:27" ht="16.5" customHeight="1" thickBot="1">
      <c r="A356" s="94"/>
      <c r="B356" s="94"/>
      <c r="C356" s="34" t="s">
        <v>129</v>
      </c>
      <c r="D356" s="35">
        <f t="shared" ref="D356:L356" si="114">IF(((D354="")*AND(D355="")),"",(D354-D355)*3)</f>
        <v>8565.5099999999948</v>
      </c>
      <c r="E356" s="35">
        <f t="shared" si="114"/>
        <v>9080.8500000000022</v>
      </c>
      <c r="F356" s="35">
        <f t="shared" si="114"/>
        <v>9096.4199999999983</v>
      </c>
      <c r="G356" s="35">
        <f t="shared" si="114"/>
        <v>9200.7599999999948</v>
      </c>
      <c r="H356" s="35">
        <f t="shared" si="114"/>
        <v>8920.7399999999943</v>
      </c>
      <c r="I356" s="35">
        <f t="shared" si="114"/>
        <v>8801.3100000000013</v>
      </c>
      <c r="J356" s="35">
        <f t="shared" si="114"/>
        <v>8469.9900000000052</v>
      </c>
      <c r="K356" s="35">
        <f t="shared" si="114"/>
        <v>9518.5500000000065</v>
      </c>
      <c r="L356" s="35">
        <f t="shared" si="114"/>
        <v>9677.8500000000022</v>
      </c>
      <c r="M356" s="36"/>
      <c r="N356" s="36"/>
      <c r="O356" s="36"/>
      <c r="P356" s="36"/>
      <c r="Q356" s="36"/>
      <c r="R356" s="37"/>
      <c r="S356" s="38"/>
      <c r="T356" s="56"/>
      <c r="U356" s="51"/>
      <c r="V356" s="50"/>
      <c r="W356" s="50"/>
      <c r="X356" s="51"/>
      <c r="Y356" s="51"/>
      <c r="Z356" s="52"/>
      <c r="AA356" s="52"/>
    </row>
    <row r="357" spans="1:27">
      <c r="A357" s="95">
        <v>43138</v>
      </c>
      <c r="B357" s="115" t="s">
        <v>429</v>
      </c>
      <c r="C357" s="26" t="s">
        <v>126</v>
      </c>
      <c r="D357" s="16">
        <v>29268.95</v>
      </c>
      <c r="E357" s="16">
        <v>29090.99</v>
      </c>
      <c r="F357" s="16">
        <v>29085.13</v>
      </c>
      <c r="G357" s="16">
        <v>29085.65</v>
      </c>
      <c r="H357" s="16">
        <v>29323.759999999998</v>
      </c>
      <c r="I357" s="16">
        <v>29266.959999999999</v>
      </c>
      <c r="J357" s="16">
        <v>29072.95</v>
      </c>
      <c r="K357" s="16">
        <v>29079.3</v>
      </c>
      <c r="L357" s="16">
        <v>29359.55</v>
      </c>
      <c r="M357" s="27">
        <f>IF((L358=""),"",MAX(D359:L359))</f>
        <v>9483.929999999993</v>
      </c>
      <c r="N357" s="27">
        <f>IF(L358="","",MIN(D359:L359))</f>
        <v>8590.2000000000044</v>
      </c>
      <c r="O357" s="27">
        <f>IF((L359=""),"",AVERAGE(D359:L359))</f>
        <v>9136.7666666666664</v>
      </c>
      <c r="P357" s="27">
        <f>IF((L358=""),"",STDEV(D359:L359))</f>
        <v>321.01277793882957</v>
      </c>
      <c r="Q357" s="168">
        <f>IF((L358=""),"",((M357-N357)/(M357+P357))*100)</f>
        <v>9.1150965410107876</v>
      </c>
      <c r="R357" s="28" t="str">
        <f>IF(L358="","",IF(Q357&lt;Z357,IF(N357&gt;V357,IF(M357&lt;W357,"Pass","Fail"),"Fail"),"Fail"))</f>
        <v>Fail</v>
      </c>
      <c r="S357" s="29">
        <v>102</v>
      </c>
      <c r="U357" s="54" t="s">
        <v>197</v>
      </c>
      <c r="V357" s="53">
        <v>9000</v>
      </c>
      <c r="W357" s="22">
        <v>15600</v>
      </c>
      <c r="X357" s="40">
        <v>8090</v>
      </c>
      <c r="Y357" s="40">
        <v>12070</v>
      </c>
      <c r="Z357" s="49">
        <v>15</v>
      </c>
      <c r="AA357" s="49">
        <v>6</v>
      </c>
    </row>
    <row r="358" spans="1:27" ht="15.75" customHeight="1">
      <c r="A358" s="94"/>
      <c r="B358" s="94"/>
      <c r="C358" s="30" t="s">
        <v>128</v>
      </c>
      <c r="D358" s="16">
        <v>26405.55</v>
      </c>
      <c r="E358" s="16">
        <v>26057.040000000001</v>
      </c>
      <c r="F358" s="16">
        <v>26030.85</v>
      </c>
      <c r="G358" s="16">
        <v>25937.38</v>
      </c>
      <c r="H358" s="16">
        <v>26203.98</v>
      </c>
      <c r="I358" s="16">
        <v>26337.9</v>
      </c>
      <c r="J358" s="16">
        <v>26109.82</v>
      </c>
      <c r="K358" s="16">
        <v>25942.18</v>
      </c>
      <c r="L358" s="16">
        <v>26198.240000000002</v>
      </c>
      <c r="M358" s="31"/>
      <c r="N358" s="31"/>
      <c r="O358" s="31"/>
      <c r="P358" s="31"/>
      <c r="Q358" s="31"/>
      <c r="R358" s="32"/>
      <c r="S358" s="33"/>
      <c r="T358" s="55"/>
      <c r="V358" s="47"/>
      <c r="W358" s="47"/>
      <c r="X358" s="48"/>
      <c r="Y358" s="48"/>
      <c r="Z358" s="49"/>
      <c r="AA358" s="49"/>
    </row>
    <row r="359" spans="1:27" ht="16.5" customHeight="1" thickBot="1">
      <c r="A359" s="94"/>
      <c r="B359" s="94"/>
      <c r="C359" s="34" t="s">
        <v>129</v>
      </c>
      <c r="D359" s="35">
        <f t="shared" ref="D359:L359" si="115">IF(((D357="")*AND(D358="")),"",(D357-D358)*3)</f>
        <v>8590.2000000000044</v>
      </c>
      <c r="E359" s="35">
        <f t="shared" si="115"/>
        <v>9101.8500000000022</v>
      </c>
      <c r="F359" s="35">
        <f t="shared" si="115"/>
        <v>9162.8400000000074</v>
      </c>
      <c r="G359" s="35">
        <f t="shared" si="115"/>
        <v>9444.8100000000013</v>
      </c>
      <c r="H359" s="35">
        <f t="shared" si="115"/>
        <v>9359.3399999999965</v>
      </c>
      <c r="I359" s="35">
        <f t="shared" si="115"/>
        <v>8787.179999999993</v>
      </c>
      <c r="J359" s="35">
        <f t="shared" si="115"/>
        <v>8889.3900000000031</v>
      </c>
      <c r="K359" s="35">
        <f t="shared" si="115"/>
        <v>9411.3599999999969</v>
      </c>
      <c r="L359" s="35">
        <f t="shared" si="115"/>
        <v>9483.929999999993</v>
      </c>
      <c r="M359" s="36"/>
      <c r="N359" s="36"/>
      <c r="O359" s="36"/>
      <c r="P359" s="36"/>
      <c r="Q359" s="36"/>
      <c r="R359" s="37"/>
      <c r="S359" s="38"/>
      <c r="T359" s="56"/>
      <c r="U359" s="51"/>
      <c r="V359" s="50"/>
      <c r="W359" s="50"/>
      <c r="X359" s="51"/>
      <c r="Y359" s="51"/>
      <c r="Z359" s="52"/>
      <c r="AA359" s="52"/>
    </row>
    <row r="360" spans="1:27">
      <c r="A360" s="95">
        <v>43138</v>
      </c>
      <c r="B360" s="115" t="s">
        <v>429</v>
      </c>
      <c r="C360" s="26" t="s">
        <v>126</v>
      </c>
      <c r="D360" s="16">
        <v>29249.65</v>
      </c>
      <c r="E360" s="16">
        <v>29098.42</v>
      </c>
      <c r="F360" s="16">
        <v>29156.2</v>
      </c>
      <c r="G360" s="16">
        <v>29090.639999999999</v>
      </c>
      <c r="H360" s="16">
        <v>29319.68</v>
      </c>
      <c r="I360" s="16">
        <v>29219.56</v>
      </c>
      <c r="J360" s="16">
        <v>29082.16</v>
      </c>
      <c r="K360" s="16">
        <v>29107.08</v>
      </c>
      <c r="L360" s="16">
        <v>29364.94</v>
      </c>
      <c r="M360" s="27">
        <f>IF((L361=""),"",MAX(D362:L362))</f>
        <v>9969.3599999999969</v>
      </c>
      <c r="N360" s="27">
        <f>IF(L361="","",MIN(D362:L362))</f>
        <v>9171.6299999999974</v>
      </c>
      <c r="O360" s="27">
        <f>IF((L362=""),"",AVERAGE(D362:L362))</f>
        <v>9544.0966666666682</v>
      </c>
      <c r="P360" s="27">
        <f>IF((L361=""),"",STDEV(D362:L362))</f>
        <v>284.51576880728391</v>
      </c>
      <c r="Q360" s="168">
        <f>IF((L361=""),"",((M360-N360)/(M360+P360))*100)</f>
        <v>7.7797899836735658</v>
      </c>
      <c r="R360" s="28" t="str">
        <f>IF(L361="","",IF(Q360&lt;Z360,IF(N360&gt;V360,IF(M360&lt;W360,"Pass","Fail"),"Fail"),"Fail"))</f>
        <v>Pass</v>
      </c>
      <c r="S360" s="29">
        <v>102</v>
      </c>
      <c r="T360" s="54"/>
      <c r="U360" s="40"/>
      <c r="V360" s="53">
        <v>9000</v>
      </c>
      <c r="W360" s="22">
        <v>15600</v>
      </c>
      <c r="X360" s="40">
        <v>8090</v>
      </c>
      <c r="Y360" s="40">
        <v>12070</v>
      </c>
      <c r="Z360" s="49">
        <v>15</v>
      </c>
      <c r="AA360" s="49">
        <v>6</v>
      </c>
    </row>
    <row r="361" spans="1:27" ht="15.75" customHeight="1">
      <c r="A361" s="94"/>
      <c r="B361" s="94"/>
      <c r="C361" s="30" t="s">
        <v>128</v>
      </c>
      <c r="D361" s="16">
        <v>26153.39</v>
      </c>
      <c r="E361" s="16">
        <v>25957.46</v>
      </c>
      <c r="F361" s="16">
        <v>25983.63</v>
      </c>
      <c r="G361" s="16">
        <v>25836.55</v>
      </c>
      <c r="H361" s="16">
        <v>26093.599999999999</v>
      </c>
      <c r="I361" s="16">
        <v>26139.07</v>
      </c>
      <c r="J361" s="16">
        <v>26024.95</v>
      </c>
      <c r="K361" s="16">
        <v>25825.57</v>
      </c>
      <c r="L361" s="16">
        <v>26041.82</v>
      </c>
      <c r="M361" s="31"/>
      <c r="N361" s="31"/>
      <c r="O361" s="31"/>
      <c r="P361" s="31"/>
      <c r="Q361" s="31"/>
      <c r="R361" s="32"/>
      <c r="S361" s="33"/>
      <c r="T361" s="55"/>
      <c r="V361" s="47"/>
      <c r="W361" s="47"/>
      <c r="X361" s="48"/>
      <c r="Y361" s="48"/>
      <c r="Z361" s="49"/>
      <c r="AA361" s="49"/>
    </row>
    <row r="362" spans="1:27" ht="16.5" customHeight="1" thickBot="1">
      <c r="A362" s="94"/>
      <c r="B362" s="94"/>
      <c r="C362" s="34" t="s">
        <v>129</v>
      </c>
      <c r="D362" s="35">
        <f t="shared" ref="D362:L362" si="116">IF(((D360="")*AND(D361="")),"",(D360-D361)*3)</f>
        <v>9288.7800000000061</v>
      </c>
      <c r="E362" s="35">
        <f t="shared" si="116"/>
        <v>9422.8799999999974</v>
      </c>
      <c r="F362" s="35">
        <f t="shared" si="116"/>
        <v>9517.7099999999991</v>
      </c>
      <c r="G362" s="35">
        <f t="shared" si="116"/>
        <v>9762.27</v>
      </c>
      <c r="H362" s="35">
        <f t="shared" si="116"/>
        <v>9678.2400000000052</v>
      </c>
      <c r="I362" s="35">
        <f t="shared" si="116"/>
        <v>9241.4700000000048</v>
      </c>
      <c r="J362" s="35">
        <f t="shared" si="116"/>
        <v>9171.6299999999974</v>
      </c>
      <c r="K362" s="35">
        <f t="shared" si="116"/>
        <v>9844.5300000000061</v>
      </c>
      <c r="L362" s="35">
        <f t="shared" si="116"/>
        <v>9969.3599999999969</v>
      </c>
      <c r="M362" s="36"/>
      <c r="N362" s="36"/>
      <c r="O362" s="36"/>
      <c r="P362" s="36"/>
      <c r="Q362" s="36"/>
      <c r="R362" s="37"/>
      <c r="S362" s="38"/>
      <c r="T362" s="56"/>
      <c r="U362" s="51"/>
      <c r="V362" s="50"/>
      <c r="W362" s="50"/>
      <c r="X362" s="51"/>
      <c r="Y362" s="51"/>
      <c r="Z362" s="52"/>
      <c r="AA362" s="52"/>
    </row>
    <row r="363" spans="1:27">
      <c r="A363" s="95">
        <v>43141</v>
      </c>
      <c r="B363" s="115" t="s">
        <v>429</v>
      </c>
      <c r="C363" s="26" t="s">
        <v>126</v>
      </c>
      <c r="D363" s="16">
        <v>29261.919999999998</v>
      </c>
      <c r="E363" s="16">
        <v>29050.02</v>
      </c>
      <c r="F363" s="16">
        <v>29088.48</v>
      </c>
      <c r="G363" s="16">
        <v>29092.23</v>
      </c>
      <c r="H363" s="16">
        <v>29342.15</v>
      </c>
      <c r="I363" s="16">
        <v>29218.53</v>
      </c>
      <c r="J363" s="16">
        <v>29048.46</v>
      </c>
      <c r="K363" s="16">
        <v>29073.439999999999</v>
      </c>
      <c r="L363" s="16">
        <v>29313.52</v>
      </c>
      <c r="M363" s="27">
        <f>IF((L364=""),"",MAX(D365:L365))</f>
        <v>8811.6000000000022</v>
      </c>
      <c r="N363" s="27">
        <f>IF(L364="","",MIN(D365:L365))</f>
        <v>7691.4899999999943</v>
      </c>
      <c r="O363" s="27">
        <f>IF((L365=""),"",AVERAGE(D365:L365))</f>
        <v>8328.7699999999968</v>
      </c>
      <c r="P363" s="27">
        <f>IF((L364=""),"",STDEV(D365:L365))</f>
        <v>429.95765140303894</v>
      </c>
      <c r="Q363" s="168">
        <f>IF((L364=""),"",((M363-N363)/(M363+P363))*100)</f>
        <v>12.120359383679808</v>
      </c>
      <c r="R363" s="28" t="str">
        <f>IF(L364="","",IF(Q363&lt;Z363,IF(N363&gt;V363,IF(M363&lt;W363,"Pass","Fail"),"Fail"),"Fail"))</f>
        <v>Fail</v>
      </c>
      <c r="S363" s="29">
        <v>102</v>
      </c>
      <c r="T363" s="54"/>
      <c r="U363" s="40"/>
      <c r="V363" s="53">
        <v>9000</v>
      </c>
      <c r="W363" s="22">
        <v>15600</v>
      </c>
      <c r="X363" s="40">
        <v>8090</v>
      </c>
      <c r="Y363" s="40">
        <v>12070</v>
      </c>
      <c r="Z363" s="49">
        <v>15</v>
      </c>
      <c r="AA363" s="49">
        <v>6</v>
      </c>
    </row>
    <row r="364" spans="1:27" ht="15.75" customHeight="1">
      <c r="A364" s="94"/>
      <c r="B364" s="94"/>
      <c r="C364" s="30" t="s">
        <v>128</v>
      </c>
      <c r="D364" s="16">
        <v>26698.09</v>
      </c>
      <c r="E364" s="16">
        <v>26327.59</v>
      </c>
      <c r="F364" s="16">
        <v>26302.66</v>
      </c>
      <c r="G364" s="16">
        <v>26155.03</v>
      </c>
      <c r="H364" s="16">
        <v>26405.08</v>
      </c>
      <c r="I364" s="16">
        <v>26602.61</v>
      </c>
      <c r="J364" s="16">
        <v>26394.53</v>
      </c>
      <c r="K364" s="16">
        <v>26195.45</v>
      </c>
      <c r="L364" s="16">
        <v>26421.4</v>
      </c>
      <c r="M364" s="31"/>
      <c r="N364" s="31"/>
      <c r="O364" s="31"/>
      <c r="P364" s="31"/>
      <c r="Q364" s="31"/>
      <c r="R364" s="32"/>
      <c r="S364" s="33"/>
      <c r="T364" s="55"/>
      <c r="V364" s="47"/>
      <c r="W364" s="47"/>
      <c r="X364" s="48"/>
      <c r="Y364" s="48"/>
      <c r="Z364" s="49"/>
      <c r="AA364" s="49"/>
    </row>
    <row r="365" spans="1:27" ht="16.5" customHeight="1" thickBot="1">
      <c r="A365" s="94"/>
      <c r="B365" s="94"/>
      <c r="C365" s="34" t="s">
        <v>129</v>
      </c>
      <c r="D365" s="35">
        <f t="shared" ref="D365:L365" si="117">IF(((D363="")*AND(D364="")),"",(D363-D364)*3)</f>
        <v>7691.4899999999943</v>
      </c>
      <c r="E365" s="35">
        <f t="shared" si="117"/>
        <v>8167.2900000000009</v>
      </c>
      <c r="F365" s="35">
        <f t="shared" si="117"/>
        <v>8357.4599999999991</v>
      </c>
      <c r="G365" s="35">
        <f t="shared" si="117"/>
        <v>8811.6000000000022</v>
      </c>
      <c r="H365" s="35">
        <f t="shared" si="117"/>
        <v>8811.2099999999991</v>
      </c>
      <c r="I365" s="35">
        <f t="shared" si="117"/>
        <v>7847.7599999999948</v>
      </c>
      <c r="J365" s="35">
        <f t="shared" si="117"/>
        <v>7961.7900000000009</v>
      </c>
      <c r="K365" s="35">
        <f t="shared" si="117"/>
        <v>8633.9699999999939</v>
      </c>
      <c r="L365" s="35">
        <f t="shared" si="117"/>
        <v>8676.3599999999969</v>
      </c>
      <c r="M365" s="36"/>
      <c r="N365" s="36"/>
      <c r="O365" s="36"/>
      <c r="P365" s="36"/>
      <c r="Q365" s="36"/>
      <c r="R365" s="37"/>
      <c r="S365" s="38"/>
      <c r="T365" s="56"/>
      <c r="U365" s="51"/>
      <c r="V365" s="50"/>
      <c r="W365" s="50"/>
      <c r="X365" s="51"/>
      <c r="Y365" s="51"/>
      <c r="Z365" s="52"/>
      <c r="AA365" s="52"/>
    </row>
    <row r="366" spans="1:27">
      <c r="A366" s="95">
        <v>43141</v>
      </c>
      <c r="B366" s="115" t="s">
        <v>429</v>
      </c>
      <c r="C366" s="26" t="s">
        <v>126</v>
      </c>
      <c r="D366" s="16">
        <v>29294.71</v>
      </c>
      <c r="E366" s="16">
        <v>29294.71</v>
      </c>
      <c r="F366" s="16">
        <v>29294.71</v>
      </c>
      <c r="G366" s="16">
        <v>29134.91</v>
      </c>
      <c r="H366" s="16">
        <v>29363.73</v>
      </c>
      <c r="I366" s="16">
        <v>29400.29</v>
      </c>
      <c r="J366" s="16">
        <v>29114.61</v>
      </c>
      <c r="K366" s="16">
        <v>29138.78</v>
      </c>
      <c r="L366" s="16">
        <v>29356.44</v>
      </c>
      <c r="M366" s="27">
        <f>IF((L367=""),"",MAX(D368:L368))</f>
        <v>10057.349999999991</v>
      </c>
      <c r="N366" s="27">
        <f>IF(L367="","",MIN(D368:L368))</f>
        <v>9115.8300000000017</v>
      </c>
      <c r="O366" s="27">
        <f>IF((L368=""),"",AVERAGE(D368:L368))</f>
        <v>9686.746666666666</v>
      </c>
      <c r="P366" s="27">
        <f>IF((L367=""),"",STDEV(D368:L368))</f>
        <v>389.63621998601582</v>
      </c>
      <c r="Q366" s="168">
        <f>IF((L367=""),"",((M366-N366)/(M366+P366))*100)</f>
        <v>9.0123599301660668</v>
      </c>
      <c r="R366" s="28" t="str">
        <f>IF(L367="","",IF(Q366&lt;Z366,IF(N366&gt;V366,IF(M366&lt;W366,"Pass","Fail"),"Fail"),"Fail"))</f>
        <v>Pass</v>
      </c>
      <c r="S366" s="29">
        <v>102</v>
      </c>
      <c r="U366" s="54" t="s">
        <v>198</v>
      </c>
      <c r="V366" s="53">
        <v>9000</v>
      </c>
      <c r="W366" s="22">
        <v>15600</v>
      </c>
      <c r="X366" s="40">
        <v>8090</v>
      </c>
      <c r="Y366" s="40">
        <v>12070</v>
      </c>
      <c r="Z366" s="49">
        <v>15</v>
      </c>
      <c r="AA366" s="49">
        <v>6</v>
      </c>
    </row>
    <row r="367" spans="1:27" ht="15.75" customHeight="1">
      <c r="A367" s="94"/>
      <c r="B367" s="94"/>
      <c r="C367" s="30" t="s">
        <v>128</v>
      </c>
      <c r="D367" s="16">
        <v>26256.1</v>
      </c>
      <c r="E367" s="16">
        <v>25961.87</v>
      </c>
      <c r="F367" s="16">
        <v>25973.54</v>
      </c>
      <c r="G367" s="16">
        <v>25838.22</v>
      </c>
      <c r="H367" s="16">
        <v>26095.119999999999</v>
      </c>
      <c r="I367" s="16">
        <v>26329.37</v>
      </c>
      <c r="J367" s="16">
        <v>26047.439999999999</v>
      </c>
      <c r="K367" s="16">
        <v>25827</v>
      </c>
      <c r="L367" s="16">
        <v>26003.99</v>
      </c>
      <c r="M367" s="31"/>
      <c r="N367" s="31"/>
      <c r="O367" s="31"/>
      <c r="P367" s="31"/>
      <c r="Q367" s="31"/>
      <c r="R367" s="32"/>
      <c r="S367" s="33"/>
      <c r="T367" s="55"/>
      <c r="V367" s="47"/>
      <c r="W367" s="47"/>
      <c r="X367" s="48"/>
      <c r="Y367" s="48"/>
      <c r="Z367" s="49"/>
      <c r="AA367" s="49"/>
    </row>
    <row r="368" spans="1:27" ht="16.5" customHeight="1" thickBot="1">
      <c r="A368" s="94"/>
      <c r="B368" s="94"/>
      <c r="C368" s="34" t="s">
        <v>129</v>
      </c>
      <c r="D368" s="35">
        <f t="shared" ref="D368:L368" si="118">IF(((D366="")*AND(D367="")),"",(D366-D367)*3)</f>
        <v>9115.8300000000017</v>
      </c>
      <c r="E368" s="35">
        <f t="shared" si="118"/>
        <v>9998.52</v>
      </c>
      <c r="F368" s="35">
        <f t="shared" si="118"/>
        <v>9963.5099999999948</v>
      </c>
      <c r="G368" s="35">
        <f t="shared" si="118"/>
        <v>9890.0699999999961</v>
      </c>
      <c r="H368" s="35">
        <f t="shared" si="118"/>
        <v>9805.8300000000017</v>
      </c>
      <c r="I368" s="35">
        <f t="shared" si="118"/>
        <v>9212.7600000000057</v>
      </c>
      <c r="J368" s="35">
        <f t="shared" si="118"/>
        <v>9201.5100000000057</v>
      </c>
      <c r="K368" s="35">
        <f t="shared" si="118"/>
        <v>9935.3399999999965</v>
      </c>
      <c r="L368" s="35">
        <f t="shared" si="118"/>
        <v>10057.349999999991</v>
      </c>
      <c r="M368" s="36"/>
      <c r="N368" s="36"/>
      <c r="O368" s="36"/>
      <c r="P368" s="36"/>
      <c r="Q368" s="36"/>
      <c r="R368" s="37"/>
      <c r="S368" s="38"/>
      <c r="T368" s="56"/>
      <c r="U368" s="51"/>
      <c r="V368" s="50"/>
      <c r="W368" s="50"/>
      <c r="X368" s="51"/>
      <c r="Y368" s="51"/>
      <c r="Z368" s="52"/>
      <c r="AA368" s="52"/>
    </row>
    <row r="369" spans="1:27">
      <c r="A369" s="95">
        <v>43144</v>
      </c>
      <c r="B369" s="115" t="s">
        <v>429</v>
      </c>
      <c r="C369" s="26" t="s">
        <v>126</v>
      </c>
      <c r="D369" s="16">
        <v>29449.66</v>
      </c>
      <c r="E369" s="16">
        <v>29311.9</v>
      </c>
      <c r="F369" s="16">
        <v>29374.59</v>
      </c>
      <c r="G369" s="16">
        <v>29305.53</v>
      </c>
      <c r="H369" s="16">
        <v>29540.85</v>
      </c>
      <c r="I369" s="16">
        <v>29450.34</v>
      </c>
      <c r="J369" s="16">
        <v>29300.19</v>
      </c>
      <c r="K369" s="16">
        <v>29292.7</v>
      </c>
      <c r="L369" s="16">
        <v>29504.82</v>
      </c>
      <c r="M369" s="27">
        <f>IF((L370=""),"",MAX(D371:L371))</f>
        <v>10561.410000000003</v>
      </c>
      <c r="N369" s="27">
        <f>IF(L370="","",MIN(D371:L371))</f>
        <v>9152.9100000000035</v>
      </c>
      <c r="O369" s="27">
        <f>IF((L371=""),"",AVERAGE(D371:L371))</f>
        <v>10024.183333333334</v>
      </c>
      <c r="P369" s="27">
        <f>IF((L370=""),"",STDEV(D371:L371))</f>
        <v>527.54247374023817</v>
      </c>
      <c r="Q369" s="168">
        <f>IF((L370=""),"",((M369-N369)/(M369+P369))*100)</f>
        <v>12.701830973984872</v>
      </c>
      <c r="R369" s="28" t="str">
        <f>IF(L370="","",IF(Q369&lt;Z369,IF(N369&gt;V369,IF(M369&lt;W369,"Pass","Fail"),"Fail"),"Fail"))</f>
        <v>Pass</v>
      </c>
      <c r="S369" s="29">
        <v>1335</v>
      </c>
      <c r="V369" s="53">
        <v>9000</v>
      </c>
      <c r="W369" s="22">
        <v>15600</v>
      </c>
      <c r="X369" s="40">
        <v>8090</v>
      </c>
      <c r="Y369" s="40">
        <v>12070</v>
      </c>
      <c r="Z369" s="49">
        <v>15</v>
      </c>
      <c r="AA369" s="49">
        <v>6</v>
      </c>
    </row>
    <row r="370" spans="1:27" ht="15.75" customHeight="1">
      <c r="A370" s="94"/>
      <c r="B370" s="94"/>
      <c r="C370" s="30" t="s">
        <v>128</v>
      </c>
      <c r="D370" s="16">
        <v>25984.99</v>
      </c>
      <c r="E370" s="16">
        <v>25826.560000000001</v>
      </c>
      <c r="F370" s="16">
        <v>25989.17</v>
      </c>
      <c r="G370" s="16">
        <v>25958.59</v>
      </c>
      <c r="H370" s="16">
        <v>26395.41</v>
      </c>
      <c r="I370" s="16">
        <v>25929.87</v>
      </c>
      <c r="J370" s="16">
        <v>25798.26</v>
      </c>
      <c r="K370" s="16">
        <v>26121.33</v>
      </c>
      <c r="L370" s="16">
        <v>26453.85</v>
      </c>
      <c r="M370" s="31"/>
      <c r="N370" s="31"/>
      <c r="O370" s="31"/>
      <c r="P370" s="31"/>
      <c r="Q370" s="31"/>
      <c r="R370" s="32"/>
      <c r="S370" s="33"/>
      <c r="T370" s="55"/>
      <c r="V370" s="47"/>
      <c r="W370" s="47"/>
      <c r="X370" s="48"/>
      <c r="Y370" s="48"/>
      <c r="Z370" s="49"/>
      <c r="AA370" s="49"/>
    </row>
    <row r="371" spans="1:27" ht="16.5" customHeight="1" thickBot="1">
      <c r="A371" s="94"/>
      <c r="B371" s="94"/>
      <c r="C371" s="34" t="s">
        <v>129</v>
      </c>
      <c r="D371" s="35">
        <f t="shared" ref="D371:L371" si="119">IF(((D369="")*AND(D370="")),"",(D369-D370)*3)</f>
        <v>10394.009999999995</v>
      </c>
      <c r="E371" s="35">
        <f t="shared" si="119"/>
        <v>10456.02</v>
      </c>
      <c r="F371" s="35">
        <f t="shared" si="119"/>
        <v>10156.260000000006</v>
      </c>
      <c r="G371" s="35">
        <f t="shared" si="119"/>
        <v>10040.819999999996</v>
      </c>
      <c r="H371" s="35">
        <f t="shared" si="119"/>
        <v>9436.3199999999961</v>
      </c>
      <c r="I371" s="35">
        <f t="shared" si="119"/>
        <v>10561.410000000003</v>
      </c>
      <c r="J371" s="35">
        <f t="shared" si="119"/>
        <v>10505.79</v>
      </c>
      <c r="K371" s="35">
        <f t="shared" si="119"/>
        <v>9514.1099999999969</v>
      </c>
      <c r="L371" s="35">
        <f t="shared" si="119"/>
        <v>9152.9100000000035</v>
      </c>
      <c r="M371" s="36"/>
      <c r="N371" s="36"/>
      <c r="O371" s="36"/>
      <c r="P371" s="36"/>
      <c r="Q371" s="36"/>
      <c r="R371" s="37"/>
      <c r="S371" s="38"/>
      <c r="T371" s="56"/>
      <c r="U371" s="51"/>
      <c r="V371" s="50"/>
      <c r="W371" s="50"/>
      <c r="X371" s="51"/>
      <c r="Y371" s="51"/>
      <c r="Z371" s="52"/>
      <c r="AA371" s="52"/>
    </row>
    <row r="372" spans="1:27">
      <c r="A372" s="95">
        <v>43145</v>
      </c>
      <c r="B372" s="115" t="s">
        <v>429</v>
      </c>
      <c r="C372" s="26" t="s">
        <v>126</v>
      </c>
      <c r="D372" s="16">
        <v>29458.22</v>
      </c>
      <c r="E372" s="16">
        <v>29254.62</v>
      </c>
      <c r="F372" s="16">
        <v>29253.26</v>
      </c>
      <c r="G372" s="16">
        <v>29257.57</v>
      </c>
      <c r="H372" s="16">
        <v>29479.81</v>
      </c>
      <c r="I372" s="16">
        <v>29402.74</v>
      </c>
      <c r="J372" s="16">
        <v>29249.52</v>
      </c>
      <c r="K372" s="16">
        <v>29253.56</v>
      </c>
      <c r="L372" s="16">
        <v>29465.919999999998</v>
      </c>
      <c r="M372" s="27">
        <f>IF((L373=""),"",MAX(D374:L374))</f>
        <v>12479.430000000004</v>
      </c>
      <c r="N372" s="27">
        <f>IF(L373="","",MIN(D374:L374))</f>
        <v>11517.720000000005</v>
      </c>
      <c r="O372" s="27">
        <f>IF((L374=""),"",AVERAGE(D374:L374))</f>
        <v>11919.776666666665</v>
      </c>
      <c r="P372" s="27">
        <f>IF((L373=""),"",STDEV(D374:L374))</f>
        <v>341.0575941465936</v>
      </c>
      <c r="Q372" s="168">
        <f>IF((L373=""),"",((M372-N372)/(M372+P372))*100)</f>
        <v>7.501352760086001</v>
      </c>
      <c r="R372" s="28" t="str">
        <f>IF(L373="","",IF(Q372&lt;Z372,IF(N372&gt;V372,IF(M372&lt;W372,"Pass","Fail"),"Fail"),"Fail"))</f>
        <v>Pass</v>
      </c>
      <c r="S372" s="29">
        <v>1335</v>
      </c>
      <c r="T372" s="54"/>
      <c r="U372" s="54" t="s">
        <v>199</v>
      </c>
      <c r="V372" s="53">
        <v>9000</v>
      </c>
      <c r="W372" s="22">
        <v>15600</v>
      </c>
      <c r="X372" s="40">
        <v>8090</v>
      </c>
      <c r="Y372" s="40">
        <v>12070</v>
      </c>
      <c r="Z372" s="49">
        <v>15</v>
      </c>
      <c r="AA372" s="49">
        <v>6</v>
      </c>
    </row>
    <row r="373" spans="1:27" ht="15.75" customHeight="1">
      <c r="A373" s="94"/>
      <c r="B373" s="94"/>
      <c r="C373" s="30" t="s">
        <v>128</v>
      </c>
      <c r="D373" s="16">
        <v>25376.52</v>
      </c>
      <c r="E373" s="16">
        <v>25212.55</v>
      </c>
      <c r="F373" s="16">
        <v>25339.71</v>
      </c>
      <c r="G373" s="16">
        <v>25319.08</v>
      </c>
      <c r="H373" s="16">
        <v>25640.57</v>
      </c>
      <c r="I373" s="16">
        <v>25242.93</v>
      </c>
      <c r="J373" s="16">
        <v>25197.87</v>
      </c>
      <c r="K373" s="16">
        <v>25401.05</v>
      </c>
      <c r="L373" s="16">
        <v>25585.61</v>
      </c>
      <c r="M373" s="31"/>
      <c r="N373" s="31"/>
      <c r="O373" s="31"/>
      <c r="P373" s="31"/>
      <c r="Q373" s="31"/>
      <c r="R373" s="32"/>
      <c r="S373" s="33"/>
      <c r="T373" s="55"/>
      <c r="V373" s="47"/>
      <c r="W373" s="47"/>
      <c r="X373" s="48"/>
      <c r="Y373" s="48"/>
      <c r="Z373" s="49"/>
      <c r="AA373" s="49"/>
    </row>
    <row r="374" spans="1:27" ht="16.5" customHeight="1" thickBot="1">
      <c r="A374" s="94"/>
      <c r="B374" s="94"/>
      <c r="C374" s="34" t="s">
        <v>129</v>
      </c>
      <c r="D374" s="35">
        <f t="shared" ref="D374:L374" si="120">IF(((D372="")*AND(D373="")),"",(D372-D373)*3)</f>
        <v>12245.100000000002</v>
      </c>
      <c r="E374" s="35">
        <f t="shared" si="120"/>
        <v>12126.21</v>
      </c>
      <c r="F374" s="35">
        <f t="shared" si="120"/>
        <v>11740.649999999998</v>
      </c>
      <c r="G374" s="35">
        <f t="shared" si="120"/>
        <v>11815.469999999994</v>
      </c>
      <c r="H374" s="35">
        <f t="shared" si="120"/>
        <v>11517.720000000005</v>
      </c>
      <c r="I374" s="35">
        <f t="shared" si="120"/>
        <v>12479.430000000004</v>
      </c>
      <c r="J374" s="35">
        <f t="shared" si="120"/>
        <v>12154.950000000004</v>
      </c>
      <c r="K374" s="35">
        <f t="shared" si="120"/>
        <v>11557.530000000006</v>
      </c>
      <c r="L374" s="35">
        <f t="shared" si="120"/>
        <v>11640.929999999993</v>
      </c>
      <c r="M374" s="36"/>
      <c r="N374" s="36"/>
      <c r="O374" s="36"/>
      <c r="P374" s="36"/>
      <c r="Q374" s="36"/>
      <c r="R374" s="37"/>
      <c r="S374" s="38"/>
      <c r="T374" s="56"/>
      <c r="U374" s="51"/>
      <c r="V374" s="50"/>
      <c r="W374" s="50"/>
      <c r="X374" s="51"/>
      <c r="Y374" s="51"/>
      <c r="Z374" s="52"/>
      <c r="AA374" s="52"/>
    </row>
    <row r="375" spans="1:27">
      <c r="A375" s="95">
        <v>43146</v>
      </c>
      <c r="B375" s="115" t="s">
        <v>429</v>
      </c>
      <c r="C375" s="26" t="s">
        <v>126</v>
      </c>
      <c r="D375" s="16">
        <v>29379.84</v>
      </c>
      <c r="E375" s="16">
        <v>29230.76</v>
      </c>
      <c r="F375" s="16">
        <v>29296.98</v>
      </c>
      <c r="G375" s="16">
        <v>29235.5</v>
      </c>
      <c r="H375" s="16">
        <v>29465.07</v>
      </c>
      <c r="I375" s="16">
        <v>29368.61</v>
      </c>
      <c r="J375" s="16">
        <v>29227.71</v>
      </c>
      <c r="K375" s="16">
        <v>29229.79</v>
      </c>
      <c r="L375" s="16">
        <v>29411.1</v>
      </c>
      <c r="M375" s="27">
        <f>IF((L376=""),"",MAX(D377:L377))</f>
        <v>7512.6599999999926</v>
      </c>
      <c r="N375" s="27">
        <f>IF(L376="","",MIN(D377:L377))</f>
        <v>6475.2900000000009</v>
      </c>
      <c r="O375" s="27">
        <f>IF((L377=""),"",AVERAGE(D377:L377))</f>
        <v>7062.2899999999972</v>
      </c>
      <c r="P375" s="27">
        <f>IF((L376=""),"",STDEV(D377:L377))</f>
        <v>363.10026827999991</v>
      </c>
      <c r="Q375" s="168">
        <f>IF((L376=""),"",((M375-N375)/(M375+P375))*100)</f>
        <v>13.171680760498131</v>
      </c>
      <c r="R375" s="28" t="str">
        <f>IF(L376="","",IF(Q375&lt;Z375,IF(N375&gt;V375,IF(M375&lt;W375,"Pass","Fail"),"Fail"),"Fail"))</f>
        <v>Fail</v>
      </c>
      <c r="S375" s="29">
        <v>1428</v>
      </c>
      <c r="T375" s="54"/>
      <c r="U375" s="40"/>
      <c r="V375" s="53">
        <v>9000</v>
      </c>
      <c r="W375" s="22">
        <v>15600</v>
      </c>
      <c r="X375" s="40">
        <v>8090</v>
      </c>
      <c r="Y375" s="40">
        <v>12070</v>
      </c>
      <c r="Z375" s="49">
        <v>15</v>
      </c>
      <c r="AA375" s="49">
        <v>6</v>
      </c>
    </row>
    <row r="376" spans="1:27" ht="15.75" customHeight="1">
      <c r="A376" s="94"/>
      <c r="B376" s="94"/>
      <c r="C376" s="30" t="s">
        <v>128</v>
      </c>
      <c r="D376" s="16">
        <v>27221.41</v>
      </c>
      <c r="E376" s="16">
        <v>26942.97</v>
      </c>
      <c r="F376" s="16">
        <v>26951.29</v>
      </c>
      <c r="G376" s="16">
        <v>26772.98</v>
      </c>
      <c r="H376" s="16">
        <v>26997.75</v>
      </c>
      <c r="I376" s="16">
        <v>27119.61</v>
      </c>
      <c r="J376" s="16">
        <v>26961.97</v>
      </c>
      <c r="K376" s="16">
        <v>26783.63</v>
      </c>
      <c r="L376" s="16">
        <v>26906.880000000001</v>
      </c>
      <c r="M376" s="31"/>
      <c r="N376" s="31"/>
      <c r="O376" s="31"/>
      <c r="P376" s="31"/>
      <c r="Q376" s="31"/>
      <c r="R376" s="32"/>
      <c r="S376" s="33"/>
      <c r="T376" s="55"/>
      <c r="V376" s="47"/>
      <c r="W376" s="47"/>
      <c r="X376" s="48"/>
      <c r="Y376" s="48"/>
      <c r="Z376" s="49"/>
      <c r="AA376" s="49"/>
    </row>
    <row r="377" spans="1:27" ht="16.5" customHeight="1" thickBot="1">
      <c r="A377" s="94"/>
      <c r="B377" s="94"/>
      <c r="C377" s="34" t="s">
        <v>129</v>
      </c>
      <c r="D377" s="35">
        <f t="shared" ref="D377:L377" si="121">IF(((D375="")*AND(D376="")),"",(D375-D376)*3)</f>
        <v>6475.2900000000009</v>
      </c>
      <c r="E377" s="35">
        <f t="shared" si="121"/>
        <v>6863.3699999999917</v>
      </c>
      <c r="F377" s="35">
        <f t="shared" si="121"/>
        <v>7037.0699999999961</v>
      </c>
      <c r="G377" s="35">
        <f t="shared" si="121"/>
        <v>7387.5600000000013</v>
      </c>
      <c r="H377" s="35">
        <f t="shared" si="121"/>
        <v>7401.9599999999991</v>
      </c>
      <c r="I377" s="35">
        <f t="shared" si="121"/>
        <v>6747</v>
      </c>
      <c r="J377" s="35">
        <f t="shared" si="121"/>
        <v>6797.2199999999939</v>
      </c>
      <c r="K377" s="35">
        <f t="shared" si="121"/>
        <v>7338.48</v>
      </c>
      <c r="L377" s="35">
        <f t="shared" si="121"/>
        <v>7512.6599999999926</v>
      </c>
      <c r="M377" s="36"/>
      <c r="N377" s="36"/>
      <c r="O377" s="36"/>
      <c r="P377" s="36"/>
      <c r="Q377" s="36"/>
      <c r="R377" s="37"/>
      <c r="S377" s="38"/>
      <c r="T377" s="56"/>
      <c r="U377" s="51"/>
      <c r="V377" s="50"/>
      <c r="W377" s="50"/>
      <c r="X377" s="51"/>
      <c r="Y377" s="51"/>
      <c r="Z377" s="52"/>
      <c r="AA377" s="52"/>
    </row>
    <row r="378" spans="1:27">
      <c r="A378" s="95">
        <v>43146</v>
      </c>
      <c r="B378" s="115" t="s">
        <v>429</v>
      </c>
      <c r="C378" s="26" t="s">
        <v>126</v>
      </c>
      <c r="D378" s="16">
        <v>29311.38</v>
      </c>
      <c r="E378" s="16">
        <v>29176.29</v>
      </c>
      <c r="F378" s="16">
        <v>29238.66</v>
      </c>
      <c r="G378" s="16">
        <v>29182.36</v>
      </c>
      <c r="H378" s="16">
        <v>29414.63</v>
      </c>
      <c r="I378" s="16">
        <v>29341.95</v>
      </c>
      <c r="J378" s="16">
        <v>29173.85</v>
      </c>
      <c r="K378" s="16">
        <v>29166.68</v>
      </c>
      <c r="L378" s="16">
        <v>29371.64</v>
      </c>
      <c r="M378" s="27">
        <f>IF((L379=""),"",MAX(D380:L380))</f>
        <v>10949.189999999999</v>
      </c>
      <c r="N378" s="27">
        <f>IF(L379="","",MIN(D380:L380))</f>
        <v>10042.290000000001</v>
      </c>
      <c r="O378" s="27">
        <f>IF((L380=""),"",AVERAGE(D380:L380))</f>
        <v>10480.666666666666</v>
      </c>
      <c r="P378" s="27">
        <f>IF((L379=""),"",STDEV(D380:L380))</f>
        <v>298.3132281680144</v>
      </c>
      <c r="Q378" s="168">
        <f>IF((L379=""),"",((M378-N378)/(M378+P378))*100)</f>
        <v>8.063122824706344</v>
      </c>
      <c r="R378" s="28" t="str">
        <f>IF(L379="","",IF(Q378&lt;Z378,IF(N378&gt;V378,IF(M378&lt;W378,"Pass","Fail"),"Fail"),"Fail"))</f>
        <v>Pass</v>
      </c>
      <c r="S378" s="29">
        <v>1428</v>
      </c>
      <c r="T378" s="54"/>
      <c r="U378" s="40"/>
      <c r="V378" s="53">
        <v>9000</v>
      </c>
      <c r="W378" s="22">
        <v>15600</v>
      </c>
      <c r="X378" s="40">
        <v>8090</v>
      </c>
      <c r="Y378" s="40">
        <v>12070</v>
      </c>
      <c r="Z378" s="49">
        <v>15</v>
      </c>
      <c r="AA378" s="49">
        <v>6</v>
      </c>
    </row>
    <row r="379" spans="1:27" ht="15.75" customHeight="1">
      <c r="A379" s="94"/>
      <c r="B379" s="94"/>
      <c r="C379" s="30" t="s">
        <v>128</v>
      </c>
      <c r="D379" s="16">
        <v>25760.34</v>
      </c>
      <c r="E379" s="16">
        <v>25604.639999999999</v>
      </c>
      <c r="F379" s="16">
        <v>25751.22</v>
      </c>
      <c r="G379" s="16">
        <v>25712.7</v>
      </c>
      <c r="H379" s="16">
        <v>26067.200000000001</v>
      </c>
      <c r="I379" s="16">
        <v>25692.22</v>
      </c>
      <c r="J379" s="16">
        <v>25608.63</v>
      </c>
      <c r="K379" s="16">
        <v>25748.39</v>
      </c>
      <c r="L379" s="16">
        <v>25990.1</v>
      </c>
      <c r="M379" s="31"/>
      <c r="N379" s="31"/>
      <c r="O379" s="31"/>
      <c r="P379" s="31"/>
      <c r="Q379" s="31"/>
      <c r="R379" s="32"/>
      <c r="S379" s="33"/>
      <c r="T379" s="55"/>
      <c r="V379" s="47"/>
      <c r="W379" s="47"/>
      <c r="X379" s="48"/>
      <c r="Y379" s="48"/>
      <c r="Z379" s="49"/>
      <c r="AA379" s="49"/>
    </row>
    <row r="380" spans="1:27" ht="16.5" customHeight="1" thickBot="1">
      <c r="A380" s="94"/>
      <c r="B380" s="94"/>
      <c r="C380" s="34" t="s">
        <v>129</v>
      </c>
      <c r="D380" s="35">
        <f t="shared" ref="D380:L380" si="122">IF(((D378="")*AND(D379="")),"",(D378-D379)*3)</f>
        <v>10653.120000000003</v>
      </c>
      <c r="E380" s="35">
        <f t="shared" si="122"/>
        <v>10714.950000000004</v>
      </c>
      <c r="F380" s="35">
        <f t="shared" si="122"/>
        <v>10462.319999999996</v>
      </c>
      <c r="G380" s="35">
        <f t="shared" si="122"/>
        <v>10408.98</v>
      </c>
      <c r="H380" s="35">
        <f t="shared" si="122"/>
        <v>10042.290000000001</v>
      </c>
      <c r="I380" s="35">
        <f t="shared" si="122"/>
        <v>10949.189999999999</v>
      </c>
      <c r="J380" s="35">
        <f t="shared" si="122"/>
        <v>10695.659999999993</v>
      </c>
      <c r="K380" s="35">
        <f t="shared" si="122"/>
        <v>10254.870000000003</v>
      </c>
      <c r="L380" s="35">
        <f t="shared" si="122"/>
        <v>10144.620000000003</v>
      </c>
      <c r="M380" s="36"/>
      <c r="N380" s="36"/>
      <c r="O380" s="36"/>
      <c r="P380" s="36"/>
      <c r="Q380" s="36"/>
      <c r="R380" s="37"/>
      <c r="S380" s="38"/>
      <c r="T380" s="56"/>
      <c r="U380" s="51"/>
      <c r="V380" s="50"/>
      <c r="W380" s="50"/>
      <c r="X380" s="51"/>
      <c r="Y380" s="51"/>
      <c r="Z380" s="52"/>
      <c r="AA380" s="52"/>
    </row>
    <row r="381" spans="1:27">
      <c r="A381" s="95">
        <v>43151</v>
      </c>
      <c r="B381" s="115" t="s">
        <v>429</v>
      </c>
      <c r="C381" s="26" t="s">
        <v>126</v>
      </c>
      <c r="D381" s="16">
        <v>29290.03</v>
      </c>
      <c r="E381" s="16">
        <v>29150.12</v>
      </c>
      <c r="F381" s="16">
        <v>29190.560000000001</v>
      </c>
      <c r="G381" s="16">
        <v>29126.33</v>
      </c>
      <c r="H381" s="16">
        <v>29353.59</v>
      </c>
      <c r="I381" s="16">
        <v>29288.29</v>
      </c>
      <c r="J381" s="16">
        <v>29125.48</v>
      </c>
      <c r="K381" s="16">
        <v>29132.38</v>
      </c>
      <c r="L381" s="16">
        <v>29324.36</v>
      </c>
      <c r="M381" s="27">
        <f>IF((L382=""),"",MAX(D383:L383))</f>
        <v>8706.2400000000052</v>
      </c>
      <c r="N381" s="27">
        <f>IF(L382="","",MIN(D383:L383))</f>
        <v>7749.179999999993</v>
      </c>
      <c r="O381" s="27">
        <f>IF((L383=""),"",AVERAGE(D383:L383))</f>
        <v>8309.6566666666695</v>
      </c>
      <c r="P381" s="27">
        <f>IF((L382=""),"",STDEV(D383:L383))</f>
        <v>276.74559066047544</v>
      </c>
      <c r="Q381" s="168">
        <f>IF((L382=""),"",((M381-N381)/(M381+P381))*100)</f>
        <v>10.654141547271966</v>
      </c>
      <c r="R381" s="28" t="str">
        <f>IF(L382="","",IF(Q381&lt;Z381,IF(N381&gt;V381,IF(M381&lt;W381,"Pass","Fail"),"Fail"),"Fail"))</f>
        <v>Fail</v>
      </c>
      <c r="S381" s="29">
        <v>121</v>
      </c>
      <c r="U381" s="54" t="s">
        <v>200</v>
      </c>
      <c r="V381" s="53">
        <v>9000</v>
      </c>
      <c r="W381" s="22">
        <v>15600</v>
      </c>
      <c r="X381" s="40">
        <v>8090</v>
      </c>
      <c r="Y381" s="40">
        <v>12070</v>
      </c>
      <c r="Z381" s="49">
        <v>15</v>
      </c>
      <c r="AA381" s="49">
        <v>6</v>
      </c>
    </row>
    <row r="382" spans="1:27" ht="15.75" customHeight="1">
      <c r="A382" s="94"/>
      <c r="B382" s="94"/>
      <c r="C382" s="30" t="s">
        <v>128</v>
      </c>
      <c r="D382" s="16">
        <v>26706.97</v>
      </c>
      <c r="E382" s="16">
        <v>26409.94</v>
      </c>
      <c r="F382" s="16">
        <v>26408.880000000001</v>
      </c>
      <c r="G382" s="16">
        <v>26302.78</v>
      </c>
      <c r="H382" s="16">
        <v>26555.09</v>
      </c>
      <c r="I382" s="16">
        <v>26590.77</v>
      </c>
      <c r="J382" s="16">
        <v>26367.759999999998</v>
      </c>
      <c r="K382" s="16">
        <v>26287.7</v>
      </c>
      <c r="L382" s="16">
        <v>26422.28</v>
      </c>
      <c r="M382" s="31"/>
      <c r="N382" s="31"/>
      <c r="O382" s="31"/>
      <c r="P382" s="31"/>
      <c r="Q382" s="31"/>
      <c r="R382" s="32"/>
      <c r="S382" s="33"/>
      <c r="U382" s="55"/>
      <c r="V382" s="47"/>
      <c r="W382" s="47"/>
      <c r="X382" s="48"/>
      <c r="Y382" s="48"/>
      <c r="Z382" s="49"/>
      <c r="AA382" s="49"/>
    </row>
    <row r="383" spans="1:27" ht="16.5" customHeight="1" thickBot="1">
      <c r="A383" s="94"/>
      <c r="B383" s="94"/>
      <c r="C383" s="34" t="s">
        <v>129</v>
      </c>
      <c r="D383" s="35">
        <f t="shared" ref="D383:L383" si="123">IF(((D381="")*AND(D382="")),"",(D381-D382)*3)</f>
        <v>7749.179999999993</v>
      </c>
      <c r="E383" s="35">
        <f t="shared" si="123"/>
        <v>8220.5400000000009</v>
      </c>
      <c r="F383" s="35">
        <f t="shared" si="123"/>
        <v>8345.0400000000009</v>
      </c>
      <c r="G383" s="35">
        <f t="shared" si="123"/>
        <v>8470.6500000000087</v>
      </c>
      <c r="H383" s="35">
        <f t="shared" si="123"/>
        <v>8395.5</v>
      </c>
      <c r="I383" s="35">
        <f t="shared" si="123"/>
        <v>8092.5600000000013</v>
      </c>
      <c r="J383" s="35">
        <f t="shared" si="123"/>
        <v>8273.1600000000035</v>
      </c>
      <c r="K383" s="35">
        <f t="shared" si="123"/>
        <v>8534.0400000000009</v>
      </c>
      <c r="L383" s="35">
        <f t="shared" si="123"/>
        <v>8706.2400000000052</v>
      </c>
      <c r="M383" s="36"/>
      <c r="N383" s="36"/>
      <c r="O383" s="36"/>
      <c r="P383" s="36"/>
      <c r="Q383" s="36"/>
      <c r="R383" s="37"/>
      <c r="S383" s="38"/>
      <c r="U383" s="56"/>
      <c r="V383" s="50"/>
      <c r="W383" s="50"/>
      <c r="X383" s="51"/>
      <c r="Y383" s="51"/>
      <c r="Z383" s="52"/>
      <c r="AA383" s="52"/>
    </row>
    <row r="384" spans="1:27">
      <c r="A384" s="95">
        <v>43151</v>
      </c>
      <c r="B384" s="115" t="s">
        <v>429</v>
      </c>
      <c r="C384" s="26" t="s">
        <v>126</v>
      </c>
      <c r="D384" s="16">
        <v>29277.200000000001</v>
      </c>
      <c r="E384" s="16">
        <v>29112.78</v>
      </c>
      <c r="F384" s="16">
        <v>29107.71</v>
      </c>
      <c r="G384" s="16">
        <v>29089.38</v>
      </c>
      <c r="H384" s="16">
        <v>29304.25</v>
      </c>
      <c r="I384" s="16">
        <v>29265.46</v>
      </c>
      <c r="J384" s="16">
        <v>29087.11</v>
      </c>
      <c r="K384" s="16">
        <v>29111.74</v>
      </c>
      <c r="L384" s="16">
        <v>29797.54</v>
      </c>
      <c r="M384" s="27">
        <f>IF((L385=""),"",MAX(D386:L386))</f>
        <v>9780.48</v>
      </c>
      <c r="N384" s="27">
        <f>IF(L385="","",MIN(D386:L386))</f>
        <v>8485.8599999999969</v>
      </c>
      <c r="O384" s="27">
        <f>IF((L386=""),"",AVERAGE(D386:L386))</f>
        <v>8926.783333333331</v>
      </c>
      <c r="P384" s="27">
        <f>IF((L385=""),"",STDEV(D386:L386))</f>
        <v>376.44914092082206</v>
      </c>
      <c r="Q384" s="168">
        <f>IF((L385=""),"",((M384-N384)/(M384+P384))*100)</f>
        <v>12.746175364994553</v>
      </c>
      <c r="R384" s="28" t="str">
        <f>IF(L385="","",IF(Q384&lt;Z384,IF(N384&gt;V384,IF(M384&lt;W384,"Pass","Fail"),"Fail"),"Fail"))</f>
        <v>Fail</v>
      </c>
      <c r="S384" s="29">
        <v>102</v>
      </c>
      <c r="U384" s="54" t="s">
        <v>201</v>
      </c>
      <c r="V384" s="53">
        <v>9000</v>
      </c>
      <c r="W384" s="22">
        <v>15600</v>
      </c>
      <c r="X384" s="40">
        <v>8090</v>
      </c>
      <c r="Y384" s="40">
        <v>12070</v>
      </c>
      <c r="Z384" s="49">
        <v>15</v>
      </c>
      <c r="AA384" s="49">
        <v>6</v>
      </c>
    </row>
    <row r="385" spans="1:27" ht="15.75" customHeight="1">
      <c r="A385" s="94"/>
      <c r="B385" s="94"/>
      <c r="C385" s="30" t="s">
        <v>128</v>
      </c>
      <c r="D385" s="16">
        <v>26448.58</v>
      </c>
      <c r="E385" s="16">
        <v>26174.04</v>
      </c>
      <c r="F385" s="16">
        <v>26181.23</v>
      </c>
      <c r="G385" s="16">
        <v>26107.040000000001</v>
      </c>
      <c r="H385" s="16">
        <v>26328.79</v>
      </c>
      <c r="I385" s="16">
        <v>26380.47</v>
      </c>
      <c r="J385" s="16">
        <v>26168.95</v>
      </c>
      <c r="K385" s="16">
        <v>26046.34</v>
      </c>
      <c r="L385" s="16">
        <v>26537.38</v>
      </c>
      <c r="M385" s="31"/>
      <c r="N385" s="31"/>
      <c r="O385" s="31"/>
      <c r="P385" s="31"/>
      <c r="Q385" s="31"/>
      <c r="R385" s="32"/>
      <c r="S385" s="33"/>
      <c r="U385" s="55"/>
      <c r="V385" s="47"/>
      <c r="W385" s="47"/>
      <c r="X385" s="48"/>
      <c r="Y385" s="48"/>
      <c r="Z385" s="49"/>
      <c r="AA385" s="49"/>
    </row>
    <row r="386" spans="1:27" ht="16.5" customHeight="1" thickBot="1">
      <c r="A386" s="94"/>
      <c r="B386" s="94"/>
      <c r="C386" s="34" t="s">
        <v>129</v>
      </c>
      <c r="D386" s="35">
        <f t="shared" ref="D386:L386" si="124">IF(((D384="")*AND(D385="")),"",(D384-D385)*3)</f>
        <v>8485.8599999999969</v>
      </c>
      <c r="E386" s="35">
        <f t="shared" si="124"/>
        <v>8816.2199999999939</v>
      </c>
      <c r="F386" s="35">
        <f t="shared" si="124"/>
        <v>8779.4399999999987</v>
      </c>
      <c r="G386" s="35">
        <f t="shared" si="124"/>
        <v>8947.02</v>
      </c>
      <c r="H386" s="35">
        <f t="shared" si="124"/>
        <v>8926.3799999999974</v>
      </c>
      <c r="I386" s="35">
        <f t="shared" si="124"/>
        <v>8654.9699999999939</v>
      </c>
      <c r="J386" s="35">
        <f t="shared" si="124"/>
        <v>8754.48</v>
      </c>
      <c r="K386" s="35">
        <f t="shared" si="124"/>
        <v>9196.2000000000044</v>
      </c>
      <c r="L386" s="35">
        <f t="shared" si="124"/>
        <v>9780.48</v>
      </c>
      <c r="M386" s="36"/>
      <c r="N386" s="36"/>
      <c r="O386" s="36"/>
      <c r="P386" s="36"/>
      <c r="Q386" s="36"/>
      <c r="R386" s="37"/>
      <c r="S386" s="38"/>
      <c r="U386" s="56"/>
      <c r="V386" s="50"/>
      <c r="W386" s="50"/>
      <c r="X386" s="51"/>
      <c r="Y386" s="51"/>
      <c r="Z386" s="52"/>
      <c r="AA386" s="52"/>
    </row>
    <row r="387" spans="1:27">
      <c r="A387" s="95">
        <v>43151</v>
      </c>
      <c r="B387" s="115" t="s">
        <v>429</v>
      </c>
      <c r="C387" s="26" t="s">
        <v>126</v>
      </c>
      <c r="D387" s="16">
        <v>29211.83</v>
      </c>
      <c r="E387" s="16">
        <v>29081.27</v>
      </c>
      <c r="F387" s="16">
        <v>29160.77</v>
      </c>
      <c r="G387" s="16">
        <v>29114.69</v>
      </c>
      <c r="H387" s="16">
        <v>29364.65</v>
      </c>
      <c r="I387" s="16">
        <v>29261.3</v>
      </c>
      <c r="J387" s="16">
        <v>29097.42</v>
      </c>
      <c r="K387" s="16">
        <v>29093.82</v>
      </c>
      <c r="L387" s="16">
        <v>29313.96</v>
      </c>
      <c r="M387" s="27">
        <f>IF((L388=""),"",MAX(D389:L389))</f>
        <v>9084.0600000000013</v>
      </c>
      <c r="N387" s="27">
        <f>IF(L388="","",MIN(D389:L389))</f>
        <v>7986.6900000000096</v>
      </c>
      <c r="O387" s="27">
        <f>IF((L389=""),"",AVERAGE(D389:L389))</f>
        <v>8514.5266666666666</v>
      </c>
      <c r="P387" s="27">
        <f>IF((L388=""),"",STDEV(D389:L389))</f>
        <v>323.97900283046823</v>
      </c>
      <c r="Q387" s="168">
        <f>IF((L388=""),"",((M387-N387)/(M387+P387))*100)</f>
        <v>11.664173582505779</v>
      </c>
      <c r="R387" s="28" t="str">
        <f>IF(L388="","",IF(Q387&lt;Z387,IF(N387&gt;V387,IF(M387&lt;W387,"Pass","Fail"),"Fail"),"Fail"))</f>
        <v>Fail</v>
      </c>
      <c r="S387" s="29">
        <v>1159</v>
      </c>
      <c r="U387" s="54" t="s">
        <v>202</v>
      </c>
      <c r="V387" s="53">
        <v>9000</v>
      </c>
      <c r="W387" s="22">
        <v>15600</v>
      </c>
      <c r="X387" s="40">
        <v>8090</v>
      </c>
      <c r="Y387" s="40">
        <v>12070</v>
      </c>
      <c r="Z387" s="49">
        <v>15</v>
      </c>
      <c r="AA387" s="49">
        <v>6</v>
      </c>
    </row>
    <row r="388" spans="1:27" ht="15.75" customHeight="1">
      <c r="A388" s="94"/>
      <c r="B388" s="94"/>
      <c r="C388" s="30" t="s">
        <v>128</v>
      </c>
      <c r="D388" s="16">
        <v>26549.599999999999</v>
      </c>
      <c r="E388" s="16">
        <v>26310.52</v>
      </c>
      <c r="F388" s="16">
        <v>26374.76</v>
      </c>
      <c r="G388" s="16">
        <v>26228.57</v>
      </c>
      <c r="H388" s="16">
        <v>26446.9</v>
      </c>
      <c r="I388" s="16">
        <v>26489.29</v>
      </c>
      <c r="J388" s="16">
        <v>26287.29</v>
      </c>
      <c r="K388" s="16">
        <v>26183.26</v>
      </c>
      <c r="L388" s="16">
        <v>26285.94</v>
      </c>
      <c r="M388" s="31"/>
      <c r="N388" s="31"/>
      <c r="O388" s="31"/>
      <c r="P388" s="31"/>
      <c r="Q388" s="31"/>
      <c r="R388" s="32"/>
      <c r="S388" s="33"/>
      <c r="U388" s="55"/>
      <c r="V388" s="47"/>
      <c r="W388" s="47"/>
      <c r="X388" s="48"/>
      <c r="Y388" s="48"/>
      <c r="Z388" s="49"/>
      <c r="AA388" s="49"/>
    </row>
    <row r="389" spans="1:27" ht="16.5" customHeight="1" thickBot="1">
      <c r="A389" s="94"/>
      <c r="B389" s="94"/>
      <c r="C389" s="34" t="s">
        <v>129</v>
      </c>
      <c r="D389" s="35">
        <f t="shared" ref="D389:L389" si="125">IF(((D387="")*AND(D388="")),"",(D387-D388)*3)</f>
        <v>7986.6900000000096</v>
      </c>
      <c r="E389" s="35">
        <f t="shared" si="125"/>
        <v>8312.25</v>
      </c>
      <c r="F389" s="35">
        <f t="shared" si="125"/>
        <v>8358.0300000000061</v>
      </c>
      <c r="G389" s="35">
        <f t="shared" si="125"/>
        <v>8658.3599999999969</v>
      </c>
      <c r="H389" s="35">
        <f t="shared" si="125"/>
        <v>8753.25</v>
      </c>
      <c r="I389" s="35">
        <f t="shared" si="125"/>
        <v>8316.0299999999952</v>
      </c>
      <c r="J389" s="35">
        <f t="shared" si="125"/>
        <v>8430.3899999999921</v>
      </c>
      <c r="K389" s="35">
        <f t="shared" si="125"/>
        <v>8731.6800000000039</v>
      </c>
      <c r="L389" s="35">
        <f t="shared" si="125"/>
        <v>9084.0600000000013</v>
      </c>
      <c r="M389" s="36"/>
      <c r="N389" s="36"/>
      <c r="O389" s="36"/>
      <c r="P389" s="36"/>
      <c r="Q389" s="36"/>
      <c r="R389" s="37"/>
      <c r="S389" s="38"/>
      <c r="U389" s="56"/>
      <c r="V389" s="50"/>
      <c r="W389" s="50"/>
      <c r="X389" s="51"/>
      <c r="Y389" s="51"/>
      <c r="Z389" s="52"/>
      <c r="AA389" s="52"/>
    </row>
    <row r="390" spans="1:27">
      <c r="A390" s="95">
        <v>43153</v>
      </c>
      <c r="B390" s="115" t="s">
        <v>429</v>
      </c>
      <c r="C390" s="26" t="s">
        <v>126</v>
      </c>
      <c r="D390" s="16">
        <v>29238.73</v>
      </c>
      <c r="E390" s="16">
        <v>29068.11</v>
      </c>
      <c r="F390" s="16">
        <v>29067.5</v>
      </c>
      <c r="G390" s="16">
        <v>29080.89</v>
      </c>
      <c r="H390" s="16">
        <v>29328.47</v>
      </c>
      <c r="I390" s="16">
        <v>29236.38</v>
      </c>
      <c r="J390" s="16">
        <v>29060.82</v>
      </c>
      <c r="K390" s="16">
        <v>29059.17</v>
      </c>
      <c r="L390" s="16">
        <v>29282.81</v>
      </c>
      <c r="M390" s="27">
        <f>IF((L391=""),"",MAX(D392:L392))</f>
        <v>11121</v>
      </c>
      <c r="N390" s="27">
        <f>IF(L391="","",MIN(D392:L392))</f>
        <v>10268.430000000004</v>
      </c>
      <c r="O390" s="27">
        <f>IF((L392=""),"",AVERAGE(D392:L392))</f>
        <v>10758.750000000002</v>
      </c>
      <c r="P390" s="27">
        <f>IF((L391=""),"",STDEV(D392:L392))</f>
        <v>265.05020373508086</v>
      </c>
      <c r="Q390" s="168">
        <f>IF((L391=""),"",((M390-N390)/(M390+P390))*100)</f>
        <v>7.4878468366520883</v>
      </c>
      <c r="R390" s="28" t="str">
        <f>IF(L391="","",IF(Q390&lt;Z390,IF(N390&gt;V390,IF(M390&lt;W390,"Pass","Fail"),"Fail"),"Fail"))</f>
        <v>Pass</v>
      </c>
      <c r="S390" s="29">
        <v>102</v>
      </c>
      <c r="U390" s="54" t="s">
        <v>203</v>
      </c>
      <c r="V390" s="53">
        <v>9000</v>
      </c>
      <c r="W390" s="22">
        <v>15600</v>
      </c>
      <c r="X390" s="40">
        <v>8090</v>
      </c>
      <c r="Y390" s="40">
        <v>12070</v>
      </c>
      <c r="Z390" s="49">
        <v>15</v>
      </c>
      <c r="AA390" s="49">
        <v>6</v>
      </c>
    </row>
    <row r="391" spans="1:27" ht="15.75" customHeight="1">
      <c r="A391" s="94"/>
      <c r="B391" s="94"/>
      <c r="C391" s="30" t="s">
        <v>128</v>
      </c>
      <c r="D391" s="16">
        <v>25815.919999999998</v>
      </c>
      <c r="E391" s="16">
        <v>25517.89</v>
      </c>
      <c r="F391" s="16">
        <v>25524.560000000001</v>
      </c>
      <c r="G391" s="16">
        <v>25430.82</v>
      </c>
      <c r="H391" s="16">
        <v>25650.78</v>
      </c>
      <c r="I391" s="16">
        <v>25714.48</v>
      </c>
      <c r="J391" s="16">
        <v>25480.45</v>
      </c>
      <c r="K391" s="16">
        <v>25435.919999999998</v>
      </c>
      <c r="L391" s="16">
        <v>25575.81</v>
      </c>
      <c r="M391" s="31"/>
      <c r="N391" s="31"/>
      <c r="O391" s="31"/>
      <c r="P391" s="31"/>
      <c r="Q391" s="31"/>
      <c r="R391" s="32"/>
      <c r="S391" s="33"/>
      <c r="T391" s="55"/>
      <c r="V391" s="47"/>
      <c r="W391" s="47"/>
      <c r="X391" s="48"/>
      <c r="Y391" s="48"/>
      <c r="Z391" s="49"/>
      <c r="AA391" s="49"/>
    </row>
    <row r="392" spans="1:27" ht="16.5" customHeight="1" thickBot="1">
      <c r="A392" s="94"/>
      <c r="B392" s="94"/>
      <c r="C392" s="34" t="s">
        <v>129</v>
      </c>
      <c r="D392" s="35">
        <f t="shared" ref="D392:L392" si="126">IF(((D390="")*AND(D391="")),"",(D390-D391)*3)</f>
        <v>10268.430000000004</v>
      </c>
      <c r="E392" s="35">
        <f t="shared" si="126"/>
        <v>10650.660000000003</v>
      </c>
      <c r="F392" s="35">
        <f t="shared" si="126"/>
        <v>10628.819999999996</v>
      </c>
      <c r="G392" s="35">
        <f t="shared" si="126"/>
        <v>10950.21</v>
      </c>
      <c r="H392" s="35">
        <f t="shared" si="126"/>
        <v>11033.070000000007</v>
      </c>
      <c r="I392" s="35">
        <f t="shared" si="126"/>
        <v>10565.700000000004</v>
      </c>
      <c r="J392" s="35">
        <f t="shared" si="126"/>
        <v>10741.109999999997</v>
      </c>
      <c r="K392" s="35">
        <f t="shared" si="126"/>
        <v>10869.75</v>
      </c>
      <c r="L392" s="35">
        <f t="shared" si="126"/>
        <v>11121</v>
      </c>
      <c r="M392" s="36"/>
      <c r="N392" s="36"/>
      <c r="O392" s="36"/>
      <c r="P392" s="36"/>
      <c r="Q392" s="36"/>
      <c r="R392" s="37"/>
      <c r="S392" s="38"/>
      <c r="T392" s="56"/>
      <c r="U392" s="51"/>
      <c r="V392" s="50"/>
      <c r="W392" s="50"/>
      <c r="X392" s="51"/>
      <c r="Y392" s="51"/>
      <c r="Z392" s="52"/>
      <c r="AA392" s="52"/>
    </row>
    <row r="393" spans="1:27">
      <c r="A393" s="95">
        <v>43159</v>
      </c>
      <c r="B393" s="115" t="s">
        <v>429</v>
      </c>
      <c r="C393" s="26" t="s">
        <v>126</v>
      </c>
      <c r="D393" s="16">
        <v>29180.36</v>
      </c>
      <c r="E393" s="16">
        <v>29063.23</v>
      </c>
      <c r="F393" s="16">
        <v>29122.1</v>
      </c>
      <c r="G393" s="16">
        <v>29071.75</v>
      </c>
      <c r="H393" s="16">
        <v>29270.959999999999</v>
      </c>
      <c r="I393" s="16">
        <v>29198.32</v>
      </c>
      <c r="J393" s="16">
        <v>29055.9</v>
      </c>
      <c r="K393" s="16">
        <v>29054.31</v>
      </c>
      <c r="L393" s="16">
        <v>29269.72</v>
      </c>
      <c r="M393" s="27">
        <f>IF((L394=""),"",MAX(D395:L395))</f>
        <v>9142.9199999999983</v>
      </c>
      <c r="N393" s="27">
        <f>IF(L394="","",MIN(D395:L395))</f>
        <v>8205.3000000000065</v>
      </c>
      <c r="O393" s="27">
        <f>IF((L395=""),"",AVERAGE(D395:L395))</f>
        <v>8726.5833333333339</v>
      </c>
      <c r="P393" s="27">
        <f>IF((L394=""),"",STDEV(D395:L395))</f>
        <v>300.19534943927249</v>
      </c>
      <c r="Q393" s="168">
        <f>IF((L394=""),"",((M393-N393)/(M393+P393))*100)</f>
        <v>9.9291384813558086</v>
      </c>
      <c r="R393" s="28" t="str">
        <f>IF(L394="","",IF(Q393&lt;Z393,IF(N393&gt;V393,IF(M393&lt;W393,"Pass","Fail"),"Fail"),"Fail"))</f>
        <v>Fail</v>
      </c>
      <c r="S393" s="29">
        <v>1159</v>
      </c>
      <c r="T393" s="54"/>
      <c r="U393" s="40"/>
      <c r="V393" s="53">
        <v>9000</v>
      </c>
      <c r="W393" s="22">
        <v>15600</v>
      </c>
      <c r="X393" s="40">
        <v>8090</v>
      </c>
      <c r="Y393" s="40">
        <v>12070</v>
      </c>
      <c r="Z393" s="49">
        <v>15</v>
      </c>
      <c r="AA393" s="49">
        <v>6</v>
      </c>
    </row>
    <row r="394" spans="1:27" ht="15.75" customHeight="1">
      <c r="A394" s="94"/>
      <c r="B394" s="94"/>
      <c r="C394" s="30" t="s">
        <v>128</v>
      </c>
      <c r="D394" s="16">
        <v>26445.26</v>
      </c>
      <c r="E394" s="16">
        <v>26218.15</v>
      </c>
      <c r="F394" s="16">
        <v>26283.24</v>
      </c>
      <c r="G394" s="16">
        <v>26083.86</v>
      </c>
      <c r="H394" s="16">
        <v>26261.84</v>
      </c>
      <c r="I394" s="16">
        <v>26335.29</v>
      </c>
      <c r="J394" s="16">
        <v>26165.87</v>
      </c>
      <c r="K394" s="16">
        <v>26091.31</v>
      </c>
      <c r="L394" s="16">
        <v>26222.080000000002</v>
      </c>
      <c r="M394" s="31"/>
      <c r="N394" s="31"/>
      <c r="O394" s="31"/>
      <c r="P394" s="31"/>
      <c r="Q394" s="31"/>
      <c r="R394" s="32"/>
      <c r="S394" s="33"/>
      <c r="T394" s="55"/>
      <c r="V394" s="47"/>
      <c r="W394" s="47"/>
      <c r="X394" s="48"/>
      <c r="Y394" s="48"/>
      <c r="Z394" s="49"/>
      <c r="AA394" s="49"/>
    </row>
    <row r="395" spans="1:27" ht="16.5" customHeight="1" thickBot="1">
      <c r="A395" s="94"/>
      <c r="B395" s="94"/>
      <c r="C395" s="34" t="s">
        <v>129</v>
      </c>
      <c r="D395" s="35">
        <f t="shared" ref="D395:L395" si="127">IF(((D393="")*AND(D394="")),"",(D393-D394)*3)</f>
        <v>8205.3000000000065</v>
      </c>
      <c r="E395" s="35">
        <f t="shared" si="127"/>
        <v>8535.2399999999943</v>
      </c>
      <c r="F395" s="35">
        <f t="shared" si="127"/>
        <v>8516.5799999999908</v>
      </c>
      <c r="G395" s="35">
        <f t="shared" si="127"/>
        <v>8963.6699999999983</v>
      </c>
      <c r="H395" s="35">
        <f t="shared" si="127"/>
        <v>9027.3599999999969</v>
      </c>
      <c r="I395" s="35">
        <f t="shared" si="127"/>
        <v>8589.0899999999965</v>
      </c>
      <c r="J395" s="35">
        <f t="shared" si="127"/>
        <v>8670.0900000000074</v>
      </c>
      <c r="K395" s="35">
        <f t="shared" si="127"/>
        <v>8889</v>
      </c>
      <c r="L395" s="35">
        <f t="shared" si="127"/>
        <v>9142.9199999999983</v>
      </c>
      <c r="M395" s="36"/>
      <c r="N395" s="36"/>
      <c r="O395" s="36"/>
      <c r="P395" s="36"/>
      <c r="Q395" s="36"/>
      <c r="R395" s="37"/>
      <c r="S395" s="38"/>
      <c r="T395" s="56"/>
      <c r="U395" s="51"/>
      <c r="V395" s="50"/>
      <c r="W395" s="50"/>
      <c r="X395" s="51"/>
      <c r="Y395" s="51"/>
      <c r="Z395" s="52"/>
      <c r="AA395" s="52"/>
    </row>
    <row r="396" spans="1:27">
      <c r="A396" s="95">
        <v>43159</v>
      </c>
      <c r="B396" s="115" t="s">
        <v>429</v>
      </c>
      <c r="C396" s="26" t="s">
        <v>126</v>
      </c>
      <c r="D396" s="16">
        <v>29140.639999999999</v>
      </c>
      <c r="E396" s="16">
        <v>28984.35</v>
      </c>
      <c r="F396" s="16">
        <v>29035.94</v>
      </c>
      <c r="G396" s="16">
        <v>28973.8</v>
      </c>
      <c r="H396" s="16">
        <v>29212.04</v>
      </c>
      <c r="I396" s="16">
        <v>29140.42</v>
      </c>
      <c r="J396" s="16">
        <v>28974.07</v>
      </c>
      <c r="K396" s="16">
        <v>28985.55</v>
      </c>
      <c r="L396" s="16">
        <v>29198.34</v>
      </c>
      <c r="M396" s="27">
        <f>IF((L397=""),"",MAX(D398:L398))</f>
        <v>9269.9100000000035</v>
      </c>
      <c r="N396" s="27">
        <f>IF(L397="","",MIN(D398:L398))</f>
        <v>8239.8300000000017</v>
      </c>
      <c r="O396" s="27">
        <f>IF((L398=""),"",AVERAGE(D398:L398))</f>
        <v>8841.2733333333308</v>
      </c>
      <c r="P396" s="27">
        <f>IF((L397=""),"",STDEV(D398:L398))</f>
        <v>302.68937881926547</v>
      </c>
      <c r="Q396" s="168">
        <f>IF((L397=""),"",((M396-N396)/(M396+P396))*100)</f>
        <v>10.760713566256618</v>
      </c>
      <c r="R396" s="28" t="str">
        <f>IF(L397="","",IF(Q396&lt;Z396,IF(N396&gt;V396,IF(M396&lt;W396,"Pass","Fail"),"Fail"),"Fail"))</f>
        <v>Fail</v>
      </c>
      <c r="S396" s="29">
        <v>1159</v>
      </c>
      <c r="U396" s="54" t="s">
        <v>204</v>
      </c>
      <c r="V396" s="53">
        <v>9000</v>
      </c>
      <c r="W396" s="22">
        <v>15600</v>
      </c>
      <c r="X396" s="40">
        <v>8090</v>
      </c>
      <c r="Y396" s="40">
        <v>12070</v>
      </c>
      <c r="Z396" s="49">
        <v>15</v>
      </c>
      <c r="AA396" s="49">
        <v>6</v>
      </c>
    </row>
    <row r="397" spans="1:27" ht="15.75" customHeight="1">
      <c r="A397" s="94"/>
      <c r="B397" s="94"/>
      <c r="C397" s="30" t="s">
        <v>128</v>
      </c>
      <c r="D397" s="16">
        <v>26394.03</v>
      </c>
      <c r="E397" s="16">
        <v>26100.83</v>
      </c>
      <c r="F397" s="16">
        <v>26123.87</v>
      </c>
      <c r="G397" s="16">
        <v>25952.880000000001</v>
      </c>
      <c r="H397" s="16">
        <v>26207.06</v>
      </c>
      <c r="I397" s="16">
        <v>26236.04</v>
      </c>
      <c r="J397" s="16">
        <v>26030.01</v>
      </c>
      <c r="K397" s="16">
        <v>25968.240000000002</v>
      </c>
      <c r="L397" s="16">
        <v>26108.37</v>
      </c>
      <c r="M397" s="31"/>
      <c r="N397" s="31"/>
      <c r="O397" s="31"/>
      <c r="P397" s="31"/>
      <c r="Q397" s="31"/>
      <c r="R397" s="32"/>
      <c r="S397" s="33"/>
      <c r="T397" s="55"/>
      <c r="V397" s="47"/>
      <c r="W397" s="47"/>
      <c r="X397" s="48"/>
      <c r="Y397" s="48"/>
      <c r="Z397" s="49"/>
      <c r="AA397" s="49"/>
    </row>
    <row r="398" spans="1:27" ht="16.5" customHeight="1" thickBot="1">
      <c r="A398" s="94"/>
      <c r="B398" s="94"/>
      <c r="C398" s="34" t="s">
        <v>129</v>
      </c>
      <c r="D398" s="35">
        <f t="shared" ref="D398:L398" si="128">IF(((D396="")*AND(D397="")),"",(D396-D397)*3)</f>
        <v>8239.8300000000017</v>
      </c>
      <c r="E398" s="35">
        <f t="shared" si="128"/>
        <v>8650.5599999999904</v>
      </c>
      <c r="F398" s="35">
        <f t="shared" si="128"/>
        <v>8736.2099999999991</v>
      </c>
      <c r="G398" s="35">
        <f t="shared" si="128"/>
        <v>9062.7599999999948</v>
      </c>
      <c r="H398" s="35">
        <f t="shared" si="128"/>
        <v>9014.9399999999987</v>
      </c>
      <c r="I398" s="35">
        <f t="shared" si="128"/>
        <v>8713.1399999999921</v>
      </c>
      <c r="J398" s="35">
        <f t="shared" si="128"/>
        <v>8832.1800000000039</v>
      </c>
      <c r="K398" s="35">
        <f t="shared" si="128"/>
        <v>9051.929999999993</v>
      </c>
      <c r="L398" s="35">
        <f t="shared" si="128"/>
        <v>9269.9100000000035</v>
      </c>
      <c r="M398" s="36"/>
      <c r="N398" s="36"/>
      <c r="O398" s="36"/>
      <c r="P398" s="36"/>
      <c r="Q398" s="36"/>
      <c r="R398" s="37"/>
      <c r="S398" s="38"/>
      <c r="T398" s="56"/>
      <c r="U398" s="51"/>
      <c r="V398" s="50"/>
      <c r="W398" s="50"/>
      <c r="X398" s="51"/>
      <c r="Y398" s="51"/>
      <c r="Z398" s="52"/>
      <c r="AA398" s="52"/>
    </row>
    <row r="399" spans="1:27">
      <c r="A399" s="95">
        <v>43159</v>
      </c>
      <c r="B399" s="115" t="s">
        <v>429</v>
      </c>
      <c r="C399" s="26" t="s">
        <v>126</v>
      </c>
      <c r="D399" s="16">
        <v>29187.22</v>
      </c>
      <c r="E399" s="16">
        <v>29011.74</v>
      </c>
      <c r="F399" s="16">
        <v>28990.19</v>
      </c>
      <c r="G399" s="16">
        <v>28974.33</v>
      </c>
      <c r="H399" s="16">
        <v>29185.119999999999</v>
      </c>
      <c r="I399" s="16">
        <v>29166.28</v>
      </c>
      <c r="J399" s="16">
        <v>28972.7</v>
      </c>
      <c r="K399" s="16">
        <v>28991.91</v>
      </c>
      <c r="L399" s="16">
        <v>29233.37</v>
      </c>
      <c r="M399" s="27">
        <f>IF((L400=""),"",MAX(D401:L401))</f>
        <v>11127.719999999994</v>
      </c>
      <c r="N399" s="27">
        <f>IF(L400="","",MIN(D401:L401))</f>
        <v>10372.98</v>
      </c>
      <c r="O399" s="27">
        <f>IF((L401=""),"",AVERAGE(D401:L401))</f>
        <v>10850.246666666666</v>
      </c>
      <c r="P399" s="27">
        <f>IF((L400=""),"",STDEV(D401:L401))</f>
        <v>233.2896725639695</v>
      </c>
      <c r="Q399" s="168">
        <f>IF((L400=""),"",((M399-N399)/(M399+P399))*100)</f>
        <v>6.6432475788013647</v>
      </c>
      <c r="R399" s="28" t="str">
        <f>IF(L400="","",IF(Q399&lt;Z399,IF(N399&gt;V399,IF(M399&lt;W399,"Pass","Fail"),"Fail"),"Fail"))</f>
        <v>Pass</v>
      </c>
      <c r="S399" s="29">
        <v>121</v>
      </c>
      <c r="U399" s="54" t="s">
        <v>205</v>
      </c>
      <c r="V399" s="53">
        <v>9000</v>
      </c>
      <c r="W399" s="22">
        <v>15600</v>
      </c>
      <c r="X399" s="40">
        <v>8090</v>
      </c>
      <c r="Y399" s="40">
        <v>12070</v>
      </c>
      <c r="Z399" s="49">
        <v>15</v>
      </c>
      <c r="AA399" s="49">
        <v>6</v>
      </c>
    </row>
    <row r="400" spans="1:27" ht="15.75" customHeight="1">
      <c r="A400" s="94"/>
      <c r="B400" s="94"/>
      <c r="C400" s="30" t="s">
        <v>128</v>
      </c>
      <c r="D400" s="16">
        <v>25729.56</v>
      </c>
      <c r="E400" s="16">
        <v>25391.55</v>
      </c>
      <c r="F400" s="16">
        <v>25367.1</v>
      </c>
      <c r="G400" s="16">
        <v>25297.98</v>
      </c>
      <c r="H400" s="16">
        <v>25557.75</v>
      </c>
      <c r="I400" s="16">
        <v>25633.38</v>
      </c>
      <c r="J400" s="16">
        <v>25346.07</v>
      </c>
      <c r="K400" s="16">
        <v>25314.6</v>
      </c>
      <c r="L400" s="16">
        <v>25524.13</v>
      </c>
      <c r="M400" s="31"/>
      <c r="N400" s="31"/>
      <c r="O400" s="31"/>
      <c r="P400" s="31"/>
      <c r="Q400" s="31"/>
      <c r="R400" s="32"/>
      <c r="S400" s="33"/>
      <c r="T400" s="55"/>
      <c r="V400" s="47"/>
      <c r="W400" s="47"/>
      <c r="X400" s="48"/>
      <c r="Y400" s="48"/>
      <c r="Z400" s="49"/>
      <c r="AA400" s="49"/>
    </row>
    <row r="401" spans="1:27" ht="16.5" customHeight="1" thickBot="1">
      <c r="A401" s="94"/>
      <c r="B401" s="94"/>
      <c r="C401" s="34" t="s">
        <v>129</v>
      </c>
      <c r="D401" s="35">
        <f t="shared" ref="D401:L401" si="129">IF(((D399="")*AND(D400="")),"",(D399-D400)*3)</f>
        <v>10372.98</v>
      </c>
      <c r="E401" s="35">
        <f t="shared" si="129"/>
        <v>10860.570000000007</v>
      </c>
      <c r="F401" s="35">
        <f t="shared" si="129"/>
        <v>10869.27</v>
      </c>
      <c r="G401" s="35">
        <f t="shared" si="129"/>
        <v>11029.050000000007</v>
      </c>
      <c r="H401" s="35">
        <f t="shared" si="129"/>
        <v>10882.109999999997</v>
      </c>
      <c r="I401" s="35">
        <f t="shared" si="129"/>
        <v>10598.699999999993</v>
      </c>
      <c r="J401" s="35">
        <f t="shared" si="129"/>
        <v>10879.890000000003</v>
      </c>
      <c r="K401" s="35">
        <f t="shared" si="129"/>
        <v>11031.930000000004</v>
      </c>
      <c r="L401" s="35">
        <f t="shared" si="129"/>
        <v>11127.719999999994</v>
      </c>
      <c r="M401" s="36"/>
      <c r="N401" s="36"/>
      <c r="O401" s="36"/>
      <c r="P401" s="36"/>
      <c r="Q401" s="36"/>
      <c r="R401" s="37"/>
      <c r="S401" s="38"/>
      <c r="T401" s="56"/>
      <c r="U401" s="51"/>
      <c r="V401" s="50"/>
      <c r="W401" s="50"/>
      <c r="X401" s="51"/>
      <c r="Y401" s="51"/>
      <c r="Z401" s="52"/>
      <c r="AA401" s="52"/>
    </row>
    <row r="402" spans="1:27">
      <c r="A402" s="95">
        <v>43167</v>
      </c>
      <c r="B402" s="115" t="s">
        <v>429</v>
      </c>
      <c r="C402" s="26" t="s">
        <v>126</v>
      </c>
      <c r="D402" s="16">
        <v>29005.07</v>
      </c>
      <c r="E402" s="16">
        <v>28860.52</v>
      </c>
      <c r="F402" s="16">
        <v>28930.01</v>
      </c>
      <c r="G402" s="16">
        <v>28887.22</v>
      </c>
      <c r="H402" s="16">
        <v>29152.22</v>
      </c>
      <c r="I402" s="16">
        <v>29014.880000000001</v>
      </c>
      <c r="J402" s="16">
        <v>28857.39</v>
      </c>
      <c r="K402" s="16">
        <v>28870.92</v>
      </c>
      <c r="L402" s="16">
        <v>29108.38</v>
      </c>
      <c r="M402" s="27">
        <f>IF((L403=""),"",MAX(D404:L404))</f>
        <v>8475.1500000000087</v>
      </c>
      <c r="N402" s="27">
        <f>IF(L403="","",MIN(D404:L404))</f>
        <v>7480.6800000000039</v>
      </c>
      <c r="O402" s="27">
        <f>IF((L404=""),"",AVERAGE(D404:L404))</f>
        <v>8141.8966666666693</v>
      </c>
      <c r="P402" s="27">
        <f>IF((L403=""),"",STDEV(D404:L404))</f>
        <v>306.32934449703947</v>
      </c>
      <c r="Q402" s="168">
        <f>IF((L403=""),"",((M402-N402)/(M402+P402))*100)</f>
        <v>11.324629495634968</v>
      </c>
      <c r="R402" s="28" t="str">
        <f>IF(L403="","",IF(Q402&lt;Z402,IF(N402&gt;V402,IF(M402&lt;W402,"Pass","Fail"),"Fail"),"Fail"))</f>
        <v>Fail</v>
      </c>
      <c r="S402" s="29">
        <v>102</v>
      </c>
      <c r="T402" s="54"/>
      <c r="U402" s="40"/>
      <c r="V402" s="53">
        <v>9000</v>
      </c>
      <c r="W402" s="22">
        <v>15600</v>
      </c>
      <c r="X402" s="40">
        <v>8090</v>
      </c>
      <c r="Y402" s="40">
        <v>12070</v>
      </c>
      <c r="Z402" s="49">
        <v>15</v>
      </c>
      <c r="AA402" s="49">
        <v>6</v>
      </c>
    </row>
    <row r="403" spans="1:27" ht="15.75" customHeight="1">
      <c r="A403" s="94"/>
      <c r="B403" s="94"/>
      <c r="C403" s="30" t="s">
        <v>128</v>
      </c>
      <c r="D403" s="16">
        <v>26511.51</v>
      </c>
      <c r="E403" s="16">
        <v>26213.57</v>
      </c>
      <c r="F403" s="16">
        <v>26245.85</v>
      </c>
      <c r="G403" s="16">
        <v>26073.67</v>
      </c>
      <c r="H403" s="16">
        <v>26327.17</v>
      </c>
      <c r="I403" s="16">
        <v>26227.65</v>
      </c>
      <c r="J403" s="16">
        <v>26102.17</v>
      </c>
      <c r="K403" s="16">
        <v>26167.83</v>
      </c>
      <c r="L403" s="16">
        <v>26391.5</v>
      </c>
      <c r="M403" s="31"/>
      <c r="N403" s="31"/>
      <c r="O403" s="31"/>
      <c r="P403" s="31"/>
      <c r="Q403" s="31"/>
      <c r="R403" s="32"/>
      <c r="S403" s="33"/>
      <c r="T403" s="55"/>
      <c r="V403" s="47"/>
      <c r="W403" s="47"/>
      <c r="X403" s="48"/>
      <c r="Y403" s="48"/>
      <c r="Z403" s="49"/>
      <c r="AA403" s="49"/>
    </row>
    <row r="404" spans="1:27" ht="16.5" customHeight="1" thickBot="1">
      <c r="A404" s="94"/>
      <c r="B404" s="94"/>
      <c r="C404" s="34" t="s">
        <v>129</v>
      </c>
      <c r="D404" s="35">
        <f t="shared" ref="D404:L404" si="130">IF(((D402="")*AND(D403="")),"",(D402-D403)*3)</f>
        <v>7480.6800000000039</v>
      </c>
      <c r="E404" s="35">
        <f t="shared" si="130"/>
        <v>7940.8500000000022</v>
      </c>
      <c r="F404" s="35">
        <f t="shared" si="130"/>
        <v>8052.48</v>
      </c>
      <c r="G404" s="35">
        <f t="shared" si="130"/>
        <v>8440.6500000000087</v>
      </c>
      <c r="H404" s="35">
        <f t="shared" si="130"/>
        <v>8475.1500000000087</v>
      </c>
      <c r="I404" s="35">
        <f t="shared" si="130"/>
        <v>8361.6899999999987</v>
      </c>
      <c r="J404" s="35">
        <f t="shared" si="130"/>
        <v>8265.6600000000035</v>
      </c>
      <c r="K404" s="35">
        <f t="shared" si="130"/>
        <v>8109.2699999999895</v>
      </c>
      <c r="L404" s="35">
        <f t="shared" si="130"/>
        <v>8150.6400000000031</v>
      </c>
      <c r="M404" s="36"/>
      <c r="N404" s="36"/>
      <c r="O404" s="36"/>
      <c r="P404" s="36"/>
      <c r="Q404" s="36"/>
      <c r="R404" s="37"/>
      <c r="S404" s="38"/>
      <c r="T404" s="56"/>
      <c r="U404" s="51"/>
      <c r="V404" s="50"/>
      <c r="W404" s="50"/>
      <c r="X404" s="51"/>
      <c r="Y404" s="51"/>
      <c r="Z404" s="52"/>
      <c r="AA404" s="52"/>
    </row>
    <row r="405" spans="1:27">
      <c r="A405" s="95">
        <v>43167</v>
      </c>
      <c r="B405" s="115" t="s">
        <v>429</v>
      </c>
      <c r="C405" s="26" t="s">
        <v>126</v>
      </c>
      <c r="D405" s="16">
        <v>29021.52</v>
      </c>
      <c r="E405" s="16">
        <v>28852.79</v>
      </c>
      <c r="F405" s="16">
        <v>28851.55</v>
      </c>
      <c r="G405" s="16">
        <v>28871.62</v>
      </c>
      <c r="H405" s="16">
        <v>29096.33</v>
      </c>
      <c r="I405" s="16">
        <v>29029.69</v>
      </c>
      <c r="J405" s="16">
        <v>28851.33</v>
      </c>
      <c r="K405" s="16">
        <v>28852.62</v>
      </c>
      <c r="L405" s="16">
        <v>29104.05</v>
      </c>
      <c r="M405" s="27">
        <f>IF((L406=""),"",MAX(D407:L407))</f>
        <v>8547.5400000000009</v>
      </c>
      <c r="N405" s="27">
        <f>IF(L406="","",MIN(D407:L407))</f>
        <v>7507.2900000000009</v>
      </c>
      <c r="O405" s="27">
        <f>IF((L407=""),"",AVERAGE(D407:L407))</f>
        <v>8195.3466666666664</v>
      </c>
      <c r="P405" s="27">
        <f>IF((L406=""),"",STDEV(D407:L407))</f>
        <v>334.89759793106128</v>
      </c>
      <c r="Q405" s="168">
        <f>IF((L406=""),"",((M405-N405)/(M405+P405))*100)</f>
        <v>11.711312221797085</v>
      </c>
      <c r="R405" s="28" t="str">
        <f>IF(L406="","",IF(Q405&lt;Z405,IF(N405&gt;V405,IF(M405&lt;W405,"Pass","Fail"),"Fail"),"Fail"))</f>
        <v>Fail</v>
      </c>
      <c r="S405" s="29">
        <v>102</v>
      </c>
      <c r="U405" s="54" t="s">
        <v>206</v>
      </c>
      <c r="V405" s="53">
        <v>9000</v>
      </c>
      <c r="W405" s="22">
        <v>15600</v>
      </c>
      <c r="X405" s="40">
        <v>8090</v>
      </c>
      <c r="Y405" s="40">
        <v>12070</v>
      </c>
      <c r="Z405" s="49">
        <v>15</v>
      </c>
      <c r="AA405" s="49">
        <v>6</v>
      </c>
    </row>
    <row r="406" spans="1:27" ht="15.75" customHeight="1">
      <c r="A406" s="94"/>
      <c r="B406" s="94"/>
      <c r="C406" s="30" t="s">
        <v>128</v>
      </c>
      <c r="D406" s="16">
        <v>26519.09</v>
      </c>
      <c r="E406" s="16">
        <v>26200.63</v>
      </c>
      <c r="F406" s="16">
        <v>26165.83</v>
      </c>
      <c r="G406" s="16">
        <v>26037.13</v>
      </c>
      <c r="H406" s="16">
        <v>26259.19</v>
      </c>
      <c r="I406" s="16">
        <v>26323.18</v>
      </c>
      <c r="J406" s="16">
        <v>26115.11</v>
      </c>
      <c r="K406" s="16">
        <v>26070.43</v>
      </c>
      <c r="L406" s="16">
        <v>26254.87</v>
      </c>
      <c r="M406" s="31"/>
      <c r="N406" s="31"/>
      <c r="O406" s="31"/>
      <c r="P406" s="31"/>
      <c r="Q406" s="31"/>
      <c r="R406" s="32"/>
      <c r="S406" s="33"/>
      <c r="T406" s="55"/>
      <c r="V406" s="47"/>
      <c r="W406" s="47"/>
      <c r="X406" s="48"/>
      <c r="Y406" s="48"/>
      <c r="Z406" s="49"/>
      <c r="AA406" s="49"/>
    </row>
    <row r="407" spans="1:27" ht="16.5" customHeight="1" thickBot="1">
      <c r="A407" s="94"/>
      <c r="B407" s="94"/>
      <c r="C407" s="34" t="s">
        <v>129</v>
      </c>
      <c r="D407" s="35">
        <f t="shared" ref="D407:L407" si="131">IF(((D405="")*AND(D406="")),"",(D405-D406)*3)</f>
        <v>7507.2900000000009</v>
      </c>
      <c r="E407" s="35">
        <f t="shared" si="131"/>
        <v>7956.48</v>
      </c>
      <c r="F407" s="35">
        <f t="shared" si="131"/>
        <v>8057.1599999999926</v>
      </c>
      <c r="G407" s="35">
        <f t="shared" si="131"/>
        <v>8503.4699999999939</v>
      </c>
      <c r="H407" s="35">
        <f t="shared" si="131"/>
        <v>8511.4200000000092</v>
      </c>
      <c r="I407" s="35">
        <f t="shared" si="131"/>
        <v>8119.5299999999952</v>
      </c>
      <c r="J407" s="35">
        <f t="shared" si="131"/>
        <v>8208.6600000000035</v>
      </c>
      <c r="K407" s="35">
        <f t="shared" si="131"/>
        <v>8346.5699999999961</v>
      </c>
      <c r="L407" s="35">
        <f t="shared" si="131"/>
        <v>8547.5400000000009</v>
      </c>
      <c r="M407" s="36"/>
      <c r="N407" s="36"/>
      <c r="O407" s="36"/>
      <c r="P407" s="36"/>
      <c r="Q407" s="36"/>
      <c r="R407" s="37"/>
      <c r="S407" s="38"/>
      <c r="T407" s="56"/>
      <c r="U407" s="51"/>
      <c r="V407" s="50"/>
      <c r="W407" s="50"/>
      <c r="X407" s="51"/>
      <c r="Y407" s="51"/>
      <c r="Z407" s="52"/>
      <c r="AA407" s="52"/>
    </row>
    <row r="408" spans="1:27">
      <c r="A408" s="95">
        <v>43167</v>
      </c>
      <c r="B408" s="115" t="s">
        <v>429</v>
      </c>
      <c r="C408" s="26" t="s">
        <v>126</v>
      </c>
      <c r="D408" s="16">
        <v>29433.93</v>
      </c>
      <c r="E408" s="16">
        <v>29226.09</v>
      </c>
      <c r="F408" s="16">
        <v>29261.46</v>
      </c>
      <c r="G408" s="16">
        <v>29203.84</v>
      </c>
      <c r="H408" s="16">
        <v>29421.14</v>
      </c>
      <c r="I408" s="16">
        <v>29357.87</v>
      </c>
      <c r="J408" s="16">
        <v>29196.35</v>
      </c>
      <c r="K408" s="16">
        <v>29200.54</v>
      </c>
      <c r="L408" s="16">
        <v>29407.439999999999</v>
      </c>
      <c r="M408" s="27">
        <f>IF((L409=""),"",MAX(D410:L410))</f>
        <v>9447.7799999999952</v>
      </c>
      <c r="N408" s="27">
        <f>IF(L409="","",MIN(D410:L410))</f>
        <v>8621.8199999999961</v>
      </c>
      <c r="O408" s="27">
        <f>IF((L410=""),"",AVERAGE(D410:L410))</f>
        <v>9203.0799999999963</v>
      </c>
      <c r="P408" s="27">
        <f>IF((L409=""),"",STDEV(D410:L410))</f>
        <v>263.19440011141461</v>
      </c>
      <c r="Q408" s="168">
        <f>IF((L409=""),"",((M408-N408)/(M408+P408))*100)</f>
        <v>8.5054286621384083</v>
      </c>
      <c r="R408" s="28" t="str">
        <f>IF(L409="","",IF(Q408&lt;Z408,IF(N408&gt;V408,IF(M408&lt;W408,"Pass","Fail"),"Fail"),"Fail"))</f>
        <v>Fail</v>
      </c>
      <c r="S408" s="29">
        <v>121</v>
      </c>
      <c r="T408" s="54"/>
      <c r="U408" s="40"/>
      <c r="V408" s="53">
        <v>9000</v>
      </c>
      <c r="W408" s="22">
        <v>15600</v>
      </c>
      <c r="X408" s="40">
        <v>8090</v>
      </c>
      <c r="Y408" s="40">
        <v>12070</v>
      </c>
      <c r="Z408" s="49">
        <v>15</v>
      </c>
      <c r="AA408" s="49">
        <v>6</v>
      </c>
    </row>
    <row r="409" spans="1:27" ht="15.75" customHeight="1">
      <c r="A409" s="94"/>
      <c r="B409" s="94"/>
      <c r="C409" s="30" t="s">
        <v>128</v>
      </c>
      <c r="D409" s="16">
        <v>26559.99</v>
      </c>
      <c r="E409" s="16">
        <v>26198.59</v>
      </c>
      <c r="F409" s="16">
        <v>26242.31</v>
      </c>
      <c r="G409" s="16">
        <v>26057</v>
      </c>
      <c r="H409" s="16">
        <v>26281.47</v>
      </c>
      <c r="I409" s="16">
        <v>26296.720000000001</v>
      </c>
      <c r="J409" s="16">
        <v>26113.41</v>
      </c>
      <c r="K409" s="16">
        <v>26091.75</v>
      </c>
      <c r="L409" s="16">
        <v>26258.18</v>
      </c>
      <c r="M409" s="31"/>
      <c r="N409" s="31"/>
      <c r="O409" s="31"/>
      <c r="P409" s="31"/>
      <c r="Q409" s="31"/>
      <c r="R409" s="32"/>
      <c r="S409" s="33"/>
      <c r="T409" s="55"/>
      <c r="V409" s="47"/>
      <c r="W409" s="47"/>
      <c r="X409" s="48"/>
      <c r="Y409" s="48"/>
      <c r="Z409" s="49"/>
      <c r="AA409" s="49"/>
    </row>
    <row r="410" spans="1:27" ht="16.5" customHeight="1" thickBot="1">
      <c r="A410" s="94"/>
      <c r="B410" s="94"/>
      <c r="C410" s="34" t="s">
        <v>129</v>
      </c>
      <c r="D410" s="35">
        <f t="shared" ref="D410:L410" si="132">IF(((D408="")*AND(D409="")),"",(D408-D409)*3)</f>
        <v>8621.8199999999961</v>
      </c>
      <c r="E410" s="35">
        <f t="shared" si="132"/>
        <v>9082.5</v>
      </c>
      <c r="F410" s="35">
        <f t="shared" si="132"/>
        <v>9057.4499999999935</v>
      </c>
      <c r="G410" s="35">
        <f t="shared" si="132"/>
        <v>9440.52</v>
      </c>
      <c r="H410" s="35">
        <f t="shared" si="132"/>
        <v>9419.0099999999948</v>
      </c>
      <c r="I410" s="35">
        <f t="shared" si="132"/>
        <v>9183.4499999999935</v>
      </c>
      <c r="J410" s="35">
        <f t="shared" si="132"/>
        <v>9248.8199999999961</v>
      </c>
      <c r="K410" s="35">
        <f t="shared" si="132"/>
        <v>9326.3700000000026</v>
      </c>
      <c r="L410" s="35">
        <f t="shared" si="132"/>
        <v>9447.7799999999952</v>
      </c>
      <c r="M410" s="36"/>
      <c r="N410" s="36"/>
      <c r="O410" s="36"/>
      <c r="P410" s="36"/>
      <c r="Q410" s="36"/>
      <c r="R410" s="37"/>
      <c r="S410" s="38"/>
      <c r="T410" s="56"/>
      <c r="U410" s="51"/>
      <c r="V410" s="50"/>
      <c r="W410" s="50"/>
      <c r="X410" s="51"/>
      <c r="Y410" s="51"/>
      <c r="Z410" s="52"/>
      <c r="AA410" s="52"/>
    </row>
    <row r="411" spans="1:27">
      <c r="A411" s="95">
        <v>43173</v>
      </c>
      <c r="B411" s="115" t="s">
        <v>429</v>
      </c>
      <c r="C411" s="26" t="s">
        <v>126</v>
      </c>
      <c r="D411" s="16">
        <v>29317.21</v>
      </c>
      <c r="E411" s="16">
        <v>29119.23</v>
      </c>
      <c r="F411" s="16">
        <v>29187.759999999998</v>
      </c>
      <c r="G411" s="16">
        <v>29142.22</v>
      </c>
      <c r="H411" s="16">
        <v>29341.56</v>
      </c>
      <c r="I411" s="16">
        <v>29292.46</v>
      </c>
      <c r="J411" s="16">
        <v>29130.13</v>
      </c>
      <c r="K411" s="16">
        <v>29123.48</v>
      </c>
      <c r="L411" s="16">
        <v>29338.63</v>
      </c>
      <c r="M411" s="27">
        <f>IF((L412=""),"",MAX(D413:L413))</f>
        <v>9170.8799999999974</v>
      </c>
      <c r="N411" s="27">
        <f>IF(L412="","",MIN(D413:L413))</f>
        <v>8038.3199999999961</v>
      </c>
      <c r="O411" s="27">
        <f>IF((L413=""),"",AVERAGE(D413:L413))</f>
        <v>8803.4800000000014</v>
      </c>
      <c r="P411" s="27">
        <f>IF((L412=""),"",STDEV(D413:L413))</f>
        <v>326.12078924074734</v>
      </c>
      <c r="Q411" s="168">
        <f>IF((L412=""),"",((M411-N411)/(M411+P411))*100)</f>
        <v>11.925449151095059</v>
      </c>
      <c r="R411" s="28" t="str">
        <f>IF(L412="","",IF(Q411&lt;Z411,IF(N411&gt;V411,IF(M411&lt;W411,"Pass","Fail"),"Fail"),"Fail"))</f>
        <v>Fail</v>
      </c>
      <c r="S411" s="29">
        <v>121</v>
      </c>
      <c r="T411" s="54"/>
      <c r="U411" s="40"/>
      <c r="V411" s="53">
        <v>9000</v>
      </c>
      <c r="W411" s="22">
        <v>15600</v>
      </c>
      <c r="X411" s="40">
        <v>8090</v>
      </c>
      <c r="Y411" s="40">
        <v>12070</v>
      </c>
      <c r="Z411" s="49">
        <v>15</v>
      </c>
      <c r="AA411" s="49">
        <v>6</v>
      </c>
    </row>
    <row r="412" spans="1:27" ht="15.75" customHeight="1">
      <c r="A412" s="94"/>
      <c r="B412" s="94"/>
      <c r="C412" s="30" t="s">
        <v>128</v>
      </c>
      <c r="D412" s="16">
        <v>26260.25</v>
      </c>
      <c r="E412" s="16">
        <v>26150.28</v>
      </c>
      <c r="F412" s="16">
        <v>26218.76</v>
      </c>
      <c r="G412" s="16">
        <v>26189.84</v>
      </c>
      <c r="H412" s="16">
        <v>26405.89</v>
      </c>
      <c r="I412" s="16">
        <v>26613.02</v>
      </c>
      <c r="J412" s="16">
        <v>26263.65</v>
      </c>
      <c r="K412" s="16">
        <v>26112.38</v>
      </c>
      <c r="L412" s="16">
        <v>26368.17</v>
      </c>
      <c r="M412" s="31"/>
      <c r="N412" s="31"/>
      <c r="O412" s="31"/>
      <c r="P412" s="31"/>
      <c r="Q412" s="31"/>
      <c r="R412" s="32"/>
      <c r="S412" s="33"/>
      <c r="T412" s="55"/>
      <c r="V412" s="47"/>
      <c r="W412" s="47"/>
      <c r="X412" s="48"/>
      <c r="Y412" s="48"/>
      <c r="Z412" s="49"/>
      <c r="AA412" s="49"/>
    </row>
    <row r="413" spans="1:27" ht="16.5" customHeight="1" thickBot="1">
      <c r="A413" s="94"/>
      <c r="B413" s="94"/>
      <c r="C413" s="34" t="s">
        <v>129</v>
      </c>
      <c r="D413" s="35">
        <f t="shared" ref="D413:L413" si="133">IF(((D411="")*AND(D412="")),"",(D411-D412)*3)</f>
        <v>9170.8799999999974</v>
      </c>
      <c r="E413" s="35">
        <f t="shared" si="133"/>
        <v>8906.8500000000022</v>
      </c>
      <c r="F413" s="35">
        <f t="shared" si="133"/>
        <v>8907</v>
      </c>
      <c r="G413" s="35">
        <f t="shared" si="133"/>
        <v>8857.1400000000031</v>
      </c>
      <c r="H413" s="35">
        <f t="shared" si="133"/>
        <v>8807.0100000000057</v>
      </c>
      <c r="I413" s="35">
        <f t="shared" si="133"/>
        <v>8038.3199999999961</v>
      </c>
      <c r="J413" s="35">
        <f t="shared" si="133"/>
        <v>8599.4399999999987</v>
      </c>
      <c r="K413" s="35">
        <f t="shared" si="133"/>
        <v>9033.2999999999956</v>
      </c>
      <c r="L413" s="35">
        <f t="shared" si="133"/>
        <v>8911.3800000000083</v>
      </c>
      <c r="M413" s="36"/>
      <c r="N413" s="36"/>
      <c r="O413" s="36"/>
      <c r="P413" s="36"/>
      <c r="Q413" s="36"/>
      <c r="R413" s="37"/>
      <c r="S413" s="38"/>
      <c r="T413" s="56"/>
      <c r="U413" s="51"/>
      <c r="V413" s="50"/>
      <c r="W413" s="50"/>
      <c r="X413" s="51"/>
      <c r="Y413" s="51"/>
      <c r="Z413" s="52"/>
      <c r="AA413" s="52"/>
    </row>
    <row r="414" spans="1:27">
      <c r="A414" s="95">
        <v>43173</v>
      </c>
      <c r="B414" s="115" t="s">
        <v>429</v>
      </c>
      <c r="C414" s="26" t="s">
        <v>126</v>
      </c>
      <c r="D414" s="16">
        <v>29031.19</v>
      </c>
      <c r="E414" s="16">
        <v>28836.2</v>
      </c>
      <c r="F414" s="16">
        <v>28839.59</v>
      </c>
      <c r="G414" s="16">
        <v>28846.79</v>
      </c>
      <c r="H414" s="16">
        <v>29099.19</v>
      </c>
      <c r="I414" s="16">
        <v>29033.85</v>
      </c>
      <c r="J414" s="16">
        <v>28832.69</v>
      </c>
      <c r="K414" s="16">
        <v>28831.47</v>
      </c>
      <c r="L414" s="16">
        <v>29081.02</v>
      </c>
      <c r="M414" s="27">
        <f>IF((L415=""),"",MAX(D416:L416))</f>
        <v>10773.149999999998</v>
      </c>
      <c r="N414" s="27">
        <f>IF(L415="","",MIN(D416:L416))</f>
        <v>9739.77</v>
      </c>
      <c r="O414" s="27">
        <f>IF((L416=""),"",AVERAGE(D416:L416))</f>
        <v>10318.450000000003</v>
      </c>
      <c r="P414" s="27">
        <f>IF((L415=""),"",STDEV(D416:L416))</f>
        <v>292.03489021001576</v>
      </c>
      <c r="Q414" s="168">
        <f>IF((L415=""),"",((M414-N414)/(M414+P414))*100)</f>
        <v>9.3390215369495202</v>
      </c>
      <c r="R414" s="28" t="str">
        <f>IF(L415="","",IF(Q414&lt;Z414,IF(N414&gt;V414,IF(M414&lt;W414,"Pass","Fail"),"Fail"),"Fail"))</f>
        <v>Pass</v>
      </c>
      <c r="S414" s="29">
        <v>121</v>
      </c>
      <c r="T414" s="54"/>
      <c r="U414" s="40"/>
      <c r="V414" s="53">
        <v>9000</v>
      </c>
      <c r="W414" s="22">
        <v>15600</v>
      </c>
      <c r="X414" s="40">
        <v>8090</v>
      </c>
      <c r="Y414" s="40">
        <v>12070</v>
      </c>
      <c r="Z414" s="49">
        <v>15</v>
      </c>
      <c r="AA414" s="49">
        <v>6</v>
      </c>
    </row>
    <row r="415" spans="1:27" ht="15.75" customHeight="1">
      <c r="A415" s="94"/>
      <c r="B415" s="94"/>
      <c r="C415" s="30" t="s">
        <v>128</v>
      </c>
      <c r="D415" s="16">
        <v>25440.14</v>
      </c>
      <c r="E415" s="16">
        <v>25314.09</v>
      </c>
      <c r="F415" s="16">
        <v>25411.61</v>
      </c>
      <c r="G415" s="16">
        <v>25407.73</v>
      </c>
      <c r="H415" s="16">
        <v>25733.48</v>
      </c>
      <c r="I415" s="16">
        <v>25787.26</v>
      </c>
      <c r="J415" s="16">
        <v>25408.85</v>
      </c>
      <c r="K415" s="16">
        <v>25337.69</v>
      </c>
      <c r="L415" s="16">
        <v>25635.79</v>
      </c>
      <c r="M415" s="31"/>
      <c r="N415" s="31"/>
      <c r="O415" s="31"/>
      <c r="P415" s="31"/>
      <c r="Q415" s="31"/>
      <c r="R415" s="32"/>
      <c r="S415" s="33"/>
      <c r="T415" s="55"/>
      <c r="V415" s="47"/>
      <c r="W415" s="47"/>
      <c r="X415" s="48"/>
      <c r="Y415" s="48"/>
      <c r="Z415" s="49"/>
      <c r="AA415" s="49"/>
    </row>
    <row r="416" spans="1:27" ht="16.5" customHeight="1" thickBot="1">
      <c r="A416" s="94"/>
      <c r="B416" s="94"/>
      <c r="C416" s="34" t="s">
        <v>129</v>
      </c>
      <c r="D416" s="35">
        <f t="shared" ref="D416:L416" si="134">IF(((D414="")*AND(D415="")),"",(D414-D415)*3)</f>
        <v>10773.149999999998</v>
      </c>
      <c r="E416" s="35">
        <f t="shared" si="134"/>
        <v>10566.330000000002</v>
      </c>
      <c r="F416" s="35">
        <f t="shared" si="134"/>
        <v>10283.939999999999</v>
      </c>
      <c r="G416" s="35">
        <f t="shared" si="134"/>
        <v>10317.180000000004</v>
      </c>
      <c r="H416" s="35">
        <f t="shared" si="134"/>
        <v>10097.129999999997</v>
      </c>
      <c r="I416" s="35">
        <f t="shared" si="134"/>
        <v>9739.77</v>
      </c>
      <c r="J416" s="35">
        <f t="shared" si="134"/>
        <v>10271.52</v>
      </c>
      <c r="K416" s="35">
        <f t="shared" si="134"/>
        <v>10481.340000000007</v>
      </c>
      <c r="L416" s="35">
        <f t="shared" si="134"/>
        <v>10335.689999999999</v>
      </c>
      <c r="M416" s="36"/>
      <c r="N416" s="36"/>
      <c r="O416" s="36"/>
      <c r="P416" s="36"/>
      <c r="Q416" s="36"/>
      <c r="R416" s="37"/>
      <c r="S416" s="38"/>
      <c r="T416" s="56"/>
      <c r="U416" s="51"/>
      <c r="V416" s="50"/>
      <c r="W416" s="50"/>
      <c r="X416" s="51"/>
      <c r="Y416" s="51"/>
      <c r="Z416" s="52"/>
      <c r="AA416" s="52"/>
    </row>
    <row r="417" spans="1:27">
      <c r="A417" s="95">
        <v>43178</v>
      </c>
      <c r="B417" s="115" t="s">
        <v>429</v>
      </c>
      <c r="C417" s="26" t="s">
        <v>126</v>
      </c>
      <c r="D417" s="16">
        <v>29317.22</v>
      </c>
      <c r="E417" s="16">
        <v>29099.15</v>
      </c>
      <c r="F417" s="16">
        <v>29140.31</v>
      </c>
      <c r="G417" s="16">
        <v>29076.15</v>
      </c>
      <c r="H417" s="16">
        <v>29272.240000000002</v>
      </c>
      <c r="I417" s="16">
        <v>29226.84</v>
      </c>
      <c r="J417" s="16">
        <v>29070.28</v>
      </c>
      <c r="K417" s="16">
        <v>29064.47</v>
      </c>
      <c r="L417" s="16">
        <v>29279.73</v>
      </c>
      <c r="M417" s="27">
        <f>IF((L418=""),"",MAX(D419:L419))</f>
        <v>9956.4899999999943</v>
      </c>
      <c r="N417" s="27">
        <f>IF(L418="","",MIN(D419:L419))</f>
        <v>9020.1000000000022</v>
      </c>
      <c r="O417" s="27">
        <f>IF((L419=""),"",AVERAGE(D419:L419))</f>
        <v>9610.3633333333346</v>
      </c>
      <c r="P417" s="27">
        <f>IF((L418=""),"",STDEV(D419:L419))</f>
        <v>312.9391590229759</v>
      </c>
      <c r="Q417" s="168">
        <f>IF((L418=""),"",((M417-N417)/(M417+P417))*100)</f>
        <v>9.1182283406401137</v>
      </c>
      <c r="R417" s="28" t="str">
        <f>IF(L418="","",IF(Q417&lt;Z417,IF(N417&gt;V417,IF(M417&lt;W417,"Pass","Fail"),"Fail"),"Fail"))</f>
        <v>Pass</v>
      </c>
      <c r="S417" s="29">
        <v>1159</v>
      </c>
      <c r="T417" s="54" t="s">
        <v>207</v>
      </c>
      <c r="U417" s="40"/>
      <c r="V417" s="53">
        <v>9000</v>
      </c>
      <c r="W417" s="22">
        <v>15600</v>
      </c>
      <c r="X417" s="40">
        <v>8090</v>
      </c>
      <c r="Y417" s="40">
        <v>12070</v>
      </c>
      <c r="Z417" s="49">
        <v>15</v>
      </c>
      <c r="AA417" s="49">
        <v>6</v>
      </c>
    </row>
    <row r="418" spans="1:27" ht="15.75" customHeight="1">
      <c r="A418" s="94"/>
      <c r="B418" s="94"/>
      <c r="C418" s="30" t="s">
        <v>128</v>
      </c>
      <c r="D418" s="16">
        <v>26310.52</v>
      </c>
      <c r="E418" s="16">
        <v>25934.12</v>
      </c>
      <c r="F418" s="16">
        <v>25949.97</v>
      </c>
      <c r="G418" s="16">
        <v>25774.76</v>
      </c>
      <c r="H418" s="16">
        <v>25990.33</v>
      </c>
      <c r="I418" s="16">
        <v>26135.1</v>
      </c>
      <c r="J418" s="16">
        <v>25870.27</v>
      </c>
      <c r="K418" s="16">
        <v>25789.33</v>
      </c>
      <c r="L418" s="16">
        <v>25960.9</v>
      </c>
      <c r="M418" s="31"/>
      <c r="N418" s="31"/>
      <c r="O418" s="31"/>
      <c r="P418" s="31"/>
      <c r="Q418" s="31"/>
      <c r="R418" s="32"/>
      <c r="S418" s="33"/>
      <c r="T418" s="55"/>
      <c r="V418" s="47"/>
      <c r="W418" s="47"/>
      <c r="X418" s="48"/>
      <c r="Y418" s="48"/>
      <c r="Z418" s="49"/>
      <c r="AA418" s="49"/>
    </row>
    <row r="419" spans="1:27" ht="16.5" customHeight="1" thickBot="1">
      <c r="A419" s="94"/>
      <c r="B419" s="94"/>
      <c r="C419" s="34" t="s">
        <v>129</v>
      </c>
      <c r="D419" s="35">
        <f t="shared" ref="D419:L419" si="135">IF(((D417="")*AND(D418="")),"",(D417-D418)*3)</f>
        <v>9020.1000000000022</v>
      </c>
      <c r="E419" s="35">
        <f t="shared" si="135"/>
        <v>9495.0900000000074</v>
      </c>
      <c r="F419" s="35">
        <f t="shared" si="135"/>
        <v>9571.02</v>
      </c>
      <c r="G419" s="35">
        <f t="shared" si="135"/>
        <v>9904.1700000000092</v>
      </c>
      <c r="H419" s="35">
        <f t="shared" si="135"/>
        <v>9845.73</v>
      </c>
      <c r="I419" s="35">
        <f t="shared" si="135"/>
        <v>9275.2200000000048</v>
      </c>
      <c r="J419" s="35">
        <f t="shared" si="135"/>
        <v>9600.0299999999952</v>
      </c>
      <c r="K419" s="35">
        <f t="shared" si="135"/>
        <v>9825.4199999999983</v>
      </c>
      <c r="L419" s="35">
        <f t="shared" si="135"/>
        <v>9956.4899999999943</v>
      </c>
      <c r="M419" s="36"/>
      <c r="N419" s="36"/>
      <c r="O419" s="36"/>
      <c r="P419" s="36"/>
      <c r="Q419" s="36"/>
      <c r="R419" s="37"/>
      <c r="S419" s="38"/>
      <c r="T419" s="56"/>
      <c r="U419" s="51"/>
      <c r="V419" s="50"/>
      <c r="W419" s="50"/>
      <c r="X419" s="51"/>
      <c r="Y419" s="51"/>
      <c r="Z419" s="52"/>
      <c r="AA419" s="52"/>
    </row>
    <row r="420" spans="1:27">
      <c r="A420" s="95">
        <v>43182</v>
      </c>
      <c r="B420" s="115" t="s">
        <v>429</v>
      </c>
      <c r="C420" s="26" t="s">
        <v>126</v>
      </c>
      <c r="D420" s="16">
        <v>29252.77</v>
      </c>
      <c r="E420" s="16">
        <v>29049.46</v>
      </c>
      <c r="F420" s="16">
        <v>29040.14</v>
      </c>
      <c r="G420" s="16">
        <v>29039.9</v>
      </c>
      <c r="H420" s="16">
        <v>29285.360000000001</v>
      </c>
      <c r="I420" s="16">
        <v>29216.04</v>
      </c>
      <c r="J420" s="16">
        <v>29030.26</v>
      </c>
      <c r="K420" s="16">
        <v>29033.360000000001</v>
      </c>
      <c r="L420" s="16">
        <v>29255.52</v>
      </c>
      <c r="M420" s="27">
        <f>IF((L421=""),"",MAX(D422:L422))</f>
        <v>9184.1700000000092</v>
      </c>
      <c r="N420" s="27">
        <f>IF(L421="","",MIN(D422:L422))</f>
        <v>8231.25</v>
      </c>
      <c r="O420" s="27">
        <f>IF((L422=""),"",AVERAGE(D422:L422))</f>
        <v>8860.3266666666677</v>
      </c>
      <c r="P420" s="27">
        <f>IF((L421=""),"",STDEV(D422:L422))</f>
        <v>313.22085626597226</v>
      </c>
      <c r="Q420" s="168">
        <f>IF((L421=""),"",((M420-N420)/(M420+P420))*100)</f>
        <v>10.033492507800839</v>
      </c>
      <c r="R420" s="28" t="str">
        <f>IF(L421="","",IF(Q420&lt;Z420,IF(N420&gt;V420,IF(M420&lt;W420,"Pass","Fail"),"Fail"),"Fail"))</f>
        <v>Fail</v>
      </c>
      <c r="S420" s="29">
        <v>1159</v>
      </c>
      <c r="T420" s="54"/>
      <c r="U420" s="40"/>
      <c r="V420" s="53">
        <v>9000</v>
      </c>
      <c r="W420" s="22">
        <v>15600</v>
      </c>
      <c r="X420" s="40">
        <v>8090</v>
      </c>
      <c r="Y420" s="40">
        <v>12070</v>
      </c>
      <c r="Z420" s="49">
        <v>15</v>
      </c>
      <c r="AA420" s="49">
        <v>6</v>
      </c>
    </row>
    <row r="421" spans="1:27" ht="15.75" customHeight="1">
      <c r="A421" s="94"/>
      <c r="B421" s="94"/>
      <c r="C421" s="30" t="s">
        <v>128</v>
      </c>
      <c r="D421" s="16">
        <v>26509.02</v>
      </c>
      <c r="E421" s="16">
        <v>26156.92</v>
      </c>
      <c r="F421" s="16">
        <v>26113.83</v>
      </c>
      <c r="G421" s="16">
        <v>25978.51</v>
      </c>
      <c r="H421" s="16">
        <v>26224.44</v>
      </c>
      <c r="I421" s="16">
        <v>26330.240000000002</v>
      </c>
      <c r="J421" s="16">
        <v>26070.06</v>
      </c>
      <c r="K421" s="16">
        <v>26027.22</v>
      </c>
      <c r="L421" s="16">
        <v>26211.59</v>
      </c>
      <c r="M421" s="31"/>
      <c r="N421" s="31"/>
      <c r="O421" s="31"/>
      <c r="P421" s="31"/>
      <c r="Q421" s="31"/>
      <c r="R421" s="32"/>
      <c r="S421" s="33"/>
      <c r="T421" s="55"/>
      <c r="V421" s="47"/>
      <c r="W421" s="47"/>
      <c r="X421" s="48"/>
      <c r="Y421" s="48"/>
      <c r="Z421" s="49"/>
      <c r="AA421" s="49"/>
    </row>
    <row r="422" spans="1:27" ht="16.5" customHeight="1" thickBot="1">
      <c r="A422" s="94"/>
      <c r="B422" s="94"/>
      <c r="C422" s="34" t="s">
        <v>129</v>
      </c>
      <c r="D422" s="35">
        <f t="shared" ref="D422:L422" si="136">IF(((D420="")*AND(D421="")),"",(D420-D421)*3)</f>
        <v>8231.25</v>
      </c>
      <c r="E422" s="35">
        <f t="shared" si="136"/>
        <v>8677.6200000000026</v>
      </c>
      <c r="F422" s="35">
        <f t="shared" si="136"/>
        <v>8778.929999999993</v>
      </c>
      <c r="G422" s="35">
        <f t="shared" si="136"/>
        <v>9184.1700000000092</v>
      </c>
      <c r="H422" s="35">
        <f t="shared" si="136"/>
        <v>9182.7600000000057</v>
      </c>
      <c r="I422" s="35">
        <f t="shared" si="136"/>
        <v>8657.3999999999978</v>
      </c>
      <c r="J422" s="35">
        <f t="shared" si="136"/>
        <v>8880.5999999999913</v>
      </c>
      <c r="K422" s="35">
        <f t="shared" si="136"/>
        <v>9018.4199999999983</v>
      </c>
      <c r="L422" s="35">
        <f t="shared" si="136"/>
        <v>9131.7900000000009</v>
      </c>
      <c r="M422" s="36"/>
      <c r="N422" s="36"/>
      <c r="O422" s="36"/>
      <c r="P422" s="36"/>
      <c r="Q422" s="36"/>
      <c r="R422" s="37"/>
      <c r="S422" s="38"/>
      <c r="T422" s="56"/>
      <c r="U422" s="51"/>
      <c r="V422" s="50"/>
      <c r="W422" s="50"/>
      <c r="X422" s="51"/>
      <c r="Y422" s="51"/>
      <c r="Z422" s="52"/>
      <c r="AA422" s="52"/>
    </row>
    <row r="423" spans="1:27">
      <c r="A423" s="95">
        <v>43182</v>
      </c>
      <c r="B423" s="115" t="s">
        <v>429</v>
      </c>
      <c r="C423" s="26" t="s">
        <v>126</v>
      </c>
      <c r="D423" s="16">
        <v>29196.52</v>
      </c>
      <c r="E423" s="16">
        <v>29021.69</v>
      </c>
      <c r="F423" s="16">
        <v>29030.1</v>
      </c>
      <c r="G423" s="16">
        <v>29042.66</v>
      </c>
      <c r="H423" s="16">
        <v>29266.59</v>
      </c>
      <c r="I423" s="16">
        <v>29200.58</v>
      </c>
      <c r="J423" s="16">
        <v>29018.62</v>
      </c>
      <c r="K423" s="16">
        <v>29025.48</v>
      </c>
      <c r="L423" s="16">
        <v>29270.14</v>
      </c>
      <c r="M423" s="27">
        <f>IF((L424=""),"",MAX(D425:L425))</f>
        <v>10094.069999999996</v>
      </c>
      <c r="N423" s="27">
        <f>IF(L424="","",MIN(D425:L425))</f>
        <v>9017.5500000000065</v>
      </c>
      <c r="O423" s="27">
        <f>IF((L425=""),"",AVERAGE(D425:L425))</f>
        <v>9685.7566666666662</v>
      </c>
      <c r="P423" s="27">
        <f>IF((L424=""),"",STDEV(D425:L425))</f>
        <v>338.05136266543701</v>
      </c>
      <c r="Q423" s="168">
        <f>IF((L424=""),"",((M423-N423)/(M423+P423))*100)</f>
        <v>10.319281789154108</v>
      </c>
      <c r="R423" s="28" t="str">
        <f>IF(L424="","",IF(Q423&lt;Z423,IF(N423&gt;V423,IF(M423&lt;W423,"Pass","Fail"),"Fail"),"Fail"))</f>
        <v>Pass</v>
      </c>
      <c r="S423" s="29">
        <v>1159</v>
      </c>
      <c r="T423" s="54" t="s">
        <v>208</v>
      </c>
      <c r="U423" s="40"/>
      <c r="V423" s="53">
        <v>9000</v>
      </c>
      <c r="W423" s="22">
        <v>15600</v>
      </c>
      <c r="X423" s="40">
        <v>8090</v>
      </c>
      <c r="Y423" s="40">
        <v>12070</v>
      </c>
      <c r="Z423" s="49">
        <v>15</v>
      </c>
      <c r="AA423" s="49">
        <v>6</v>
      </c>
    </row>
    <row r="424" spans="1:27" ht="15.75" customHeight="1">
      <c r="A424" s="94"/>
      <c r="B424" s="94"/>
      <c r="C424" s="30" t="s">
        <v>128</v>
      </c>
      <c r="D424" s="16">
        <v>26190.67</v>
      </c>
      <c r="E424" s="16">
        <v>25845.79</v>
      </c>
      <c r="F424" s="16">
        <v>25832.19</v>
      </c>
      <c r="G424" s="16">
        <v>25677.97</v>
      </c>
      <c r="H424" s="16">
        <v>25950.15</v>
      </c>
      <c r="I424" s="16">
        <v>26069.14</v>
      </c>
      <c r="J424" s="16">
        <v>25762.66</v>
      </c>
      <c r="K424" s="16">
        <v>25732.89</v>
      </c>
      <c r="L424" s="16">
        <v>25953.65</v>
      </c>
      <c r="M424" s="31"/>
      <c r="N424" s="31"/>
      <c r="O424" s="31"/>
      <c r="P424" s="31"/>
      <c r="Q424" s="31"/>
      <c r="R424" s="32"/>
      <c r="S424" s="33"/>
      <c r="T424" s="55"/>
      <c r="V424" s="47"/>
      <c r="W424" s="47"/>
      <c r="X424" s="48"/>
      <c r="Y424" s="48"/>
      <c r="Z424" s="49"/>
      <c r="AA424" s="49"/>
    </row>
    <row r="425" spans="1:27" ht="16.5" customHeight="1" thickBot="1">
      <c r="A425" s="94"/>
      <c r="B425" s="94"/>
      <c r="C425" s="34" t="s">
        <v>129</v>
      </c>
      <c r="D425" s="35">
        <f t="shared" ref="D425:L425" si="137">IF(((D423="")*AND(D424="")),"",(D423-D424)*3)</f>
        <v>9017.5500000000065</v>
      </c>
      <c r="E425" s="35">
        <f t="shared" si="137"/>
        <v>9527.6999999999935</v>
      </c>
      <c r="F425" s="35">
        <f t="shared" si="137"/>
        <v>9593.73</v>
      </c>
      <c r="G425" s="35">
        <f t="shared" si="137"/>
        <v>10094.069999999996</v>
      </c>
      <c r="H425" s="35">
        <f t="shared" si="137"/>
        <v>9949.3199999999961</v>
      </c>
      <c r="I425" s="35">
        <f t="shared" si="137"/>
        <v>9394.320000000007</v>
      </c>
      <c r="J425" s="35">
        <f t="shared" si="137"/>
        <v>9767.8799999999974</v>
      </c>
      <c r="K425" s="35">
        <f t="shared" si="137"/>
        <v>9877.77</v>
      </c>
      <c r="L425" s="35">
        <f t="shared" si="137"/>
        <v>9949.4699999999939</v>
      </c>
      <c r="M425" s="36"/>
      <c r="N425" s="36"/>
      <c r="O425" s="36"/>
      <c r="P425" s="36"/>
      <c r="Q425" s="36"/>
      <c r="R425" s="37"/>
      <c r="S425" s="38"/>
      <c r="T425" s="56"/>
      <c r="U425" s="51"/>
      <c r="V425" s="50"/>
      <c r="W425" s="50"/>
      <c r="X425" s="51"/>
      <c r="Y425" s="51"/>
      <c r="Z425" s="52"/>
      <c r="AA425" s="52"/>
    </row>
    <row r="426" spans="1:27">
      <c r="A426" s="95">
        <v>43187</v>
      </c>
      <c r="B426" s="115" t="s">
        <v>429</v>
      </c>
      <c r="C426" s="26" t="s">
        <v>126</v>
      </c>
      <c r="D426" s="16">
        <v>29136.27</v>
      </c>
      <c r="E426" s="16">
        <v>28992.89</v>
      </c>
      <c r="F426" s="16">
        <v>29064.07</v>
      </c>
      <c r="G426" s="16">
        <v>29013.62</v>
      </c>
      <c r="H426" s="16">
        <v>29258.06</v>
      </c>
      <c r="I426" s="16">
        <v>29191.54</v>
      </c>
      <c r="J426" s="16">
        <v>29005.42</v>
      </c>
      <c r="K426" s="16">
        <v>28991.53</v>
      </c>
      <c r="L426" s="16">
        <v>29206.69</v>
      </c>
      <c r="M426" s="27">
        <f>IF((L427=""),"",MAX(D428:L428))</f>
        <v>10100.459999999999</v>
      </c>
      <c r="N426" s="27">
        <f>IF(L427="","",MIN(D428:L428))</f>
        <v>9172.1400000000031</v>
      </c>
      <c r="O426" s="27">
        <f>IF((L428=""),"",AVERAGE(D428:L428))</f>
        <v>9778.9166666666661</v>
      </c>
      <c r="P426" s="27">
        <f>IF((L427=""),"",STDEV(D428:L428))</f>
        <v>329.93983546243112</v>
      </c>
      <c r="Q426" s="168">
        <f>IF((L427=""),"",((M426-N426)/(M426+P426))*100)</f>
        <v>8.9001381983822974</v>
      </c>
      <c r="R426" s="28" t="str">
        <f>IF(L427="","",IF(Q426&lt;Z426,IF(N426&gt;V426,IF(M426&lt;W426,"Pass","Fail"),"Fail"),"Fail"))</f>
        <v>Pass</v>
      </c>
      <c r="S426" s="29">
        <v>1159</v>
      </c>
      <c r="T426" s="54" t="s">
        <v>209</v>
      </c>
      <c r="U426" s="40"/>
      <c r="V426" s="53">
        <v>9000</v>
      </c>
      <c r="W426" s="22">
        <v>15600</v>
      </c>
      <c r="X426" s="40">
        <v>8090</v>
      </c>
      <c r="Y426" s="40">
        <v>12070</v>
      </c>
      <c r="Z426" s="49">
        <v>15</v>
      </c>
      <c r="AA426" s="49">
        <v>6</v>
      </c>
    </row>
    <row r="427" spans="1:27" ht="15.75" customHeight="1">
      <c r="A427" s="94"/>
      <c r="B427" s="94"/>
      <c r="C427" s="30" t="s">
        <v>128</v>
      </c>
      <c r="D427" s="16">
        <v>26078.89</v>
      </c>
      <c r="E427" s="16">
        <v>25768.94</v>
      </c>
      <c r="F427" s="16">
        <v>25812.639999999999</v>
      </c>
      <c r="G427" s="16">
        <v>25646.799999999999</v>
      </c>
      <c r="H427" s="16">
        <v>25901.61</v>
      </c>
      <c r="I427" s="16">
        <v>26062.52</v>
      </c>
      <c r="J427" s="16">
        <v>25753.58</v>
      </c>
      <c r="K427" s="16">
        <v>25652.27</v>
      </c>
      <c r="L427" s="16">
        <v>25846.09</v>
      </c>
      <c r="M427" s="31"/>
      <c r="N427" s="31"/>
      <c r="O427" s="31"/>
      <c r="P427" s="31"/>
      <c r="Q427" s="31"/>
      <c r="R427" s="32"/>
      <c r="S427" s="33"/>
      <c r="T427" s="55"/>
      <c r="V427" s="47"/>
      <c r="W427" s="47"/>
      <c r="X427" s="48"/>
      <c r="Y427" s="48"/>
      <c r="Z427" s="49"/>
      <c r="AA427" s="49"/>
    </row>
    <row r="428" spans="1:27" ht="16.5" customHeight="1" thickBot="1">
      <c r="A428" s="94"/>
      <c r="B428" s="94"/>
      <c r="C428" s="34" t="s">
        <v>129</v>
      </c>
      <c r="D428" s="35">
        <f t="shared" ref="D428:L428" si="138">IF(((D426="")*AND(D427="")),"",(D426-D427)*3)</f>
        <v>9172.1400000000031</v>
      </c>
      <c r="E428" s="35">
        <f t="shared" si="138"/>
        <v>9671.8500000000022</v>
      </c>
      <c r="F428" s="35">
        <f t="shared" si="138"/>
        <v>9754.2900000000009</v>
      </c>
      <c r="G428" s="35">
        <f t="shared" si="138"/>
        <v>10100.459999999999</v>
      </c>
      <c r="H428" s="35">
        <f t="shared" si="138"/>
        <v>10069.350000000002</v>
      </c>
      <c r="I428" s="35">
        <f t="shared" si="138"/>
        <v>9387.0600000000013</v>
      </c>
      <c r="J428" s="35">
        <f t="shared" si="138"/>
        <v>9755.5199999999895</v>
      </c>
      <c r="K428" s="35">
        <f t="shared" si="138"/>
        <v>10017.779999999995</v>
      </c>
      <c r="L428" s="35">
        <f t="shared" si="138"/>
        <v>10081.799999999996</v>
      </c>
      <c r="M428" s="36"/>
      <c r="N428" s="36"/>
      <c r="O428" s="36"/>
      <c r="P428" s="36"/>
      <c r="Q428" s="36"/>
      <c r="R428" s="37"/>
      <c r="S428" s="38"/>
      <c r="T428" s="56"/>
      <c r="U428" s="51"/>
      <c r="V428" s="50"/>
      <c r="W428" s="50"/>
      <c r="X428" s="51"/>
      <c r="Y428" s="51"/>
      <c r="Z428" s="52"/>
      <c r="AA428" s="52"/>
    </row>
    <row r="429" spans="1:27">
      <c r="A429" s="95">
        <v>43192</v>
      </c>
      <c r="B429" s="115" t="s">
        <v>429</v>
      </c>
      <c r="C429" s="26" t="s">
        <v>126</v>
      </c>
      <c r="D429" s="16">
        <v>29228.19</v>
      </c>
      <c r="E429" s="16">
        <v>29101.37</v>
      </c>
      <c r="F429" s="16">
        <v>29161.56</v>
      </c>
      <c r="G429" s="16">
        <v>29112.58</v>
      </c>
      <c r="H429" s="16">
        <v>29338.400000000001</v>
      </c>
      <c r="I429" s="16">
        <v>29256.76</v>
      </c>
      <c r="J429" s="16">
        <v>29100.38</v>
      </c>
      <c r="K429" s="16">
        <v>29097.66</v>
      </c>
      <c r="L429" s="16">
        <v>29286.59</v>
      </c>
      <c r="M429" s="27">
        <f>IF((L430=""),"",MAX(D431:L431))</f>
        <v>8819.4300000000039</v>
      </c>
      <c r="N429" s="27">
        <f>IF(L430="","",MIN(D431:L431))</f>
        <v>7509.6299999999974</v>
      </c>
      <c r="O429" s="27">
        <f>IF((L431=""),"",AVERAGE(D431:L431))</f>
        <v>8355.74</v>
      </c>
      <c r="P429" s="27">
        <f>IF((L430=""),"",STDEV(D431:L431))</f>
        <v>378.43120791628849</v>
      </c>
      <c r="Q429" s="168">
        <f>IF((L430=""),"",((M429-N429)/(M429+P429))*100)</f>
        <v>14.240267062006822</v>
      </c>
      <c r="R429" s="28" t="str">
        <f>IF(L430="","",IF(Q429&lt;Z429,IF(N429&gt;V429,IF(M429&lt;W429,"Pass","Fail"),"Fail"),"Fail"))</f>
        <v>Fail</v>
      </c>
      <c r="S429" s="29">
        <v>121</v>
      </c>
      <c r="T429" s="54"/>
      <c r="U429" s="40"/>
      <c r="V429" s="53">
        <v>9000</v>
      </c>
      <c r="W429" s="22">
        <v>15600</v>
      </c>
      <c r="X429" s="40">
        <v>8090</v>
      </c>
      <c r="Y429" s="40">
        <v>12070</v>
      </c>
      <c r="Z429" s="49">
        <v>15</v>
      </c>
      <c r="AA429" s="49">
        <v>6</v>
      </c>
    </row>
    <row r="430" spans="1:27" ht="15.75" customHeight="1">
      <c r="A430" s="94"/>
      <c r="B430" s="94"/>
      <c r="C430" s="30" t="s">
        <v>128</v>
      </c>
      <c r="D430" s="16">
        <v>26458.06</v>
      </c>
      <c r="E430" s="16">
        <v>26331.65</v>
      </c>
      <c r="F430" s="16">
        <v>26385.09</v>
      </c>
      <c r="G430" s="16">
        <v>26228.59</v>
      </c>
      <c r="H430" s="16">
        <v>26398.59</v>
      </c>
      <c r="I430" s="16">
        <v>26753.55</v>
      </c>
      <c r="J430" s="16">
        <v>26380.18</v>
      </c>
      <c r="K430" s="16">
        <v>26230.57</v>
      </c>
      <c r="L430" s="16">
        <v>26449.99</v>
      </c>
      <c r="M430" s="31"/>
      <c r="N430" s="31"/>
      <c r="O430" s="31"/>
      <c r="P430" s="31"/>
      <c r="Q430" s="31"/>
      <c r="R430" s="32"/>
      <c r="S430" s="33"/>
      <c r="T430" s="55"/>
      <c r="V430" s="47"/>
      <c r="W430" s="47"/>
      <c r="X430" s="48"/>
      <c r="Y430" s="48"/>
      <c r="Z430" s="49"/>
      <c r="AA430" s="49"/>
    </row>
    <row r="431" spans="1:27" ht="16.5" customHeight="1" thickBot="1">
      <c r="A431" s="94"/>
      <c r="B431" s="94"/>
      <c r="C431" s="34" t="s">
        <v>129</v>
      </c>
      <c r="D431" s="35">
        <f t="shared" ref="D431:L431" si="139">IF(((D429="")*AND(D430="")),"",(D429-D430)*3)</f>
        <v>8310.3899999999921</v>
      </c>
      <c r="E431" s="35">
        <f t="shared" si="139"/>
        <v>8309.1599999999926</v>
      </c>
      <c r="F431" s="35">
        <f t="shared" si="139"/>
        <v>8329.4100000000035</v>
      </c>
      <c r="G431" s="35">
        <f t="shared" si="139"/>
        <v>8651.9700000000048</v>
      </c>
      <c r="H431" s="35">
        <f t="shared" si="139"/>
        <v>8819.4300000000039</v>
      </c>
      <c r="I431" s="35">
        <f t="shared" si="139"/>
        <v>7509.6299999999974</v>
      </c>
      <c r="J431" s="35">
        <f t="shared" si="139"/>
        <v>8160.6000000000022</v>
      </c>
      <c r="K431" s="35">
        <f t="shared" si="139"/>
        <v>8601.27</v>
      </c>
      <c r="L431" s="35">
        <f t="shared" si="139"/>
        <v>8509.7999999999956</v>
      </c>
      <c r="M431" s="36"/>
      <c r="N431" s="36"/>
      <c r="O431" s="36"/>
      <c r="P431" s="36"/>
      <c r="Q431" s="36"/>
      <c r="R431" s="37"/>
      <c r="S431" s="38"/>
      <c r="T431" s="56"/>
      <c r="U431" s="51"/>
      <c r="V431" s="50"/>
      <c r="W431" s="50"/>
      <c r="X431" s="51"/>
      <c r="Y431" s="51"/>
      <c r="Z431" s="52"/>
      <c r="AA431" s="52"/>
    </row>
    <row r="432" spans="1:27">
      <c r="A432" s="95">
        <v>43192</v>
      </c>
      <c r="B432" s="115" t="s">
        <v>429</v>
      </c>
      <c r="C432" s="26" t="s">
        <v>126</v>
      </c>
      <c r="D432" s="16">
        <v>29180.43</v>
      </c>
      <c r="E432" s="16">
        <v>29007.59</v>
      </c>
      <c r="F432" s="16">
        <v>29007.57</v>
      </c>
      <c r="G432" s="16">
        <v>29010.92</v>
      </c>
      <c r="H432" s="16">
        <v>29211.54</v>
      </c>
      <c r="I432" s="16">
        <v>29176.31</v>
      </c>
      <c r="J432" s="16">
        <v>29005.02</v>
      </c>
      <c r="K432" s="16">
        <v>28996.21</v>
      </c>
      <c r="L432" s="16">
        <v>29241.94</v>
      </c>
      <c r="M432" s="27">
        <f>IF((L433=""),"",MAX(D434:L434))</f>
        <v>10563.239999999994</v>
      </c>
      <c r="N432" s="27">
        <f>IF(L433="","",MIN(D434:L434))</f>
        <v>9509.0400000000009</v>
      </c>
      <c r="O432" s="27">
        <f>IF((L434=""),"",AVERAGE(D434:L434))</f>
        <v>10170.073333333328</v>
      </c>
      <c r="P432" s="27">
        <f>IF((L433=""),"",STDEV(D434:L434))</f>
        <v>322.85767065384454</v>
      </c>
      <c r="Q432" s="168">
        <f>IF((L433=""),"",((M432-N432)/(M432+P432))*100)</f>
        <v>9.6839109099842968</v>
      </c>
      <c r="R432" s="28" t="str">
        <f>IF(L433="","",IF(Q432&lt;Z432,IF(N432&gt;V432,IF(M432&lt;W432,"Pass","Fail"),"Fail"),"Fail"))</f>
        <v>Pass</v>
      </c>
      <c r="S432" s="29">
        <v>121</v>
      </c>
      <c r="U432" s="54" t="s">
        <v>210</v>
      </c>
      <c r="V432" s="53">
        <v>9000</v>
      </c>
      <c r="W432" s="22">
        <v>15600</v>
      </c>
      <c r="X432" s="40">
        <v>8090</v>
      </c>
      <c r="Y432" s="40">
        <v>12070</v>
      </c>
      <c r="Z432" s="49">
        <v>15</v>
      </c>
      <c r="AA432" s="49">
        <v>6</v>
      </c>
    </row>
    <row r="433" spans="1:27" ht="15.75" customHeight="1">
      <c r="A433" s="94"/>
      <c r="B433" s="94"/>
      <c r="C433" s="30" t="s">
        <v>128</v>
      </c>
      <c r="D433" s="16">
        <v>26010.75</v>
      </c>
      <c r="E433" s="16">
        <v>25641.38</v>
      </c>
      <c r="F433" s="16">
        <v>25606.61</v>
      </c>
      <c r="G433" s="16">
        <v>25530.63</v>
      </c>
      <c r="H433" s="16">
        <v>25789.86</v>
      </c>
      <c r="I433" s="16">
        <v>25893.4</v>
      </c>
      <c r="J433" s="16">
        <v>25601.33</v>
      </c>
      <c r="K433" s="16">
        <v>25532.49</v>
      </c>
      <c r="L433" s="16">
        <v>25720.86</v>
      </c>
      <c r="M433" s="31"/>
      <c r="N433" s="31"/>
      <c r="O433" s="31"/>
      <c r="P433" s="31"/>
      <c r="Q433" s="31"/>
      <c r="R433" s="32"/>
      <c r="S433" s="33"/>
      <c r="T433" s="55"/>
      <c r="V433" s="47"/>
      <c r="W433" s="47"/>
      <c r="X433" s="48"/>
      <c r="Y433" s="48"/>
      <c r="Z433" s="49"/>
      <c r="AA433" s="49"/>
    </row>
    <row r="434" spans="1:27" ht="16.5" customHeight="1" thickBot="1">
      <c r="A434" s="94"/>
      <c r="B434" s="94"/>
      <c r="C434" s="34" t="s">
        <v>129</v>
      </c>
      <c r="D434" s="35">
        <f t="shared" ref="D434:L434" si="140">IF(((D432="")*AND(D433="")),"",(D432-D433)*3)</f>
        <v>9509.0400000000009</v>
      </c>
      <c r="E434" s="35">
        <f t="shared" si="140"/>
        <v>10098.629999999997</v>
      </c>
      <c r="F434" s="35">
        <f t="shared" si="140"/>
        <v>10202.879999999997</v>
      </c>
      <c r="G434" s="35">
        <f t="shared" si="140"/>
        <v>10440.869999999992</v>
      </c>
      <c r="H434" s="35">
        <f t="shared" si="140"/>
        <v>10265.040000000001</v>
      </c>
      <c r="I434" s="35">
        <f t="shared" si="140"/>
        <v>9848.73</v>
      </c>
      <c r="J434" s="35">
        <f t="shared" si="140"/>
        <v>10211.069999999996</v>
      </c>
      <c r="K434" s="35">
        <f t="shared" si="140"/>
        <v>10391.159999999993</v>
      </c>
      <c r="L434" s="35">
        <f t="shared" si="140"/>
        <v>10563.239999999994</v>
      </c>
      <c r="M434" s="36"/>
      <c r="N434" s="36"/>
      <c r="O434" s="36"/>
      <c r="P434" s="36"/>
      <c r="Q434" s="36"/>
      <c r="R434" s="37"/>
      <c r="S434" s="38"/>
      <c r="T434" s="56"/>
      <c r="U434" s="51"/>
      <c r="V434" s="50"/>
      <c r="W434" s="50"/>
      <c r="X434" s="51"/>
      <c r="Y434" s="51"/>
      <c r="Z434" s="52"/>
      <c r="AA434" s="52"/>
    </row>
    <row r="435" spans="1:27">
      <c r="A435" s="95">
        <v>43199</v>
      </c>
      <c r="B435" s="115" t="s">
        <v>429</v>
      </c>
      <c r="C435" s="26" t="s">
        <v>126</v>
      </c>
      <c r="D435" s="16">
        <v>29097.45</v>
      </c>
      <c r="E435" s="16">
        <v>28924.3</v>
      </c>
      <c r="F435" s="16">
        <v>28928.25</v>
      </c>
      <c r="G435" s="16">
        <v>28950</v>
      </c>
      <c r="H435" s="16">
        <v>29155.89</v>
      </c>
      <c r="I435" s="16">
        <v>29102.52</v>
      </c>
      <c r="J435" s="16">
        <v>28921.51</v>
      </c>
      <c r="K435" s="16">
        <v>28926.94</v>
      </c>
      <c r="L435" s="16">
        <v>29186.560000000001</v>
      </c>
      <c r="M435" s="27">
        <f>IF((L436=""),"",MAX(D437:L437))</f>
        <v>8689.4100000000035</v>
      </c>
      <c r="N435" s="27">
        <f>IF(L436="","",MIN(D437:L437))</f>
        <v>7575.3300000000017</v>
      </c>
      <c r="O435" s="27">
        <f>IF((L437=""),"",AVERAGE(D437:L437))</f>
        <v>8363.2533333333322</v>
      </c>
      <c r="P435" s="27">
        <f>IF((L436=""),"",STDEV(D437:L437))</f>
        <v>351.3569855930013</v>
      </c>
      <c r="Q435" s="168">
        <f>IF((L436=""),"",((M435-N435)/(M435+P435))*100)</f>
        <v>12.322848291249556</v>
      </c>
      <c r="R435" s="28" t="str">
        <f>IF(L436="","",IF(Q435&lt;Z435,IF(N435&gt;V435,IF(M435&lt;W435,"Pass","Fail"),"Fail"),"Fail"))</f>
        <v>Fail</v>
      </c>
      <c r="S435" s="29">
        <v>1159</v>
      </c>
      <c r="T435" s="54"/>
      <c r="U435" s="40"/>
      <c r="V435" s="53">
        <v>9000</v>
      </c>
      <c r="W435" s="22">
        <v>15600</v>
      </c>
      <c r="X435" s="40">
        <v>8090</v>
      </c>
      <c r="Y435" s="40">
        <v>12070</v>
      </c>
      <c r="Z435" s="49">
        <v>15</v>
      </c>
      <c r="AA435" s="49">
        <v>6</v>
      </c>
    </row>
    <row r="436" spans="1:27" ht="15.75" customHeight="1">
      <c r="A436" s="94"/>
      <c r="B436" s="94"/>
      <c r="C436" s="30" t="s">
        <v>128</v>
      </c>
      <c r="D436" s="16">
        <v>26328.09</v>
      </c>
      <c r="E436" s="16">
        <v>26149.72</v>
      </c>
      <c r="F436" s="16">
        <v>26152.45</v>
      </c>
      <c r="G436" s="16">
        <v>26069.57</v>
      </c>
      <c r="H436" s="16">
        <v>26259.42</v>
      </c>
      <c r="I436" s="16">
        <v>26577.41</v>
      </c>
      <c r="J436" s="16">
        <v>26202.04</v>
      </c>
      <c r="K436" s="16">
        <v>26047.31</v>
      </c>
      <c r="L436" s="16">
        <v>26317.65</v>
      </c>
      <c r="M436" s="31"/>
      <c r="N436" s="31"/>
      <c r="O436" s="31"/>
      <c r="P436" s="31"/>
      <c r="Q436" s="31"/>
      <c r="R436" s="32"/>
      <c r="S436" s="33"/>
      <c r="T436" s="55"/>
      <c r="V436" s="47"/>
      <c r="W436" s="47"/>
      <c r="X436" s="48"/>
      <c r="Y436" s="48"/>
      <c r="Z436" s="49"/>
      <c r="AA436" s="49"/>
    </row>
    <row r="437" spans="1:27" ht="16.5" customHeight="1" thickBot="1">
      <c r="A437" s="94"/>
      <c r="B437" s="94"/>
      <c r="C437" s="34" t="s">
        <v>129</v>
      </c>
      <c r="D437" s="35">
        <f t="shared" ref="D437:L437" si="141">IF(((D435="")*AND(D436="")),"",(D435-D436)*3)</f>
        <v>8308.0800000000017</v>
      </c>
      <c r="E437" s="35">
        <f t="shared" si="141"/>
        <v>8323.7399999999943</v>
      </c>
      <c r="F437" s="35">
        <f t="shared" si="141"/>
        <v>8327.3999999999978</v>
      </c>
      <c r="G437" s="35">
        <f t="shared" si="141"/>
        <v>8641.2900000000009</v>
      </c>
      <c r="H437" s="35">
        <f t="shared" si="141"/>
        <v>8689.4100000000035</v>
      </c>
      <c r="I437" s="35">
        <f t="shared" si="141"/>
        <v>7575.3300000000017</v>
      </c>
      <c r="J437" s="35">
        <f t="shared" si="141"/>
        <v>8158.4099999999926</v>
      </c>
      <c r="K437" s="35">
        <f t="shared" si="141"/>
        <v>8638.8899999999921</v>
      </c>
      <c r="L437" s="35">
        <f t="shared" si="141"/>
        <v>8606.73</v>
      </c>
      <c r="M437" s="36"/>
      <c r="N437" s="36"/>
      <c r="O437" s="36"/>
      <c r="P437" s="36"/>
      <c r="Q437" s="36"/>
      <c r="R437" s="37"/>
      <c r="S437" s="38"/>
      <c r="T437" s="56"/>
      <c r="U437" s="51"/>
      <c r="V437" s="50"/>
      <c r="W437" s="50"/>
      <c r="X437" s="51"/>
      <c r="Y437" s="51"/>
      <c r="Z437" s="52"/>
      <c r="AA437" s="52"/>
    </row>
    <row r="438" spans="1:27">
      <c r="A438" s="95">
        <v>43199</v>
      </c>
      <c r="B438" s="115" t="s">
        <v>429</v>
      </c>
      <c r="C438" s="26" t="s">
        <v>126</v>
      </c>
      <c r="D438" s="16">
        <v>29158.85</v>
      </c>
      <c r="E438" s="16">
        <v>28983.72</v>
      </c>
      <c r="F438" s="16">
        <v>28964.720000000001</v>
      </c>
      <c r="G438" s="16">
        <v>28986.62</v>
      </c>
      <c r="H438" s="16">
        <v>29227.84</v>
      </c>
      <c r="I438" s="16">
        <v>29176.9</v>
      </c>
      <c r="J438" s="16">
        <v>28996.7</v>
      </c>
      <c r="K438" s="16">
        <v>28972.14</v>
      </c>
      <c r="L438" s="16">
        <v>29206.09</v>
      </c>
      <c r="M438" s="27">
        <f>IF((L439=""),"",MAX(D440:L440))</f>
        <v>10401.209999999999</v>
      </c>
      <c r="N438" s="27">
        <f>IF(L439="","",MIN(D440:L440))</f>
        <v>9304.77</v>
      </c>
      <c r="O438" s="27">
        <f>IF((L440=""),"",AVERAGE(D440:L440))</f>
        <v>9924.0266666666666</v>
      </c>
      <c r="P438" s="27">
        <f>IF((L439=""),"",STDEV(D440:L440))</f>
        <v>327.1075510439963</v>
      </c>
      <c r="Q438" s="168">
        <f>IF((L439=""),"",((M438-N438)/(M438+P438))*100)</f>
        <v>10.220055426056081</v>
      </c>
      <c r="R438" s="28" t="str">
        <f>IF(L439="","",IF(Q438&lt;Z438,IF(N438&gt;V438,IF(M438&lt;W438,"Pass","Fail"),"Fail"),"Fail"))</f>
        <v>Pass</v>
      </c>
      <c r="S438" s="29">
        <v>1159</v>
      </c>
      <c r="T438" s="54" t="s">
        <v>211</v>
      </c>
      <c r="U438" s="40"/>
      <c r="V438" s="53">
        <v>9000</v>
      </c>
      <c r="W438" s="22">
        <v>15600</v>
      </c>
      <c r="X438" s="40">
        <v>8090</v>
      </c>
      <c r="Y438" s="40">
        <v>12070</v>
      </c>
      <c r="Z438" s="49">
        <v>15</v>
      </c>
      <c r="AA438" s="49">
        <v>6</v>
      </c>
    </row>
    <row r="439" spans="1:27" ht="15.75" customHeight="1">
      <c r="A439" s="94"/>
      <c r="B439" s="94"/>
      <c r="C439" s="30" t="s">
        <v>128</v>
      </c>
      <c r="D439" s="16">
        <v>25930.3</v>
      </c>
      <c r="E439" s="16">
        <v>25691.98</v>
      </c>
      <c r="F439" s="16">
        <v>25712.880000000001</v>
      </c>
      <c r="G439" s="16">
        <v>25582.54</v>
      </c>
      <c r="H439" s="16">
        <v>25760.77</v>
      </c>
      <c r="I439" s="16">
        <v>26075.31</v>
      </c>
      <c r="J439" s="16">
        <v>25706.32</v>
      </c>
      <c r="K439" s="16">
        <v>25585.98</v>
      </c>
      <c r="L439" s="16">
        <v>25855.42</v>
      </c>
      <c r="M439" s="31"/>
      <c r="N439" s="31"/>
      <c r="O439" s="31"/>
      <c r="P439" s="31"/>
      <c r="Q439" s="31"/>
      <c r="R439" s="32"/>
      <c r="S439" s="33"/>
      <c r="T439" s="55"/>
      <c r="V439" s="47"/>
      <c r="W439" s="47"/>
      <c r="X439" s="48"/>
      <c r="Y439" s="48"/>
      <c r="Z439" s="49"/>
      <c r="AA439" s="49"/>
    </row>
    <row r="440" spans="1:27" ht="16.5" customHeight="1" thickBot="1">
      <c r="A440" s="94"/>
      <c r="B440" s="94"/>
      <c r="C440" s="34" t="s">
        <v>129</v>
      </c>
      <c r="D440" s="35">
        <f t="shared" ref="D440:L440" si="142">IF(((D438="")*AND(D439="")),"",(D438-D439)*3)</f>
        <v>9685.6499999999978</v>
      </c>
      <c r="E440" s="35">
        <f t="shared" si="142"/>
        <v>9875.2200000000048</v>
      </c>
      <c r="F440" s="35">
        <f t="shared" si="142"/>
        <v>9755.52</v>
      </c>
      <c r="G440" s="35">
        <f t="shared" si="142"/>
        <v>10212.239999999994</v>
      </c>
      <c r="H440" s="35">
        <f t="shared" si="142"/>
        <v>10401.209999999999</v>
      </c>
      <c r="I440" s="35">
        <f t="shared" si="142"/>
        <v>9304.77</v>
      </c>
      <c r="J440" s="35">
        <f t="shared" si="142"/>
        <v>9871.1400000000031</v>
      </c>
      <c r="K440" s="35">
        <f t="shared" si="142"/>
        <v>10158.48</v>
      </c>
      <c r="L440" s="35">
        <f t="shared" si="142"/>
        <v>10052.010000000006</v>
      </c>
      <c r="M440" s="36"/>
      <c r="N440" s="36"/>
      <c r="O440" s="36"/>
      <c r="P440" s="36"/>
      <c r="Q440" s="36"/>
      <c r="R440" s="37"/>
      <c r="S440" s="38"/>
      <c r="T440" s="56"/>
      <c r="U440" s="51"/>
      <c r="V440" s="50"/>
      <c r="W440" s="50"/>
      <c r="X440" s="51"/>
      <c r="Y440" s="51"/>
      <c r="Z440" s="52"/>
      <c r="AA440" s="52"/>
    </row>
    <row r="441" spans="1:27">
      <c r="A441" s="95">
        <v>43203</v>
      </c>
      <c r="B441" s="115" t="s">
        <v>429</v>
      </c>
      <c r="C441" s="26" t="s">
        <v>126</v>
      </c>
      <c r="D441" s="16">
        <v>29195.040000000001</v>
      </c>
      <c r="E441" s="16">
        <v>29017.99</v>
      </c>
      <c r="F441" s="16">
        <v>29078.97</v>
      </c>
      <c r="G441" s="16">
        <v>29031.33</v>
      </c>
      <c r="H441" s="16">
        <v>29195.24</v>
      </c>
      <c r="I441" s="16">
        <v>29181.06</v>
      </c>
      <c r="J441" s="16">
        <v>29019.83</v>
      </c>
      <c r="K441" s="16">
        <v>29020.46</v>
      </c>
      <c r="L441" s="16">
        <v>29243.78</v>
      </c>
      <c r="M441" s="27">
        <f>IF((L442=""),"",MAX(D443:L443))</f>
        <v>9323.8500000000022</v>
      </c>
      <c r="N441" s="27">
        <f>IF(L442="","",MIN(D443:L443))</f>
        <v>8204.52</v>
      </c>
      <c r="O441" s="27">
        <f>IF((L443=""),"",AVERAGE(D443:L443))</f>
        <v>9006.0366666666687</v>
      </c>
      <c r="P441" s="27">
        <f>IF((L442=""),"",STDEV(D443:L443))</f>
        <v>337.4711793620591</v>
      </c>
      <c r="Q441" s="168">
        <f>IF((L442=""),"",((M441-N441)/(M441+P441))*100)</f>
        <v>11.585682529539001</v>
      </c>
      <c r="R441" s="28" t="str">
        <f>IF(L442="","",IF(Q441&lt;Z441,IF(N441&gt;V441,IF(M441&lt;W441,"Pass","Fail"),"Fail"),"Fail"))</f>
        <v>Fail</v>
      </c>
      <c r="S441" s="29">
        <v>102</v>
      </c>
      <c r="U441" s="54" t="s">
        <v>187</v>
      </c>
      <c r="V441" s="53">
        <v>9000</v>
      </c>
      <c r="W441" s="22">
        <v>15600</v>
      </c>
      <c r="X441" s="40">
        <v>8090</v>
      </c>
      <c r="Y441" s="40">
        <v>12070</v>
      </c>
      <c r="Z441" s="49">
        <v>15</v>
      </c>
      <c r="AA441" s="49">
        <v>6</v>
      </c>
    </row>
    <row r="442" spans="1:27" ht="15.75" customHeight="1">
      <c r="A442" s="94"/>
      <c r="B442" s="94"/>
      <c r="C442" s="30" t="s">
        <v>128</v>
      </c>
      <c r="D442" s="16">
        <v>26120.720000000001</v>
      </c>
      <c r="E442" s="16">
        <v>25973.1</v>
      </c>
      <c r="F442" s="16">
        <v>26088.66</v>
      </c>
      <c r="G442" s="16">
        <v>25979.27</v>
      </c>
      <c r="H442" s="16">
        <v>26204.37</v>
      </c>
      <c r="I442" s="16">
        <v>26446.22</v>
      </c>
      <c r="J442" s="16">
        <v>26074.04</v>
      </c>
      <c r="K442" s="16">
        <v>25912.51</v>
      </c>
      <c r="L442" s="16">
        <v>26166.7</v>
      </c>
      <c r="M442" s="31"/>
      <c r="N442" s="31"/>
      <c r="O442" s="31"/>
      <c r="P442" s="31"/>
      <c r="Q442" s="31"/>
      <c r="R442" s="32"/>
      <c r="S442" s="33"/>
      <c r="T442" s="55"/>
      <c r="V442" s="47"/>
      <c r="W442" s="47"/>
      <c r="X442" s="48"/>
      <c r="Y442" s="48"/>
      <c r="Z442" s="49"/>
      <c r="AA442" s="49"/>
    </row>
    <row r="443" spans="1:27" ht="16.5" customHeight="1" thickBot="1">
      <c r="A443" s="94"/>
      <c r="B443" s="94"/>
      <c r="C443" s="34" t="s">
        <v>129</v>
      </c>
      <c r="D443" s="35">
        <f t="shared" ref="D443:L443" si="143">IF(((D441="")*AND(D442="")),"",(D441-D442)*3)</f>
        <v>9222.9599999999991</v>
      </c>
      <c r="E443" s="35">
        <f t="shared" si="143"/>
        <v>9134.6700000000092</v>
      </c>
      <c r="F443" s="35">
        <f t="shared" si="143"/>
        <v>8970.9300000000039</v>
      </c>
      <c r="G443" s="35">
        <f t="shared" si="143"/>
        <v>9156.1800000000039</v>
      </c>
      <c r="H443" s="35">
        <f t="shared" si="143"/>
        <v>8972.6100000000079</v>
      </c>
      <c r="I443" s="35">
        <f t="shared" si="143"/>
        <v>8204.52</v>
      </c>
      <c r="J443" s="35">
        <f t="shared" si="143"/>
        <v>8837.3700000000026</v>
      </c>
      <c r="K443" s="35">
        <f t="shared" si="143"/>
        <v>9323.8500000000022</v>
      </c>
      <c r="L443" s="35">
        <f t="shared" si="143"/>
        <v>9231.2399999999943</v>
      </c>
      <c r="M443" s="36"/>
      <c r="N443" s="36"/>
      <c r="O443" s="36"/>
      <c r="P443" s="36"/>
      <c r="Q443" s="36"/>
      <c r="R443" s="37"/>
      <c r="S443" s="38"/>
      <c r="T443" s="56"/>
      <c r="U443" s="51"/>
      <c r="V443" s="50"/>
      <c r="W443" s="50"/>
      <c r="X443" s="51"/>
      <c r="Y443" s="51"/>
      <c r="Z443" s="52"/>
      <c r="AA443" s="52"/>
    </row>
    <row r="444" spans="1:27">
      <c r="A444" s="95">
        <v>43203</v>
      </c>
      <c r="B444" s="115" t="s">
        <v>429</v>
      </c>
      <c r="C444" s="26" t="s">
        <v>126</v>
      </c>
      <c r="D444" s="16">
        <v>29139.43</v>
      </c>
      <c r="E444" s="16">
        <v>28951.439999999999</v>
      </c>
      <c r="F444" s="16">
        <v>28948.82</v>
      </c>
      <c r="G444" s="16">
        <v>28975.83</v>
      </c>
      <c r="H444" s="16">
        <v>29204.13</v>
      </c>
      <c r="I444" s="16">
        <v>29132.34</v>
      </c>
      <c r="J444" s="16">
        <v>28950.18</v>
      </c>
      <c r="K444" s="16">
        <v>28961.56</v>
      </c>
      <c r="L444" s="16">
        <v>29172.03</v>
      </c>
      <c r="M444" s="27">
        <f>IF((L445=""),"",MAX(D446:L446))</f>
        <v>9764.9100000000035</v>
      </c>
      <c r="N444" s="27">
        <f>IF(L445="","",MIN(D446:L446))</f>
        <v>9199.6499999999978</v>
      </c>
      <c r="O444" s="27">
        <f>IF((L446=""),"",AVERAGE(D446:L446))</f>
        <v>9505.0499999999993</v>
      </c>
      <c r="P444" s="27">
        <f>IF((L445=""),"",STDEV(D446:L446))</f>
        <v>182.36820240937024</v>
      </c>
      <c r="Q444" s="168">
        <f>IF((L445=""),"",((M444-N444)/(M444+P444))*100)</f>
        <v>5.6825594750440533</v>
      </c>
      <c r="R444" s="28" t="str">
        <f>IF(L445="","",IF(Q444&lt;Z444,IF(N444&gt;V444,IF(M444&lt;W444,"Pass","Fail"),"Fail"),"Fail"))</f>
        <v>Pass</v>
      </c>
      <c r="S444" s="29">
        <v>102</v>
      </c>
      <c r="T444" s="54"/>
      <c r="U444" s="40"/>
      <c r="V444" s="53">
        <v>9000</v>
      </c>
      <c r="W444" s="22">
        <v>15600</v>
      </c>
      <c r="X444" s="40">
        <v>8090</v>
      </c>
      <c r="Y444" s="40">
        <v>12070</v>
      </c>
      <c r="Z444" s="49">
        <v>15</v>
      </c>
      <c r="AA444" s="49">
        <v>6</v>
      </c>
    </row>
    <row r="445" spans="1:27" ht="15.75" customHeight="1">
      <c r="A445" s="94"/>
      <c r="B445" s="94"/>
      <c r="C445" s="30" t="s">
        <v>128</v>
      </c>
      <c r="D445" s="16">
        <v>25884.46</v>
      </c>
      <c r="E445" s="16">
        <v>25884.89</v>
      </c>
      <c r="F445" s="16">
        <v>25847.54</v>
      </c>
      <c r="G445" s="16">
        <v>25756.49</v>
      </c>
      <c r="H445" s="16">
        <v>26047.61</v>
      </c>
      <c r="I445" s="16">
        <v>25945.599999999999</v>
      </c>
      <c r="J445" s="16">
        <v>25821.57</v>
      </c>
      <c r="K445" s="16">
        <v>25776.23</v>
      </c>
      <c r="L445" s="16">
        <v>25956.22</v>
      </c>
      <c r="M445" s="31"/>
      <c r="N445" s="31"/>
      <c r="O445" s="31"/>
      <c r="P445" s="31"/>
      <c r="Q445" s="31"/>
      <c r="R445" s="32"/>
      <c r="S445" s="33"/>
      <c r="T445" s="55"/>
      <c r="V445" s="47"/>
      <c r="W445" s="47"/>
      <c r="X445" s="48"/>
      <c r="Y445" s="48"/>
      <c r="Z445" s="49"/>
      <c r="AA445" s="49"/>
    </row>
    <row r="446" spans="1:27" ht="16.5" customHeight="1" thickBot="1">
      <c r="A446" s="94"/>
      <c r="B446" s="94"/>
      <c r="C446" s="34" t="s">
        <v>129</v>
      </c>
      <c r="D446" s="35">
        <f t="shared" ref="D446:L446" si="144">IF(((D444="")*AND(D445="")),"",(D444-D445)*3)</f>
        <v>9764.9100000000035</v>
      </c>
      <c r="E446" s="35">
        <f t="shared" si="144"/>
        <v>9199.6499999999978</v>
      </c>
      <c r="F446" s="35">
        <f t="shared" si="144"/>
        <v>9303.8399999999965</v>
      </c>
      <c r="G446" s="35">
        <f t="shared" si="144"/>
        <v>9658.02</v>
      </c>
      <c r="H446" s="35">
        <f t="shared" si="144"/>
        <v>9469.5600000000013</v>
      </c>
      <c r="I446" s="35">
        <f t="shared" si="144"/>
        <v>9560.2200000000048</v>
      </c>
      <c r="J446" s="35">
        <f t="shared" si="144"/>
        <v>9385.8300000000017</v>
      </c>
      <c r="K446" s="35">
        <f t="shared" si="144"/>
        <v>9555.9900000000052</v>
      </c>
      <c r="L446" s="35">
        <f t="shared" si="144"/>
        <v>9647.429999999993</v>
      </c>
      <c r="M446" s="36"/>
      <c r="N446" s="36"/>
      <c r="O446" s="36"/>
      <c r="P446" s="36"/>
      <c r="Q446" s="36"/>
      <c r="R446" s="37"/>
      <c r="S446" s="38"/>
      <c r="T446" s="56"/>
      <c r="U446" s="51"/>
      <c r="V446" s="50"/>
      <c r="W446" s="50"/>
      <c r="X446" s="51"/>
      <c r="Y446" s="51"/>
      <c r="Z446" s="52"/>
      <c r="AA446" s="52"/>
    </row>
    <row r="447" spans="1:27">
      <c r="A447" s="95">
        <v>43209</v>
      </c>
      <c r="B447" s="115" t="s">
        <v>429</v>
      </c>
      <c r="C447" s="26" t="s">
        <v>126</v>
      </c>
      <c r="D447" s="16">
        <v>29113.26</v>
      </c>
      <c r="E447" s="16">
        <v>28937.09</v>
      </c>
      <c r="F447" s="16">
        <v>28926.78</v>
      </c>
      <c r="G447" s="16">
        <v>28941.13</v>
      </c>
      <c r="H447" s="16">
        <v>29176.82</v>
      </c>
      <c r="I447" s="16">
        <v>29116.13</v>
      </c>
      <c r="J447" s="16">
        <v>28943.66</v>
      </c>
      <c r="K447" s="16">
        <v>28920.3</v>
      </c>
      <c r="L447" s="16">
        <v>29168.23</v>
      </c>
      <c r="M447" s="27">
        <f>IF((L448=""),"",MAX(D449:L449))</f>
        <v>8707.23</v>
      </c>
      <c r="N447" s="27">
        <f>IF(L448="","",MIN(D449:L449))</f>
        <v>7775.25</v>
      </c>
      <c r="O447" s="27">
        <f>IF((L449=""),"",AVERAGE(D449:L449))</f>
        <v>8415.2699999999986</v>
      </c>
      <c r="P447" s="27">
        <f>IF((L448=""),"",STDEV(D449:L449))</f>
        <v>270.67974891923944</v>
      </c>
      <c r="Q447" s="168">
        <f>IF((L448=""),"",((M447-N447)/(M447+P447))*100)</f>
        <v>10.380812751121622</v>
      </c>
      <c r="R447" s="28" t="str">
        <f>IF(L448="","",IF(Q447&lt;Z447,IF(N447&gt;V447,IF(M447&lt;W447,"Pass","Fail"),"Fail"),"Fail"))</f>
        <v>Fail</v>
      </c>
      <c r="S447" s="29">
        <v>1335</v>
      </c>
      <c r="T447" s="54"/>
      <c r="U447" s="40"/>
      <c r="V447" s="53">
        <v>9000</v>
      </c>
      <c r="W447" s="22">
        <v>15600</v>
      </c>
      <c r="X447" s="40">
        <v>8090</v>
      </c>
      <c r="Y447" s="40">
        <v>12070</v>
      </c>
      <c r="Z447" s="49">
        <v>15</v>
      </c>
      <c r="AA447" s="49">
        <v>6</v>
      </c>
    </row>
    <row r="448" spans="1:27" ht="15.75" customHeight="1">
      <c r="A448" s="94"/>
      <c r="B448" s="94"/>
      <c r="C448" s="30" t="s">
        <v>128</v>
      </c>
      <c r="D448" s="16">
        <v>26521.51</v>
      </c>
      <c r="E448" s="16">
        <v>26150.74</v>
      </c>
      <c r="F448" s="16">
        <v>26109.15</v>
      </c>
      <c r="G448" s="16">
        <v>26038.720000000001</v>
      </c>
      <c r="H448" s="16">
        <v>26348.59</v>
      </c>
      <c r="I448" s="16">
        <v>26354.799999999999</v>
      </c>
      <c r="J448" s="16">
        <v>26075.02</v>
      </c>
      <c r="K448" s="16">
        <v>26076.14</v>
      </c>
      <c r="L448" s="16">
        <v>26322.92</v>
      </c>
      <c r="M448" s="31"/>
      <c r="N448" s="31"/>
      <c r="O448" s="31"/>
      <c r="P448" s="31"/>
      <c r="Q448" s="31"/>
      <c r="R448" s="32"/>
      <c r="S448" s="33"/>
      <c r="T448" s="55"/>
      <c r="V448" s="47"/>
      <c r="W448" s="47"/>
      <c r="X448" s="48"/>
      <c r="Y448" s="48"/>
      <c r="Z448" s="49"/>
      <c r="AA448" s="49"/>
    </row>
    <row r="449" spans="1:27" ht="16.5" customHeight="1" thickBot="1">
      <c r="A449" s="94"/>
      <c r="B449" s="94"/>
      <c r="C449" s="34" t="s">
        <v>129</v>
      </c>
      <c r="D449" s="35">
        <f t="shared" ref="D449:L449" si="145">IF(((D447="")*AND(D448="")),"",(D447-D448)*3)</f>
        <v>7775.25</v>
      </c>
      <c r="E449" s="35">
        <f t="shared" si="145"/>
        <v>8359.0499999999956</v>
      </c>
      <c r="F449" s="35">
        <f t="shared" si="145"/>
        <v>8452.8899999999921</v>
      </c>
      <c r="G449" s="35">
        <f t="shared" si="145"/>
        <v>8707.23</v>
      </c>
      <c r="H449" s="35">
        <f t="shared" si="145"/>
        <v>8484.6899999999987</v>
      </c>
      <c r="I449" s="35">
        <f t="shared" si="145"/>
        <v>8283.9900000000052</v>
      </c>
      <c r="J449" s="35">
        <f t="shared" si="145"/>
        <v>8605.9199999999983</v>
      </c>
      <c r="K449" s="35">
        <f t="shared" si="145"/>
        <v>8532.48</v>
      </c>
      <c r="L449" s="35">
        <f t="shared" si="145"/>
        <v>8535.9300000000039</v>
      </c>
      <c r="M449" s="36"/>
      <c r="N449" s="36"/>
      <c r="O449" s="36"/>
      <c r="P449" s="36"/>
      <c r="Q449" s="36"/>
      <c r="R449" s="37"/>
      <c r="S449" s="38"/>
      <c r="T449" s="56"/>
      <c r="U449" s="51"/>
      <c r="V449" s="50"/>
      <c r="W449" s="50"/>
      <c r="X449" s="51"/>
      <c r="Y449" s="51"/>
      <c r="Z449" s="52"/>
      <c r="AA449" s="52"/>
    </row>
    <row r="450" spans="1:27">
      <c r="A450" s="95">
        <v>43209</v>
      </c>
      <c r="B450" s="115" t="s">
        <v>429</v>
      </c>
      <c r="C450" s="26" t="s">
        <v>126</v>
      </c>
      <c r="D450" s="16">
        <v>29018.639999999999</v>
      </c>
      <c r="E450" s="16">
        <v>28921.45</v>
      </c>
      <c r="F450" s="16">
        <v>28982.04</v>
      </c>
      <c r="G450" s="16">
        <v>28923.32</v>
      </c>
      <c r="H450" s="16">
        <v>29116.04</v>
      </c>
      <c r="I450" s="16">
        <v>29076.49</v>
      </c>
      <c r="J450" s="16">
        <v>28925.37</v>
      </c>
      <c r="K450" s="16">
        <v>28929.21</v>
      </c>
      <c r="L450" s="16">
        <v>29184.46</v>
      </c>
      <c r="M450" s="27">
        <f>IF((L451=""),"",MAX(D452:L452))</f>
        <v>10816.379999999997</v>
      </c>
      <c r="N450" s="27">
        <f>IF(L451="","",MIN(D452:L452))</f>
        <v>9940.4699999999939</v>
      </c>
      <c r="O450" s="27">
        <f>IF((L452=""),"",AVERAGE(D452:L452))</f>
        <v>10507.396666666667</v>
      </c>
      <c r="P450" s="27">
        <f>IF((L451=""),"",STDEV(D452:L452))</f>
        <v>285.71342250585275</v>
      </c>
      <c r="Q450" s="168">
        <f>IF((L451=""),"",((M450-N450)/(M450+P450))*100)</f>
        <v>7.8895931304665794</v>
      </c>
      <c r="R450" s="28" t="str">
        <f>IF(L451="","",IF(Q450&lt;Z450,IF(N450&gt;V450,IF(M450&lt;W450,"Pass","Fail"),"Fail"),"Fail"))</f>
        <v>Pass</v>
      </c>
      <c r="S450" s="29">
        <v>1335</v>
      </c>
      <c r="T450" s="54"/>
      <c r="U450" s="40"/>
      <c r="V450" s="53">
        <v>9000</v>
      </c>
      <c r="W450" s="22">
        <v>15600</v>
      </c>
      <c r="X450" s="40">
        <v>8090</v>
      </c>
      <c r="Y450" s="40">
        <v>12070</v>
      </c>
      <c r="Z450" s="49">
        <v>15</v>
      </c>
      <c r="AA450" s="49">
        <v>6</v>
      </c>
    </row>
    <row r="451" spans="1:27" ht="15.75" customHeight="1">
      <c r="A451" s="94"/>
      <c r="B451" s="94"/>
      <c r="C451" s="30" t="s">
        <v>128</v>
      </c>
      <c r="D451" s="16">
        <v>25705.15</v>
      </c>
      <c r="E451" s="16">
        <v>25446.84</v>
      </c>
      <c r="F451" s="16">
        <v>25488.5</v>
      </c>
      <c r="G451" s="16">
        <v>25346.79</v>
      </c>
      <c r="H451" s="16">
        <v>25534.92</v>
      </c>
      <c r="I451" s="16">
        <v>25676.19</v>
      </c>
      <c r="J451" s="16">
        <v>25405.1</v>
      </c>
      <c r="K451" s="16">
        <v>25372.34</v>
      </c>
      <c r="L451" s="16">
        <v>25579</v>
      </c>
      <c r="M451" s="31"/>
      <c r="N451" s="31"/>
      <c r="O451" s="31"/>
      <c r="P451" s="31"/>
      <c r="Q451" s="31"/>
      <c r="R451" s="32"/>
      <c r="S451" s="33"/>
      <c r="T451" s="55"/>
      <c r="V451" s="47"/>
      <c r="W451" s="47"/>
      <c r="X451" s="48"/>
      <c r="Y451" s="48"/>
      <c r="Z451" s="49"/>
      <c r="AA451" s="49"/>
    </row>
    <row r="452" spans="1:27" ht="16.5" customHeight="1" thickBot="1">
      <c r="A452" s="94"/>
      <c r="B452" s="94"/>
      <c r="C452" s="34" t="s">
        <v>129</v>
      </c>
      <c r="D452" s="35">
        <f t="shared" ref="D452:L452" si="146">IF(((D450="")*AND(D451="")),"",(D450-D451)*3)</f>
        <v>9940.4699999999939</v>
      </c>
      <c r="E452" s="35">
        <f t="shared" si="146"/>
        <v>10423.830000000002</v>
      </c>
      <c r="F452" s="35">
        <f t="shared" si="146"/>
        <v>10480.620000000003</v>
      </c>
      <c r="G452" s="35">
        <f t="shared" si="146"/>
        <v>10729.589999999997</v>
      </c>
      <c r="H452" s="35">
        <f t="shared" si="146"/>
        <v>10743.360000000008</v>
      </c>
      <c r="I452" s="35">
        <f t="shared" si="146"/>
        <v>10200.900000000009</v>
      </c>
      <c r="J452" s="35">
        <f t="shared" si="146"/>
        <v>10560.810000000001</v>
      </c>
      <c r="K452" s="35">
        <f t="shared" si="146"/>
        <v>10670.609999999997</v>
      </c>
      <c r="L452" s="35">
        <f t="shared" si="146"/>
        <v>10816.379999999997</v>
      </c>
      <c r="M452" s="36"/>
      <c r="N452" s="36"/>
      <c r="O452" s="36"/>
      <c r="P452" s="36"/>
      <c r="Q452" s="36"/>
      <c r="R452" s="37"/>
      <c r="S452" s="38"/>
      <c r="T452" s="56"/>
      <c r="U452" s="51"/>
      <c r="V452" s="50"/>
      <c r="W452" s="50"/>
      <c r="X452" s="51"/>
      <c r="Y452" s="51"/>
      <c r="Z452" s="52"/>
      <c r="AA452" s="52"/>
    </row>
    <row r="453" spans="1:27">
      <c r="A453" s="95">
        <v>43214</v>
      </c>
      <c r="B453" s="115" t="s">
        <v>429</v>
      </c>
      <c r="C453" s="26" t="s">
        <v>126</v>
      </c>
      <c r="D453" s="16">
        <v>29061.48</v>
      </c>
      <c r="E453" s="16">
        <v>28888.73</v>
      </c>
      <c r="F453" s="16">
        <v>28872.94</v>
      </c>
      <c r="G453" s="16">
        <v>28900.81</v>
      </c>
      <c r="H453" s="16">
        <v>29127</v>
      </c>
      <c r="I453" s="16">
        <v>29057.15</v>
      </c>
      <c r="J453" s="16">
        <v>28884.400000000001</v>
      </c>
      <c r="K453" s="16">
        <v>28885.360000000001</v>
      </c>
      <c r="L453" s="16">
        <v>29109.38</v>
      </c>
      <c r="M453" s="27">
        <f>IF((L454=""),"",MAX(D455:L455))</f>
        <v>10392.839999999997</v>
      </c>
      <c r="N453" s="27">
        <f>IF(L454="","",MIN(D455:L455))</f>
        <v>9407.820000000007</v>
      </c>
      <c r="O453" s="27">
        <f>IF((L455=""),"",AVERAGE(D455:L455))</f>
        <v>10084.436666666668</v>
      </c>
      <c r="P453" s="27">
        <f>IF((L454=""),"",STDEV(D455:L455))</f>
        <v>304.15075801318267</v>
      </c>
      <c r="Q453" s="168">
        <f>IF((L454=""),"",((M453-N453)/(M453+P453))*100)</f>
        <v>9.2083841360908476</v>
      </c>
      <c r="R453" s="28" t="str">
        <f>IF(L454="","",IF(Q453&lt;Z453,IF(N453&gt;V453,IF(M453&lt;W453,"Pass","Fail"),"Fail"),"Fail"))</f>
        <v>Pass</v>
      </c>
      <c r="S453" s="29">
        <v>121</v>
      </c>
      <c r="T453" s="54"/>
      <c r="U453" s="40"/>
      <c r="V453" s="53">
        <v>9000</v>
      </c>
      <c r="W453" s="22">
        <v>15600</v>
      </c>
      <c r="X453" s="40">
        <v>8090</v>
      </c>
      <c r="Y453" s="40">
        <v>12070</v>
      </c>
      <c r="Z453" s="49">
        <v>15</v>
      </c>
      <c r="AA453" s="49">
        <v>6</v>
      </c>
    </row>
    <row r="454" spans="1:27" ht="15.75" customHeight="1">
      <c r="A454" s="94"/>
      <c r="B454" s="94"/>
      <c r="C454" s="30" t="s">
        <v>128</v>
      </c>
      <c r="D454" s="16">
        <v>25597.200000000001</v>
      </c>
      <c r="E454" s="16">
        <v>25466.13</v>
      </c>
      <c r="F454" s="16">
        <v>25521.63</v>
      </c>
      <c r="G454" s="16">
        <v>25520.66</v>
      </c>
      <c r="H454" s="16">
        <v>25825.87</v>
      </c>
      <c r="I454" s="16">
        <v>25921.21</v>
      </c>
      <c r="J454" s="16">
        <v>25560.67</v>
      </c>
      <c r="K454" s="16">
        <v>25441</v>
      </c>
      <c r="L454" s="16">
        <v>25679.57</v>
      </c>
      <c r="M454" s="31"/>
      <c r="N454" s="31"/>
      <c r="O454" s="31"/>
      <c r="P454" s="31"/>
      <c r="Q454" s="31"/>
      <c r="R454" s="32"/>
      <c r="S454" s="33"/>
      <c r="T454" s="55"/>
      <c r="V454" s="47"/>
      <c r="W454" s="47"/>
      <c r="X454" s="48"/>
      <c r="Y454" s="48"/>
      <c r="Z454" s="49"/>
      <c r="AA454" s="49"/>
    </row>
    <row r="455" spans="1:27" ht="16.5" customHeight="1" thickBot="1">
      <c r="A455" s="94"/>
      <c r="B455" s="94"/>
      <c r="C455" s="34" t="s">
        <v>129</v>
      </c>
      <c r="D455" s="35">
        <f t="shared" ref="D455:L455" si="147">IF(((D453="")*AND(D454="")),"",(D453-D454)*3)</f>
        <v>10392.839999999997</v>
      </c>
      <c r="E455" s="35">
        <f t="shared" si="147"/>
        <v>10267.799999999996</v>
      </c>
      <c r="F455" s="35">
        <f t="shared" si="147"/>
        <v>10053.929999999993</v>
      </c>
      <c r="G455" s="35">
        <f t="shared" si="147"/>
        <v>10140.450000000004</v>
      </c>
      <c r="H455" s="35">
        <f t="shared" si="147"/>
        <v>9903.3900000000031</v>
      </c>
      <c r="I455" s="35">
        <f t="shared" si="147"/>
        <v>9407.820000000007</v>
      </c>
      <c r="J455" s="35">
        <f t="shared" si="147"/>
        <v>9971.1900000000096</v>
      </c>
      <c r="K455" s="35">
        <f t="shared" si="147"/>
        <v>10333.080000000002</v>
      </c>
      <c r="L455" s="35">
        <f t="shared" si="147"/>
        <v>10289.430000000004</v>
      </c>
      <c r="M455" s="36"/>
      <c r="N455" s="36"/>
      <c r="O455" s="36"/>
      <c r="P455" s="36"/>
      <c r="Q455" s="36"/>
      <c r="R455" s="37"/>
      <c r="S455" s="38"/>
      <c r="T455" s="56"/>
      <c r="U455" s="51"/>
      <c r="V455" s="50"/>
      <c r="W455" s="50"/>
      <c r="X455" s="51"/>
      <c r="Y455" s="51"/>
      <c r="Z455" s="52"/>
      <c r="AA455" s="52"/>
    </row>
    <row r="456" spans="1:27">
      <c r="A456" s="95">
        <v>43217</v>
      </c>
      <c r="B456" s="115" t="s">
        <v>429</v>
      </c>
      <c r="C456" s="26" t="s">
        <v>126</v>
      </c>
      <c r="D456" s="16">
        <v>29202.57</v>
      </c>
      <c r="E456" s="16">
        <v>29057.37</v>
      </c>
      <c r="F456" s="16">
        <v>29112.81</v>
      </c>
      <c r="G456" s="16">
        <v>29052.35</v>
      </c>
      <c r="H456" s="16">
        <v>29273.93</v>
      </c>
      <c r="I456" s="16">
        <v>29177.46</v>
      </c>
      <c r="J456" s="16">
        <v>29036.23</v>
      </c>
      <c r="K456" s="16">
        <v>29058.18</v>
      </c>
      <c r="L456" s="16">
        <v>29321.06</v>
      </c>
      <c r="M456" s="27">
        <f>IF((L457=""),"",MAX(D458:L458))</f>
        <v>7227.4199999999983</v>
      </c>
      <c r="N456" s="27">
        <f>IF(L457="","",MIN(D458:L458))</f>
        <v>6357.6899999999987</v>
      </c>
      <c r="O456" s="27">
        <f>IF((L458=""),"",AVERAGE(D458:L458))</f>
        <v>6959.9733333333324</v>
      </c>
      <c r="P456" s="27">
        <f>IF((L457=""),"",STDEV(D458:L458))</f>
        <v>273.22314236719239</v>
      </c>
      <c r="Q456" s="168">
        <f>IF((L457=""),"",((M456-N456)/(M456+P456))*100)</f>
        <v>11.595405667113422</v>
      </c>
      <c r="R456" s="28" t="str">
        <f>IF(L457="","",IF(Q456&lt;Z456,IF(N456&gt;V456,IF(M456&lt;W456,"Pass","Fail"),"Fail"),"Fail"))</f>
        <v>Fail</v>
      </c>
      <c r="S456" s="29" t="s">
        <v>212</v>
      </c>
      <c r="U456" s="54" t="s">
        <v>213</v>
      </c>
      <c r="V456" s="53">
        <v>9000</v>
      </c>
      <c r="W456" s="22">
        <v>15600</v>
      </c>
      <c r="X456" s="40">
        <v>8090</v>
      </c>
      <c r="Y456" s="40">
        <v>12070</v>
      </c>
      <c r="Z456" s="49">
        <v>15</v>
      </c>
      <c r="AA456" s="49">
        <v>6</v>
      </c>
    </row>
    <row r="457" spans="1:27" ht="15.75" customHeight="1">
      <c r="A457" s="94"/>
      <c r="B457" s="94"/>
      <c r="C457" s="30" t="s">
        <v>128</v>
      </c>
      <c r="D457" s="16">
        <v>26909.88</v>
      </c>
      <c r="E457" s="16">
        <v>26745.25</v>
      </c>
      <c r="F457" s="16">
        <v>26805.97</v>
      </c>
      <c r="G457" s="16">
        <v>26643.21</v>
      </c>
      <c r="H457" s="16">
        <v>26866.27</v>
      </c>
      <c r="I457" s="16">
        <v>27058.23</v>
      </c>
      <c r="J457" s="16">
        <v>26758.95</v>
      </c>
      <c r="K457" s="16">
        <v>26658.3</v>
      </c>
      <c r="L457" s="16">
        <v>26965.98</v>
      </c>
      <c r="M457" s="31"/>
      <c r="N457" s="31"/>
      <c r="O457" s="31"/>
      <c r="P457" s="31"/>
      <c r="Q457" s="31"/>
      <c r="R457" s="32"/>
      <c r="S457" s="33"/>
      <c r="U457" s="55"/>
      <c r="V457" s="47"/>
      <c r="W457" s="47"/>
      <c r="X457" s="48"/>
      <c r="Y457" s="48"/>
      <c r="Z457" s="49"/>
      <c r="AA457" s="49"/>
    </row>
    <row r="458" spans="1:27" ht="16.5" customHeight="1" thickBot="1">
      <c r="A458" s="94"/>
      <c r="B458" s="94"/>
      <c r="C458" s="34" t="s">
        <v>129</v>
      </c>
      <c r="D458" s="35">
        <f t="shared" ref="D458:L458" si="148">IF(((D456="")*AND(D457="")),"",(D456-D457)*3)</f>
        <v>6878.0699999999961</v>
      </c>
      <c r="E458" s="35">
        <f t="shared" si="148"/>
        <v>6936.3599999999969</v>
      </c>
      <c r="F458" s="35">
        <f t="shared" si="148"/>
        <v>6920.52</v>
      </c>
      <c r="G458" s="35">
        <f t="shared" si="148"/>
        <v>7227.4199999999983</v>
      </c>
      <c r="H458" s="35">
        <f t="shared" si="148"/>
        <v>7222.98</v>
      </c>
      <c r="I458" s="35">
        <f t="shared" si="148"/>
        <v>6357.6899999999987</v>
      </c>
      <c r="J458" s="35">
        <f t="shared" si="148"/>
        <v>6831.8399999999965</v>
      </c>
      <c r="K458" s="35">
        <f t="shared" si="148"/>
        <v>7199.6400000000031</v>
      </c>
      <c r="L458" s="35">
        <f t="shared" si="148"/>
        <v>7065.2400000000052</v>
      </c>
      <c r="M458" s="36"/>
      <c r="N458" s="36"/>
      <c r="O458" s="36"/>
      <c r="P458" s="36"/>
      <c r="Q458" s="36"/>
      <c r="R458" s="37"/>
      <c r="S458" s="38"/>
      <c r="U458" s="56"/>
      <c r="V458" s="50"/>
      <c r="W458" s="50"/>
      <c r="X458" s="51"/>
      <c r="Y458" s="51"/>
      <c r="Z458" s="52"/>
      <c r="AA458" s="52"/>
    </row>
    <row r="459" spans="1:27">
      <c r="A459" s="95">
        <v>43217</v>
      </c>
      <c r="B459" s="115" t="s">
        <v>429</v>
      </c>
      <c r="C459" s="26" t="s">
        <v>126</v>
      </c>
      <c r="D459" s="16">
        <v>29156.43</v>
      </c>
      <c r="E459" s="16">
        <v>28973.74</v>
      </c>
      <c r="F459" s="16">
        <v>28974.080000000002</v>
      </c>
      <c r="G459" s="16">
        <v>28983.09</v>
      </c>
      <c r="H459" s="16">
        <v>29187.53</v>
      </c>
      <c r="I459" s="16">
        <v>29144.28</v>
      </c>
      <c r="J459" s="16">
        <v>28962.86</v>
      </c>
      <c r="K459" s="16">
        <v>28990.42</v>
      </c>
      <c r="L459" s="16">
        <v>29227.71</v>
      </c>
      <c r="M459" s="27">
        <f>IF((L460=""),"",MAX(D461:L461))</f>
        <v>9463.5</v>
      </c>
      <c r="N459" s="27">
        <f>IF(L460="","",MIN(D461:L461))</f>
        <v>8052.9899999999943</v>
      </c>
      <c r="O459" s="27">
        <f>IF((L461=""),"",AVERAGE(D461:L461))</f>
        <v>9017.5166666666701</v>
      </c>
      <c r="P459" s="27">
        <f>IF((L460=""),"",STDEV(D461:L461))</f>
        <v>425.54861061923356</v>
      </c>
      <c r="Q459" s="168">
        <f>IF((L460=""),"",((M459-N459)/(M459+P459))*100)</f>
        <v>14.263353893167711</v>
      </c>
      <c r="R459" s="28" t="str">
        <f>IF(L460="","",IF(Q459&lt;Z459,IF(N459&gt;V459,IF(M459&lt;W459,"Pass","Fail"),"Fail"),"Fail"))</f>
        <v>Fail</v>
      </c>
      <c r="S459" s="29" t="s">
        <v>212</v>
      </c>
      <c r="U459" s="54" t="s">
        <v>214</v>
      </c>
      <c r="V459" s="53">
        <v>9000</v>
      </c>
      <c r="W459" s="22">
        <v>15600</v>
      </c>
      <c r="X459" s="40">
        <v>8090</v>
      </c>
      <c r="Y459" s="40">
        <v>12070</v>
      </c>
      <c r="Z459" s="49">
        <v>15</v>
      </c>
      <c r="AA459" s="49">
        <v>6</v>
      </c>
    </row>
    <row r="460" spans="1:27" ht="15.75" customHeight="1">
      <c r="A460" s="94"/>
      <c r="B460" s="94"/>
      <c r="C460" s="30" t="s">
        <v>128</v>
      </c>
      <c r="D460" s="16">
        <v>26093.1</v>
      </c>
      <c r="E460" s="16">
        <v>25916.91</v>
      </c>
      <c r="F460" s="16">
        <v>25969.82</v>
      </c>
      <c r="G460" s="16">
        <v>25925.200000000001</v>
      </c>
      <c r="H460" s="16">
        <v>26216.97</v>
      </c>
      <c r="I460" s="16">
        <v>26459.95</v>
      </c>
      <c r="J460" s="16">
        <v>26042.959999999999</v>
      </c>
      <c r="K460" s="16">
        <v>25835.919999999998</v>
      </c>
      <c r="L460" s="16">
        <v>26086.76</v>
      </c>
      <c r="M460" s="31"/>
      <c r="N460" s="31"/>
      <c r="O460" s="31"/>
      <c r="P460" s="31"/>
      <c r="Q460" s="31"/>
      <c r="R460" s="32"/>
      <c r="S460" s="33"/>
      <c r="U460" s="55"/>
      <c r="V460" s="47"/>
      <c r="W460" s="47"/>
      <c r="X460" s="48"/>
      <c r="Y460" s="48"/>
      <c r="Z460" s="49"/>
      <c r="AA460" s="49"/>
    </row>
    <row r="461" spans="1:27" ht="16.5" customHeight="1" thickBot="1">
      <c r="A461" s="94"/>
      <c r="B461" s="94"/>
      <c r="C461" s="34" t="s">
        <v>129</v>
      </c>
      <c r="D461" s="35">
        <f t="shared" ref="D461:L461" si="149">IF(((D459="")*AND(D460="")),"",(D459-D460)*3)</f>
        <v>9189.9900000000052</v>
      </c>
      <c r="E461" s="35">
        <f t="shared" si="149"/>
        <v>9170.4900000000052</v>
      </c>
      <c r="F461" s="35">
        <f t="shared" si="149"/>
        <v>9012.7800000000061</v>
      </c>
      <c r="G461" s="35">
        <f t="shared" si="149"/>
        <v>9173.6699999999983</v>
      </c>
      <c r="H461" s="35">
        <f t="shared" si="149"/>
        <v>8911.679999999993</v>
      </c>
      <c r="I461" s="35">
        <f t="shared" si="149"/>
        <v>8052.9899999999943</v>
      </c>
      <c r="J461" s="35">
        <f t="shared" si="149"/>
        <v>8759.7000000000044</v>
      </c>
      <c r="K461" s="35">
        <f t="shared" si="149"/>
        <v>9463.5</v>
      </c>
      <c r="L461" s="35">
        <f t="shared" si="149"/>
        <v>9422.8500000000022</v>
      </c>
      <c r="M461" s="36"/>
      <c r="N461" s="36"/>
      <c r="O461" s="36"/>
      <c r="P461" s="36"/>
      <c r="Q461" s="36"/>
      <c r="R461" s="37"/>
      <c r="S461" s="38"/>
      <c r="U461" s="56"/>
      <c r="V461" s="50"/>
      <c r="W461" s="50"/>
      <c r="X461" s="51"/>
      <c r="Y461" s="51"/>
      <c r="Z461" s="52"/>
      <c r="AA461" s="52"/>
    </row>
    <row r="462" spans="1:27">
      <c r="A462" s="95">
        <v>43217</v>
      </c>
      <c r="B462" s="115" t="s">
        <v>429</v>
      </c>
      <c r="C462" s="26" t="s">
        <v>126</v>
      </c>
      <c r="D462" s="16">
        <v>29185.99</v>
      </c>
      <c r="E462" s="16">
        <v>29039.79</v>
      </c>
      <c r="F462" s="16">
        <v>29095.7</v>
      </c>
      <c r="G462" s="16">
        <v>29032.02</v>
      </c>
      <c r="H462" s="16">
        <v>29240.57</v>
      </c>
      <c r="I462" s="16">
        <v>29165.53</v>
      </c>
      <c r="J462" s="16">
        <v>29035.08</v>
      </c>
      <c r="K462" s="16">
        <v>29026.06</v>
      </c>
      <c r="L462" s="16">
        <v>29283.41</v>
      </c>
      <c r="M462" s="27">
        <f>IF((L463=""),"",MAX(D464:L464))</f>
        <v>10310.939999999999</v>
      </c>
      <c r="N462" s="27">
        <f>IF(L463="","",MIN(D464:L464))</f>
        <v>9164.7599999999948</v>
      </c>
      <c r="O462" s="27">
        <f>IF((L464=""),"",AVERAGE(D464:L464))</f>
        <v>9955.383333333335</v>
      </c>
      <c r="P462" s="27">
        <f>IF((L463=""),"",STDEV(D464:L464))</f>
        <v>380.75472639873607</v>
      </c>
      <c r="Q462" s="168">
        <f>IF((L463=""),"",((M462-N462)/(M462+P462))*100)</f>
        <v>10.720283634454926</v>
      </c>
      <c r="R462" s="28" t="str">
        <f>IF(L463="","",IF(Q462&lt;Z462,IF(N462&gt;V462,IF(M462&lt;W462,"Pass","Fail"),"Fail"),"Fail"))</f>
        <v>Pass</v>
      </c>
      <c r="S462" s="29" t="s">
        <v>212</v>
      </c>
      <c r="U462" s="54" t="s">
        <v>215</v>
      </c>
      <c r="V462" s="53">
        <v>9000</v>
      </c>
      <c r="W462" s="22">
        <v>15600</v>
      </c>
      <c r="X462" s="40">
        <v>8090</v>
      </c>
      <c r="Y462" s="40">
        <v>12070</v>
      </c>
      <c r="Z462" s="49">
        <v>15</v>
      </c>
      <c r="AA462" s="49">
        <v>6</v>
      </c>
    </row>
    <row r="463" spans="1:27" ht="15.75" customHeight="1">
      <c r="A463" s="94"/>
      <c r="B463" s="94"/>
      <c r="C463" s="30" t="s">
        <v>128</v>
      </c>
      <c r="D463" s="16">
        <v>25775.52</v>
      </c>
      <c r="E463" s="16">
        <v>25624.52</v>
      </c>
      <c r="F463" s="16">
        <v>25741.4</v>
      </c>
      <c r="G463" s="16">
        <v>25697.63</v>
      </c>
      <c r="H463" s="16">
        <v>26063.25</v>
      </c>
      <c r="I463" s="16">
        <v>26110.61</v>
      </c>
      <c r="J463" s="16">
        <v>25743.98</v>
      </c>
      <c r="K463" s="16">
        <v>25589.08</v>
      </c>
      <c r="L463" s="16">
        <v>25892.01</v>
      </c>
      <c r="M463" s="31"/>
      <c r="N463" s="31"/>
      <c r="O463" s="31"/>
      <c r="P463" s="31"/>
      <c r="Q463" s="31"/>
      <c r="R463" s="32"/>
      <c r="S463" s="33"/>
      <c r="T463" s="55"/>
      <c r="V463" s="47"/>
      <c r="W463" s="47"/>
      <c r="X463" s="48"/>
      <c r="Y463" s="48"/>
      <c r="Z463" s="49"/>
      <c r="AA463" s="49"/>
    </row>
    <row r="464" spans="1:27" ht="16.5" customHeight="1" thickBot="1">
      <c r="A464" s="94"/>
      <c r="B464" s="94"/>
      <c r="C464" s="34" t="s">
        <v>129</v>
      </c>
      <c r="D464" s="35">
        <f t="shared" ref="D464:L464" si="150">IF(((D462="")*AND(D463="")),"",(D462-D463)*3)</f>
        <v>10231.410000000003</v>
      </c>
      <c r="E464" s="35">
        <f t="shared" si="150"/>
        <v>10245.810000000001</v>
      </c>
      <c r="F464" s="35">
        <f t="shared" si="150"/>
        <v>10062.899999999998</v>
      </c>
      <c r="G464" s="35">
        <f t="shared" si="150"/>
        <v>10003.169999999998</v>
      </c>
      <c r="H464" s="35">
        <f t="shared" si="150"/>
        <v>9531.9599999999991</v>
      </c>
      <c r="I464" s="35">
        <f t="shared" si="150"/>
        <v>9164.7599999999948</v>
      </c>
      <c r="J464" s="35">
        <f t="shared" si="150"/>
        <v>9873.3000000000065</v>
      </c>
      <c r="K464" s="35">
        <f t="shared" si="150"/>
        <v>10310.939999999999</v>
      </c>
      <c r="L464" s="35">
        <f t="shared" si="150"/>
        <v>10174.200000000004</v>
      </c>
      <c r="M464" s="36"/>
      <c r="N464" s="36"/>
      <c r="O464" s="36"/>
      <c r="P464" s="36"/>
      <c r="Q464" s="36"/>
      <c r="R464" s="37"/>
      <c r="S464" s="38"/>
      <c r="T464" s="56"/>
      <c r="U464" s="51"/>
      <c r="V464" s="50"/>
      <c r="W464" s="50"/>
      <c r="X464" s="51"/>
      <c r="Y464" s="51"/>
      <c r="Z464" s="52"/>
      <c r="AA464" s="52"/>
    </row>
    <row r="465" spans="1:27">
      <c r="A465" s="95">
        <v>43217</v>
      </c>
      <c r="B465" s="115" t="s">
        <v>429</v>
      </c>
      <c r="C465" s="26" t="s">
        <v>126</v>
      </c>
      <c r="D465" s="16">
        <v>29398.37</v>
      </c>
      <c r="E465" s="16">
        <v>29196.11</v>
      </c>
      <c r="F465" s="16">
        <v>29187.48</v>
      </c>
      <c r="G465" s="16">
        <v>29201.78</v>
      </c>
      <c r="H465" s="16">
        <v>29414.720000000001</v>
      </c>
      <c r="I465" s="16">
        <v>29376.91</v>
      </c>
      <c r="J465" s="16">
        <v>29194.38</v>
      </c>
      <c r="K465" s="16">
        <v>29188.44</v>
      </c>
      <c r="L465" s="16">
        <v>29430.76</v>
      </c>
      <c r="M465" s="27">
        <f>IF((L466=""),"",MAX(D467:L467))</f>
        <v>8679.8999999999978</v>
      </c>
      <c r="N465" s="27">
        <f>IF(L466="","",MIN(D467:L467))</f>
        <v>7845.4499999999935</v>
      </c>
      <c r="O465" s="27">
        <f>IF((L467=""),"",AVERAGE(D467:L467))</f>
        <v>8383.6699999999983</v>
      </c>
      <c r="P465" s="27">
        <f>IF((L466=""),"",STDEV(D467:L467))</f>
        <v>243.05649111889247</v>
      </c>
      <c r="Q465" s="168">
        <f>IF((L466=""),"",((M465-N465)/(M465+P465))*100)</f>
        <v>9.3517210448189569</v>
      </c>
      <c r="R465" s="28" t="str">
        <f>IF(L466="","",IF(Q465&lt;Z465,IF(N465&gt;V465,IF(M465&lt;W465,"Pass","Fail"),"Fail"),"Fail"))</f>
        <v>Fail</v>
      </c>
      <c r="S465" s="29">
        <v>1159</v>
      </c>
      <c r="U465" s="54" t="s">
        <v>216</v>
      </c>
      <c r="V465" s="53">
        <v>9000</v>
      </c>
      <c r="W465" s="22">
        <v>15600</v>
      </c>
      <c r="X465" s="40">
        <v>8090</v>
      </c>
      <c r="Y465" s="40">
        <v>12070</v>
      </c>
      <c r="Z465" s="49">
        <v>15</v>
      </c>
      <c r="AA465" s="49">
        <v>6</v>
      </c>
    </row>
    <row r="466" spans="1:27" ht="15.75" customHeight="1">
      <c r="A466" s="94"/>
      <c r="B466" s="94"/>
      <c r="C466" s="30" t="s">
        <v>128</v>
      </c>
      <c r="D466" s="16">
        <v>26783.22</v>
      </c>
      <c r="E466" s="16">
        <v>26410.29</v>
      </c>
      <c r="F466" s="16">
        <v>26414.53</v>
      </c>
      <c r="G466" s="16">
        <v>26341.18</v>
      </c>
      <c r="H466" s="16">
        <v>26638.78</v>
      </c>
      <c r="I466" s="16">
        <v>26612.43</v>
      </c>
      <c r="J466" s="16">
        <v>26357.09</v>
      </c>
      <c r="K466" s="16">
        <v>26342.959999999999</v>
      </c>
      <c r="L466" s="16">
        <v>26537.46</v>
      </c>
      <c r="M466" s="31"/>
      <c r="N466" s="31"/>
      <c r="O466" s="31"/>
      <c r="P466" s="31"/>
      <c r="Q466" s="31"/>
      <c r="R466" s="32"/>
      <c r="S466" s="33"/>
      <c r="T466" s="55"/>
      <c r="V466" s="47"/>
      <c r="W466" s="47"/>
      <c r="X466" s="48"/>
      <c r="Y466" s="48"/>
      <c r="Z466" s="49"/>
      <c r="AA466" s="49"/>
    </row>
    <row r="467" spans="1:27" ht="16.5" customHeight="1" thickBot="1">
      <c r="A467" s="94"/>
      <c r="B467" s="94"/>
      <c r="C467" s="34" t="s">
        <v>129</v>
      </c>
      <c r="D467" s="35">
        <f t="shared" ref="D467:L467" si="151">IF(((D465="")*AND(D466="")),"",(D465-D466)*3)</f>
        <v>7845.4499999999935</v>
      </c>
      <c r="E467" s="35">
        <f t="shared" si="151"/>
        <v>8357.4599999999991</v>
      </c>
      <c r="F467" s="35">
        <f t="shared" si="151"/>
        <v>8318.8500000000022</v>
      </c>
      <c r="G467" s="35">
        <f t="shared" si="151"/>
        <v>8581.7999999999956</v>
      </c>
      <c r="H467" s="35">
        <f t="shared" si="151"/>
        <v>8327.820000000007</v>
      </c>
      <c r="I467" s="35">
        <f t="shared" si="151"/>
        <v>8293.4399999999987</v>
      </c>
      <c r="J467" s="35">
        <f t="shared" si="151"/>
        <v>8511.8700000000026</v>
      </c>
      <c r="K467" s="35">
        <f t="shared" si="151"/>
        <v>8536.4399999999987</v>
      </c>
      <c r="L467" s="35">
        <f t="shared" si="151"/>
        <v>8679.8999999999978</v>
      </c>
      <c r="M467" s="36"/>
      <c r="N467" s="36"/>
      <c r="O467" s="36"/>
      <c r="P467" s="36"/>
      <c r="Q467" s="36"/>
      <c r="R467" s="37"/>
      <c r="S467" s="38"/>
      <c r="T467" s="56"/>
      <c r="U467" s="51"/>
      <c r="V467" s="50"/>
      <c r="W467" s="50"/>
      <c r="X467" s="51"/>
      <c r="Y467" s="51"/>
      <c r="Z467" s="52"/>
      <c r="AA467" s="52"/>
    </row>
    <row r="468" spans="1:27">
      <c r="A468" s="95">
        <v>43217</v>
      </c>
      <c r="B468" s="115" t="s">
        <v>429</v>
      </c>
      <c r="C468" s="26" t="s">
        <v>126</v>
      </c>
      <c r="D468" s="16">
        <v>29394.9</v>
      </c>
      <c r="E468" s="16">
        <v>29211.21</v>
      </c>
      <c r="F468" s="16">
        <v>29279.119999999999</v>
      </c>
      <c r="G468" s="16">
        <v>29226.639999999999</v>
      </c>
      <c r="H468" s="16">
        <v>29421.09</v>
      </c>
      <c r="I468" s="16">
        <v>29367.13</v>
      </c>
      <c r="J468" s="16">
        <v>29195.919999999998</v>
      </c>
      <c r="K468" s="16">
        <v>29220.21</v>
      </c>
      <c r="L468" s="16">
        <v>29429.919999999998</v>
      </c>
      <c r="M468" s="27">
        <f>IF((L469=""),"",MAX(D470:L470))</f>
        <v>13234.5</v>
      </c>
      <c r="N468" s="27">
        <f>IF(L469="","",MIN(D470:L470))</f>
        <v>11888.760000000006</v>
      </c>
      <c r="O468" s="27">
        <f>IF((L470=""),"",AVERAGE(D470:L470))</f>
        <v>12729.463333333335</v>
      </c>
      <c r="P468" s="27">
        <f>IF((L469=""),"",STDEV(D470:L470))</f>
        <v>480.21071385381765</v>
      </c>
      <c r="Q468" s="168">
        <f>IF((L469=""),"",((M468-N468)/(M468+P468))*100)</f>
        <v>9.8123834186353243</v>
      </c>
      <c r="R468" s="28" t="str">
        <f>IF(L469="","",IF(Q468&lt;Z468,IF(N468&gt;V468,IF(M468&lt;W468,"Pass","Fail"),"Fail"),"Fail"))</f>
        <v>Pass</v>
      </c>
      <c r="S468" s="29">
        <v>1159</v>
      </c>
      <c r="U468" s="54" t="s">
        <v>217</v>
      </c>
      <c r="V468" s="53">
        <v>9000</v>
      </c>
      <c r="W468" s="22">
        <v>15600</v>
      </c>
      <c r="X468" s="40">
        <v>8090</v>
      </c>
      <c r="Y468" s="40">
        <v>12070</v>
      </c>
      <c r="Z468" s="49">
        <v>15</v>
      </c>
      <c r="AA468" s="49">
        <v>6</v>
      </c>
    </row>
    <row r="469" spans="1:27" ht="15.75" customHeight="1">
      <c r="A469" s="94"/>
      <c r="B469" s="94"/>
      <c r="C469" s="30" t="s">
        <v>128</v>
      </c>
      <c r="D469" s="16">
        <v>25399.94</v>
      </c>
      <c r="E469" s="16">
        <v>24954.46</v>
      </c>
      <c r="F469" s="16">
        <v>24949.09</v>
      </c>
      <c r="G469" s="16">
        <v>24815.14</v>
      </c>
      <c r="H469" s="16">
        <v>25161.5</v>
      </c>
      <c r="I469" s="16">
        <v>25404.21</v>
      </c>
      <c r="J469" s="16">
        <v>24940.75</v>
      </c>
      <c r="K469" s="16">
        <v>24832.81</v>
      </c>
      <c r="L469" s="16">
        <v>25099.85</v>
      </c>
      <c r="M469" s="31"/>
      <c r="N469" s="31"/>
      <c r="O469" s="31"/>
      <c r="P469" s="31"/>
      <c r="Q469" s="31"/>
      <c r="R469" s="32"/>
      <c r="S469" s="33"/>
      <c r="T469" s="55"/>
      <c r="V469" s="47"/>
      <c r="W469" s="47"/>
      <c r="X469" s="48"/>
      <c r="Y469" s="48"/>
      <c r="Z469" s="49"/>
      <c r="AA469" s="49"/>
    </row>
    <row r="470" spans="1:27" ht="16.5" customHeight="1" thickBot="1">
      <c r="A470" s="94"/>
      <c r="B470" s="94"/>
      <c r="C470" s="34" t="s">
        <v>129</v>
      </c>
      <c r="D470" s="35">
        <f t="shared" ref="D470:L470" si="152">IF(((D468="")*AND(D469="")),"",(D468-D469)*3)</f>
        <v>11984.880000000008</v>
      </c>
      <c r="E470" s="35">
        <f t="shared" si="152"/>
        <v>12770.25</v>
      </c>
      <c r="F470" s="35">
        <f t="shared" si="152"/>
        <v>12990.089999999997</v>
      </c>
      <c r="G470" s="35">
        <f t="shared" si="152"/>
        <v>13234.5</v>
      </c>
      <c r="H470" s="35">
        <f t="shared" si="152"/>
        <v>12778.77</v>
      </c>
      <c r="I470" s="35">
        <f t="shared" si="152"/>
        <v>11888.760000000006</v>
      </c>
      <c r="J470" s="35">
        <f t="shared" si="152"/>
        <v>12765.509999999995</v>
      </c>
      <c r="K470" s="35">
        <f t="shared" si="152"/>
        <v>13162.199999999993</v>
      </c>
      <c r="L470" s="35">
        <f t="shared" si="152"/>
        <v>12990.21</v>
      </c>
      <c r="M470" s="36"/>
      <c r="N470" s="36"/>
      <c r="O470" s="36"/>
      <c r="P470" s="36"/>
      <c r="Q470" s="36"/>
      <c r="R470" s="37"/>
      <c r="S470" s="38"/>
      <c r="T470" s="56"/>
      <c r="U470" s="51"/>
      <c r="V470" s="50"/>
      <c r="W470" s="50"/>
      <c r="X470" s="51"/>
      <c r="Y470" s="51"/>
      <c r="Z470" s="52"/>
      <c r="AA470" s="52"/>
    </row>
    <row r="471" spans="1:27">
      <c r="A471" s="95">
        <v>43219</v>
      </c>
      <c r="B471" s="115" t="s">
        <v>429</v>
      </c>
      <c r="C471" s="26" t="s">
        <v>126</v>
      </c>
      <c r="D471" s="16">
        <v>29160.94</v>
      </c>
      <c r="E471" s="16">
        <v>29021.85</v>
      </c>
      <c r="F471" s="16">
        <v>29083.14</v>
      </c>
      <c r="G471" s="16">
        <v>29031.05</v>
      </c>
      <c r="H471" s="16">
        <v>29264.21</v>
      </c>
      <c r="I471" s="16">
        <v>29145.48</v>
      </c>
      <c r="J471" s="16">
        <v>29014.44</v>
      </c>
      <c r="K471" s="16">
        <v>29041.43</v>
      </c>
      <c r="L471" s="16">
        <v>29307.38</v>
      </c>
      <c r="M471" s="27">
        <f>IF((L472=""),"",MAX(D473:L473))</f>
        <v>9580.4100000000035</v>
      </c>
      <c r="N471" s="27">
        <f>IF(L472="","",MIN(D473:L473))</f>
        <v>8349.48</v>
      </c>
      <c r="O471" s="27">
        <f>IF((L473=""),"",AVERAGE(D473:L473))</f>
        <v>9151.6533333333282</v>
      </c>
      <c r="P471" s="27">
        <f>IF((L472=""),"",STDEV(D473:L473))</f>
        <v>371.25196255378296</v>
      </c>
      <c r="Q471" s="168">
        <f>IF((L472=""),"",((M471-N471)/(M471+P471))*100)</f>
        <v>12.369089752362568</v>
      </c>
      <c r="R471" s="28" t="str">
        <f>IF(L472="","",IF(Q471&lt;Z471,IF(N471&gt;V471,IF(M471&lt;W471,"Pass","Fail"),"Fail"),"Fail"))</f>
        <v>Fail</v>
      </c>
      <c r="S471" s="29">
        <v>121</v>
      </c>
      <c r="U471" s="54" t="s">
        <v>218</v>
      </c>
      <c r="V471" s="53">
        <v>9000</v>
      </c>
      <c r="W471" s="22">
        <v>15600</v>
      </c>
      <c r="X471" s="40">
        <v>8090</v>
      </c>
      <c r="Y471" s="40">
        <v>12070</v>
      </c>
      <c r="Z471" s="49">
        <v>15</v>
      </c>
      <c r="AA471" s="49">
        <v>6</v>
      </c>
    </row>
    <row r="472" spans="1:27" ht="15.75" customHeight="1">
      <c r="A472" s="94"/>
      <c r="B472" s="94"/>
      <c r="C472" s="30" t="s">
        <v>128</v>
      </c>
      <c r="D472" s="16">
        <v>26377.78</v>
      </c>
      <c r="E472" s="16">
        <v>26016.31</v>
      </c>
      <c r="F472" s="16">
        <v>26027.32</v>
      </c>
      <c r="G472" s="16">
        <v>25879.9</v>
      </c>
      <c r="H472" s="16">
        <v>26164.52</v>
      </c>
      <c r="I472" s="16">
        <v>26182.65</v>
      </c>
      <c r="J472" s="16">
        <v>25952.06</v>
      </c>
      <c r="K472" s="16">
        <v>25900.51</v>
      </c>
      <c r="L472" s="16">
        <v>26113.91</v>
      </c>
      <c r="M472" s="31"/>
      <c r="N472" s="31"/>
      <c r="O472" s="31"/>
      <c r="P472" s="31"/>
      <c r="Q472" s="31"/>
      <c r="R472" s="32"/>
      <c r="S472" s="33"/>
      <c r="T472" s="55"/>
      <c r="V472" s="47"/>
      <c r="W472" s="47"/>
      <c r="X472" s="48"/>
      <c r="Y472" s="48"/>
      <c r="Z472" s="49"/>
      <c r="AA472" s="49"/>
    </row>
    <row r="473" spans="1:27" ht="16.5" customHeight="1" thickBot="1">
      <c r="A473" s="94"/>
      <c r="B473" s="94"/>
      <c r="C473" s="34" t="s">
        <v>129</v>
      </c>
      <c r="D473" s="35">
        <f t="shared" ref="D473:L473" si="153">IF(((D471="")*AND(D472="")),"",(D471-D472)*3)</f>
        <v>8349.48</v>
      </c>
      <c r="E473" s="35">
        <f t="shared" si="153"/>
        <v>9016.6199999999917</v>
      </c>
      <c r="F473" s="35">
        <f t="shared" si="153"/>
        <v>9167.4599999999991</v>
      </c>
      <c r="G473" s="35">
        <f t="shared" si="153"/>
        <v>9453.4499999999935</v>
      </c>
      <c r="H473" s="35">
        <f t="shared" si="153"/>
        <v>9299.0699999999961</v>
      </c>
      <c r="I473" s="35">
        <f t="shared" si="153"/>
        <v>8888.4899999999943</v>
      </c>
      <c r="J473" s="35">
        <f t="shared" si="153"/>
        <v>9187.1399999999921</v>
      </c>
      <c r="K473" s="35">
        <f t="shared" si="153"/>
        <v>9422.7600000000057</v>
      </c>
      <c r="L473" s="35">
        <f t="shared" si="153"/>
        <v>9580.4100000000035</v>
      </c>
      <c r="M473" s="36"/>
      <c r="N473" s="36"/>
      <c r="O473" s="36"/>
      <c r="P473" s="36"/>
      <c r="Q473" s="36"/>
      <c r="R473" s="37"/>
      <c r="S473" s="38"/>
      <c r="T473" s="56"/>
      <c r="U473" s="51"/>
      <c r="V473" s="50"/>
      <c r="W473" s="50"/>
      <c r="X473" s="51"/>
      <c r="Y473" s="51"/>
      <c r="Z473" s="52"/>
      <c r="AA473" s="52"/>
    </row>
    <row r="474" spans="1:27">
      <c r="A474" s="95">
        <v>43219</v>
      </c>
      <c r="B474" s="115" t="s">
        <v>429</v>
      </c>
      <c r="C474" s="26" t="s">
        <v>126</v>
      </c>
      <c r="D474" s="16">
        <v>29000.48</v>
      </c>
      <c r="E474" s="16">
        <v>28851.26</v>
      </c>
      <c r="F474" s="16">
        <v>28847.57</v>
      </c>
      <c r="G474" s="16">
        <v>28867.1</v>
      </c>
      <c r="H474" s="16">
        <v>29106.54</v>
      </c>
      <c r="I474" s="16">
        <v>29036.63</v>
      </c>
      <c r="J474" s="16">
        <v>28852.34</v>
      </c>
      <c r="K474" s="16">
        <v>28858.28</v>
      </c>
      <c r="L474" s="16">
        <v>29083.43</v>
      </c>
      <c r="M474" s="27">
        <f>IF((L475=""),"",MAX(D476:L476))</f>
        <v>9170.8499999999913</v>
      </c>
      <c r="N474" s="27">
        <f>IF(L475="","",MIN(D476:L476))</f>
        <v>8038.1099999999969</v>
      </c>
      <c r="O474" s="27">
        <f>IF((L476=""),"",AVERAGE(D476:L476))</f>
        <v>8832.2333333333299</v>
      </c>
      <c r="P474" s="27">
        <f>IF((L475=""),"",STDEV(D476:L476))</f>
        <v>351.35585959963038</v>
      </c>
      <c r="Q474" s="168">
        <f>IF((L475=""),"",((M474-N474)/(M474+P474))*100)</f>
        <v>11.895773066679135</v>
      </c>
      <c r="R474" s="28" t="str">
        <f>IF(L475="","",IF(Q474&lt;Z474,IF(N474&gt;V474,IF(M474&lt;W474,"Pass","Fail"),"Fail"),"Fail"))</f>
        <v>Fail</v>
      </c>
      <c r="S474" s="29">
        <v>121</v>
      </c>
      <c r="U474" s="54" t="s">
        <v>218</v>
      </c>
      <c r="V474" s="53">
        <v>9000</v>
      </c>
      <c r="W474" s="22">
        <v>15600</v>
      </c>
      <c r="X474" s="40">
        <v>8090</v>
      </c>
      <c r="Y474" s="40">
        <v>12070</v>
      </c>
      <c r="Z474" s="49">
        <v>15</v>
      </c>
      <c r="AA474" s="49">
        <v>6</v>
      </c>
    </row>
    <row r="475" spans="1:27" ht="15.75" customHeight="1">
      <c r="A475" s="94"/>
      <c r="B475" s="94"/>
      <c r="C475" s="30" t="s">
        <v>128</v>
      </c>
      <c r="D475" s="16">
        <v>26321.11</v>
      </c>
      <c r="E475" s="16">
        <v>25959.77</v>
      </c>
      <c r="F475" s="16">
        <v>25881.21</v>
      </c>
      <c r="G475" s="16">
        <v>25810.15</v>
      </c>
      <c r="H475" s="16">
        <v>26090.66</v>
      </c>
      <c r="I475" s="16">
        <v>26166.54</v>
      </c>
      <c r="J475" s="16">
        <v>25880.31</v>
      </c>
      <c r="K475" s="16">
        <v>25839.5</v>
      </c>
      <c r="L475" s="16">
        <v>26057.68</v>
      </c>
      <c r="M475" s="31"/>
      <c r="N475" s="31"/>
      <c r="O475" s="31"/>
      <c r="P475" s="31"/>
      <c r="Q475" s="31"/>
      <c r="R475" s="32"/>
      <c r="S475" s="33"/>
      <c r="T475" s="55"/>
      <c r="V475" s="47"/>
      <c r="W475" s="47"/>
      <c r="X475" s="48"/>
      <c r="Y475" s="48"/>
      <c r="Z475" s="49"/>
      <c r="AA475" s="49"/>
    </row>
    <row r="476" spans="1:27" ht="16.5" customHeight="1" thickBot="1">
      <c r="A476" s="94"/>
      <c r="B476" s="94"/>
      <c r="C476" s="34" t="s">
        <v>129</v>
      </c>
      <c r="D476" s="35">
        <f t="shared" ref="D476:L476" si="154">IF(((D474="")*AND(D475="")),"",(D474-D475)*3)</f>
        <v>8038.1099999999969</v>
      </c>
      <c r="E476" s="35">
        <f t="shared" si="154"/>
        <v>8674.4699999999939</v>
      </c>
      <c r="F476" s="35">
        <f t="shared" si="154"/>
        <v>8899.0800000000017</v>
      </c>
      <c r="G476" s="35">
        <f t="shared" si="154"/>
        <v>9170.8499999999913</v>
      </c>
      <c r="H476" s="35">
        <f t="shared" si="154"/>
        <v>9047.6400000000031</v>
      </c>
      <c r="I476" s="35">
        <f t="shared" si="154"/>
        <v>8610.27</v>
      </c>
      <c r="J476" s="35">
        <f t="shared" si="154"/>
        <v>8916.0899999999965</v>
      </c>
      <c r="K476" s="35">
        <f t="shared" si="154"/>
        <v>9056.3399999999965</v>
      </c>
      <c r="L476" s="35">
        <f t="shared" si="154"/>
        <v>9077.25</v>
      </c>
      <c r="M476" s="36"/>
      <c r="N476" s="36"/>
      <c r="O476" s="36"/>
      <c r="P476" s="36"/>
      <c r="Q476" s="36"/>
      <c r="R476" s="37"/>
      <c r="S476" s="38"/>
      <c r="T476" s="56"/>
      <c r="U476" s="51"/>
      <c r="V476" s="50"/>
      <c r="W476" s="50"/>
      <c r="X476" s="51"/>
      <c r="Y476" s="51"/>
      <c r="Z476" s="52"/>
      <c r="AA476" s="52"/>
    </row>
    <row r="477" spans="1:27">
      <c r="A477" s="95">
        <v>43219</v>
      </c>
      <c r="B477" s="115" t="s">
        <v>429</v>
      </c>
      <c r="C477" s="26" t="s">
        <v>126</v>
      </c>
      <c r="D477" s="16">
        <v>29213.49</v>
      </c>
      <c r="E477" s="16">
        <v>29023.55</v>
      </c>
      <c r="F477" s="16">
        <v>29009.439999999999</v>
      </c>
      <c r="G477" s="16">
        <v>29017.03</v>
      </c>
      <c r="H477" s="16">
        <v>29242.92</v>
      </c>
      <c r="I477" s="16">
        <v>29183.11</v>
      </c>
      <c r="J477" s="16">
        <v>29020.61</v>
      </c>
      <c r="K477" s="16">
        <v>29023.59</v>
      </c>
      <c r="L477" s="16">
        <v>29244.31</v>
      </c>
      <c r="M477" s="27">
        <f>IF((L478=""),"",MAX(D479:L479))</f>
        <v>10897.200000000004</v>
      </c>
      <c r="N477" s="27">
        <f>IF(L478="","",MIN(D479:L479))</f>
        <v>10010.070000000007</v>
      </c>
      <c r="O477" s="27">
        <f>IF((L479=""),"",AVERAGE(D479:L479))</f>
        <v>10585.34666666667</v>
      </c>
      <c r="P477" s="27">
        <f>IF((L478=""),"",STDEV(D479:L479))</f>
        <v>277.38554563093101</v>
      </c>
      <c r="Q477" s="168">
        <f>IF((L478=""),"",((M477-N477)/(M477+P477))*100)</f>
        <v>7.938817921948341</v>
      </c>
      <c r="R477" s="28" t="str">
        <f>IF(L478="","",IF(Q477&lt;Z477,IF(N477&gt;V477,IF(M477&lt;W477,"Pass","Fail"),"Fail"),"Fail"))</f>
        <v>Pass</v>
      </c>
      <c r="S477" s="29">
        <v>64</v>
      </c>
      <c r="T477" s="54"/>
      <c r="U477" s="40"/>
      <c r="V477" s="53">
        <v>9000</v>
      </c>
      <c r="W477" s="22">
        <v>15600</v>
      </c>
      <c r="X477" s="40">
        <v>8090</v>
      </c>
      <c r="Y477" s="40">
        <v>12070</v>
      </c>
      <c r="Z477" s="49">
        <v>15</v>
      </c>
      <c r="AA477" s="49">
        <v>6</v>
      </c>
    </row>
    <row r="478" spans="1:27" ht="15.75" customHeight="1">
      <c r="A478" s="94"/>
      <c r="B478" s="94"/>
      <c r="C478" s="30" t="s">
        <v>128</v>
      </c>
      <c r="D478" s="16">
        <v>25876.799999999999</v>
      </c>
      <c r="E478" s="16">
        <v>25497.79</v>
      </c>
      <c r="F478" s="16">
        <v>25456.92</v>
      </c>
      <c r="G478" s="16">
        <v>25413.69</v>
      </c>
      <c r="H478" s="16">
        <v>25716.92</v>
      </c>
      <c r="I478" s="16">
        <v>25749.15</v>
      </c>
      <c r="J478" s="16">
        <v>25477.7</v>
      </c>
      <c r="K478" s="16">
        <v>25421.13</v>
      </c>
      <c r="L478" s="16">
        <v>25611.91</v>
      </c>
      <c r="M478" s="31"/>
      <c r="N478" s="31"/>
      <c r="O478" s="31"/>
      <c r="P478" s="31"/>
      <c r="Q478" s="31"/>
      <c r="R478" s="32"/>
      <c r="S478" s="33"/>
      <c r="T478" s="55"/>
      <c r="V478" s="47"/>
      <c r="W478" s="47"/>
      <c r="X478" s="48"/>
      <c r="Y478" s="48"/>
      <c r="Z478" s="49"/>
      <c r="AA478" s="49"/>
    </row>
    <row r="479" spans="1:27" ht="16.5" customHeight="1" thickBot="1">
      <c r="A479" s="94"/>
      <c r="B479" s="94"/>
      <c r="C479" s="34" t="s">
        <v>129</v>
      </c>
      <c r="D479" s="35">
        <f t="shared" ref="D479:L479" si="155">IF(((D477="")*AND(D478="")),"",(D477-D478)*3)</f>
        <v>10010.070000000007</v>
      </c>
      <c r="E479" s="35">
        <f t="shared" si="155"/>
        <v>10577.279999999995</v>
      </c>
      <c r="F479" s="35">
        <f t="shared" si="155"/>
        <v>10657.560000000001</v>
      </c>
      <c r="G479" s="35">
        <f t="shared" si="155"/>
        <v>10810.02</v>
      </c>
      <c r="H479" s="35">
        <f t="shared" si="155"/>
        <v>10578</v>
      </c>
      <c r="I479" s="35">
        <f t="shared" si="155"/>
        <v>10301.879999999997</v>
      </c>
      <c r="J479" s="35">
        <f t="shared" si="155"/>
        <v>10628.73</v>
      </c>
      <c r="K479" s="35">
        <f t="shared" si="155"/>
        <v>10807.379999999997</v>
      </c>
      <c r="L479" s="35">
        <f t="shared" si="155"/>
        <v>10897.200000000004</v>
      </c>
      <c r="M479" s="36"/>
      <c r="N479" s="36"/>
      <c r="O479" s="36"/>
      <c r="P479" s="36"/>
      <c r="Q479" s="36"/>
      <c r="R479" s="37"/>
      <c r="S479" s="38"/>
      <c r="T479" s="56"/>
      <c r="U479" s="51"/>
      <c r="V479" s="50"/>
      <c r="W479" s="50"/>
      <c r="X479" s="51"/>
      <c r="Y479" s="51"/>
      <c r="Z479" s="52"/>
      <c r="AA479" s="52"/>
    </row>
    <row r="480" spans="1:27">
      <c r="A480" s="95">
        <v>43221</v>
      </c>
      <c r="B480" s="115" t="s">
        <v>429</v>
      </c>
      <c r="C480" s="26" t="s">
        <v>126</v>
      </c>
      <c r="D480" s="16">
        <v>29377.24</v>
      </c>
      <c r="E480" s="16">
        <v>29193.15</v>
      </c>
      <c r="F480" s="16">
        <v>29156.32</v>
      </c>
      <c r="G480" s="16">
        <v>29156.98</v>
      </c>
      <c r="H480" s="16">
        <v>29384.62</v>
      </c>
      <c r="I480" s="16">
        <v>29326.04</v>
      </c>
      <c r="J480" s="16">
        <v>29164.45</v>
      </c>
      <c r="K480" s="16">
        <v>29173.5</v>
      </c>
      <c r="L480" s="16">
        <v>29388.86</v>
      </c>
      <c r="M480" s="27">
        <f>IF((L481=""),"",MAX(D482:L482))</f>
        <v>9862.7399999999943</v>
      </c>
      <c r="N480" s="27">
        <f>IF(L481="","",MIN(D482:L482))</f>
        <v>9054.1500000000087</v>
      </c>
      <c r="O480" s="27">
        <f>IF((L482=""),"",AVERAGE(D482:L482))</f>
        <v>9649.16</v>
      </c>
      <c r="P480" s="27">
        <f>IF((L481=""),"",STDEV(D482:L482))</f>
        <v>251.41189634743608</v>
      </c>
      <c r="Q480" s="168">
        <f>IF((L481=""),"",((M480-N480)/(M480+P480))*100)</f>
        <v>7.9946396720816049</v>
      </c>
      <c r="R480" s="28" t="str">
        <f>IF(L481="","",IF(Q480&lt;Z480,IF(N480&gt;V480,IF(M480&lt;W480,"Pass","Fail"),"Fail"),"Fail"))</f>
        <v>Pass</v>
      </c>
      <c r="S480" s="29">
        <v>1159</v>
      </c>
      <c r="T480" s="55" t="s">
        <v>220</v>
      </c>
      <c r="U480" s="54" t="s">
        <v>219</v>
      </c>
      <c r="V480" s="53">
        <v>9000</v>
      </c>
      <c r="W480" s="22">
        <v>15600</v>
      </c>
      <c r="X480" s="40">
        <v>8090</v>
      </c>
      <c r="Y480" s="40">
        <v>12070</v>
      </c>
      <c r="Z480" s="49">
        <v>15</v>
      </c>
      <c r="AA480" s="49">
        <v>6</v>
      </c>
    </row>
    <row r="481" spans="1:27" ht="15.75" customHeight="1">
      <c r="A481" s="94"/>
      <c r="B481" s="94"/>
      <c r="C481" s="30" t="s">
        <v>128</v>
      </c>
      <c r="D481" s="16">
        <v>26359.19</v>
      </c>
      <c r="E481" s="16">
        <v>25990.51</v>
      </c>
      <c r="F481" s="16">
        <v>25964.59</v>
      </c>
      <c r="G481" s="16">
        <v>25869.4</v>
      </c>
      <c r="H481" s="16">
        <v>26131.29</v>
      </c>
      <c r="I481" s="16">
        <v>26039.51</v>
      </c>
      <c r="J481" s="16">
        <v>25882.9</v>
      </c>
      <c r="K481" s="16">
        <v>25945.83</v>
      </c>
      <c r="L481" s="16">
        <v>26190.46</v>
      </c>
      <c r="M481" s="31"/>
      <c r="N481" s="31"/>
      <c r="O481" s="31"/>
      <c r="P481" s="31"/>
      <c r="Q481" s="31"/>
      <c r="R481" s="32"/>
      <c r="S481" s="33"/>
      <c r="V481" s="47"/>
      <c r="W481" s="47"/>
      <c r="X481" s="48"/>
      <c r="Y481" s="48"/>
      <c r="Z481" s="49"/>
      <c r="AA481" s="49"/>
    </row>
    <row r="482" spans="1:27" ht="16.5" customHeight="1" thickBot="1">
      <c r="A482" s="94"/>
      <c r="B482" s="94"/>
      <c r="C482" s="34" t="s">
        <v>129</v>
      </c>
      <c r="D482" s="35">
        <f t="shared" ref="D482:L482" si="156">IF(((D480="")*AND(D481="")),"",(D480-D481)*3)</f>
        <v>9054.1500000000087</v>
      </c>
      <c r="E482" s="35">
        <f t="shared" si="156"/>
        <v>9607.9200000000092</v>
      </c>
      <c r="F482" s="35">
        <f t="shared" si="156"/>
        <v>9575.1899999999987</v>
      </c>
      <c r="G482" s="35">
        <f t="shared" si="156"/>
        <v>9862.7399999999943</v>
      </c>
      <c r="H482" s="35">
        <f t="shared" si="156"/>
        <v>9759.9899999999943</v>
      </c>
      <c r="I482" s="35">
        <f t="shared" si="156"/>
        <v>9859.5900000000074</v>
      </c>
      <c r="J482" s="35">
        <f t="shared" si="156"/>
        <v>9844.6499999999978</v>
      </c>
      <c r="K482" s="35">
        <f t="shared" si="156"/>
        <v>9683.0099999999948</v>
      </c>
      <c r="L482" s="35">
        <f t="shared" si="156"/>
        <v>9595.2000000000044</v>
      </c>
      <c r="M482" s="36"/>
      <c r="N482" s="36"/>
      <c r="O482" s="36"/>
      <c r="P482" s="36"/>
      <c r="Q482" s="36"/>
      <c r="R482" s="37"/>
      <c r="S482" s="38"/>
      <c r="T482" s="56"/>
      <c r="U482" s="51"/>
      <c r="V482" s="50"/>
      <c r="W482" s="50"/>
      <c r="X482" s="51"/>
      <c r="Y482" s="51"/>
      <c r="Z482" s="52"/>
      <c r="AA482" s="52"/>
    </row>
    <row r="483" spans="1:27">
      <c r="A483" s="95">
        <v>43225</v>
      </c>
      <c r="B483" s="115" t="s">
        <v>429</v>
      </c>
      <c r="C483" s="26" t="s">
        <v>126</v>
      </c>
      <c r="D483" s="16">
        <v>29366.81</v>
      </c>
      <c r="E483" s="16">
        <v>29154.13</v>
      </c>
      <c r="F483" s="16">
        <v>29217.02</v>
      </c>
      <c r="G483" s="16">
        <v>29139.97</v>
      </c>
      <c r="H483" s="16">
        <v>29323.9</v>
      </c>
      <c r="I483" s="16">
        <v>29340.84</v>
      </c>
      <c r="J483" s="16">
        <v>29131.23</v>
      </c>
      <c r="K483" s="16">
        <v>29130.71</v>
      </c>
      <c r="L483" s="16">
        <v>29335.37</v>
      </c>
      <c r="M483" s="27">
        <f>IF((L484=""),"",MAX(D485:L485))</f>
        <v>9082.320000000007</v>
      </c>
      <c r="N483" s="27">
        <f>IF(L484="","",MIN(D485:L485))</f>
        <v>7945.5600000000013</v>
      </c>
      <c r="O483" s="27">
        <f>IF((L485=""),"",AVERAGE(D485:L485))</f>
        <v>8703.0166666666682</v>
      </c>
      <c r="P483" s="27">
        <f>IF((L484=""),"",STDEV(D485:L485))</f>
        <v>361.4801394268236</v>
      </c>
      <c r="Q483" s="168">
        <f>IF((L484=""),"",((M483-N483)/(M483+P483))*100)</f>
        <v>12.037103530539124</v>
      </c>
      <c r="R483" s="28" t="str">
        <f>IF(L484="","",IF(Q483&lt;Z483,IF(N483&gt;V483,IF(M483&lt;W483,"Pass","Fail"),"Fail"),"Fail"))</f>
        <v>Fail</v>
      </c>
      <c r="S483" s="29">
        <v>1519</v>
      </c>
      <c r="T483" s="54"/>
      <c r="U483" s="40"/>
      <c r="V483" s="53">
        <v>9000</v>
      </c>
      <c r="W483" s="22">
        <v>15600</v>
      </c>
      <c r="X483" s="40">
        <v>8090</v>
      </c>
      <c r="Y483" s="40">
        <v>12070</v>
      </c>
      <c r="Z483" s="49">
        <v>15</v>
      </c>
      <c r="AA483" s="49">
        <v>6</v>
      </c>
    </row>
    <row r="484" spans="1:27" ht="15.75" customHeight="1">
      <c r="A484" s="94"/>
      <c r="B484" s="94"/>
      <c r="C484" s="30" t="s">
        <v>128</v>
      </c>
      <c r="D484" s="16">
        <v>26536.17</v>
      </c>
      <c r="E484" s="16">
        <v>26275.79</v>
      </c>
      <c r="F484" s="16">
        <v>26322.05</v>
      </c>
      <c r="G484" s="16">
        <v>26112.53</v>
      </c>
      <c r="H484" s="16">
        <v>26307.62</v>
      </c>
      <c r="I484" s="16">
        <v>26692.32</v>
      </c>
      <c r="J484" s="16">
        <v>26286.27</v>
      </c>
      <c r="K484" s="16">
        <v>26127.73</v>
      </c>
      <c r="L484" s="16">
        <v>26370.45</v>
      </c>
      <c r="M484" s="31"/>
      <c r="N484" s="31"/>
      <c r="O484" s="31"/>
      <c r="P484" s="31"/>
      <c r="Q484" s="31"/>
      <c r="R484" s="32"/>
      <c r="S484" s="33"/>
      <c r="T484" s="55"/>
      <c r="V484" s="47"/>
      <c r="W484" s="47"/>
      <c r="X484" s="48"/>
      <c r="Y484" s="48"/>
      <c r="Z484" s="49"/>
      <c r="AA484" s="49"/>
    </row>
    <row r="485" spans="1:27" ht="16.5" customHeight="1" thickBot="1">
      <c r="A485" s="94"/>
      <c r="B485" s="94"/>
      <c r="C485" s="34" t="s">
        <v>129</v>
      </c>
      <c r="D485" s="35">
        <f t="shared" ref="D485:L485" si="157">IF(((D483="")*AND(D484="")),"",(D483-D484)*3)</f>
        <v>8491.9200000000092</v>
      </c>
      <c r="E485" s="35">
        <f t="shared" si="157"/>
        <v>8635.02</v>
      </c>
      <c r="F485" s="35">
        <f t="shared" si="157"/>
        <v>8684.9100000000035</v>
      </c>
      <c r="G485" s="35">
        <f t="shared" si="157"/>
        <v>9082.320000000007</v>
      </c>
      <c r="H485" s="35">
        <f t="shared" si="157"/>
        <v>9048.8400000000074</v>
      </c>
      <c r="I485" s="35">
        <f t="shared" si="157"/>
        <v>7945.5600000000013</v>
      </c>
      <c r="J485" s="35">
        <f t="shared" si="157"/>
        <v>8534.8799999999974</v>
      </c>
      <c r="K485" s="35">
        <f t="shared" si="157"/>
        <v>9008.9399999999987</v>
      </c>
      <c r="L485" s="35">
        <f t="shared" si="157"/>
        <v>8894.7599999999948</v>
      </c>
      <c r="M485" s="36"/>
      <c r="N485" s="36"/>
      <c r="O485" s="36"/>
      <c r="P485" s="36"/>
      <c r="Q485" s="36"/>
      <c r="R485" s="37"/>
      <c r="S485" s="38"/>
      <c r="T485" s="56"/>
      <c r="U485" s="51"/>
      <c r="V485" s="50"/>
      <c r="W485" s="50"/>
      <c r="X485" s="51"/>
      <c r="Y485" s="51"/>
      <c r="Z485" s="52"/>
      <c r="AA485" s="52"/>
    </row>
    <row r="486" spans="1:27">
      <c r="A486" s="95">
        <v>43225</v>
      </c>
      <c r="B486" s="115" t="s">
        <v>429</v>
      </c>
      <c r="C486" s="26" t="s">
        <v>126</v>
      </c>
      <c r="D486" s="16">
        <v>29340.21</v>
      </c>
      <c r="E486" s="16">
        <v>29165.81</v>
      </c>
      <c r="F486" s="16">
        <v>29168.21</v>
      </c>
      <c r="G486" s="16">
        <v>29166.98</v>
      </c>
      <c r="H486" s="16">
        <v>29383.22</v>
      </c>
      <c r="I486" s="16">
        <v>29352.7</v>
      </c>
      <c r="J486" s="16">
        <v>29161.08</v>
      </c>
      <c r="K486" s="16">
        <v>29152.84</v>
      </c>
      <c r="L486" s="16">
        <v>29385.08</v>
      </c>
      <c r="M486" s="27">
        <f>IF((L487=""),"",MAX(D488:L488))</f>
        <v>9192.1800000000039</v>
      </c>
      <c r="N486" s="27">
        <f>IF(L487="","",MIN(D488:L488))</f>
        <v>7996.6499999999978</v>
      </c>
      <c r="O486" s="27">
        <f>IF((L488=""),"",AVERAGE(D488:L488))</f>
        <v>8870.760000000002</v>
      </c>
      <c r="P486" s="27">
        <f>IF((L487=""),"",STDEV(D488:L488))</f>
        <v>368.42710344110549</v>
      </c>
      <c r="Q486" s="168">
        <f>IF((L487=""),"",((M486-N486)/(M486+P486))*100)</f>
        <v>12.504749824618397</v>
      </c>
      <c r="R486" s="28" t="str">
        <f>IF(L487="","",IF(Q486&lt;Z486,IF(N486&gt;V486,IF(M486&lt;W486,"Pass","Fail"),"Fail"),"Fail"))</f>
        <v>Fail</v>
      </c>
      <c r="S486" s="29">
        <v>1519</v>
      </c>
      <c r="T486" s="54"/>
      <c r="U486" s="40"/>
      <c r="V486" s="53">
        <v>9000</v>
      </c>
      <c r="W486" s="22">
        <v>15600</v>
      </c>
      <c r="X486" s="40">
        <v>8090</v>
      </c>
      <c r="Y486" s="40">
        <v>12070</v>
      </c>
      <c r="Z486" s="49">
        <v>15</v>
      </c>
      <c r="AA486" s="49">
        <v>6</v>
      </c>
    </row>
    <row r="487" spans="1:27" ht="15.75" customHeight="1">
      <c r="A487" s="94"/>
      <c r="B487" s="94"/>
      <c r="C487" s="30" t="s">
        <v>128</v>
      </c>
      <c r="D487" s="16">
        <v>26388.82</v>
      </c>
      <c r="E487" s="16">
        <v>26205.34</v>
      </c>
      <c r="F487" s="16">
        <v>26219.46</v>
      </c>
      <c r="G487" s="16">
        <v>26102.92</v>
      </c>
      <c r="H487" s="16">
        <v>26352.87</v>
      </c>
      <c r="I487" s="16">
        <v>26687.15</v>
      </c>
      <c r="J487" s="16">
        <v>26258.07</v>
      </c>
      <c r="K487" s="16">
        <v>26091.39</v>
      </c>
      <c r="L487" s="16">
        <v>26357.83</v>
      </c>
      <c r="M487" s="31"/>
      <c r="N487" s="31"/>
      <c r="O487" s="31"/>
      <c r="P487" s="31"/>
      <c r="Q487" s="31"/>
      <c r="R487" s="32"/>
      <c r="S487" s="33"/>
      <c r="T487" s="55"/>
      <c r="V487" s="47"/>
      <c r="W487" s="47"/>
      <c r="X487" s="48"/>
      <c r="Y487" s="48"/>
      <c r="Z487" s="49"/>
      <c r="AA487" s="49"/>
    </row>
    <row r="488" spans="1:27" ht="16.5" customHeight="1" thickBot="1">
      <c r="A488" s="94"/>
      <c r="B488" s="94"/>
      <c r="C488" s="34" t="s">
        <v>129</v>
      </c>
      <c r="D488" s="35">
        <f t="shared" ref="D488:L488" si="158">IF(((D486="")*AND(D487="")),"",(D486-D487)*3)</f>
        <v>8854.1699999999983</v>
      </c>
      <c r="E488" s="35">
        <f t="shared" si="158"/>
        <v>8881.4100000000035</v>
      </c>
      <c r="F488" s="35">
        <f t="shared" si="158"/>
        <v>8846.25</v>
      </c>
      <c r="G488" s="35">
        <f t="shared" si="158"/>
        <v>9192.1800000000039</v>
      </c>
      <c r="H488" s="35">
        <f t="shared" si="158"/>
        <v>9091.0500000000065</v>
      </c>
      <c r="I488" s="35">
        <f t="shared" si="158"/>
        <v>7996.6499999999978</v>
      </c>
      <c r="J488" s="35">
        <f t="shared" si="158"/>
        <v>8709.0300000000061</v>
      </c>
      <c r="K488" s="35">
        <f t="shared" si="158"/>
        <v>9184.3500000000022</v>
      </c>
      <c r="L488" s="35">
        <f t="shared" si="158"/>
        <v>9081.75</v>
      </c>
      <c r="M488" s="36"/>
      <c r="N488" s="36"/>
      <c r="O488" s="36"/>
      <c r="P488" s="36"/>
      <c r="Q488" s="36"/>
      <c r="R488" s="37"/>
      <c r="S488" s="38"/>
      <c r="T488" s="56"/>
      <c r="U488" s="51"/>
      <c r="V488" s="50"/>
      <c r="W488" s="50"/>
      <c r="X488" s="51"/>
      <c r="Y488" s="51"/>
      <c r="Z488" s="52"/>
      <c r="AA488" s="52"/>
    </row>
    <row r="489" spans="1:27">
      <c r="A489" s="95">
        <v>43227</v>
      </c>
      <c r="B489" s="115" t="s">
        <v>429</v>
      </c>
      <c r="C489" s="26" t="s">
        <v>126</v>
      </c>
      <c r="D489" s="16">
        <v>29351.08</v>
      </c>
      <c r="E489" s="16">
        <v>29183.18</v>
      </c>
      <c r="F489" s="16">
        <v>29171.8</v>
      </c>
      <c r="G489" s="16">
        <v>29162.45</v>
      </c>
      <c r="H489" s="16">
        <v>29391.11</v>
      </c>
      <c r="I489" s="16">
        <v>29350.01</v>
      </c>
      <c r="J489" s="16">
        <v>29179.97</v>
      </c>
      <c r="K489" s="16">
        <v>29152.93</v>
      </c>
      <c r="L489" s="16">
        <v>29380.74</v>
      </c>
      <c r="M489" s="27">
        <f>IF((L490=""),"",MAX(D491:L491))</f>
        <v>10091.159999999993</v>
      </c>
      <c r="N489" s="27">
        <f>IF(L490="","",MIN(D491:L491))</f>
        <v>8469.3900000000031</v>
      </c>
      <c r="O489" s="27">
        <f>IF((L491=""),"",AVERAGE(D491:L491))</f>
        <v>9446.8066666666637</v>
      </c>
      <c r="P489" s="27">
        <f>IF((L490=""),"",STDEV(D491:L491))</f>
        <v>508.29952931321577</v>
      </c>
      <c r="Q489" s="168">
        <f>IF((L490=""),"",((M489-N489)/(M489+P489))*100)</f>
        <v>15.300497119828826</v>
      </c>
      <c r="R489" s="28" t="str">
        <f>IF(L490="","",IF(Q489&lt;Z489,IF(N489&gt;V489,IF(M489&lt;W489,"Pass","Fail"),"Fail"),"Fail"))</f>
        <v>Fail</v>
      </c>
      <c r="S489" s="29">
        <v>1519</v>
      </c>
      <c r="U489" s="54" t="s">
        <v>221</v>
      </c>
      <c r="V489" s="53">
        <v>9000</v>
      </c>
      <c r="W489" s="22">
        <v>15600</v>
      </c>
      <c r="X489" s="40">
        <v>8090</v>
      </c>
      <c r="Y489" s="40">
        <v>12070</v>
      </c>
      <c r="Z489" s="49">
        <v>15</v>
      </c>
      <c r="AA489" s="49">
        <v>6</v>
      </c>
    </row>
    <row r="490" spans="1:27" ht="15.75" customHeight="1">
      <c r="A490" s="94"/>
      <c r="B490" s="94"/>
      <c r="C490" s="30" t="s">
        <v>128</v>
      </c>
      <c r="D490" s="16">
        <v>26527.95</v>
      </c>
      <c r="E490" s="16">
        <v>26072.11</v>
      </c>
      <c r="F490" s="16">
        <v>26028.04</v>
      </c>
      <c r="G490" s="16">
        <v>25897.09</v>
      </c>
      <c r="H490" s="16">
        <v>26164.29</v>
      </c>
      <c r="I490" s="16">
        <v>25986.29</v>
      </c>
      <c r="J490" s="16">
        <v>25862.71</v>
      </c>
      <c r="K490" s="16">
        <v>26052.54</v>
      </c>
      <c r="L490" s="16">
        <v>26391.83</v>
      </c>
      <c r="M490" s="31"/>
      <c r="N490" s="31"/>
      <c r="O490" s="31"/>
      <c r="P490" s="31"/>
      <c r="Q490" s="31"/>
      <c r="R490" s="32"/>
      <c r="S490" s="33"/>
      <c r="T490" s="55"/>
      <c r="V490" s="47"/>
      <c r="W490" s="47"/>
      <c r="X490" s="48"/>
      <c r="Y490" s="48"/>
      <c r="Z490" s="49"/>
      <c r="AA490" s="49"/>
    </row>
    <row r="491" spans="1:27" ht="16.5" customHeight="1" thickBot="1">
      <c r="A491" s="94"/>
      <c r="B491" s="94"/>
      <c r="C491" s="34" t="s">
        <v>129</v>
      </c>
      <c r="D491" s="35">
        <f t="shared" ref="D491:L491" si="159">IF(((D489="")*AND(D490="")),"",(D489-D490)*3)</f>
        <v>8469.3900000000031</v>
      </c>
      <c r="E491" s="35">
        <f t="shared" si="159"/>
        <v>9333.2099999999991</v>
      </c>
      <c r="F491" s="35">
        <f t="shared" si="159"/>
        <v>9431.2799999999952</v>
      </c>
      <c r="G491" s="35">
        <f t="shared" si="159"/>
        <v>9796.0800000000017</v>
      </c>
      <c r="H491" s="35">
        <f t="shared" si="159"/>
        <v>9680.4599999999991</v>
      </c>
      <c r="I491" s="35">
        <f t="shared" si="159"/>
        <v>10091.159999999993</v>
      </c>
      <c r="J491" s="35">
        <f t="shared" si="159"/>
        <v>9951.7800000000061</v>
      </c>
      <c r="K491" s="35">
        <f t="shared" si="159"/>
        <v>9301.1699999999983</v>
      </c>
      <c r="L491" s="35">
        <f t="shared" si="159"/>
        <v>8966.73</v>
      </c>
      <c r="M491" s="36"/>
      <c r="N491" s="36"/>
      <c r="O491" s="36"/>
      <c r="P491" s="36"/>
      <c r="Q491" s="36"/>
      <c r="R491" s="37"/>
      <c r="S491" s="38"/>
      <c r="T491" s="56"/>
      <c r="U491" s="51"/>
      <c r="V491" s="50"/>
      <c r="W491" s="50"/>
      <c r="X491" s="51"/>
      <c r="Y491" s="51"/>
      <c r="Z491" s="52"/>
      <c r="AA491" s="52"/>
    </row>
    <row r="492" spans="1:27">
      <c r="A492" s="95">
        <v>43227</v>
      </c>
      <c r="B492" s="115" t="s">
        <v>429</v>
      </c>
      <c r="C492" s="26" t="s">
        <v>126</v>
      </c>
      <c r="D492" s="16">
        <v>29303.43</v>
      </c>
      <c r="E492" s="16">
        <v>29164.63</v>
      </c>
      <c r="F492" s="16">
        <v>29227.95</v>
      </c>
      <c r="G492" s="16">
        <v>29168.71</v>
      </c>
      <c r="H492" s="16">
        <v>29369.59</v>
      </c>
      <c r="I492" s="16">
        <v>29358.37</v>
      </c>
      <c r="J492" s="16">
        <v>29163.53</v>
      </c>
      <c r="K492" s="16">
        <v>29153.39</v>
      </c>
      <c r="L492" s="16">
        <v>29341.51</v>
      </c>
      <c r="M492" s="27">
        <f>IF((L493=""),"",MAX(D494:L494))</f>
        <v>10622.100000000002</v>
      </c>
      <c r="N492" s="27">
        <f>IF(L493="","",MIN(D494:L494))</f>
        <v>9194.1600000000035</v>
      </c>
      <c r="O492" s="27">
        <f>IF((L494=""),"",AVERAGE(D494:L494))</f>
        <v>10092.060000000001</v>
      </c>
      <c r="P492" s="27">
        <f>IF((L493=""),"",STDEV(D494:L494))</f>
        <v>441.81943537487916</v>
      </c>
      <c r="Q492" s="168">
        <f>IF((L493=""),"",((M492-N492)/(M492+P492))*100)</f>
        <v>12.906276192091736</v>
      </c>
      <c r="R492" s="28" t="str">
        <f>IF(L493="","",IF(Q492&lt;Z492,IF(N492&gt;V492,IF(M492&lt;W492,"Pass","Fail"),"Fail"),"Fail"))</f>
        <v>Pass</v>
      </c>
      <c r="S492" s="29">
        <v>102</v>
      </c>
      <c r="T492" s="54"/>
      <c r="U492" s="40"/>
      <c r="V492" s="53">
        <v>9000</v>
      </c>
      <c r="W492" s="22">
        <v>15600</v>
      </c>
      <c r="X492" s="40">
        <v>8090</v>
      </c>
      <c r="Y492" s="40">
        <v>12070</v>
      </c>
      <c r="Z492" s="49">
        <v>15</v>
      </c>
      <c r="AA492" s="49">
        <v>6</v>
      </c>
    </row>
    <row r="493" spans="1:27" ht="15.75" customHeight="1">
      <c r="A493" s="94"/>
      <c r="B493" s="94"/>
      <c r="C493" s="30" t="s">
        <v>128</v>
      </c>
      <c r="D493" s="16">
        <v>26238.71</v>
      </c>
      <c r="E493" s="16">
        <v>25799.48</v>
      </c>
      <c r="F493" s="16">
        <v>25833.68</v>
      </c>
      <c r="G493" s="16">
        <v>25710.36</v>
      </c>
      <c r="H493" s="16">
        <v>26015.35</v>
      </c>
      <c r="I493" s="16">
        <v>25817.67</v>
      </c>
      <c r="J493" s="16">
        <v>25645.54</v>
      </c>
      <c r="K493" s="16">
        <v>25798.76</v>
      </c>
      <c r="L493" s="16">
        <v>26115.38</v>
      </c>
      <c r="M493" s="31"/>
      <c r="N493" s="31"/>
      <c r="O493" s="31"/>
      <c r="P493" s="31"/>
      <c r="Q493" s="31"/>
      <c r="R493" s="32"/>
      <c r="S493" s="33"/>
      <c r="T493" s="55"/>
      <c r="V493" s="47"/>
      <c r="W493" s="47"/>
      <c r="X493" s="48"/>
      <c r="Y493" s="48"/>
      <c r="Z493" s="49"/>
      <c r="AA493" s="49"/>
    </row>
    <row r="494" spans="1:27" ht="16.5" customHeight="1" thickBot="1">
      <c r="A494" s="94"/>
      <c r="B494" s="94"/>
      <c r="C494" s="34" t="s">
        <v>129</v>
      </c>
      <c r="D494" s="35">
        <f t="shared" ref="D494:L494" si="160">IF(((D492="")*AND(D493="")),"",(D492-D493)*3)</f>
        <v>9194.1600000000035</v>
      </c>
      <c r="E494" s="35">
        <f t="shared" si="160"/>
        <v>10095.450000000004</v>
      </c>
      <c r="F494" s="35">
        <f t="shared" si="160"/>
        <v>10182.810000000001</v>
      </c>
      <c r="G494" s="35">
        <f t="shared" si="160"/>
        <v>10375.049999999996</v>
      </c>
      <c r="H494" s="35">
        <f t="shared" si="160"/>
        <v>10062.720000000005</v>
      </c>
      <c r="I494" s="35">
        <f t="shared" si="160"/>
        <v>10622.100000000002</v>
      </c>
      <c r="J494" s="35">
        <f t="shared" si="160"/>
        <v>10553.969999999994</v>
      </c>
      <c r="K494" s="35">
        <f t="shared" si="160"/>
        <v>10063.890000000003</v>
      </c>
      <c r="L494" s="35">
        <f t="shared" si="160"/>
        <v>9678.3899999999921</v>
      </c>
      <c r="M494" s="36"/>
      <c r="N494" s="36"/>
      <c r="O494" s="36"/>
      <c r="P494" s="36"/>
      <c r="Q494" s="36"/>
      <c r="R494" s="37"/>
      <c r="S494" s="38"/>
      <c r="T494" s="56"/>
      <c r="U494" s="51"/>
      <c r="V494" s="50"/>
      <c r="W494" s="50"/>
      <c r="X494" s="51"/>
      <c r="Y494" s="51"/>
      <c r="Z494" s="52"/>
      <c r="AA494" s="52"/>
    </row>
    <row r="495" spans="1:27">
      <c r="A495" s="95">
        <v>43234</v>
      </c>
      <c r="B495" s="115" t="s">
        <v>429</v>
      </c>
      <c r="C495" s="26" t="s">
        <v>126</v>
      </c>
      <c r="D495" s="16">
        <v>29080.59</v>
      </c>
      <c r="E495" s="16">
        <v>29084.63</v>
      </c>
      <c r="F495" s="16">
        <v>29073.48</v>
      </c>
      <c r="G495" s="16">
        <v>29080.59</v>
      </c>
      <c r="H495" s="16">
        <v>29301.21</v>
      </c>
      <c r="I495" s="16">
        <v>29267.1</v>
      </c>
      <c r="J495" s="16">
        <v>29084.560000000001</v>
      </c>
      <c r="K495" s="16">
        <v>29081.15</v>
      </c>
      <c r="L495" s="16">
        <v>29279.42</v>
      </c>
      <c r="M495" s="27">
        <f>IF((L496=""),"",MAX(D497:L497))</f>
        <v>9562.3499999999913</v>
      </c>
      <c r="N495" s="27">
        <f>IF(L496="","",MIN(D497:L497))</f>
        <v>8716.77</v>
      </c>
      <c r="O495" s="27">
        <f>IF((L497=""),"",AVERAGE(D497:L497))</f>
        <v>9202.65333333333</v>
      </c>
      <c r="P495" s="27">
        <f>IF((L496=""),"",STDEV(D497:L497))</f>
        <v>263.12928234050867</v>
      </c>
      <c r="Q495" s="168">
        <f>IF((L496=""),"",((M495-N495)/(M495+P495))*100)</f>
        <v>8.6059923969283201</v>
      </c>
      <c r="R495" s="28" t="str">
        <f>IF(L496="","",IF(Q495&lt;Z495,IF(N495&gt;V495,IF(M495&lt;W495,"Pass","Fail"),"Fail"),"Fail"))</f>
        <v>Fail</v>
      </c>
      <c r="S495" s="29">
        <v>1335</v>
      </c>
      <c r="T495" s="54"/>
      <c r="U495" s="40"/>
      <c r="V495" s="53">
        <v>9000</v>
      </c>
      <c r="W495" s="22">
        <v>15600</v>
      </c>
      <c r="X495" s="40">
        <v>8090</v>
      </c>
      <c r="Y495" s="40">
        <v>12070</v>
      </c>
      <c r="Z495" s="49">
        <v>15</v>
      </c>
      <c r="AA495" s="49">
        <v>6</v>
      </c>
    </row>
    <row r="496" spans="1:27" ht="15.75" customHeight="1">
      <c r="A496" s="94"/>
      <c r="B496" s="94"/>
      <c r="C496" s="30" t="s">
        <v>128</v>
      </c>
      <c r="D496" s="16">
        <v>26047.24</v>
      </c>
      <c r="E496" s="16">
        <v>26047.24</v>
      </c>
      <c r="F496" s="16">
        <v>26001.19</v>
      </c>
      <c r="G496" s="16">
        <v>25906.95</v>
      </c>
      <c r="H496" s="16">
        <v>26178.97</v>
      </c>
      <c r="I496" s="16">
        <v>26079.65</v>
      </c>
      <c r="J496" s="16">
        <v>26178.97</v>
      </c>
      <c r="K496" s="16">
        <v>26005.439999999999</v>
      </c>
      <c r="L496" s="16">
        <v>26279.119999999999</v>
      </c>
      <c r="M496" s="31"/>
      <c r="N496" s="31"/>
      <c r="O496" s="31"/>
      <c r="P496" s="31"/>
      <c r="Q496" s="31"/>
      <c r="R496" s="32"/>
      <c r="S496" s="33"/>
      <c r="T496" s="55"/>
      <c r="V496" s="47"/>
      <c r="W496" s="47"/>
      <c r="X496" s="48"/>
      <c r="Y496" s="48"/>
      <c r="Z496" s="49"/>
      <c r="AA496" s="49"/>
    </row>
    <row r="497" spans="1:27" ht="16.5" customHeight="1" thickBot="1">
      <c r="A497" s="94"/>
      <c r="B497" s="94"/>
      <c r="C497" s="34" t="s">
        <v>129</v>
      </c>
      <c r="D497" s="35">
        <f t="shared" ref="D497:L497" si="161">IF(((D495="")*AND(D496="")),"",(D495-D496)*3)</f>
        <v>9100.0499999999956</v>
      </c>
      <c r="E497" s="35">
        <f t="shared" si="161"/>
        <v>9112.1699999999983</v>
      </c>
      <c r="F497" s="35">
        <f t="shared" si="161"/>
        <v>9216.8700000000026</v>
      </c>
      <c r="G497" s="35">
        <f t="shared" si="161"/>
        <v>9520.9199999999983</v>
      </c>
      <c r="H497" s="35">
        <f t="shared" si="161"/>
        <v>9366.7199999999939</v>
      </c>
      <c r="I497" s="35">
        <f t="shared" si="161"/>
        <v>9562.3499999999913</v>
      </c>
      <c r="J497" s="35">
        <f t="shared" si="161"/>
        <v>8716.77</v>
      </c>
      <c r="K497" s="35">
        <f t="shared" si="161"/>
        <v>9227.1300000000083</v>
      </c>
      <c r="L497" s="35">
        <f t="shared" si="161"/>
        <v>9000.8999999999978</v>
      </c>
      <c r="M497" s="36"/>
      <c r="N497" s="36"/>
      <c r="O497" s="36"/>
      <c r="P497" s="36"/>
      <c r="Q497" s="36"/>
      <c r="R497" s="37"/>
      <c r="S497" s="38"/>
      <c r="T497" s="56"/>
      <c r="U497" s="51"/>
      <c r="V497" s="50"/>
      <c r="W497" s="50"/>
      <c r="X497" s="51"/>
      <c r="Y497" s="51"/>
      <c r="Z497" s="52"/>
      <c r="AA497" s="52"/>
    </row>
    <row r="498" spans="1:27">
      <c r="A498" s="95">
        <v>43234</v>
      </c>
      <c r="B498" s="115" t="s">
        <v>429</v>
      </c>
      <c r="C498" s="26" t="s">
        <v>126</v>
      </c>
      <c r="D498" s="16">
        <v>29315.78</v>
      </c>
      <c r="E498" s="16">
        <v>29120.54</v>
      </c>
      <c r="F498" s="16">
        <v>29171.96</v>
      </c>
      <c r="G498" s="16">
        <v>29107.13</v>
      </c>
      <c r="H498" s="16">
        <v>29279.86</v>
      </c>
      <c r="I498" s="16">
        <v>29249.03</v>
      </c>
      <c r="J498" s="16">
        <v>29103.83</v>
      </c>
      <c r="K498" s="16">
        <v>29114.7</v>
      </c>
      <c r="L498" s="16">
        <v>29320.83</v>
      </c>
      <c r="M498" s="27">
        <f>IF((L499=""),"",MAX(D500:L500))</f>
        <v>11336.46</v>
      </c>
      <c r="N498" s="27">
        <f>IF(L499="","",MIN(D500:L500))</f>
        <v>10323.299999999996</v>
      </c>
      <c r="O498" s="27">
        <f>IF((L500=""),"",AVERAGE(D500:L500))</f>
        <v>10923.933333333334</v>
      </c>
      <c r="P498" s="27">
        <f>IF((L499=""),"",STDEV(D500:L500))</f>
        <v>312.02975138594246</v>
      </c>
      <c r="Q498" s="168">
        <f>IF((L499=""),"",((M498-N498)/(M498+P498))*100)</f>
        <v>8.6977798978572078</v>
      </c>
      <c r="R498" s="28" t="str">
        <f>IF(L499="","",IF(Q498&lt;Z498,IF(N498&gt;V498,IF(M498&lt;W498,"Pass","Fail"),"Fail"),"Fail"))</f>
        <v>Pass</v>
      </c>
      <c r="S498" s="29">
        <v>1335</v>
      </c>
      <c r="T498" s="54" t="s">
        <v>222</v>
      </c>
      <c r="U498" s="40"/>
      <c r="V498" s="53">
        <v>9000</v>
      </c>
      <c r="W498" s="22">
        <v>15600</v>
      </c>
      <c r="X498" s="40">
        <v>8090</v>
      </c>
      <c r="Y498" s="40">
        <v>12070</v>
      </c>
      <c r="Z498" s="49">
        <v>15</v>
      </c>
      <c r="AA498" s="49">
        <v>6</v>
      </c>
    </row>
    <row r="499" spans="1:27" ht="15.75" customHeight="1">
      <c r="A499" s="94"/>
      <c r="B499" s="94"/>
      <c r="C499" s="30" t="s">
        <v>128</v>
      </c>
      <c r="D499" s="16">
        <v>25536.959999999999</v>
      </c>
      <c r="E499" s="16">
        <v>25400.29</v>
      </c>
      <c r="F499" s="16">
        <v>25525.37</v>
      </c>
      <c r="G499" s="16">
        <v>25464.97</v>
      </c>
      <c r="H499" s="16">
        <v>25756.04</v>
      </c>
      <c r="I499" s="16">
        <v>25807.93</v>
      </c>
      <c r="J499" s="16">
        <v>25473.040000000001</v>
      </c>
      <c r="K499" s="16">
        <v>25390.6</v>
      </c>
      <c r="L499" s="16">
        <v>25656.66</v>
      </c>
      <c r="M499" s="31"/>
      <c r="N499" s="31"/>
      <c r="O499" s="31"/>
      <c r="P499" s="31"/>
      <c r="Q499" s="31"/>
      <c r="R499" s="32"/>
      <c r="S499" s="33"/>
      <c r="T499" s="55"/>
      <c r="V499" s="47"/>
      <c r="W499" s="47"/>
      <c r="X499" s="48"/>
      <c r="Y499" s="48"/>
      <c r="Z499" s="49"/>
      <c r="AA499" s="49"/>
    </row>
    <row r="500" spans="1:27" ht="16.5" customHeight="1" thickBot="1">
      <c r="A500" s="94"/>
      <c r="B500" s="94"/>
      <c r="C500" s="34" t="s">
        <v>129</v>
      </c>
      <c r="D500" s="35">
        <f t="shared" ref="D500:L500" si="162">IF(((D498="")*AND(D499="")),"",(D498-D499)*3)</f>
        <v>11336.46</v>
      </c>
      <c r="E500" s="35">
        <f t="shared" si="162"/>
        <v>11160.75</v>
      </c>
      <c r="F500" s="35">
        <f t="shared" si="162"/>
        <v>10939.77</v>
      </c>
      <c r="G500" s="35">
        <f t="shared" si="162"/>
        <v>10926.48</v>
      </c>
      <c r="H500" s="35">
        <f t="shared" si="162"/>
        <v>10571.46</v>
      </c>
      <c r="I500" s="35">
        <f t="shared" si="162"/>
        <v>10323.299999999996</v>
      </c>
      <c r="J500" s="35">
        <f t="shared" si="162"/>
        <v>10892.370000000003</v>
      </c>
      <c r="K500" s="35">
        <f t="shared" si="162"/>
        <v>11172.300000000007</v>
      </c>
      <c r="L500" s="35">
        <f t="shared" si="162"/>
        <v>10992.510000000006</v>
      </c>
      <c r="M500" s="36"/>
      <c r="N500" s="36"/>
      <c r="O500" s="36"/>
      <c r="P500" s="36"/>
      <c r="Q500" s="36"/>
      <c r="R500" s="37"/>
      <c r="S500" s="38"/>
      <c r="T500" s="56"/>
      <c r="U500" s="51"/>
      <c r="V500" s="50"/>
      <c r="W500" s="50"/>
      <c r="X500" s="51"/>
      <c r="Y500" s="51"/>
      <c r="Z500" s="52"/>
      <c r="AA500" s="52"/>
    </row>
    <row r="501" spans="1:27">
      <c r="A501" s="95">
        <v>43238</v>
      </c>
      <c r="B501" s="115" t="s">
        <v>429</v>
      </c>
      <c r="C501" s="26" t="s">
        <v>126</v>
      </c>
      <c r="D501" s="16">
        <v>29277</v>
      </c>
      <c r="E501" s="16">
        <v>29068</v>
      </c>
      <c r="F501" s="16">
        <v>29121</v>
      </c>
      <c r="G501" s="16">
        <v>29055</v>
      </c>
      <c r="H501" s="16">
        <v>29298</v>
      </c>
      <c r="I501" s="16">
        <v>29223</v>
      </c>
      <c r="J501" s="16">
        <v>29055</v>
      </c>
      <c r="K501" s="16">
        <v>29050</v>
      </c>
      <c r="L501" s="16">
        <v>29268</v>
      </c>
      <c r="M501" s="27">
        <f>IF((L502=""),"",MAX(D503:L503))</f>
        <v>10650</v>
      </c>
      <c r="N501" s="27">
        <f>IF(L502="","",MIN(D503:L503))</f>
        <v>9861</v>
      </c>
      <c r="O501" s="27">
        <f>IF((L503=""),"",AVERAGE(D503:L503))</f>
        <v>10337.666666666666</v>
      </c>
      <c r="P501" s="27">
        <f>IF((L502=""),"",STDEV(D503:L503))</f>
        <v>254.2951041605009</v>
      </c>
      <c r="Q501" s="168">
        <f>IF((L502=""),"",((M501-N501)/(M501+P501))*100)</f>
        <v>7.2356809171365821</v>
      </c>
      <c r="R501" s="28" t="str">
        <f>IF(L502="","",IF(Q501&lt;Z501,IF(N501&gt;V501,IF(M501&lt;W501,"Pass","Fail"),"Fail"),"Fail"))</f>
        <v>Pass</v>
      </c>
      <c r="S501" s="29">
        <v>1159</v>
      </c>
      <c r="T501" s="54" t="s">
        <v>223</v>
      </c>
      <c r="U501" s="40"/>
      <c r="V501" s="53">
        <v>9000</v>
      </c>
      <c r="W501" s="22">
        <v>15600</v>
      </c>
      <c r="X501" s="40">
        <v>8090</v>
      </c>
      <c r="Y501" s="40">
        <v>12070</v>
      </c>
      <c r="Z501" s="49">
        <v>15</v>
      </c>
      <c r="AA501" s="49">
        <v>6</v>
      </c>
    </row>
    <row r="502" spans="1:27" ht="15.75" customHeight="1">
      <c r="A502" s="94"/>
      <c r="B502" s="94"/>
      <c r="C502" s="30" t="s">
        <v>128</v>
      </c>
      <c r="D502" s="16">
        <v>25990</v>
      </c>
      <c r="E502" s="16">
        <v>25644</v>
      </c>
      <c r="F502" s="16">
        <v>25693</v>
      </c>
      <c r="G502" s="16">
        <v>25543</v>
      </c>
      <c r="H502" s="16">
        <v>25793</v>
      </c>
      <c r="I502" s="16">
        <v>25874</v>
      </c>
      <c r="J502" s="16">
        <v>25600</v>
      </c>
      <c r="K502" s="16">
        <v>25547</v>
      </c>
      <c r="L502" s="16">
        <v>25718</v>
      </c>
      <c r="M502" s="31"/>
      <c r="N502" s="31"/>
      <c r="O502" s="31"/>
      <c r="P502" s="31"/>
      <c r="Q502" s="31"/>
      <c r="R502" s="32"/>
      <c r="S502" s="33"/>
      <c r="T502" s="55"/>
      <c r="V502" s="47"/>
      <c r="W502" s="47"/>
      <c r="X502" s="48"/>
      <c r="Y502" s="48"/>
      <c r="Z502" s="49"/>
      <c r="AA502" s="49"/>
    </row>
    <row r="503" spans="1:27" ht="16.5" customHeight="1" thickBot="1">
      <c r="A503" s="94"/>
      <c r="B503" s="94"/>
      <c r="C503" s="34" t="s">
        <v>129</v>
      </c>
      <c r="D503" s="35">
        <f t="shared" ref="D503:L503" si="163">IF(((D501="")*AND(D502="")),"",(D501-D502)*3)</f>
        <v>9861</v>
      </c>
      <c r="E503" s="35">
        <f t="shared" si="163"/>
        <v>10272</v>
      </c>
      <c r="F503" s="35">
        <f t="shared" si="163"/>
        <v>10284</v>
      </c>
      <c r="G503" s="35">
        <f t="shared" si="163"/>
        <v>10536</v>
      </c>
      <c r="H503" s="35">
        <f t="shared" si="163"/>
        <v>10515</v>
      </c>
      <c r="I503" s="35">
        <f t="shared" si="163"/>
        <v>10047</v>
      </c>
      <c r="J503" s="35">
        <f t="shared" si="163"/>
        <v>10365</v>
      </c>
      <c r="K503" s="35">
        <f t="shared" si="163"/>
        <v>10509</v>
      </c>
      <c r="L503" s="35">
        <f t="shared" si="163"/>
        <v>10650</v>
      </c>
      <c r="M503" s="36"/>
      <c r="N503" s="36"/>
      <c r="O503" s="36"/>
      <c r="P503" s="36"/>
      <c r="Q503" s="36"/>
      <c r="R503" s="37"/>
      <c r="S503" s="38"/>
      <c r="T503" s="56"/>
      <c r="U503" s="51"/>
      <c r="V503" s="50"/>
      <c r="W503" s="50"/>
      <c r="X503" s="51"/>
      <c r="Y503" s="51"/>
      <c r="Z503" s="52"/>
      <c r="AA503" s="52"/>
    </row>
    <row r="504" spans="1:27">
      <c r="A504" s="95">
        <v>43243</v>
      </c>
      <c r="B504" s="115" t="s">
        <v>429</v>
      </c>
      <c r="C504" s="26" t="s">
        <v>126</v>
      </c>
      <c r="D504" s="16">
        <v>29166.86</v>
      </c>
      <c r="E504" s="16">
        <v>29013.09</v>
      </c>
      <c r="F504" s="16">
        <v>29057.119999999999</v>
      </c>
      <c r="G504" s="16">
        <v>29018.26</v>
      </c>
      <c r="H504" s="16">
        <v>29279.85</v>
      </c>
      <c r="I504" s="16">
        <v>29191.11</v>
      </c>
      <c r="J504" s="16">
        <v>29018.6</v>
      </c>
      <c r="K504" s="16">
        <v>29001.84</v>
      </c>
      <c r="L504" s="16">
        <v>29184.99</v>
      </c>
      <c r="M504" s="27">
        <f>IF((L505=""),"",MAX(D506:L506))</f>
        <v>10102.890000000003</v>
      </c>
      <c r="N504" s="27">
        <f>IF(L505="","",MIN(D506:L506))</f>
        <v>9260.5500000000065</v>
      </c>
      <c r="O504" s="27">
        <f>IF((L506=""),"",AVERAGE(D506:L506))</f>
        <v>9683.9833333333336</v>
      </c>
      <c r="P504" s="27">
        <f>IF((L505=""),"",STDEV(D506:L506))</f>
        <v>252.25409248406376</v>
      </c>
      <c r="Q504" s="168">
        <f>IF((L505=""),"",((M504-N504)/(M504+P504))*100)</f>
        <v>8.1345077622954634</v>
      </c>
      <c r="R504" s="28" t="str">
        <f>IF(L505="","",IF(Q504&lt;Z504,IF(N504&gt;V504,IF(M504&lt;W504,"Pass","Fail"),"Fail"),"Fail"))</f>
        <v>Pass</v>
      </c>
      <c r="S504" s="29">
        <v>1159</v>
      </c>
      <c r="T504" s="54" t="s">
        <v>224</v>
      </c>
      <c r="U504" s="40"/>
      <c r="V504" s="53">
        <v>9000</v>
      </c>
      <c r="W504" s="22">
        <v>15600</v>
      </c>
      <c r="X504" s="40">
        <v>8090</v>
      </c>
      <c r="Y504" s="40">
        <v>12070</v>
      </c>
      <c r="Z504" s="49">
        <v>15</v>
      </c>
      <c r="AA504" s="49">
        <v>6</v>
      </c>
    </row>
    <row r="505" spans="1:27" ht="15.75" customHeight="1">
      <c r="A505" s="94"/>
      <c r="B505" s="94"/>
      <c r="C505" s="30" t="s">
        <v>128</v>
      </c>
      <c r="D505" s="16">
        <v>26080.01</v>
      </c>
      <c r="E505" s="16">
        <v>25814.49</v>
      </c>
      <c r="F505" s="16">
        <v>25851.040000000001</v>
      </c>
      <c r="G505" s="16">
        <v>25735.919999999998</v>
      </c>
      <c r="H505" s="16">
        <v>26058.32</v>
      </c>
      <c r="I505" s="16">
        <v>25823.48</v>
      </c>
      <c r="J505" s="16">
        <v>25699.86</v>
      </c>
      <c r="K505" s="16">
        <v>25795.7</v>
      </c>
      <c r="L505" s="16">
        <v>26020.95</v>
      </c>
      <c r="M505" s="31"/>
      <c r="N505" s="31"/>
      <c r="O505" s="31"/>
      <c r="P505" s="31"/>
      <c r="Q505" s="31"/>
      <c r="R505" s="32"/>
      <c r="S505" s="33"/>
      <c r="T505" s="55"/>
      <c r="V505" s="47"/>
      <c r="W505" s="47"/>
      <c r="X505" s="48"/>
      <c r="Y505" s="48"/>
      <c r="Z505" s="49"/>
      <c r="AA505" s="49"/>
    </row>
    <row r="506" spans="1:27" ht="16.5" customHeight="1" thickBot="1">
      <c r="A506" s="94"/>
      <c r="B506" s="94"/>
      <c r="C506" s="34" t="s">
        <v>129</v>
      </c>
      <c r="D506" s="35">
        <f t="shared" ref="D506:L506" si="164">IF(((D504="")*AND(D505="")),"",(D504-D505)*3)</f>
        <v>9260.5500000000065</v>
      </c>
      <c r="E506" s="35">
        <f t="shared" si="164"/>
        <v>9595.7999999999956</v>
      </c>
      <c r="F506" s="35">
        <f t="shared" si="164"/>
        <v>9618.2399999999943</v>
      </c>
      <c r="G506" s="35">
        <f t="shared" si="164"/>
        <v>9847.02</v>
      </c>
      <c r="H506" s="35">
        <f t="shared" si="164"/>
        <v>9664.5899999999965</v>
      </c>
      <c r="I506" s="35">
        <f t="shared" si="164"/>
        <v>10102.890000000003</v>
      </c>
      <c r="J506" s="35">
        <f t="shared" si="164"/>
        <v>9956.2199999999939</v>
      </c>
      <c r="K506" s="35">
        <f t="shared" si="164"/>
        <v>9618.4199999999983</v>
      </c>
      <c r="L506" s="35">
        <f t="shared" si="164"/>
        <v>9492.1200000000026</v>
      </c>
      <c r="M506" s="36"/>
      <c r="N506" s="36"/>
      <c r="O506" s="36"/>
      <c r="P506" s="36"/>
      <c r="Q506" s="36"/>
      <c r="R506" s="37"/>
      <c r="S506" s="38"/>
      <c r="T506" s="56"/>
      <c r="U506" s="51"/>
      <c r="V506" s="50"/>
      <c r="W506" s="50"/>
      <c r="X506" s="51"/>
      <c r="Y506" s="51"/>
      <c r="Z506" s="52"/>
      <c r="AA506" s="52"/>
    </row>
    <row r="507" spans="1:27">
      <c r="A507" s="95">
        <v>43247</v>
      </c>
      <c r="B507" s="115" t="s">
        <v>429</v>
      </c>
      <c r="C507" s="26" t="s">
        <v>126</v>
      </c>
      <c r="D507" s="16">
        <v>29164.21</v>
      </c>
      <c r="E507" s="16">
        <v>29018.27</v>
      </c>
      <c r="F507" s="16">
        <v>29055.98</v>
      </c>
      <c r="G507" s="16">
        <v>28985.82</v>
      </c>
      <c r="H507" s="16">
        <v>29220.06</v>
      </c>
      <c r="I507" s="16">
        <v>29142.14</v>
      </c>
      <c r="J507" s="16">
        <v>28999</v>
      </c>
      <c r="K507" s="16">
        <v>28991.62</v>
      </c>
      <c r="L507" s="16">
        <v>29221.33</v>
      </c>
      <c r="M507" s="27">
        <f>IF((L508=""),"",MAX(D509:L509))</f>
        <v>11028.450000000004</v>
      </c>
      <c r="N507" s="27">
        <f>IF(L508="","",MIN(D509:L509))</f>
        <v>9905.8500000000022</v>
      </c>
      <c r="O507" s="27">
        <f>IF((L509=""),"",AVERAGE(D509:L509))</f>
        <v>10691.463333333335</v>
      </c>
      <c r="P507" s="27">
        <f>IF((L508=""),"",STDEV(D509:L509))</f>
        <v>325.99847422948761</v>
      </c>
      <c r="Q507" s="168">
        <f>IF((L508=""),"",((M507-N507)/(M507+P507))*100)</f>
        <v>9.8868738763304957</v>
      </c>
      <c r="R507" s="28" t="str">
        <f>IF(L508="","",IF(Q507&lt;Z507,IF(N507&gt;V507,IF(M507&lt;W507,"Pass","Fail"),"Fail"),"Fail"))</f>
        <v>Pass</v>
      </c>
      <c r="S507" s="29">
        <v>121</v>
      </c>
      <c r="T507" s="54"/>
      <c r="U507" s="40"/>
      <c r="V507" s="53">
        <v>9000</v>
      </c>
      <c r="W507" s="22">
        <v>15600</v>
      </c>
      <c r="X507" s="40">
        <v>8090</v>
      </c>
      <c r="Y507" s="40">
        <v>12070</v>
      </c>
      <c r="Z507" s="49">
        <v>15</v>
      </c>
      <c r="AA507" s="49">
        <v>6</v>
      </c>
    </row>
    <row r="508" spans="1:27" ht="15.75" customHeight="1">
      <c r="A508" s="94"/>
      <c r="B508" s="94"/>
      <c r="C508" s="30" t="s">
        <v>128</v>
      </c>
      <c r="D508" s="16">
        <v>25534.66</v>
      </c>
      <c r="E508" s="16">
        <v>25342.12</v>
      </c>
      <c r="F508" s="16">
        <v>25479.46</v>
      </c>
      <c r="G508" s="16">
        <v>25461.31</v>
      </c>
      <c r="H508" s="16">
        <v>25918.11</v>
      </c>
      <c r="I508" s="16">
        <v>25602.52</v>
      </c>
      <c r="J508" s="16">
        <v>25407.68</v>
      </c>
      <c r="K508" s="16">
        <v>25365.14</v>
      </c>
      <c r="L508" s="16">
        <v>25613.040000000001</v>
      </c>
      <c r="M508" s="31"/>
      <c r="N508" s="31"/>
      <c r="O508" s="31"/>
      <c r="P508" s="31"/>
      <c r="Q508" s="31"/>
      <c r="R508" s="32"/>
      <c r="S508" s="33"/>
      <c r="T508" s="55"/>
      <c r="V508" s="47"/>
      <c r="W508" s="47"/>
      <c r="X508" s="48"/>
      <c r="Y508" s="48"/>
      <c r="Z508" s="49"/>
      <c r="AA508" s="49"/>
    </row>
    <row r="509" spans="1:27" ht="16.5" customHeight="1" thickBot="1">
      <c r="A509" s="94"/>
      <c r="B509" s="94"/>
      <c r="C509" s="34" t="s">
        <v>129</v>
      </c>
      <c r="D509" s="35">
        <f t="shared" ref="D509:L509" si="165">IF(((D507="")*AND(D508="")),"",(D507-D508)*3)</f>
        <v>10888.649999999998</v>
      </c>
      <c r="E509" s="35">
        <f t="shared" si="165"/>
        <v>11028.450000000004</v>
      </c>
      <c r="F509" s="35">
        <f t="shared" si="165"/>
        <v>10729.560000000001</v>
      </c>
      <c r="G509" s="35">
        <f t="shared" si="165"/>
        <v>10573.529999999995</v>
      </c>
      <c r="H509" s="35">
        <f t="shared" si="165"/>
        <v>9905.8500000000022</v>
      </c>
      <c r="I509" s="35">
        <f t="shared" si="165"/>
        <v>10618.859999999997</v>
      </c>
      <c r="J509" s="35">
        <f t="shared" si="165"/>
        <v>10773.96</v>
      </c>
      <c r="K509" s="35">
        <f t="shared" si="165"/>
        <v>10879.439999999999</v>
      </c>
      <c r="L509" s="35">
        <f t="shared" si="165"/>
        <v>10824.870000000003</v>
      </c>
      <c r="M509" s="36"/>
      <c r="N509" s="36"/>
      <c r="O509" s="36"/>
      <c r="P509" s="36"/>
      <c r="Q509" s="36"/>
      <c r="R509" s="37"/>
      <c r="S509" s="38"/>
      <c r="T509" s="56"/>
      <c r="U509" s="51"/>
      <c r="V509" s="50"/>
      <c r="W509" s="50"/>
      <c r="X509" s="51"/>
      <c r="Y509" s="51"/>
      <c r="Z509" s="52"/>
      <c r="AA509" s="52"/>
    </row>
    <row r="510" spans="1:27">
      <c r="A510" s="95">
        <v>43252</v>
      </c>
      <c r="B510" s="115" t="s">
        <v>429</v>
      </c>
      <c r="C510" s="26" t="s">
        <v>126</v>
      </c>
      <c r="D510" s="16">
        <v>29077.51</v>
      </c>
      <c r="E510" s="16">
        <v>28888.38</v>
      </c>
      <c r="F510" s="16">
        <v>28944.13</v>
      </c>
      <c r="G510" s="16">
        <v>28902.38</v>
      </c>
      <c r="H510" s="16">
        <v>29077.97</v>
      </c>
      <c r="I510" s="16">
        <v>29071</v>
      </c>
      <c r="J510" s="16">
        <v>28881.17</v>
      </c>
      <c r="K510" s="16">
        <v>28892.43</v>
      </c>
      <c r="L510" s="16">
        <v>29101.13</v>
      </c>
      <c r="M510" s="27">
        <f>IF((L511=""),"",MAX(D512:L512))</f>
        <v>11603.310000000001</v>
      </c>
      <c r="N510" s="27">
        <f>IF(L511="","",MIN(D512:L512))</f>
        <v>10316.280000000006</v>
      </c>
      <c r="O510" s="27">
        <f>IF((L512=""),"",AVERAGE(D512:L512))</f>
        <v>11188.213333333333</v>
      </c>
      <c r="P510" s="27">
        <f>IF((L511=""),"",STDEV(D512:L512))</f>
        <v>399.33544877712819</v>
      </c>
      <c r="Q510" s="168">
        <f>IF((L511=""),"",((M510-N510)/(M510+P510))*100)</f>
        <v>10.722886096174092</v>
      </c>
      <c r="R510" s="28" t="str">
        <f>IF(L511="","",IF(Q510&lt;Z510,IF(N510&gt;V510,IF(M510&lt;W510,"Pass","Fail"),"Fail"),"Fail"))</f>
        <v>Pass</v>
      </c>
      <c r="S510" s="29">
        <v>121</v>
      </c>
      <c r="T510" s="54"/>
      <c r="U510" s="40"/>
      <c r="V510" s="53">
        <v>9000</v>
      </c>
      <c r="W510" s="22">
        <v>15600</v>
      </c>
      <c r="X510" s="40">
        <v>8090</v>
      </c>
      <c r="Y510" s="40">
        <v>12070</v>
      </c>
      <c r="Z510" s="49">
        <v>15</v>
      </c>
      <c r="AA510" s="49">
        <v>6</v>
      </c>
    </row>
    <row r="511" spans="1:27" ht="15.75" customHeight="1">
      <c r="A511" s="94"/>
      <c r="B511" s="94"/>
      <c r="C511" s="30" t="s">
        <v>128</v>
      </c>
      <c r="D511" s="16">
        <v>25318.91</v>
      </c>
      <c r="E511" s="16">
        <v>25020.61</v>
      </c>
      <c r="F511" s="16">
        <v>25126.77</v>
      </c>
      <c r="G511" s="16">
        <v>25224.41</v>
      </c>
      <c r="H511" s="16">
        <v>25639.21</v>
      </c>
      <c r="I511" s="16">
        <v>25296.52</v>
      </c>
      <c r="J511" s="16">
        <v>25252</v>
      </c>
      <c r="K511" s="16">
        <v>25141.03</v>
      </c>
      <c r="L511" s="16">
        <v>25252</v>
      </c>
      <c r="M511" s="31"/>
      <c r="N511" s="31"/>
      <c r="O511" s="31"/>
      <c r="P511" s="31"/>
      <c r="Q511" s="31"/>
      <c r="R511" s="32"/>
      <c r="S511" s="33"/>
      <c r="T511" s="55"/>
      <c r="V511" s="47"/>
      <c r="W511" s="47"/>
      <c r="X511" s="48"/>
      <c r="Y511" s="48"/>
      <c r="Z511" s="49"/>
      <c r="AA511" s="49"/>
    </row>
    <row r="512" spans="1:27" ht="16.5" customHeight="1" thickBot="1">
      <c r="A512" s="94"/>
      <c r="B512" s="94"/>
      <c r="C512" s="34" t="s">
        <v>129</v>
      </c>
      <c r="D512" s="35">
        <f t="shared" ref="D512:L512" si="166">IF(((D510="")*AND(D511="")),"",(D510-D511)*3)</f>
        <v>11275.799999999996</v>
      </c>
      <c r="E512" s="35">
        <f t="shared" si="166"/>
        <v>11603.310000000001</v>
      </c>
      <c r="F512" s="35">
        <f t="shared" si="166"/>
        <v>11452.080000000002</v>
      </c>
      <c r="G512" s="35">
        <f t="shared" si="166"/>
        <v>11033.910000000003</v>
      </c>
      <c r="H512" s="35">
        <f t="shared" si="166"/>
        <v>10316.280000000006</v>
      </c>
      <c r="I512" s="35">
        <f t="shared" si="166"/>
        <v>11323.439999999999</v>
      </c>
      <c r="J512" s="35">
        <f t="shared" si="166"/>
        <v>10887.509999999995</v>
      </c>
      <c r="K512" s="35">
        <f t="shared" si="166"/>
        <v>11254.200000000004</v>
      </c>
      <c r="L512" s="35">
        <f t="shared" si="166"/>
        <v>11547.390000000003</v>
      </c>
      <c r="M512" s="36"/>
      <c r="N512" s="36"/>
      <c r="O512" s="36"/>
      <c r="P512" s="36"/>
      <c r="Q512" s="36"/>
      <c r="R512" s="37"/>
      <c r="S512" s="38"/>
      <c r="T512" s="56"/>
      <c r="U512" s="51"/>
      <c r="V512" s="50"/>
      <c r="W512" s="50"/>
      <c r="X512" s="51"/>
      <c r="Y512" s="51"/>
      <c r="Z512" s="52"/>
      <c r="AA512" s="52"/>
    </row>
    <row r="513" spans="1:27">
      <c r="A513" s="95">
        <v>43256</v>
      </c>
      <c r="B513" s="115" t="s">
        <v>429</v>
      </c>
      <c r="C513" s="26" t="s">
        <v>126</v>
      </c>
      <c r="D513" s="16">
        <v>29091.66</v>
      </c>
      <c r="E513" s="16">
        <v>28889.68</v>
      </c>
      <c r="F513" s="16">
        <v>28922.99</v>
      </c>
      <c r="G513" s="16">
        <v>28872.03</v>
      </c>
      <c r="H513" s="16">
        <v>29054.19</v>
      </c>
      <c r="I513" s="16">
        <v>29031.93</v>
      </c>
      <c r="J513" s="16">
        <v>28867.55</v>
      </c>
      <c r="K513" s="16">
        <v>28869.72</v>
      </c>
      <c r="L513" s="16">
        <v>29088.27</v>
      </c>
      <c r="M513" s="27">
        <f>IF((L514=""),"",MAX(D515:L515))</f>
        <v>9871.5899999999965</v>
      </c>
      <c r="N513" s="27">
        <f>IF(L514="","",MIN(D515:L515))</f>
        <v>8607.48</v>
      </c>
      <c r="O513" s="27">
        <f>IF((L515=""),"",AVERAGE(D515:L515))</f>
        <v>9493.4066666666677</v>
      </c>
      <c r="P513" s="27">
        <f>IF((L514=""),"",STDEV(D515:L515))</f>
        <v>378.34502213587098</v>
      </c>
      <c r="Q513" s="168">
        <f>IF((L514=""),"",((M513-N513)/(M513+P513))*100)</f>
        <v>12.332858669542897</v>
      </c>
      <c r="R513" s="28" t="str">
        <f>IF(L514="","",IF(Q513&lt;Z513,IF(N513&gt;V513,IF(M513&lt;W513,"Pass","Fail"),"Fail"),"Fail"))</f>
        <v>Fail</v>
      </c>
      <c r="S513" s="29">
        <v>1335</v>
      </c>
      <c r="T513" s="54"/>
      <c r="U513" s="40"/>
      <c r="V513" s="53">
        <v>9000</v>
      </c>
      <c r="W513" s="22">
        <v>15600</v>
      </c>
      <c r="X513" s="40">
        <v>8090</v>
      </c>
      <c r="Y513" s="40">
        <v>12070</v>
      </c>
      <c r="Z513" s="49">
        <v>15</v>
      </c>
      <c r="AA513" s="49">
        <v>6</v>
      </c>
    </row>
    <row r="514" spans="1:27" ht="15.75" customHeight="1">
      <c r="A514" s="94"/>
      <c r="B514" s="94"/>
      <c r="C514" s="30" t="s">
        <v>128</v>
      </c>
      <c r="D514" s="16">
        <v>25801.13</v>
      </c>
      <c r="E514" s="16">
        <v>25607.55</v>
      </c>
      <c r="F514" s="16">
        <v>25767.15</v>
      </c>
      <c r="G514" s="16">
        <v>25763.01</v>
      </c>
      <c r="H514" s="16">
        <v>26185.03</v>
      </c>
      <c r="I514" s="16">
        <v>25882.89</v>
      </c>
      <c r="J514" s="16">
        <v>25685.37</v>
      </c>
      <c r="K514" s="16">
        <v>25639.38</v>
      </c>
      <c r="L514" s="16">
        <v>25876.29</v>
      </c>
      <c r="M514" s="31"/>
      <c r="N514" s="31"/>
      <c r="O514" s="31"/>
      <c r="P514" s="31"/>
      <c r="Q514" s="31"/>
      <c r="R514" s="32"/>
      <c r="S514" s="33"/>
      <c r="T514" s="55"/>
      <c r="V514" s="47"/>
      <c r="W514" s="47"/>
      <c r="X514" s="48"/>
      <c r="Y514" s="48"/>
      <c r="Z514" s="49"/>
      <c r="AA514" s="49"/>
    </row>
    <row r="515" spans="1:27" ht="16.5" customHeight="1" thickBot="1">
      <c r="A515" s="94"/>
      <c r="B515" s="94"/>
      <c r="C515" s="34" t="s">
        <v>129</v>
      </c>
      <c r="D515" s="35">
        <f t="shared" ref="D515:L515" si="167">IF(((D513="")*AND(D514="")),"",(D513-D514)*3)</f>
        <v>9871.5899999999965</v>
      </c>
      <c r="E515" s="35">
        <f t="shared" si="167"/>
        <v>9846.3900000000031</v>
      </c>
      <c r="F515" s="35">
        <f t="shared" si="167"/>
        <v>9467.52</v>
      </c>
      <c r="G515" s="35">
        <f t="shared" si="167"/>
        <v>9327.0600000000013</v>
      </c>
      <c r="H515" s="35">
        <f t="shared" si="167"/>
        <v>8607.48</v>
      </c>
      <c r="I515" s="35">
        <f t="shared" si="167"/>
        <v>9447.1200000000026</v>
      </c>
      <c r="J515" s="35">
        <f t="shared" si="167"/>
        <v>9546.5400000000009</v>
      </c>
      <c r="K515" s="35">
        <f t="shared" si="167"/>
        <v>9691.02</v>
      </c>
      <c r="L515" s="35">
        <f t="shared" si="167"/>
        <v>9635.9399999999987</v>
      </c>
      <c r="M515" s="36"/>
      <c r="N515" s="36"/>
      <c r="O515" s="36"/>
      <c r="P515" s="36"/>
      <c r="Q515" s="36"/>
      <c r="R515" s="37"/>
      <c r="S515" s="38"/>
      <c r="T515" s="56"/>
      <c r="U515" s="51"/>
      <c r="V515" s="50"/>
      <c r="W515" s="50"/>
      <c r="X515" s="51"/>
      <c r="Y515" s="51"/>
      <c r="Z515" s="52"/>
      <c r="AA515" s="52"/>
    </row>
    <row r="516" spans="1:27">
      <c r="A516" s="95">
        <v>43256</v>
      </c>
      <c r="B516" s="115" t="s">
        <v>429</v>
      </c>
      <c r="C516" s="26" t="s">
        <v>126</v>
      </c>
      <c r="D516" s="16">
        <v>29118.99</v>
      </c>
      <c r="E516" s="16">
        <v>28866.560000000001</v>
      </c>
      <c r="F516" s="16">
        <v>28848.6</v>
      </c>
      <c r="G516" s="16">
        <v>28854.28</v>
      </c>
      <c r="H516" s="16">
        <v>29106.52</v>
      </c>
      <c r="I516" s="16">
        <v>29019.16</v>
      </c>
      <c r="J516" s="16">
        <v>28880.48</v>
      </c>
      <c r="K516" s="16">
        <v>28856.79</v>
      </c>
      <c r="L516" s="16">
        <v>29084.47</v>
      </c>
      <c r="M516" s="27">
        <f>IF((L517=""),"",MAX(D518:L518))</f>
        <v>11409.54</v>
      </c>
      <c r="N516" s="27">
        <f>IF(L517="","",MIN(D518:L518))</f>
        <v>10415.370000000003</v>
      </c>
      <c r="O516" s="27">
        <f>IF((L518=""),"",AVERAGE(D518:L518))</f>
        <v>11089.070000000003</v>
      </c>
      <c r="P516" s="27">
        <f>IF((L517=""),"",STDEV(D518:L518))</f>
        <v>295.11749761735541</v>
      </c>
      <c r="Q516" s="168">
        <f>IF((L517=""),"",((M516-N516)/(M516+P516))*100)</f>
        <v>8.4937983038151721</v>
      </c>
      <c r="R516" s="28" t="str">
        <f>IF(L517="","",IF(Q516&lt;Z516,IF(N516&gt;V516,IF(M516&lt;W516,"Pass","Fail"),"Fail"),"Fail"))</f>
        <v>Pass</v>
      </c>
      <c r="S516" s="29">
        <v>1335</v>
      </c>
      <c r="T516" s="54" t="s">
        <v>225</v>
      </c>
      <c r="U516" s="40"/>
      <c r="V516" s="53">
        <v>9000</v>
      </c>
      <c r="W516" s="22">
        <v>15600</v>
      </c>
      <c r="X516" s="40">
        <v>8090</v>
      </c>
      <c r="Y516" s="40">
        <v>12070</v>
      </c>
      <c r="Z516" s="49">
        <v>15</v>
      </c>
      <c r="AA516" s="49">
        <v>6</v>
      </c>
    </row>
    <row r="517" spans="1:27" ht="15.75" customHeight="1">
      <c r="A517" s="94"/>
      <c r="B517" s="94"/>
      <c r="C517" s="30" t="s">
        <v>128</v>
      </c>
      <c r="D517" s="16">
        <v>25647.200000000001</v>
      </c>
      <c r="E517" s="16">
        <v>25202.69</v>
      </c>
      <c r="F517" s="16">
        <v>25141.63</v>
      </c>
      <c r="G517" s="16">
        <v>25055.58</v>
      </c>
      <c r="H517" s="16">
        <v>25352.560000000001</v>
      </c>
      <c r="I517" s="16">
        <v>25339.69</v>
      </c>
      <c r="J517" s="16">
        <v>25077.3</v>
      </c>
      <c r="K517" s="16">
        <v>25149.42</v>
      </c>
      <c r="L517" s="16">
        <v>25402.57</v>
      </c>
      <c r="M517" s="31"/>
      <c r="N517" s="31"/>
      <c r="O517" s="31"/>
      <c r="P517" s="31"/>
      <c r="Q517" s="31"/>
      <c r="R517" s="32"/>
      <c r="S517" s="33"/>
      <c r="T517" s="55"/>
      <c r="V517" s="47"/>
      <c r="W517" s="47"/>
      <c r="X517" s="48"/>
      <c r="Y517" s="48"/>
      <c r="Z517" s="49"/>
      <c r="AA517" s="49"/>
    </row>
    <row r="518" spans="1:27" ht="16.5" customHeight="1" thickBot="1">
      <c r="A518" s="94"/>
      <c r="B518" s="94"/>
      <c r="C518" s="34" t="s">
        <v>129</v>
      </c>
      <c r="D518" s="35">
        <f t="shared" ref="D518:L518" si="168">IF(((D516="")*AND(D517="")),"",(D516-D517)*3)</f>
        <v>10415.370000000003</v>
      </c>
      <c r="E518" s="35">
        <f t="shared" si="168"/>
        <v>10991.610000000008</v>
      </c>
      <c r="F518" s="35">
        <f t="shared" si="168"/>
        <v>11120.909999999993</v>
      </c>
      <c r="G518" s="35">
        <f t="shared" si="168"/>
        <v>11396.099999999991</v>
      </c>
      <c r="H518" s="35">
        <f t="shared" si="168"/>
        <v>11261.879999999997</v>
      </c>
      <c r="I518" s="35">
        <f t="shared" si="168"/>
        <v>11038.410000000003</v>
      </c>
      <c r="J518" s="35">
        <f t="shared" si="168"/>
        <v>11409.54</v>
      </c>
      <c r="K518" s="35">
        <f t="shared" si="168"/>
        <v>11122.110000000008</v>
      </c>
      <c r="L518" s="35">
        <f t="shared" si="168"/>
        <v>11045.700000000004</v>
      </c>
      <c r="M518" s="36"/>
      <c r="N518" s="36"/>
      <c r="O518" s="36"/>
      <c r="P518" s="36"/>
      <c r="Q518" s="36"/>
      <c r="R518" s="37"/>
      <c r="S518" s="38"/>
      <c r="T518" s="56"/>
      <c r="U518" s="51"/>
      <c r="V518" s="50"/>
      <c r="W518" s="50"/>
      <c r="X518" s="51"/>
      <c r="Y518" s="51"/>
      <c r="Z518" s="52"/>
      <c r="AA518" s="52"/>
    </row>
    <row r="519" spans="1:27">
      <c r="A519" s="95">
        <v>43260</v>
      </c>
      <c r="B519" s="115" t="s">
        <v>429</v>
      </c>
      <c r="C519" s="26" t="s">
        <v>126</v>
      </c>
      <c r="D519" s="16">
        <v>28995.94</v>
      </c>
      <c r="E519" s="16">
        <v>28838.15</v>
      </c>
      <c r="F519" s="16">
        <v>28882.5</v>
      </c>
      <c r="G519" s="16">
        <v>28841.47</v>
      </c>
      <c r="H519" s="16">
        <v>29038.11</v>
      </c>
      <c r="I519" s="16">
        <v>28993.19</v>
      </c>
      <c r="J519" s="16">
        <v>28823.94</v>
      </c>
      <c r="K519" s="16">
        <v>28833.63</v>
      </c>
      <c r="L519" s="16">
        <v>29028.04</v>
      </c>
      <c r="M519" s="27">
        <f>IF((L520=""),"",MAX(D521:L521))</f>
        <v>10047.330000000002</v>
      </c>
      <c r="N519" s="27">
        <f>IF(L520="","",MIN(D521:L521))</f>
        <v>9419.73</v>
      </c>
      <c r="O519" s="27">
        <f>IF((L521=""),"",AVERAGE(D521:L521))</f>
        <v>9689.9166666666661</v>
      </c>
      <c r="P519" s="27">
        <f>IF((L520=""),"",STDEV(D521:L521))</f>
        <v>201.95121514854276</v>
      </c>
      <c r="Q519" s="168">
        <f>IF((L520=""),"",((M519-N519)/(M519+P519))*100)</f>
        <v>6.1233562317755785</v>
      </c>
      <c r="R519" s="28" t="str">
        <f>IF(L520="","",IF(Q519&lt;Z519,IF(N519&gt;V519,IF(M519&lt;W519,"Pass","Fail"),"Fail"),"Fail"))</f>
        <v>Pass</v>
      </c>
      <c r="S519" s="29">
        <v>121</v>
      </c>
      <c r="T519" s="54" t="s">
        <v>226</v>
      </c>
      <c r="U519" s="40"/>
      <c r="V519" s="53">
        <v>9000</v>
      </c>
      <c r="W519" s="22">
        <v>15600</v>
      </c>
      <c r="X519" s="40">
        <v>8090</v>
      </c>
      <c r="Y519" s="40">
        <v>12070</v>
      </c>
      <c r="Z519" s="49">
        <v>15</v>
      </c>
      <c r="AA519" s="49">
        <v>6</v>
      </c>
    </row>
    <row r="520" spans="1:27" ht="15.75" customHeight="1">
      <c r="A520" s="94"/>
      <c r="B520" s="94"/>
      <c r="C520" s="30" t="s">
        <v>128</v>
      </c>
      <c r="D520" s="16">
        <v>25743.45</v>
      </c>
      <c r="E520" s="16">
        <v>25553.65</v>
      </c>
      <c r="F520" s="16">
        <v>25696.84</v>
      </c>
      <c r="G520" s="16">
        <v>25682.22</v>
      </c>
      <c r="H520" s="16">
        <v>25689</v>
      </c>
      <c r="I520" s="16">
        <v>25853.279999999999</v>
      </c>
      <c r="J520" s="16">
        <v>25636.36</v>
      </c>
      <c r="K520" s="16">
        <v>25564.06</v>
      </c>
      <c r="L520" s="16">
        <v>25786.36</v>
      </c>
      <c r="M520" s="31"/>
      <c r="N520" s="31"/>
      <c r="O520" s="31"/>
      <c r="P520" s="31"/>
      <c r="Q520" s="31"/>
      <c r="R520" s="32"/>
      <c r="S520" s="33"/>
      <c r="T520" s="55"/>
      <c r="V520" s="47"/>
      <c r="W520" s="47"/>
      <c r="X520" s="48"/>
      <c r="Y520" s="48"/>
      <c r="Z520" s="49"/>
      <c r="AA520" s="49"/>
    </row>
    <row r="521" spans="1:27" ht="16.5" customHeight="1" thickBot="1">
      <c r="A521" s="94"/>
      <c r="B521" s="94"/>
      <c r="C521" s="34" t="s">
        <v>129</v>
      </c>
      <c r="D521" s="35">
        <f t="shared" ref="D521:L521" si="169">IF(((D519="")*AND(D520="")),"",(D519-D520)*3)</f>
        <v>9757.4699999999939</v>
      </c>
      <c r="E521" s="35">
        <f t="shared" si="169"/>
        <v>9853.5</v>
      </c>
      <c r="F521" s="35">
        <f t="shared" si="169"/>
        <v>9556.98</v>
      </c>
      <c r="G521" s="35">
        <f t="shared" si="169"/>
        <v>9477.75</v>
      </c>
      <c r="H521" s="35">
        <f t="shared" si="169"/>
        <v>10047.330000000002</v>
      </c>
      <c r="I521" s="35">
        <f t="shared" si="169"/>
        <v>9419.73</v>
      </c>
      <c r="J521" s="35">
        <f t="shared" si="169"/>
        <v>9562.7399999999943</v>
      </c>
      <c r="K521" s="35">
        <f t="shared" si="169"/>
        <v>9808.7099999999991</v>
      </c>
      <c r="L521" s="35">
        <f t="shared" si="169"/>
        <v>9725.0400000000009</v>
      </c>
      <c r="M521" s="36"/>
      <c r="N521" s="36"/>
      <c r="O521" s="36"/>
      <c r="P521" s="36"/>
      <c r="Q521" s="36"/>
      <c r="R521" s="37"/>
      <c r="S521" s="38"/>
      <c r="T521" s="56"/>
      <c r="U521" s="51"/>
      <c r="V521" s="50"/>
      <c r="W521" s="50"/>
      <c r="X521" s="51"/>
      <c r="Y521" s="51"/>
      <c r="Z521" s="52"/>
      <c r="AA521" s="52"/>
    </row>
    <row r="522" spans="1:27">
      <c r="A522" s="95">
        <v>43265</v>
      </c>
      <c r="B522" s="115" t="s">
        <v>429</v>
      </c>
      <c r="C522" s="26" t="s">
        <v>126</v>
      </c>
      <c r="D522" s="16">
        <v>29005.91</v>
      </c>
      <c r="E522" s="16">
        <v>28844.07</v>
      </c>
      <c r="F522" s="16">
        <v>28835.65</v>
      </c>
      <c r="G522" s="16">
        <v>28841.98</v>
      </c>
      <c r="H522" s="16">
        <v>29053.07</v>
      </c>
      <c r="I522" s="16">
        <v>29008.66</v>
      </c>
      <c r="J522" s="16">
        <v>28824.82</v>
      </c>
      <c r="K522" s="16">
        <v>28834.89</v>
      </c>
      <c r="L522" s="16">
        <v>29055.43</v>
      </c>
      <c r="M522" s="27">
        <f>IF((L523=""),"",MAX(D524:L524))</f>
        <v>9720.8700000000026</v>
      </c>
      <c r="N522" s="27">
        <f>IF(L523="","",MIN(D524:L524))</f>
        <v>8241.9599999999991</v>
      </c>
      <c r="O522" s="27">
        <f>IF((L524=""),"",AVERAGE(D524:L524))</f>
        <v>9333.8099999999977</v>
      </c>
      <c r="P522" s="27">
        <f>IF((L523=""),"",STDEV(D524:L524))</f>
        <v>464.2539702576878</v>
      </c>
      <c r="Q522" s="168">
        <f>IF((L523=""),"",((M522-N522)/(M522+P522))*100)</f>
        <v>14.520294542498203</v>
      </c>
      <c r="R522" s="28" t="str">
        <f>IF(L523="","",IF(Q522&lt;Z522,IF(N522&gt;V522,IF(M522&lt;W522,"Pass","Fail"),"Fail"),"Fail"))</f>
        <v>Fail</v>
      </c>
      <c r="S522" s="29">
        <v>1159</v>
      </c>
      <c r="T522" s="54"/>
      <c r="U522" s="40"/>
      <c r="V522" s="53">
        <v>9000</v>
      </c>
      <c r="W522" s="22">
        <v>15600</v>
      </c>
      <c r="X522" s="40">
        <v>8090</v>
      </c>
      <c r="Y522" s="40">
        <v>12070</v>
      </c>
      <c r="Z522" s="49">
        <v>15</v>
      </c>
      <c r="AA522" s="49">
        <v>6</v>
      </c>
    </row>
    <row r="523" spans="1:27" ht="15.75" customHeight="1">
      <c r="A523" s="94"/>
      <c r="B523" s="94"/>
      <c r="C523" s="30" t="s">
        <v>128</v>
      </c>
      <c r="D523" s="16">
        <v>26258.59</v>
      </c>
      <c r="E523" s="16">
        <v>25790.63</v>
      </c>
      <c r="F523" s="16">
        <v>25722.42</v>
      </c>
      <c r="G523" s="16">
        <v>25601.69</v>
      </c>
      <c r="H523" s="16">
        <v>25813.24</v>
      </c>
      <c r="I523" s="16">
        <v>25797.97</v>
      </c>
      <c r="J523" s="16">
        <v>25609.9</v>
      </c>
      <c r="K523" s="16">
        <v>25720.15</v>
      </c>
      <c r="L523" s="16">
        <v>25988.46</v>
      </c>
      <c r="M523" s="31"/>
      <c r="N523" s="31"/>
      <c r="O523" s="31"/>
      <c r="P523" s="31"/>
      <c r="Q523" s="31"/>
      <c r="R523" s="32"/>
      <c r="S523" s="33"/>
      <c r="T523" s="55"/>
      <c r="V523" s="47"/>
      <c r="W523" s="47"/>
      <c r="X523" s="48"/>
      <c r="Y523" s="48"/>
      <c r="Z523" s="49"/>
      <c r="AA523" s="49"/>
    </row>
    <row r="524" spans="1:27" ht="16.5" customHeight="1" thickBot="1">
      <c r="A524" s="94"/>
      <c r="B524" s="94"/>
      <c r="C524" s="34" t="s">
        <v>129</v>
      </c>
      <c r="D524" s="35">
        <f t="shared" ref="D524:L524" si="170">IF(((D522="")*AND(D523="")),"",(D522-D523)*3)</f>
        <v>8241.9599999999991</v>
      </c>
      <c r="E524" s="35">
        <f t="shared" si="170"/>
        <v>9160.3199999999961</v>
      </c>
      <c r="F524" s="35">
        <f t="shared" si="170"/>
        <v>9339.6900000000096</v>
      </c>
      <c r="G524" s="35">
        <f t="shared" si="170"/>
        <v>9720.8700000000026</v>
      </c>
      <c r="H524" s="35">
        <f t="shared" si="170"/>
        <v>9719.4899999999943</v>
      </c>
      <c r="I524" s="35">
        <f t="shared" si="170"/>
        <v>9632.0699999999961</v>
      </c>
      <c r="J524" s="35">
        <f t="shared" si="170"/>
        <v>9644.7599999999948</v>
      </c>
      <c r="K524" s="35">
        <f t="shared" si="170"/>
        <v>9344.2199999999939</v>
      </c>
      <c r="L524" s="35">
        <f t="shared" si="170"/>
        <v>9200.9100000000035</v>
      </c>
      <c r="M524" s="36"/>
      <c r="N524" s="36"/>
      <c r="O524" s="36"/>
      <c r="P524" s="36"/>
      <c r="Q524" s="36"/>
      <c r="R524" s="37"/>
      <c r="S524" s="38"/>
      <c r="T524" s="56"/>
      <c r="U524" s="51"/>
      <c r="V524" s="50"/>
      <c r="W524" s="50"/>
      <c r="X524" s="51"/>
      <c r="Y524" s="51"/>
      <c r="Z524" s="52"/>
      <c r="AA524" s="52"/>
    </row>
    <row r="525" spans="1:27">
      <c r="A525" s="95">
        <v>43265</v>
      </c>
      <c r="B525" s="115" t="s">
        <v>429</v>
      </c>
      <c r="C525" s="26" t="s">
        <v>126</v>
      </c>
      <c r="D525" s="16">
        <v>29036.79</v>
      </c>
      <c r="E525" s="16">
        <v>28865.94</v>
      </c>
      <c r="F525" s="16">
        <v>28848.58</v>
      </c>
      <c r="G525" s="16">
        <v>28855.54</v>
      </c>
      <c r="H525" s="16">
        <v>29030.639999999999</v>
      </c>
      <c r="I525" s="16">
        <v>28998.26</v>
      </c>
      <c r="J525" s="16">
        <v>28845.43</v>
      </c>
      <c r="K525" s="16">
        <v>28866.81</v>
      </c>
      <c r="L525" s="16">
        <v>29099.23</v>
      </c>
      <c r="M525" s="27">
        <f>IF((L526=""),"",MAX(D527:L527))</f>
        <v>9973.1099999999969</v>
      </c>
      <c r="N525" s="27">
        <f>IF(L526="","",MIN(D527:L527))</f>
        <v>9016.8900000000031</v>
      </c>
      <c r="O525" s="27">
        <f>IF((L527=""),"",AVERAGE(D527:L527))</f>
        <v>9567.1533333333336</v>
      </c>
      <c r="P525" s="27">
        <f>IF((L526=""),"",STDEV(D527:L527))</f>
        <v>299.91166303598385</v>
      </c>
      <c r="Q525" s="168">
        <f>IF((L526=""),"",((M525-N525)/(M525+P525))*100)</f>
        <v>9.3080695375210833</v>
      </c>
      <c r="R525" s="28" t="str">
        <f>IF(L526="","",IF(Q525&lt;Z525,IF(N525&gt;V525,IF(M525&lt;W525,"Pass","Fail"),"Fail"),"Fail"))</f>
        <v>Pass</v>
      </c>
      <c r="S525" s="29">
        <v>1159</v>
      </c>
      <c r="T525" s="54" t="s">
        <v>227</v>
      </c>
      <c r="U525" s="40"/>
      <c r="V525" s="53">
        <v>9000</v>
      </c>
      <c r="W525" s="22">
        <v>15600</v>
      </c>
      <c r="X525" s="40">
        <v>8090</v>
      </c>
      <c r="Y525" s="40">
        <v>12070</v>
      </c>
      <c r="Z525" s="49">
        <v>15</v>
      </c>
      <c r="AA525" s="49">
        <v>6</v>
      </c>
    </row>
    <row r="526" spans="1:27" ht="15.75" customHeight="1">
      <c r="A526" s="94"/>
      <c r="B526" s="94"/>
      <c r="C526" s="30" t="s">
        <v>128</v>
      </c>
      <c r="D526" s="16">
        <v>26031.16</v>
      </c>
      <c r="E526" s="16">
        <v>25750.51</v>
      </c>
      <c r="F526" s="16">
        <v>25705.47</v>
      </c>
      <c r="G526" s="16">
        <v>25617.39</v>
      </c>
      <c r="H526" s="16">
        <v>25706.27</v>
      </c>
      <c r="I526" s="16">
        <v>25682.560000000001</v>
      </c>
      <c r="J526" s="16">
        <v>25634.82</v>
      </c>
      <c r="K526" s="16">
        <v>25716.17</v>
      </c>
      <c r="L526" s="16">
        <v>25901.41</v>
      </c>
      <c r="M526" s="31"/>
      <c r="N526" s="31"/>
      <c r="O526" s="31"/>
      <c r="P526" s="31"/>
      <c r="Q526" s="31"/>
      <c r="R526" s="32"/>
      <c r="S526" s="33"/>
      <c r="T526" s="55"/>
      <c r="V526" s="47"/>
      <c r="W526" s="47"/>
      <c r="X526" s="48"/>
      <c r="Y526" s="48"/>
      <c r="Z526" s="49"/>
      <c r="AA526" s="49"/>
    </row>
    <row r="527" spans="1:27" ht="16.5" customHeight="1" thickBot="1">
      <c r="A527" s="94"/>
      <c r="B527" s="94"/>
      <c r="C527" s="34" t="s">
        <v>129</v>
      </c>
      <c r="D527" s="35">
        <f t="shared" ref="D527:L527" si="171">IF(((D525="")*AND(D526="")),"",(D525-D526)*3)</f>
        <v>9016.8900000000031</v>
      </c>
      <c r="E527" s="35">
        <f t="shared" si="171"/>
        <v>9346.2900000000009</v>
      </c>
      <c r="F527" s="35">
        <f t="shared" si="171"/>
        <v>9429.3300000000017</v>
      </c>
      <c r="G527" s="35">
        <f t="shared" si="171"/>
        <v>9714.4500000000044</v>
      </c>
      <c r="H527" s="35">
        <f t="shared" si="171"/>
        <v>9973.1099999999969</v>
      </c>
      <c r="I527" s="35">
        <f t="shared" si="171"/>
        <v>9947.0999999999913</v>
      </c>
      <c r="J527" s="35">
        <f t="shared" si="171"/>
        <v>9631.8300000000017</v>
      </c>
      <c r="K527" s="35">
        <f t="shared" si="171"/>
        <v>9451.9200000000092</v>
      </c>
      <c r="L527" s="35">
        <f t="shared" si="171"/>
        <v>9593.4599999999991</v>
      </c>
      <c r="M527" s="36"/>
      <c r="N527" s="36"/>
      <c r="O527" s="36"/>
      <c r="P527" s="36"/>
      <c r="Q527" s="36"/>
      <c r="R527" s="37"/>
      <c r="S527" s="38"/>
      <c r="T527" s="56"/>
      <c r="U527" s="51"/>
      <c r="V527" s="50"/>
      <c r="W527" s="50"/>
      <c r="X527" s="51"/>
      <c r="Y527" s="51"/>
      <c r="Z527" s="52"/>
      <c r="AA527" s="52"/>
    </row>
    <row r="528" spans="1:27">
      <c r="A528" s="95">
        <v>43271</v>
      </c>
      <c r="B528" s="115" t="s">
        <v>429</v>
      </c>
      <c r="C528" s="26" t="s">
        <v>126</v>
      </c>
      <c r="D528" s="16">
        <v>29069</v>
      </c>
      <c r="E528" s="16">
        <v>28956</v>
      </c>
      <c r="F528" s="16">
        <v>28971</v>
      </c>
      <c r="G528" s="16">
        <v>28957</v>
      </c>
      <c r="H528" s="16">
        <v>29047</v>
      </c>
      <c r="I528" s="16">
        <v>29050</v>
      </c>
      <c r="J528" s="16">
        <v>28951</v>
      </c>
      <c r="K528" s="16">
        <v>28957</v>
      </c>
      <c r="L528" s="16">
        <v>29051</v>
      </c>
      <c r="M528" s="27">
        <f>IF((L529=""),"",MAX(D530:L530))</f>
        <v>10551</v>
      </c>
      <c r="N528" s="27">
        <f>IF(L529="","",MIN(D530:L530))</f>
        <v>9222</v>
      </c>
      <c r="O528" s="27">
        <f>IF((L530=""),"",AVERAGE(D530:L530))</f>
        <v>10157.666666666666</v>
      </c>
      <c r="P528" s="27">
        <f>IF((L529=""),"",STDEV(D530:L530))</f>
        <v>395.78813777070178</v>
      </c>
      <c r="Q528" s="168">
        <f>IF((L529=""),"",((M528-N528)/(M528+P528))*100)</f>
        <v>12.140547375850183</v>
      </c>
      <c r="R528" s="28" t="str">
        <f>IF(L529="","",IF(Q528&lt;Z528,IF(N528&gt;V528,IF(M528&lt;W528,"Pass","Fail"),"Fail"),"Fail"))</f>
        <v>Pass</v>
      </c>
      <c r="S528" s="29">
        <v>1519</v>
      </c>
      <c r="T528" s="54"/>
      <c r="U528" s="40"/>
      <c r="V528" s="53">
        <v>9000</v>
      </c>
      <c r="W528" s="22">
        <v>15600</v>
      </c>
      <c r="X528" s="40">
        <v>8090</v>
      </c>
      <c r="Y528" s="40">
        <v>12070</v>
      </c>
      <c r="Z528" s="49">
        <v>15</v>
      </c>
      <c r="AA528" s="49">
        <v>6</v>
      </c>
    </row>
    <row r="529" spans="1:27" ht="15.75" customHeight="1">
      <c r="A529" s="94"/>
      <c r="B529" s="94"/>
      <c r="C529" s="30" t="s">
        <v>128</v>
      </c>
      <c r="D529" s="16">
        <v>25552</v>
      </c>
      <c r="E529" s="16">
        <v>25479</v>
      </c>
      <c r="F529" s="16">
        <v>25580</v>
      </c>
      <c r="G529" s="16">
        <v>25622</v>
      </c>
      <c r="H529" s="16">
        <v>25973</v>
      </c>
      <c r="I529" s="16">
        <v>25698</v>
      </c>
      <c r="J529" s="16">
        <v>25554</v>
      </c>
      <c r="K529" s="16">
        <v>25498</v>
      </c>
      <c r="L529" s="16">
        <v>25580</v>
      </c>
      <c r="M529" s="31"/>
      <c r="N529" s="31"/>
      <c r="O529" s="31"/>
      <c r="P529" s="31"/>
      <c r="Q529" s="31"/>
      <c r="R529" s="32"/>
      <c r="S529" s="33"/>
      <c r="T529" s="55"/>
      <c r="V529" s="47"/>
      <c r="W529" s="47"/>
      <c r="X529" s="48"/>
      <c r="Y529" s="48"/>
      <c r="Z529" s="49"/>
      <c r="AA529" s="49"/>
    </row>
    <row r="530" spans="1:27" ht="16.5" customHeight="1" thickBot="1">
      <c r="A530" s="94"/>
      <c r="B530" s="94"/>
      <c r="C530" s="34" t="s">
        <v>129</v>
      </c>
      <c r="D530" s="35">
        <f t="shared" ref="D530:L530" si="172">IF(((D528="")*AND(D529="")),"",(D528-D529)*3)</f>
        <v>10551</v>
      </c>
      <c r="E530" s="35">
        <f t="shared" si="172"/>
        <v>10431</v>
      </c>
      <c r="F530" s="35">
        <f t="shared" si="172"/>
        <v>10173</v>
      </c>
      <c r="G530" s="35">
        <f t="shared" si="172"/>
        <v>10005</v>
      </c>
      <c r="H530" s="35">
        <f t="shared" si="172"/>
        <v>9222</v>
      </c>
      <c r="I530" s="35">
        <f t="shared" si="172"/>
        <v>10056</v>
      </c>
      <c r="J530" s="35">
        <f t="shared" si="172"/>
        <v>10191</v>
      </c>
      <c r="K530" s="35">
        <f t="shared" si="172"/>
        <v>10377</v>
      </c>
      <c r="L530" s="35">
        <f t="shared" si="172"/>
        <v>10413</v>
      </c>
      <c r="M530" s="36"/>
      <c r="N530" s="36"/>
      <c r="O530" s="36"/>
      <c r="P530" s="36"/>
      <c r="Q530" s="36"/>
      <c r="R530" s="37"/>
      <c r="S530" s="38"/>
      <c r="T530" s="56"/>
      <c r="U530" s="51"/>
      <c r="V530" s="50"/>
      <c r="W530" s="50"/>
      <c r="X530" s="51"/>
      <c r="Y530" s="51"/>
      <c r="Z530" s="52"/>
      <c r="AA530" s="52"/>
    </row>
    <row r="531" spans="1:27">
      <c r="A531" s="95">
        <v>43276</v>
      </c>
      <c r="B531" s="115" t="s">
        <v>429</v>
      </c>
      <c r="C531" s="26" t="s">
        <v>126</v>
      </c>
      <c r="D531" s="16">
        <v>28948.66</v>
      </c>
      <c r="E531" s="16">
        <v>28904.41</v>
      </c>
      <c r="F531" s="16">
        <v>28941.68</v>
      </c>
      <c r="G531" s="16">
        <v>28878.09</v>
      </c>
      <c r="H531" s="16">
        <v>28966.880000000001</v>
      </c>
      <c r="I531" s="16">
        <v>28972.16</v>
      </c>
      <c r="J531" s="16">
        <v>28894.62</v>
      </c>
      <c r="K531" s="16">
        <v>28866.240000000002</v>
      </c>
      <c r="L531" s="16">
        <v>28925.13</v>
      </c>
      <c r="M531" s="27">
        <f>IF((L532=""),"",MAX(D533:L533))</f>
        <v>11571.21</v>
      </c>
      <c r="N531" s="27">
        <f>IF(L532="","",MIN(D533:L533))</f>
        <v>10500.120000000003</v>
      </c>
      <c r="O531" s="27">
        <f>IF((L533=""),"",AVERAGE(D533:L533))</f>
        <v>11244.92</v>
      </c>
      <c r="P531" s="27">
        <f>IF((L532=""),"",STDEV(D533:L533))</f>
        <v>333.58466241724585</v>
      </c>
      <c r="Q531" s="168">
        <f>IF((L532=""),"",((M531-N531)/(M531+P531))*100)</f>
        <v>8.9971312431063275</v>
      </c>
      <c r="R531" s="28" t="str">
        <f>IF(L532="","",IF(Q531&lt;Z531,IF(N531&gt;V531,IF(M531&lt;W531,"Pass","Fail"),"Fail"),"Fail"))</f>
        <v>Pass</v>
      </c>
      <c r="S531" s="29">
        <v>1335</v>
      </c>
      <c r="T531" s="54" t="s">
        <v>228</v>
      </c>
      <c r="U531" s="40"/>
      <c r="V531" s="53">
        <v>9000</v>
      </c>
      <c r="W531" s="22">
        <v>15600</v>
      </c>
      <c r="X531" s="40">
        <v>8090</v>
      </c>
      <c r="Y531" s="40">
        <v>12070</v>
      </c>
      <c r="Z531" s="49">
        <v>15</v>
      </c>
      <c r="AA531" s="49">
        <v>6</v>
      </c>
    </row>
    <row r="532" spans="1:27" ht="15.75" customHeight="1">
      <c r="A532" s="94"/>
      <c r="B532" s="94"/>
      <c r="C532" s="30" t="s">
        <v>128</v>
      </c>
      <c r="D532" s="16">
        <v>25448.62</v>
      </c>
      <c r="E532" s="16">
        <v>25172.83</v>
      </c>
      <c r="F532" s="16">
        <v>25178.16</v>
      </c>
      <c r="G532" s="16">
        <v>25021.02</v>
      </c>
      <c r="H532" s="16">
        <v>25130.080000000002</v>
      </c>
      <c r="I532" s="16">
        <v>25167.87</v>
      </c>
      <c r="J532" s="16">
        <v>25059.65</v>
      </c>
      <c r="K532" s="16">
        <v>25128.35</v>
      </c>
      <c r="L532" s="16">
        <v>25256.53</v>
      </c>
      <c r="M532" s="31"/>
      <c r="N532" s="31"/>
      <c r="O532" s="31"/>
      <c r="P532" s="31"/>
      <c r="Q532" s="31"/>
      <c r="R532" s="32"/>
      <c r="S532" s="33"/>
      <c r="T532" s="55"/>
      <c r="V532" s="47"/>
      <c r="W532" s="47"/>
      <c r="X532" s="48"/>
      <c r="Y532" s="48"/>
      <c r="Z532" s="49"/>
      <c r="AA532" s="49"/>
    </row>
    <row r="533" spans="1:27" ht="16.5" customHeight="1" thickBot="1">
      <c r="A533" s="94"/>
      <c r="B533" s="94"/>
      <c r="C533" s="34" t="s">
        <v>129</v>
      </c>
      <c r="D533" s="35">
        <f t="shared" ref="D533:L533" si="173">IF(((D531="")*AND(D532="")),"",(D531-D532)*3)</f>
        <v>10500.120000000003</v>
      </c>
      <c r="E533" s="35">
        <f t="shared" si="173"/>
        <v>11194.739999999994</v>
      </c>
      <c r="F533" s="35">
        <f t="shared" si="173"/>
        <v>11290.560000000001</v>
      </c>
      <c r="G533" s="35">
        <f t="shared" si="173"/>
        <v>11571.21</v>
      </c>
      <c r="H533" s="35">
        <f t="shared" si="173"/>
        <v>11510.399999999998</v>
      </c>
      <c r="I533" s="35">
        <f t="shared" si="173"/>
        <v>11412.870000000003</v>
      </c>
      <c r="J533" s="35">
        <f t="shared" si="173"/>
        <v>11504.909999999993</v>
      </c>
      <c r="K533" s="35">
        <f t="shared" si="173"/>
        <v>11213.670000000009</v>
      </c>
      <c r="L533" s="35">
        <f t="shared" si="173"/>
        <v>11005.800000000007</v>
      </c>
      <c r="M533" s="36"/>
      <c r="N533" s="36"/>
      <c r="O533" s="36"/>
      <c r="P533" s="36"/>
      <c r="Q533" s="36"/>
      <c r="R533" s="37"/>
      <c r="S533" s="38"/>
      <c r="T533" s="56"/>
      <c r="U533" s="51"/>
      <c r="V533" s="50"/>
      <c r="W533" s="50"/>
      <c r="X533" s="51"/>
      <c r="Y533" s="51"/>
      <c r="Z533" s="52"/>
      <c r="AA533" s="52"/>
    </row>
    <row r="534" spans="1:27">
      <c r="A534" s="95">
        <v>43280</v>
      </c>
      <c r="B534" s="115" t="s">
        <v>429</v>
      </c>
      <c r="C534" s="26" t="s">
        <v>126</v>
      </c>
      <c r="D534" s="16">
        <v>28857.75</v>
      </c>
      <c r="E534" s="16">
        <v>28754.71</v>
      </c>
      <c r="F534" s="16">
        <v>28736.98</v>
      </c>
      <c r="G534" s="16">
        <v>28747.040000000001</v>
      </c>
      <c r="H534" s="16">
        <v>28812.47</v>
      </c>
      <c r="I534" s="16">
        <v>28830.51</v>
      </c>
      <c r="J534" s="16">
        <v>28735.86</v>
      </c>
      <c r="K534" s="16">
        <v>28754.45</v>
      </c>
      <c r="L534" s="16">
        <v>28863.32</v>
      </c>
      <c r="M534" s="27">
        <f>IF((L535=""),"",MAX(D536:L536))</f>
        <v>10369.889999999992</v>
      </c>
      <c r="N534" s="27">
        <f>IF(L535="","",MIN(D536:L536))</f>
        <v>9375.48</v>
      </c>
      <c r="O534" s="27">
        <f>IF((L536=""),"",AVERAGE(D536:L536))</f>
        <v>10090.416666666666</v>
      </c>
      <c r="P534" s="27">
        <f>IF((L535=""),"",STDEV(D536:L536))</f>
        <v>320.4630168989944</v>
      </c>
      <c r="Q534" s="168">
        <f>IF((L535=""),"",((M534-N534)/(M534+P534))*100)</f>
        <v>9.3019379100770507</v>
      </c>
      <c r="R534" s="28" t="str">
        <f>IF(L535="","",IF(Q534&lt;Z534,IF(N534&gt;V534,IF(M534&lt;W534,"Pass","Fail"),"Fail"),"Fail"))</f>
        <v>Pass</v>
      </c>
      <c r="S534" s="29">
        <v>1340</v>
      </c>
      <c r="T534" s="54"/>
      <c r="U534" s="40"/>
      <c r="V534" s="53">
        <v>9000</v>
      </c>
      <c r="W534" s="22">
        <v>15600</v>
      </c>
      <c r="X534" s="40">
        <v>8090</v>
      </c>
      <c r="Y534" s="40">
        <v>12070</v>
      </c>
      <c r="Z534" s="49">
        <v>15</v>
      </c>
      <c r="AA534" s="49">
        <v>6</v>
      </c>
    </row>
    <row r="535" spans="1:27" ht="15.75" customHeight="1">
      <c r="A535" s="94"/>
      <c r="B535" s="94"/>
      <c r="C535" s="30" t="s">
        <v>128</v>
      </c>
      <c r="D535" s="16">
        <v>25411.26</v>
      </c>
      <c r="E535" s="16">
        <v>25298.080000000002</v>
      </c>
      <c r="F535" s="16">
        <v>25378.12</v>
      </c>
      <c r="G535" s="16">
        <v>25406.36</v>
      </c>
      <c r="H535" s="16">
        <v>25687.31</v>
      </c>
      <c r="I535" s="16">
        <v>25536</v>
      </c>
      <c r="J535" s="16">
        <v>25378.71</v>
      </c>
      <c r="K535" s="16">
        <v>25309.69</v>
      </c>
      <c r="L535" s="16">
        <v>25416.31</v>
      </c>
      <c r="M535" s="31"/>
      <c r="N535" s="31"/>
      <c r="O535" s="31"/>
      <c r="P535" s="31"/>
      <c r="Q535" s="31"/>
      <c r="R535" s="32"/>
      <c r="S535" s="33"/>
      <c r="T535" s="55"/>
      <c r="V535" s="47"/>
      <c r="W535" s="47"/>
      <c r="X535" s="48"/>
      <c r="Y535" s="48"/>
      <c r="Z535" s="49"/>
      <c r="AA535" s="49"/>
    </row>
    <row r="536" spans="1:27" ht="16.5" customHeight="1" thickBot="1">
      <c r="A536" s="94"/>
      <c r="B536" s="94"/>
      <c r="C536" s="34" t="s">
        <v>129</v>
      </c>
      <c r="D536" s="35">
        <f t="shared" ref="D536:L536" si="174">IF(((D534="")*AND(D535="")),"",(D534-D535)*3)</f>
        <v>10339.470000000005</v>
      </c>
      <c r="E536" s="35">
        <f t="shared" si="174"/>
        <v>10369.889999999992</v>
      </c>
      <c r="F536" s="35">
        <f t="shared" si="174"/>
        <v>10076.580000000002</v>
      </c>
      <c r="G536" s="35">
        <f t="shared" si="174"/>
        <v>10022.040000000001</v>
      </c>
      <c r="H536" s="35">
        <f t="shared" si="174"/>
        <v>9375.48</v>
      </c>
      <c r="I536" s="35">
        <f t="shared" si="174"/>
        <v>9883.5299999999952</v>
      </c>
      <c r="J536" s="35">
        <f t="shared" si="174"/>
        <v>10071.450000000004</v>
      </c>
      <c r="K536" s="35">
        <f t="shared" si="174"/>
        <v>10334.280000000006</v>
      </c>
      <c r="L536" s="35">
        <f t="shared" si="174"/>
        <v>10341.029999999995</v>
      </c>
      <c r="M536" s="36"/>
      <c r="N536" s="36"/>
      <c r="O536" s="36"/>
      <c r="P536" s="36"/>
      <c r="Q536" s="36"/>
      <c r="R536" s="37"/>
      <c r="S536" s="38"/>
      <c r="T536" s="56"/>
      <c r="U536" s="51"/>
      <c r="V536" s="50"/>
      <c r="W536" s="50"/>
      <c r="X536" s="51"/>
      <c r="Y536" s="51"/>
      <c r="Z536" s="52"/>
      <c r="AA536" s="52"/>
    </row>
    <row r="537" spans="1:27">
      <c r="A537" s="95">
        <v>43284</v>
      </c>
      <c r="B537" s="115" t="s">
        <v>429</v>
      </c>
      <c r="C537" s="26" t="s">
        <v>126</v>
      </c>
      <c r="D537" s="16">
        <v>28854.5</v>
      </c>
      <c r="E537" s="16">
        <v>28769.22</v>
      </c>
      <c r="F537" s="16">
        <v>28758.21</v>
      </c>
      <c r="G537" s="16">
        <v>28756.19</v>
      </c>
      <c r="H537" s="16">
        <v>28858.68</v>
      </c>
      <c r="I537" s="16">
        <v>28857.599999999999</v>
      </c>
      <c r="J537" s="16">
        <v>28756.42</v>
      </c>
      <c r="K537" s="16">
        <v>28744.63</v>
      </c>
      <c r="L537" s="16">
        <v>28845.67</v>
      </c>
      <c r="M537" s="27">
        <f>IF((L538=""),"",MAX(D539:L539))</f>
        <v>9645.7799999999952</v>
      </c>
      <c r="N537" s="27">
        <f>IF(L538="","",MIN(D539:L539))</f>
        <v>9277.1099999999969</v>
      </c>
      <c r="O537" s="27">
        <f>IF((L539=""),"",AVERAGE(D539:L539))</f>
        <v>9487.9533333333311</v>
      </c>
      <c r="P537" s="27">
        <f>IF((L538=""),"",STDEV(D539:L539))</f>
        <v>107.62185094113619</v>
      </c>
      <c r="Q537" s="168">
        <f>IF((L538=""),"",((M537-N537)/(M537+P537))*100)</f>
        <v>3.7799119285177851</v>
      </c>
      <c r="R537" s="28" t="str">
        <f>IF(L538="","",IF(Q537&lt;Z537,IF(N537&gt;V537,IF(M537&lt;W537,"Pass","Fail"),"Fail"),"Fail"))</f>
        <v>Pass</v>
      </c>
      <c r="S537" s="29">
        <v>1159</v>
      </c>
      <c r="T537" s="54" t="s">
        <v>229</v>
      </c>
      <c r="U537" s="40"/>
      <c r="V537" s="53">
        <v>9000</v>
      </c>
      <c r="W537" s="22">
        <v>15600</v>
      </c>
      <c r="X537" s="40">
        <v>8090</v>
      </c>
      <c r="Y537" s="40">
        <v>12070</v>
      </c>
      <c r="Z537" s="49">
        <v>15</v>
      </c>
      <c r="AA537" s="49">
        <v>6</v>
      </c>
    </row>
    <row r="538" spans="1:27" ht="15.75" customHeight="1">
      <c r="A538" s="94"/>
      <c r="B538" s="94"/>
      <c r="C538" s="30" t="s">
        <v>128</v>
      </c>
      <c r="D538" s="16">
        <v>25762.13</v>
      </c>
      <c r="E538" s="16">
        <v>25614.28</v>
      </c>
      <c r="F538" s="16">
        <v>25632.38</v>
      </c>
      <c r="G538" s="16">
        <v>25571.37</v>
      </c>
      <c r="H538" s="16">
        <v>25682.01</v>
      </c>
      <c r="I538" s="16">
        <v>25693.22</v>
      </c>
      <c r="J538" s="16">
        <v>25591.3</v>
      </c>
      <c r="K538" s="16">
        <v>25560.16</v>
      </c>
      <c r="L538" s="16">
        <v>25630.41</v>
      </c>
      <c r="M538" s="31"/>
      <c r="N538" s="31"/>
      <c r="O538" s="31"/>
      <c r="P538" s="31"/>
      <c r="Q538" s="31"/>
      <c r="R538" s="32"/>
      <c r="S538" s="33"/>
      <c r="T538" s="55"/>
      <c r="V538" s="47"/>
      <c r="W538" s="47"/>
      <c r="X538" s="48"/>
      <c r="Y538" s="48"/>
      <c r="Z538" s="49"/>
      <c r="AA538" s="49"/>
    </row>
    <row r="539" spans="1:27" ht="16.5" customHeight="1" thickBot="1">
      <c r="A539" s="94"/>
      <c r="B539" s="94"/>
      <c r="C539" s="34" t="s">
        <v>129</v>
      </c>
      <c r="D539" s="35">
        <f t="shared" ref="D539:L539" si="175">IF(((D537="")*AND(D538="")),"",(D537-D538)*3)</f>
        <v>9277.1099999999969</v>
      </c>
      <c r="E539" s="35">
        <f t="shared" si="175"/>
        <v>9464.820000000007</v>
      </c>
      <c r="F539" s="35">
        <f t="shared" si="175"/>
        <v>9377.4899999999943</v>
      </c>
      <c r="G539" s="35">
        <f t="shared" si="175"/>
        <v>9554.4599999999991</v>
      </c>
      <c r="H539" s="35">
        <f t="shared" si="175"/>
        <v>9530.0100000000057</v>
      </c>
      <c r="I539" s="35">
        <f t="shared" si="175"/>
        <v>9493.1399999999921</v>
      </c>
      <c r="J539" s="35">
        <f t="shared" si="175"/>
        <v>9495.3599999999969</v>
      </c>
      <c r="K539" s="35">
        <f t="shared" si="175"/>
        <v>9553.4100000000035</v>
      </c>
      <c r="L539" s="35">
        <f t="shared" si="175"/>
        <v>9645.7799999999952</v>
      </c>
      <c r="M539" s="36"/>
      <c r="N539" s="36"/>
      <c r="O539" s="36"/>
      <c r="P539" s="36"/>
      <c r="Q539" s="36"/>
      <c r="R539" s="37"/>
      <c r="S539" s="38"/>
      <c r="T539" s="56"/>
      <c r="U539" s="51"/>
      <c r="V539" s="50"/>
      <c r="W539" s="50"/>
      <c r="X539" s="51"/>
      <c r="Y539" s="51"/>
      <c r="Z539" s="52"/>
      <c r="AA539" s="52"/>
    </row>
    <row r="540" spans="1:27">
      <c r="A540" s="95">
        <v>43288</v>
      </c>
      <c r="B540" s="115" t="s">
        <v>429</v>
      </c>
      <c r="C540" s="26" t="s">
        <v>126</v>
      </c>
      <c r="D540" s="16">
        <v>28169.33</v>
      </c>
      <c r="E540" s="16">
        <v>28134.36</v>
      </c>
      <c r="F540" s="16">
        <v>28144.73</v>
      </c>
      <c r="G540" s="16">
        <v>28079.439999999999</v>
      </c>
      <c r="H540" s="16">
        <v>28090.83</v>
      </c>
      <c r="I540" s="16">
        <v>28024.19</v>
      </c>
      <c r="J540" s="16">
        <v>28082</v>
      </c>
      <c r="K540" s="16">
        <v>28128.49</v>
      </c>
      <c r="L540" s="16">
        <v>28102.99</v>
      </c>
      <c r="M540" s="27">
        <f>IF((L541=""),"",MAX(D542:L542))</f>
        <v>14684.009999999995</v>
      </c>
      <c r="N540" s="27">
        <f>IF(L541="","",MIN(D542:L542))</f>
        <v>10295.970000000005</v>
      </c>
      <c r="O540" s="27">
        <f>IF((L542=""),"",AVERAGE(D542:L542))</f>
        <v>12160.82</v>
      </c>
      <c r="P540" s="27">
        <f>IF((L541=""),"",STDEV(D542:L542))</f>
        <v>1317.7200702634093</v>
      </c>
      <c r="Q540" s="168">
        <f>IF((L541=""),"",((M540-N540)/(M540+P540))*100)</f>
        <v>27.422284845027129</v>
      </c>
      <c r="R540" s="28" t="str">
        <f>IF(L541="","",IF(Q540&lt;Z540,IF(N540&gt;V540,IF(M540&lt;W540,"Pass","Fail"),"Fail"),"Fail"))</f>
        <v>Fail</v>
      </c>
      <c r="S540" s="29">
        <v>1428</v>
      </c>
      <c r="T540" s="54" t="s">
        <v>230</v>
      </c>
      <c r="U540" s="40"/>
      <c r="V540" s="53">
        <v>9000</v>
      </c>
      <c r="W540" s="22">
        <v>15600</v>
      </c>
      <c r="X540" s="40">
        <v>8090</v>
      </c>
      <c r="Y540" s="40">
        <v>12070</v>
      </c>
      <c r="Z540" s="49">
        <v>15</v>
      </c>
      <c r="AA540" s="49">
        <v>6</v>
      </c>
    </row>
    <row r="541" spans="1:27" ht="15.75" customHeight="1">
      <c r="A541" s="94"/>
      <c r="B541" s="94"/>
      <c r="C541" s="30" t="s">
        <v>128</v>
      </c>
      <c r="D541" s="16">
        <v>23870.46</v>
      </c>
      <c r="E541" s="16">
        <v>24065.29</v>
      </c>
      <c r="F541" s="16">
        <v>23250.06</v>
      </c>
      <c r="G541" s="16">
        <v>24028.639999999999</v>
      </c>
      <c r="H541" s="16">
        <v>23775.13</v>
      </c>
      <c r="I541" s="16">
        <v>24153.5</v>
      </c>
      <c r="J541" s="16">
        <v>24563.8</v>
      </c>
      <c r="K541" s="16">
        <v>24696.5</v>
      </c>
      <c r="L541" s="16">
        <v>24070.52</v>
      </c>
      <c r="M541" s="31"/>
      <c r="N541" s="31"/>
      <c r="O541" s="31"/>
      <c r="P541" s="31"/>
      <c r="Q541" s="31"/>
      <c r="R541" s="32"/>
      <c r="S541" s="33"/>
      <c r="T541" s="55"/>
      <c r="V541" s="47"/>
      <c r="W541" s="47"/>
      <c r="X541" s="48"/>
      <c r="Y541" s="48"/>
      <c r="Z541" s="49"/>
      <c r="AA541" s="49"/>
    </row>
    <row r="542" spans="1:27" ht="16.5" customHeight="1" thickBot="1">
      <c r="A542" s="94"/>
      <c r="B542" s="94"/>
      <c r="C542" s="34" t="s">
        <v>129</v>
      </c>
      <c r="D542" s="35">
        <f t="shared" ref="D542:L542" si="176">IF(((D540="")*AND(D541="")),"",(D540-D541)*3)</f>
        <v>12896.610000000008</v>
      </c>
      <c r="E542" s="35">
        <f t="shared" si="176"/>
        <v>12207.21</v>
      </c>
      <c r="F542" s="35">
        <f t="shared" si="176"/>
        <v>14684.009999999995</v>
      </c>
      <c r="G542" s="35">
        <f t="shared" si="176"/>
        <v>12152.399999999998</v>
      </c>
      <c r="H542" s="35">
        <f t="shared" si="176"/>
        <v>12947.100000000002</v>
      </c>
      <c r="I542" s="35">
        <f t="shared" si="176"/>
        <v>11612.069999999996</v>
      </c>
      <c r="J542" s="35">
        <f t="shared" si="176"/>
        <v>10554.600000000002</v>
      </c>
      <c r="K542" s="35">
        <f t="shared" si="176"/>
        <v>10295.970000000005</v>
      </c>
      <c r="L542" s="35">
        <f t="shared" si="176"/>
        <v>12097.410000000003</v>
      </c>
      <c r="M542" s="36"/>
      <c r="N542" s="36"/>
      <c r="O542" s="36"/>
      <c r="P542" s="36"/>
      <c r="Q542" s="36"/>
      <c r="R542" s="37"/>
      <c r="S542" s="38"/>
      <c r="T542" s="56"/>
      <c r="U542" s="51"/>
      <c r="V542" s="50"/>
      <c r="W542" s="50"/>
      <c r="X542" s="51"/>
      <c r="Y542" s="51"/>
      <c r="Z542" s="52"/>
      <c r="AA542" s="52"/>
    </row>
    <row r="543" spans="1:27">
      <c r="A543" s="95">
        <v>43293</v>
      </c>
      <c r="B543" s="115" t="s">
        <v>429</v>
      </c>
      <c r="C543" s="26" t="s">
        <v>126</v>
      </c>
      <c r="D543" s="16">
        <v>28873.33</v>
      </c>
      <c r="E543" s="16">
        <v>28807.34</v>
      </c>
      <c r="F543" s="16">
        <v>28852.51</v>
      </c>
      <c r="G543" s="16">
        <v>28794.1</v>
      </c>
      <c r="H543" s="16">
        <v>28882.79</v>
      </c>
      <c r="I543" s="16">
        <v>28874.45</v>
      </c>
      <c r="J543" s="16">
        <v>28792.880000000001</v>
      </c>
      <c r="K543" s="16">
        <v>28800.57</v>
      </c>
      <c r="L543" s="16">
        <v>28855.48</v>
      </c>
      <c r="M543" s="27">
        <f>IF((L544=""),"",MAX(D545:L545))</f>
        <v>10351.740000000005</v>
      </c>
      <c r="N543" s="27">
        <f>IF(L544="","",MIN(D545:L545))</f>
        <v>9906.8999999999978</v>
      </c>
      <c r="O543" s="27">
        <f>IF((L545=""),"",AVERAGE(D545:L545))</f>
        <v>10221.686666666666</v>
      </c>
      <c r="P543" s="27">
        <f>IF((L544=""),"",STDEV(D545:L545))</f>
        <v>137.81258587293911</v>
      </c>
      <c r="Q543" s="168">
        <f>IF((L544=""),"",((M543-N543)/(M543+P543))*100)</f>
        <v>4.2407909809147268</v>
      </c>
      <c r="R543" s="28" t="str">
        <f>IF(L544="","",IF(Q543&lt;Z543,IF(N543&gt;V543,IF(M543&lt;W543,"Pass","Fail"),"Fail"),"Fail"))</f>
        <v>Pass</v>
      </c>
      <c r="S543" s="29">
        <v>121</v>
      </c>
      <c r="T543" s="54"/>
      <c r="U543" s="40"/>
      <c r="V543" s="53">
        <v>9000</v>
      </c>
      <c r="W543" s="22">
        <v>15600</v>
      </c>
      <c r="X543" s="40">
        <v>8090</v>
      </c>
      <c r="Y543" s="40">
        <v>12070</v>
      </c>
      <c r="Z543" s="49">
        <v>15</v>
      </c>
      <c r="AA543" s="49">
        <v>6</v>
      </c>
    </row>
    <row r="544" spans="1:27" ht="15.75" customHeight="1">
      <c r="A544" s="94"/>
      <c r="B544" s="94"/>
      <c r="C544" s="30" t="s">
        <v>128</v>
      </c>
      <c r="D544" s="16">
        <v>25436.49</v>
      </c>
      <c r="E544" s="16">
        <v>25362.63</v>
      </c>
      <c r="F544" s="16">
        <v>25474.86</v>
      </c>
      <c r="G544" s="16">
        <v>25402.61</v>
      </c>
      <c r="H544" s="16">
        <v>25580.49</v>
      </c>
      <c r="I544" s="16">
        <v>25423.87</v>
      </c>
      <c r="J544" s="16">
        <v>25366.71</v>
      </c>
      <c r="K544" s="16">
        <v>25380.46</v>
      </c>
      <c r="L544" s="16">
        <v>25440.27</v>
      </c>
      <c r="M544" s="31"/>
      <c r="N544" s="31"/>
      <c r="O544" s="31"/>
      <c r="P544" s="31"/>
      <c r="Q544" s="31"/>
      <c r="R544" s="32"/>
      <c r="S544" s="33"/>
      <c r="T544" s="55"/>
      <c r="V544" s="47"/>
      <c r="W544" s="47"/>
      <c r="X544" s="48"/>
      <c r="Y544" s="48"/>
      <c r="Z544" s="49"/>
      <c r="AA544" s="49"/>
    </row>
    <row r="545" spans="1:27" ht="16.5" customHeight="1" thickBot="1">
      <c r="A545" s="94"/>
      <c r="B545" s="94"/>
      <c r="C545" s="34" t="s">
        <v>129</v>
      </c>
      <c r="D545" s="35">
        <f t="shared" ref="D545:L545" si="177">IF(((D543="")*AND(D544="")),"",(D543-D544)*3)</f>
        <v>10310.52</v>
      </c>
      <c r="E545" s="35">
        <f t="shared" si="177"/>
        <v>10334.129999999997</v>
      </c>
      <c r="F545" s="35">
        <f t="shared" si="177"/>
        <v>10132.949999999993</v>
      </c>
      <c r="G545" s="35">
        <f t="shared" si="177"/>
        <v>10174.469999999994</v>
      </c>
      <c r="H545" s="35">
        <f t="shared" si="177"/>
        <v>9906.8999999999978</v>
      </c>
      <c r="I545" s="35">
        <f t="shared" si="177"/>
        <v>10351.740000000005</v>
      </c>
      <c r="J545" s="35">
        <f t="shared" si="177"/>
        <v>10278.510000000006</v>
      </c>
      <c r="K545" s="35">
        <f t="shared" si="177"/>
        <v>10260.330000000002</v>
      </c>
      <c r="L545" s="35">
        <f t="shared" si="177"/>
        <v>10245.629999999997</v>
      </c>
      <c r="M545" s="36"/>
      <c r="N545" s="36"/>
      <c r="O545" s="36"/>
      <c r="P545" s="36"/>
      <c r="Q545" s="36"/>
      <c r="R545" s="37"/>
      <c r="S545" s="38"/>
      <c r="T545" s="56"/>
      <c r="U545" s="51"/>
      <c r="V545" s="50"/>
      <c r="W545" s="50"/>
      <c r="X545" s="51"/>
      <c r="Y545" s="51"/>
      <c r="Z545" s="52"/>
      <c r="AA545" s="52"/>
    </row>
    <row r="546" spans="1:27">
      <c r="A546" s="95">
        <v>43297</v>
      </c>
      <c r="B546" s="115" t="s">
        <v>429</v>
      </c>
      <c r="C546" s="26" t="s">
        <v>126</v>
      </c>
      <c r="D546" s="16">
        <v>28939.32</v>
      </c>
      <c r="E546" s="16">
        <v>28886.7</v>
      </c>
      <c r="F546" s="16">
        <v>28939.52</v>
      </c>
      <c r="G546" s="16">
        <v>28881.23</v>
      </c>
      <c r="H546" s="16">
        <v>28976.15</v>
      </c>
      <c r="I546" s="16">
        <v>28971.53</v>
      </c>
      <c r="J546" s="16">
        <v>28876.45</v>
      </c>
      <c r="K546" s="16">
        <v>28877.3</v>
      </c>
      <c r="L546" s="16">
        <v>28946.98</v>
      </c>
      <c r="M546" s="27">
        <f>IF((L547=""),"",MAX(D548:L548))</f>
        <v>10871.910000000003</v>
      </c>
      <c r="N546" s="27">
        <f>IF(L547="","",MIN(D548:L548))</f>
        <v>10345.890000000003</v>
      </c>
      <c r="O546" s="27">
        <f>IF((L548=""),"",AVERAGE(D548:L548))</f>
        <v>10723.460000000001</v>
      </c>
      <c r="P546" s="27">
        <f>IF((L547=""),"",STDEV(D548:L548))</f>
        <v>154.71301044188201</v>
      </c>
      <c r="Q546" s="168">
        <f>IF((L547=""),"",((M546-N546)/(M546+P546))*100)</f>
        <v>4.770454195286038</v>
      </c>
      <c r="R546" s="28" t="str">
        <f>IF(L547="","",IF(Q546&lt;Z546,IF(N546&gt;V546,IF(M546&lt;W546,"Pass","Fail"),"Fail"),"Fail"))</f>
        <v>Pass</v>
      </c>
      <c r="S546" s="29">
        <v>121</v>
      </c>
      <c r="T546" s="54"/>
      <c r="U546" s="40"/>
      <c r="V546" s="53">
        <v>10000</v>
      </c>
      <c r="W546" s="22">
        <v>15600</v>
      </c>
      <c r="X546" s="40">
        <v>8090</v>
      </c>
      <c r="Y546" s="40">
        <v>12070</v>
      </c>
      <c r="Z546" s="49">
        <v>15</v>
      </c>
      <c r="AA546" s="49">
        <v>6</v>
      </c>
    </row>
    <row r="547" spans="1:27" ht="15.75" customHeight="1">
      <c r="A547" s="94"/>
      <c r="B547" s="94"/>
      <c r="C547" s="30" t="s">
        <v>128</v>
      </c>
      <c r="D547" s="16">
        <v>25367.31</v>
      </c>
      <c r="E547" s="16">
        <v>25262.73</v>
      </c>
      <c r="F547" s="16">
        <v>25365.31</v>
      </c>
      <c r="G547" s="16">
        <v>25301.52</v>
      </c>
      <c r="H547" s="16">
        <v>25527.52</v>
      </c>
      <c r="I547" s="16">
        <v>25405.119999999999</v>
      </c>
      <c r="J547" s="16">
        <v>25285.439999999999</v>
      </c>
      <c r="K547" s="16">
        <v>25254.69</v>
      </c>
      <c r="L547" s="16">
        <v>25355.16</v>
      </c>
      <c r="M547" s="31"/>
      <c r="N547" s="31"/>
      <c r="O547" s="31"/>
      <c r="P547" s="31"/>
      <c r="Q547" s="31"/>
      <c r="R547" s="32"/>
      <c r="S547" s="33"/>
      <c r="T547" s="55"/>
      <c r="V547" s="47"/>
      <c r="W547" s="47"/>
      <c r="X547" s="48"/>
      <c r="Y547" s="48"/>
      <c r="Z547" s="49"/>
      <c r="AA547" s="49"/>
    </row>
    <row r="548" spans="1:27" ht="16.5" customHeight="1" thickBot="1">
      <c r="A548" s="94"/>
      <c r="B548" s="94"/>
      <c r="C548" s="34" t="s">
        <v>129</v>
      </c>
      <c r="D548" s="35">
        <f t="shared" ref="D548:L548" si="178">IF(((D546="")*AND(D547="")),"",(D546-D547)*3)</f>
        <v>10716.029999999995</v>
      </c>
      <c r="E548" s="35">
        <f t="shared" si="178"/>
        <v>10871.910000000003</v>
      </c>
      <c r="F548" s="35">
        <f t="shared" si="178"/>
        <v>10722.629999999997</v>
      </c>
      <c r="G548" s="35">
        <f t="shared" si="178"/>
        <v>10739.129999999997</v>
      </c>
      <c r="H548" s="35">
        <f t="shared" si="178"/>
        <v>10345.890000000003</v>
      </c>
      <c r="I548" s="35">
        <f t="shared" si="178"/>
        <v>10699.23</v>
      </c>
      <c r="J548" s="35">
        <f t="shared" si="178"/>
        <v>10773.030000000006</v>
      </c>
      <c r="K548" s="35">
        <f t="shared" si="178"/>
        <v>10867.830000000002</v>
      </c>
      <c r="L548" s="35">
        <f t="shared" si="178"/>
        <v>10775.46</v>
      </c>
      <c r="M548" s="36"/>
      <c r="N548" s="36"/>
      <c r="O548" s="36"/>
      <c r="P548" s="36"/>
      <c r="Q548" s="36"/>
      <c r="R548" s="37"/>
      <c r="S548" s="38"/>
      <c r="T548" s="56"/>
      <c r="U548" s="51"/>
      <c r="V548" s="50"/>
      <c r="W548" s="50"/>
      <c r="X548" s="51"/>
      <c r="Y548" s="51"/>
      <c r="Z548" s="52"/>
      <c r="AA548" s="52"/>
    </row>
    <row r="549" spans="1:27">
      <c r="A549" s="95">
        <v>43301</v>
      </c>
      <c r="B549" s="115" t="s">
        <v>429</v>
      </c>
      <c r="C549" s="26" t="s">
        <v>126</v>
      </c>
      <c r="D549" s="16">
        <v>28946.400000000001</v>
      </c>
      <c r="E549" s="16">
        <v>28846.639999999999</v>
      </c>
      <c r="F549" s="16">
        <v>28840.83</v>
      </c>
      <c r="G549" s="16">
        <v>28834.22</v>
      </c>
      <c r="H549" s="16">
        <v>28930.71</v>
      </c>
      <c r="I549" s="16">
        <v>28907.599999999999</v>
      </c>
      <c r="J549" s="16">
        <v>28834.19</v>
      </c>
      <c r="K549" s="16">
        <v>28827.91</v>
      </c>
      <c r="L549" s="16">
        <v>28947.37</v>
      </c>
      <c r="M549" s="27">
        <f>IF((L550=""),"",MAX(D551:L551))</f>
        <v>10017.449999999993</v>
      </c>
      <c r="N549" s="27">
        <f>IF(L550="","",MIN(D551:L551))</f>
        <v>9523.4099999999926</v>
      </c>
      <c r="O549" s="27">
        <f>IF((L551=""),"",AVERAGE(D551:L551))</f>
        <v>9874.2899999999991</v>
      </c>
      <c r="P549" s="27">
        <f>IF((L550=""),"",STDEV(D551:L551))</f>
        <v>143.93122107462108</v>
      </c>
      <c r="Q549" s="168">
        <f>IF((L550=""),"",((M549-N549)/(M549+P549))*100)</f>
        <v>4.8619374595981721</v>
      </c>
      <c r="R549" s="28" t="str">
        <f>IF(L550="","",IF(Q549&lt;Z549,IF(N549&gt;V549,IF(M549&lt;W549,"Pass","Fail"),"Fail"),"Fail"))</f>
        <v>Fail</v>
      </c>
      <c r="S549" s="29"/>
      <c r="T549" s="54"/>
      <c r="U549" s="40"/>
      <c r="V549" s="53">
        <v>10000</v>
      </c>
      <c r="W549" s="22">
        <v>15600</v>
      </c>
      <c r="X549" s="40">
        <v>8090</v>
      </c>
      <c r="Y549" s="40">
        <v>12070</v>
      </c>
      <c r="Z549" s="49">
        <v>15</v>
      </c>
      <c r="AA549" s="49">
        <v>6</v>
      </c>
    </row>
    <row r="550" spans="1:27" ht="15.75" customHeight="1">
      <c r="A550" s="94"/>
      <c r="B550" s="94"/>
      <c r="C550" s="30" t="s">
        <v>128</v>
      </c>
      <c r="D550" s="16">
        <v>25629.54</v>
      </c>
      <c r="E550" s="16">
        <v>25507.49</v>
      </c>
      <c r="F550" s="16">
        <v>25560.02</v>
      </c>
      <c r="G550" s="16">
        <v>25556.44</v>
      </c>
      <c r="H550" s="16">
        <v>25756.240000000002</v>
      </c>
      <c r="I550" s="16">
        <v>25594.66</v>
      </c>
      <c r="J550" s="16">
        <v>25514.18</v>
      </c>
      <c r="K550" s="16">
        <v>25521.55</v>
      </c>
      <c r="L550" s="16">
        <v>25652.880000000001</v>
      </c>
      <c r="M550" s="31"/>
      <c r="N550" s="31"/>
      <c r="O550" s="31"/>
      <c r="P550" s="31"/>
      <c r="Q550" s="31"/>
      <c r="R550" s="32"/>
      <c r="S550" s="33"/>
      <c r="T550" s="55"/>
      <c r="V550" s="47"/>
      <c r="W550" s="47"/>
      <c r="X550" s="48"/>
      <c r="Y550" s="48"/>
      <c r="Z550" s="49"/>
      <c r="AA550" s="49"/>
    </row>
    <row r="551" spans="1:27" ht="16.5" customHeight="1" thickBot="1">
      <c r="A551" s="94"/>
      <c r="B551" s="94"/>
      <c r="C551" s="34" t="s">
        <v>129</v>
      </c>
      <c r="D551" s="35">
        <f t="shared" ref="D551:L551" si="179">IF(((D549="")*AND(D550="")),"",(D549-D550)*3)</f>
        <v>9950.5800000000017</v>
      </c>
      <c r="E551" s="35">
        <f t="shared" si="179"/>
        <v>10017.449999999993</v>
      </c>
      <c r="F551" s="35">
        <f t="shared" si="179"/>
        <v>9842.4300000000039</v>
      </c>
      <c r="G551" s="35">
        <f t="shared" si="179"/>
        <v>9833.3400000000074</v>
      </c>
      <c r="H551" s="35">
        <f t="shared" si="179"/>
        <v>9523.4099999999926</v>
      </c>
      <c r="I551" s="35">
        <f t="shared" si="179"/>
        <v>9938.8199999999961</v>
      </c>
      <c r="J551" s="35">
        <f t="shared" si="179"/>
        <v>9960.0299999999952</v>
      </c>
      <c r="K551" s="35">
        <f t="shared" si="179"/>
        <v>9919.0800000000017</v>
      </c>
      <c r="L551" s="35">
        <f t="shared" si="179"/>
        <v>9883.4699999999939</v>
      </c>
      <c r="M551" s="36"/>
      <c r="N551" s="36"/>
      <c r="O551" s="36"/>
      <c r="P551" s="36"/>
      <c r="Q551" s="36"/>
      <c r="R551" s="37"/>
      <c r="S551" s="38"/>
      <c r="T551" s="56"/>
      <c r="U551" s="51"/>
      <c r="V551" s="50"/>
      <c r="W551" s="50"/>
      <c r="X551" s="51"/>
      <c r="Y551" s="51"/>
      <c r="Z551" s="52"/>
      <c r="AA551" s="52"/>
    </row>
    <row r="552" spans="1:27">
      <c r="A552" s="95">
        <v>43301</v>
      </c>
      <c r="B552" s="115" t="s">
        <v>429</v>
      </c>
      <c r="C552" s="26" t="s">
        <v>126</v>
      </c>
      <c r="D552" s="16">
        <v>28934.15</v>
      </c>
      <c r="E552" s="16">
        <v>28841.24</v>
      </c>
      <c r="F552" s="16">
        <v>28834.65</v>
      </c>
      <c r="G552" s="16">
        <v>28826.78</v>
      </c>
      <c r="H552" s="16">
        <v>28918.63</v>
      </c>
      <c r="I552" s="16">
        <v>28918.85</v>
      </c>
      <c r="J552" s="16">
        <v>28822.560000000001</v>
      </c>
      <c r="K552" s="16">
        <v>28827.45</v>
      </c>
      <c r="L552" s="16">
        <v>28934.240000000002</v>
      </c>
      <c r="M552" s="27">
        <f>IF((L553=""),"",MAX(D554:L554))</f>
        <v>11256.450000000004</v>
      </c>
      <c r="N552" s="27">
        <f>IF(L553="","",MIN(D554:L554))</f>
        <v>10737.780000000006</v>
      </c>
      <c r="O552" s="27">
        <f>IF((L554=""),"",AVERAGE(D554:L554))</f>
        <v>11092.16666666667</v>
      </c>
      <c r="P552" s="27">
        <f>IF((L553=""),"",STDEV(D554:L554))</f>
        <v>163.32610875163115</v>
      </c>
      <c r="Q552" s="168">
        <f>IF((L553=""),"",((M552-N552)/(M552+P552))*100)</f>
        <v>4.54185787059793</v>
      </c>
      <c r="R552" s="28" t="str">
        <f>IF(L553="","",IF(Q552&lt;Z552,IF(N552&gt;V552,IF(M552&lt;W552,"Pass","Fail"),"Fail"),"Fail"))</f>
        <v>Pass</v>
      </c>
      <c r="S552" s="29"/>
      <c r="T552" s="54"/>
      <c r="U552" s="40"/>
      <c r="V552" s="53">
        <v>10000</v>
      </c>
      <c r="W552" s="22">
        <v>15600</v>
      </c>
      <c r="X552" s="40">
        <v>8090</v>
      </c>
      <c r="Y552" s="40">
        <v>12070</v>
      </c>
      <c r="Z552" s="49">
        <v>15</v>
      </c>
      <c r="AA552" s="49">
        <v>6</v>
      </c>
    </row>
    <row r="553" spans="1:27" ht="15.75" customHeight="1">
      <c r="A553" s="94"/>
      <c r="B553" s="94"/>
      <c r="C553" s="30" t="s">
        <v>128</v>
      </c>
      <c r="D553" s="16">
        <v>25220.44</v>
      </c>
      <c r="E553" s="16">
        <v>25089.09</v>
      </c>
      <c r="F553" s="16">
        <v>25153.77</v>
      </c>
      <c r="G553" s="16">
        <v>25121.73</v>
      </c>
      <c r="H553" s="16">
        <v>25339.37</v>
      </c>
      <c r="I553" s="16">
        <v>25180.23</v>
      </c>
      <c r="J553" s="16">
        <v>25082</v>
      </c>
      <c r="K553" s="16">
        <v>25111.22</v>
      </c>
      <c r="L553" s="16">
        <v>25284.2</v>
      </c>
      <c r="M553" s="31"/>
      <c r="N553" s="31"/>
      <c r="O553" s="31"/>
      <c r="P553" s="31"/>
      <c r="Q553" s="31"/>
      <c r="R553" s="32"/>
      <c r="S553" s="33"/>
      <c r="T553" s="55"/>
      <c r="V553" s="47"/>
      <c r="W553" s="47"/>
      <c r="X553" s="48"/>
      <c r="Y553" s="48"/>
      <c r="Z553" s="49"/>
      <c r="AA553" s="49"/>
    </row>
    <row r="554" spans="1:27" ht="16.5" customHeight="1" thickBot="1">
      <c r="A554" s="94"/>
      <c r="B554" s="94"/>
      <c r="C554" s="34" t="s">
        <v>129</v>
      </c>
      <c r="D554" s="35">
        <f t="shared" ref="D554:L554" si="180">IF(((D552="")*AND(D553="")),"",(D552-D553)*3)</f>
        <v>11141.130000000008</v>
      </c>
      <c r="E554" s="35">
        <f t="shared" si="180"/>
        <v>11256.450000000004</v>
      </c>
      <c r="F554" s="35">
        <f t="shared" si="180"/>
        <v>11042.640000000003</v>
      </c>
      <c r="G554" s="35">
        <f t="shared" si="180"/>
        <v>11115.149999999998</v>
      </c>
      <c r="H554" s="35">
        <f t="shared" si="180"/>
        <v>10737.780000000006</v>
      </c>
      <c r="I554" s="35">
        <f t="shared" si="180"/>
        <v>11215.859999999997</v>
      </c>
      <c r="J554" s="35">
        <f t="shared" si="180"/>
        <v>11221.680000000004</v>
      </c>
      <c r="K554" s="35">
        <f t="shared" si="180"/>
        <v>11148.689999999999</v>
      </c>
      <c r="L554" s="35">
        <f t="shared" si="180"/>
        <v>10950.120000000003</v>
      </c>
      <c r="M554" s="36"/>
      <c r="N554" s="36"/>
      <c r="O554" s="36"/>
      <c r="P554" s="36"/>
      <c r="Q554" s="36"/>
      <c r="R554" s="37"/>
      <c r="S554" s="38"/>
      <c r="T554" s="56"/>
      <c r="U554" s="51"/>
      <c r="V554" s="50"/>
      <c r="W554" s="50"/>
      <c r="X554" s="51"/>
      <c r="Y554" s="51"/>
      <c r="Z554" s="52"/>
      <c r="AA554" s="52"/>
    </row>
    <row r="555" spans="1:27">
      <c r="A555" s="95">
        <v>43304</v>
      </c>
      <c r="B555" s="115" t="s">
        <v>429</v>
      </c>
      <c r="C555" s="26" t="s">
        <v>126</v>
      </c>
      <c r="D555" s="16">
        <v>28076.35</v>
      </c>
      <c r="E555" s="16">
        <v>28054.05</v>
      </c>
      <c r="F555" s="16">
        <v>28105.05</v>
      </c>
      <c r="G555" s="16">
        <v>28019.03</v>
      </c>
      <c r="H555" s="16">
        <v>27943.49</v>
      </c>
      <c r="I555" s="16">
        <v>27982.16</v>
      </c>
      <c r="J555" s="16">
        <v>28014.18</v>
      </c>
      <c r="K555" s="16">
        <v>28040.84</v>
      </c>
      <c r="L555" s="16">
        <v>27996.7</v>
      </c>
      <c r="M555" s="27">
        <f>IF((L556=""),"",MAX(D557:L557))</f>
        <v>13550.759999999995</v>
      </c>
      <c r="N555" s="27">
        <f>IF(L556="","",MIN(D557:L557))</f>
        <v>8886.3900000000031</v>
      </c>
      <c r="O555" s="27">
        <f>IF((L557=""),"",AVERAGE(D557:L557))</f>
        <v>10843.13333333333</v>
      </c>
      <c r="P555" s="27">
        <f>IF((L556=""),"",STDEV(D557:L557))</f>
        <v>1453.4762024195734</v>
      </c>
      <c r="Q555" s="168">
        <f>IF((L556=""),"",((M555-N555)/(M555+P555))*100)</f>
        <v>31.087020605872763</v>
      </c>
      <c r="R555" s="28" t="str">
        <f>IF(L556="","",IF(Q555&lt;Z555,IF(N555&gt;V555,IF(M555&lt;W555,"Pass","Fail"),"Fail"),"Fail"))</f>
        <v>Fail</v>
      </c>
      <c r="S555" s="29">
        <v>1340</v>
      </c>
      <c r="T555" s="54"/>
      <c r="U555" s="40"/>
      <c r="V555" s="53">
        <v>10000</v>
      </c>
      <c r="W555" s="22">
        <v>15600</v>
      </c>
      <c r="X555" s="40">
        <v>8090</v>
      </c>
      <c r="Y555" s="40">
        <v>12070</v>
      </c>
      <c r="Z555" s="49">
        <v>15</v>
      </c>
      <c r="AA555" s="49">
        <v>6</v>
      </c>
    </row>
    <row r="556" spans="1:27" ht="15.75" customHeight="1">
      <c r="A556" s="94"/>
      <c r="B556" s="94"/>
      <c r="C556" s="30" t="s">
        <v>128</v>
      </c>
      <c r="D556" s="16">
        <v>24866.54</v>
      </c>
      <c r="E556" s="16">
        <v>24494.77</v>
      </c>
      <c r="F556" s="16">
        <v>23588.13</v>
      </c>
      <c r="G556" s="16">
        <v>23894.5</v>
      </c>
      <c r="H556" s="16">
        <v>24981.360000000001</v>
      </c>
      <c r="I556" s="16">
        <v>24645.08</v>
      </c>
      <c r="J556" s="16">
        <v>24702.6</v>
      </c>
      <c r="K556" s="16">
        <v>24327.4</v>
      </c>
      <c r="L556" s="16">
        <v>24202.07</v>
      </c>
      <c r="M556" s="31"/>
      <c r="N556" s="31"/>
      <c r="O556" s="31"/>
      <c r="P556" s="31"/>
      <c r="Q556" s="31"/>
      <c r="R556" s="32"/>
      <c r="S556" s="33"/>
      <c r="T556" s="55"/>
      <c r="V556" s="47"/>
      <c r="W556" s="47"/>
      <c r="X556" s="48"/>
      <c r="Y556" s="48"/>
      <c r="Z556" s="49"/>
      <c r="AA556" s="49"/>
    </row>
    <row r="557" spans="1:27" ht="16.5" customHeight="1" thickBot="1">
      <c r="A557" s="94"/>
      <c r="B557" s="94"/>
      <c r="C557" s="34" t="s">
        <v>129</v>
      </c>
      <c r="D557" s="35">
        <f>IF(((D555="")*AND(D556="")),"",(D555-D556)*3)</f>
        <v>9629.429999999993</v>
      </c>
      <c r="E557" s="35">
        <f t="shared" ref="E557:L557" si="181">IF(((E555="")*AND(E556="")),"",(E555-E556)*3)</f>
        <v>10677.839999999997</v>
      </c>
      <c r="F557" s="35">
        <f t="shared" si="181"/>
        <v>13550.759999999995</v>
      </c>
      <c r="G557" s="35">
        <f t="shared" si="181"/>
        <v>12373.589999999997</v>
      </c>
      <c r="H557" s="35">
        <f t="shared" si="181"/>
        <v>8886.3900000000031</v>
      </c>
      <c r="I557" s="35">
        <f t="shared" si="181"/>
        <v>10011.239999999994</v>
      </c>
      <c r="J557" s="35">
        <f t="shared" si="181"/>
        <v>9934.7400000000052</v>
      </c>
      <c r="K557" s="35">
        <f t="shared" si="181"/>
        <v>11140.319999999996</v>
      </c>
      <c r="L557" s="35">
        <f t="shared" si="181"/>
        <v>11383.890000000003</v>
      </c>
      <c r="M557" s="36"/>
      <c r="N557" s="36"/>
      <c r="O557" s="36"/>
      <c r="P557" s="36"/>
      <c r="Q557" s="36"/>
      <c r="R557" s="37"/>
      <c r="S557" s="38"/>
      <c r="T557" s="56"/>
      <c r="U557" s="51"/>
      <c r="V557" s="50"/>
      <c r="W557" s="50"/>
      <c r="X557" s="51"/>
      <c r="Y557" s="51"/>
      <c r="Z557" s="52"/>
      <c r="AA557" s="52"/>
    </row>
    <row r="558" spans="1:27">
      <c r="A558" s="95">
        <v>43304</v>
      </c>
      <c r="B558" s="115" t="s">
        <v>429</v>
      </c>
      <c r="C558" s="26" t="s">
        <v>126</v>
      </c>
      <c r="D558" s="16">
        <v>28930.13</v>
      </c>
      <c r="E558" s="16">
        <v>28843.32</v>
      </c>
      <c r="F558" s="16">
        <v>28903.47</v>
      </c>
      <c r="G558" s="16">
        <v>28852.12</v>
      </c>
      <c r="H558" s="16">
        <v>28892.2</v>
      </c>
      <c r="I558" s="16">
        <v>28920.31</v>
      </c>
      <c r="J558" s="16">
        <v>28847.19</v>
      </c>
      <c r="K558" s="16">
        <v>28842.19</v>
      </c>
      <c r="L558" s="16">
        <v>28892.94</v>
      </c>
      <c r="M558" s="27">
        <f>IF((L559=""),"",MAX(D560:L560))</f>
        <v>10907.129999999997</v>
      </c>
      <c r="N558" s="27">
        <f>IF(L559="","",MIN(D560:L560))</f>
        <v>10596.870000000003</v>
      </c>
      <c r="O558" s="27">
        <f>IF((L560=""),"",AVERAGE(D560:L560))</f>
        <v>10793.33</v>
      </c>
      <c r="P558" s="27">
        <f>IF((L559=""),"",STDEV(D560:L560))</f>
        <v>102.90278895641327</v>
      </c>
      <c r="Q558" s="168">
        <f>IF((L559=""),"",((M558-N558)/(M558+P558))*100)</f>
        <v>2.8179752589946907</v>
      </c>
      <c r="R558" s="28" t="str">
        <f>IF(L559="","",IF(Q558&lt;Z558,IF(N558&gt;V558,IF(M558&lt;W558,"Pass","Fail"),"Fail"),"Fail"))</f>
        <v>Pass</v>
      </c>
      <c r="S558" s="29">
        <v>1159</v>
      </c>
      <c r="T558" s="54" t="s">
        <v>231</v>
      </c>
      <c r="U558" s="40"/>
      <c r="V558" s="53">
        <v>10000</v>
      </c>
      <c r="W558" s="22">
        <v>15600</v>
      </c>
      <c r="X558" s="40">
        <v>8090</v>
      </c>
      <c r="Y558" s="40">
        <v>12070</v>
      </c>
      <c r="Z558" s="49">
        <v>15</v>
      </c>
      <c r="AA558" s="49">
        <v>6</v>
      </c>
    </row>
    <row r="559" spans="1:27" ht="15.75" customHeight="1">
      <c r="A559" s="94"/>
      <c r="B559" s="94"/>
      <c r="C559" s="30" t="s">
        <v>128</v>
      </c>
      <c r="D559" s="16">
        <v>25397.84</v>
      </c>
      <c r="E559" s="16">
        <v>25263</v>
      </c>
      <c r="F559" s="16">
        <v>25346.66</v>
      </c>
      <c r="G559" s="16">
        <v>25232.55</v>
      </c>
      <c r="H559" s="16">
        <v>25287.67</v>
      </c>
      <c r="I559" s="16">
        <v>25298.43</v>
      </c>
      <c r="J559" s="16">
        <v>25237.5</v>
      </c>
      <c r="K559" s="16">
        <v>25223</v>
      </c>
      <c r="L559" s="16">
        <v>25257.23</v>
      </c>
      <c r="M559" s="31"/>
      <c r="N559" s="31"/>
      <c r="O559" s="31"/>
      <c r="P559" s="31"/>
      <c r="Q559" s="31"/>
      <c r="R559" s="32"/>
      <c r="S559" s="33"/>
      <c r="T559" s="55"/>
      <c r="V559" s="47"/>
      <c r="W559" s="47"/>
      <c r="X559" s="48"/>
      <c r="Y559" s="48"/>
      <c r="Z559" s="49"/>
      <c r="AA559" s="49"/>
    </row>
    <row r="560" spans="1:27" ht="16.5" customHeight="1" thickBot="1">
      <c r="A560" s="94"/>
      <c r="B560" s="94"/>
      <c r="C560" s="34" t="s">
        <v>129</v>
      </c>
      <c r="D560" s="35">
        <f t="shared" ref="D560:L560" si="182">IF(((D558="")*AND(D559="")),"",(D558-D559)*3)</f>
        <v>10596.870000000003</v>
      </c>
      <c r="E560" s="35">
        <f t="shared" si="182"/>
        <v>10740.96</v>
      </c>
      <c r="F560" s="35">
        <f t="shared" si="182"/>
        <v>10670.430000000004</v>
      </c>
      <c r="G560" s="35">
        <f t="shared" si="182"/>
        <v>10858.71</v>
      </c>
      <c r="H560" s="35">
        <f t="shared" si="182"/>
        <v>10813.590000000007</v>
      </c>
      <c r="I560" s="35">
        <f t="shared" si="182"/>
        <v>10865.640000000003</v>
      </c>
      <c r="J560" s="35">
        <f t="shared" si="182"/>
        <v>10829.069999999996</v>
      </c>
      <c r="K560" s="35">
        <f t="shared" si="182"/>
        <v>10857.569999999996</v>
      </c>
      <c r="L560" s="35">
        <f t="shared" si="182"/>
        <v>10907.129999999997</v>
      </c>
      <c r="M560" s="36"/>
      <c r="N560" s="36"/>
      <c r="O560" s="36"/>
      <c r="P560" s="36"/>
      <c r="Q560" s="36"/>
      <c r="R560" s="37"/>
      <c r="S560" s="38"/>
      <c r="T560" s="56"/>
      <c r="U560" s="51"/>
      <c r="V560" s="50"/>
      <c r="W560" s="50"/>
      <c r="X560" s="51"/>
      <c r="Y560" s="51"/>
      <c r="Z560" s="52"/>
      <c r="AA560" s="52"/>
    </row>
    <row r="561" spans="1:27">
      <c r="A561" s="95">
        <v>43308</v>
      </c>
      <c r="B561" s="115" t="s">
        <v>429</v>
      </c>
      <c r="C561" s="26" t="s">
        <v>126</v>
      </c>
      <c r="D561" s="16">
        <v>29289.61</v>
      </c>
      <c r="E561" s="16">
        <v>29208.75</v>
      </c>
      <c r="F561" s="16">
        <v>29223.34</v>
      </c>
      <c r="G561" s="16">
        <v>29214.07</v>
      </c>
      <c r="H561" s="16">
        <v>29297.94</v>
      </c>
      <c r="I561" s="16">
        <v>29253.86</v>
      </c>
      <c r="J561" s="16">
        <v>29210.18</v>
      </c>
      <c r="K561" s="16">
        <v>29214.67</v>
      </c>
      <c r="L561" s="16">
        <v>29310.42</v>
      </c>
      <c r="M561" s="27">
        <f>IF((L562=""),"",MAX(D563:L563))</f>
        <v>12390.149999999998</v>
      </c>
      <c r="N561" s="27">
        <f>IF(L562="","",MIN(D563:L563))</f>
        <v>11991.930000000004</v>
      </c>
      <c r="O561" s="27">
        <f>IF((L563=""),"",AVERAGE(D563:L563))</f>
        <v>12225.546666666667</v>
      </c>
      <c r="P561" s="27">
        <f>IF((L562=""),"",STDEV(D563:L563))</f>
        <v>128.86704262537125</v>
      </c>
      <c r="Q561" s="168">
        <f>IF((L562=""),"",((M561-N561)/(M561+P561))*100)</f>
        <v>3.1809206636920031</v>
      </c>
      <c r="R561" s="28" t="str">
        <f>IF(L562="","",IF(Q561&lt;Z561,IF(N561&gt;V561,IF(M561&lt;W561,"Pass","Fail"),"Fail"),"Fail"))</f>
        <v>Pass</v>
      </c>
      <c r="S561" s="29">
        <v>121</v>
      </c>
      <c r="T561" s="54"/>
      <c r="U561" s="40"/>
      <c r="V561" s="53">
        <v>10000</v>
      </c>
      <c r="W561" s="22">
        <v>15600</v>
      </c>
      <c r="X561" s="40">
        <v>8090</v>
      </c>
      <c r="Y561" s="40">
        <v>12070</v>
      </c>
      <c r="Z561" s="49">
        <v>15</v>
      </c>
      <c r="AA561" s="49">
        <v>6</v>
      </c>
    </row>
    <row r="562" spans="1:27" ht="15.75" customHeight="1">
      <c r="A562" s="94"/>
      <c r="B562" s="94"/>
      <c r="C562" s="30" t="s">
        <v>128</v>
      </c>
      <c r="D562" s="16">
        <v>25292.3</v>
      </c>
      <c r="E562" s="16">
        <v>25128.9</v>
      </c>
      <c r="F562" s="16">
        <v>25167.23</v>
      </c>
      <c r="G562" s="16">
        <v>25102</v>
      </c>
      <c r="H562" s="16">
        <v>25227.05</v>
      </c>
      <c r="I562" s="16">
        <v>25225.7</v>
      </c>
      <c r="J562" s="16">
        <v>25122.639999999999</v>
      </c>
      <c r="K562" s="16">
        <v>25100.01</v>
      </c>
      <c r="L562" s="16">
        <v>25180.37</v>
      </c>
      <c r="M562" s="31"/>
      <c r="N562" s="31"/>
      <c r="O562" s="31"/>
      <c r="P562" s="31"/>
      <c r="Q562" s="31"/>
      <c r="R562" s="32"/>
      <c r="S562" s="33"/>
      <c r="T562" s="55"/>
      <c r="V562" s="47"/>
      <c r="W562" s="47"/>
      <c r="X562" s="48"/>
      <c r="Y562" s="48"/>
      <c r="Z562" s="49"/>
      <c r="AA562" s="49"/>
    </row>
    <row r="563" spans="1:27" ht="16.5" customHeight="1" thickBot="1">
      <c r="A563" s="94"/>
      <c r="B563" s="94"/>
      <c r="C563" s="34" t="s">
        <v>129</v>
      </c>
      <c r="D563" s="35">
        <f t="shared" ref="D563:L563" si="183">IF(((D561="")*AND(D562="")),"",(D561-D562)*3)</f>
        <v>11991.930000000004</v>
      </c>
      <c r="E563" s="35">
        <f t="shared" si="183"/>
        <v>12239.549999999996</v>
      </c>
      <c r="F563" s="35">
        <f t="shared" si="183"/>
        <v>12168.330000000002</v>
      </c>
      <c r="G563" s="35">
        <f t="shared" si="183"/>
        <v>12336.21</v>
      </c>
      <c r="H563" s="35">
        <f t="shared" si="183"/>
        <v>12212.669999999998</v>
      </c>
      <c r="I563" s="35">
        <f t="shared" si="183"/>
        <v>12084.48</v>
      </c>
      <c r="J563" s="35">
        <f t="shared" si="183"/>
        <v>12262.620000000003</v>
      </c>
      <c r="K563" s="35">
        <f t="shared" si="183"/>
        <v>12343.98</v>
      </c>
      <c r="L563" s="35">
        <f t="shared" si="183"/>
        <v>12390.149999999998</v>
      </c>
      <c r="M563" s="36"/>
      <c r="N563" s="36"/>
      <c r="O563" s="36"/>
      <c r="P563" s="36"/>
      <c r="Q563" s="36"/>
      <c r="R563" s="37"/>
      <c r="S563" s="38"/>
      <c r="T563" s="56"/>
      <c r="U563" s="51"/>
      <c r="V563" s="50"/>
      <c r="W563" s="50"/>
      <c r="X563" s="51"/>
      <c r="Y563" s="51"/>
      <c r="Z563" s="52"/>
      <c r="AA563" s="52"/>
    </row>
    <row r="564" spans="1:27">
      <c r="A564" s="95">
        <v>43312</v>
      </c>
      <c r="B564" s="115" t="s">
        <v>429</v>
      </c>
      <c r="C564" s="26" t="s">
        <v>126</v>
      </c>
      <c r="D564" s="16">
        <v>29264.79</v>
      </c>
      <c r="E564" s="16">
        <v>29181.72</v>
      </c>
      <c r="F564" s="16">
        <v>29218.89</v>
      </c>
      <c r="G564" s="16">
        <v>29160.89</v>
      </c>
      <c r="H564" s="16">
        <v>29226.16</v>
      </c>
      <c r="I564" s="16">
        <v>29221.48</v>
      </c>
      <c r="J564" s="16">
        <v>29169.41</v>
      </c>
      <c r="K564" s="16">
        <v>29168.17</v>
      </c>
      <c r="L564" s="16">
        <v>29243.13</v>
      </c>
      <c r="M564" s="27">
        <f>IF((L565=""),"",MAX(D566:L566))</f>
        <v>11483.310000000001</v>
      </c>
      <c r="N564" s="27">
        <f>IF(L565="","",MIN(D566:L566))</f>
        <v>11064.120000000003</v>
      </c>
      <c r="O564" s="27">
        <f>IF((L566=""),"",AVERAGE(D566:L566))</f>
        <v>11376.371249999998</v>
      </c>
      <c r="P564" s="27">
        <f>IF((L565=""),"",STDEV(D566:L566))</f>
        <v>134.01646385406227</v>
      </c>
      <c r="Q564" s="168">
        <f>IF((L565=""),"",((M564-N564)/(M564+P564))*100)</f>
        <v>3.6083172948979163</v>
      </c>
      <c r="R564" s="28" t="str">
        <f>IF(L565="","",IF(Q564&lt;Z564,IF(N564&gt;V564,IF(M564&lt;W564,"Pass","Fail"),"Fail"),"Fail"))</f>
        <v>Pass</v>
      </c>
      <c r="S564" s="29">
        <v>1428</v>
      </c>
      <c r="T564" s="54" t="s">
        <v>232</v>
      </c>
      <c r="U564" s="40"/>
      <c r="V564" s="53">
        <v>10000</v>
      </c>
      <c r="W564" s="22">
        <v>15600</v>
      </c>
      <c r="X564" s="40">
        <v>8090</v>
      </c>
      <c r="Y564" s="40">
        <v>12070</v>
      </c>
      <c r="Z564" s="49">
        <v>15</v>
      </c>
      <c r="AA564" s="49">
        <v>6</v>
      </c>
    </row>
    <row r="565" spans="1:27" ht="15.75" customHeight="1">
      <c r="A565" s="94"/>
      <c r="B565" s="94"/>
      <c r="C565" s="30" t="s">
        <v>128</v>
      </c>
      <c r="D565" s="16">
        <v>25469.53</v>
      </c>
      <c r="E565" s="16">
        <v>25353.95</v>
      </c>
      <c r="F565" s="16">
        <v>25422.55</v>
      </c>
      <c r="G565" s="16">
        <v>25383.37</v>
      </c>
      <c r="H565" s="16">
        <v>25538.12</v>
      </c>
      <c r="I565" s="16">
        <v>25402.95</v>
      </c>
      <c r="J565" s="16">
        <v>25356.240000000002</v>
      </c>
      <c r="K565" s="16">
        <v>25359.43</v>
      </c>
      <c r="L565" s="16">
        <v>25436.25</v>
      </c>
      <c r="M565" s="31">
        <v>1</v>
      </c>
      <c r="N565" s="31"/>
      <c r="O565" s="31"/>
      <c r="P565" s="31"/>
      <c r="Q565" s="31"/>
      <c r="R565" s="32"/>
      <c r="S565" s="33"/>
      <c r="T565" s="55"/>
      <c r="V565" s="47"/>
      <c r="W565" s="47"/>
      <c r="X565" s="48"/>
      <c r="Y565" s="48"/>
      <c r="Z565" s="49"/>
      <c r="AA565" s="49"/>
    </row>
    <row r="566" spans="1:27" ht="16.5" customHeight="1" thickBot="1">
      <c r="A566" s="94"/>
      <c r="B566" s="94"/>
      <c r="C566" s="34" t="s">
        <v>129</v>
      </c>
      <c r="D566" s="35"/>
      <c r="E566" s="35">
        <f t="shared" ref="E566:L566" si="184">IF(((E564="")*AND(E565="")),"",(E564-E565)*3)</f>
        <v>11483.310000000001</v>
      </c>
      <c r="F566" s="35">
        <f t="shared" si="184"/>
        <v>11389.02</v>
      </c>
      <c r="G566" s="35">
        <f t="shared" si="184"/>
        <v>11332.560000000001</v>
      </c>
      <c r="H566" s="35">
        <f t="shared" si="184"/>
        <v>11064.120000000003</v>
      </c>
      <c r="I566" s="35">
        <f t="shared" si="184"/>
        <v>11455.589999999997</v>
      </c>
      <c r="J566" s="35">
        <f t="shared" si="184"/>
        <v>11439.509999999995</v>
      </c>
      <c r="K566" s="35">
        <f t="shared" si="184"/>
        <v>11426.219999999994</v>
      </c>
      <c r="L566" s="35">
        <f t="shared" si="184"/>
        <v>11420.640000000003</v>
      </c>
      <c r="M566" s="36"/>
      <c r="N566" s="36"/>
      <c r="O566" s="36"/>
      <c r="P566" s="36"/>
      <c r="Q566" s="36"/>
      <c r="R566" s="37"/>
      <c r="S566" s="38"/>
      <c r="T566" s="56"/>
      <c r="U566" s="51"/>
      <c r="V566" s="50"/>
      <c r="W566" s="50"/>
      <c r="X566" s="51"/>
      <c r="Y566" s="51"/>
      <c r="Z566" s="52"/>
      <c r="AA566" s="52"/>
    </row>
    <row r="567" spans="1:27">
      <c r="A567" s="95">
        <v>43317</v>
      </c>
      <c r="B567" s="115" t="s">
        <v>429</v>
      </c>
      <c r="C567" s="26" t="s">
        <v>126</v>
      </c>
      <c r="D567" s="16">
        <v>28862.06</v>
      </c>
      <c r="E567" s="16">
        <v>28803.05</v>
      </c>
      <c r="F567" s="16">
        <v>28863.72</v>
      </c>
      <c r="G567" s="16">
        <v>28796.87</v>
      </c>
      <c r="H567" s="16">
        <v>28872.9</v>
      </c>
      <c r="I567" s="16">
        <v>28864.81</v>
      </c>
      <c r="J567" s="16">
        <v>28790.11</v>
      </c>
      <c r="K567" s="16">
        <v>28799.21</v>
      </c>
      <c r="L567" s="16">
        <v>28838.22</v>
      </c>
      <c r="M567" s="27">
        <f>IF((L568=""),"",MAX(D569:L569))</f>
        <v>11647.679999999993</v>
      </c>
      <c r="N567" s="27">
        <f>IF(L568="","",MIN(D569:L569))</f>
        <v>11095.44000000001</v>
      </c>
      <c r="O567" s="27">
        <f>IF((L569=""),"",AVERAGE(D569:L569))</f>
        <v>11502.843333333334</v>
      </c>
      <c r="P567" s="27">
        <f>IF((L568=""),"",STDEV(D569:L569))</f>
        <v>168.3350421034387</v>
      </c>
      <c r="Q567" s="168">
        <f>IF((L568=""),"",((M567-N567)/(M567+P567))*100)</f>
        <v>4.673656880362909</v>
      </c>
      <c r="R567" s="28" t="str">
        <f>IF(L568="","",IF(Q567&lt;Z567,IF(N567&gt;V567,IF(M567&lt;W567,"Pass","Fail"),"Fail"),"Fail"))</f>
        <v>Pass</v>
      </c>
      <c r="S567" s="29">
        <v>1340</v>
      </c>
      <c r="T567" s="54"/>
      <c r="U567" s="40"/>
      <c r="V567" s="53">
        <v>10000</v>
      </c>
      <c r="W567" s="22">
        <v>15600</v>
      </c>
      <c r="X567" s="40">
        <v>8090</v>
      </c>
      <c r="Y567" s="40">
        <v>12070</v>
      </c>
      <c r="Z567" s="49">
        <v>15</v>
      </c>
      <c r="AA567" s="49">
        <v>6</v>
      </c>
    </row>
    <row r="568" spans="1:27" ht="15.75" customHeight="1">
      <c r="A568" s="94"/>
      <c r="B568" s="94"/>
      <c r="C568" s="30" t="s">
        <v>128</v>
      </c>
      <c r="D568" s="16">
        <v>25037.83</v>
      </c>
      <c r="E568" s="16">
        <v>24926.42</v>
      </c>
      <c r="F568" s="16">
        <v>25032.31</v>
      </c>
      <c r="G568" s="16">
        <v>24978.87</v>
      </c>
      <c r="H568" s="16">
        <v>25174.42</v>
      </c>
      <c r="I568" s="16">
        <v>25005.96</v>
      </c>
      <c r="J568" s="16">
        <v>24945.13</v>
      </c>
      <c r="K568" s="16">
        <v>24916.65</v>
      </c>
      <c r="L568" s="16">
        <v>24964.83</v>
      </c>
      <c r="M568" s="31"/>
      <c r="N568" s="31"/>
      <c r="O568" s="31"/>
      <c r="P568" s="31"/>
      <c r="Q568" s="31"/>
      <c r="R568" s="32"/>
      <c r="S568" s="33"/>
      <c r="T568" s="55"/>
      <c r="V568" s="47"/>
      <c r="W568" s="47"/>
      <c r="X568" s="48"/>
      <c r="Y568" s="48"/>
      <c r="Z568" s="49"/>
      <c r="AA568" s="49"/>
    </row>
    <row r="569" spans="1:27" ht="16.5" customHeight="1" thickBot="1">
      <c r="A569" s="94"/>
      <c r="B569" s="94"/>
      <c r="C569" s="34" t="s">
        <v>129</v>
      </c>
      <c r="D569" s="35">
        <f t="shared" ref="D569:L569" si="185">IF(((D567="")*AND(D568="")),"",(D567-D568)*3)</f>
        <v>11472.689999999999</v>
      </c>
      <c r="E569" s="35">
        <f t="shared" si="185"/>
        <v>11629.890000000003</v>
      </c>
      <c r="F569" s="35">
        <f t="shared" si="185"/>
        <v>11494.23</v>
      </c>
      <c r="G569" s="35">
        <f t="shared" si="185"/>
        <v>11454</v>
      </c>
      <c r="H569" s="35">
        <f t="shared" si="185"/>
        <v>11095.44000000001</v>
      </c>
      <c r="I569" s="35">
        <f t="shared" si="185"/>
        <v>11576.550000000007</v>
      </c>
      <c r="J569" s="35">
        <f t="shared" si="185"/>
        <v>11534.939999999999</v>
      </c>
      <c r="K569" s="35">
        <f t="shared" si="185"/>
        <v>11647.679999999993</v>
      </c>
      <c r="L569" s="35">
        <f t="shared" si="185"/>
        <v>11620.169999999998</v>
      </c>
      <c r="M569" s="36"/>
      <c r="N569" s="36"/>
      <c r="O569" s="36"/>
      <c r="P569" s="36"/>
      <c r="Q569" s="36"/>
      <c r="R569" s="37"/>
      <c r="S569" s="38"/>
      <c r="T569" s="56"/>
      <c r="U569" s="51"/>
      <c r="V569" s="50"/>
      <c r="W569" s="50"/>
      <c r="X569" s="51"/>
      <c r="Y569" s="51"/>
      <c r="Z569" s="52"/>
      <c r="AA569" s="52"/>
    </row>
    <row r="570" spans="1:27">
      <c r="A570" s="95">
        <v>43321</v>
      </c>
      <c r="B570" s="115" t="s">
        <v>429</v>
      </c>
      <c r="C570" s="26" t="s">
        <v>126</v>
      </c>
      <c r="D570" s="16">
        <v>29184.48</v>
      </c>
      <c r="E570" s="16">
        <v>29134.71</v>
      </c>
      <c r="F570" s="16">
        <v>29166.54</v>
      </c>
      <c r="G570" s="16">
        <v>29133.040000000001</v>
      </c>
      <c r="H570" s="16">
        <v>29232.03</v>
      </c>
      <c r="I570" s="16">
        <v>29188.28</v>
      </c>
      <c r="J570" s="16">
        <v>29128.53</v>
      </c>
      <c r="K570" s="16">
        <v>29129.93</v>
      </c>
      <c r="L570" s="16">
        <v>29140</v>
      </c>
      <c r="M570" s="27">
        <f>IF((L571=""),"",MAX(D572:L572))</f>
        <v>11718.689999999999</v>
      </c>
      <c r="N570" s="27">
        <f>IF(L571="","",MIN(D572:L572))</f>
        <v>11526.929999999993</v>
      </c>
      <c r="O570" s="27">
        <f>IF((L572=""),"",AVERAGE(D572:L572))</f>
        <v>11637.869999999997</v>
      </c>
      <c r="P570" s="27">
        <f>IF((L571=""),"",STDEV(D572:L572))</f>
        <v>73.287425763516964</v>
      </c>
      <c r="Q570" s="168">
        <f>IF((L571=""),"",((M570-N570)/(M570+P570))*100)</f>
        <v>1.6261903587183084</v>
      </c>
      <c r="R570" s="28" t="str">
        <f>IF(L571="","",IF(Q570&lt;Z570,IF(N570&gt;V570,IF(M570&lt;W570,"Pass","Fail"),"Fail"),"Fail"))</f>
        <v>Pass</v>
      </c>
      <c r="S570" s="29"/>
      <c r="T570" s="54"/>
      <c r="U570" s="40"/>
      <c r="V570" s="53">
        <v>10000</v>
      </c>
      <c r="W570" s="22">
        <v>15600</v>
      </c>
      <c r="X570" s="40">
        <v>8090</v>
      </c>
      <c r="Y570" s="40">
        <v>12070</v>
      </c>
      <c r="Z570" s="49">
        <v>15</v>
      </c>
      <c r="AA570" s="49">
        <v>6</v>
      </c>
    </row>
    <row r="571" spans="1:27" ht="15.75" customHeight="1">
      <c r="A571" s="94"/>
      <c r="B571" s="94"/>
      <c r="C571" s="30" t="s">
        <v>128</v>
      </c>
      <c r="D571" s="16">
        <v>25299.86</v>
      </c>
      <c r="E571" s="16">
        <v>25231.5</v>
      </c>
      <c r="F571" s="16">
        <v>25315.68</v>
      </c>
      <c r="G571" s="16">
        <v>25260.9</v>
      </c>
      <c r="H571" s="16">
        <v>25389.72</v>
      </c>
      <c r="I571" s="16">
        <v>25286.9</v>
      </c>
      <c r="J571" s="16">
        <v>25222.3</v>
      </c>
      <c r="K571" s="16">
        <v>25234.57</v>
      </c>
      <c r="L571" s="16">
        <v>25282.5</v>
      </c>
      <c r="M571" s="31"/>
      <c r="N571" s="31"/>
      <c r="O571" s="31"/>
      <c r="P571" s="31"/>
      <c r="Q571" s="31"/>
      <c r="R571" s="32"/>
      <c r="S571" s="33"/>
      <c r="T571" s="55"/>
      <c r="V571" s="47"/>
      <c r="W571" s="47"/>
      <c r="X571" s="48"/>
      <c r="Y571" s="48"/>
      <c r="Z571" s="49"/>
      <c r="AA571" s="49"/>
    </row>
    <row r="572" spans="1:27" ht="16.5" customHeight="1" thickBot="1">
      <c r="A572" s="94"/>
      <c r="B572" s="94"/>
      <c r="C572" s="34" t="s">
        <v>129</v>
      </c>
      <c r="D572" s="35">
        <f t="shared" ref="D572:L572" si="186">IF(((D570="")*AND(D571="")),"",(D570-D571)*3)</f>
        <v>11653.859999999997</v>
      </c>
      <c r="E572" s="35">
        <f t="shared" si="186"/>
        <v>11709.629999999997</v>
      </c>
      <c r="F572" s="35">
        <f t="shared" si="186"/>
        <v>11552.580000000002</v>
      </c>
      <c r="G572" s="35">
        <f t="shared" si="186"/>
        <v>11616.419999999998</v>
      </c>
      <c r="H572" s="35">
        <f t="shared" si="186"/>
        <v>11526.929999999993</v>
      </c>
      <c r="I572" s="35">
        <f t="shared" si="186"/>
        <v>11704.139999999992</v>
      </c>
      <c r="J572" s="35">
        <f t="shared" si="186"/>
        <v>11718.689999999999</v>
      </c>
      <c r="K572" s="35">
        <f t="shared" si="186"/>
        <v>11686.080000000002</v>
      </c>
      <c r="L572" s="35">
        <f t="shared" si="186"/>
        <v>11572.5</v>
      </c>
      <c r="M572" s="36"/>
      <c r="N572" s="36"/>
      <c r="O572" s="36"/>
      <c r="P572" s="36"/>
      <c r="Q572" s="36"/>
      <c r="R572" s="37"/>
      <c r="S572" s="38"/>
      <c r="T572" s="56"/>
      <c r="U572" s="51"/>
      <c r="V572" s="50"/>
      <c r="W572" s="50"/>
      <c r="X572" s="51"/>
      <c r="Y572" s="51"/>
      <c r="Z572" s="52"/>
      <c r="AA572" s="52"/>
    </row>
    <row r="573" spans="1:27">
      <c r="A573" s="95">
        <v>43326</v>
      </c>
      <c r="B573" s="115" t="s">
        <v>429</v>
      </c>
      <c r="C573" s="26" t="s">
        <v>126</v>
      </c>
      <c r="D573" s="16">
        <v>29108.46</v>
      </c>
      <c r="E573" s="16">
        <v>29045.02</v>
      </c>
      <c r="F573" s="16">
        <v>29080.97</v>
      </c>
      <c r="G573" s="16">
        <v>29035.87</v>
      </c>
      <c r="H573" s="16">
        <v>29093.93</v>
      </c>
      <c r="I573" s="16">
        <v>29091.29</v>
      </c>
      <c r="J573" s="16">
        <v>29033.360000000001</v>
      </c>
      <c r="K573" s="16">
        <v>29054.639999999999</v>
      </c>
      <c r="L573" s="16">
        <v>29130.14</v>
      </c>
      <c r="M573" s="27">
        <f>IF((L574=""),"",MAX(D575:L575))</f>
        <v>10958.370000000003</v>
      </c>
      <c r="N573" s="27">
        <f>IF(L574="","",MIN(D575:L575))</f>
        <v>10612.649999999998</v>
      </c>
      <c r="O573" s="27">
        <f>IF((L575=""),"",AVERAGE(D575:L575))</f>
        <v>10863.356666666668</v>
      </c>
      <c r="P573" s="27">
        <f>IF((L574=""),"",STDEV(D575:L575))</f>
        <v>111.78507782799744</v>
      </c>
      <c r="Q573" s="168">
        <f>IF((L574=""),"",((M573-N573)/(M573+P573))*100)</f>
        <v>3.122991480873059</v>
      </c>
      <c r="R573" s="28" t="str">
        <f>IF(L574="","",IF(Q573&lt;Z573,IF(N573&gt;V573,IF(M573&lt;W573,"Pass","Fail"),"Fail"),"Fail"))</f>
        <v>Pass</v>
      </c>
      <c r="S573" s="29">
        <v>1159</v>
      </c>
      <c r="T573" s="54" t="s">
        <v>233</v>
      </c>
      <c r="U573" s="40"/>
      <c r="V573" s="53">
        <v>10000</v>
      </c>
      <c r="W573" s="22">
        <v>15600</v>
      </c>
      <c r="X573" s="40">
        <v>8090</v>
      </c>
      <c r="Y573" s="40">
        <v>12070</v>
      </c>
      <c r="Z573" s="49">
        <v>15</v>
      </c>
      <c r="AA573" s="49">
        <v>6</v>
      </c>
    </row>
    <row r="574" spans="1:27" ht="15.75" customHeight="1">
      <c r="A574" s="94"/>
      <c r="B574" s="94"/>
      <c r="C574" s="30" t="s">
        <v>128</v>
      </c>
      <c r="D574" s="16">
        <v>25570.91</v>
      </c>
      <c r="E574" s="16">
        <v>25429.16</v>
      </c>
      <c r="F574" s="16">
        <v>25488.54</v>
      </c>
      <c r="G574" s="16">
        <v>25403.71</v>
      </c>
      <c r="H574" s="16">
        <v>25474.959999999999</v>
      </c>
      <c r="I574" s="16">
        <v>25439.599999999999</v>
      </c>
      <c r="J574" s="16">
        <v>25397.21</v>
      </c>
      <c r="K574" s="16">
        <v>25401.85</v>
      </c>
      <c r="L574" s="16">
        <v>25477.67</v>
      </c>
      <c r="M574" s="31"/>
      <c r="N574" s="31"/>
      <c r="O574" s="31"/>
      <c r="P574" s="31"/>
      <c r="Q574" s="31"/>
      <c r="R574" s="32"/>
      <c r="S574" s="33"/>
      <c r="T574" s="55"/>
      <c r="V574" s="47"/>
      <c r="W574" s="47"/>
      <c r="X574" s="48"/>
      <c r="Y574" s="48"/>
      <c r="Z574" s="49"/>
      <c r="AA574" s="49"/>
    </row>
    <row r="575" spans="1:27" ht="16.5" customHeight="1" thickBot="1">
      <c r="A575" s="94"/>
      <c r="B575" s="94"/>
      <c r="C575" s="34" t="s">
        <v>129</v>
      </c>
      <c r="D575" s="35">
        <f t="shared" ref="D575:L575" si="187">IF(((D573="")*AND(D574="")),"",(D573-D574)*3)</f>
        <v>10612.649999999998</v>
      </c>
      <c r="E575" s="35">
        <f t="shared" si="187"/>
        <v>10847.580000000002</v>
      </c>
      <c r="F575" s="35">
        <f t="shared" si="187"/>
        <v>10777.29</v>
      </c>
      <c r="G575" s="35">
        <f t="shared" si="187"/>
        <v>10896.48</v>
      </c>
      <c r="H575" s="35">
        <f t="shared" si="187"/>
        <v>10856.910000000003</v>
      </c>
      <c r="I575" s="35">
        <f t="shared" si="187"/>
        <v>10955.070000000007</v>
      </c>
      <c r="J575" s="35">
        <f t="shared" si="187"/>
        <v>10908.450000000004</v>
      </c>
      <c r="K575" s="35">
        <f t="shared" si="187"/>
        <v>10958.370000000003</v>
      </c>
      <c r="L575" s="35">
        <f t="shared" si="187"/>
        <v>10957.410000000003</v>
      </c>
      <c r="M575" s="36"/>
      <c r="N575" s="36"/>
      <c r="O575" s="36"/>
      <c r="P575" s="36"/>
      <c r="Q575" s="36"/>
      <c r="R575" s="37"/>
      <c r="S575" s="38"/>
      <c r="T575" s="56"/>
      <c r="U575" s="51"/>
      <c r="V575" s="50"/>
      <c r="W575" s="50"/>
      <c r="X575" s="51"/>
      <c r="Y575" s="51"/>
      <c r="Z575" s="52"/>
      <c r="AA575" s="52"/>
    </row>
    <row r="576" spans="1:27">
      <c r="A576" s="95">
        <v>43332</v>
      </c>
      <c r="B576" s="115" t="s">
        <v>429</v>
      </c>
      <c r="C576" s="26" t="s">
        <v>126</v>
      </c>
      <c r="D576" s="16">
        <v>29091.68</v>
      </c>
      <c r="E576" s="16">
        <v>29031.41</v>
      </c>
      <c r="F576" s="16">
        <v>29070.080000000002</v>
      </c>
      <c r="G576" s="16">
        <v>29028.26</v>
      </c>
      <c r="H576" s="16">
        <v>29096.1</v>
      </c>
      <c r="I576" s="16">
        <v>29083.88</v>
      </c>
      <c r="J576" s="16">
        <v>29024.080000000002</v>
      </c>
      <c r="K576" s="16">
        <v>29028.71</v>
      </c>
      <c r="L576" s="16">
        <v>29079.88</v>
      </c>
      <c r="M576" s="27">
        <f>IF((L577=""),"",MAX(D578:L578))</f>
        <v>12004.529999999995</v>
      </c>
      <c r="N576" s="27">
        <f>IF(L577="","",MIN(D578:L578))</f>
        <v>11570.879999999997</v>
      </c>
      <c r="O576" s="27">
        <f>IF((L578=""),"",AVERAGE(D578:L578))</f>
        <v>11889.636666666667</v>
      </c>
      <c r="P576" s="27">
        <f>IF((L577=""),"",STDEV(D578:L578))</f>
        <v>134.29617595069035</v>
      </c>
      <c r="Q576" s="168">
        <f>IF((L577=""),"",((M576-N576)/(M576+P576))*100)</f>
        <v>3.5724212021351835</v>
      </c>
      <c r="R576" s="28" t="str">
        <f>IF(L577="","",IF(Q576&lt;Z576,IF(N576&gt;V576,IF(M576&lt;W576,"Pass","Fail"),"Fail"),"Fail"))</f>
        <v>Pass</v>
      </c>
      <c r="S576" s="29">
        <v>1340</v>
      </c>
      <c r="T576" s="54"/>
      <c r="U576" s="40"/>
      <c r="V576" s="53">
        <v>10000</v>
      </c>
      <c r="W576" s="22">
        <v>15600</v>
      </c>
      <c r="X576" s="40">
        <v>8090</v>
      </c>
      <c r="Y576" s="40">
        <v>12070</v>
      </c>
      <c r="Z576" s="49">
        <v>15</v>
      </c>
      <c r="AA576" s="49">
        <v>6</v>
      </c>
    </row>
    <row r="577" spans="1:27" ht="15.75" customHeight="1">
      <c r="A577" s="94"/>
      <c r="B577" s="94"/>
      <c r="C577" s="30" t="s">
        <v>128</v>
      </c>
      <c r="D577" s="16">
        <v>25141</v>
      </c>
      <c r="E577" s="16">
        <v>25029.9</v>
      </c>
      <c r="F577" s="16">
        <v>25112.98</v>
      </c>
      <c r="G577" s="16">
        <v>25062.94</v>
      </c>
      <c r="H577" s="16">
        <v>25239.14</v>
      </c>
      <c r="I577" s="16">
        <v>25093.53</v>
      </c>
      <c r="J577" s="16">
        <v>25027.05</v>
      </c>
      <c r="K577" s="16">
        <v>25032.29</v>
      </c>
      <c r="L577" s="16">
        <v>25126.34</v>
      </c>
      <c r="M577" s="31"/>
      <c r="N577" s="31"/>
      <c r="O577" s="31"/>
      <c r="P577" s="31"/>
      <c r="Q577" s="31"/>
      <c r="R577" s="32"/>
      <c r="S577" s="33"/>
      <c r="T577" s="55"/>
      <c r="V577" s="47"/>
      <c r="W577" s="47"/>
      <c r="X577" s="48"/>
      <c r="Y577" s="48"/>
      <c r="Z577" s="49"/>
      <c r="AA577" s="49"/>
    </row>
    <row r="578" spans="1:27" ht="16.5" customHeight="1" thickBot="1">
      <c r="A578" s="94"/>
      <c r="B578" s="94"/>
      <c r="C578" s="34" t="s">
        <v>129</v>
      </c>
      <c r="D578" s="35">
        <f t="shared" ref="D578:L578" si="188">IF(((D576="")*AND(D577="")),"",(D576-D577)*3)</f>
        <v>11852.04</v>
      </c>
      <c r="E578" s="35">
        <f t="shared" si="188"/>
        <v>12004.529999999995</v>
      </c>
      <c r="F578" s="35">
        <f t="shared" si="188"/>
        <v>11871.300000000007</v>
      </c>
      <c r="G578" s="35">
        <f t="shared" si="188"/>
        <v>11895.96</v>
      </c>
      <c r="H578" s="35">
        <f t="shared" si="188"/>
        <v>11570.879999999997</v>
      </c>
      <c r="I578" s="35">
        <f t="shared" si="188"/>
        <v>11971.050000000007</v>
      </c>
      <c r="J578" s="35">
        <f t="shared" si="188"/>
        <v>11991.090000000007</v>
      </c>
      <c r="K578" s="35">
        <f t="shared" si="188"/>
        <v>11989.259999999995</v>
      </c>
      <c r="L578" s="35">
        <f t="shared" si="188"/>
        <v>11860.620000000003</v>
      </c>
      <c r="M578" s="36"/>
      <c r="N578" s="36"/>
      <c r="O578" s="36"/>
      <c r="P578" s="36"/>
      <c r="Q578" s="36"/>
      <c r="R578" s="37"/>
      <c r="S578" s="38"/>
      <c r="T578" s="56"/>
      <c r="U578" s="51"/>
      <c r="V578" s="50"/>
      <c r="W578" s="50"/>
      <c r="X578" s="51"/>
      <c r="Y578" s="51"/>
      <c r="Z578" s="52"/>
      <c r="AA578" s="52"/>
    </row>
    <row r="579" spans="1:27">
      <c r="A579" s="95">
        <v>43336</v>
      </c>
      <c r="B579" s="115" t="s">
        <v>429</v>
      </c>
      <c r="C579" s="26" t="s">
        <v>126</v>
      </c>
      <c r="D579" s="16">
        <v>29184</v>
      </c>
      <c r="E579" s="16">
        <v>29080</v>
      </c>
      <c r="F579" s="16">
        <v>29073</v>
      </c>
      <c r="G579" s="16">
        <v>29084</v>
      </c>
      <c r="H579" s="16">
        <v>29169</v>
      </c>
      <c r="I579" s="16">
        <v>29146</v>
      </c>
      <c r="J579" s="16">
        <v>29082</v>
      </c>
      <c r="K579" s="16">
        <v>29089</v>
      </c>
      <c r="L579" s="16">
        <v>29164</v>
      </c>
      <c r="M579" s="27">
        <f>IF((L580=""),"",MAX(D581:L581))</f>
        <v>11637</v>
      </c>
      <c r="N579" s="27">
        <f>IF(L580="","",MIN(D581:L581))</f>
        <v>11220</v>
      </c>
      <c r="O579" s="27">
        <f>IF((L581=""),"",AVERAGE(D581:L581))</f>
        <v>11525.666666666666</v>
      </c>
      <c r="P579" s="27">
        <f>IF((L580=""),"",STDEV(D581:L581))</f>
        <v>138.55684753919599</v>
      </c>
      <c r="Q579" s="168">
        <f>IF((L580=""),"",((M579-N579)/(M579+P579))*100)</f>
        <v>3.5412338065961002</v>
      </c>
      <c r="R579" s="28" t="str">
        <f>IF(L580="","",IF(Q579&lt;Z579,IF(N579&gt;V579,IF(M579&lt;W579,"Pass","Fail"),"Fail"),"Fail"))</f>
        <v>Pass</v>
      </c>
      <c r="S579" s="29">
        <v>1340</v>
      </c>
      <c r="T579" s="54"/>
      <c r="U579" s="40"/>
      <c r="V579" s="53">
        <v>10000</v>
      </c>
      <c r="W579" s="22">
        <v>15600</v>
      </c>
      <c r="X579" s="40">
        <v>8090</v>
      </c>
      <c r="Y579" s="40">
        <v>12070</v>
      </c>
      <c r="Z579" s="49">
        <v>15</v>
      </c>
      <c r="AA579" s="49">
        <v>6</v>
      </c>
    </row>
    <row r="580" spans="1:27" ht="15.75" customHeight="1">
      <c r="A580" s="94"/>
      <c r="B580" s="94"/>
      <c r="C580" s="30" t="s">
        <v>128</v>
      </c>
      <c r="D580" s="16">
        <v>25323</v>
      </c>
      <c r="E580" s="16">
        <v>25214</v>
      </c>
      <c r="F580" s="16">
        <v>25271</v>
      </c>
      <c r="G580" s="16">
        <v>25258</v>
      </c>
      <c r="H580" s="16">
        <v>25429</v>
      </c>
      <c r="I580" s="16">
        <v>25267</v>
      </c>
      <c r="J580" s="16">
        <v>25233</v>
      </c>
      <c r="K580" s="16">
        <v>25212</v>
      </c>
      <c r="L580" s="16">
        <v>25287</v>
      </c>
      <c r="M580" s="31"/>
      <c r="N580" s="31"/>
      <c r="O580" s="31"/>
      <c r="P580" s="31"/>
      <c r="Q580" s="31"/>
      <c r="R580" s="32"/>
      <c r="S580" s="33"/>
      <c r="T580" s="55"/>
      <c r="V580" s="47"/>
      <c r="W580" s="47"/>
      <c r="X580" s="48"/>
      <c r="Y580" s="48"/>
      <c r="Z580" s="49"/>
      <c r="AA580" s="49"/>
    </row>
    <row r="581" spans="1:27" ht="16.5" customHeight="1" thickBot="1">
      <c r="A581" s="94"/>
      <c r="B581" s="94"/>
      <c r="C581" s="34" t="s">
        <v>129</v>
      </c>
      <c r="D581" s="35">
        <f t="shared" ref="D581:L581" si="189">IF(((D579="")*AND(D580="")),"",(D579-D580)*3)</f>
        <v>11583</v>
      </c>
      <c r="E581" s="35">
        <f t="shared" si="189"/>
        <v>11598</v>
      </c>
      <c r="F581" s="35">
        <f t="shared" si="189"/>
        <v>11406</v>
      </c>
      <c r="G581" s="35">
        <f t="shared" si="189"/>
        <v>11478</v>
      </c>
      <c r="H581" s="35">
        <f t="shared" si="189"/>
        <v>11220</v>
      </c>
      <c r="I581" s="35">
        <f t="shared" si="189"/>
        <v>11637</v>
      </c>
      <c r="J581" s="35">
        <f t="shared" si="189"/>
        <v>11547</v>
      </c>
      <c r="K581" s="35">
        <f t="shared" si="189"/>
        <v>11631</v>
      </c>
      <c r="L581" s="35">
        <f t="shared" si="189"/>
        <v>11631</v>
      </c>
      <c r="M581" s="36"/>
      <c r="N581" s="36"/>
      <c r="O581" s="36"/>
      <c r="P581" s="36"/>
      <c r="Q581" s="36"/>
      <c r="R581" s="37"/>
      <c r="S581" s="38"/>
      <c r="T581" s="56"/>
      <c r="U581" s="51"/>
      <c r="V581" s="50"/>
      <c r="W581" s="50"/>
      <c r="X581" s="51"/>
      <c r="Y581" s="51"/>
      <c r="Z581" s="52"/>
      <c r="AA581" s="52"/>
    </row>
    <row r="582" spans="1:27">
      <c r="A582" s="95">
        <v>43339</v>
      </c>
      <c r="B582" s="115" t="s">
        <v>429</v>
      </c>
      <c r="C582" s="26" t="s">
        <v>126</v>
      </c>
      <c r="D582" s="16">
        <v>29109.1</v>
      </c>
      <c r="E582" s="16">
        <v>29020.46</v>
      </c>
      <c r="F582" s="16">
        <v>29030.44</v>
      </c>
      <c r="G582" s="16">
        <v>29014.41</v>
      </c>
      <c r="H582" s="16">
        <v>29068.16</v>
      </c>
      <c r="I582" s="16">
        <v>29098.13</v>
      </c>
      <c r="J582" s="16">
        <v>29015.38</v>
      </c>
      <c r="K582" s="16">
        <v>29015.25</v>
      </c>
      <c r="L582" s="16">
        <v>29102.51</v>
      </c>
      <c r="M582" s="27">
        <f>IF((L583=""),"",MAX(D584:L584))</f>
        <v>10006.409999999993</v>
      </c>
      <c r="N582" s="27">
        <f>IF(L583="","",MIN(D584:L584))</f>
        <v>9685.0800000000017</v>
      </c>
      <c r="O582" s="27">
        <f>IF((L584=""),"",AVERAGE(D584:L584))</f>
        <v>9848.0566666666637</v>
      </c>
      <c r="P582" s="27">
        <f>IF((L583=""),"",STDEV(D584:L584))</f>
        <v>124.4585868872563</v>
      </c>
      <c r="Q582" s="168">
        <f>IF((L583=""),"",((M582-N582)/(M582+P582))*100)</f>
        <v>3.1717912165586664</v>
      </c>
      <c r="R582" s="28" t="str">
        <f>IF(L583="","",IF(Q582&lt;Z582,IF(N582&gt;V582,IF(M582&lt;W582,"Pass","Fail"),"Fail"),"Fail"))</f>
        <v>Fail</v>
      </c>
      <c r="S582" s="29" t="s">
        <v>108</v>
      </c>
      <c r="T582" s="54" t="s">
        <v>300</v>
      </c>
      <c r="U582" s="40" t="s">
        <v>299</v>
      </c>
      <c r="V582" s="53">
        <v>10000</v>
      </c>
      <c r="W582" s="22">
        <v>15600</v>
      </c>
      <c r="X582" s="40">
        <v>8090</v>
      </c>
      <c r="Y582" s="40">
        <v>12070</v>
      </c>
      <c r="Z582" s="49">
        <v>15</v>
      </c>
      <c r="AA582" s="49">
        <v>6</v>
      </c>
    </row>
    <row r="583" spans="1:27" ht="15.75" customHeight="1">
      <c r="A583" s="94"/>
      <c r="B583" s="94"/>
      <c r="C583" s="30" t="s">
        <v>128</v>
      </c>
      <c r="D583" s="16">
        <v>25783.23</v>
      </c>
      <c r="E583" s="16">
        <v>25736.65</v>
      </c>
      <c r="F583" s="16">
        <v>25795.3</v>
      </c>
      <c r="G583" s="16">
        <v>25764.84</v>
      </c>
      <c r="H583" s="16">
        <v>25839.8</v>
      </c>
      <c r="I583" s="16">
        <v>25765.03</v>
      </c>
      <c r="J583" s="16">
        <v>25748.65</v>
      </c>
      <c r="K583" s="16">
        <v>25729.13</v>
      </c>
      <c r="L583" s="16">
        <v>25767.040000000001</v>
      </c>
      <c r="M583" s="31"/>
      <c r="N583" s="31"/>
      <c r="O583" s="31"/>
      <c r="P583" s="31"/>
      <c r="Q583" s="31"/>
      <c r="R583" s="32"/>
      <c r="S583" s="33"/>
      <c r="T583" s="55"/>
      <c r="V583" s="47"/>
      <c r="W583" s="47"/>
      <c r="X583" s="48"/>
      <c r="Y583" s="48"/>
      <c r="Z583" s="49"/>
      <c r="AA583" s="49"/>
    </row>
    <row r="584" spans="1:27" ht="16.5" customHeight="1" thickBot="1">
      <c r="A584" s="94"/>
      <c r="B584" s="94"/>
      <c r="C584" s="34" t="s">
        <v>129</v>
      </c>
      <c r="D584" s="35">
        <f t="shared" ref="D584:L584" si="190">IF(((D582="")*AND(D583="")),"",(D582-D583)*3)</f>
        <v>9977.6099999999969</v>
      </c>
      <c r="E584" s="35">
        <f t="shared" si="190"/>
        <v>9851.429999999993</v>
      </c>
      <c r="F584" s="35">
        <f t="shared" si="190"/>
        <v>9705.4199999999983</v>
      </c>
      <c r="G584" s="35">
        <f t="shared" si="190"/>
        <v>9748.7099999999991</v>
      </c>
      <c r="H584" s="35">
        <f t="shared" si="190"/>
        <v>9685.0800000000017</v>
      </c>
      <c r="I584" s="35">
        <f t="shared" si="190"/>
        <v>9999.3000000000065</v>
      </c>
      <c r="J584" s="35">
        <f t="shared" si="190"/>
        <v>9800.1899999999987</v>
      </c>
      <c r="K584" s="35">
        <f t="shared" si="190"/>
        <v>9858.3599999999969</v>
      </c>
      <c r="L584" s="35">
        <f t="shared" si="190"/>
        <v>10006.409999999993</v>
      </c>
      <c r="M584" s="36"/>
      <c r="N584" s="36"/>
      <c r="O584" s="36"/>
      <c r="P584" s="36"/>
      <c r="Q584" s="36"/>
      <c r="R584" s="37"/>
      <c r="S584" s="38"/>
      <c r="T584" s="56"/>
      <c r="U584" s="51"/>
      <c r="V584" s="50"/>
      <c r="W584" s="50"/>
      <c r="X584" s="51"/>
      <c r="Y584" s="51"/>
      <c r="Z584" s="52"/>
      <c r="AA584" s="52"/>
    </row>
    <row r="585" spans="1:27">
      <c r="A585" s="95">
        <v>43340</v>
      </c>
      <c r="B585" s="115" t="s">
        <v>429</v>
      </c>
      <c r="C585" s="26" t="s">
        <v>126</v>
      </c>
      <c r="D585" s="16">
        <v>29102.720000000001</v>
      </c>
      <c r="E585" s="16">
        <v>29049.78</v>
      </c>
      <c r="F585" s="16">
        <v>29104.57</v>
      </c>
      <c r="G585" s="16">
        <v>29050.15</v>
      </c>
      <c r="H585" s="16">
        <v>29129.81</v>
      </c>
      <c r="I585" s="16">
        <v>29124.62</v>
      </c>
      <c r="J585" s="16">
        <v>29056.5</v>
      </c>
      <c r="K585" s="16">
        <v>29048.42</v>
      </c>
      <c r="L585" s="16">
        <v>29101.96</v>
      </c>
      <c r="M585" s="27">
        <f>IF((L586=""),"",MAX(D587:L587))</f>
        <v>10494.810000000001</v>
      </c>
      <c r="N585" s="27">
        <f>IF(L586="","",MIN(D587:L587))</f>
        <v>10157.219999999994</v>
      </c>
      <c r="O585" s="27">
        <f>IF((L587=""),"",AVERAGE(D587:L587))</f>
        <v>10289.909999999998</v>
      </c>
      <c r="P585" s="27">
        <f>IF((L586=""),"",STDEV(D587:L587))</f>
        <v>108.91469942116947</v>
      </c>
      <c r="Q585" s="168">
        <f>IF((L586=""),"",((M585-N585)/(M585+P585))*100)</f>
        <v>3.183692613393061</v>
      </c>
      <c r="R585" s="28" t="str">
        <f>IF(L586="","",IF(Q585&lt;Z585,IF(N585&gt;V585,IF(M585&lt;W585,"Pass","Fail"),"Fail"),"Fail"))</f>
        <v>Pass</v>
      </c>
      <c r="S585" s="29">
        <v>74</v>
      </c>
      <c r="U585" s="54" t="s">
        <v>234</v>
      </c>
      <c r="V585" s="53">
        <v>10000</v>
      </c>
      <c r="W585" s="22">
        <v>15600</v>
      </c>
      <c r="X585" s="40">
        <v>8090</v>
      </c>
      <c r="Y585" s="40">
        <v>12070</v>
      </c>
      <c r="Z585" s="49">
        <v>15</v>
      </c>
      <c r="AA585" s="49">
        <v>6</v>
      </c>
    </row>
    <row r="586" spans="1:27" ht="15.75" customHeight="1">
      <c r="A586" s="94"/>
      <c r="B586" s="94"/>
      <c r="C586" s="30" t="s">
        <v>128</v>
      </c>
      <c r="D586" s="16">
        <v>25707.14</v>
      </c>
      <c r="E586" s="16">
        <v>25645.29</v>
      </c>
      <c r="F586" s="16">
        <v>25718.83</v>
      </c>
      <c r="G586" s="16">
        <v>25623.75</v>
      </c>
      <c r="H586" s="16">
        <v>25663.360000000001</v>
      </c>
      <c r="I586" s="16">
        <v>25679.26</v>
      </c>
      <c r="J586" s="16">
        <v>25647.49</v>
      </c>
      <c r="K586" s="16">
        <v>25609.99</v>
      </c>
      <c r="L586" s="16">
        <v>25603.69</v>
      </c>
      <c r="M586" s="31"/>
      <c r="N586" s="31"/>
      <c r="O586" s="31"/>
      <c r="P586" s="31"/>
      <c r="Q586" s="31"/>
      <c r="R586" s="32"/>
      <c r="S586" s="33"/>
      <c r="T586" s="55"/>
      <c r="V586" s="47"/>
      <c r="W586" s="47"/>
      <c r="X586" s="48"/>
      <c r="Y586" s="48"/>
      <c r="Z586" s="49"/>
      <c r="AA586" s="49"/>
    </row>
    <row r="587" spans="1:27" ht="16.5" customHeight="1" thickBot="1">
      <c r="A587" s="94"/>
      <c r="B587" s="94"/>
      <c r="C587" s="34" t="s">
        <v>129</v>
      </c>
      <c r="D587" s="35">
        <f t="shared" ref="D587:L587" si="191">IF(((D585="")*AND(D586="")),"",(D585-D586)*3)</f>
        <v>10186.740000000005</v>
      </c>
      <c r="E587" s="35">
        <f t="shared" si="191"/>
        <v>10213.469999999994</v>
      </c>
      <c r="F587" s="35">
        <f t="shared" si="191"/>
        <v>10157.219999999994</v>
      </c>
      <c r="G587" s="35">
        <f t="shared" si="191"/>
        <v>10279.200000000004</v>
      </c>
      <c r="H587" s="35">
        <f t="shared" si="191"/>
        <v>10399.350000000002</v>
      </c>
      <c r="I587" s="35">
        <f t="shared" si="191"/>
        <v>10336.080000000002</v>
      </c>
      <c r="J587" s="35">
        <f t="shared" si="191"/>
        <v>10227.029999999995</v>
      </c>
      <c r="K587" s="35">
        <f t="shared" si="191"/>
        <v>10315.28999999999</v>
      </c>
      <c r="L587" s="35">
        <f t="shared" si="191"/>
        <v>10494.810000000001</v>
      </c>
      <c r="M587" s="36"/>
      <c r="N587" s="36"/>
      <c r="O587" s="36"/>
      <c r="P587" s="36"/>
      <c r="Q587" s="36"/>
      <c r="R587" s="37"/>
      <c r="S587" s="38"/>
      <c r="T587" s="56"/>
      <c r="U587" s="51"/>
      <c r="V587" s="50"/>
      <c r="W587" s="50"/>
      <c r="X587" s="51"/>
      <c r="Y587" s="51"/>
      <c r="Z587" s="52"/>
      <c r="AA587" s="52"/>
    </row>
    <row r="588" spans="1:27">
      <c r="A588" s="95">
        <v>43344</v>
      </c>
      <c r="B588" s="115" t="s">
        <v>429</v>
      </c>
      <c r="C588" s="26" t="s">
        <v>126</v>
      </c>
      <c r="D588" s="16">
        <v>29084.68</v>
      </c>
      <c r="E588" s="16">
        <v>29060.55</v>
      </c>
      <c r="F588" s="16">
        <v>29107.040000000001</v>
      </c>
      <c r="G588" s="16">
        <v>29007.95</v>
      </c>
      <c r="H588" s="16">
        <v>29149.48</v>
      </c>
      <c r="I588" s="16">
        <v>29072.12</v>
      </c>
      <c r="J588" s="16">
        <v>29013.73</v>
      </c>
      <c r="K588" s="16">
        <v>29029.88</v>
      </c>
      <c r="L588" s="16">
        <v>29129.24</v>
      </c>
      <c r="M588" s="27">
        <f>IF((L589=""),"",MAX(D590:L590))</f>
        <v>11979.630000000008</v>
      </c>
      <c r="N588" s="27">
        <f>IF(L589="","",MIN(D590:L590))</f>
        <v>11302.890000000003</v>
      </c>
      <c r="O588" s="27">
        <f>IF((L590=""),"",AVERAGE(D590:L590))</f>
        <v>11715.500000000004</v>
      </c>
      <c r="P588" s="27">
        <f>IF((L589=""),"",STDEV(D590:L590))</f>
        <v>189.00538861362665</v>
      </c>
      <c r="Q588" s="168">
        <f>IF((L589=""),"",((M588-N588)/(M588+P588))*100)</f>
        <v>5.5613466784717742</v>
      </c>
      <c r="R588" s="28" t="str">
        <f>IF(L589="","",IF(Q588&lt;Z588,IF(N588&gt;V588,IF(M588&lt;W588,"Pass","Fail"),"Fail"),"Fail"))</f>
        <v>Pass</v>
      </c>
      <c r="S588" s="29">
        <v>1335</v>
      </c>
      <c r="T588" s="54" t="s">
        <v>235</v>
      </c>
      <c r="U588" s="40"/>
      <c r="V588" s="53">
        <v>10000</v>
      </c>
      <c r="W588" s="22">
        <v>15600</v>
      </c>
      <c r="X588" s="40">
        <v>8090</v>
      </c>
      <c r="Y588" s="40">
        <v>12070</v>
      </c>
      <c r="Z588" s="49">
        <v>15</v>
      </c>
      <c r="AA588" s="49">
        <v>6</v>
      </c>
    </row>
    <row r="589" spans="1:27" ht="15.75" customHeight="1">
      <c r="A589" s="94"/>
      <c r="B589" s="94"/>
      <c r="C589" s="30" t="s">
        <v>128</v>
      </c>
      <c r="D589" s="16">
        <v>25317.05</v>
      </c>
      <c r="E589" s="16">
        <v>25130.12</v>
      </c>
      <c r="F589" s="16">
        <v>25179.919999999998</v>
      </c>
      <c r="G589" s="16">
        <v>25098.26</v>
      </c>
      <c r="H589" s="16">
        <v>25200.87</v>
      </c>
      <c r="I589" s="16">
        <v>25210.51</v>
      </c>
      <c r="J589" s="16">
        <v>25118.53</v>
      </c>
      <c r="K589" s="16">
        <v>25116.880000000001</v>
      </c>
      <c r="L589" s="16">
        <v>25136.03</v>
      </c>
      <c r="M589" s="31"/>
      <c r="N589" s="31"/>
      <c r="O589" s="31"/>
      <c r="P589" s="31"/>
      <c r="Q589" s="31"/>
      <c r="R589" s="32"/>
      <c r="S589" s="33"/>
      <c r="T589" s="55"/>
      <c r="V589" s="47"/>
      <c r="W589" s="47"/>
      <c r="X589" s="48"/>
      <c r="Y589" s="48"/>
      <c r="Z589" s="49"/>
      <c r="AA589" s="49"/>
    </row>
    <row r="590" spans="1:27" ht="16.5" customHeight="1" thickBot="1">
      <c r="A590" s="94"/>
      <c r="B590" s="94"/>
      <c r="C590" s="34" t="s">
        <v>129</v>
      </c>
      <c r="D590" s="35">
        <f t="shared" ref="D590:L590" si="192">IF(((D588="")*AND(D589="")),"",(D588-D589)*3)</f>
        <v>11302.890000000003</v>
      </c>
      <c r="E590" s="35">
        <f t="shared" si="192"/>
        <v>11791.29</v>
      </c>
      <c r="F590" s="35">
        <f t="shared" si="192"/>
        <v>11781.360000000008</v>
      </c>
      <c r="G590" s="35">
        <f t="shared" si="192"/>
        <v>11729.070000000007</v>
      </c>
      <c r="H590" s="35">
        <f t="shared" si="192"/>
        <v>11845.830000000002</v>
      </c>
      <c r="I590" s="35">
        <f t="shared" si="192"/>
        <v>11584.830000000002</v>
      </c>
      <c r="J590" s="35">
        <f t="shared" si="192"/>
        <v>11685.600000000002</v>
      </c>
      <c r="K590" s="35">
        <f t="shared" si="192"/>
        <v>11739</v>
      </c>
      <c r="L590" s="35">
        <f t="shared" si="192"/>
        <v>11979.630000000008</v>
      </c>
      <c r="M590" s="36"/>
      <c r="N590" s="36"/>
      <c r="O590" s="36"/>
      <c r="P590" s="36"/>
      <c r="Q590" s="36"/>
      <c r="R590" s="37"/>
      <c r="S590" s="38"/>
      <c r="T590" s="56"/>
      <c r="U590" s="51"/>
      <c r="V590" s="50"/>
      <c r="W590" s="50"/>
      <c r="X590" s="51"/>
      <c r="Y590" s="51"/>
      <c r="Z590" s="52"/>
      <c r="AA590" s="52"/>
    </row>
    <row r="591" spans="1:27">
      <c r="A591" s="95">
        <v>43348</v>
      </c>
      <c r="B591" s="115" t="s">
        <v>429</v>
      </c>
      <c r="C591" s="26" t="s">
        <v>126</v>
      </c>
      <c r="D591" s="16">
        <v>29067.52</v>
      </c>
      <c r="E591" s="16">
        <v>29059</v>
      </c>
      <c r="F591" s="16">
        <v>29098.93</v>
      </c>
      <c r="G591" s="16">
        <v>29127.29</v>
      </c>
      <c r="H591" s="16">
        <v>29136.5</v>
      </c>
      <c r="I591" s="16">
        <v>29054.2</v>
      </c>
      <c r="J591" s="16">
        <v>29037.31</v>
      </c>
      <c r="K591" s="16">
        <v>29069.66</v>
      </c>
      <c r="L591" s="16">
        <v>29142.82</v>
      </c>
      <c r="M591" s="27">
        <f>IF((L592=""),"",MAX(D593:L593))</f>
        <v>12687.810000000001</v>
      </c>
      <c r="N591" s="27">
        <f>IF(L592="","",MIN(D593:L593))</f>
        <v>12285.48</v>
      </c>
      <c r="O591" s="27">
        <f>IF((L593=""),"",AVERAGE(D593:L593))</f>
        <v>12467.190000000002</v>
      </c>
      <c r="P591" s="27">
        <f>IF((L592=""),"",STDEV(D593:L593))</f>
        <v>156.51524143032995</v>
      </c>
      <c r="Q591" s="168">
        <f>IF((L592=""),"",((M591-N591)/(M591+P591))*100)</f>
        <v>3.1323560594857582</v>
      </c>
      <c r="R591" s="28" t="str">
        <f>IF(L592="","",IF(Q591&lt;Z591,IF(N591&gt;V591,IF(M591&lt;W591,"Pass","Fail"),"Fail"),"Fail"))</f>
        <v>Pass</v>
      </c>
      <c r="S591" s="29">
        <v>1428</v>
      </c>
      <c r="T591" s="54"/>
      <c r="U591" s="40"/>
      <c r="V591" s="53">
        <v>10000</v>
      </c>
      <c r="W591" s="22">
        <v>15600</v>
      </c>
      <c r="X591" s="40">
        <v>8090</v>
      </c>
      <c r="Y591" s="40">
        <v>12070</v>
      </c>
      <c r="Z591" s="49">
        <v>15</v>
      </c>
      <c r="AA591" s="49">
        <v>6</v>
      </c>
    </row>
    <row r="592" spans="1:27" ht="15.75" customHeight="1">
      <c r="A592" s="94"/>
      <c r="B592" s="94"/>
      <c r="C592" s="30" t="s">
        <v>128</v>
      </c>
      <c r="D592" s="16">
        <v>24966.92</v>
      </c>
      <c r="E592" s="16">
        <v>24930.37</v>
      </c>
      <c r="F592" s="16">
        <v>25003.77</v>
      </c>
      <c r="G592" s="16">
        <v>24898.02</v>
      </c>
      <c r="H592" s="16">
        <v>24923.91</v>
      </c>
      <c r="I592" s="16">
        <v>24920.48</v>
      </c>
      <c r="J592" s="16">
        <v>24920.48</v>
      </c>
      <c r="K592" s="16">
        <v>24899.71</v>
      </c>
      <c r="L592" s="16">
        <v>24928</v>
      </c>
      <c r="M592" s="31"/>
      <c r="N592" s="31"/>
      <c r="O592" s="31"/>
      <c r="P592" s="31"/>
      <c r="Q592" s="31"/>
      <c r="R592" s="32"/>
      <c r="S592" s="33"/>
      <c r="T592" s="55"/>
      <c r="V592" s="47"/>
      <c r="W592" s="47"/>
      <c r="X592" s="48"/>
      <c r="Y592" s="48"/>
      <c r="Z592" s="49"/>
      <c r="AA592" s="49"/>
    </row>
    <row r="593" spans="1:27" ht="16.5" customHeight="1" thickBot="1">
      <c r="A593" s="94"/>
      <c r="B593" s="94"/>
      <c r="C593" s="34" t="s">
        <v>129</v>
      </c>
      <c r="D593" s="35">
        <f t="shared" ref="D593:L593" si="193">IF(((D591="")*AND(D592="")),"",(D591-D592)*3)</f>
        <v>12301.800000000007</v>
      </c>
      <c r="E593" s="35">
        <f t="shared" si="193"/>
        <v>12385.890000000003</v>
      </c>
      <c r="F593" s="35">
        <f t="shared" si="193"/>
        <v>12285.48</v>
      </c>
      <c r="G593" s="35">
        <f t="shared" si="193"/>
        <v>12687.810000000001</v>
      </c>
      <c r="H593" s="35">
        <f t="shared" si="193"/>
        <v>12637.77</v>
      </c>
      <c r="I593" s="35">
        <f t="shared" si="193"/>
        <v>12401.160000000003</v>
      </c>
      <c r="J593" s="35">
        <f t="shared" si="193"/>
        <v>12350.490000000005</v>
      </c>
      <c r="K593" s="35">
        <f t="shared" si="193"/>
        <v>12509.850000000002</v>
      </c>
      <c r="L593" s="35">
        <f t="shared" si="193"/>
        <v>12644.46</v>
      </c>
      <c r="M593" s="36"/>
      <c r="N593" s="36"/>
      <c r="O593" s="36"/>
      <c r="P593" s="36"/>
      <c r="Q593" s="36"/>
      <c r="R593" s="37"/>
      <c r="S593" s="38"/>
      <c r="T593" s="56"/>
      <c r="U593" s="51"/>
      <c r="V593" s="50"/>
      <c r="W593" s="50"/>
      <c r="X593" s="51"/>
      <c r="Y593" s="51"/>
      <c r="Z593" s="52"/>
      <c r="AA593" s="52"/>
    </row>
    <row r="594" spans="1:27">
      <c r="A594" s="95">
        <v>43352</v>
      </c>
      <c r="B594" s="115" t="s">
        <v>429</v>
      </c>
      <c r="C594" s="26" t="s">
        <v>126</v>
      </c>
      <c r="D594" s="16">
        <v>29097.88</v>
      </c>
      <c r="E594" s="16">
        <v>29013.79</v>
      </c>
      <c r="F594" s="16">
        <v>29011.7</v>
      </c>
      <c r="G594" s="16">
        <v>28997.83</v>
      </c>
      <c r="H594" s="16">
        <v>29061.82</v>
      </c>
      <c r="I594" s="16">
        <v>29062.43</v>
      </c>
      <c r="J594" s="16">
        <v>29000.240000000002</v>
      </c>
      <c r="K594" s="16">
        <v>29014.59</v>
      </c>
      <c r="L594" s="16">
        <v>29091.51</v>
      </c>
      <c r="M594" s="27">
        <f>IF((L595=""),"",MAX(D596:L596))</f>
        <v>12038.03999999999</v>
      </c>
      <c r="N594" s="27">
        <f>IF(L595="","",MIN(D596:L596))</f>
        <v>11637.780000000006</v>
      </c>
      <c r="O594" s="27">
        <f>IF((L596=""),"",AVERAGE(D596:L596))</f>
        <v>11870.816666666669</v>
      </c>
      <c r="P594" s="27">
        <f>IF((L595=""),"",STDEV(D596:L596))</f>
        <v>142.67728953833881</v>
      </c>
      <c r="Q594" s="168">
        <f>IF((L595=""),"",((M594-N594)/(M594+P594))*100)</f>
        <v>3.2860133807042362</v>
      </c>
      <c r="R594" s="28" t="str">
        <f>IF(L595="","",IF(Q594&lt;Z594,IF(N594&gt;V594,IF(M594&lt;W594,"Pass","Fail"),"Fail"),"Fail"))</f>
        <v>Pass</v>
      </c>
      <c r="S594" s="29">
        <v>74</v>
      </c>
      <c r="T594" s="54"/>
      <c r="U594" s="40"/>
      <c r="V594" s="53">
        <v>10000</v>
      </c>
      <c r="W594" s="22">
        <v>15600</v>
      </c>
      <c r="X594" s="40">
        <v>8090</v>
      </c>
      <c r="Y594" s="40">
        <v>12070</v>
      </c>
      <c r="Z594" s="49">
        <v>15</v>
      </c>
      <c r="AA594" s="49">
        <v>6</v>
      </c>
    </row>
    <row r="595" spans="1:27" ht="15.75" customHeight="1">
      <c r="A595" s="94"/>
      <c r="B595" s="94"/>
      <c r="C595" s="30" t="s">
        <v>128</v>
      </c>
      <c r="D595" s="16">
        <v>25218.62</v>
      </c>
      <c r="E595" s="16">
        <v>25079.89</v>
      </c>
      <c r="F595" s="16">
        <v>25126.23</v>
      </c>
      <c r="G595" s="16">
        <v>25017.58</v>
      </c>
      <c r="H595" s="16">
        <v>25075.41</v>
      </c>
      <c r="I595" s="16">
        <v>25077.16</v>
      </c>
      <c r="J595" s="16">
        <v>25041.07</v>
      </c>
      <c r="K595" s="16">
        <v>25024.55</v>
      </c>
      <c r="L595" s="16">
        <v>25078.83</v>
      </c>
      <c r="M595" s="31"/>
      <c r="N595" s="31"/>
      <c r="O595" s="31"/>
      <c r="P595" s="31"/>
      <c r="Q595" s="31"/>
      <c r="R595" s="32"/>
      <c r="S595" s="33"/>
      <c r="T595" s="55"/>
      <c r="V595" s="47"/>
      <c r="W595" s="47"/>
      <c r="X595" s="48"/>
      <c r="Y595" s="48"/>
      <c r="Z595" s="49"/>
      <c r="AA595" s="49"/>
    </row>
    <row r="596" spans="1:27" ht="16.5" customHeight="1" thickBot="1">
      <c r="A596" s="94"/>
      <c r="B596" s="94"/>
      <c r="C596" s="34" t="s">
        <v>129</v>
      </c>
      <c r="D596" s="35">
        <f t="shared" ref="D596:L596" si="194">IF(((D594="")*AND(D595="")),"",(D594-D595)*3)</f>
        <v>11637.780000000006</v>
      </c>
      <c r="E596" s="35">
        <f t="shared" si="194"/>
        <v>11801.700000000004</v>
      </c>
      <c r="F596" s="35">
        <f t="shared" si="194"/>
        <v>11656.410000000003</v>
      </c>
      <c r="G596" s="35">
        <f t="shared" si="194"/>
        <v>11940.75</v>
      </c>
      <c r="H596" s="35">
        <f t="shared" si="194"/>
        <v>11959.23</v>
      </c>
      <c r="I596" s="35">
        <f t="shared" si="194"/>
        <v>11955.810000000001</v>
      </c>
      <c r="J596" s="35">
        <f t="shared" si="194"/>
        <v>11877.510000000006</v>
      </c>
      <c r="K596" s="35">
        <f t="shared" si="194"/>
        <v>11970.120000000003</v>
      </c>
      <c r="L596" s="35">
        <f t="shared" si="194"/>
        <v>12038.03999999999</v>
      </c>
      <c r="M596" s="36"/>
      <c r="N596" s="36"/>
      <c r="O596" s="36"/>
      <c r="P596" s="36"/>
      <c r="Q596" s="36"/>
      <c r="R596" s="37"/>
      <c r="S596" s="38"/>
      <c r="T596" s="56"/>
      <c r="U596" s="51"/>
      <c r="V596" s="50"/>
      <c r="W596" s="50"/>
      <c r="X596" s="51"/>
      <c r="Y596" s="51"/>
      <c r="Z596" s="52"/>
      <c r="AA596" s="52"/>
    </row>
    <row r="597" spans="1:27">
      <c r="A597" s="95">
        <v>43356</v>
      </c>
      <c r="B597" s="115" t="s">
        <v>429</v>
      </c>
      <c r="C597" s="26" t="s">
        <v>126</v>
      </c>
      <c r="D597" s="16">
        <v>29147.46</v>
      </c>
      <c r="E597" s="16">
        <v>29072.85</v>
      </c>
      <c r="F597" s="16">
        <v>29136.2</v>
      </c>
      <c r="G597" s="16">
        <v>29068.68</v>
      </c>
      <c r="H597" s="16">
        <v>29137.43</v>
      </c>
      <c r="I597" s="16">
        <v>29138.9</v>
      </c>
      <c r="J597" s="16">
        <v>29061.81</v>
      </c>
      <c r="K597" s="16">
        <v>29061.46</v>
      </c>
      <c r="L597" s="16">
        <v>29138.16</v>
      </c>
      <c r="M597" s="27">
        <f>IF((L598=""),"",MAX(D599:L599))</f>
        <v>15180.930000000004</v>
      </c>
      <c r="N597" s="27">
        <f>IF(L598="","",MIN(D599:L599))</f>
        <v>13939.649999999998</v>
      </c>
      <c r="O597" s="27">
        <f>IF((L599=""),"",AVERAGE(D599:L599))</f>
        <v>14813.073333333334</v>
      </c>
      <c r="P597" s="27">
        <f>IF((L598=""),"",STDEV(D599:L599))</f>
        <v>366.3109993570734</v>
      </c>
      <c r="Q597" s="168">
        <f>IF((L598=""),"",((M597-N597)/(M597+P597))*100)</f>
        <v>7.9839246079181292</v>
      </c>
      <c r="R597" s="28" t="str">
        <f>IF(L598="","",IF(Q597&lt;Z597,IF(N597&gt;V597,IF(M597&lt;W597,"Pass","Fail"),"Fail"),"Fail"))</f>
        <v>Pass</v>
      </c>
      <c r="S597" s="29">
        <v>121</v>
      </c>
      <c r="T597" s="54"/>
      <c r="U597" s="40"/>
      <c r="V597" s="53">
        <v>10000</v>
      </c>
      <c r="W597" s="22">
        <v>15600</v>
      </c>
      <c r="X597" s="40">
        <v>8090</v>
      </c>
      <c r="Y597" s="40">
        <v>12070</v>
      </c>
      <c r="Z597" s="49">
        <v>15</v>
      </c>
      <c r="AA597" s="49">
        <v>6</v>
      </c>
    </row>
    <row r="598" spans="1:27" ht="15.75" customHeight="1">
      <c r="A598" s="94"/>
      <c r="B598" s="94"/>
      <c r="C598" s="30" t="s">
        <v>128</v>
      </c>
      <c r="D598" s="16">
        <v>24500.91</v>
      </c>
      <c r="E598" s="16">
        <v>24164.41</v>
      </c>
      <c r="F598" s="16">
        <v>24139.21</v>
      </c>
      <c r="G598" s="16">
        <v>24008.37</v>
      </c>
      <c r="H598" s="16">
        <v>24211.05</v>
      </c>
      <c r="I598" s="16">
        <v>24208.18</v>
      </c>
      <c r="J598" s="16">
        <v>24034.79</v>
      </c>
      <c r="K598" s="16">
        <v>24041.71</v>
      </c>
      <c r="L598" s="16">
        <v>24215.1</v>
      </c>
      <c r="M598" s="31"/>
      <c r="N598" s="31"/>
      <c r="O598" s="31"/>
      <c r="P598" s="31"/>
      <c r="Q598" s="31"/>
      <c r="R598" s="32"/>
      <c r="S598" s="33"/>
      <c r="T598" s="55"/>
      <c r="V598" s="47"/>
      <c r="W598" s="47"/>
      <c r="X598" s="48"/>
      <c r="Y598" s="48"/>
      <c r="Z598" s="49"/>
      <c r="AA598" s="49"/>
    </row>
    <row r="599" spans="1:27" ht="16.5" customHeight="1" thickBot="1">
      <c r="A599" s="94"/>
      <c r="B599" s="94"/>
      <c r="C599" s="34" t="s">
        <v>129</v>
      </c>
      <c r="D599" s="35">
        <f t="shared" ref="D599:L599" si="195">IF(((D597="")*AND(D598="")),"",(D597-D598)*3)</f>
        <v>13939.649999999998</v>
      </c>
      <c r="E599" s="35">
        <f t="shared" si="195"/>
        <v>14725.319999999996</v>
      </c>
      <c r="F599" s="35">
        <f t="shared" si="195"/>
        <v>14990.970000000005</v>
      </c>
      <c r="G599" s="35">
        <f t="shared" si="195"/>
        <v>15180.930000000004</v>
      </c>
      <c r="H599" s="35">
        <f t="shared" si="195"/>
        <v>14779.140000000003</v>
      </c>
      <c r="I599" s="35">
        <f t="shared" si="195"/>
        <v>14792.160000000003</v>
      </c>
      <c r="J599" s="35">
        <f t="shared" si="195"/>
        <v>15081.060000000001</v>
      </c>
      <c r="K599" s="35">
        <f t="shared" si="195"/>
        <v>15059.25</v>
      </c>
      <c r="L599" s="35">
        <f t="shared" si="195"/>
        <v>14769.180000000004</v>
      </c>
      <c r="M599" s="36"/>
      <c r="N599" s="36"/>
      <c r="O599" s="36"/>
      <c r="P599" s="36"/>
      <c r="Q599" s="36"/>
      <c r="R599" s="37"/>
      <c r="S599" s="38"/>
      <c r="T599" s="56"/>
      <c r="U599" s="51"/>
      <c r="V599" s="50"/>
      <c r="W599" s="50"/>
      <c r="X599" s="51"/>
      <c r="Y599" s="51"/>
      <c r="Z599" s="52"/>
      <c r="AA599" s="52"/>
    </row>
    <row r="600" spans="1:27">
      <c r="A600" s="95">
        <v>43360</v>
      </c>
      <c r="B600" s="115" t="s">
        <v>429</v>
      </c>
      <c r="C600" s="26" t="s">
        <v>126</v>
      </c>
      <c r="D600" s="16">
        <v>29300.05</v>
      </c>
      <c r="E600" s="16">
        <v>29198.59</v>
      </c>
      <c r="F600" s="16">
        <v>29191.78</v>
      </c>
      <c r="G600" s="16">
        <v>29181.54</v>
      </c>
      <c r="H600" s="16">
        <v>29281.19</v>
      </c>
      <c r="I600" s="16">
        <v>29255.08</v>
      </c>
      <c r="J600" s="16">
        <v>29188.79</v>
      </c>
      <c r="K600" s="16">
        <v>29179.46</v>
      </c>
      <c r="L600" s="16">
        <v>29274.16</v>
      </c>
      <c r="M600" s="27">
        <f>IF((L601=""),"",MAX(D602:L602))</f>
        <v>13261.23</v>
      </c>
      <c r="N600" s="27">
        <f>IF(L601="","",MIN(D602:L602))</f>
        <v>12831.929999999993</v>
      </c>
      <c r="O600" s="27">
        <f>IF((L602=""),"",AVERAGE(D602:L602))</f>
        <v>13092.863333333333</v>
      </c>
      <c r="P600" s="27">
        <f>IF((L601=""),"",STDEV(D602:L602))</f>
        <v>128.71910328329199</v>
      </c>
      <c r="Q600" s="168">
        <f>IF((L601=""),"",((M600-N600)/(M600+P600))*100)</f>
        <v>3.2061361599555278</v>
      </c>
      <c r="R600" s="28" t="str">
        <f>IF(L601="","",IF(Q600&lt;Z600,IF(N600&gt;V600,IF(M600&lt;W600,"Pass","Fail"),"Fail"),"Fail"))</f>
        <v>Pass</v>
      </c>
      <c r="S600" s="29">
        <v>1340</v>
      </c>
      <c r="T600" s="54" t="s">
        <v>236</v>
      </c>
      <c r="U600" s="40"/>
      <c r="V600" s="53">
        <v>10000</v>
      </c>
      <c r="W600" s="22">
        <v>15600</v>
      </c>
      <c r="X600" s="40">
        <v>8090</v>
      </c>
      <c r="Y600" s="40">
        <v>12070</v>
      </c>
      <c r="Z600" s="49">
        <v>15</v>
      </c>
      <c r="AA600" s="49">
        <v>6</v>
      </c>
    </row>
    <row r="601" spans="1:27" ht="15.75" customHeight="1">
      <c r="A601" s="94"/>
      <c r="B601" s="94"/>
      <c r="C601" s="30" t="s">
        <v>128</v>
      </c>
      <c r="D601" s="16">
        <v>25022.74</v>
      </c>
      <c r="E601" s="16">
        <v>24848.51</v>
      </c>
      <c r="F601" s="16">
        <v>24868.37</v>
      </c>
      <c r="G601" s="16">
        <v>24791.49</v>
      </c>
      <c r="H601" s="16">
        <v>24906.71</v>
      </c>
      <c r="I601" s="16">
        <v>24888.66</v>
      </c>
      <c r="J601" s="16">
        <v>24811.13</v>
      </c>
      <c r="K601" s="16">
        <v>24780.69</v>
      </c>
      <c r="L601" s="16">
        <v>24853.75</v>
      </c>
      <c r="M601" s="31"/>
      <c r="N601" s="31"/>
      <c r="O601" s="31"/>
      <c r="P601" s="31"/>
      <c r="Q601" s="31"/>
      <c r="R601" s="32"/>
      <c r="S601" s="33"/>
      <c r="T601" s="55"/>
      <c r="V601" s="47"/>
      <c r="W601" s="47"/>
      <c r="X601" s="48"/>
      <c r="Y601" s="48"/>
      <c r="Z601" s="49"/>
      <c r="AA601" s="49"/>
    </row>
    <row r="602" spans="1:27" ht="16.5" customHeight="1" thickBot="1">
      <c r="A602" s="94"/>
      <c r="B602" s="94"/>
      <c r="C602" s="34" t="s">
        <v>129</v>
      </c>
      <c r="D602" s="35">
        <f t="shared" ref="D602:L602" si="196">IF(((D600="")*AND(D601="")),"",(D600-D601)*3)</f>
        <v>12831.929999999993</v>
      </c>
      <c r="E602" s="35">
        <f t="shared" si="196"/>
        <v>13050.240000000005</v>
      </c>
      <c r="F602" s="35">
        <f t="shared" si="196"/>
        <v>12970.23</v>
      </c>
      <c r="G602" s="35">
        <f t="shared" si="196"/>
        <v>13170.149999999998</v>
      </c>
      <c r="H602" s="35">
        <f t="shared" si="196"/>
        <v>13123.439999999999</v>
      </c>
      <c r="I602" s="35">
        <f t="shared" si="196"/>
        <v>13099.260000000006</v>
      </c>
      <c r="J602" s="35">
        <f t="shared" si="196"/>
        <v>13132.98</v>
      </c>
      <c r="K602" s="35">
        <f t="shared" si="196"/>
        <v>13196.310000000001</v>
      </c>
      <c r="L602" s="35">
        <f t="shared" si="196"/>
        <v>13261.23</v>
      </c>
      <c r="M602" s="36"/>
      <c r="N602" s="36"/>
      <c r="O602" s="36"/>
      <c r="P602" s="36"/>
      <c r="Q602" s="36"/>
      <c r="R602" s="37"/>
      <c r="S602" s="38"/>
      <c r="T602" s="56"/>
      <c r="U602" s="51"/>
      <c r="V602" s="50"/>
      <c r="W602" s="50"/>
      <c r="X602" s="51"/>
      <c r="Y602" s="51"/>
      <c r="Z602" s="52"/>
      <c r="AA602" s="52"/>
    </row>
    <row r="603" spans="1:27">
      <c r="A603" s="95">
        <v>43364</v>
      </c>
      <c r="B603" s="115" t="s">
        <v>429</v>
      </c>
      <c r="C603" s="26" t="s">
        <v>126</v>
      </c>
      <c r="D603" s="16">
        <v>29256.15</v>
      </c>
      <c r="E603" s="16">
        <v>29170.31</v>
      </c>
      <c r="F603" s="16">
        <v>29159.22</v>
      </c>
      <c r="G603" s="16">
        <v>29175.26</v>
      </c>
      <c r="H603" s="16">
        <v>29271.68</v>
      </c>
      <c r="I603" s="16">
        <v>29243.58</v>
      </c>
      <c r="J603" s="16">
        <v>29157.7</v>
      </c>
      <c r="K603" s="16">
        <v>29159.51</v>
      </c>
      <c r="L603" s="16">
        <v>29237.9</v>
      </c>
      <c r="M603" s="27">
        <f>IF((L604=""),"",MAX(D605:L605))</f>
        <v>11579.310000000001</v>
      </c>
      <c r="N603" s="27">
        <f>IF(L604="","",MIN(D605:L605))</f>
        <v>11189.52</v>
      </c>
      <c r="O603" s="27">
        <f>IF((L605=""),"",AVERAGE(D605:L605))</f>
        <v>11444.446666666667</v>
      </c>
      <c r="P603" s="27">
        <f>IF((L604=""),"",STDEV(D605:L605))</f>
        <v>134.69740179388685</v>
      </c>
      <c r="Q603" s="168">
        <f>IF((L604=""),"",((M603-N603)/(M603+P603))*100)</f>
        <v>3.3275546670758311</v>
      </c>
      <c r="R603" s="28" t="str">
        <f>IF(L604="","",IF(Q603&lt;Z603,IF(N603&gt;V603,IF(M603&lt;W603,"Pass","Fail"),"Fail"),"Fail"))</f>
        <v>Pass</v>
      </c>
      <c r="S603" s="29">
        <v>102</v>
      </c>
      <c r="T603" s="54"/>
      <c r="U603" s="40"/>
      <c r="V603" s="53">
        <v>10000</v>
      </c>
      <c r="W603" s="22">
        <v>15600</v>
      </c>
      <c r="X603" s="40">
        <v>8090</v>
      </c>
      <c r="Y603" s="40">
        <v>12070</v>
      </c>
      <c r="Z603" s="49">
        <v>15</v>
      </c>
      <c r="AA603" s="49">
        <v>6</v>
      </c>
    </row>
    <row r="604" spans="1:27" ht="15.75" customHeight="1">
      <c r="A604" s="94"/>
      <c r="B604" s="94"/>
      <c r="C604" s="30" t="s">
        <v>128</v>
      </c>
      <c r="D604" s="16">
        <v>25526.31</v>
      </c>
      <c r="E604" s="16">
        <v>25375.1</v>
      </c>
      <c r="F604" s="16">
        <v>25399.29</v>
      </c>
      <c r="G604" s="16">
        <v>25342.97</v>
      </c>
      <c r="H604" s="16">
        <v>25418.79</v>
      </c>
      <c r="I604" s="16">
        <v>25390.37</v>
      </c>
      <c r="J604" s="16">
        <v>25337.51</v>
      </c>
      <c r="K604" s="16">
        <v>25329.5</v>
      </c>
      <c r="L604" s="16">
        <v>25378.13</v>
      </c>
      <c r="M604" s="31"/>
      <c r="N604" s="31"/>
      <c r="O604" s="31"/>
      <c r="P604" s="31"/>
      <c r="Q604" s="31"/>
      <c r="R604" s="32"/>
      <c r="S604" s="33"/>
      <c r="T604" s="55"/>
      <c r="V604" s="47"/>
      <c r="W604" s="47"/>
      <c r="X604" s="48"/>
      <c r="Y604" s="48"/>
      <c r="Z604" s="49"/>
      <c r="AA604" s="49"/>
    </row>
    <row r="605" spans="1:27" ht="16.5" customHeight="1" thickBot="1">
      <c r="A605" s="94"/>
      <c r="B605" s="94"/>
      <c r="C605" s="34" t="s">
        <v>129</v>
      </c>
      <c r="D605" s="35">
        <f t="shared" ref="D605:L605" si="197">IF(((D603="")*AND(D604="")),"",(D603-D604)*3)</f>
        <v>11189.52</v>
      </c>
      <c r="E605" s="35">
        <f t="shared" si="197"/>
        <v>11385.630000000008</v>
      </c>
      <c r="F605" s="35">
        <f t="shared" si="197"/>
        <v>11279.79</v>
      </c>
      <c r="G605" s="35">
        <f t="shared" si="197"/>
        <v>11496.869999999992</v>
      </c>
      <c r="H605" s="35">
        <f t="shared" si="197"/>
        <v>11558.669999999998</v>
      </c>
      <c r="I605" s="35">
        <f t="shared" si="197"/>
        <v>11559.630000000008</v>
      </c>
      <c r="J605" s="35">
        <f t="shared" si="197"/>
        <v>11460.570000000007</v>
      </c>
      <c r="K605" s="35">
        <f t="shared" si="197"/>
        <v>11490.029999999995</v>
      </c>
      <c r="L605" s="35">
        <f t="shared" si="197"/>
        <v>11579.310000000001</v>
      </c>
      <c r="M605" s="36"/>
      <c r="N605" s="36"/>
      <c r="O605" s="36"/>
      <c r="P605" s="36"/>
      <c r="Q605" s="36"/>
      <c r="R605" s="37"/>
      <c r="S605" s="38"/>
      <c r="T605" s="56"/>
      <c r="U605" s="51"/>
      <c r="V605" s="50"/>
      <c r="W605" s="50"/>
      <c r="X605" s="51"/>
      <c r="Y605" s="51"/>
      <c r="Z605" s="52"/>
      <c r="AA605" s="52"/>
    </row>
    <row r="606" spans="1:27">
      <c r="A606" s="95">
        <v>43368</v>
      </c>
      <c r="B606" s="115" t="s">
        <v>429</v>
      </c>
      <c r="C606" s="26" t="s">
        <v>126</v>
      </c>
      <c r="D606" s="16">
        <v>29204.1</v>
      </c>
      <c r="E606" s="16">
        <v>29123.45</v>
      </c>
      <c r="F606" s="16">
        <v>29118.57</v>
      </c>
      <c r="G606" s="16">
        <v>29112.95</v>
      </c>
      <c r="H606" s="16">
        <v>29192.92</v>
      </c>
      <c r="I606" s="16">
        <v>29200.46</v>
      </c>
      <c r="J606" s="16">
        <v>29109.27</v>
      </c>
      <c r="K606" s="16">
        <v>29109.67</v>
      </c>
      <c r="L606" s="16">
        <v>29187.54</v>
      </c>
      <c r="M606" s="27">
        <f>IF((L607=""),"",MAX(D608:L608))</f>
        <v>12891.149999999998</v>
      </c>
      <c r="N606" s="27">
        <f>IF(L607="","",MIN(D608:L608))</f>
        <v>12157.169999999998</v>
      </c>
      <c r="O606" s="27">
        <f>IF((L608=""),"",AVERAGE(D608:L608))</f>
        <v>12600.843333333331</v>
      </c>
      <c r="P606" s="27">
        <f>IF((L607=""),"",STDEV(D608:L608))</f>
        <v>205.57935079916723</v>
      </c>
      <c r="Q606" s="168">
        <f>IF((L607=""),"",((M606-N606)/(M606+P606))*100)</f>
        <v>5.6042999770413058</v>
      </c>
      <c r="R606" s="28" t="str">
        <f>IF(L607="","",IF(Q606&lt;Z606,IF(N606&gt;V606,IF(M606&lt;W606,"Pass","Fail"),"Fail"),"Fail"))</f>
        <v>Pass</v>
      </c>
      <c r="S606" s="29">
        <v>1340</v>
      </c>
      <c r="T606" s="54"/>
      <c r="U606" s="40"/>
      <c r="V606" s="53">
        <v>10000</v>
      </c>
      <c r="W606" s="22">
        <v>15600</v>
      </c>
      <c r="X606" s="40">
        <v>8090</v>
      </c>
      <c r="Y606" s="40">
        <v>12070</v>
      </c>
      <c r="Z606" s="49">
        <v>15</v>
      </c>
      <c r="AA606" s="49">
        <v>6</v>
      </c>
    </row>
    <row r="607" spans="1:27" ht="15.75" customHeight="1">
      <c r="A607" s="94"/>
      <c r="B607" s="94"/>
      <c r="C607" s="30" t="s">
        <v>128</v>
      </c>
      <c r="D607" s="16">
        <v>25151.71</v>
      </c>
      <c r="E607" s="16">
        <v>24942.77</v>
      </c>
      <c r="F607" s="16">
        <v>24965.62</v>
      </c>
      <c r="G607" s="16">
        <v>24891.62</v>
      </c>
      <c r="H607" s="16">
        <v>24983.4</v>
      </c>
      <c r="I607" s="16">
        <v>24960.37</v>
      </c>
      <c r="J607" s="16">
        <v>24899.9</v>
      </c>
      <c r="K607" s="16">
        <v>24870.52</v>
      </c>
      <c r="L607" s="16">
        <v>24890.49</v>
      </c>
      <c r="M607" s="31"/>
      <c r="N607" s="31"/>
      <c r="O607" s="31"/>
      <c r="P607" s="31"/>
      <c r="Q607" s="31"/>
      <c r="R607" s="32"/>
      <c r="S607" s="33"/>
      <c r="T607" s="55"/>
      <c r="V607" s="47"/>
      <c r="W607" s="47"/>
      <c r="X607" s="48"/>
      <c r="Y607" s="48"/>
      <c r="Z607" s="49"/>
      <c r="AA607" s="49"/>
    </row>
    <row r="608" spans="1:27" ht="16.5" customHeight="1" thickBot="1">
      <c r="A608" s="94"/>
      <c r="B608" s="94"/>
      <c r="C608" s="34" t="s">
        <v>129</v>
      </c>
      <c r="D608" s="35">
        <f t="shared" ref="D608:L608" si="198">IF(((D606="")*AND(D607="")),"",(D606-D607)*3)</f>
        <v>12157.169999999998</v>
      </c>
      <c r="E608" s="35">
        <f t="shared" si="198"/>
        <v>12542.04</v>
      </c>
      <c r="F608" s="35">
        <f t="shared" si="198"/>
        <v>12458.850000000002</v>
      </c>
      <c r="G608" s="35">
        <f t="shared" si="198"/>
        <v>12663.990000000005</v>
      </c>
      <c r="H608" s="35">
        <f t="shared" si="198"/>
        <v>12628.55999999999</v>
      </c>
      <c r="I608" s="35">
        <f t="shared" si="198"/>
        <v>12720.27</v>
      </c>
      <c r="J608" s="35">
        <f t="shared" si="198"/>
        <v>12628.109999999997</v>
      </c>
      <c r="K608" s="35">
        <f t="shared" si="198"/>
        <v>12717.449999999993</v>
      </c>
      <c r="L608" s="35">
        <f t="shared" si="198"/>
        <v>12891.149999999998</v>
      </c>
      <c r="M608" s="36"/>
      <c r="N608" s="36"/>
      <c r="O608" s="36"/>
      <c r="P608" s="36"/>
      <c r="Q608" s="36"/>
      <c r="R608" s="37"/>
      <c r="S608" s="38"/>
      <c r="T608" s="56"/>
      <c r="U608" s="51"/>
      <c r="V608" s="50"/>
      <c r="W608" s="50"/>
      <c r="X608" s="51"/>
      <c r="Y608" s="51"/>
      <c r="Z608" s="52"/>
      <c r="AA608" s="52"/>
    </row>
    <row r="609" spans="1:27">
      <c r="A609" s="95">
        <v>43372</v>
      </c>
      <c r="B609" s="115" t="s">
        <v>429</v>
      </c>
      <c r="C609" s="26" t="s">
        <v>126</v>
      </c>
      <c r="D609" s="16">
        <v>29183.83</v>
      </c>
      <c r="E609" s="16">
        <v>29101.88</v>
      </c>
      <c r="F609" s="16">
        <v>29094.14</v>
      </c>
      <c r="G609" s="16">
        <v>29079.75</v>
      </c>
      <c r="H609" s="16">
        <v>29154.26</v>
      </c>
      <c r="I609" s="16">
        <v>29145.21</v>
      </c>
      <c r="J609" s="16">
        <v>29081.43</v>
      </c>
      <c r="K609" s="16">
        <v>29087.78</v>
      </c>
      <c r="L609" s="16">
        <v>29186.48</v>
      </c>
      <c r="M609" s="27">
        <f>IF((L610=""),"",MAX(D611:L611))</f>
        <v>11974.589999999997</v>
      </c>
      <c r="N609" s="27">
        <f>IF(L610="","",MIN(D611:L611))</f>
        <v>11545.830000000002</v>
      </c>
      <c r="O609" s="27">
        <f>IF((L611=""),"",AVERAGE(D611:L611))</f>
        <v>11815.119999999999</v>
      </c>
      <c r="P609" s="27">
        <f>IF((L610=""),"",STDEV(D611:L611))</f>
        <v>145.3120925801216</v>
      </c>
      <c r="Q609" s="168">
        <f>IF((L610=""),"",((M609-N609)/(M609+P609))*100)</f>
        <v>3.5376523401330475</v>
      </c>
      <c r="R609" s="28" t="str">
        <f>IF(L610="","",IF(Q609&lt;Z609,IF(N609&gt;V609,IF(M609&lt;W609,"Pass","Fail"),"Fail"),"Fail"))</f>
        <v>Pass</v>
      </c>
      <c r="S609" s="29">
        <v>1335</v>
      </c>
      <c r="T609" s="54"/>
      <c r="U609" s="40"/>
      <c r="V609" s="53">
        <v>10000</v>
      </c>
      <c r="W609" s="22">
        <v>15600</v>
      </c>
      <c r="X609" s="40">
        <v>8090</v>
      </c>
      <c r="Y609" s="40">
        <v>12070</v>
      </c>
      <c r="Z609" s="49">
        <v>15</v>
      </c>
      <c r="AA609" s="49">
        <v>6</v>
      </c>
    </row>
    <row r="610" spans="1:27" ht="15.75" customHeight="1">
      <c r="A610" s="94"/>
      <c r="B610" s="94"/>
      <c r="C610" s="30" t="s">
        <v>128</v>
      </c>
      <c r="D610" s="16">
        <v>25335.22</v>
      </c>
      <c r="E610" s="16">
        <v>25182.91</v>
      </c>
      <c r="F610" s="16">
        <v>25216.93</v>
      </c>
      <c r="G610" s="16">
        <v>25117.29</v>
      </c>
      <c r="H610" s="16">
        <v>25175.53</v>
      </c>
      <c r="I610" s="16">
        <v>25195.439999999999</v>
      </c>
      <c r="J610" s="16">
        <v>25139.360000000001</v>
      </c>
      <c r="K610" s="16">
        <v>25111.77</v>
      </c>
      <c r="L610" s="16">
        <v>25194.95</v>
      </c>
      <c r="M610" s="31"/>
      <c r="N610" s="31"/>
      <c r="O610" s="31"/>
      <c r="P610" s="31"/>
      <c r="Q610" s="31"/>
      <c r="R610" s="32"/>
      <c r="S610" s="33"/>
      <c r="T610" s="55"/>
      <c r="V610" s="47"/>
      <c r="W610" s="47"/>
      <c r="X610" s="48"/>
      <c r="Y610" s="48"/>
      <c r="Z610" s="49"/>
      <c r="AA610" s="49"/>
    </row>
    <row r="611" spans="1:27" ht="16.5" customHeight="1" thickBot="1">
      <c r="A611" s="94"/>
      <c r="B611" s="94"/>
      <c r="C611" s="34" t="s">
        <v>129</v>
      </c>
      <c r="D611" s="35">
        <f t="shared" ref="D611:L611" si="199">IF(((D609="")*AND(D610="")),"",(D609-D610)*3)</f>
        <v>11545.830000000002</v>
      </c>
      <c r="E611" s="35">
        <f t="shared" si="199"/>
        <v>11756.910000000003</v>
      </c>
      <c r="F611" s="35">
        <f t="shared" si="199"/>
        <v>11631.629999999997</v>
      </c>
      <c r="G611" s="35">
        <f t="shared" si="199"/>
        <v>11887.379999999997</v>
      </c>
      <c r="H611" s="35">
        <f t="shared" si="199"/>
        <v>11936.189999999999</v>
      </c>
      <c r="I611" s="35">
        <f t="shared" si="199"/>
        <v>11849.310000000001</v>
      </c>
      <c r="J611" s="35">
        <f t="shared" si="199"/>
        <v>11826.21</v>
      </c>
      <c r="K611" s="35">
        <f t="shared" si="199"/>
        <v>11928.029999999995</v>
      </c>
      <c r="L611" s="35">
        <f t="shared" si="199"/>
        <v>11974.589999999997</v>
      </c>
      <c r="M611" s="36"/>
      <c r="N611" s="36"/>
      <c r="O611" s="36"/>
      <c r="P611" s="36"/>
      <c r="Q611" s="36"/>
      <c r="R611" s="37"/>
      <c r="S611" s="38"/>
      <c r="T611" s="56"/>
      <c r="U611" s="51"/>
      <c r="V611" s="50"/>
      <c r="W611" s="50"/>
      <c r="X611" s="51"/>
      <c r="Y611" s="51"/>
      <c r="Z611" s="52"/>
      <c r="AA611" s="52"/>
    </row>
    <row r="612" spans="1:27">
      <c r="A612" s="95">
        <v>43376</v>
      </c>
      <c r="B612" s="115" t="s">
        <v>429</v>
      </c>
      <c r="C612" s="26" t="s">
        <v>126</v>
      </c>
      <c r="D612" s="16">
        <v>29146.65</v>
      </c>
      <c r="E612" s="16">
        <v>29087.19</v>
      </c>
      <c r="F612" s="16">
        <v>29095.79</v>
      </c>
      <c r="G612" s="16">
        <v>29068.87</v>
      </c>
      <c r="H612" s="16">
        <v>29138.09</v>
      </c>
      <c r="I612" s="16">
        <v>29134.400000000001</v>
      </c>
      <c r="J612" s="16">
        <v>29068.06</v>
      </c>
      <c r="K612" s="16">
        <v>29076.01</v>
      </c>
      <c r="L612" s="16">
        <v>29128.560000000001</v>
      </c>
      <c r="M612" s="27">
        <f>IF((L613=""),"",MAX(D614:L614))</f>
        <v>11674.860000000008</v>
      </c>
      <c r="N612" s="27">
        <f>IF(L613="","",MIN(D614:L614))</f>
        <v>11271.630000000008</v>
      </c>
      <c r="O612" s="27">
        <f>IF((L614=""),"",AVERAGE(D614:L614))</f>
        <v>11508.256666666672</v>
      </c>
      <c r="P612" s="27">
        <f>IF((L613=""),"",STDEV(D614:L614))</f>
        <v>136.92954648269023</v>
      </c>
      <c r="Q612" s="168">
        <f>IF((L613=""),"",((M612-N612)/(M612+P612))*100)</f>
        <v>3.413792621458219</v>
      </c>
      <c r="R612" s="28" t="str">
        <f>IF(L613="","",IF(Q612&lt;Z612,IF(N612&gt;V612,IF(M612&lt;W612,"Pass","Fail"),"Fail"),"Fail"))</f>
        <v>Pass</v>
      </c>
      <c r="S612" s="29">
        <v>74</v>
      </c>
      <c r="T612" s="54"/>
      <c r="U612" s="40"/>
      <c r="V612" s="53">
        <v>10000</v>
      </c>
      <c r="W612" s="22">
        <v>15600</v>
      </c>
      <c r="X612" s="40">
        <v>8090</v>
      </c>
      <c r="Y612" s="40">
        <v>12070</v>
      </c>
      <c r="Z612" s="49">
        <v>15</v>
      </c>
      <c r="AA612" s="49">
        <v>6</v>
      </c>
    </row>
    <row r="613" spans="1:27" ht="15.75" customHeight="1">
      <c r="A613" s="94"/>
      <c r="B613" s="94"/>
      <c r="C613" s="30" t="s">
        <v>128</v>
      </c>
      <c r="D613" s="16">
        <v>25389.439999999999</v>
      </c>
      <c r="E613" s="16">
        <v>25266.09</v>
      </c>
      <c r="F613" s="16">
        <v>25325.21</v>
      </c>
      <c r="G613" s="16">
        <v>25215.360000000001</v>
      </c>
      <c r="H613" s="16">
        <v>25286.92</v>
      </c>
      <c r="I613" s="16">
        <v>25242.78</v>
      </c>
      <c r="J613" s="16">
        <v>25222.23</v>
      </c>
      <c r="K613" s="16">
        <v>25221.85</v>
      </c>
      <c r="L613" s="16">
        <v>25248.97</v>
      </c>
      <c r="M613" s="31"/>
      <c r="N613" s="31"/>
      <c r="O613" s="31"/>
      <c r="P613" s="31"/>
      <c r="Q613" s="31"/>
      <c r="R613" s="32"/>
      <c r="S613" s="33"/>
      <c r="T613" s="55"/>
      <c r="V613" s="47"/>
      <c r="W613" s="47"/>
      <c r="X613" s="48"/>
      <c r="Y613" s="48"/>
      <c r="Z613" s="49"/>
      <c r="AA613" s="49"/>
    </row>
    <row r="614" spans="1:27" ht="16.5" customHeight="1" thickBot="1">
      <c r="A614" s="94"/>
      <c r="B614" s="94"/>
      <c r="C614" s="34" t="s">
        <v>129</v>
      </c>
      <c r="D614" s="35">
        <f t="shared" ref="D614:L614" si="200">IF(((D612="")*AND(D613="")),"",(D612-D613)*3)</f>
        <v>11271.630000000008</v>
      </c>
      <c r="E614" s="35">
        <f t="shared" si="200"/>
        <v>11463.299999999996</v>
      </c>
      <c r="F614" s="35">
        <f t="shared" si="200"/>
        <v>11311.740000000005</v>
      </c>
      <c r="G614" s="35">
        <f t="shared" si="200"/>
        <v>11560.529999999995</v>
      </c>
      <c r="H614" s="35">
        <f t="shared" si="200"/>
        <v>11553.510000000006</v>
      </c>
      <c r="I614" s="35">
        <f t="shared" si="200"/>
        <v>11674.860000000008</v>
      </c>
      <c r="J614" s="35">
        <f t="shared" si="200"/>
        <v>11537.490000000005</v>
      </c>
      <c r="K614" s="35">
        <f t="shared" si="200"/>
        <v>11562.48</v>
      </c>
      <c r="L614" s="35">
        <f t="shared" si="200"/>
        <v>11638.77</v>
      </c>
      <c r="M614" s="36"/>
      <c r="N614" s="36"/>
      <c r="O614" s="36"/>
      <c r="P614" s="36"/>
      <c r="Q614" s="36"/>
      <c r="R614" s="37"/>
      <c r="S614" s="38"/>
      <c r="T614" s="56"/>
      <c r="U614" s="51"/>
      <c r="V614" s="50"/>
      <c r="W614" s="50"/>
      <c r="X614" s="51"/>
      <c r="Y614" s="51"/>
      <c r="Z614" s="52"/>
      <c r="AA614" s="52"/>
    </row>
    <row r="615" spans="1:27">
      <c r="A615" s="95">
        <v>43381</v>
      </c>
      <c r="B615" s="115" t="s">
        <v>429</v>
      </c>
      <c r="C615" s="26" t="s">
        <v>126</v>
      </c>
      <c r="D615" s="16">
        <v>29018.42</v>
      </c>
      <c r="E615" s="16">
        <v>28936.92</v>
      </c>
      <c r="F615" s="16">
        <v>29007.759999999998</v>
      </c>
      <c r="G615" s="16">
        <v>28935.39</v>
      </c>
      <c r="H615" s="16">
        <v>28958.65</v>
      </c>
      <c r="I615" s="16">
        <v>28963.29</v>
      </c>
      <c r="J615" s="16">
        <v>28923.81</v>
      </c>
      <c r="K615" s="16">
        <v>28936.86</v>
      </c>
      <c r="L615" s="16">
        <v>29019.18</v>
      </c>
      <c r="M615" s="27">
        <f>IF((L616=""),"",MAX(D617:L617))</f>
        <v>11136.75</v>
      </c>
      <c r="N615" s="27">
        <f>IF(L616="","",MIN(D617:L617))</f>
        <v>10563.96</v>
      </c>
      <c r="O615" s="27">
        <f>IF((L617=""),"",AVERAGE(D617:L617))</f>
        <v>10921.303333333331</v>
      </c>
      <c r="P615" s="27">
        <f>IF((L616=""),"",STDEV(D617:L617))</f>
        <v>186.84847109365347</v>
      </c>
      <c r="Q615" s="168">
        <f>IF((L616=""),"",((M615-N615)/(M615+P615))*100)</f>
        <v>5.0583743450652374</v>
      </c>
      <c r="R615" s="28" t="str">
        <f>IF(L616="","",IF(Q615&lt;Z615,IF(N615&gt;V615,IF(M615&lt;W615,"Pass","Fail"),"Fail"),"Fail"))</f>
        <v>Pass</v>
      </c>
      <c r="S615" s="29">
        <v>1335</v>
      </c>
      <c r="T615" s="54" t="s">
        <v>237</v>
      </c>
      <c r="U615" s="40"/>
      <c r="V615" s="53">
        <v>10000</v>
      </c>
      <c r="W615" s="22">
        <v>15600</v>
      </c>
      <c r="X615" s="40">
        <v>8090</v>
      </c>
      <c r="Y615" s="40">
        <v>12070</v>
      </c>
      <c r="Z615" s="49">
        <v>15</v>
      </c>
      <c r="AA615" s="49">
        <v>6</v>
      </c>
    </row>
    <row r="616" spans="1:27" ht="15.75" customHeight="1">
      <c r="A616" s="94"/>
      <c r="B616" s="94"/>
      <c r="C616" s="30" t="s">
        <v>128</v>
      </c>
      <c r="D616" s="16">
        <v>25497.1</v>
      </c>
      <c r="E616" s="16">
        <v>25346.75</v>
      </c>
      <c r="F616" s="16">
        <v>25413.29</v>
      </c>
      <c r="G616" s="16">
        <v>25269.09</v>
      </c>
      <c r="H616" s="16">
        <v>25248.39</v>
      </c>
      <c r="I616" s="16">
        <v>25293.759999999998</v>
      </c>
      <c r="J616" s="16">
        <v>25289.52</v>
      </c>
      <c r="K616" s="16">
        <v>25271.54</v>
      </c>
      <c r="L616" s="16">
        <v>25306.93</v>
      </c>
      <c r="M616" s="31"/>
      <c r="N616" s="31"/>
      <c r="O616" s="31"/>
      <c r="P616" s="31"/>
      <c r="Q616" s="31"/>
      <c r="R616" s="32"/>
      <c r="S616" s="33"/>
      <c r="T616" s="55"/>
      <c r="V616" s="47"/>
      <c r="W616" s="47"/>
      <c r="X616" s="48"/>
      <c r="Y616" s="48"/>
      <c r="Z616" s="49"/>
      <c r="AA616" s="49"/>
    </row>
    <row r="617" spans="1:27" ht="16.5" customHeight="1" thickBot="1">
      <c r="A617" s="94"/>
      <c r="B617" s="94"/>
      <c r="C617" s="34" t="s">
        <v>129</v>
      </c>
      <c r="D617" s="35">
        <f t="shared" ref="D617:L617" si="201">IF(((D615="")*AND(D616="")),"",(D615-D616)*3)</f>
        <v>10563.96</v>
      </c>
      <c r="E617" s="35">
        <f t="shared" si="201"/>
        <v>10770.509999999995</v>
      </c>
      <c r="F617" s="35">
        <f t="shared" si="201"/>
        <v>10783.409999999993</v>
      </c>
      <c r="G617" s="35">
        <f t="shared" si="201"/>
        <v>10998.899999999998</v>
      </c>
      <c r="H617" s="35">
        <f t="shared" si="201"/>
        <v>11130.780000000006</v>
      </c>
      <c r="I617" s="35">
        <f t="shared" si="201"/>
        <v>11008.590000000007</v>
      </c>
      <c r="J617" s="35">
        <f t="shared" si="201"/>
        <v>10902.870000000003</v>
      </c>
      <c r="K617" s="35">
        <f t="shared" si="201"/>
        <v>10995.96</v>
      </c>
      <c r="L617" s="35">
        <f t="shared" si="201"/>
        <v>11136.75</v>
      </c>
      <c r="M617" s="36"/>
      <c r="N617" s="36"/>
      <c r="O617" s="36"/>
      <c r="P617" s="36"/>
      <c r="Q617" s="36"/>
      <c r="R617" s="37"/>
      <c r="S617" s="38"/>
      <c r="T617" s="56"/>
      <c r="U617" s="51"/>
      <c r="V617" s="50"/>
      <c r="W617" s="50"/>
      <c r="X617" s="51"/>
      <c r="Y617" s="51"/>
      <c r="Z617" s="52"/>
      <c r="AA617" s="52"/>
    </row>
    <row r="618" spans="1:27">
      <c r="A618" s="95">
        <v>43385</v>
      </c>
      <c r="B618" s="115" t="s">
        <v>429</v>
      </c>
      <c r="C618" s="26" t="s">
        <v>126</v>
      </c>
      <c r="D618" s="16">
        <v>29018.42</v>
      </c>
      <c r="E618" s="16">
        <v>28936.92</v>
      </c>
      <c r="F618" s="16">
        <v>29007.759999999998</v>
      </c>
      <c r="G618" s="16">
        <v>28935.39</v>
      </c>
      <c r="H618" s="16">
        <v>28958.65</v>
      </c>
      <c r="I618" s="16">
        <v>28963.29</v>
      </c>
      <c r="J618" s="16">
        <v>28923.81</v>
      </c>
      <c r="K618" s="16">
        <v>28936.86</v>
      </c>
      <c r="L618" s="16">
        <v>29019.18</v>
      </c>
      <c r="M618" s="27">
        <f>IF((L619=""),"",MAX(D620:L620))</f>
        <v>16255.350000000002</v>
      </c>
      <c r="N618" s="27">
        <f>IF(L619="","",MIN(D620:L620))</f>
        <v>10397.099999999991</v>
      </c>
      <c r="O618" s="27">
        <f>IF((L620=""),"",AVERAGE(D620:L620))</f>
        <v>12371.619999999999</v>
      </c>
      <c r="P618" s="27">
        <f>IF((L619=""),"",STDEV(D620:L620))</f>
        <v>1626.9868972044515</v>
      </c>
      <c r="Q618" s="168">
        <f>IF((L619=""),"",((M618-N618)/(M618+P618))*100)</f>
        <v>32.759980050011421</v>
      </c>
      <c r="R618" s="28" t="str">
        <f>IF(L619="","",IF(Q618&lt;Z618,IF(N618&gt;V618,IF(M618&lt;W618,"Pass","Fail"),"Fail"),"Fail"))</f>
        <v>Fail</v>
      </c>
      <c r="S618" s="29">
        <v>1335</v>
      </c>
      <c r="T618" s="54"/>
      <c r="U618" s="40"/>
      <c r="V618" s="53">
        <v>10000</v>
      </c>
      <c r="W618" s="22">
        <v>15600</v>
      </c>
      <c r="X618" s="40">
        <v>8090</v>
      </c>
      <c r="Y618" s="40">
        <v>12070</v>
      </c>
      <c r="Z618" s="49">
        <v>15</v>
      </c>
      <c r="AA618" s="49">
        <v>6</v>
      </c>
    </row>
    <row r="619" spans="1:27" ht="15.75" customHeight="1">
      <c r="A619" s="94"/>
      <c r="B619" s="94"/>
      <c r="C619" s="30" t="s">
        <v>128</v>
      </c>
      <c r="D619" s="16">
        <v>25135.13</v>
      </c>
      <c r="E619" s="16">
        <v>24658.99</v>
      </c>
      <c r="F619" s="16">
        <v>25542.06</v>
      </c>
      <c r="G619" s="16">
        <v>25130.05</v>
      </c>
      <c r="H619" s="16">
        <v>24931.64</v>
      </c>
      <c r="I619" s="16">
        <v>24781.72</v>
      </c>
      <c r="J619" s="16">
        <v>25017.66</v>
      </c>
      <c r="K619" s="16">
        <v>24787.439999999999</v>
      </c>
      <c r="L619" s="16">
        <v>23600.73</v>
      </c>
      <c r="M619" s="31"/>
      <c r="N619" s="31"/>
      <c r="O619" s="31"/>
      <c r="P619" s="31"/>
      <c r="Q619" s="31"/>
      <c r="R619" s="32"/>
      <c r="S619" s="33"/>
      <c r="T619" s="55"/>
      <c r="V619" s="47"/>
      <c r="W619" s="47"/>
      <c r="X619" s="48"/>
      <c r="Y619" s="48"/>
      <c r="Z619" s="49"/>
      <c r="AA619" s="49"/>
    </row>
    <row r="620" spans="1:27" ht="16.5" customHeight="1" thickBot="1">
      <c r="A620" s="94"/>
      <c r="B620" s="94"/>
      <c r="C620" s="34" t="s">
        <v>129</v>
      </c>
      <c r="D620" s="35">
        <f t="shared" ref="D620:L620" si="202">IF(((D618="")*AND(D619="")),"",(D618-D619)*3)</f>
        <v>11649.869999999992</v>
      </c>
      <c r="E620" s="35">
        <f t="shared" si="202"/>
        <v>12833.78999999999</v>
      </c>
      <c r="F620" s="35">
        <f t="shared" si="202"/>
        <v>10397.099999999991</v>
      </c>
      <c r="G620" s="35">
        <f t="shared" si="202"/>
        <v>11416.02</v>
      </c>
      <c r="H620" s="35">
        <f t="shared" si="202"/>
        <v>12081.030000000006</v>
      </c>
      <c r="I620" s="35">
        <f t="shared" si="202"/>
        <v>12544.71</v>
      </c>
      <c r="J620" s="35">
        <f t="shared" si="202"/>
        <v>11718.450000000004</v>
      </c>
      <c r="K620" s="35">
        <f t="shared" si="202"/>
        <v>12448.260000000006</v>
      </c>
      <c r="L620" s="35">
        <f t="shared" si="202"/>
        <v>16255.350000000002</v>
      </c>
      <c r="M620" s="36"/>
      <c r="N620" s="36"/>
      <c r="O620" s="36"/>
      <c r="P620" s="36"/>
      <c r="Q620" s="36"/>
      <c r="R620" s="37"/>
      <c r="S620" s="38"/>
      <c r="T620" s="56"/>
      <c r="U620" s="51"/>
      <c r="V620" s="50"/>
      <c r="W620" s="50"/>
      <c r="X620" s="51"/>
      <c r="Y620" s="51"/>
      <c r="Z620" s="52"/>
      <c r="AA620" s="52"/>
    </row>
    <row r="621" spans="1:27">
      <c r="A621" s="95">
        <v>43390</v>
      </c>
      <c r="B621" s="115" t="s">
        <v>429</v>
      </c>
      <c r="C621" s="26" t="s">
        <v>126</v>
      </c>
      <c r="D621" s="16">
        <v>29111.16</v>
      </c>
      <c r="E621" s="16">
        <v>29014.35</v>
      </c>
      <c r="F621" s="16">
        <v>29027.52</v>
      </c>
      <c r="G621" s="16">
        <v>29014.28</v>
      </c>
      <c r="H621" s="16">
        <v>29067.71</v>
      </c>
      <c r="I621" s="16">
        <v>29061.9</v>
      </c>
      <c r="J621" s="16">
        <v>29006.27</v>
      </c>
      <c r="K621" s="16">
        <v>29018.68</v>
      </c>
      <c r="L621" s="16">
        <v>29102.23</v>
      </c>
      <c r="M621" s="27">
        <f>IF((L622=""),"",MAX(D623:L623))</f>
        <v>11931.149999999998</v>
      </c>
      <c r="N621" s="27">
        <f>IF(L622="","",MIN(D623:L623))</f>
        <v>10972.5</v>
      </c>
      <c r="O621" s="27">
        <f>IF((L623=""),"",AVERAGE(D623:L623))</f>
        <v>11537.213333333331</v>
      </c>
      <c r="P621" s="27">
        <f>IF((L622=""),"",STDEV(D623:L623))</f>
        <v>277.50528148128274</v>
      </c>
      <c r="Q621" s="168">
        <f>IF((L622=""),"",((M621-N621)/(M621+P621))*100)</f>
        <v>7.8522161359910596</v>
      </c>
      <c r="R621" s="28" t="str">
        <f>IF(L622="","",IF(Q621&lt;Z621,IF(N621&gt;V621,IF(M621&lt;W621,"Pass","Fail"),"Fail"),"Fail"))</f>
        <v>Pass</v>
      </c>
      <c r="S621" s="29">
        <v>121</v>
      </c>
      <c r="T621" s="54" t="s">
        <v>238</v>
      </c>
      <c r="U621" s="40"/>
      <c r="V621" s="53">
        <v>10000</v>
      </c>
      <c r="W621" s="22">
        <v>15600</v>
      </c>
      <c r="X621" s="40">
        <v>8090</v>
      </c>
      <c r="Y621" s="40">
        <v>12070</v>
      </c>
      <c r="Z621" s="49">
        <v>15</v>
      </c>
      <c r="AA621" s="49">
        <v>6</v>
      </c>
    </row>
    <row r="622" spans="1:27" ht="15.75" customHeight="1">
      <c r="A622" s="94"/>
      <c r="B622" s="94"/>
      <c r="C622" s="30" t="s">
        <v>128</v>
      </c>
      <c r="D622" s="16">
        <v>25134.11</v>
      </c>
      <c r="E622" s="16">
        <v>25117.16</v>
      </c>
      <c r="F622" s="16">
        <v>25241.82</v>
      </c>
      <c r="G622" s="16">
        <v>25233.08</v>
      </c>
      <c r="H622" s="16">
        <v>25410.21</v>
      </c>
      <c r="I622" s="16">
        <v>25165.74</v>
      </c>
      <c r="J622" s="16">
        <v>25148.59</v>
      </c>
      <c r="K622" s="16">
        <v>25152.95</v>
      </c>
      <c r="L622" s="16">
        <v>25208.799999999999</v>
      </c>
      <c r="M622" s="31"/>
      <c r="N622" s="31"/>
      <c r="O622" s="31"/>
      <c r="P622" s="31"/>
      <c r="Q622" s="31"/>
      <c r="R622" s="32"/>
      <c r="S622" s="33"/>
      <c r="T622" s="55"/>
      <c r="V622" s="47"/>
      <c r="W622" s="47"/>
      <c r="X622" s="48"/>
      <c r="Y622" s="48"/>
      <c r="Z622" s="49"/>
      <c r="AA622" s="49"/>
    </row>
    <row r="623" spans="1:27" ht="16.5" customHeight="1" thickBot="1">
      <c r="A623" s="94"/>
      <c r="B623" s="94"/>
      <c r="C623" s="34" t="s">
        <v>129</v>
      </c>
      <c r="D623" s="35">
        <f t="shared" ref="D623:L623" si="203">IF(((D621="")*AND(D622="")),"",(D621-D622)*3)</f>
        <v>11931.149999999998</v>
      </c>
      <c r="E623" s="35">
        <f t="shared" si="203"/>
        <v>11691.569999999996</v>
      </c>
      <c r="F623" s="35">
        <f t="shared" si="203"/>
        <v>11357.100000000002</v>
      </c>
      <c r="G623" s="35">
        <f t="shared" si="203"/>
        <v>11343.599999999991</v>
      </c>
      <c r="H623" s="35">
        <f t="shared" si="203"/>
        <v>10972.5</v>
      </c>
      <c r="I623" s="35">
        <f t="shared" si="203"/>
        <v>11688.48</v>
      </c>
      <c r="J623" s="35">
        <f t="shared" si="203"/>
        <v>11573.04</v>
      </c>
      <c r="K623" s="35">
        <f t="shared" si="203"/>
        <v>11597.189999999999</v>
      </c>
      <c r="L623" s="35">
        <f t="shared" si="203"/>
        <v>11680.29</v>
      </c>
      <c r="M623" s="36"/>
      <c r="N623" s="36"/>
      <c r="O623" s="36"/>
      <c r="P623" s="36"/>
      <c r="Q623" s="36"/>
      <c r="R623" s="37"/>
      <c r="S623" s="38"/>
      <c r="T623" s="56"/>
      <c r="U623" s="51"/>
      <c r="V623" s="50"/>
      <c r="W623" s="50"/>
      <c r="X623" s="51"/>
      <c r="Y623" s="51"/>
      <c r="Z623" s="52"/>
      <c r="AA623" s="52"/>
    </row>
    <row r="624" spans="1:27">
      <c r="A624" s="95">
        <v>43395</v>
      </c>
      <c r="B624" s="115" t="s">
        <v>429</v>
      </c>
      <c r="C624" s="26" t="s">
        <v>126</v>
      </c>
      <c r="D624" s="16">
        <v>29063.5</v>
      </c>
      <c r="E624" s="16">
        <v>28993.919999999998</v>
      </c>
      <c r="F624" s="16">
        <v>28996.11</v>
      </c>
      <c r="G624" s="16">
        <v>28982.959999999999</v>
      </c>
      <c r="H624" s="16">
        <v>29047.93</v>
      </c>
      <c r="I624" s="16">
        <v>29036.06</v>
      </c>
      <c r="J624" s="16">
        <v>28995.41</v>
      </c>
      <c r="K624" s="16">
        <v>28985.26</v>
      </c>
      <c r="L624" s="16">
        <v>29051.55</v>
      </c>
      <c r="M624" s="27">
        <f>IF((L625=""),"",MAX(D626:L626))</f>
        <v>11082</v>
      </c>
      <c r="N624" s="27">
        <f>IF(L625="","",MIN(D626:L626))</f>
        <v>10495.740000000005</v>
      </c>
      <c r="O624" s="27">
        <f>IF((L626=""),"",AVERAGE(D626:L626))</f>
        <v>10861.693333333333</v>
      </c>
      <c r="P624" s="27">
        <f>IF((L625=""),"",STDEV(D626:L626))</f>
        <v>172.19110110575122</v>
      </c>
      <c r="Q624" s="168">
        <f>IF((L625=""),"",((M624-N624)/(M624+P624))*100)</f>
        <v>5.2092593304408465</v>
      </c>
      <c r="R624" s="28" t="str">
        <f>IF(L625="","",IF(Q624&lt;Z624,IF(N624&gt;V624,IF(M624&lt;W624,"Pass","Fail"),"Fail"),"Fail"))</f>
        <v>Pass</v>
      </c>
      <c r="S624" s="29">
        <v>1335</v>
      </c>
      <c r="T624" s="54" t="s">
        <v>239</v>
      </c>
      <c r="U624" s="40"/>
      <c r="V624" s="53">
        <v>10000</v>
      </c>
      <c r="W624" s="22">
        <v>15600</v>
      </c>
      <c r="X624" s="40">
        <v>8090</v>
      </c>
      <c r="Y624" s="40">
        <v>12070</v>
      </c>
      <c r="Z624" s="49">
        <v>15</v>
      </c>
      <c r="AA624" s="49">
        <v>6</v>
      </c>
    </row>
    <row r="625" spans="1:27" ht="15.75" customHeight="1">
      <c r="A625" s="94"/>
      <c r="B625" s="94"/>
      <c r="C625" s="30" t="s">
        <v>128</v>
      </c>
      <c r="D625" s="16">
        <v>25564.92</v>
      </c>
      <c r="E625" s="16">
        <v>25384.29</v>
      </c>
      <c r="F625" s="16">
        <v>25431.03</v>
      </c>
      <c r="G625" s="16">
        <v>25344.25</v>
      </c>
      <c r="H625" s="16">
        <v>25353.93</v>
      </c>
      <c r="I625" s="16">
        <v>25387.49</v>
      </c>
      <c r="J625" s="16">
        <v>25362.62</v>
      </c>
      <c r="K625" s="16">
        <v>25339.56</v>
      </c>
      <c r="L625" s="16">
        <v>25399.53</v>
      </c>
      <c r="M625" s="31"/>
      <c r="N625" s="31"/>
      <c r="O625" s="31"/>
      <c r="P625" s="31"/>
      <c r="Q625" s="31"/>
      <c r="R625" s="32"/>
      <c r="S625" s="33"/>
      <c r="T625" s="55"/>
      <c r="V625" s="47"/>
      <c r="W625" s="47"/>
      <c r="X625" s="48"/>
      <c r="Y625" s="48"/>
      <c r="Z625" s="49"/>
      <c r="AA625" s="49"/>
    </row>
    <row r="626" spans="1:27" ht="16.5" customHeight="1" thickBot="1">
      <c r="A626" s="94"/>
      <c r="B626" s="94"/>
      <c r="C626" s="34" t="s">
        <v>129</v>
      </c>
      <c r="D626" s="35">
        <f t="shared" ref="D626:L626" si="204">IF(((D624="")*AND(D625="")),"",(D624-D625)*3)</f>
        <v>10495.740000000005</v>
      </c>
      <c r="E626" s="35">
        <f t="shared" si="204"/>
        <v>10828.889999999992</v>
      </c>
      <c r="F626" s="35">
        <f t="shared" si="204"/>
        <v>10695.240000000005</v>
      </c>
      <c r="G626" s="35">
        <f t="shared" si="204"/>
        <v>10916.129999999997</v>
      </c>
      <c r="H626" s="35">
        <f t="shared" si="204"/>
        <v>11082</v>
      </c>
      <c r="I626" s="35">
        <f t="shared" si="204"/>
        <v>10945.71</v>
      </c>
      <c r="J626" s="35">
        <f t="shared" si="204"/>
        <v>10898.370000000003</v>
      </c>
      <c r="K626" s="35">
        <f t="shared" si="204"/>
        <v>10937.099999999991</v>
      </c>
      <c r="L626" s="35">
        <f t="shared" si="204"/>
        <v>10956.060000000001</v>
      </c>
      <c r="M626" s="36"/>
      <c r="N626" s="36"/>
      <c r="O626" s="36"/>
      <c r="P626" s="36"/>
      <c r="Q626" s="36"/>
      <c r="R626" s="37"/>
      <c r="S626" s="38"/>
      <c r="T626" s="56"/>
      <c r="U626" s="51"/>
      <c r="V626" s="50"/>
      <c r="W626" s="50"/>
      <c r="X626" s="51"/>
      <c r="Y626" s="51"/>
      <c r="Z626" s="52"/>
      <c r="AA626" s="52"/>
    </row>
    <row r="627" spans="1:27">
      <c r="A627" s="95">
        <v>43399</v>
      </c>
      <c r="B627" s="115" t="s">
        <v>429</v>
      </c>
      <c r="C627" s="26" t="s">
        <v>126</v>
      </c>
      <c r="D627" s="16">
        <v>29006.78</v>
      </c>
      <c r="E627" s="16">
        <v>28915.24</v>
      </c>
      <c r="F627" s="16">
        <v>28914.240000000002</v>
      </c>
      <c r="G627" s="16">
        <v>28908.880000000001</v>
      </c>
      <c r="H627" s="16">
        <v>29007.18</v>
      </c>
      <c r="I627" s="16">
        <v>29003.22</v>
      </c>
      <c r="J627" s="16">
        <v>28920.11</v>
      </c>
      <c r="K627" s="16">
        <v>28910.41</v>
      </c>
      <c r="L627" s="16">
        <v>28992.560000000001</v>
      </c>
      <c r="M627" s="27">
        <f>IF((L628=""),"",MAX(D629:L629))</f>
        <v>11058.660000000003</v>
      </c>
      <c r="N627" s="27">
        <f>IF(L628="","",MIN(D629:L629))</f>
        <v>10107.449999999993</v>
      </c>
      <c r="O627" s="27">
        <f>IF((L629=""),"",AVERAGE(D629:L629))</f>
        <v>10731.826666666668</v>
      </c>
      <c r="P627" s="27">
        <f>IF((L628=""),"",STDEV(D629:L629))</f>
        <v>290.54667206834318</v>
      </c>
      <c r="Q627" s="168">
        <f>IF((L628=""),"",((M627-N627)/(M627+P627))*100)</f>
        <v>8.3812906706602064</v>
      </c>
      <c r="R627" s="28" t="str">
        <f>IF(L628="","",IF(Q627&lt;Z627,IF(N627&gt;V627,IF(M627&lt;W627,"Pass","Fail"),"Fail"),"Fail"))</f>
        <v>Pass</v>
      </c>
      <c r="S627" s="29">
        <v>1159</v>
      </c>
      <c r="T627" s="54" t="s">
        <v>240</v>
      </c>
      <c r="U627" s="40"/>
      <c r="V627" s="53">
        <v>10000</v>
      </c>
      <c r="W627" s="22">
        <v>15600</v>
      </c>
      <c r="X627" s="40">
        <v>8090</v>
      </c>
      <c r="Y627" s="40">
        <v>12070</v>
      </c>
      <c r="Z627" s="49">
        <v>15</v>
      </c>
      <c r="AA627" s="49">
        <v>6</v>
      </c>
    </row>
    <row r="628" spans="1:27" ht="15.75" customHeight="1">
      <c r="A628" s="94"/>
      <c r="B628" s="94"/>
      <c r="C628" s="30" t="s">
        <v>128</v>
      </c>
      <c r="D628" s="16">
        <v>25637.63</v>
      </c>
      <c r="E628" s="16">
        <v>25389.03</v>
      </c>
      <c r="F628" s="16">
        <v>25369.39</v>
      </c>
      <c r="G628" s="16">
        <v>25281.96</v>
      </c>
      <c r="H628" s="16">
        <v>25331.22</v>
      </c>
      <c r="I628" s="16">
        <v>25317</v>
      </c>
      <c r="J628" s="16">
        <v>25283.56</v>
      </c>
      <c r="K628" s="16">
        <v>25336.49</v>
      </c>
      <c r="L628" s="16">
        <v>25436.86</v>
      </c>
      <c r="M628" s="31"/>
      <c r="N628" s="31"/>
      <c r="O628" s="31"/>
      <c r="P628" s="31"/>
      <c r="Q628" s="31"/>
      <c r="R628" s="32"/>
      <c r="S628" s="33"/>
      <c r="T628" s="55"/>
      <c r="V628" s="47"/>
      <c r="W628" s="47"/>
      <c r="X628" s="48"/>
      <c r="Y628" s="48"/>
      <c r="Z628" s="49"/>
      <c r="AA628" s="49"/>
    </row>
    <row r="629" spans="1:27" ht="16.5" customHeight="1" thickBot="1">
      <c r="A629" s="94"/>
      <c r="B629" s="94"/>
      <c r="C629" s="34" t="s">
        <v>129</v>
      </c>
      <c r="D629" s="35">
        <f t="shared" ref="D629:L629" si="205">IF(((D627="")*AND(D628="")),"",(D627-D628)*3)</f>
        <v>10107.449999999993</v>
      </c>
      <c r="E629" s="35">
        <f t="shared" si="205"/>
        <v>10578.630000000008</v>
      </c>
      <c r="F629" s="35">
        <f t="shared" si="205"/>
        <v>10634.550000000007</v>
      </c>
      <c r="G629" s="35">
        <f t="shared" si="205"/>
        <v>10880.760000000006</v>
      </c>
      <c r="H629" s="35">
        <f t="shared" si="205"/>
        <v>11027.879999999997</v>
      </c>
      <c r="I629" s="35">
        <f t="shared" si="205"/>
        <v>11058.660000000003</v>
      </c>
      <c r="J629" s="35">
        <f t="shared" si="205"/>
        <v>10909.649999999998</v>
      </c>
      <c r="K629" s="35">
        <f t="shared" si="205"/>
        <v>10721.759999999995</v>
      </c>
      <c r="L629" s="35">
        <f t="shared" si="205"/>
        <v>10667.100000000002</v>
      </c>
      <c r="M629" s="36"/>
      <c r="N629" s="36"/>
      <c r="O629" s="36"/>
      <c r="P629" s="36"/>
      <c r="Q629" s="36"/>
      <c r="R629" s="37"/>
      <c r="S629" s="38"/>
      <c r="T629" s="56"/>
      <c r="U629" s="51"/>
      <c r="V629" s="50"/>
      <c r="W629" s="50"/>
      <c r="X629" s="51"/>
      <c r="Y629" s="51"/>
      <c r="Z629" s="52"/>
      <c r="AA629" s="52"/>
    </row>
    <row r="630" spans="1:27">
      <c r="A630" s="95">
        <v>43403</v>
      </c>
      <c r="B630" s="115" t="s">
        <v>429</v>
      </c>
      <c r="C630" s="26" t="s">
        <v>126</v>
      </c>
      <c r="D630" s="16">
        <v>28942.94</v>
      </c>
      <c r="E630" s="16">
        <v>28894.01</v>
      </c>
      <c r="F630" s="16">
        <v>28896.01</v>
      </c>
      <c r="G630" s="16">
        <v>28897.29</v>
      </c>
      <c r="H630" s="16">
        <v>28972.16</v>
      </c>
      <c r="I630" s="16">
        <v>28981.599999999999</v>
      </c>
      <c r="J630" s="16">
        <v>28897.03</v>
      </c>
      <c r="K630" s="16">
        <v>28893.27</v>
      </c>
      <c r="L630" s="16">
        <v>28978.38</v>
      </c>
      <c r="M630" s="27">
        <f>IF((L631=""),"",MAX(D632:L632))</f>
        <v>11842.649999999998</v>
      </c>
      <c r="N630" s="27">
        <f>IF(L631="","",MIN(D632:L632))</f>
        <v>11236.439999999999</v>
      </c>
      <c r="O630" s="27">
        <f>IF((L632=""),"",AVERAGE(D632:L632))</f>
        <v>11633.579999999996</v>
      </c>
      <c r="P630" s="27">
        <f>IF((L631=""),"",STDEV(D632:L632))</f>
        <v>192.59914544224864</v>
      </c>
      <c r="Q630" s="168">
        <f>IF((L631=""),"",((M630-N630)/(M630+P630))*100)</f>
        <v>5.0369543054251693</v>
      </c>
      <c r="R630" s="28" t="str">
        <f>IF(L631="","",IF(Q630&lt;Z630,IF(N630&gt;V630,IF(M630&lt;W630,"Pass","Fail"),"Fail"),"Fail"))</f>
        <v>Pass</v>
      </c>
      <c r="S630" s="29">
        <v>64</v>
      </c>
      <c r="T630" s="54" t="s">
        <v>241</v>
      </c>
      <c r="U630" s="40"/>
      <c r="V630" s="53">
        <v>10000</v>
      </c>
      <c r="W630" s="22">
        <v>15600</v>
      </c>
      <c r="X630" s="40">
        <v>8090</v>
      </c>
      <c r="Y630" s="40">
        <v>12070</v>
      </c>
      <c r="Z630" s="49">
        <v>15</v>
      </c>
      <c r="AA630" s="49">
        <v>6</v>
      </c>
    </row>
    <row r="631" spans="1:27" ht="15.75" customHeight="1">
      <c r="A631" s="94"/>
      <c r="B631" s="94"/>
      <c r="C631" s="30" t="s">
        <v>128</v>
      </c>
      <c r="D631" s="16">
        <v>24995.39</v>
      </c>
      <c r="E631" s="16">
        <v>24976.63</v>
      </c>
      <c r="F631" s="16">
        <v>25078.85</v>
      </c>
      <c r="G631" s="16">
        <v>25051.93</v>
      </c>
      <c r="H631" s="16">
        <v>25226.68</v>
      </c>
      <c r="I631" s="16">
        <v>25088.39</v>
      </c>
      <c r="J631" s="16">
        <v>25005.87</v>
      </c>
      <c r="K631" s="16">
        <v>24975.37</v>
      </c>
      <c r="L631" s="16">
        <v>25052.84</v>
      </c>
      <c r="M631" s="31"/>
      <c r="N631" s="31"/>
      <c r="O631" s="31"/>
      <c r="P631" s="31"/>
      <c r="Q631" s="31"/>
      <c r="R631" s="32"/>
      <c r="S631" s="33"/>
      <c r="T631" s="55"/>
      <c r="V631" s="47"/>
      <c r="W631" s="47"/>
      <c r="X631" s="48"/>
      <c r="Y631" s="48"/>
      <c r="Z631" s="49"/>
      <c r="AA631" s="49"/>
    </row>
    <row r="632" spans="1:27" ht="16.5" customHeight="1" thickBot="1">
      <c r="A632" s="94"/>
      <c r="B632" s="94"/>
      <c r="C632" s="34" t="s">
        <v>129</v>
      </c>
      <c r="D632" s="35">
        <f t="shared" ref="D632:L632" si="206">IF(((D630="")*AND(D631="")),"",(D630-D631)*3)</f>
        <v>11842.649999999998</v>
      </c>
      <c r="E632" s="35">
        <f t="shared" si="206"/>
        <v>11752.139999999992</v>
      </c>
      <c r="F632" s="35">
        <f t="shared" si="206"/>
        <v>11451.48</v>
      </c>
      <c r="G632" s="35">
        <f t="shared" si="206"/>
        <v>11536.080000000002</v>
      </c>
      <c r="H632" s="35">
        <f t="shared" si="206"/>
        <v>11236.439999999999</v>
      </c>
      <c r="I632" s="35">
        <f t="shared" si="206"/>
        <v>11679.629999999997</v>
      </c>
      <c r="J632" s="35">
        <f t="shared" si="206"/>
        <v>11673.48</v>
      </c>
      <c r="K632" s="35">
        <f t="shared" si="206"/>
        <v>11753.700000000004</v>
      </c>
      <c r="L632" s="35">
        <f t="shared" si="206"/>
        <v>11776.620000000003</v>
      </c>
      <c r="M632" s="36"/>
      <c r="N632" s="36"/>
      <c r="O632" s="36"/>
      <c r="P632" s="36"/>
      <c r="Q632" s="36"/>
      <c r="R632" s="37"/>
      <c r="S632" s="38"/>
      <c r="T632" s="56"/>
      <c r="U632" s="51"/>
      <c r="V632" s="50"/>
      <c r="W632" s="50"/>
      <c r="X632" s="51"/>
      <c r="Y632" s="51"/>
      <c r="Z632" s="52"/>
      <c r="AA632" s="52"/>
    </row>
    <row r="633" spans="1:27">
      <c r="A633" s="95">
        <v>43409</v>
      </c>
      <c r="B633" s="115" t="s">
        <v>429</v>
      </c>
      <c r="C633" s="26" t="s">
        <v>126</v>
      </c>
      <c r="D633" s="16">
        <v>28977.02</v>
      </c>
      <c r="E633" s="16">
        <v>28934.61</v>
      </c>
      <c r="F633" s="16">
        <v>28959.279999999999</v>
      </c>
      <c r="G633" s="16">
        <v>28938.57</v>
      </c>
      <c r="H633" s="16">
        <v>29004.880000000001</v>
      </c>
      <c r="I633" s="16">
        <v>29011.51</v>
      </c>
      <c r="J633" s="16">
        <v>28929</v>
      </c>
      <c r="K633" s="16">
        <v>28929.56</v>
      </c>
      <c r="L633" s="16">
        <v>28999.98</v>
      </c>
      <c r="M633" s="27">
        <f>IF((L634=""),"",MAX(D635:L635))</f>
        <v>11279.189999999999</v>
      </c>
      <c r="N633" s="27">
        <f>IF(L634="","",MIN(D635:L635))</f>
        <v>10624.589999999997</v>
      </c>
      <c r="O633" s="27">
        <f>IF((L635=""),"",AVERAGE(D635:L635))</f>
        <v>10996.626666666667</v>
      </c>
      <c r="P633" s="27">
        <f>IF((L634=""),"",STDEV(D635:L635))</f>
        <v>198.58974488884562</v>
      </c>
      <c r="Q633" s="168">
        <f>IF((L634=""),"",((M633-N633)/(M633+P633))*100)</f>
        <v>5.7031936014585156</v>
      </c>
      <c r="R633" s="28" t="str">
        <f>IF(L634="","",IF(Q633&lt;Z633,IF(N633&gt;V633,IF(M633&lt;W633,"Pass","Fail"),"Fail"),"Fail"))</f>
        <v>Pass</v>
      </c>
      <c r="S633" s="29">
        <v>1335</v>
      </c>
      <c r="T633" s="54"/>
      <c r="U633" s="40"/>
      <c r="V633" s="53">
        <v>10000</v>
      </c>
      <c r="W633" s="22">
        <v>15600</v>
      </c>
      <c r="X633" s="40">
        <v>8090</v>
      </c>
      <c r="Y633" s="40">
        <v>12070</v>
      </c>
      <c r="Z633" s="49">
        <v>15</v>
      </c>
      <c r="AA633" s="49">
        <v>6</v>
      </c>
    </row>
    <row r="634" spans="1:27" ht="15.75" customHeight="1">
      <c r="A634" s="94"/>
      <c r="B634" s="94"/>
      <c r="C634" s="30" t="s">
        <v>128</v>
      </c>
      <c r="D634" s="16">
        <v>25435.49</v>
      </c>
      <c r="E634" s="16">
        <v>25311.3</v>
      </c>
      <c r="F634" s="16">
        <v>25356.9</v>
      </c>
      <c r="G634" s="16">
        <v>25233.09</v>
      </c>
      <c r="H634" s="16">
        <v>25245.15</v>
      </c>
      <c r="I634" s="16">
        <v>25310.26</v>
      </c>
      <c r="J634" s="16">
        <v>25263.74</v>
      </c>
      <c r="K634" s="16">
        <v>25247.71</v>
      </c>
      <c r="L634" s="16">
        <v>25290.89</v>
      </c>
      <c r="M634" s="31"/>
      <c r="N634" s="31"/>
      <c r="O634" s="31"/>
      <c r="P634" s="31"/>
      <c r="Q634" s="31"/>
      <c r="R634" s="32"/>
      <c r="S634" s="33"/>
      <c r="T634" s="55"/>
      <c r="V634" s="47"/>
      <c r="W634" s="47"/>
      <c r="X634" s="48"/>
      <c r="Y634" s="48"/>
      <c r="Z634" s="49"/>
      <c r="AA634" s="49"/>
    </row>
    <row r="635" spans="1:27" ht="16.5" customHeight="1" thickBot="1">
      <c r="A635" s="94"/>
      <c r="B635" s="94"/>
      <c r="C635" s="34" t="s">
        <v>129</v>
      </c>
      <c r="D635" s="35">
        <f t="shared" ref="D635:L635" si="207">IF(((D633="")*AND(D634="")),"",(D633-D634)*3)</f>
        <v>10624.589999999997</v>
      </c>
      <c r="E635" s="35">
        <f t="shared" si="207"/>
        <v>10869.930000000004</v>
      </c>
      <c r="F635" s="35">
        <f t="shared" si="207"/>
        <v>10807.139999999992</v>
      </c>
      <c r="G635" s="35">
        <f t="shared" si="207"/>
        <v>11116.439999999999</v>
      </c>
      <c r="H635" s="35">
        <f t="shared" si="207"/>
        <v>11279.189999999999</v>
      </c>
      <c r="I635" s="35">
        <f t="shared" si="207"/>
        <v>11103.75</v>
      </c>
      <c r="J635" s="35">
        <f t="shared" si="207"/>
        <v>10995.779999999995</v>
      </c>
      <c r="K635" s="35">
        <f t="shared" si="207"/>
        <v>11045.550000000007</v>
      </c>
      <c r="L635" s="35">
        <f t="shared" si="207"/>
        <v>11127.27</v>
      </c>
      <c r="M635" s="36"/>
      <c r="N635" s="36"/>
      <c r="O635" s="36"/>
      <c r="P635" s="36"/>
      <c r="Q635" s="36"/>
      <c r="R635" s="37"/>
      <c r="S635" s="38"/>
      <c r="T635" s="56"/>
      <c r="U635" s="51"/>
      <c r="V635" s="50"/>
      <c r="W635" s="50"/>
      <c r="X635" s="51"/>
      <c r="Y635" s="51"/>
      <c r="Z635" s="52"/>
      <c r="AA635" s="52"/>
    </row>
    <row r="636" spans="1:27">
      <c r="A636" s="95">
        <v>43413</v>
      </c>
      <c r="B636" s="115" t="s">
        <v>429</v>
      </c>
      <c r="C636" s="26" t="s">
        <v>126</v>
      </c>
      <c r="D636" s="16">
        <v>28960.58</v>
      </c>
      <c r="E636" s="16">
        <v>28853.26</v>
      </c>
      <c r="F636" s="16">
        <v>28859.98</v>
      </c>
      <c r="G636" s="16">
        <v>28843.439999999999</v>
      </c>
      <c r="H636" s="16">
        <v>28944.880000000001</v>
      </c>
      <c r="I636" s="16">
        <v>28925.63</v>
      </c>
      <c r="J636" s="16">
        <v>28840.69</v>
      </c>
      <c r="K636" s="16">
        <v>28853.25</v>
      </c>
      <c r="L636" s="16">
        <v>28957.29</v>
      </c>
      <c r="M636" s="27">
        <f>IF((L637=""),"",MAX(D638:L638))</f>
        <v>11410.379999999997</v>
      </c>
      <c r="N636" s="27">
        <f>IF(L637="","",MIN(D638:L638))</f>
        <v>10927.44000000001</v>
      </c>
      <c r="O636" s="27">
        <f>IF((L638=""),"",AVERAGE(D638:L638))</f>
        <v>11283.253333333334</v>
      </c>
      <c r="P636" s="27">
        <f>IF((L637=""),"",STDEV(D638:L638))</f>
        <v>147.72935879511084</v>
      </c>
      <c r="Q636" s="168">
        <f>IF((L637=""),"",((M636-N636)/(M636+P636))*100)</f>
        <v>4.1783650336592117</v>
      </c>
      <c r="R636" s="28" t="str">
        <f>IF(L637="","",IF(Q636&lt;Z636,IF(N636&gt;V636,IF(M636&lt;W636,"Pass","Fail"),"Fail"),"Fail"))</f>
        <v>Pass</v>
      </c>
      <c r="S636" s="29">
        <v>1159</v>
      </c>
      <c r="T636" s="54" t="s">
        <v>242</v>
      </c>
      <c r="U636" s="40"/>
      <c r="V636" s="53">
        <v>10000</v>
      </c>
      <c r="W636" s="22">
        <v>15600</v>
      </c>
      <c r="X636" s="40">
        <v>8090</v>
      </c>
      <c r="Y636" s="40">
        <v>12070</v>
      </c>
      <c r="Z636" s="49">
        <v>15</v>
      </c>
      <c r="AA636" s="49">
        <v>6</v>
      </c>
    </row>
    <row r="637" spans="1:27" ht="15.75" customHeight="1">
      <c r="A637" s="94"/>
      <c r="B637" s="94"/>
      <c r="C637" s="30" t="s">
        <v>128</v>
      </c>
      <c r="D637" s="16">
        <v>25318.1</v>
      </c>
      <c r="E637" s="16">
        <v>25113.53</v>
      </c>
      <c r="F637" s="16">
        <v>25103.14</v>
      </c>
      <c r="G637" s="16">
        <v>25041.77</v>
      </c>
      <c r="H637" s="16">
        <v>25157.08</v>
      </c>
      <c r="I637" s="16">
        <v>25159.66</v>
      </c>
      <c r="J637" s="16">
        <v>25053.87</v>
      </c>
      <c r="K637" s="16">
        <v>25049.79</v>
      </c>
      <c r="L637" s="16">
        <v>25192.3</v>
      </c>
      <c r="M637" s="31"/>
      <c r="N637" s="31"/>
      <c r="O637" s="31"/>
      <c r="P637" s="31"/>
      <c r="Q637" s="31"/>
      <c r="R637" s="32"/>
      <c r="S637" s="33"/>
      <c r="T637" s="55"/>
      <c r="V637" s="47"/>
      <c r="W637" s="47"/>
      <c r="X637" s="48"/>
      <c r="Y637" s="48"/>
      <c r="Z637" s="49"/>
      <c r="AA637" s="49"/>
    </row>
    <row r="638" spans="1:27" ht="16.5" customHeight="1" thickBot="1">
      <c r="A638" s="94"/>
      <c r="B638" s="94"/>
      <c r="C638" s="34" t="s">
        <v>129</v>
      </c>
      <c r="D638" s="35">
        <f t="shared" ref="D638:L638" si="208">IF(((D636="")*AND(D637="")),"",(D636-D637)*3)</f>
        <v>10927.44000000001</v>
      </c>
      <c r="E638" s="35">
        <f t="shared" si="208"/>
        <v>11219.189999999999</v>
      </c>
      <c r="F638" s="35">
        <f t="shared" si="208"/>
        <v>11270.52</v>
      </c>
      <c r="G638" s="35">
        <f t="shared" si="208"/>
        <v>11405.009999999995</v>
      </c>
      <c r="H638" s="35">
        <f t="shared" si="208"/>
        <v>11363.399999999998</v>
      </c>
      <c r="I638" s="35">
        <f t="shared" si="208"/>
        <v>11297.910000000003</v>
      </c>
      <c r="J638" s="35">
        <f t="shared" si="208"/>
        <v>11360.46</v>
      </c>
      <c r="K638" s="35">
        <f t="shared" si="208"/>
        <v>11410.379999999997</v>
      </c>
      <c r="L638" s="35">
        <f t="shared" si="208"/>
        <v>11294.970000000005</v>
      </c>
      <c r="M638" s="36"/>
      <c r="N638" s="36"/>
      <c r="O638" s="36"/>
      <c r="P638" s="36"/>
      <c r="Q638" s="36"/>
      <c r="R638" s="37"/>
      <c r="S638" s="38"/>
      <c r="T638" s="56"/>
      <c r="U638" s="51"/>
      <c r="V638" s="50"/>
      <c r="W638" s="50"/>
      <c r="X638" s="51"/>
      <c r="Y638" s="51"/>
      <c r="Z638" s="52"/>
      <c r="AA638" s="52"/>
    </row>
    <row r="639" spans="1:27">
      <c r="A639" s="95">
        <v>43418</v>
      </c>
      <c r="B639" s="115" t="s">
        <v>429</v>
      </c>
      <c r="C639" s="26" t="s">
        <v>126</v>
      </c>
      <c r="D639" s="16">
        <v>28987.94</v>
      </c>
      <c r="E639" s="16">
        <v>28916.799999999999</v>
      </c>
      <c r="F639" s="16">
        <v>28929.85</v>
      </c>
      <c r="G639" s="16">
        <v>28903.84</v>
      </c>
      <c r="H639" s="16">
        <v>28966.19</v>
      </c>
      <c r="I639" s="16">
        <v>28966.36</v>
      </c>
      <c r="J639" s="16">
        <v>28891.38</v>
      </c>
      <c r="K639" s="16">
        <v>28914.1</v>
      </c>
      <c r="L639" s="16">
        <v>28964.58</v>
      </c>
      <c r="M639" s="27">
        <f>IF((L640=""),"",MAX(D641:L641))</f>
        <v>12555.21</v>
      </c>
      <c r="N639" s="27">
        <f>IF(L640="","",MIN(D641:L641))</f>
        <v>11474.669999999998</v>
      </c>
      <c r="O639" s="27">
        <f>IF((L641=""),"",AVERAGE(D641:L641))</f>
        <v>12187.516666666668</v>
      </c>
      <c r="P639" s="27">
        <f>IF((L640=""),"",STDEV(D641:L641))</f>
        <v>328.41035184663497</v>
      </c>
      <c r="Q639" s="168">
        <f>IF((L640=""),"",((M639-N639)/(M639+P639))*100)</f>
        <v>8.3869282894937598</v>
      </c>
      <c r="R639" s="28" t="str">
        <f>IF(L640="","",IF(Q639&lt;Z639,IF(N639&gt;V639,IF(M639&lt;W639,"Pass","Fail"),"Fail"),"Fail"))</f>
        <v>Pass</v>
      </c>
      <c r="S639" s="29">
        <v>121</v>
      </c>
      <c r="T639" s="54" t="s">
        <v>243</v>
      </c>
      <c r="U639" s="40"/>
      <c r="V639" s="53">
        <v>10000</v>
      </c>
      <c r="W639" s="22">
        <v>15600</v>
      </c>
      <c r="X639" s="40">
        <v>8090</v>
      </c>
      <c r="Y639" s="40">
        <v>12070</v>
      </c>
      <c r="Z639" s="49">
        <v>15</v>
      </c>
      <c r="AA639" s="49">
        <v>6</v>
      </c>
    </row>
    <row r="640" spans="1:27" ht="15.75" customHeight="1">
      <c r="A640" s="94"/>
      <c r="B640" s="94"/>
      <c r="C640" s="30" t="s">
        <v>128</v>
      </c>
      <c r="D640" s="16">
        <v>24802.87</v>
      </c>
      <c r="E640" s="16">
        <v>24778.71</v>
      </c>
      <c r="F640" s="16">
        <v>24911.59</v>
      </c>
      <c r="G640" s="16">
        <v>24893.439999999999</v>
      </c>
      <c r="H640" s="16">
        <v>25141.3</v>
      </c>
      <c r="I640" s="16">
        <v>24925.18</v>
      </c>
      <c r="J640" s="16">
        <v>24834.19</v>
      </c>
      <c r="K640" s="16">
        <v>24783.040000000001</v>
      </c>
      <c r="L640" s="16">
        <v>24808.17</v>
      </c>
      <c r="M640" s="31"/>
      <c r="N640" s="31"/>
      <c r="O640" s="31"/>
      <c r="P640" s="31"/>
      <c r="Q640" s="31"/>
      <c r="R640" s="32"/>
      <c r="S640" s="33"/>
      <c r="T640" s="55"/>
      <c r="V640" s="47"/>
      <c r="W640" s="47"/>
      <c r="X640" s="48"/>
      <c r="Y640" s="48"/>
      <c r="Z640" s="49"/>
      <c r="AA640" s="49"/>
    </row>
    <row r="641" spans="1:27" ht="16.5" customHeight="1" thickBot="1">
      <c r="A641" s="94"/>
      <c r="B641" s="94"/>
      <c r="C641" s="34" t="s">
        <v>129</v>
      </c>
      <c r="D641" s="35">
        <f t="shared" ref="D641:L641" si="209">IF(((D639="")*AND(D640="")),"",(D639-D640)*3)</f>
        <v>12555.21</v>
      </c>
      <c r="E641" s="35">
        <f t="shared" si="209"/>
        <v>12414.27</v>
      </c>
      <c r="F641" s="35">
        <f t="shared" si="209"/>
        <v>12054.779999999995</v>
      </c>
      <c r="G641" s="35">
        <f t="shared" si="209"/>
        <v>12031.200000000004</v>
      </c>
      <c r="H641" s="35">
        <f t="shared" si="209"/>
        <v>11474.669999999998</v>
      </c>
      <c r="I641" s="35">
        <f t="shared" si="209"/>
        <v>12123.54</v>
      </c>
      <c r="J641" s="35">
        <f t="shared" si="209"/>
        <v>12171.570000000007</v>
      </c>
      <c r="K641" s="35">
        <f t="shared" si="209"/>
        <v>12393.179999999993</v>
      </c>
      <c r="L641" s="35">
        <f t="shared" si="209"/>
        <v>12469.23000000001</v>
      </c>
      <c r="M641" s="36"/>
      <c r="N641" s="36"/>
      <c r="O641" s="36"/>
      <c r="P641" s="36"/>
      <c r="Q641" s="36"/>
      <c r="R641" s="37"/>
      <c r="S641" s="38"/>
      <c r="T641" s="56"/>
      <c r="U641" s="51"/>
      <c r="V641" s="50"/>
      <c r="W641" s="50"/>
      <c r="X641" s="51"/>
      <c r="Y641" s="51"/>
      <c r="Z641" s="52"/>
      <c r="AA641" s="52"/>
    </row>
    <row r="642" spans="1:27">
      <c r="A642" s="95">
        <v>43424</v>
      </c>
      <c r="B642" s="115" t="s">
        <v>429</v>
      </c>
      <c r="C642" s="26" t="s">
        <v>126</v>
      </c>
      <c r="D642" s="16">
        <v>29002.84</v>
      </c>
      <c r="E642" s="16">
        <v>28904.03</v>
      </c>
      <c r="F642" s="16">
        <v>28910.93</v>
      </c>
      <c r="G642" s="16">
        <v>28902.97</v>
      </c>
      <c r="H642" s="16">
        <v>28993.919999999998</v>
      </c>
      <c r="I642" s="16">
        <v>28969.38</v>
      </c>
      <c r="J642" s="16">
        <v>28893.21</v>
      </c>
      <c r="K642" s="16">
        <v>28895.119999999999</v>
      </c>
      <c r="L642" s="16">
        <v>28982.400000000001</v>
      </c>
      <c r="M642" s="27">
        <f>IF((L643=""),"",MAX(D644:L644))</f>
        <v>10079.399999999998</v>
      </c>
      <c r="N642" s="27">
        <f>IF(L643="","",MIN(D644:L644))</f>
        <v>9102.2999999999956</v>
      </c>
      <c r="O642" s="27">
        <f>IF((L644=""),"",AVERAGE(D644:L644))</f>
        <v>9719.6566666666677</v>
      </c>
      <c r="P642" s="27">
        <f>IF((L643=""),"",STDEV(D644:L644))</f>
        <v>292.51340627394291</v>
      </c>
      <c r="Q642" s="168">
        <f>IF((L643=""),"",((M642-N642)/(M642+P642))*100)</f>
        <v>9.4206339922675895</v>
      </c>
      <c r="R642" s="28" t="str">
        <f>IF(L643="","",IF(Q642&lt;Z642,IF(N642&gt;V642,IF(M642&lt;W642,"Pass","Fail"),"Fail"),"Fail"))</f>
        <v>Fail</v>
      </c>
      <c r="S642" s="29">
        <v>1159</v>
      </c>
      <c r="T642" s="54"/>
      <c r="U642" s="40"/>
      <c r="V642" s="53">
        <v>10000</v>
      </c>
      <c r="W642" s="22">
        <v>15600</v>
      </c>
      <c r="X642" s="40">
        <v>8090</v>
      </c>
      <c r="Y642" s="40">
        <v>12070</v>
      </c>
      <c r="Z642" s="49">
        <v>15</v>
      </c>
      <c r="AA642" s="49">
        <v>6</v>
      </c>
    </row>
    <row r="643" spans="1:27" ht="15.75" customHeight="1">
      <c r="A643" s="94"/>
      <c r="B643" s="94"/>
      <c r="C643" s="30" t="s">
        <v>128</v>
      </c>
      <c r="D643" s="16">
        <v>25968.74</v>
      </c>
      <c r="E643" s="16">
        <v>25730.080000000002</v>
      </c>
      <c r="F643" s="16">
        <v>25724.11</v>
      </c>
      <c r="G643" s="16">
        <v>25615.05</v>
      </c>
      <c r="H643" s="16">
        <v>25634.12</v>
      </c>
      <c r="I643" s="16">
        <v>25644</v>
      </c>
      <c r="J643" s="16">
        <v>25636.17</v>
      </c>
      <c r="K643" s="16">
        <v>25647.98</v>
      </c>
      <c r="L643" s="16">
        <v>25695.58</v>
      </c>
      <c r="M643" s="31"/>
      <c r="N643" s="31"/>
      <c r="O643" s="31"/>
      <c r="P643" s="31"/>
      <c r="Q643" s="31"/>
      <c r="R643" s="32"/>
      <c r="S643" s="33"/>
      <c r="T643" s="55"/>
      <c r="V643" s="47"/>
      <c r="W643" s="47"/>
      <c r="X643" s="48"/>
      <c r="Y643" s="48"/>
      <c r="Z643" s="49"/>
      <c r="AA643" s="49"/>
    </row>
    <row r="644" spans="1:27" ht="16.5" customHeight="1" thickBot="1">
      <c r="A644" s="94"/>
      <c r="B644" s="94"/>
      <c r="C644" s="34" t="s">
        <v>129</v>
      </c>
      <c r="D644" s="35">
        <f t="shared" ref="D644:L644" si="210">IF(((D642="")*AND(D643="")),"",(D642-D643)*3)</f>
        <v>9102.2999999999956</v>
      </c>
      <c r="E644" s="35">
        <f t="shared" si="210"/>
        <v>9521.8499999999913</v>
      </c>
      <c r="F644" s="35">
        <f t="shared" si="210"/>
        <v>9560.4599999999991</v>
      </c>
      <c r="G644" s="35">
        <f t="shared" si="210"/>
        <v>9863.7600000000057</v>
      </c>
      <c r="H644" s="35">
        <f t="shared" si="210"/>
        <v>10079.399999999998</v>
      </c>
      <c r="I644" s="35">
        <f t="shared" si="210"/>
        <v>9976.1400000000031</v>
      </c>
      <c r="J644" s="35">
        <f t="shared" si="210"/>
        <v>9771.1200000000026</v>
      </c>
      <c r="K644" s="35">
        <f t="shared" si="210"/>
        <v>9741.4199999999983</v>
      </c>
      <c r="L644" s="35">
        <f t="shared" si="210"/>
        <v>9860.4599999999991</v>
      </c>
      <c r="M644" s="36"/>
      <c r="N644" s="36"/>
      <c r="O644" s="36"/>
      <c r="P644" s="36"/>
      <c r="Q644" s="36"/>
      <c r="R644" s="37"/>
      <c r="S644" s="38"/>
      <c r="T644" s="56"/>
      <c r="U644" s="51"/>
      <c r="V644" s="50"/>
      <c r="W644" s="50"/>
      <c r="X644" s="51"/>
      <c r="Y644" s="51"/>
      <c r="Z644" s="52"/>
      <c r="AA644" s="52"/>
    </row>
    <row r="645" spans="1:27">
      <c r="A645" s="95">
        <v>43424</v>
      </c>
      <c r="B645" s="115" t="s">
        <v>429</v>
      </c>
      <c r="C645" s="26" t="s">
        <v>126</v>
      </c>
      <c r="D645" s="16">
        <v>29088.33</v>
      </c>
      <c r="E645" s="16">
        <v>29005.51</v>
      </c>
      <c r="F645" s="16">
        <v>29042.11</v>
      </c>
      <c r="G645" s="16">
        <v>29007.09</v>
      </c>
      <c r="H645" s="16">
        <v>29061.08</v>
      </c>
      <c r="I645" s="16">
        <v>29055.31</v>
      </c>
      <c r="J645" s="16">
        <v>28994.52</v>
      </c>
      <c r="K645" s="16">
        <v>29000.1</v>
      </c>
      <c r="L645" s="16">
        <v>29059.34</v>
      </c>
      <c r="M645" s="27">
        <f>IF((L646=""),"",MAX(D647:L647))</f>
        <v>11347.260000000006</v>
      </c>
      <c r="N645" s="27">
        <f>IF(L646="","",MIN(D647:L647))</f>
        <v>10709.46000000001</v>
      </c>
      <c r="O645" s="27">
        <f>IF((L647=""),"",AVERAGE(D647:L647))</f>
        <v>11112.710000000001</v>
      </c>
      <c r="P645" s="27">
        <f>IF((L646=""),"",STDEV(D647:L647))</f>
        <v>195.74447808304302</v>
      </c>
      <c r="Q645" s="168">
        <f>IF((L646=""),"",((M645-N645)/(M645+P645))*100)</f>
        <v>5.525424521934478</v>
      </c>
      <c r="R645" s="28" t="str">
        <f>IF(L646="","",IF(Q645&lt;Z645,IF(N645&gt;V645,IF(M645&lt;W645,"Pass","Fail"),"Fail"),"Fail"))</f>
        <v>Pass</v>
      </c>
      <c r="S645" s="29">
        <v>1159</v>
      </c>
      <c r="T645" s="54" t="s">
        <v>244</v>
      </c>
      <c r="U645" s="40"/>
      <c r="V645" s="53">
        <v>10000</v>
      </c>
      <c r="W645" s="22">
        <v>15600</v>
      </c>
      <c r="X645" s="40">
        <v>8090</v>
      </c>
      <c r="Y645" s="40">
        <v>12070</v>
      </c>
      <c r="Z645" s="49">
        <v>15</v>
      </c>
      <c r="AA645" s="49">
        <v>6</v>
      </c>
    </row>
    <row r="646" spans="1:27" ht="15.75" customHeight="1">
      <c r="A646" s="94"/>
      <c r="B646" s="94"/>
      <c r="C646" s="30" t="s">
        <v>128</v>
      </c>
      <c r="D646" s="16">
        <v>25518.51</v>
      </c>
      <c r="E646" s="16">
        <v>25337.4</v>
      </c>
      <c r="F646" s="16">
        <v>25394.41</v>
      </c>
      <c r="G646" s="16">
        <v>25265.46</v>
      </c>
      <c r="H646" s="16">
        <v>25278.66</v>
      </c>
      <c r="I646" s="16">
        <v>25309.7</v>
      </c>
      <c r="J646" s="16">
        <v>25283.41</v>
      </c>
      <c r="K646" s="16">
        <v>25274.69</v>
      </c>
      <c r="L646" s="16">
        <v>25313.02</v>
      </c>
      <c r="M646" s="31"/>
      <c r="N646" s="31"/>
      <c r="O646" s="31"/>
      <c r="P646" s="31"/>
      <c r="Q646" s="31"/>
      <c r="R646" s="32"/>
      <c r="S646" s="33"/>
      <c r="T646" s="55"/>
      <c r="V646" s="47"/>
      <c r="W646" s="47"/>
      <c r="X646" s="48"/>
      <c r="Y646" s="48"/>
      <c r="Z646" s="49"/>
      <c r="AA646" s="49"/>
    </row>
    <row r="647" spans="1:27" ht="16.5" customHeight="1" thickBot="1">
      <c r="A647" s="94"/>
      <c r="B647" s="94"/>
      <c r="C647" s="34" t="s">
        <v>129</v>
      </c>
      <c r="D647" s="35">
        <f t="shared" ref="D647:L647" si="211">IF(((D645="")*AND(D646="")),"",(D645-D646)*3)</f>
        <v>10709.46000000001</v>
      </c>
      <c r="E647" s="35">
        <f t="shared" si="211"/>
        <v>11004.329999999991</v>
      </c>
      <c r="F647" s="35">
        <f t="shared" si="211"/>
        <v>10943.100000000002</v>
      </c>
      <c r="G647" s="35">
        <f t="shared" si="211"/>
        <v>11224.890000000003</v>
      </c>
      <c r="H647" s="35">
        <f t="shared" si="211"/>
        <v>11347.260000000006</v>
      </c>
      <c r="I647" s="35">
        <f t="shared" si="211"/>
        <v>11236.830000000002</v>
      </c>
      <c r="J647" s="35">
        <f t="shared" si="211"/>
        <v>11133.330000000002</v>
      </c>
      <c r="K647" s="35">
        <f t="shared" si="211"/>
        <v>11176.23</v>
      </c>
      <c r="L647" s="35">
        <f t="shared" si="211"/>
        <v>11238.96</v>
      </c>
      <c r="M647" s="36"/>
      <c r="N647" s="36"/>
      <c r="O647" s="36"/>
      <c r="P647" s="36"/>
      <c r="Q647" s="36"/>
      <c r="R647" s="37"/>
      <c r="S647" s="38"/>
      <c r="T647" s="56"/>
      <c r="U647" s="51"/>
      <c r="V647" s="50"/>
      <c r="W647" s="50"/>
      <c r="X647" s="51"/>
      <c r="Y647" s="51"/>
      <c r="Z647" s="52"/>
      <c r="AA647" s="52"/>
    </row>
    <row r="648" spans="1:27">
      <c r="A648" s="95">
        <v>43424</v>
      </c>
      <c r="B648" s="115" t="s">
        <v>429</v>
      </c>
      <c r="C648" s="26" t="s">
        <v>126</v>
      </c>
      <c r="D648" s="16">
        <v>28929.58</v>
      </c>
      <c r="E648" s="16">
        <v>28848.07</v>
      </c>
      <c r="F648" s="16">
        <v>28860.82</v>
      </c>
      <c r="G648" s="16">
        <v>28859.33</v>
      </c>
      <c r="H648" s="16">
        <v>28935.03</v>
      </c>
      <c r="I648" s="16">
        <v>28908.61</v>
      </c>
      <c r="J648" s="16">
        <v>28845.87</v>
      </c>
      <c r="K648" s="16">
        <v>28852.98</v>
      </c>
      <c r="L648" s="16">
        <v>28931.75</v>
      </c>
      <c r="M648" s="27">
        <f>IF((L649=""),"",MAX(D650:L650))</f>
        <v>11023.889999999992</v>
      </c>
      <c r="N648" s="27">
        <f>IF(L649="","",MIN(D650:L650))</f>
        <v>10374.840000000007</v>
      </c>
      <c r="O648" s="27">
        <f>IF((L650=""),"",AVERAGE(D650:L650))</f>
        <v>10837.956666666669</v>
      </c>
      <c r="P648" s="27">
        <f>IF((L649=""),"",STDEV(D650:L650))</f>
        <v>202.07808422722962</v>
      </c>
      <c r="Q648" s="168">
        <f>IF((L649=""),"",((M648-N648)/(M648+P648))*100)</f>
        <v>5.7816839949145855</v>
      </c>
      <c r="R648" s="28" t="str">
        <f>IF(L649="","",IF(Q648&lt;Z648,IF(N648&gt;V648,IF(M648&lt;W648,"Pass","Fail"),"Fail"),"Fail"))</f>
        <v>Pass</v>
      </c>
      <c r="S648" s="29">
        <v>64</v>
      </c>
      <c r="T648" s="54" t="s">
        <v>245</v>
      </c>
      <c r="U648" s="40"/>
      <c r="V648" s="53">
        <v>10000</v>
      </c>
      <c r="W648" s="22">
        <v>15600</v>
      </c>
      <c r="X648" s="40">
        <v>8090</v>
      </c>
      <c r="Y648" s="40">
        <v>12070</v>
      </c>
      <c r="Z648" s="49">
        <v>15</v>
      </c>
      <c r="AA648" s="49">
        <v>6</v>
      </c>
    </row>
    <row r="649" spans="1:27" ht="15.75" customHeight="1">
      <c r="A649" s="94"/>
      <c r="B649" s="94"/>
      <c r="C649" s="30" t="s">
        <v>128</v>
      </c>
      <c r="D649" s="16">
        <v>25471.3</v>
      </c>
      <c r="E649" s="16">
        <v>25266.59</v>
      </c>
      <c r="F649" s="16">
        <v>25287.16</v>
      </c>
      <c r="G649" s="16">
        <v>25202.639999999999</v>
      </c>
      <c r="H649" s="16">
        <v>25260.400000000001</v>
      </c>
      <c r="I649" s="16">
        <v>25275.31</v>
      </c>
      <c r="J649" s="16">
        <v>25218.33</v>
      </c>
      <c r="K649" s="16">
        <v>25206.03</v>
      </c>
      <c r="L649" s="16">
        <v>25270.41</v>
      </c>
      <c r="M649" s="31"/>
      <c r="N649" s="31"/>
      <c r="O649" s="31"/>
      <c r="P649" s="31"/>
      <c r="Q649" s="31"/>
      <c r="R649" s="32"/>
      <c r="S649" s="33"/>
      <c r="T649" s="55"/>
      <c r="V649" s="47"/>
      <c r="W649" s="47"/>
      <c r="X649" s="48"/>
      <c r="Y649" s="48"/>
      <c r="Z649" s="49"/>
      <c r="AA649" s="49"/>
    </row>
    <row r="650" spans="1:27" ht="16.5" customHeight="1" thickBot="1">
      <c r="A650" s="94"/>
      <c r="B650" s="94"/>
      <c r="C650" s="34" t="s">
        <v>129</v>
      </c>
      <c r="D650" s="35">
        <f t="shared" ref="D650:L650" si="212">IF(((D648="")*AND(D649="")),"",(D648-D649)*3)</f>
        <v>10374.840000000007</v>
      </c>
      <c r="E650" s="35">
        <f t="shared" si="212"/>
        <v>10744.439999999999</v>
      </c>
      <c r="F650" s="35">
        <f t="shared" si="212"/>
        <v>10720.98</v>
      </c>
      <c r="G650" s="35">
        <f t="shared" si="212"/>
        <v>10970.070000000007</v>
      </c>
      <c r="H650" s="35">
        <f t="shared" si="212"/>
        <v>11023.889999999992</v>
      </c>
      <c r="I650" s="35">
        <f t="shared" si="212"/>
        <v>10899.899999999998</v>
      </c>
      <c r="J650" s="35">
        <f t="shared" si="212"/>
        <v>10882.619999999992</v>
      </c>
      <c r="K650" s="35">
        <f t="shared" si="212"/>
        <v>10940.850000000002</v>
      </c>
      <c r="L650" s="35">
        <f t="shared" si="212"/>
        <v>10984.02</v>
      </c>
      <c r="M650" s="36"/>
      <c r="N650" s="36"/>
      <c r="O650" s="36"/>
      <c r="P650" s="36"/>
      <c r="Q650" s="36"/>
      <c r="R650" s="37"/>
      <c r="S650" s="38"/>
      <c r="T650" s="56"/>
      <c r="U650" s="51"/>
      <c r="V650" s="50"/>
      <c r="W650" s="50"/>
      <c r="X650" s="51"/>
      <c r="Y650" s="51"/>
      <c r="Z650" s="52"/>
      <c r="AA650" s="52"/>
    </row>
    <row r="651" spans="1:27">
      <c r="A651" s="95">
        <v>43433</v>
      </c>
      <c r="B651" s="115" t="s">
        <v>429</v>
      </c>
      <c r="C651" s="26" t="s">
        <v>126</v>
      </c>
      <c r="D651" s="16">
        <v>28859.87</v>
      </c>
      <c r="E651" s="16">
        <v>28848.61</v>
      </c>
      <c r="F651" s="16">
        <v>28897.31</v>
      </c>
      <c r="G651" s="16">
        <v>28826.36</v>
      </c>
      <c r="H651" s="16">
        <v>28896.91</v>
      </c>
      <c r="I651" s="16">
        <v>28882.37</v>
      </c>
      <c r="J651" s="16">
        <v>28831.85</v>
      </c>
      <c r="K651" s="16">
        <v>28841.98</v>
      </c>
      <c r="L651" s="16">
        <v>26693.360000000001</v>
      </c>
      <c r="M651" s="27">
        <f>IF((L652=""),"",MAX(D653:L653))</f>
        <v>11381.280000000006</v>
      </c>
      <c r="N651" s="27">
        <f>IF(L652="","",MIN(D653:L653))</f>
        <v>10680.330000000002</v>
      </c>
      <c r="O651" s="27">
        <f>IF((L653=""),"",AVERAGE(D653:L653))</f>
        <v>11081.279999999999</v>
      </c>
      <c r="P651" s="27">
        <f>IF((L652=""),"",STDEV(D653:L653))</f>
        <v>206.30219448680975</v>
      </c>
      <c r="Q651" s="168">
        <f>IF((L652=""),"",((M651-N651)/(M651+P651))*100)</f>
        <v>6.0491480296338693</v>
      </c>
      <c r="R651" s="28" t="str">
        <f>IF(L652="","",IF(Q651&lt;Z651,IF(N651&gt;V651,IF(M651&lt;W651,"Pass","Fail"),"Fail"),"Fail"))</f>
        <v>Pass</v>
      </c>
      <c r="S651" s="29">
        <v>1340</v>
      </c>
      <c r="T651" s="54"/>
      <c r="U651" s="40"/>
      <c r="V651" s="53">
        <v>10000</v>
      </c>
      <c r="W651" s="22">
        <v>15600</v>
      </c>
      <c r="X651" s="40">
        <v>8090</v>
      </c>
      <c r="Y651" s="40">
        <v>12070</v>
      </c>
      <c r="Z651" s="49">
        <v>15</v>
      </c>
      <c r="AA651" s="49">
        <v>6</v>
      </c>
    </row>
    <row r="652" spans="1:27" ht="15.75" customHeight="1">
      <c r="A652" s="94"/>
      <c r="B652" s="94"/>
      <c r="C652" s="30" t="s">
        <v>128</v>
      </c>
      <c r="D652" s="16">
        <v>25175.84</v>
      </c>
      <c r="E652" s="16">
        <v>25125.93</v>
      </c>
      <c r="F652" s="16">
        <v>25256.25</v>
      </c>
      <c r="G652" s="16">
        <v>25167.11</v>
      </c>
      <c r="H652" s="16">
        <v>25336.799999999999</v>
      </c>
      <c r="I652" s="16">
        <v>25122.07</v>
      </c>
      <c r="J652" s="16">
        <v>25116.959999999999</v>
      </c>
      <c r="K652" s="16">
        <v>25134.22</v>
      </c>
      <c r="L652" s="16">
        <v>22899.599999999999</v>
      </c>
      <c r="M652" s="31"/>
      <c r="N652" s="31"/>
      <c r="O652" s="31"/>
      <c r="P652" s="31"/>
      <c r="Q652" s="31"/>
      <c r="R652" s="32"/>
      <c r="S652" s="33"/>
      <c r="T652" s="55"/>
      <c r="V652" s="47"/>
      <c r="W652" s="47"/>
      <c r="X652" s="48"/>
      <c r="Y652" s="48"/>
      <c r="Z652" s="49"/>
      <c r="AA652" s="49"/>
    </row>
    <row r="653" spans="1:27" ht="16.5" customHeight="1" thickBot="1">
      <c r="A653" s="94"/>
      <c r="B653" s="94"/>
      <c r="C653" s="34" t="s">
        <v>129</v>
      </c>
      <c r="D653" s="35">
        <f>IF(((D651="")*AND(D652="")),"",(D651-D652)*3)</f>
        <v>11052.089999999997</v>
      </c>
      <c r="E653" s="35">
        <f t="shared" ref="E653:L653" si="213">IF(((E651="")*AND(E652="")),"",(E651-E652)*3)</f>
        <v>11168.04</v>
      </c>
      <c r="F653" s="35">
        <f t="shared" si="213"/>
        <v>10923.180000000004</v>
      </c>
      <c r="G653" s="35">
        <f t="shared" si="213"/>
        <v>10977.75</v>
      </c>
      <c r="H653" s="35">
        <f t="shared" si="213"/>
        <v>10680.330000000002</v>
      </c>
      <c r="I653" s="35">
        <f t="shared" si="213"/>
        <v>11280.899999999998</v>
      </c>
      <c r="J653" s="35">
        <f t="shared" si="213"/>
        <v>11144.669999999998</v>
      </c>
      <c r="K653" s="35">
        <f t="shared" si="213"/>
        <v>11123.279999999995</v>
      </c>
      <c r="L653" s="35">
        <f t="shared" si="213"/>
        <v>11381.280000000006</v>
      </c>
      <c r="M653" s="36"/>
      <c r="N653" s="36"/>
      <c r="O653" s="36"/>
      <c r="P653" s="36"/>
      <c r="Q653" s="36"/>
      <c r="R653" s="37"/>
      <c r="S653" s="38"/>
      <c r="T653" s="56"/>
      <c r="U653" s="51"/>
      <c r="V653" s="50"/>
      <c r="W653" s="50"/>
      <c r="X653" s="51"/>
      <c r="Y653" s="51"/>
      <c r="Z653" s="52"/>
      <c r="AA653" s="52"/>
    </row>
    <row r="654" spans="1:27">
      <c r="A654" s="95">
        <v>43437</v>
      </c>
      <c r="B654" s="115" t="s">
        <v>429</v>
      </c>
      <c r="C654" s="26" t="s">
        <v>126</v>
      </c>
      <c r="D654" s="16">
        <v>28843.4</v>
      </c>
      <c r="E654" s="16">
        <v>28769.94</v>
      </c>
      <c r="F654" s="16">
        <v>28776.400000000001</v>
      </c>
      <c r="G654" s="16">
        <v>28754.43</v>
      </c>
      <c r="H654" s="16">
        <v>28826.59</v>
      </c>
      <c r="I654" s="16">
        <v>28837.65</v>
      </c>
      <c r="J654" s="16">
        <v>28753.22</v>
      </c>
      <c r="K654" s="16">
        <v>28752.35</v>
      </c>
      <c r="L654" s="16">
        <v>28827.63</v>
      </c>
      <c r="M654" s="27">
        <f>IF((L655=""),"",MAX(D656:L656))</f>
        <v>10962.839999999997</v>
      </c>
      <c r="N654" s="27">
        <f>IF(L655="","",MIN(D656:L656))</f>
        <v>10162.050000000007</v>
      </c>
      <c r="O654" s="27">
        <f>IF((L656=""),"",AVERAGE(D656:L656))</f>
        <v>10671.426666666666</v>
      </c>
      <c r="P654" s="27">
        <f>IF((L655=""),"",STDEV(D656:L656))</f>
        <v>236.14470976496119</v>
      </c>
      <c r="Q654" s="168">
        <f>IF((L655=""),"",((M654-N654)/(M654+P654))*100)</f>
        <v>7.1505589189861194</v>
      </c>
      <c r="R654" s="28" t="str">
        <f>IF(L655="","",IF(Q654&lt;Z654,IF(N654&gt;V654,IF(M654&lt;W654,"Pass","Fail"),"Fail"),"Fail"))</f>
        <v>Pass</v>
      </c>
      <c r="S654" s="29">
        <v>64</v>
      </c>
      <c r="T654" s="54"/>
      <c r="U654" s="40"/>
      <c r="V654" s="53">
        <v>10000</v>
      </c>
      <c r="W654" s="22">
        <v>15600</v>
      </c>
      <c r="X654" s="40">
        <v>8090</v>
      </c>
      <c r="Y654" s="40">
        <v>12070</v>
      </c>
      <c r="Z654" s="49">
        <v>15</v>
      </c>
      <c r="AA654" s="49">
        <v>6</v>
      </c>
    </row>
    <row r="655" spans="1:27" ht="15.75" customHeight="1">
      <c r="A655" s="94"/>
      <c r="B655" s="94"/>
      <c r="C655" s="30" t="s">
        <v>128</v>
      </c>
      <c r="D655" s="16">
        <v>25456.05</v>
      </c>
      <c r="E655" s="16">
        <v>25256.9</v>
      </c>
      <c r="F655" s="16">
        <v>25269.75</v>
      </c>
      <c r="G655" s="16">
        <v>25146.68</v>
      </c>
      <c r="H655" s="16">
        <v>25172.31</v>
      </c>
      <c r="I655" s="16">
        <v>25226.83</v>
      </c>
      <c r="J655" s="16">
        <v>25170.06</v>
      </c>
      <c r="K655" s="16">
        <v>25178.58</v>
      </c>
      <c r="L655" s="16">
        <v>25250.17</v>
      </c>
      <c r="M655" s="31"/>
      <c r="N655" s="31"/>
      <c r="O655" s="31"/>
      <c r="P655" s="31"/>
      <c r="Q655" s="31"/>
      <c r="R655" s="32"/>
      <c r="S655" s="33"/>
      <c r="T655" s="55"/>
      <c r="V655" s="47"/>
      <c r="W655" s="47"/>
      <c r="X655" s="48"/>
      <c r="Y655" s="48"/>
      <c r="Z655" s="49"/>
      <c r="AA655" s="49"/>
    </row>
    <row r="656" spans="1:27" ht="16.5" customHeight="1" thickBot="1">
      <c r="A656" s="94"/>
      <c r="B656" s="94"/>
      <c r="C656" s="34" t="s">
        <v>129</v>
      </c>
      <c r="D656" s="35">
        <f>IF(((D654="")*AND(D655="")),"",(D654-D655)*3)</f>
        <v>10162.050000000007</v>
      </c>
      <c r="E656" s="35">
        <f t="shared" ref="E656:L656" si="214">IF(((E654="")*AND(E655="")),"",(E654-E655)*3)</f>
        <v>10539.119999999992</v>
      </c>
      <c r="F656" s="35">
        <f t="shared" si="214"/>
        <v>10519.950000000004</v>
      </c>
      <c r="G656" s="35">
        <f t="shared" si="214"/>
        <v>10823.25</v>
      </c>
      <c r="H656" s="35">
        <f t="shared" si="214"/>
        <v>10962.839999999997</v>
      </c>
      <c r="I656" s="35">
        <f t="shared" si="214"/>
        <v>10832.46</v>
      </c>
      <c r="J656" s="35">
        <f t="shared" si="214"/>
        <v>10749.48</v>
      </c>
      <c r="K656" s="35">
        <f t="shared" si="214"/>
        <v>10721.30999999999</v>
      </c>
      <c r="L656" s="35">
        <f t="shared" si="214"/>
        <v>10732.380000000008</v>
      </c>
      <c r="M656" s="36"/>
      <c r="N656" s="36"/>
      <c r="O656" s="36"/>
      <c r="P656" s="36"/>
      <c r="Q656" s="36"/>
      <c r="R656" s="37"/>
      <c r="S656" s="38"/>
      <c r="T656" s="56"/>
      <c r="U656" s="51"/>
      <c r="V656" s="50"/>
      <c r="W656" s="50"/>
      <c r="X656" s="51"/>
      <c r="Y656" s="51"/>
      <c r="Z656" s="52"/>
      <c r="AA656" s="52"/>
    </row>
    <row r="657" spans="1:27">
      <c r="A657" s="95">
        <v>43438</v>
      </c>
      <c r="B657" s="115" t="s">
        <v>429</v>
      </c>
      <c r="C657" s="26" t="s">
        <v>126</v>
      </c>
      <c r="D657" s="16">
        <v>28887.91</v>
      </c>
      <c r="E657" s="16">
        <v>28803.200000000001</v>
      </c>
      <c r="F657" s="16">
        <v>28805.5</v>
      </c>
      <c r="G657" s="16">
        <v>28801.53</v>
      </c>
      <c r="H657" s="16">
        <v>28886.25</v>
      </c>
      <c r="I657" s="16">
        <v>28873.24</v>
      </c>
      <c r="J657" s="16">
        <v>28800.84</v>
      </c>
      <c r="K657" s="16">
        <v>28796.2</v>
      </c>
      <c r="L657" s="16">
        <v>28902.42</v>
      </c>
      <c r="M657" s="27">
        <f>IF((L658=""),"",MAX(D659:L659))</f>
        <v>11515.379999999997</v>
      </c>
      <c r="N657" s="27">
        <f>IF(L658="","",MIN(D659:L659))</f>
        <v>10728.450000000004</v>
      </c>
      <c r="O657" s="27">
        <f>IF((L659=""),"",AVERAGE(D659:L659))</f>
        <v>11248.793333333331</v>
      </c>
      <c r="P657" s="27">
        <f>IF((L658=""),"",STDEV(D659:L659))</f>
        <v>230.92151220707305</v>
      </c>
      <c r="Q657" s="168">
        <f>IF((L658=""),"",((M657-N657)/(M657+P657))*100)</f>
        <v>6.6993853272214601</v>
      </c>
      <c r="R657" s="28" t="str">
        <f>IF(L658="","",IF(Q657&lt;Z657,IF(N657&gt;V657,IF(M657&lt;W657,"Pass","Fail"),"Fail"),"Fail"))</f>
        <v>Pass</v>
      </c>
      <c r="S657" s="29">
        <v>1159</v>
      </c>
      <c r="U657" s="54" t="s">
        <v>246</v>
      </c>
      <c r="V657" s="53">
        <v>10000</v>
      </c>
      <c r="W657" s="22">
        <v>15600</v>
      </c>
      <c r="X657" s="40">
        <v>8090</v>
      </c>
      <c r="Y657" s="40">
        <v>12070</v>
      </c>
      <c r="Z657" s="49">
        <v>15</v>
      </c>
      <c r="AA657" s="49">
        <v>6</v>
      </c>
    </row>
    <row r="658" spans="1:27" ht="15.75" customHeight="1">
      <c r="A658" s="94"/>
      <c r="B658" s="94"/>
      <c r="C658" s="30" t="s">
        <v>128</v>
      </c>
      <c r="D658" s="16">
        <v>25311.759999999998</v>
      </c>
      <c r="E658" s="16">
        <v>25090.21</v>
      </c>
      <c r="F658" s="16">
        <v>25102.13</v>
      </c>
      <c r="G658" s="16">
        <v>25007.33</v>
      </c>
      <c r="H658" s="16">
        <v>25047.79</v>
      </c>
      <c r="I658" s="16">
        <v>25097.74</v>
      </c>
      <c r="J658" s="16">
        <v>25027.4</v>
      </c>
      <c r="K658" s="16">
        <v>25014.720000000001</v>
      </c>
      <c r="L658" s="16">
        <v>25111.63</v>
      </c>
      <c r="M658" s="31"/>
      <c r="N658" s="31"/>
      <c r="O658" s="31"/>
      <c r="P658" s="31"/>
      <c r="Q658" s="31"/>
      <c r="R658" s="32"/>
      <c r="S658" s="33"/>
      <c r="T658" s="55"/>
      <c r="V658" s="47"/>
      <c r="W658" s="47"/>
      <c r="X658" s="48"/>
      <c r="Y658" s="48"/>
      <c r="Z658" s="49"/>
      <c r="AA658" s="49"/>
    </row>
    <row r="659" spans="1:27" ht="16.5" customHeight="1" thickBot="1">
      <c r="A659" s="94"/>
      <c r="B659" s="94"/>
      <c r="C659" s="34" t="s">
        <v>129</v>
      </c>
      <c r="D659" s="35">
        <f>IF(((D657="")*AND(D658="")),"",(D657-D658)*3)</f>
        <v>10728.450000000004</v>
      </c>
      <c r="E659" s="35">
        <f t="shared" ref="E659:L659" si="215">IF(((E657="")*AND(E658="")),"",(E657-E658)*3)</f>
        <v>11138.970000000005</v>
      </c>
      <c r="F659" s="35">
        <f t="shared" si="215"/>
        <v>11110.109999999997</v>
      </c>
      <c r="G659" s="35">
        <f t="shared" si="215"/>
        <v>11382.599999999991</v>
      </c>
      <c r="H659" s="35">
        <f t="shared" si="215"/>
        <v>11515.379999999997</v>
      </c>
      <c r="I659" s="35">
        <f t="shared" si="215"/>
        <v>11326.5</v>
      </c>
      <c r="J659" s="35">
        <f t="shared" si="215"/>
        <v>11320.319999999996</v>
      </c>
      <c r="K659" s="35">
        <f t="shared" si="215"/>
        <v>11344.439999999999</v>
      </c>
      <c r="L659" s="35">
        <f t="shared" si="215"/>
        <v>11372.369999999992</v>
      </c>
      <c r="M659" s="36"/>
      <c r="N659" s="36"/>
      <c r="O659" s="36"/>
      <c r="P659" s="36"/>
      <c r="Q659" s="36"/>
      <c r="R659" s="37"/>
      <c r="S659" s="38"/>
      <c r="T659" s="56"/>
      <c r="U659" s="51"/>
      <c r="V659" s="50"/>
      <c r="W659" s="50"/>
      <c r="X659" s="51"/>
      <c r="Y659" s="51"/>
      <c r="Z659" s="52"/>
      <c r="AA659" s="52"/>
    </row>
    <row r="660" spans="1:27">
      <c r="A660" s="95">
        <v>43448</v>
      </c>
      <c r="B660" s="115" t="s">
        <v>429</v>
      </c>
      <c r="C660" s="26" t="s">
        <v>126</v>
      </c>
      <c r="D660" s="16">
        <v>28988</v>
      </c>
      <c r="E660" s="16">
        <v>28792</v>
      </c>
      <c r="F660" s="16">
        <v>28797</v>
      </c>
      <c r="G660" s="16">
        <v>28801</v>
      </c>
      <c r="H660" s="16">
        <v>28974</v>
      </c>
      <c r="I660" s="16">
        <v>29011</v>
      </c>
      <c r="J660" s="16">
        <v>28810</v>
      </c>
      <c r="K660" s="16">
        <v>28795</v>
      </c>
      <c r="L660" s="16">
        <v>29012</v>
      </c>
      <c r="M660" s="27">
        <f>IF((L661=""),"",MAX(D662:L662))</f>
        <v>10374</v>
      </c>
      <c r="N660" s="27">
        <f>IF(L661="","",MIN(D662:L662))</f>
        <v>9366</v>
      </c>
      <c r="O660" s="27">
        <f>IF((L662=""),"",AVERAGE(D662:L662))</f>
        <v>10074.666666666666</v>
      </c>
      <c r="P660" s="27">
        <f>IF((L661=""),"",STDEV(D662:L662))</f>
        <v>307.75152314813977</v>
      </c>
      <c r="Q660" s="168">
        <f>IF((L661=""),"",((M660-N660)/(M660+P660))*100)</f>
        <v>9.4366546330495513</v>
      </c>
      <c r="R660" s="28" t="str">
        <f>IF(L661="","",IF(Q660&lt;Z660,IF(N660&gt;V660,IF(M660&lt;W660,"Pass","Fail"),"Fail"),"Fail"))</f>
        <v>Fail</v>
      </c>
      <c r="S660" s="29">
        <v>121</v>
      </c>
      <c r="T660" s="54"/>
      <c r="U660" s="40"/>
      <c r="V660" s="53">
        <v>10000</v>
      </c>
      <c r="W660" s="22">
        <v>15600</v>
      </c>
      <c r="X660" s="40">
        <v>8090</v>
      </c>
      <c r="Y660" s="40">
        <v>12070</v>
      </c>
      <c r="Z660" s="49">
        <v>15</v>
      </c>
      <c r="AA660" s="49">
        <v>6</v>
      </c>
    </row>
    <row r="661" spans="1:27" ht="15.75" customHeight="1">
      <c r="A661" s="94"/>
      <c r="B661" s="94"/>
      <c r="C661" s="30" t="s">
        <v>128</v>
      </c>
      <c r="D661" s="16">
        <v>25568</v>
      </c>
      <c r="E661" s="16">
        <v>25366</v>
      </c>
      <c r="F661" s="16">
        <v>25465</v>
      </c>
      <c r="G661" s="16">
        <v>25483</v>
      </c>
      <c r="H661" s="16">
        <v>25852</v>
      </c>
      <c r="I661" s="16">
        <v>25553</v>
      </c>
      <c r="J661" s="16">
        <v>25400</v>
      </c>
      <c r="K661" s="16">
        <v>25377</v>
      </c>
      <c r="L661" s="16">
        <v>25692</v>
      </c>
      <c r="M661" s="31"/>
      <c r="N661" s="31"/>
      <c r="O661" s="31"/>
      <c r="P661" s="31"/>
      <c r="Q661" s="31"/>
      <c r="R661" s="32"/>
      <c r="S661" s="33"/>
      <c r="T661" s="55"/>
      <c r="V661" s="47"/>
      <c r="W661" s="47"/>
      <c r="X661" s="48"/>
      <c r="Y661" s="48"/>
      <c r="Z661" s="49"/>
      <c r="AA661" s="49"/>
    </row>
    <row r="662" spans="1:27" ht="16.5" customHeight="1" thickBot="1">
      <c r="A662" s="94"/>
      <c r="B662" s="94"/>
      <c r="C662" s="34" t="s">
        <v>129</v>
      </c>
      <c r="D662" s="35">
        <f>IF(((D660="")*AND(D661="")),"",(D660-D661)*3)</f>
        <v>10260</v>
      </c>
      <c r="E662" s="35">
        <f t="shared" ref="E662:L662" si="216">IF(((E660="")*AND(E661="")),"",(E660-E661)*3)</f>
        <v>10278</v>
      </c>
      <c r="F662" s="35">
        <f t="shared" si="216"/>
        <v>9996</v>
      </c>
      <c r="G662" s="35">
        <f t="shared" si="216"/>
        <v>9954</v>
      </c>
      <c r="H662" s="35">
        <f t="shared" si="216"/>
        <v>9366</v>
      </c>
      <c r="I662" s="35">
        <f t="shared" si="216"/>
        <v>10374</v>
      </c>
      <c r="J662" s="35">
        <f t="shared" si="216"/>
        <v>10230</v>
      </c>
      <c r="K662" s="35">
        <f t="shared" si="216"/>
        <v>10254</v>
      </c>
      <c r="L662" s="35">
        <f t="shared" si="216"/>
        <v>9960</v>
      </c>
      <c r="M662" s="36"/>
      <c r="N662" s="36"/>
      <c r="O662" s="36"/>
      <c r="P662" s="36"/>
      <c r="Q662" s="36"/>
      <c r="R662" s="37"/>
      <c r="S662" s="38"/>
      <c r="T662" s="56"/>
      <c r="U662" s="51"/>
      <c r="V662" s="50"/>
      <c r="W662" s="50"/>
      <c r="X662" s="51"/>
      <c r="Y662" s="51"/>
      <c r="Z662" s="52"/>
      <c r="AA662" s="52"/>
    </row>
    <row r="663" spans="1:27">
      <c r="A663" s="95">
        <v>43448</v>
      </c>
      <c r="B663" s="115" t="s">
        <v>429</v>
      </c>
      <c r="C663" s="26" t="s">
        <v>126</v>
      </c>
      <c r="D663" s="16">
        <v>28818.18</v>
      </c>
      <c r="E663" s="16">
        <v>28752.62</v>
      </c>
      <c r="F663" s="16">
        <v>28806.22</v>
      </c>
      <c r="G663" s="16">
        <v>28756.22</v>
      </c>
      <c r="H663" s="16">
        <v>28833.86</v>
      </c>
      <c r="I663" s="16">
        <v>28824.57</v>
      </c>
      <c r="J663" s="16">
        <v>28749.7</v>
      </c>
      <c r="K663" s="16">
        <v>28744.57</v>
      </c>
      <c r="L663" s="16">
        <v>28817.05</v>
      </c>
      <c r="M663" s="27">
        <f>IF((L664=""),"",MAX(D665:L665))</f>
        <v>10975.410000000003</v>
      </c>
      <c r="N663" s="27">
        <f>IF(L664="","",MIN(D665:L665))</f>
        <v>10160.550000000007</v>
      </c>
      <c r="O663" s="27">
        <f>IF((L665=""),"",AVERAGE(D665:L665))</f>
        <v>10714.690000000004</v>
      </c>
      <c r="P663" s="27">
        <f>IF((L664=""),"",STDEV(D665:L665))</f>
        <v>248.18836047439578</v>
      </c>
      <c r="Q663" s="168">
        <f>IF((L664=""),"",((M663-N663)/(M663+P663))*100)</f>
        <v>7.2602384175617845</v>
      </c>
      <c r="R663" s="28" t="str">
        <f>IF(L664="","",IF(Q663&lt;Z663,IF(N663&gt;V663,IF(M663&lt;W663,"Pass","Fail"),"Fail"),"Fail"))</f>
        <v>Pass</v>
      </c>
      <c r="S663" s="29">
        <v>121</v>
      </c>
      <c r="T663" s="54" t="s">
        <v>247</v>
      </c>
      <c r="U663" s="40"/>
      <c r="V663" s="53">
        <v>10000</v>
      </c>
      <c r="W663" s="22">
        <v>15600</v>
      </c>
      <c r="X663" s="40">
        <v>8090</v>
      </c>
      <c r="Y663" s="40">
        <v>12070</v>
      </c>
      <c r="Z663" s="49">
        <v>15</v>
      </c>
      <c r="AA663" s="49">
        <v>6</v>
      </c>
    </row>
    <row r="664" spans="1:27" ht="15.75" customHeight="1">
      <c r="A664" s="94"/>
      <c r="B664" s="94"/>
      <c r="C664" s="30" t="s">
        <v>128</v>
      </c>
      <c r="D664" s="16">
        <v>25159.71</v>
      </c>
      <c r="E664" s="16">
        <v>25132.28</v>
      </c>
      <c r="F664" s="16">
        <v>25282.84</v>
      </c>
      <c r="G664" s="16">
        <v>25223.96</v>
      </c>
      <c r="H664" s="16">
        <v>25447.01</v>
      </c>
      <c r="I664" s="16">
        <v>25233.89</v>
      </c>
      <c r="J664" s="16">
        <v>25173.200000000001</v>
      </c>
      <c r="K664" s="16">
        <v>25124.59</v>
      </c>
      <c r="L664" s="16">
        <v>25181.439999999999</v>
      </c>
      <c r="M664" s="31"/>
      <c r="N664" s="31"/>
      <c r="O664" s="31"/>
      <c r="P664" s="31"/>
      <c r="Q664" s="31"/>
      <c r="R664" s="32"/>
      <c r="S664" s="33"/>
      <c r="T664" s="55"/>
      <c r="V664" s="47"/>
      <c r="W664" s="47"/>
      <c r="X664" s="48"/>
      <c r="Y664" s="48"/>
      <c r="Z664" s="49"/>
      <c r="AA664" s="49"/>
    </row>
    <row r="665" spans="1:27" ht="16.5" customHeight="1" thickBot="1">
      <c r="A665" s="94"/>
      <c r="B665" s="94"/>
      <c r="C665" s="34" t="s">
        <v>129</v>
      </c>
      <c r="D665" s="35">
        <f>IF(((D663="")*AND(D664="")),"",(D663-D664)*3)</f>
        <v>10975.410000000003</v>
      </c>
      <c r="E665" s="35">
        <f t="shared" ref="E665:L665" si="217">IF(((E663="")*AND(E664="")),"",(E663-E664)*3)</f>
        <v>10861.02</v>
      </c>
      <c r="F665" s="35">
        <f t="shared" si="217"/>
        <v>10570.140000000003</v>
      </c>
      <c r="G665" s="35">
        <f t="shared" si="217"/>
        <v>10596.780000000006</v>
      </c>
      <c r="H665" s="35">
        <f t="shared" si="217"/>
        <v>10160.550000000007</v>
      </c>
      <c r="I665" s="35">
        <f t="shared" si="217"/>
        <v>10772.04</v>
      </c>
      <c r="J665" s="35">
        <f t="shared" si="217"/>
        <v>10729.5</v>
      </c>
      <c r="K665" s="35">
        <f t="shared" si="217"/>
        <v>10859.939999999999</v>
      </c>
      <c r="L665" s="35">
        <f t="shared" si="217"/>
        <v>10906.830000000002</v>
      </c>
      <c r="M665" s="36"/>
      <c r="N665" s="36"/>
      <c r="O665" s="36"/>
      <c r="P665" s="36"/>
      <c r="Q665" s="36"/>
      <c r="R665" s="37"/>
      <c r="S665" s="38"/>
      <c r="T665" s="56"/>
      <c r="U665" s="51"/>
      <c r="V665" s="50"/>
      <c r="W665" s="50"/>
      <c r="X665" s="51"/>
      <c r="Y665" s="51"/>
      <c r="Z665" s="52"/>
      <c r="AA665" s="52"/>
    </row>
    <row r="666" spans="1:27">
      <c r="A666" s="95">
        <v>43452</v>
      </c>
      <c r="B666" s="115" t="s">
        <v>429</v>
      </c>
      <c r="C666" s="26" t="s">
        <v>126</v>
      </c>
      <c r="D666" s="16">
        <v>28859.87</v>
      </c>
      <c r="E666" s="16">
        <v>28848.61</v>
      </c>
      <c r="F666" s="16">
        <v>28897.31</v>
      </c>
      <c r="G666" s="16">
        <v>28826.36</v>
      </c>
      <c r="H666" s="16">
        <v>28896.91</v>
      </c>
      <c r="I666" s="16">
        <v>28882.37</v>
      </c>
      <c r="J666" s="16">
        <v>28831.85</v>
      </c>
      <c r="K666" s="16">
        <v>28841.98</v>
      </c>
      <c r="L666" s="16">
        <v>26693.360000000001</v>
      </c>
      <c r="M666" s="27">
        <f>IF((L667=""),"",MAX(D668:L668))</f>
        <v>11524.23</v>
      </c>
      <c r="N666" s="27">
        <f>IF(L667="","",MIN(D668:L668))</f>
        <v>4701.6899999999987</v>
      </c>
      <c r="O666" s="27">
        <f>IF((L668=""),"",AVERAGE(D668:L668))</f>
        <v>10579.153333333332</v>
      </c>
      <c r="P666" s="27">
        <f>IF((L667=""),"",STDEV(D668:L668))</f>
        <v>2215.7265399130338</v>
      </c>
      <c r="Q666" s="168">
        <f>IF((L667=""),"",((M666-N666)/(M666+P666))*100)</f>
        <v>49.654742212475618</v>
      </c>
      <c r="R666" s="28" t="str">
        <f>IF(L667="","",IF(Q666&lt;Z666,IF(N666&gt;V666,IF(M666&lt;W666,"Pass","Fail"),"Fail"),"Fail"))</f>
        <v>Fail</v>
      </c>
      <c r="S666" s="29">
        <v>121</v>
      </c>
      <c r="T666" s="54" t="s">
        <v>247</v>
      </c>
      <c r="U666" s="40"/>
      <c r="V666" s="53">
        <v>10000</v>
      </c>
      <c r="W666" s="22">
        <v>15600</v>
      </c>
      <c r="X666" s="40">
        <v>8090</v>
      </c>
      <c r="Y666" s="40">
        <v>12070</v>
      </c>
      <c r="Z666" s="49">
        <v>15</v>
      </c>
      <c r="AA666" s="49">
        <v>6</v>
      </c>
    </row>
    <row r="667" spans="1:27" ht="15.75" customHeight="1">
      <c r="A667" s="94"/>
      <c r="B667" s="94"/>
      <c r="C667" s="30" t="s">
        <v>128</v>
      </c>
      <c r="D667" s="16">
        <v>25274.639999999999</v>
      </c>
      <c r="E667" s="16">
        <v>25087.54</v>
      </c>
      <c r="F667" s="16">
        <v>25149.27</v>
      </c>
      <c r="G667" s="16">
        <v>25020.799999999999</v>
      </c>
      <c r="H667" s="16">
        <v>25055.5</v>
      </c>
      <c r="I667" s="16">
        <v>25064.43</v>
      </c>
      <c r="J667" s="16">
        <v>25028.400000000001</v>
      </c>
      <c r="K667" s="16">
        <v>25034.45</v>
      </c>
      <c r="L667" s="16">
        <v>25126.13</v>
      </c>
      <c r="M667" s="31"/>
      <c r="N667" s="31"/>
      <c r="O667" s="31"/>
      <c r="P667" s="31"/>
      <c r="Q667" s="31"/>
      <c r="R667" s="32"/>
      <c r="S667" s="33"/>
      <c r="T667" s="55"/>
      <c r="V667" s="47"/>
      <c r="W667" s="47"/>
      <c r="X667" s="48"/>
      <c r="Y667" s="48"/>
      <c r="Z667" s="49"/>
      <c r="AA667" s="49"/>
    </row>
    <row r="668" spans="1:27" ht="16.5" customHeight="1" thickBot="1">
      <c r="A668" s="94"/>
      <c r="B668" s="94"/>
      <c r="C668" s="34" t="s">
        <v>129</v>
      </c>
      <c r="D668" s="35">
        <f>IF(((D666="")*AND(D667="")),"",(D666-D667)*3)</f>
        <v>10755.689999999999</v>
      </c>
      <c r="E668" s="35">
        <f t="shared" ref="E668:L668" si="218">IF(((E666="")*AND(E667="")),"",(E666-E667)*3)</f>
        <v>11283.21</v>
      </c>
      <c r="F668" s="35">
        <f t="shared" si="218"/>
        <v>11244.120000000003</v>
      </c>
      <c r="G668" s="35">
        <f t="shared" si="218"/>
        <v>11416.680000000004</v>
      </c>
      <c r="H668" s="35">
        <f t="shared" si="218"/>
        <v>11524.23</v>
      </c>
      <c r="I668" s="35">
        <f t="shared" si="218"/>
        <v>11453.819999999996</v>
      </c>
      <c r="J668" s="35">
        <f t="shared" si="218"/>
        <v>11410.349999999991</v>
      </c>
      <c r="K668" s="35">
        <f t="shared" si="218"/>
        <v>11422.589999999997</v>
      </c>
      <c r="L668" s="35">
        <f t="shared" si="218"/>
        <v>4701.6899999999987</v>
      </c>
      <c r="M668" s="36"/>
      <c r="N668" s="36"/>
      <c r="O668" s="36"/>
      <c r="P668" s="36"/>
      <c r="Q668" s="36"/>
      <c r="R668" s="37"/>
      <c r="S668" s="38"/>
      <c r="T668" s="56"/>
      <c r="U668" s="51"/>
      <c r="V668" s="50"/>
      <c r="W668" s="50"/>
      <c r="X668" s="51"/>
      <c r="Y668" s="51"/>
      <c r="Z668" s="52"/>
      <c r="AA668" s="52"/>
    </row>
    <row r="669" spans="1:27">
      <c r="A669" s="95">
        <v>43452</v>
      </c>
      <c r="B669" s="115" t="s">
        <v>429</v>
      </c>
      <c r="C669" s="26" t="s">
        <v>126</v>
      </c>
      <c r="D669" s="16">
        <v>28856.03</v>
      </c>
      <c r="E669" s="16">
        <v>28795.93</v>
      </c>
      <c r="F669" s="16">
        <v>28842.86</v>
      </c>
      <c r="G669" s="16">
        <v>28801.97</v>
      </c>
      <c r="H669" s="16">
        <v>28871.26</v>
      </c>
      <c r="I669" s="16">
        <v>28850.87</v>
      </c>
      <c r="J669" s="16">
        <v>28786.84</v>
      </c>
      <c r="K669" s="16">
        <v>28787.21</v>
      </c>
      <c r="L669" s="16">
        <v>28856.560000000001</v>
      </c>
      <c r="M669" s="27">
        <f>IF((L670=""),"",MAX(D671:L671))</f>
        <v>11447.279999999995</v>
      </c>
      <c r="N669" s="27">
        <f>IF(L670="","",MIN(D671:L671))</f>
        <v>10744.169999999998</v>
      </c>
      <c r="O669" s="27">
        <f>IF((L671=""),"",AVERAGE(D671:L671))</f>
        <v>11202.789999999999</v>
      </c>
      <c r="P669" s="27">
        <f>IF((L670=""),"",STDEV(D671:L671))</f>
        <v>207.30326806404244</v>
      </c>
      <c r="Q669" s="168">
        <f>IF((L670=""),"",((M669-N669)/(M669+P669))*100)</f>
        <v>6.0329055430635892</v>
      </c>
      <c r="R669" s="28" t="str">
        <f>IF(L670="","",IF(Q669&lt;Z669,IF(N669&gt;V669,IF(M669&lt;W669,"Pass","Fail"),"Fail"),"Fail"))</f>
        <v>Pass</v>
      </c>
      <c r="S669" s="29">
        <v>1428</v>
      </c>
      <c r="T669" s="54" t="s">
        <v>248</v>
      </c>
      <c r="U669" s="40"/>
      <c r="V669" s="53">
        <v>10000</v>
      </c>
      <c r="W669" s="22">
        <v>15600</v>
      </c>
      <c r="X669" s="40">
        <v>8090</v>
      </c>
      <c r="Y669" s="40">
        <v>12070</v>
      </c>
      <c r="Z669" s="49">
        <v>15</v>
      </c>
      <c r="AA669" s="49">
        <v>6</v>
      </c>
    </row>
    <row r="670" spans="1:27" ht="15.75" customHeight="1">
      <c r="A670" s="94"/>
      <c r="B670" s="94"/>
      <c r="C670" s="30" t="s">
        <v>128</v>
      </c>
      <c r="D670" s="16">
        <v>25274.639999999999</v>
      </c>
      <c r="E670" s="16">
        <v>25087.54</v>
      </c>
      <c r="F670" s="16">
        <v>25149.27</v>
      </c>
      <c r="G670" s="16">
        <v>25020.799999999999</v>
      </c>
      <c r="H670" s="16">
        <v>25055.5</v>
      </c>
      <c r="I670" s="16">
        <v>25064.43</v>
      </c>
      <c r="J670" s="16">
        <v>25028.400000000001</v>
      </c>
      <c r="K670" s="16">
        <v>25034.45</v>
      </c>
      <c r="L670" s="16">
        <v>25126.13</v>
      </c>
      <c r="M670" s="31"/>
      <c r="N670" s="31"/>
      <c r="O670" s="31"/>
      <c r="P670" s="31"/>
      <c r="Q670" s="31"/>
      <c r="R670" s="32"/>
      <c r="S670" s="33"/>
      <c r="T670" s="55"/>
      <c r="V670" s="47"/>
      <c r="W670" s="47"/>
      <c r="X670" s="48"/>
      <c r="Y670" s="48"/>
      <c r="Z670" s="49"/>
      <c r="AA670" s="49"/>
    </row>
    <row r="671" spans="1:27" ht="16.5" customHeight="1" thickBot="1">
      <c r="A671" s="94"/>
      <c r="B671" s="94"/>
      <c r="C671" s="34" t="s">
        <v>129</v>
      </c>
      <c r="D671" s="35">
        <f>IF(((D669="")*AND(D670="")),"",(D669-D670)*3)</f>
        <v>10744.169999999998</v>
      </c>
      <c r="E671" s="35">
        <f t="shared" ref="E671:L671" si="219">IF(((E669="")*AND(E670="")),"",(E669-E670)*3)</f>
        <v>11125.169999999998</v>
      </c>
      <c r="F671" s="35">
        <f t="shared" si="219"/>
        <v>11080.77</v>
      </c>
      <c r="G671" s="35">
        <f t="shared" si="219"/>
        <v>11343.510000000006</v>
      </c>
      <c r="H671" s="35">
        <f t="shared" si="219"/>
        <v>11447.279999999995</v>
      </c>
      <c r="I671" s="35">
        <f t="shared" si="219"/>
        <v>11359.319999999996</v>
      </c>
      <c r="J671" s="35">
        <f t="shared" si="219"/>
        <v>11275.319999999996</v>
      </c>
      <c r="K671" s="35">
        <f t="shared" si="219"/>
        <v>11258.279999999995</v>
      </c>
      <c r="L671" s="35">
        <f t="shared" si="219"/>
        <v>11191.29</v>
      </c>
      <c r="M671" s="36"/>
      <c r="N671" s="36"/>
      <c r="O671" s="36"/>
      <c r="P671" s="36"/>
      <c r="Q671" s="36"/>
      <c r="R671" s="37"/>
      <c r="S671" s="38"/>
      <c r="T671" s="56"/>
      <c r="U671" s="51"/>
      <c r="V671" s="50"/>
      <c r="W671" s="50"/>
      <c r="X671" s="51"/>
      <c r="Y671" s="51"/>
      <c r="Z671" s="52"/>
      <c r="AA671" s="52"/>
    </row>
    <row r="672" spans="1:27">
      <c r="A672" s="95">
        <v>43458</v>
      </c>
      <c r="B672" s="115" t="s">
        <v>429</v>
      </c>
      <c r="C672" s="26" t="s">
        <v>126</v>
      </c>
      <c r="D672" s="16">
        <v>29109</v>
      </c>
      <c r="E672" s="16">
        <v>28896</v>
      </c>
      <c r="F672" s="16">
        <v>28876</v>
      </c>
      <c r="G672" s="16">
        <v>28888</v>
      </c>
      <c r="H672" s="16">
        <v>29092</v>
      </c>
      <c r="I672" s="16">
        <v>29090</v>
      </c>
      <c r="J672" s="16">
        <v>28890</v>
      </c>
      <c r="K672" s="16">
        <v>28879</v>
      </c>
      <c r="L672" s="16">
        <v>29071</v>
      </c>
      <c r="M672" s="27">
        <f>IF((L673=""),"",MAX(D674:L674))</f>
        <v>11463</v>
      </c>
      <c r="N672" s="27">
        <f>IF(L673="","",MIN(D674:L674))</f>
        <v>10599</v>
      </c>
      <c r="O672" s="27">
        <f>IF((L674=""),"",AVERAGE(D674:L674))</f>
        <v>11136</v>
      </c>
      <c r="P672" s="27">
        <f>IF((L673=""),"",STDEV(D674:L674))</f>
        <v>261.57264765261675</v>
      </c>
      <c r="Q672" s="168">
        <f>IF((L673=""),"",((M672-N672)/(M672+P672))*100)</f>
        <v>7.369138526110647</v>
      </c>
      <c r="R672" s="28" t="str">
        <f>IF(L673="","",IF(Q672&lt;Z672,IF(N672&gt;V672,IF(M672&lt;W672,"Pass","Fail"),"Fail"),"Fail"))</f>
        <v>Pass</v>
      </c>
      <c r="S672" s="29">
        <v>1340</v>
      </c>
      <c r="T672" s="54"/>
      <c r="U672" s="40"/>
      <c r="V672" s="53">
        <v>10000</v>
      </c>
      <c r="W672" s="22">
        <v>15600</v>
      </c>
      <c r="X672" s="40">
        <v>8090</v>
      </c>
      <c r="Y672" s="40">
        <v>12070</v>
      </c>
      <c r="Z672" s="49">
        <v>15</v>
      </c>
      <c r="AA672" s="49">
        <v>6</v>
      </c>
    </row>
    <row r="673" spans="1:27" ht="15.75" customHeight="1">
      <c r="A673" s="94"/>
      <c r="B673" s="94"/>
      <c r="C673" s="30" t="s">
        <v>128</v>
      </c>
      <c r="D673" s="16">
        <v>25288</v>
      </c>
      <c r="E673" s="16">
        <v>25094</v>
      </c>
      <c r="F673" s="16">
        <v>25228</v>
      </c>
      <c r="G673" s="16">
        <v>25168</v>
      </c>
      <c r="H673" s="16">
        <v>25355</v>
      </c>
      <c r="I673" s="16">
        <v>25403</v>
      </c>
      <c r="J673" s="16">
        <v>25123</v>
      </c>
      <c r="K673" s="16">
        <v>25186</v>
      </c>
      <c r="L673" s="16">
        <v>25538</v>
      </c>
      <c r="M673" s="31"/>
      <c r="N673" s="31"/>
      <c r="O673" s="31"/>
      <c r="P673" s="31"/>
      <c r="Q673" s="31"/>
      <c r="R673" s="32"/>
      <c r="S673" s="33"/>
      <c r="T673" s="55"/>
      <c r="V673" s="47"/>
      <c r="W673" s="47"/>
      <c r="X673" s="48"/>
      <c r="Y673" s="48"/>
      <c r="Z673" s="49"/>
      <c r="AA673" s="49"/>
    </row>
    <row r="674" spans="1:27" ht="16.5" customHeight="1" thickBot="1">
      <c r="A674" s="94"/>
      <c r="B674" s="94"/>
      <c r="C674" s="34" t="s">
        <v>129</v>
      </c>
      <c r="D674" s="35">
        <f>IF(((D672="")*AND(D673="")),"",(D672-D673)*3)</f>
        <v>11463</v>
      </c>
      <c r="E674" s="35">
        <f t="shared" ref="E674:L674" si="220">IF(((E672="")*AND(E673="")),"",(E672-E673)*3)</f>
        <v>11406</v>
      </c>
      <c r="F674" s="35">
        <f t="shared" si="220"/>
        <v>10944</v>
      </c>
      <c r="G674" s="35">
        <f t="shared" si="220"/>
        <v>11160</v>
      </c>
      <c r="H674" s="35">
        <f t="shared" si="220"/>
        <v>11211</v>
      </c>
      <c r="I674" s="35">
        <f t="shared" si="220"/>
        <v>11061</v>
      </c>
      <c r="J674" s="35">
        <f t="shared" si="220"/>
        <v>11301</v>
      </c>
      <c r="K674" s="35">
        <f t="shared" si="220"/>
        <v>11079</v>
      </c>
      <c r="L674" s="35">
        <f t="shared" si="220"/>
        <v>10599</v>
      </c>
      <c r="M674" s="36"/>
      <c r="N674" s="36"/>
      <c r="O674" s="36"/>
      <c r="P674" s="36"/>
      <c r="Q674" s="36"/>
      <c r="R674" s="37"/>
      <c r="S674" s="38"/>
      <c r="T674" s="56"/>
      <c r="U674" s="51"/>
      <c r="V674" s="50"/>
      <c r="W674" s="50"/>
      <c r="X674" s="51"/>
      <c r="Y674" s="51"/>
      <c r="Z674" s="52"/>
      <c r="AA674" s="52"/>
    </row>
    <row r="675" spans="1:27">
      <c r="A675" s="95">
        <v>43462</v>
      </c>
      <c r="B675" s="115" t="s">
        <v>429</v>
      </c>
      <c r="C675" s="26" t="s">
        <v>126</v>
      </c>
      <c r="D675" s="16">
        <v>28813.54</v>
      </c>
      <c r="E675" s="16">
        <v>28782.98</v>
      </c>
      <c r="F675" s="16">
        <v>28782.6</v>
      </c>
      <c r="G675" s="16">
        <v>28774.400000000001</v>
      </c>
      <c r="H675" s="16">
        <v>28778.65</v>
      </c>
      <c r="I675" s="16">
        <v>28819.02</v>
      </c>
      <c r="J675" s="16">
        <v>28779.05</v>
      </c>
      <c r="K675" s="16">
        <v>28769.84</v>
      </c>
      <c r="L675" s="16">
        <v>28880.28</v>
      </c>
      <c r="M675" s="27">
        <f>IF((L676=""),"",MAX(D677:L677))</f>
        <v>11685.300000000007</v>
      </c>
      <c r="N675" s="27">
        <f>IF(L676="","",MIN(D677:L677))</f>
        <v>10756.410000000003</v>
      </c>
      <c r="O675" s="27">
        <f>IF((L677=""),"",AVERAGE(D677:L677))</f>
        <v>11264.253333333334</v>
      </c>
      <c r="P675" s="27">
        <f>IF((L676=""),"",STDEV(D677:L677))</f>
        <v>290.2427888423868</v>
      </c>
      <c r="Q675" s="168">
        <f>IF((L676=""),"",((M675-N675)/(M675+P675))*100)</f>
        <v>7.7565586493954104</v>
      </c>
      <c r="R675" s="28" t="str">
        <f>IF(L676="","",IF(Q675&lt;Z675,IF(N675&gt;V675,IF(M675&lt;W675,"Pass","Fail"),"Fail"),"Fail"))</f>
        <v>Pass</v>
      </c>
      <c r="S675" s="29">
        <v>1340</v>
      </c>
      <c r="T675" s="54"/>
      <c r="U675" s="40"/>
      <c r="V675" s="53">
        <v>10000</v>
      </c>
      <c r="W675" s="22">
        <v>15600</v>
      </c>
      <c r="X675" s="40">
        <v>8090</v>
      </c>
      <c r="Y675" s="40">
        <v>12070</v>
      </c>
      <c r="Z675" s="49">
        <v>15</v>
      </c>
      <c r="AA675" s="49">
        <v>6</v>
      </c>
    </row>
    <row r="676" spans="1:27" ht="15.75" customHeight="1">
      <c r="A676" s="94"/>
      <c r="B676" s="94"/>
      <c r="C676" s="30" t="s">
        <v>128</v>
      </c>
      <c r="D676" s="16">
        <v>25228.07</v>
      </c>
      <c r="E676" s="16">
        <v>25090.93</v>
      </c>
      <c r="F676" s="16">
        <v>25102.63</v>
      </c>
      <c r="G676" s="16">
        <v>24991.16</v>
      </c>
      <c r="H676" s="16">
        <v>24883.55</v>
      </c>
      <c r="I676" s="16">
        <v>24937.55</v>
      </c>
      <c r="J676" s="16">
        <v>25024.11</v>
      </c>
      <c r="K676" s="16">
        <v>25015.63</v>
      </c>
      <c r="L676" s="16">
        <v>25113.97</v>
      </c>
      <c r="M676" s="31"/>
      <c r="N676" s="31"/>
      <c r="O676" s="31"/>
      <c r="P676" s="31"/>
      <c r="Q676" s="31"/>
      <c r="R676" s="32"/>
      <c r="S676" s="33"/>
      <c r="T676" s="55"/>
      <c r="V676" s="47"/>
      <c r="W676" s="47"/>
      <c r="X676" s="48"/>
      <c r="Y676" s="48"/>
      <c r="Z676" s="49"/>
      <c r="AA676" s="49"/>
    </row>
    <row r="677" spans="1:27" ht="16.5" customHeight="1" thickBot="1">
      <c r="A677" s="94"/>
      <c r="B677" s="94"/>
      <c r="C677" s="34" t="s">
        <v>129</v>
      </c>
      <c r="D677" s="35">
        <f>IF(((D675="")*AND(D676="")),"",(D675-D676)*3)</f>
        <v>10756.410000000003</v>
      </c>
      <c r="E677" s="35">
        <f t="shared" ref="E677:L677" si="221">IF(((E675="")*AND(E676="")),"",(E675-E676)*3)</f>
        <v>11076.149999999998</v>
      </c>
      <c r="F677" s="35">
        <f t="shared" si="221"/>
        <v>11039.909999999993</v>
      </c>
      <c r="G677" s="35">
        <f t="shared" si="221"/>
        <v>11349.720000000005</v>
      </c>
      <c r="H677" s="35">
        <f t="shared" si="221"/>
        <v>11685.300000000007</v>
      </c>
      <c r="I677" s="35">
        <f t="shared" si="221"/>
        <v>11644.410000000003</v>
      </c>
      <c r="J677" s="35">
        <f t="shared" si="221"/>
        <v>11264.819999999996</v>
      </c>
      <c r="K677" s="35">
        <f t="shared" si="221"/>
        <v>11262.629999999997</v>
      </c>
      <c r="L677" s="35">
        <f t="shared" si="221"/>
        <v>11298.929999999993</v>
      </c>
      <c r="M677" s="36"/>
      <c r="N677" s="36"/>
      <c r="O677" s="36"/>
      <c r="P677" s="36"/>
      <c r="Q677" s="36"/>
      <c r="R677" s="37"/>
      <c r="S677" s="38"/>
      <c r="T677" s="56"/>
      <c r="U677" s="51"/>
      <c r="V677" s="50"/>
      <c r="W677" s="50"/>
      <c r="X677" s="51"/>
      <c r="Y677" s="51"/>
      <c r="Z677" s="52"/>
      <c r="AA677" s="52"/>
    </row>
    <row r="678" spans="1:27">
      <c r="A678" s="95">
        <v>43466</v>
      </c>
      <c r="B678" s="115" t="s">
        <v>429</v>
      </c>
      <c r="C678" s="26" t="s">
        <v>126</v>
      </c>
      <c r="D678" s="16">
        <v>28963</v>
      </c>
      <c r="E678" s="16">
        <v>28740</v>
      </c>
      <c r="F678" s="16">
        <v>28726</v>
      </c>
      <c r="G678" s="16">
        <v>28737</v>
      </c>
      <c r="H678" s="16">
        <v>28919</v>
      </c>
      <c r="I678" s="16">
        <v>28935</v>
      </c>
      <c r="J678" s="16">
        <v>28737</v>
      </c>
      <c r="K678" s="16">
        <v>28737</v>
      </c>
      <c r="L678" s="16">
        <v>28930</v>
      </c>
      <c r="M678" s="27">
        <f>IF((L679=""),"",MAX(D680:L680))</f>
        <v>11040</v>
      </c>
      <c r="N678" s="27">
        <f>IF(L679="","",MIN(D680:L680))</f>
        <v>10017</v>
      </c>
      <c r="O678" s="27">
        <f>IF((L680=""),"",AVERAGE(D680:L680))</f>
        <v>10649.666666666666</v>
      </c>
      <c r="P678" s="27">
        <f>IF((L679=""),"",STDEV(D680:L680))</f>
        <v>310.36752407428196</v>
      </c>
      <c r="Q678" s="168">
        <f>IF((L679=""),"",((M678-N678)/(M678+P678))*100)</f>
        <v>9.0129240117573577</v>
      </c>
      <c r="R678" s="28" t="str">
        <f>IF(L679="","",IF(Q678&lt;Z678,IF(N678&gt;V678,IF(M678&lt;W678,"Pass","Fail"),"Fail"),"Fail"))</f>
        <v>Pass</v>
      </c>
      <c r="S678" s="29">
        <v>1340</v>
      </c>
      <c r="T678" s="54" t="s">
        <v>266</v>
      </c>
      <c r="U678" s="40"/>
      <c r="V678" s="53">
        <v>10000</v>
      </c>
      <c r="W678" s="22">
        <v>15600</v>
      </c>
      <c r="X678" s="40">
        <v>8090</v>
      </c>
      <c r="Y678" s="40">
        <v>12070</v>
      </c>
      <c r="Z678" s="49">
        <v>15</v>
      </c>
      <c r="AA678" s="49">
        <v>6</v>
      </c>
    </row>
    <row r="679" spans="1:27" ht="15.75" customHeight="1">
      <c r="A679" s="94"/>
      <c r="B679" s="94"/>
      <c r="C679" s="30" t="s">
        <v>128</v>
      </c>
      <c r="D679" s="16">
        <v>25283</v>
      </c>
      <c r="E679" s="16">
        <v>25115</v>
      </c>
      <c r="F679" s="16">
        <v>25239</v>
      </c>
      <c r="G679" s="16">
        <v>25265</v>
      </c>
      <c r="H679" s="16">
        <v>25580</v>
      </c>
      <c r="I679" s="16">
        <v>25377</v>
      </c>
      <c r="J679" s="16">
        <v>25173</v>
      </c>
      <c r="K679" s="16">
        <v>25142</v>
      </c>
      <c r="L679" s="16">
        <v>25301</v>
      </c>
      <c r="M679" s="31"/>
      <c r="N679" s="31"/>
      <c r="O679" s="31"/>
      <c r="P679" s="31"/>
      <c r="Q679" s="31"/>
      <c r="R679" s="32"/>
      <c r="S679" s="33"/>
      <c r="T679" s="55"/>
      <c r="V679" s="47"/>
      <c r="W679" s="47"/>
      <c r="X679" s="48"/>
      <c r="Y679" s="48"/>
      <c r="Z679" s="49"/>
      <c r="AA679" s="49"/>
    </row>
    <row r="680" spans="1:27" ht="16.5" customHeight="1" thickBot="1">
      <c r="A680" s="94"/>
      <c r="B680" s="94"/>
      <c r="C680" s="34" t="s">
        <v>129</v>
      </c>
      <c r="D680" s="35">
        <f>IF(((D678="")*AND(D679="")),"",(D678-D679)*3)</f>
        <v>11040</v>
      </c>
      <c r="E680" s="35">
        <f t="shared" ref="E680:L680" si="222">IF(((E678="")*AND(E679="")),"",(E678-E679)*3)</f>
        <v>10875</v>
      </c>
      <c r="F680" s="35">
        <f t="shared" si="222"/>
        <v>10461</v>
      </c>
      <c r="G680" s="35">
        <f t="shared" si="222"/>
        <v>10416</v>
      </c>
      <c r="H680" s="35">
        <f t="shared" si="222"/>
        <v>10017</v>
      </c>
      <c r="I680" s="35">
        <f t="shared" si="222"/>
        <v>10674</v>
      </c>
      <c r="J680" s="35">
        <f t="shared" si="222"/>
        <v>10692</v>
      </c>
      <c r="K680" s="35">
        <f t="shared" si="222"/>
        <v>10785</v>
      </c>
      <c r="L680" s="35">
        <f t="shared" si="222"/>
        <v>10887</v>
      </c>
      <c r="M680" s="36"/>
      <c r="N680" s="36"/>
      <c r="O680" s="36"/>
      <c r="P680" s="36"/>
      <c r="Q680" s="36"/>
      <c r="R680" s="37"/>
      <c r="S680" s="38"/>
      <c r="T680" s="56"/>
      <c r="U680" s="51"/>
      <c r="V680" s="50"/>
      <c r="W680" s="50"/>
      <c r="X680" s="51"/>
      <c r="Y680" s="51"/>
      <c r="Z680" s="52"/>
      <c r="AA680" s="52"/>
    </row>
    <row r="681" spans="1:27">
      <c r="A681" s="95">
        <v>43476</v>
      </c>
      <c r="B681" s="115" t="s">
        <v>429</v>
      </c>
      <c r="C681" s="26" t="s">
        <v>126</v>
      </c>
      <c r="D681" s="16">
        <v>28944.53</v>
      </c>
      <c r="E681" s="16">
        <v>28875.87</v>
      </c>
      <c r="F681" s="16">
        <v>28887.46</v>
      </c>
      <c r="G681" s="16">
        <v>28856.95</v>
      </c>
      <c r="H681" s="16">
        <v>28925.29</v>
      </c>
      <c r="I681" s="16">
        <v>28939.09</v>
      </c>
      <c r="J681" s="16">
        <v>28862.45</v>
      </c>
      <c r="K681" s="16">
        <v>28858.560000000001</v>
      </c>
      <c r="L681" s="16">
        <v>28911.77</v>
      </c>
      <c r="M681" s="27">
        <f>IF((L682=""),"",MAX(D683:L683))</f>
        <v>11704.560000000001</v>
      </c>
      <c r="N681" s="27">
        <f>IF(L682="","",MIN(D683:L683))</f>
        <v>10644.719999999994</v>
      </c>
      <c r="O681" s="27">
        <f>IF((L683=""),"",AVERAGE(D683:L683))</f>
        <v>11361.070000000002</v>
      </c>
      <c r="P681" s="27">
        <f>IF((L682=""),"",STDEV(D683:L683))</f>
        <v>314.93857936902225</v>
      </c>
      <c r="Q681" s="168">
        <f>IF((L682=""),"",((M681-N681)/(M681+P681))*100)</f>
        <v>8.8176723263579344</v>
      </c>
      <c r="R681" s="28" t="str">
        <f>IF(L682="","",IF(Q681&lt;Z681,IF(N681&gt;V681,IF(M681&lt;W681,"Pass","Fail"),"Fail"),"Fail"))</f>
        <v>Pass</v>
      </c>
      <c r="S681" s="29">
        <v>1340</v>
      </c>
      <c r="T681" s="54" t="s">
        <v>305</v>
      </c>
      <c r="U681" s="16"/>
      <c r="V681" s="53">
        <v>10000</v>
      </c>
      <c r="W681" s="22">
        <v>15600</v>
      </c>
      <c r="X681" s="40">
        <v>8090</v>
      </c>
      <c r="Y681" s="40">
        <v>12070</v>
      </c>
      <c r="Z681" s="49">
        <v>15</v>
      </c>
      <c r="AA681" s="49">
        <v>6</v>
      </c>
    </row>
    <row r="682" spans="1:27" ht="15.75" customHeight="1">
      <c r="A682" s="96"/>
      <c r="B682" s="96"/>
      <c r="C682" s="30" t="s">
        <v>128</v>
      </c>
      <c r="D682" s="16">
        <v>25396.29</v>
      </c>
      <c r="E682" s="16">
        <v>25142.39</v>
      </c>
      <c r="F682" s="16">
        <v>25133.05</v>
      </c>
      <c r="G682" s="16">
        <v>25006.73</v>
      </c>
      <c r="H682" s="16">
        <v>25023.77</v>
      </c>
      <c r="I682" s="16">
        <v>25068.47</v>
      </c>
      <c r="J682" s="16">
        <v>25029.07</v>
      </c>
      <c r="K682" s="16">
        <v>25042.55</v>
      </c>
      <c r="L682" s="16">
        <v>25136.44</v>
      </c>
      <c r="M682" s="31"/>
      <c r="N682" s="31"/>
      <c r="O682" s="31"/>
      <c r="P682" s="31"/>
      <c r="Q682" s="31"/>
      <c r="R682" s="32"/>
      <c r="S682" s="33"/>
      <c r="T682" s="55"/>
      <c r="U682" s="16"/>
      <c r="V682" s="47"/>
      <c r="W682" s="47"/>
      <c r="X682" s="48"/>
      <c r="Y682" s="48"/>
      <c r="Z682" s="49"/>
      <c r="AA682" s="49"/>
    </row>
    <row r="683" spans="1:27" ht="16.5" customHeight="1" thickBot="1">
      <c r="A683" s="97"/>
      <c r="B683" s="96"/>
      <c r="C683" s="34" t="s">
        <v>129</v>
      </c>
      <c r="D683" s="35">
        <f>IF(((D681="")*AND(D682="")),"",(D681-D682)*3)</f>
        <v>10644.719999999994</v>
      </c>
      <c r="E683" s="35">
        <f t="shared" ref="E683:L683" si="223">IF(((E681="")*AND(E682="")),"",(E681-E682)*3)</f>
        <v>11200.439999999999</v>
      </c>
      <c r="F683" s="35">
        <f t="shared" si="223"/>
        <v>11263.23</v>
      </c>
      <c r="G683" s="35">
        <f t="shared" si="223"/>
        <v>11550.660000000003</v>
      </c>
      <c r="H683" s="35">
        <f t="shared" si="223"/>
        <v>11704.560000000001</v>
      </c>
      <c r="I683" s="35">
        <f t="shared" si="223"/>
        <v>11611.859999999997</v>
      </c>
      <c r="J683" s="35">
        <f t="shared" si="223"/>
        <v>11500.140000000003</v>
      </c>
      <c r="K683" s="35">
        <f t="shared" si="223"/>
        <v>11448.030000000006</v>
      </c>
      <c r="L683" s="35">
        <f t="shared" si="223"/>
        <v>11325.990000000005</v>
      </c>
      <c r="M683" s="36"/>
      <c r="N683" s="36"/>
      <c r="O683" s="36"/>
      <c r="P683" s="36"/>
      <c r="Q683" s="36"/>
      <c r="R683" s="37"/>
      <c r="S683" s="38"/>
      <c r="T683" s="56"/>
      <c r="U683" s="16"/>
      <c r="V683" s="50"/>
      <c r="W683" s="50"/>
      <c r="X683" s="51"/>
      <c r="Y683" s="51"/>
      <c r="Z683" s="52"/>
      <c r="AA683" s="52"/>
    </row>
    <row r="684" spans="1:27">
      <c r="A684" s="95">
        <v>43481</v>
      </c>
      <c r="B684" s="115" t="s">
        <v>429</v>
      </c>
      <c r="C684" s="26" t="s">
        <v>126</v>
      </c>
      <c r="D684" s="16">
        <v>28937.34</v>
      </c>
      <c r="E684" s="16">
        <v>28859.14</v>
      </c>
      <c r="F684" s="16">
        <v>28868.880000000001</v>
      </c>
      <c r="G684" s="16">
        <v>28861.26</v>
      </c>
      <c r="H684" s="16">
        <v>28931.91</v>
      </c>
      <c r="I684" s="16">
        <v>28898.66</v>
      </c>
      <c r="J684" s="16">
        <v>28849.48</v>
      </c>
      <c r="K684" s="16">
        <v>28861.61</v>
      </c>
      <c r="L684" s="16">
        <v>28926.7</v>
      </c>
      <c r="M684" s="27">
        <f>IF((L685=""),"",MAX(D686:L686))</f>
        <v>11142.180000000004</v>
      </c>
      <c r="N684" s="27">
        <f>IF(L685="","",MIN(D686:L686))</f>
        <v>10281.810000000001</v>
      </c>
      <c r="O684" s="27">
        <f>IF((L686=""),"",AVERAGE(D686:L686))</f>
        <v>10869.333333333334</v>
      </c>
      <c r="P684" s="27">
        <f>IF((L685=""),"",STDEV(D686:L686))</f>
        <v>254.52400697193448</v>
      </c>
      <c r="Q684" s="168">
        <f>IF((L685=""),"",((M684-N684)/(M684+P684))*100)</f>
        <v>7.5492879298582363</v>
      </c>
      <c r="R684" s="28" t="str">
        <f>IF(L685="","",IF(Q684&lt;Z684,IF(N684&gt;V684,IF(M684&lt;W684,"Pass","Fail"),"Fail"),"Fail"))</f>
        <v>Pass</v>
      </c>
      <c r="S684" s="29">
        <v>1159</v>
      </c>
      <c r="T684" s="54" t="s">
        <v>306</v>
      </c>
      <c r="U684" s="16"/>
      <c r="V684" s="53">
        <v>10000</v>
      </c>
      <c r="W684" s="22">
        <v>15600</v>
      </c>
      <c r="X684" s="40">
        <v>8090</v>
      </c>
      <c r="Y684" s="40">
        <v>12070</v>
      </c>
      <c r="Z684" s="49">
        <v>15</v>
      </c>
      <c r="AA684" s="49">
        <v>6</v>
      </c>
    </row>
    <row r="685" spans="1:27" ht="15.75" customHeight="1">
      <c r="A685" s="96"/>
      <c r="B685" s="96"/>
      <c r="C685" s="30" t="s">
        <v>128</v>
      </c>
      <c r="D685" s="16">
        <v>25510.07</v>
      </c>
      <c r="E685" s="16">
        <v>25284.21</v>
      </c>
      <c r="F685" s="16">
        <v>25276.42</v>
      </c>
      <c r="G685" s="16">
        <v>25178.74</v>
      </c>
      <c r="H685" s="16">
        <v>25217.85</v>
      </c>
      <c r="I685" s="16">
        <v>25238</v>
      </c>
      <c r="J685" s="16">
        <v>25210.28</v>
      </c>
      <c r="K685" s="16">
        <v>25202.11</v>
      </c>
      <c r="L685" s="16">
        <v>25269.3</v>
      </c>
      <c r="M685" s="31"/>
      <c r="N685" s="31"/>
      <c r="O685" s="31"/>
      <c r="P685" s="31"/>
      <c r="Q685" s="31"/>
      <c r="R685" s="32"/>
      <c r="S685" s="33"/>
      <c r="T685" s="55"/>
      <c r="U685" s="16"/>
      <c r="V685" s="47"/>
      <c r="W685" s="47"/>
      <c r="X685" s="48"/>
      <c r="Y685" s="48"/>
      <c r="Z685" s="49"/>
      <c r="AA685" s="49"/>
    </row>
    <row r="686" spans="1:27" ht="16.5" customHeight="1" thickBot="1">
      <c r="A686" s="97"/>
      <c r="B686" s="96"/>
      <c r="C686" s="34" t="s">
        <v>129</v>
      </c>
      <c r="D686" s="35">
        <f>IF(((D684="")*AND(D685="")),"",(D684-D685)*3)</f>
        <v>10281.810000000001</v>
      </c>
      <c r="E686" s="35">
        <f t="shared" ref="E686:L686" si="224">IF(((E684="")*AND(E685="")),"",(E684-E685)*3)</f>
        <v>10724.79</v>
      </c>
      <c r="F686" s="35">
        <f t="shared" si="224"/>
        <v>10777.380000000008</v>
      </c>
      <c r="G686" s="35">
        <f t="shared" si="224"/>
        <v>11047.55999999999</v>
      </c>
      <c r="H686" s="35">
        <f t="shared" si="224"/>
        <v>11142.180000000004</v>
      </c>
      <c r="I686" s="35">
        <f t="shared" si="224"/>
        <v>10981.98</v>
      </c>
      <c r="J686" s="35">
        <f t="shared" si="224"/>
        <v>10917.600000000002</v>
      </c>
      <c r="K686" s="35">
        <f t="shared" si="224"/>
        <v>10978.5</v>
      </c>
      <c r="L686" s="35">
        <f t="shared" si="224"/>
        <v>10972.200000000004</v>
      </c>
      <c r="M686" s="36"/>
      <c r="N686" s="36"/>
      <c r="O686" s="36"/>
      <c r="P686" s="36"/>
      <c r="Q686" s="36"/>
      <c r="R686" s="37"/>
      <c r="S686" s="38"/>
      <c r="T686" s="56"/>
      <c r="U686" s="16"/>
      <c r="V686" s="50"/>
      <c r="W686" s="50"/>
      <c r="X686" s="51"/>
      <c r="Y686" s="51"/>
      <c r="Z686" s="52"/>
      <c r="AA686" s="52"/>
    </row>
    <row r="687" spans="1:27">
      <c r="A687" s="95">
        <v>43487</v>
      </c>
      <c r="B687" s="115" t="s">
        <v>429</v>
      </c>
      <c r="C687" s="26" t="s">
        <v>126</v>
      </c>
      <c r="D687" s="16">
        <v>29420.41</v>
      </c>
      <c r="E687" s="16">
        <v>29355.7</v>
      </c>
      <c r="F687" s="16">
        <v>29403.49</v>
      </c>
      <c r="G687" s="16">
        <v>29367.61</v>
      </c>
      <c r="H687" s="16">
        <v>29431.58</v>
      </c>
      <c r="I687" s="16">
        <v>29402.99</v>
      </c>
      <c r="J687" s="16">
        <v>29355.5</v>
      </c>
      <c r="K687" s="16">
        <v>29342.06</v>
      </c>
      <c r="L687" s="16">
        <v>29403.279999999999</v>
      </c>
      <c r="M687" s="27">
        <f>IF((L688=""),"",MAX(D689:L689))</f>
        <v>12519.360000000008</v>
      </c>
      <c r="N687" s="27">
        <f>IF(L688="","",MIN(D689:L689))</f>
        <v>11684.129999999997</v>
      </c>
      <c r="O687" s="27">
        <f>IF((L689=""),"",AVERAGE(D689:L689))</f>
        <v>12230.286666666669</v>
      </c>
      <c r="P687" s="27">
        <f>IF((L688=""),"",STDEV(D689:L689))</f>
        <v>241.62432302028861</v>
      </c>
      <c r="Q687" s="168">
        <f>IF((L688=""),"",((M687-N687)/(M687+P687))*100)</f>
        <v>6.5451847510954897</v>
      </c>
      <c r="R687" s="28" t="str">
        <f>IF(L688="","",IF(Q687&lt;Z687,IF(N687&gt;V687,IF(M687&lt;W687,"Pass","Fail"),"Fail"),"Fail"))</f>
        <v>Pass</v>
      </c>
      <c r="S687" s="29">
        <v>1159</v>
      </c>
      <c r="T687" s="54" t="s">
        <v>307</v>
      </c>
      <c r="U687" s="16"/>
      <c r="V687" s="53">
        <v>10000</v>
      </c>
      <c r="W687" s="22">
        <v>15600</v>
      </c>
      <c r="X687" s="40">
        <v>8090</v>
      </c>
      <c r="Y687" s="40">
        <v>12070</v>
      </c>
      <c r="Z687" s="49">
        <v>15</v>
      </c>
      <c r="AA687" s="49">
        <v>6</v>
      </c>
    </row>
    <row r="688" spans="1:27" ht="15.75" customHeight="1">
      <c r="A688" s="96"/>
      <c r="B688" s="96"/>
      <c r="C688" s="30" t="s">
        <v>128</v>
      </c>
      <c r="D688" s="16">
        <v>25525.7</v>
      </c>
      <c r="E688" s="16">
        <v>25319.08</v>
      </c>
      <c r="F688" s="16">
        <v>25351.39</v>
      </c>
      <c r="G688" s="16">
        <v>25237.67</v>
      </c>
      <c r="H688" s="16">
        <v>25258.46</v>
      </c>
      <c r="I688" s="16">
        <v>25264</v>
      </c>
      <c r="J688" s="16">
        <v>25257.48</v>
      </c>
      <c r="K688" s="16">
        <v>25258.1</v>
      </c>
      <c r="L688" s="16">
        <v>25319.88</v>
      </c>
      <c r="M688" s="31"/>
      <c r="N688" s="31"/>
      <c r="O688" s="31"/>
      <c r="P688" s="31"/>
      <c r="Q688" s="31"/>
      <c r="R688" s="32"/>
      <c r="S688" s="33"/>
      <c r="T688" s="55"/>
      <c r="U688" s="16"/>
      <c r="V688" s="47"/>
      <c r="W688" s="47"/>
      <c r="X688" s="48"/>
      <c r="Y688" s="48"/>
      <c r="Z688" s="49"/>
      <c r="AA688" s="49"/>
    </row>
    <row r="689" spans="1:27" ht="16.5" customHeight="1" thickBot="1">
      <c r="A689" s="97"/>
      <c r="B689" s="96"/>
      <c r="C689" s="34" t="s">
        <v>129</v>
      </c>
      <c r="D689" s="35">
        <f>IF(((D687="")*AND(D688="")),"",(D687-D688)*3)</f>
        <v>11684.129999999997</v>
      </c>
      <c r="E689" s="35">
        <f t="shared" ref="E689:L689" si="225">IF(((E687="")*AND(E688="")),"",(E687-E688)*3)</f>
        <v>12109.859999999997</v>
      </c>
      <c r="F689" s="35">
        <f t="shared" si="225"/>
        <v>12156.300000000007</v>
      </c>
      <c r="G689" s="35">
        <f t="shared" si="225"/>
        <v>12389.820000000007</v>
      </c>
      <c r="H689" s="35">
        <f t="shared" si="225"/>
        <v>12519.360000000008</v>
      </c>
      <c r="I689" s="35">
        <f t="shared" si="225"/>
        <v>12416.970000000005</v>
      </c>
      <c r="J689" s="35">
        <f t="shared" si="225"/>
        <v>12294.060000000001</v>
      </c>
      <c r="K689" s="35">
        <f t="shared" si="225"/>
        <v>12251.880000000008</v>
      </c>
      <c r="L689" s="35">
        <f t="shared" si="225"/>
        <v>12250.199999999993</v>
      </c>
      <c r="M689" s="36"/>
      <c r="N689" s="36"/>
      <c r="O689" s="36"/>
      <c r="P689" s="36"/>
      <c r="Q689" s="36"/>
      <c r="R689" s="37"/>
      <c r="S689" s="38"/>
      <c r="T689" s="56"/>
      <c r="U689" s="16"/>
      <c r="V689" s="50"/>
      <c r="W689" s="50"/>
      <c r="X689" s="51"/>
      <c r="Y689" s="51"/>
      <c r="Z689" s="52"/>
      <c r="AA689" s="52"/>
    </row>
    <row r="690" spans="1:27" ht="15.75">
      <c r="A690" s="95">
        <v>43493</v>
      </c>
      <c r="B690" s="115" t="s">
        <v>429</v>
      </c>
      <c r="C690" s="26" t="s">
        <v>126</v>
      </c>
      <c r="D690">
        <v>29261.98</v>
      </c>
      <c r="E690">
        <v>29196.13</v>
      </c>
      <c r="F690">
        <v>29222.65</v>
      </c>
      <c r="G690">
        <v>29213.25</v>
      </c>
      <c r="H690">
        <v>29292.89</v>
      </c>
      <c r="I690">
        <v>29232.5</v>
      </c>
      <c r="J690">
        <v>29214.44</v>
      </c>
      <c r="K690">
        <v>29180.03</v>
      </c>
      <c r="L690">
        <v>29254.560000000001</v>
      </c>
      <c r="M690" s="27">
        <f>IF((L691=""),"",MAX(D692:L692))</f>
        <v>11886.660000000003</v>
      </c>
      <c r="N690" s="27">
        <f>IF(L691="","",MIN(D692:L692))</f>
        <v>10915.919999999998</v>
      </c>
      <c r="O690" s="27">
        <f>IF((L692=""),"",AVERAGE(D692:L692))</f>
        <v>11504.29</v>
      </c>
      <c r="P690" s="27">
        <f>IF((L691=""),"",STDEV(D692:L692))</f>
        <v>278.543193373934</v>
      </c>
      <c r="Q690" s="168">
        <f>IF((L691=""),"",((M690-N690)/(M690+P690))*100)</f>
        <v>7.9796447668769019</v>
      </c>
      <c r="R690" s="28" t="str">
        <f>IF(L691="","",IF(Q690&lt;Z690,IF(N690&gt;V690,IF(M690&lt;W690,"Pass","Fail"),"Fail"),"Fail"))</f>
        <v>Pass</v>
      </c>
      <c r="S690" s="29">
        <v>1159</v>
      </c>
      <c r="T690" s="54" t="s">
        <v>308</v>
      </c>
      <c r="U690" s="16"/>
      <c r="V690" s="53">
        <v>10000</v>
      </c>
      <c r="W690" s="22">
        <v>15600</v>
      </c>
      <c r="X690" s="40">
        <v>8090</v>
      </c>
      <c r="Y690" s="40">
        <v>12070</v>
      </c>
      <c r="Z690" s="49">
        <v>15</v>
      </c>
      <c r="AA690" s="49">
        <v>6</v>
      </c>
    </row>
    <row r="691" spans="1:27" ht="15.75" customHeight="1">
      <c r="A691" s="96"/>
      <c r="B691" s="96"/>
      <c r="C691" s="30" t="s">
        <v>128</v>
      </c>
      <c r="D691">
        <v>25623.34</v>
      </c>
      <c r="E691">
        <v>25416.54</v>
      </c>
      <c r="F691">
        <v>25433.73</v>
      </c>
      <c r="G691">
        <v>25314.58</v>
      </c>
      <c r="H691">
        <v>25330.67</v>
      </c>
      <c r="I691">
        <v>25340.67</v>
      </c>
      <c r="J691">
        <v>25339.4</v>
      </c>
      <c r="K691">
        <v>25333.57</v>
      </c>
      <c r="L691">
        <v>25423.06</v>
      </c>
      <c r="M691" s="31"/>
      <c r="N691" s="31"/>
      <c r="O691" s="31"/>
      <c r="P691" s="31"/>
      <c r="Q691" s="31"/>
      <c r="R691" s="32"/>
      <c r="S691" s="33"/>
      <c r="T691" s="55"/>
      <c r="U691" s="16"/>
      <c r="V691" s="47"/>
      <c r="W691" s="47"/>
      <c r="X691" s="48"/>
      <c r="Y691" s="48"/>
      <c r="Z691" s="49"/>
      <c r="AA691" s="49"/>
    </row>
    <row r="692" spans="1:27" ht="16.5" customHeight="1" thickBot="1">
      <c r="A692" s="97"/>
      <c r="B692" s="96"/>
      <c r="C692" s="34" t="s">
        <v>129</v>
      </c>
      <c r="D692" s="35">
        <f>IF(((D690="")*AND(D691="")),"",(D690-D691)*3)</f>
        <v>10915.919999999998</v>
      </c>
      <c r="E692" s="35">
        <f t="shared" ref="E692:L692" si="226">IF(((E690="")*AND(E691="")),"",(E690-E691)*3)</f>
        <v>11338.77</v>
      </c>
      <c r="F692" s="35">
        <f t="shared" si="226"/>
        <v>11366.760000000006</v>
      </c>
      <c r="G692" s="35">
        <f t="shared" si="226"/>
        <v>11696.009999999995</v>
      </c>
      <c r="H692" s="35">
        <f t="shared" si="226"/>
        <v>11886.660000000003</v>
      </c>
      <c r="I692" s="35">
        <f t="shared" si="226"/>
        <v>11675.490000000005</v>
      </c>
      <c r="J692" s="35">
        <f t="shared" si="226"/>
        <v>11625.119999999992</v>
      </c>
      <c r="K692" s="35">
        <f t="shared" si="226"/>
        <v>11539.379999999997</v>
      </c>
      <c r="L692" s="35">
        <f t="shared" si="226"/>
        <v>11494.5</v>
      </c>
      <c r="M692" s="36"/>
      <c r="N692" s="36"/>
      <c r="O692" s="36"/>
      <c r="P692" s="36"/>
      <c r="Q692" s="36"/>
      <c r="R692" s="37"/>
      <c r="S692" s="38"/>
      <c r="T692" s="56"/>
      <c r="U692" s="16"/>
      <c r="V692" s="50"/>
      <c r="W692" s="50"/>
      <c r="X692" s="51"/>
      <c r="Y692" s="51"/>
      <c r="Z692" s="52"/>
      <c r="AA692" s="52"/>
    </row>
    <row r="693" spans="1:27" ht="15.75">
      <c r="A693" s="95">
        <v>43497</v>
      </c>
      <c r="B693" s="115" t="s">
        <v>429</v>
      </c>
      <c r="C693" s="26" t="s">
        <v>126</v>
      </c>
      <c r="D693">
        <v>29197.18</v>
      </c>
      <c r="E693">
        <v>29122.95</v>
      </c>
      <c r="F693">
        <v>29166.560000000001</v>
      </c>
      <c r="G693">
        <v>29134.93</v>
      </c>
      <c r="H693">
        <v>29225.17</v>
      </c>
      <c r="I693">
        <v>29177.759999999998</v>
      </c>
      <c r="J693">
        <v>29123.97</v>
      </c>
      <c r="K693">
        <v>29120.95</v>
      </c>
      <c r="L693">
        <v>29188.6</v>
      </c>
      <c r="M693" s="27">
        <f>IF((L694=""),"",MAX(D695:L695))</f>
        <v>11665.109999999997</v>
      </c>
      <c r="N693" s="27">
        <f>IF(L694="","",MIN(D695:L695))</f>
        <v>10607.489999999994</v>
      </c>
      <c r="O693" s="27">
        <f>IF((L695=""),"",AVERAGE(D695:L695))</f>
        <v>11281.649999999998</v>
      </c>
      <c r="P693" s="27">
        <f>IF((L694=""),"",STDEV(D695:L695))</f>
        <v>306.05806213860313</v>
      </c>
      <c r="Q693" s="168">
        <f>IF((L694=""),"",((M693-N693)/(M693+P693))*100)</f>
        <v>8.8347268579826714</v>
      </c>
      <c r="R693" s="28" t="str">
        <f>IF(L694="","",IF(Q693&lt;Z693,IF(N693&gt;V693,IF(M693&lt;W693,"Pass","Fail"),"Fail"),"Fail"))</f>
        <v>Pass</v>
      </c>
      <c r="S693" s="29">
        <v>1335</v>
      </c>
      <c r="T693" s="54" t="s">
        <v>309</v>
      </c>
      <c r="U693" s="16"/>
      <c r="V693" s="53">
        <v>10000</v>
      </c>
      <c r="W693" s="22">
        <v>15600</v>
      </c>
      <c r="X693" s="40">
        <v>8090</v>
      </c>
      <c r="Y693" s="40">
        <v>12070</v>
      </c>
      <c r="Z693" s="49">
        <v>15</v>
      </c>
      <c r="AA693" s="49">
        <v>6</v>
      </c>
    </row>
    <row r="694" spans="1:27" ht="15.75" customHeight="1">
      <c r="A694" s="96"/>
      <c r="B694" s="96"/>
      <c r="C694" s="30" t="s">
        <v>128</v>
      </c>
      <c r="D694">
        <v>25308.81</v>
      </c>
      <c r="E694">
        <v>25302.6</v>
      </c>
      <c r="F694">
        <v>25431.43</v>
      </c>
      <c r="G694">
        <v>25435.99</v>
      </c>
      <c r="H694">
        <v>25689.34</v>
      </c>
      <c r="I694">
        <v>25422.720000000001</v>
      </c>
      <c r="J694">
        <v>25358.43</v>
      </c>
      <c r="K694">
        <v>25315.17</v>
      </c>
      <c r="L694">
        <v>25348.63</v>
      </c>
      <c r="M694" s="31"/>
      <c r="N694" s="31"/>
      <c r="O694" s="31"/>
      <c r="P694" s="31"/>
      <c r="Q694" s="31"/>
      <c r="R694" s="32"/>
      <c r="S694" s="33"/>
      <c r="T694" s="55"/>
      <c r="U694" s="16"/>
      <c r="V694" s="47"/>
      <c r="W694" s="47"/>
      <c r="X694" s="48"/>
      <c r="Y694" s="48"/>
      <c r="Z694" s="49"/>
      <c r="AA694" s="49"/>
    </row>
    <row r="695" spans="1:27" ht="16.5" customHeight="1" thickBot="1">
      <c r="A695" s="97"/>
      <c r="B695" s="96"/>
      <c r="C695" s="34" t="s">
        <v>129</v>
      </c>
      <c r="D695" s="35">
        <f>IF(((D693="")*AND(D694="")),"",(D693-D694)*3)</f>
        <v>11665.109999999997</v>
      </c>
      <c r="E695" s="35">
        <f t="shared" ref="E695:L695" si="227">IF(((E693="")*AND(E694="")),"",(E693-E694)*3)</f>
        <v>11461.050000000007</v>
      </c>
      <c r="F695" s="35">
        <f t="shared" si="227"/>
        <v>11205.390000000003</v>
      </c>
      <c r="G695" s="35">
        <f t="shared" si="227"/>
        <v>11096.819999999996</v>
      </c>
      <c r="H695" s="35">
        <f t="shared" si="227"/>
        <v>10607.489999999994</v>
      </c>
      <c r="I695" s="35">
        <f t="shared" si="227"/>
        <v>11265.119999999992</v>
      </c>
      <c r="J695" s="35">
        <f t="shared" si="227"/>
        <v>11296.620000000003</v>
      </c>
      <c r="K695" s="35">
        <f t="shared" si="227"/>
        <v>11417.340000000007</v>
      </c>
      <c r="L695" s="35">
        <f t="shared" si="227"/>
        <v>11519.909999999993</v>
      </c>
      <c r="M695" s="36"/>
      <c r="N695" s="36"/>
      <c r="O695" s="36"/>
      <c r="P695" s="36"/>
      <c r="Q695" s="36"/>
      <c r="R695" s="37"/>
      <c r="S695" s="38"/>
      <c r="T695" s="56"/>
      <c r="U695" s="16"/>
      <c r="V695" s="50"/>
      <c r="W695" s="50"/>
      <c r="X695" s="51"/>
      <c r="Y695" s="51"/>
      <c r="Z695" s="52"/>
      <c r="AA695" s="52"/>
    </row>
    <row r="696" spans="1:27" ht="15.75">
      <c r="A696" s="95">
        <v>43501</v>
      </c>
      <c r="B696" s="115" t="s">
        <v>429</v>
      </c>
      <c r="C696" s="26" t="s">
        <v>126</v>
      </c>
      <c r="D696">
        <v>29136.26</v>
      </c>
      <c r="E696">
        <v>29053.63</v>
      </c>
      <c r="F696">
        <v>29041.03</v>
      </c>
      <c r="G696">
        <v>29030.400000000001</v>
      </c>
      <c r="H696">
        <v>29098.29</v>
      </c>
      <c r="I696">
        <v>29116.93</v>
      </c>
      <c r="J696">
        <v>29027.81</v>
      </c>
      <c r="K696">
        <v>29053.69</v>
      </c>
      <c r="L696">
        <v>29145.67</v>
      </c>
      <c r="M696" s="27">
        <f>IF((L697=""),"",MAX(D698:L698))</f>
        <v>11776.98</v>
      </c>
      <c r="N696" s="27">
        <f>IF(L697="","",MIN(D698:L698))</f>
        <v>10923.869999999992</v>
      </c>
      <c r="O696" s="27">
        <f>IF((L698=""),"",AVERAGE(D698:L698))</f>
        <v>11550.246666666662</v>
      </c>
      <c r="P696" s="27">
        <f>IF((L697=""),"",STDEV(D698:L698))</f>
        <v>252.16820358656622</v>
      </c>
      <c r="Q696" s="168">
        <f>IF((L697=""),"",((M696-N696)/(M696+P696))*100)</f>
        <v>7.0920233549508325</v>
      </c>
      <c r="R696" s="28" t="str">
        <f>IF(L697="","",IF(Q696&lt;Z696,IF(N696&gt;V696,IF(M696&lt;W696,"Pass","Fail"),"Fail"),"Fail"))</f>
        <v>Pass</v>
      </c>
      <c r="S696" s="29">
        <v>1159</v>
      </c>
      <c r="T696" s="54" t="s">
        <v>310</v>
      </c>
      <c r="U696" s="16"/>
      <c r="V696" s="53">
        <v>10000</v>
      </c>
      <c r="W696" s="22">
        <v>15600</v>
      </c>
      <c r="X696" s="40">
        <v>8090</v>
      </c>
      <c r="Y696" s="40">
        <v>12070</v>
      </c>
      <c r="Z696" s="49">
        <v>15</v>
      </c>
      <c r="AA696" s="49">
        <v>6</v>
      </c>
    </row>
    <row r="697" spans="1:27" ht="15.75" customHeight="1">
      <c r="A697" s="96"/>
      <c r="B697" s="96"/>
      <c r="C697" s="30" t="s">
        <v>128</v>
      </c>
      <c r="D697">
        <v>25494.97</v>
      </c>
      <c r="E697">
        <v>25229.97</v>
      </c>
      <c r="F697">
        <v>25195.65</v>
      </c>
      <c r="G697">
        <v>25129.200000000001</v>
      </c>
      <c r="H697">
        <v>25172.63</v>
      </c>
      <c r="I697">
        <v>25226.71</v>
      </c>
      <c r="J697">
        <v>25158.799999999999</v>
      </c>
      <c r="K697">
        <v>25161.56</v>
      </c>
      <c r="L697">
        <v>25283.48</v>
      </c>
      <c r="M697" s="31"/>
      <c r="N697" s="31"/>
      <c r="O697" s="31"/>
      <c r="P697" s="31"/>
      <c r="Q697" s="31"/>
      <c r="R697" s="32"/>
      <c r="S697" s="33"/>
      <c r="T697" s="55"/>
      <c r="U697" s="16"/>
      <c r="V697" s="47"/>
      <c r="W697" s="47"/>
      <c r="X697" s="48"/>
      <c r="Y697" s="48"/>
      <c r="Z697" s="49"/>
      <c r="AA697" s="49"/>
    </row>
    <row r="698" spans="1:27" ht="16.5" customHeight="1" thickBot="1">
      <c r="A698" s="97"/>
      <c r="B698" s="96"/>
      <c r="C698" s="34" t="s">
        <v>129</v>
      </c>
      <c r="D698" s="35">
        <f>IF(((D696="")*AND(D697="")),"",(D696-D697)*3)</f>
        <v>10923.869999999992</v>
      </c>
      <c r="E698" s="35">
        <f t="shared" ref="E698:L698" si="228">IF(((E696="")*AND(E697="")),"",(E696-E697)*3)</f>
        <v>11470.98</v>
      </c>
      <c r="F698" s="35">
        <f t="shared" si="228"/>
        <v>11536.139999999992</v>
      </c>
      <c r="G698" s="35">
        <f t="shared" si="228"/>
        <v>11703.600000000002</v>
      </c>
      <c r="H698" s="35">
        <f t="shared" si="228"/>
        <v>11776.98</v>
      </c>
      <c r="I698" s="35">
        <f t="shared" si="228"/>
        <v>11670.660000000003</v>
      </c>
      <c r="J698" s="35">
        <f t="shared" si="228"/>
        <v>11607.030000000006</v>
      </c>
      <c r="K698" s="35">
        <f t="shared" si="228"/>
        <v>11676.389999999992</v>
      </c>
      <c r="L698" s="35">
        <f t="shared" si="228"/>
        <v>11586.569999999996</v>
      </c>
      <c r="M698" s="36"/>
      <c r="N698" s="36"/>
      <c r="O698" s="36"/>
      <c r="P698" s="36"/>
      <c r="Q698" s="36"/>
      <c r="R698" s="37"/>
      <c r="S698" s="38"/>
      <c r="T698" s="56"/>
      <c r="U698" s="16"/>
      <c r="V698" s="50"/>
      <c r="W698" s="50"/>
      <c r="X698" s="51"/>
      <c r="Y698" s="51"/>
      <c r="Z698" s="52"/>
      <c r="AA698" s="52"/>
    </row>
    <row r="699" spans="1:27" ht="15.75">
      <c r="A699" s="95">
        <v>43504</v>
      </c>
      <c r="B699" s="115" t="s">
        <v>429</v>
      </c>
      <c r="C699" s="26" t="s">
        <v>126</v>
      </c>
      <c r="D699">
        <v>29167.5</v>
      </c>
      <c r="E699">
        <v>29080.55</v>
      </c>
      <c r="F699">
        <v>29109.61</v>
      </c>
      <c r="G699">
        <v>29133.47</v>
      </c>
      <c r="H699">
        <v>29229.98</v>
      </c>
      <c r="I699">
        <v>29189.23</v>
      </c>
      <c r="J699">
        <v>29106.69</v>
      </c>
      <c r="K699">
        <v>29106.89</v>
      </c>
      <c r="L699">
        <v>29217.56</v>
      </c>
      <c r="M699" s="27">
        <f>IF((L700=""),"",MAX(D701:L701))</f>
        <v>11440.02</v>
      </c>
      <c r="N699" s="27">
        <f>IF(L700="","",MIN(D701:L701))</f>
        <v>10741.620000000003</v>
      </c>
      <c r="O699" s="27">
        <f>IF((L701=""),"",AVERAGE(D701:L701))</f>
        <v>11238.963333333333</v>
      </c>
      <c r="P699" s="27">
        <f>IF((L700=""),"",STDEV(D701:L701))</f>
        <v>223.15062782797381</v>
      </c>
      <c r="Q699" s="168">
        <f>IF((L700=""),"",((M699-N699)/(M699+P699))*100)</f>
        <v>5.9880801051957215</v>
      </c>
      <c r="R699" s="28" t="str">
        <f>IF(L700="","",IF(Q699&lt;Z699,IF(N699&gt;V699,IF(M699&lt;W699,"Pass","Fail"),"Fail"),"Fail"))</f>
        <v>Pass</v>
      </c>
      <c r="S699" s="29">
        <v>1335</v>
      </c>
      <c r="T699" s="54"/>
      <c r="U699" s="16"/>
      <c r="V699" s="53">
        <v>10000</v>
      </c>
      <c r="W699" s="22">
        <v>15600</v>
      </c>
      <c r="X699" s="40">
        <v>8090</v>
      </c>
      <c r="Y699" s="40">
        <v>12070</v>
      </c>
      <c r="Z699" s="49">
        <v>15</v>
      </c>
      <c r="AA699" s="49">
        <v>6</v>
      </c>
    </row>
    <row r="700" spans="1:27" ht="15.75" customHeight="1">
      <c r="A700" s="96"/>
      <c r="B700" s="96"/>
      <c r="C700" s="30" t="s">
        <v>128</v>
      </c>
      <c r="D700">
        <v>25586.959999999999</v>
      </c>
      <c r="E700">
        <v>25399.11</v>
      </c>
      <c r="F700">
        <v>25384.44</v>
      </c>
      <c r="G700">
        <v>25329.42</v>
      </c>
      <c r="H700">
        <v>25416.639999999999</v>
      </c>
      <c r="I700">
        <v>25417.65</v>
      </c>
      <c r="J700">
        <v>25337.38</v>
      </c>
      <c r="K700">
        <v>25324.78</v>
      </c>
      <c r="L700">
        <v>25428.21</v>
      </c>
      <c r="M700" s="31"/>
      <c r="N700" s="31"/>
      <c r="O700" s="31"/>
      <c r="P700" s="31"/>
      <c r="Q700" s="31"/>
      <c r="R700" s="32"/>
      <c r="S700" s="33"/>
      <c r="T700" s="55"/>
      <c r="U700" s="16"/>
      <c r="V700" s="47"/>
      <c r="W700" s="47"/>
      <c r="X700" s="48"/>
      <c r="Y700" s="48"/>
      <c r="Z700" s="49"/>
      <c r="AA700" s="49"/>
    </row>
    <row r="701" spans="1:27" ht="16.5" customHeight="1" thickBot="1">
      <c r="A701" s="97"/>
      <c r="B701" s="96"/>
      <c r="C701" s="34" t="s">
        <v>129</v>
      </c>
      <c r="D701" s="35">
        <f>IF(((D699="")*AND(D700="")),"",(D699-D700)*3)</f>
        <v>10741.620000000003</v>
      </c>
      <c r="E701" s="35">
        <f t="shared" ref="E701:L701" si="229">IF(((E699="")*AND(E700="")),"",(E699-E700)*3)</f>
        <v>11044.319999999996</v>
      </c>
      <c r="F701" s="35">
        <f t="shared" si="229"/>
        <v>11175.510000000006</v>
      </c>
      <c r="G701" s="35">
        <f t="shared" si="229"/>
        <v>11412.150000000009</v>
      </c>
      <c r="H701" s="35">
        <f t="shared" si="229"/>
        <v>11440.02</v>
      </c>
      <c r="I701" s="35">
        <f t="shared" si="229"/>
        <v>11314.739999999994</v>
      </c>
      <c r="J701" s="35">
        <f t="shared" si="229"/>
        <v>11307.929999999993</v>
      </c>
      <c r="K701" s="35">
        <f t="shared" si="229"/>
        <v>11346.330000000002</v>
      </c>
      <c r="L701" s="35">
        <f t="shared" si="229"/>
        <v>11368.050000000007</v>
      </c>
      <c r="M701" s="36"/>
      <c r="N701" s="36"/>
      <c r="O701" s="36"/>
      <c r="P701" s="36"/>
      <c r="Q701" s="36"/>
      <c r="R701" s="37"/>
      <c r="S701" s="38"/>
      <c r="T701" s="56"/>
      <c r="U701" s="16"/>
      <c r="V701" s="50"/>
      <c r="W701" s="50"/>
      <c r="X701" s="51"/>
      <c r="Y701" s="51"/>
      <c r="Z701" s="52"/>
      <c r="AA701" s="52"/>
    </row>
    <row r="702" spans="1:27" ht="15.75">
      <c r="A702" s="98">
        <v>43508</v>
      </c>
      <c r="B702" s="115" t="s">
        <v>429</v>
      </c>
      <c r="C702" s="26" t="s">
        <v>126</v>
      </c>
      <c r="D702">
        <v>29127.21</v>
      </c>
      <c r="E702">
        <v>29052.55</v>
      </c>
      <c r="F702">
        <v>29056.63</v>
      </c>
      <c r="G702">
        <v>29056.7</v>
      </c>
      <c r="H702">
        <v>29146.82</v>
      </c>
      <c r="I702">
        <v>29137.77</v>
      </c>
      <c r="J702">
        <v>29040.880000000001</v>
      </c>
      <c r="K702">
        <v>29057.82</v>
      </c>
      <c r="L702">
        <v>29151.52</v>
      </c>
      <c r="M702" s="27">
        <f>IF((L703=""),"",MAX(D704:L704))</f>
        <v>11939.609999999997</v>
      </c>
      <c r="N702" s="27">
        <f>IF(L703="","",MIN(D704:L704))</f>
        <v>11294.819999999996</v>
      </c>
      <c r="O702" s="27">
        <f>IF((L704=""),"",AVERAGE(D704:L704))</f>
        <v>11773.853333333336</v>
      </c>
      <c r="P702" s="27">
        <f>IF((L703=""),"",STDEV(D704:L704))</f>
        <v>191.51232114411536</v>
      </c>
      <c r="Q702" s="168">
        <f>IF((L703=""),"",((M702-N702)/(M702+P702))*100)</f>
        <v>5.3151718606954859</v>
      </c>
      <c r="R702" s="28" t="str">
        <f>IF(L703="","",IF(Q702&lt;Z702,IF(N702&gt;V702,IF(M702&lt;W702,"Pass","Fail"),"Fail"),"Fail"))</f>
        <v>Pass</v>
      </c>
      <c r="S702" s="29">
        <v>121</v>
      </c>
      <c r="T702" s="54" t="s">
        <v>311</v>
      </c>
      <c r="U702" s="16"/>
      <c r="V702" s="53">
        <v>10000</v>
      </c>
      <c r="W702" s="22">
        <v>15600</v>
      </c>
      <c r="X702" s="40">
        <v>8090</v>
      </c>
      <c r="Y702" s="40">
        <v>12070</v>
      </c>
      <c r="Z702" s="49">
        <v>15</v>
      </c>
      <c r="AA702" s="49">
        <v>6</v>
      </c>
    </row>
    <row r="703" spans="1:27" ht="15.75" customHeight="1">
      <c r="A703" s="96"/>
      <c r="B703" s="96"/>
      <c r="C703" s="30" t="s">
        <v>128</v>
      </c>
      <c r="D703">
        <v>25362.27</v>
      </c>
      <c r="E703">
        <v>25134.05</v>
      </c>
      <c r="F703">
        <v>25142.83</v>
      </c>
      <c r="G703">
        <v>25082.6</v>
      </c>
      <c r="H703">
        <v>25203.01</v>
      </c>
      <c r="I703">
        <v>25205.51</v>
      </c>
      <c r="J703">
        <v>25095.71</v>
      </c>
      <c r="K703">
        <v>25077.95</v>
      </c>
      <c r="L703">
        <v>25202.41</v>
      </c>
      <c r="M703" s="31"/>
      <c r="N703" s="31"/>
      <c r="O703" s="31"/>
      <c r="P703" s="31"/>
      <c r="Q703" s="31"/>
      <c r="R703" s="32"/>
      <c r="S703" s="33"/>
      <c r="T703" s="55"/>
      <c r="U703" s="16"/>
      <c r="V703" s="47"/>
      <c r="W703" s="47"/>
      <c r="X703" s="48"/>
      <c r="Y703" s="48"/>
      <c r="Z703" s="49"/>
      <c r="AA703" s="49"/>
    </row>
    <row r="704" spans="1:27" ht="16.5" customHeight="1" thickBot="1">
      <c r="A704" s="97"/>
      <c r="B704" s="96"/>
      <c r="C704" s="34" t="s">
        <v>129</v>
      </c>
      <c r="D704" s="35">
        <f>IF(((D702="")*AND(D703="")),"",(D702-D703)*3)</f>
        <v>11294.819999999996</v>
      </c>
      <c r="E704" s="35">
        <f t="shared" ref="E704:L704" si="230">IF(((E702="")*AND(E703="")),"",(E702-E703)*3)</f>
        <v>11755.5</v>
      </c>
      <c r="F704" s="35">
        <f t="shared" si="230"/>
        <v>11741.399999999998</v>
      </c>
      <c r="G704" s="35">
        <f t="shared" si="230"/>
        <v>11922.300000000007</v>
      </c>
      <c r="H704" s="35">
        <f t="shared" si="230"/>
        <v>11831.430000000004</v>
      </c>
      <c r="I704" s="35">
        <f t="shared" si="230"/>
        <v>11796.780000000006</v>
      </c>
      <c r="J704" s="35">
        <f t="shared" si="230"/>
        <v>11835.510000000006</v>
      </c>
      <c r="K704" s="35">
        <f t="shared" si="230"/>
        <v>11939.609999999997</v>
      </c>
      <c r="L704" s="35">
        <f t="shared" si="230"/>
        <v>11847.330000000002</v>
      </c>
      <c r="M704" s="36"/>
      <c r="N704" s="36"/>
      <c r="O704" s="36"/>
      <c r="P704" s="36"/>
      <c r="Q704" s="36"/>
      <c r="R704" s="37"/>
      <c r="S704" s="38"/>
      <c r="T704" s="56"/>
      <c r="U704" s="16"/>
      <c r="V704" s="50"/>
      <c r="W704" s="50"/>
      <c r="X704" s="51"/>
      <c r="Y704" s="51"/>
      <c r="Z704" s="52"/>
      <c r="AA704" s="52"/>
    </row>
    <row r="705" spans="1:27" ht="15.75">
      <c r="A705" s="98">
        <v>43514</v>
      </c>
      <c r="B705" s="115" t="s">
        <v>429</v>
      </c>
      <c r="C705" s="26" t="s">
        <v>126</v>
      </c>
      <c r="D705">
        <v>29071.7</v>
      </c>
      <c r="E705">
        <v>28997.53</v>
      </c>
      <c r="F705">
        <v>29025.22</v>
      </c>
      <c r="G705">
        <v>28992.49</v>
      </c>
      <c r="H705">
        <v>29060.84</v>
      </c>
      <c r="I705">
        <v>29061.03</v>
      </c>
      <c r="J705">
        <v>28999.26</v>
      </c>
      <c r="K705">
        <v>28987.38</v>
      </c>
      <c r="L705">
        <v>29067.11</v>
      </c>
      <c r="M705" s="27">
        <f>IF((L706=""),"",MAX(D707:L707))</f>
        <v>10970.52</v>
      </c>
      <c r="N705" s="27">
        <f>IF(L706="","",MIN(D707:L707))</f>
        <v>10497.510000000006</v>
      </c>
      <c r="O705" s="27">
        <f>IF((L707=""),"",AVERAGE(D707:L707))</f>
        <v>10838.47</v>
      </c>
      <c r="P705" s="27">
        <f>IF((L706=""),"",STDEV(D707:L707))</f>
        <v>151.2143839885079</v>
      </c>
      <c r="Q705" s="168">
        <f>IF((L706=""),"",((M705-N705)/(M705+P705))*100)</f>
        <v>4.2530237071743704</v>
      </c>
      <c r="R705" s="28" t="str">
        <f>IF(L706="","",IF(Q705&lt;Z705,IF(N705&gt;V705,IF(M705&lt;W705,"Pass","Fail"),"Fail"),"Fail"))</f>
        <v>Pass</v>
      </c>
      <c r="S705" s="29">
        <v>1159</v>
      </c>
      <c r="T705" s="54" t="s">
        <v>312</v>
      </c>
      <c r="U705" s="16"/>
      <c r="V705" s="53">
        <v>10000</v>
      </c>
      <c r="W705" s="22">
        <v>15600</v>
      </c>
      <c r="X705" s="40">
        <v>8090</v>
      </c>
      <c r="Y705" s="40">
        <v>12070</v>
      </c>
      <c r="Z705" s="49">
        <v>15</v>
      </c>
      <c r="AA705" s="49">
        <v>6</v>
      </c>
    </row>
    <row r="706" spans="1:27" ht="15.75" customHeight="1">
      <c r="A706" s="96"/>
      <c r="B706" s="96"/>
      <c r="C706" s="30" t="s">
        <v>128</v>
      </c>
      <c r="D706">
        <v>25572.53</v>
      </c>
      <c r="E706">
        <v>25404.54</v>
      </c>
      <c r="F706">
        <v>25452.06</v>
      </c>
      <c r="G706">
        <v>25363.55</v>
      </c>
      <c r="H706">
        <v>25418.080000000002</v>
      </c>
      <c r="I706">
        <v>25404.19</v>
      </c>
      <c r="J706">
        <v>25364.34</v>
      </c>
      <c r="K706">
        <v>25343.64</v>
      </c>
      <c r="L706">
        <v>25424.22</v>
      </c>
      <c r="M706" s="31"/>
      <c r="N706" s="31"/>
      <c r="O706" s="31"/>
      <c r="P706" s="31"/>
      <c r="Q706" s="31"/>
      <c r="R706" s="32"/>
      <c r="S706" s="33"/>
      <c r="T706" s="55"/>
      <c r="U706" s="16"/>
      <c r="V706" s="47"/>
      <c r="W706" s="47"/>
      <c r="X706" s="48"/>
      <c r="Y706" s="48"/>
      <c r="Z706" s="49"/>
      <c r="AA706" s="49"/>
    </row>
    <row r="707" spans="1:27" ht="16.5" customHeight="1" thickBot="1">
      <c r="A707" s="97"/>
      <c r="B707" s="96"/>
      <c r="C707" s="34" t="s">
        <v>129</v>
      </c>
      <c r="D707" s="35">
        <f>IF(((D705="")*AND(D706="")),"",(D705-D706)*3)</f>
        <v>10497.510000000006</v>
      </c>
      <c r="E707" s="35">
        <f t="shared" ref="E707:L707" si="231">IF(((E705="")*AND(E706="")),"",(E705-E706)*3)</f>
        <v>10778.969999999994</v>
      </c>
      <c r="F707" s="35">
        <f t="shared" si="231"/>
        <v>10719.48</v>
      </c>
      <c r="G707" s="35">
        <f t="shared" si="231"/>
        <v>10886.820000000007</v>
      </c>
      <c r="H707" s="35">
        <f t="shared" si="231"/>
        <v>10928.279999999995</v>
      </c>
      <c r="I707" s="35">
        <f t="shared" si="231"/>
        <v>10970.52</v>
      </c>
      <c r="J707" s="35">
        <f t="shared" si="231"/>
        <v>10904.759999999995</v>
      </c>
      <c r="K707" s="35">
        <f t="shared" si="231"/>
        <v>10931.220000000005</v>
      </c>
      <c r="L707" s="35">
        <f t="shared" si="231"/>
        <v>10928.669999999998</v>
      </c>
      <c r="M707" s="36"/>
      <c r="N707" s="36"/>
      <c r="O707" s="36"/>
      <c r="P707" s="36"/>
      <c r="Q707" s="36"/>
      <c r="R707" s="37"/>
      <c r="S707" s="38"/>
      <c r="T707" s="56"/>
      <c r="U707" s="16"/>
      <c r="V707" s="50"/>
      <c r="W707" s="50"/>
      <c r="X707" s="51"/>
      <c r="Y707" s="51"/>
      <c r="Z707" s="52"/>
      <c r="AA707" s="52"/>
    </row>
    <row r="708" spans="1:27" ht="15.75">
      <c r="A708" s="98">
        <v>43517</v>
      </c>
      <c r="B708" s="115" t="s">
        <v>429</v>
      </c>
      <c r="C708" s="26" t="s">
        <v>126</v>
      </c>
      <c r="D708">
        <v>29124.01</v>
      </c>
      <c r="E708">
        <v>29065.97</v>
      </c>
      <c r="F708">
        <v>29123.22</v>
      </c>
      <c r="G708">
        <v>29071.63</v>
      </c>
      <c r="H708">
        <v>29118.44</v>
      </c>
      <c r="I708">
        <v>29119.1</v>
      </c>
      <c r="J708">
        <v>29070.52</v>
      </c>
      <c r="K708">
        <v>29059.7</v>
      </c>
      <c r="L708">
        <v>29115.57</v>
      </c>
      <c r="M708" s="27">
        <f>IF((L709=""),"",MAX(D710:L710))</f>
        <v>12386.699999999993</v>
      </c>
      <c r="N708" s="27">
        <f>IF(L709="","",MIN(D710:L710))</f>
        <v>11608.949999999993</v>
      </c>
      <c r="O708" s="27">
        <f>IF((L710=""),"",AVERAGE(D710:L710))</f>
        <v>12156.143333333333</v>
      </c>
      <c r="P708" s="27">
        <f>IF((L709=""),"",STDEV(D710:L710))</f>
        <v>232.85698373681873</v>
      </c>
      <c r="Q708" s="168">
        <f>IF((L709=""),"",((M708-N708)/(M708+P708))*100)</f>
        <v>6.1630531167006009</v>
      </c>
      <c r="R708" s="28" t="str">
        <f>IF(L709="","",IF(Q708&lt;Z708,IF(N708&gt;V708,IF(M708&lt;W708,"Pass","Fail"),"Fail"),"Fail"))</f>
        <v>Pass</v>
      </c>
      <c r="S708" s="29">
        <v>1159</v>
      </c>
      <c r="T708" s="54" t="s">
        <v>313</v>
      </c>
      <c r="U708" s="16"/>
      <c r="V708" s="53">
        <v>10000</v>
      </c>
      <c r="W708" s="22">
        <v>15600</v>
      </c>
      <c r="X708" s="40">
        <v>8090</v>
      </c>
      <c r="Y708" s="40">
        <v>12070</v>
      </c>
      <c r="Z708" s="49">
        <v>15</v>
      </c>
      <c r="AA708" s="49">
        <v>6</v>
      </c>
    </row>
    <row r="709" spans="1:27" ht="15.75" customHeight="1">
      <c r="A709" s="96"/>
      <c r="B709" s="96"/>
      <c r="C709" s="30" t="s">
        <v>128</v>
      </c>
      <c r="D709">
        <v>25254.36</v>
      </c>
      <c r="E709">
        <v>25048.11</v>
      </c>
      <c r="F709">
        <v>25103.8</v>
      </c>
      <c r="G709">
        <v>24965.99</v>
      </c>
      <c r="H709">
        <v>24989.54</v>
      </c>
      <c r="I709">
        <v>25022.98</v>
      </c>
      <c r="J709">
        <v>24991.35</v>
      </c>
      <c r="K709">
        <v>24976.54</v>
      </c>
      <c r="L709">
        <v>25047.06</v>
      </c>
      <c r="M709" s="31"/>
      <c r="N709" s="31"/>
      <c r="O709" s="31"/>
      <c r="P709" s="31"/>
      <c r="Q709" s="31"/>
      <c r="R709" s="32"/>
      <c r="S709" s="33"/>
      <c r="T709" s="55"/>
      <c r="U709" s="16"/>
      <c r="V709" s="47"/>
      <c r="W709" s="47"/>
      <c r="X709" s="48"/>
      <c r="Y709" s="48"/>
      <c r="Z709" s="49"/>
      <c r="AA709" s="49"/>
    </row>
    <row r="710" spans="1:27" ht="16.5" customHeight="1" thickBot="1">
      <c r="A710" s="97"/>
      <c r="B710" s="96"/>
      <c r="C710" s="34" t="s">
        <v>129</v>
      </c>
      <c r="D710" s="35">
        <f>IF(((D708="")*AND(D709="")),"",(D708-D709)*3)</f>
        <v>11608.949999999993</v>
      </c>
      <c r="E710" s="35">
        <f t="shared" ref="E710:L710" si="232">IF(((E708="")*AND(E709="")),"",(E708-E709)*3)</f>
        <v>12053.580000000002</v>
      </c>
      <c r="F710" s="35">
        <f t="shared" si="232"/>
        <v>12058.260000000006</v>
      </c>
      <c r="G710" s="35">
        <f t="shared" si="232"/>
        <v>12316.919999999998</v>
      </c>
      <c r="H710" s="35">
        <f t="shared" si="232"/>
        <v>12386.699999999993</v>
      </c>
      <c r="I710" s="35">
        <f t="shared" si="232"/>
        <v>12288.359999999997</v>
      </c>
      <c r="J710" s="35">
        <f t="shared" si="232"/>
        <v>12237.510000000006</v>
      </c>
      <c r="K710" s="35">
        <f t="shared" si="232"/>
        <v>12249.48</v>
      </c>
      <c r="L710" s="35">
        <f t="shared" si="232"/>
        <v>12205.529999999995</v>
      </c>
      <c r="M710" s="36"/>
      <c r="N710" s="36"/>
      <c r="O710" s="36"/>
      <c r="P710" s="36"/>
      <c r="Q710" s="36"/>
      <c r="R710" s="37"/>
      <c r="S710" s="38"/>
      <c r="T710" s="56"/>
      <c r="U710" s="16"/>
      <c r="V710" s="50"/>
      <c r="W710" s="50"/>
      <c r="X710" s="51"/>
      <c r="Y710" s="51"/>
      <c r="Z710" s="52"/>
      <c r="AA710" s="52"/>
    </row>
    <row r="711" spans="1:27" ht="15.75">
      <c r="A711" s="98">
        <v>43521</v>
      </c>
      <c r="B711" s="115" t="s">
        <v>429</v>
      </c>
      <c r="C711" s="26" t="s">
        <v>126</v>
      </c>
      <c r="D711">
        <v>29083.360000000001</v>
      </c>
      <c r="E711">
        <v>29036.89</v>
      </c>
      <c r="F711">
        <v>29069.67</v>
      </c>
      <c r="G711">
        <v>29041.73</v>
      </c>
      <c r="H711">
        <v>29095.62</v>
      </c>
      <c r="I711">
        <v>29114.27</v>
      </c>
      <c r="J711">
        <v>29040.26</v>
      </c>
      <c r="K711">
        <v>29030.799999999999</v>
      </c>
      <c r="L711">
        <v>29086.68</v>
      </c>
      <c r="M711" s="27">
        <f>IF((L712=""),"",MAX(D713:L713))</f>
        <v>11734.199999999993</v>
      </c>
      <c r="N711" s="27">
        <f>IF(L712="","",MIN(D713:L713))</f>
        <v>10964.189999999999</v>
      </c>
      <c r="O711" s="27">
        <f>IF((L713=""),"",AVERAGE(D713:L713))</f>
        <v>11509.096666666666</v>
      </c>
      <c r="P711" s="27">
        <f>IF((L712=""),"",STDEV(D713:L713))</f>
        <v>230.92181929170724</v>
      </c>
      <c r="Q711" s="168">
        <f>IF((L712=""),"",((M711-N711)/(M711+P711))*100)</f>
        <v>6.4354547461312608</v>
      </c>
      <c r="R711" s="28" t="str">
        <f>IF(L712="","",IF(Q711&lt;Z711,IF(N711&gt;V711,IF(M711&lt;W711,"Pass","Fail"),"Fail"),"Fail"))</f>
        <v>Pass</v>
      </c>
      <c r="S711" s="29" t="s">
        <v>314</v>
      </c>
      <c r="T711" s="54" t="s">
        <v>315</v>
      </c>
      <c r="U711" s="16"/>
      <c r="V711" s="53">
        <v>10000</v>
      </c>
      <c r="W711" s="22">
        <v>15600</v>
      </c>
      <c r="X711" s="40">
        <v>8090</v>
      </c>
      <c r="Y711" s="40">
        <v>12070</v>
      </c>
      <c r="Z711" s="49">
        <v>15</v>
      </c>
      <c r="AA711" s="49">
        <v>6</v>
      </c>
    </row>
    <row r="712" spans="1:27" ht="15.75" customHeight="1">
      <c r="A712" s="96"/>
      <c r="B712" s="96"/>
      <c r="C712" s="30" t="s">
        <v>128</v>
      </c>
      <c r="D712">
        <v>25428.63</v>
      </c>
      <c r="E712">
        <v>25239.96</v>
      </c>
      <c r="F712">
        <v>25260.01</v>
      </c>
      <c r="G712">
        <v>25156.91</v>
      </c>
      <c r="H712">
        <v>25184.22</v>
      </c>
      <c r="I712">
        <v>25237.47</v>
      </c>
      <c r="J712">
        <v>25186.82</v>
      </c>
      <c r="K712">
        <v>25162.76</v>
      </c>
      <c r="L712">
        <v>25215.21</v>
      </c>
      <c r="M712" s="31"/>
      <c r="N712" s="31"/>
      <c r="O712" s="31"/>
      <c r="P712" s="31"/>
      <c r="Q712" s="31"/>
      <c r="R712" s="32"/>
      <c r="S712" s="33"/>
      <c r="T712" s="55"/>
      <c r="U712" s="16"/>
      <c r="V712" s="47"/>
      <c r="W712" s="47"/>
      <c r="X712" s="48"/>
      <c r="Y712" s="48"/>
      <c r="Z712" s="49"/>
      <c r="AA712" s="49"/>
    </row>
    <row r="713" spans="1:27" ht="16.5" customHeight="1" thickBot="1">
      <c r="A713" s="97"/>
      <c r="B713" s="96"/>
      <c r="C713" s="34" t="s">
        <v>129</v>
      </c>
      <c r="D713" s="35">
        <f>IF(((D711="")*AND(D712="")),"",(D711-D712)*3)</f>
        <v>10964.189999999999</v>
      </c>
      <c r="E713" s="35">
        <f t="shared" ref="E713:L713" si="233">IF(((E711="")*AND(E712="")),"",(E711-E712)*3)</f>
        <v>11390.79</v>
      </c>
      <c r="F713" s="35">
        <f t="shared" si="233"/>
        <v>11428.98</v>
      </c>
      <c r="G713" s="35">
        <f t="shared" si="233"/>
        <v>11654.46</v>
      </c>
      <c r="H713" s="35">
        <f t="shared" si="233"/>
        <v>11734.199999999993</v>
      </c>
      <c r="I713" s="35">
        <f t="shared" si="233"/>
        <v>11630.399999999998</v>
      </c>
      <c r="J713" s="35">
        <f t="shared" si="233"/>
        <v>11560.319999999996</v>
      </c>
      <c r="K713" s="35">
        <f t="shared" si="233"/>
        <v>11604.120000000003</v>
      </c>
      <c r="L713" s="35">
        <f t="shared" si="233"/>
        <v>11614.410000000003</v>
      </c>
      <c r="M713" s="36"/>
      <c r="N713" s="36"/>
      <c r="O713" s="36"/>
      <c r="P713" s="36"/>
      <c r="Q713" s="36"/>
      <c r="R713" s="37"/>
      <c r="S713" s="38"/>
      <c r="T713" s="56"/>
      <c r="U713" s="16"/>
      <c r="V713" s="50"/>
      <c r="W713" s="50"/>
      <c r="X713" s="51"/>
      <c r="Y713" s="51"/>
      <c r="Z713" s="52"/>
      <c r="AA713" s="52"/>
    </row>
    <row r="714" spans="1:27" ht="15.75">
      <c r="A714" s="98">
        <v>43524</v>
      </c>
      <c r="B714" s="115" t="s">
        <v>429</v>
      </c>
      <c r="C714" s="26" t="s">
        <v>126</v>
      </c>
      <c r="D714">
        <v>29108.799999999999</v>
      </c>
      <c r="E714">
        <v>29017.08</v>
      </c>
      <c r="F714">
        <v>29025.31</v>
      </c>
      <c r="G714">
        <v>29020.82</v>
      </c>
      <c r="H714">
        <v>29108.05</v>
      </c>
      <c r="I714">
        <v>29068.16</v>
      </c>
      <c r="J714">
        <v>29002.3</v>
      </c>
      <c r="K714">
        <v>29026.1</v>
      </c>
      <c r="L714">
        <v>29109.91</v>
      </c>
      <c r="M714" s="27">
        <f>IF((L715=""),"",MAX(D716:L716))</f>
        <v>11905.29</v>
      </c>
      <c r="N714" s="27">
        <f>IF(L715="","",MIN(D716:L716))</f>
        <v>11063.879999999997</v>
      </c>
      <c r="O714" s="27">
        <f>IF((L716=""),"",AVERAGE(D716:L716))</f>
        <v>11679.006666666666</v>
      </c>
      <c r="P714" s="27">
        <f>IF((L715=""),"",STDEV(D716:L716))</f>
        <v>259.75232636116266</v>
      </c>
      <c r="Q714" s="168">
        <f>IF((L715=""),"",((M714-N714)/(M714+P714))*100)</f>
        <v>6.9166220505184883</v>
      </c>
      <c r="R714" s="28" t="str">
        <f>IF(L715="","",IF(Q714&lt;Z714,IF(N714&gt;V714,IF(M714&lt;W714,"Pass","Fail"),"Fail"),"Fail"))</f>
        <v>Pass</v>
      </c>
      <c r="S714" s="29" t="s">
        <v>316</v>
      </c>
      <c r="T714" s="54" t="s">
        <v>317</v>
      </c>
      <c r="U714" s="16"/>
      <c r="V714" s="53">
        <v>10000</v>
      </c>
      <c r="W714" s="22">
        <v>15600</v>
      </c>
      <c r="X714" s="40">
        <v>8090</v>
      </c>
      <c r="Y714" s="40">
        <v>12070</v>
      </c>
      <c r="Z714" s="49">
        <v>15</v>
      </c>
      <c r="AA714" s="49">
        <v>6</v>
      </c>
    </row>
    <row r="715" spans="1:27" ht="15.75" customHeight="1">
      <c r="A715" s="96"/>
      <c r="B715" s="96"/>
      <c r="C715" s="30" t="s">
        <v>128</v>
      </c>
      <c r="D715">
        <v>25420.84</v>
      </c>
      <c r="E715">
        <v>25148.66</v>
      </c>
      <c r="F715">
        <v>25165.38</v>
      </c>
      <c r="G715">
        <v>25052.39</v>
      </c>
      <c r="H715">
        <v>25153.43</v>
      </c>
      <c r="I715">
        <v>25177.78</v>
      </c>
      <c r="J715">
        <v>25087.02</v>
      </c>
      <c r="K715">
        <v>25062.39</v>
      </c>
      <c r="L715">
        <v>25181.62</v>
      </c>
      <c r="M715" s="31"/>
      <c r="N715" s="31"/>
      <c r="O715" s="31"/>
      <c r="P715" s="31"/>
      <c r="Q715" s="31"/>
      <c r="R715" s="32"/>
      <c r="S715" s="33"/>
      <c r="T715" s="55"/>
      <c r="U715" s="16"/>
      <c r="V715" s="47"/>
      <c r="W715" s="47"/>
      <c r="X715" s="48"/>
      <c r="Y715" s="48"/>
      <c r="Z715" s="49"/>
      <c r="AA715" s="49"/>
    </row>
    <row r="716" spans="1:27" ht="16.5" customHeight="1" thickBot="1">
      <c r="A716" s="97"/>
      <c r="B716" s="96"/>
      <c r="C716" s="34" t="s">
        <v>129</v>
      </c>
      <c r="D716" s="35">
        <f>IF(((D714="")*AND(D715="")),"",(D714-D715)*3)</f>
        <v>11063.879999999997</v>
      </c>
      <c r="E716" s="35">
        <f t="shared" ref="E716:L716" si="234">IF(((E714="")*AND(E715="")),"",(E714-E715)*3)</f>
        <v>11605.260000000006</v>
      </c>
      <c r="F716" s="35">
        <f t="shared" si="234"/>
        <v>11579.79</v>
      </c>
      <c r="G716" s="35">
        <f t="shared" si="234"/>
        <v>11905.29</v>
      </c>
      <c r="H716" s="35">
        <f t="shared" si="234"/>
        <v>11863.859999999997</v>
      </c>
      <c r="I716" s="35">
        <f t="shared" si="234"/>
        <v>11671.140000000003</v>
      </c>
      <c r="J716" s="35">
        <f t="shared" si="234"/>
        <v>11745.839999999997</v>
      </c>
      <c r="K716" s="35">
        <f t="shared" si="234"/>
        <v>11891.129999999997</v>
      </c>
      <c r="L716" s="35">
        <f t="shared" si="234"/>
        <v>11784.870000000003</v>
      </c>
      <c r="M716" s="36"/>
      <c r="N716" s="36"/>
      <c r="O716" s="36"/>
      <c r="P716" s="36"/>
      <c r="Q716" s="36"/>
      <c r="R716" s="37"/>
      <c r="S716" s="38"/>
      <c r="T716" s="56"/>
      <c r="U716" s="16"/>
      <c r="V716" s="50"/>
      <c r="W716" s="50"/>
      <c r="X716" s="51"/>
      <c r="Y716" s="51"/>
      <c r="Z716" s="52"/>
      <c r="AA716" s="52"/>
    </row>
    <row r="717" spans="1:27" ht="15.75">
      <c r="A717" s="98">
        <v>43528</v>
      </c>
      <c r="B717" s="115" t="s">
        <v>429</v>
      </c>
      <c r="C717" s="26" t="s">
        <v>126</v>
      </c>
      <c r="D717">
        <v>29027.54</v>
      </c>
      <c r="E717">
        <v>28943.19</v>
      </c>
      <c r="F717">
        <v>28990.97</v>
      </c>
      <c r="G717">
        <v>28923.599999999999</v>
      </c>
      <c r="H717">
        <v>28973.83</v>
      </c>
      <c r="I717">
        <v>28971.1</v>
      </c>
      <c r="J717">
        <v>28915.96</v>
      </c>
      <c r="K717">
        <v>28930.46</v>
      </c>
      <c r="L717">
        <v>29022.47</v>
      </c>
      <c r="M717" s="27">
        <f>IF((L718=""),"",MAX(D719:L719))</f>
        <v>12219.900000000009</v>
      </c>
      <c r="N717" s="27">
        <f>IF(L718="","",MIN(D719:L719))</f>
        <v>11346.030000000006</v>
      </c>
      <c r="O717" s="27">
        <f>IF((L719=""),"",AVERAGE(D719:L719))</f>
        <v>12022.393333333333</v>
      </c>
      <c r="P717" s="27">
        <f>IF((L718=""),"",STDEV(D719:L719))</f>
        <v>271.23640247023195</v>
      </c>
      <c r="Q717" s="168">
        <f>IF((L718=""),"",((M717-N717)/(M717+P717))*100)</f>
        <v>6.9959207220504487</v>
      </c>
      <c r="R717" s="28" t="str">
        <f>IF(L718="","",IF(Q717&lt;Z717,IF(N717&gt;V717,IF(M717&lt;W717,"Pass","Fail"),"Fail"),"Fail"))</f>
        <v>Pass</v>
      </c>
      <c r="S717" s="29">
        <v>1159</v>
      </c>
      <c r="T717" s="54" t="s">
        <v>318</v>
      </c>
      <c r="U717" s="16"/>
      <c r="V717" s="53">
        <v>10000</v>
      </c>
      <c r="W717" s="22">
        <v>15600</v>
      </c>
      <c r="X717" s="40">
        <v>8090</v>
      </c>
      <c r="Y717" s="40">
        <v>12070</v>
      </c>
      <c r="Z717" s="49">
        <v>15</v>
      </c>
      <c r="AA717" s="49">
        <v>6</v>
      </c>
    </row>
    <row r="718" spans="1:27" ht="15.75" customHeight="1">
      <c r="A718" s="98"/>
      <c r="B718" s="111"/>
      <c r="C718" s="30" t="s">
        <v>128</v>
      </c>
      <c r="D718">
        <v>25245.53</v>
      </c>
      <c r="E718">
        <v>24970.7</v>
      </c>
      <c r="F718">
        <v>24993.66</v>
      </c>
      <c r="G718">
        <v>24857.7</v>
      </c>
      <c r="H718">
        <v>24900.53</v>
      </c>
      <c r="I718">
        <v>24920.81</v>
      </c>
      <c r="J718">
        <v>24881.19</v>
      </c>
      <c r="K718">
        <v>24882.86</v>
      </c>
      <c r="L718">
        <v>24978.959999999999</v>
      </c>
      <c r="M718" s="31"/>
      <c r="N718" s="31"/>
      <c r="O718" s="31"/>
      <c r="P718" s="31"/>
      <c r="Q718" s="31"/>
      <c r="R718" s="32"/>
      <c r="S718" s="33"/>
      <c r="T718" s="55"/>
      <c r="U718" s="16"/>
      <c r="V718" s="47"/>
      <c r="W718" s="47"/>
      <c r="X718" s="48"/>
      <c r="Y718" s="48"/>
      <c r="Z718" s="49"/>
      <c r="AA718" s="49"/>
    </row>
    <row r="719" spans="1:27" ht="16.5" customHeight="1" thickBot="1">
      <c r="A719" s="98"/>
      <c r="B719" s="112"/>
      <c r="C719" s="34" t="s">
        <v>129</v>
      </c>
      <c r="D719" s="35">
        <f>IF(((D717="")*AND(D718="")),"",(D717-D718)*3)</f>
        <v>11346.030000000006</v>
      </c>
      <c r="E719" s="35">
        <f t="shared" ref="E719:L719" si="235">IF(((E717="")*AND(E718="")),"",(E717-E718)*3)</f>
        <v>11917.469999999994</v>
      </c>
      <c r="F719" s="35">
        <f t="shared" si="235"/>
        <v>11991.930000000004</v>
      </c>
      <c r="G719" s="35">
        <f t="shared" si="235"/>
        <v>12197.699999999993</v>
      </c>
      <c r="H719" s="35">
        <f t="shared" si="235"/>
        <v>12219.900000000009</v>
      </c>
      <c r="I719" s="35">
        <f t="shared" si="235"/>
        <v>12150.869999999992</v>
      </c>
      <c r="J719" s="35">
        <f t="shared" si="235"/>
        <v>12104.310000000001</v>
      </c>
      <c r="K719" s="35">
        <f t="shared" si="235"/>
        <v>12142.799999999996</v>
      </c>
      <c r="L719" s="35">
        <f t="shared" si="235"/>
        <v>12130.530000000006</v>
      </c>
      <c r="M719" s="36"/>
      <c r="N719" s="36"/>
      <c r="O719" s="36"/>
      <c r="P719" s="36"/>
      <c r="Q719" s="36"/>
      <c r="R719" s="37"/>
      <c r="S719" s="38"/>
      <c r="T719" s="56"/>
      <c r="U719" s="16"/>
      <c r="V719" s="50"/>
      <c r="W719" s="50"/>
      <c r="X719" s="51"/>
      <c r="Y719" s="51"/>
      <c r="Z719" s="52"/>
      <c r="AA719" s="52"/>
    </row>
    <row r="720" spans="1:27" ht="15.75">
      <c r="A720" s="98">
        <v>43531</v>
      </c>
      <c r="B720" s="115" t="s">
        <v>429</v>
      </c>
      <c r="C720" s="26" t="s">
        <v>126</v>
      </c>
      <c r="D720">
        <v>29005.87</v>
      </c>
      <c r="E720">
        <v>28942.63</v>
      </c>
      <c r="F720">
        <v>28969.8</v>
      </c>
      <c r="G720">
        <v>28927.48</v>
      </c>
      <c r="H720">
        <v>28998.03</v>
      </c>
      <c r="I720">
        <v>28973.9</v>
      </c>
      <c r="J720">
        <v>28935.37</v>
      </c>
      <c r="K720">
        <v>28922.15</v>
      </c>
      <c r="L720">
        <v>29011.54</v>
      </c>
      <c r="M720" s="27">
        <f>IF((L721=""),"",MAX(D722:L722))</f>
        <v>12579.48</v>
      </c>
      <c r="N720" s="27">
        <f>IF(L721="","",MIN(D722:L722))</f>
        <v>11602.919999999998</v>
      </c>
      <c r="O720" s="27">
        <f>IF((L722=""),"",AVERAGE(D722:L722))</f>
        <v>12338.943333333333</v>
      </c>
      <c r="P720" s="27">
        <f>IF((L721=""),"",STDEV(D722:L722))</f>
        <v>294.96125652365191</v>
      </c>
      <c r="Q720" s="168">
        <f>IF((L721=""),"",((M720-N720)/(M720+P720))*100)</f>
        <v>7.5852612205998868</v>
      </c>
      <c r="R720" s="28" t="str">
        <f>IF(L721="","",IF(Q720&lt;Z720,IF(N720&gt;V720,IF(M720&lt;W720,"Pass","Fail"),"Fail"),"Fail"))</f>
        <v>Pass</v>
      </c>
      <c r="S720" s="29" t="s">
        <v>285</v>
      </c>
      <c r="T720" s="54"/>
      <c r="U720" s="16"/>
      <c r="V720" s="53">
        <v>10000</v>
      </c>
      <c r="W720" s="22">
        <v>15600</v>
      </c>
      <c r="X720" s="40">
        <v>8090</v>
      </c>
      <c r="Y720" s="40">
        <v>12070</v>
      </c>
      <c r="Z720" s="49">
        <v>15</v>
      </c>
      <c r="AA720" s="49">
        <v>6</v>
      </c>
    </row>
    <row r="721" spans="1:27" ht="15.75" customHeight="1">
      <c r="A721" s="98"/>
      <c r="B721" s="111"/>
      <c r="C721" s="30" t="s">
        <v>128</v>
      </c>
      <c r="D721">
        <v>25138.23</v>
      </c>
      <c r="E721">
        <v>24857.22</v>
      </c>
      <c r="F721">
        <v>24853.55</v>
      </c>
      <c r="G721">
        <v>24745.71</v>
      </c>
      <c r="H721">
        <v>24804.87</v>
      </c>
      <c r="I721">
        <v>24815.34</v>
      </c>
      <c r="J721">
        <v>24780.560000000001</v>
      </c>
      <c r="K721">
        <v>24772.15</v>
      </c>
      <c r="L721">
        <v>24902.31</v>
      </c>
      <c r="M721" s="31"/>
      <c r="N721" s="31"/>
      <c r="O721" s="31"/>
      <c r="P721" s="31"/>
      <c r="Q721" s="31"/>
      <c r="R721" s="32"/>
      <c r="S721" s="33"/>
      <c r="T721" s="55"/>
      <c r="U721" s="16"/>
      <c r="V721" s="47"/>
      <c r="W721" s="47"/>
      <c r="X721" s="48"/>
      <c r="Y721" s="48"/>
      <c r="Z721" s="49"/>
      <c r="AA721" s="49"/>
    </row>
    <row r="722" spans="1:27" ht="16.5" customHeight="1" thickBot="1">
      <c r="A722" s="98"/>
      <c r="B722" s="112"/>
      <c r="C722" s="34" t="s">
        <v>129</v>
      </c>
      <c r="D722" s="35">
        <f>IF(((D720="")*AND(D721="")),"",(D720-D721)*3)</f>
        <v>11602.919999999998</v>
      </c>
      <c r="E722" s="35">
        <f t="shared" ref="E722:L722" si="236">IF(((E720="")*AND(E721="")),"",(E720-E721)*3)</f>
        <v>12256.23</v>
      </c>
      <c r="F722" s="35">
        <f t="shared" si="236"/>
        <v>12348.75</v>
      </c>
      <c r="G722" s="35">
        <f t="shared" si="236"/>
        <v>12545.310000000001</v>
      </c>
      <c r="H722" s="35">
        <f t="shared" si="236"/>
        <v>12579.48</v>
      </c>
      <c r="I722" s="35">
        <f t="shared" si="236"/>
        <v>12475.680000000004</v>
      </c>
      <c r="J722" s="35">
        <f t="shared" si="236"/>
        <v>12464.429999999993</v>
      </c>
      <c r="K722" s="35">
        <f t="shared" si="236"/>
        <v>12450</v>
      </c>
      <c r="L722" s="35">
        <f t="shared" si="236"/>
        <v>12327.689999999999</v>
      </c>
      <c r="M722" s="36"/>
      <c r="N722" s="36"/>
      <c r="O722" s="36"/>
      <c r="P722" s="36"/>
      <c r="Q722" s="36"/>
      <c r="R722" s="37"/>
      <c r="S722" s="38"/>
      <c r="T722" s="56"/>
      <c r="U722" s="16"/>
      <c r="V722" s="50"/>
      <c r="W722" s="50"/>
      <c r="X722" s="51"/>
      <c r="Y722" s="51"/>
      <c r="Z722" s="52"/>
      <c r="AA722" s="52"/>
    </row>
    <row r="723" spans="1:27" ht="15.75">
      <c r="A723" s="98">
        <v>43535</v>
      </c>
      <c r="B723" s="115" t="s">
        <v>429</v>
      </c>
      <c r="C723" s="26" t="s">
        <v>126</v>
      </c>
      <c r="D723">
        <v>29034.639999999999</v>
      </c>
      <c r="E723">
        <v>28947.68</v>
      </c>
      <c r="F723">
        <v>28930.86</v>
      </c>
      <c r="G723">
        <v>28946.68</v>
      </c>
      <c r="H723">
        <v>29072</v>
      </c>
      <c r="I723">
        <v>29094.240000000002</v>
      </c>
      <c r="J723">
        <v>28931.51</v>
      </c>
      <c r="K723">
        <v>28936.13</v>
      </c>
      <c r="L723">
        <v>29045.62</v>
      </c>
      <c r="M723" s="27">
        <f>IF((L724=""),"",MAX(D725:L725))</f>
        <v>12153.720000000005</v>
      </c>
      <c r="N723" s="27">
        <f>IF(L724="","",MIN(D725:L725))</f>
        <v>11527.140000000003</v>
      </c>
      <c r="O723" s="27">
        <f>IF((L725=""),"",AVERAGE(D725:L725))</f>
        <v>11928.416666666664</v>
      </c>
      <c r="P723" s="27">
        <f>IF((L724=""),"",STDEV(D725:L725))</f>
        <v>195.60096708620694</v>
      </c>
      <c r="Q723" s="168">
        <f>IF((L724=""),"",((M723-N723)/(M723+P723))*100)</f>
        <v>5.0738012370881114</v>
      </c>
      <c r="R723" s="28" t="str">
        <f>IF(L724="","",IF(Q723&lt;Z723,IF(N723&gt;V723,IF(M723&lt;W723,"Pass","Fail"),"Fail"),"Fail"))</f>
        <v>Pass</v>
      </c>
      <c r="S723" s="29">
        <v>74</v>
      </c>
      <c r="T723" s="54"/>
      <c r="U723" s="16"/>
      <c r="V723" s="53">
        <v>10000</v>
      </c>
      <c r="W723" s="22">
        <v>15600</v>
      </c>
      <c r="X723" s="40">
        <v>8090</v>
      </c>
      <c r="Y723" s="40">
        <v>12070</v>
      </c>
      <c r="Z723" s="49">
        <v>15</v>
      </c>
      <c r="AA723" s="49">
        <v>6</v>
      </c>
    </row>
    <row r="724" spans="1:27" ht="15.75" customHeight="1">
      <c r="A724" s="98"/>
      <c r="B724" s="111"/>
      <c r="C724" s="30" t="s">
        <v>128</v>
      </c>
      <c r="D724">
        <v>25192.26</v>
      </c>
      <c r="E724">
        <v>25013.49</v>
      </c>
      <c r="F724">
        <v>25000.61</v>
      </c>
      <c r="G724">
        <v>24907.08</v>
      </c>
      <c r="H724">
        <v>25020.76</v>
      </c>
      <c r="I724">
        <v>25109.86</v>
      </c>
      <c r="J724">
        <v>24944.65</v>
      </c>
      <c r="K724">
        <v>24914.75</v>
      </c>
      <c r="L724">
        <v>25050.65</v>
      </c>
      <c r="M724" s="31"/>
      <c r="N724" s="31"/>
      <c r="O724" s="31"/>
      <c r="P724" s="31"/>
      <c r="Q724" s="31"/>
      <c r="R724" s="32"/>
      <c r="S724" s="33"/>
      <c r="T724" s="55"/>
      <c r="U724" s="16"/>
      <c r="V724" s="47"/>
      <c r="W724" s="47"/>
      <c r="X724" s="48"/>
      <c r="Y724" s="48"/>
      <c r="Z724" s="49"/>
      <c r="AA724" s="49"/>
    </row>
    <row r="725" spans="1:27" ht="16.5" customHeight="1" thickBot="1">
      <c r="A725" s="98"/>
      <c r="B725" s="112"/>
      <c r="C725" s="34" t="s">
        <v>129</v>
      </c>
      <c r="D725" s="35">
        <f>IF(((D723="")*AND(D724="")),"",(D723-D724)*3)</f>
        <v>11527.140000000003</v>
      </c>
      <c r="E725" s="35">
        <f t="shared" ref="E725:L725" si="237">IF(((E723="")*AND(E724="")),"",(E723-E724)*3)</f>
        <v>11802.569999999996</v>
      </c>
      <c r="F725" s="35">
        <f t="shared" si="237"/>
        <v>11790.75</v>
      </c>
      <c r="G725" s="35">
        <f t="shared" si="237"/>
        <v>12118.799999999996</v>
      </c>
      <c r="H725" s="35">
        <f t="shared" si="237"/>
        <v>12153.720000000005</v>
      </c>
      <c r="I725" s="35">
        <f t="shared" si="237"/>
        <v>11953.140000000003</v>
      </c>
      <c r="J725" s="35">
        <f t="shared" si="237"/>
        <v>11960.579999999991</v>
      </c>
      <c r="K725" s="35">
        <f t="shared" si="237"/>
        <v>12064.140000000003</v>
      </c>
      <c r="L725" s="35">
        <f t="shared" si="237"/>
        <v>11984.909999999993</v>
      </c>
      <c r="M725" s="36"/>
      <c r="N725" s="36"/>
      <c r="O725" s="36"/>
      <c r="P725" s="36"/>
      <c r="Q725" s="36"/>
      <c r="R725" s="37"/>
      <c r="S725" s="38"/>
      <c r="T725" s="56"/>
      <c r="U725" s="16"/>
      <c r="V725" s="50"/>
      <c r="W725" s="50"/>
      <c r="X725" s="51"/>
      <c r="Y725" s="51"/>
      <c r="Z725" s="52"/>
      <c r="AA725" s="52"/>
    </row>
    <row r="726" spans="1:27" ht="15.75">
      <c r="A726" s="98">
        <v>43536</v>
      </c>
      <c r="B726" s="115" t="s">
        <v>429</v>
      </c>
      <c r="C726" s="26" t="s">
        <v>126</v>
      </c>
      <c r="D726">
        <v>29496</v>
      </c>
      <c r="E726">
        <v>29227</v>
      </c>
      <c r="F726">
        <v>29318</v>
      </c>
      <c r="G726">
        <v>29267</v>
      </c>
      <c r="H726">
        <v>29541</v>
      </c>
      <c r="I726">
        <v>29506</v>
      </c>
      <c r="J726">
        <v>29292</v>
      </c>
      <c r="K726">
        <v>29315</v>
      </c>
      <c r="L726">
        <v>29506</v>
      </c>
      <c r="M726" s="27">
        <f>IF((L727=""),"",MAX(D728:L728))</f>
        <v>12171</v>
      </c>
      <c r="N726" s="27">
        <f>IF(L727="","",MIN(D728:L728))</f>
        <v>11295</v>
      </c>
      <c r="O726" s="27">
        <f>IF((L728=""),"",AVERAGE(D728:L728))</f>
        <v>11798.333333333334</v>
      </c>
      <c r="P726" s="27">
        <f>IF((L727=""),"",STDEV(D728:L728))</f>
        <v>241.55951647575387</v>
      </c>
      <c r="Q726" s="168">
        <f>IF((L727=""),"",((M726-N726)/(M726+P726))*100)</f>
        <v>7.0573679734404928</v>
      </c>
      <c r="R726" s="28" t="str">
        <f>IF(L727="","",IF(Q726&lt;Z726,IF(N726&gt;V726,IF(M726&lt;W726,"Pass","Fail"),"Fail"),"Fail"))</f>
        <v>Pass</v>
      </c>
      <c r="S726" s="29">
        <v>74</v>
      </c>
      <c r="T726" s="54"/>
      <c r="U726" s="16"/>
      <c r="V726" s="53">
        <v>10000</v>
      </c>
      <c r="W726" s="22">
        <v>15600</v>
      </c>
      <c r="X726" s="40">
        <v>8090</v>
      </c>
      <c r="Y726" s="40">
        <v>12070</v>
      </c>
      <c r="Z726" s="49">
        <v>15</v>
      </c>
      <c r="AA726" s="49">
        <v>6</v>
      </c>
    </row>
    <row r="727" spans="1:27" ht="15.75" customHeight="1">
      <c r="A727" s="98"/>
      <c r="B727" s="111"/>
      <c r="C727" s="30" t="s">
        <v>128</v>
      </c>
      <c r="D727">
        <v>25521</v>
      </c>
      <c r="E727">
        <v>25347</v>
      </c>
      <c r="F727">
        <v>25368</v>
      </c>
      <c r="G727">
        <v>25359</v>
      </c>
      <c r="H727">
        <v>25776</v>
      </c>
      <c r="I727">
        <v>25557</v>
      </c>
      <c r="J727">
        <v>25309</v>
      </c>
      <c r="K727">
        <v>25258</v>
      </c>
      <c r="L727">
        <v>25578</v>
      </c>
      <c r="M727" s="31"/>
      <c r="N727" s="31"/>
      <c r="O727" s="31"/>
      <c r="P727" s="31"/>
      <c r="Q727" s="31"/>
      <c r="R727" s="32"/>
      <c r="S727" s="33"/>
      <c r="T727" s="55"/>
      <c r="U727" s="16"/>
      <c r="V727" s="47"/>
      <c r="W727" s="47"/>
      <c r="X727" s="48"/>
      <c r="Y727" s="48"/>
      <c r="Z727" s="49"/>
      <c r="AA727" s="49"/>
    </row>
    <row r="728" spans="1:27" ht="16.5" customHeight="1" thickBot="1">
      <c r="A728" s="98"/>
      <c r="B728" s="112"/>
      <c r="C728" s="34" t="s">
        <v>129</v>
      </c>
      <c r="D728" s="35">
        <f>IF(((D726="")*AND(D727="")),"",(D726-D727)*3)</f>
        <v>11925</v>
      </c>
      <c r="E728" s="35">
        <f t="shared" ref="E728:L728" si="238">IF(((E726="")*AND(E727="")),"",(E726-E727)*3)</f>
        <v>11640</v>
      </c>
      <c r="F728" s="35">
        <f t="shared" si="238"/>
        <v>11850</v>
      </c>
      <c r="G728" s="35">
        <f t="shared" si="238"/>
        <v>11724</v>
      </c>
      <c r="H728" s="35">
        <f t="shared" si="238"/>
        <v>11295</v>
      </c>
      <c r="I728" s="35">
        <f t="shared" si="238"/>
        <v>11847</v>
      </c>
      <c r="J728" s="35">
        <f t="shared" si="238"/>
        <v>11949</v>
      </c>
      <c r="K728" s="35">
        <f t="shared" si="238"/>
        <v>12171</v>
      </c>
      <c r="L728" s="35">
        <f t="shared" si="238"/>
        <v>11784</v>
      </c>
      <c r="M728" s="36"/>
      <c r="N728" s="36"/>
      <c r="O728" s="36"/>
      <c r="P728" s="36"/>
      <c r="Q728" s="36"/>
      <c r="R728" s="37"/>
      <c r="S728" s="38"/>
      <c r="T728" s="56"/>
      <c r="U728" s="16"/>
      <c r="V728" s="50"/>
      <c r="W728" s="50"/>
      <c r="X728" s="51"/>
      <c r="Y728" s="51"/>
      <c r="Z728" s="52"/>
      <c r="AA728" s="52"/>
    </row>
    <row r="729" spans="1:27" ht="15.75">
      <c r="A729" s="98">
        <v>43538</v>
      </c>
      <c r="B729" s="115" t="s">
        <v>429</v>
      </c>
      <c r="C729" s="26" t="s">
        <v>126</v>
      </c>
      <c r="D729">
        <v>28995.95</v>
      </c>
      <c r="E729">
        <v>28905.85</v>
      </c>
      <c r="F729">
        <v>28897.19</v>
      </c>
      <c r="G729">
        <v>28908.67</v>
      </c>
      <c r="H729">
        <v>29010.57</v>
      </c>
      <c r="I729">
        <v>28996.81</v>
      </c>
      <c r="J729">
        <v>28905.1</v>
      </c>
      <c r="K729">
        <v>28888.33</v>
      </c>
      <c r="L729">
        <v>28976.720000000001</v>
      </c>
      <c r="M729" s="27">
        <f>IF((L730=""),"",MAX(D731:L731))</f>
        <v>12236.909999999993</v>
      </c>
      <c r="N729" s="27">
        <f>IF(L730="","",MIN(D731:L731))</f>
        <v>11743.170000000009</v>
      </c>
      <c r="O729" s="27">
        <f>IF((L731=""),"",AVERAGE(D731:L731))</f>
        <v>12086.596666666668</v>
      </c>
      <c r="P729" s="27">
        <f>IF((L730=""),"",STDEV(D731:L731))</f>
        <v>180.67674850389039</v>
      </c>
      <c r="Q729" s="168">
        <f>IF((L730=""),"",((M729-N729)/(M729+P729))*100)</f>
        <v>3.9761348964159322</v>
      </c>
      <c r="R729" s="28" t="str">
        <f>IF(L730="","",IF(Q729&lt;Z729,IF(N729&gt;V729,IF(M729&lt;W729,"Pass","Fail"),"Fail"),"Fail"))</f>
        <v>Pass</v>
      </c>
      <c r="S729" s="29">
        <v>121</v>
      </c>
      <c r="T729" s="54" t="s">
        <v>319</v>
      </c>
      <c r="U729" s="16"/>
      <c r="V729" s="53">
        <v>10000</v>
      </c>
      <c r="W729" s="22">
        <v>15600</v>
      </c>
      <c r="X729" s="40">
        <v>8090</v>
      </c>
      <c r="Y729" s="40">
        <v>12070</v>
      </c>
      <c r="Z729" s="49">
        <v>15</v>
      </c>
      <c r="AA729" s="49">
        <v>6</v>
      </c>
    </row>
    <row r="730" spans="1:27" ht="15.75" customHeight="1">
      <c r="A730" s="98"/>
      <c r="B730" s="111"/>
      <c r="C730" s="30" t="s">
        <v>128</v>
      </c>
      <c r="D730">
        <v>24934.07</v>
      </c>
      <c r="E730">
        <v>24826.880000000001</v>
      </c>
      <c r="F730">
        <v>24947.35</v>
      </c>
      <c r="G730">
        <v>24831.96</v>
      </c>
      <c r="H730">
        <v>24939.88</v>
      </c>
      <c r="I730">
        <v>25082.42</v>
      </c>
      <c r="J730">
        <v>24877.87</v>
      </c>
      <c r="K730">
        <v>24818.49</v>
      </c>
      <c r="L730">
        <v>24966.48</v>
      </c>
      <c r="M730" s="31"/>
      <c r="N730" s="31"/>
      <c r="O730" s="31"/>
      <c r="P730" s="31"/>
      <c r="Q730" s="31"/>
      <c r="R730" s="32"/>
      <c r="S730" s="33"/>
      <c r="T730" s="55"/>
      <c r="U730" s="16"/>
      <c r="V730" s="47"/>
      <c r="W730" s="47"/>
      <c r="X730" s="48"/>
      <c r="Y730" s="48"/>
      <c r="Z730" s="49"/>
      <c r="AA730" s="49"/>
    </row>
    <row r="731" spans="1:27" ht="16.5" customHeight="1" thickBot="1">
      <c r="A731" s="98"/>
      <c r="B731" s="112"/>
      <c r="C731" s="34" t="s">
        <v>129</v>
      </c>
      <c r="D731" s="35">
        <f>IF(((D729="")*AND(D730="")),"",(D729-D730)*3)</f>
        <v>12185.640000000003</v>
      </c>
      <c r="E731" s="35">
        <f t="shared" ref="E731:L731" si="239">IF(((E729="")*AND(E730="")),"",(E729-E730)*3)</f>
        <v>12236.909999999993</v>
      </c>
      <c r="F731" s="35">
        <f t="shared" si="239"/>
        <v>11849.52</v>
      </c>
      <c r="G731" s="35">
        <f t="shared" si="239"/>
        <v>12230.129999999997</v>
      </c>
      <c r="H731" s="35">
        <f t="shared" si="239"/>
        <v>12212.069999999996</v>
      </c>
      <c r="I731" s="35">
        <f t="shared" si="239"/>
        <v>11743.170000000009</v>
      </c>
      <c r="J731" s="35">
        <f t="shared" si="239"/>
        <v>12081.689999999999</v>
      </c>
      <c r="K731" s="35">
        <f t="shared" si="239"/>
        <v>12209.52</v>
      </c>
      <c r="L731" s="35">
        <f t="shared" si="239"/>
        <v>12030.720000000005</v>
      </c>
      <c r="M731" s="36"/>
      <c r="N731" s="36"/>
      <c r="O731" s="36"/>
      <c r="P731" s="36"/>
      <c r="Q731" s="36"/>
      <c r="R731" s="37"/>
      <c r="S731" s="38"/>
      <c r="T731" s="56"/>
      <c r="U731" s="16"/>
      <c r="V731" s="50"/>
      <c r="W731" s="50"/>
      <c r="X731" s="51"/>
      <c r="Y731" s="51"/>
      <c r="Z731" s="52"/>
      <c r="AA731" s="52"/>
    </row>
    <row r="732" spans="1:27" ht="15.75">
      <c r="A732" s="98">
        <v>43542</v>
      </c>
      <c r="B732" s="115" t="s">
        <v>429</v>
      </c>
      <c r="C732" s="26" t="s">
        <v>126</v>
      </c>
      <c r="D732">
        <v>28921.75</v>
      </c>
      <c r="E732">
        <v>28850.639999999999</v>
      </c>
      <c r="F732">
        <v>28886.51</v>
      </c>
      <c r="G732">
        <v>28859.98</v>
      </c>
      <c r="H732">
        <v>28942.84</v>
      </c>
      <c r="I732">
        <v>28938.09</v>
      </c>
      <c r="J732">
        <v>28852.39</v>
      </c>
      <c r="K732">
        <v>28842.29</v>
      </c>
      <c r="L732">
        <v>28957.11</v>
      </c>
      <c r="M732" s="27">
        <f>IF((L733=""),"",MAX(D734:L734))</f>
        <v>12072.930000000004</v>
      </c>
      <c r="N732" s="27">
        <f>IF(L733="","",MIN(D734:L734))</f>
        <v>11520.990000000005</v>
      </c>
      <c r="O732" s="27">
        <f>IF((L734=""),"",AVERAGE(D734:L734))</f>
        <v>11903.590000000002</v>
      </c>
      <c r="P732" s="27">
        <f>IF((L733=""),"",STDEV(D734:L734))</f>
        <v>171.35312354899861</v>
      </c>
      <c r="Q732" s="168">
        <f>IF((L733=""),"",((M732-N732)/(M732+P732))*100)</f>
        <v>4.5077363405495889</v>
      </c>
      <c r="R732" s="28" t="str">
        <f>IF(L733="","",IF(Q732&lt;Z732,IF(N732&gt;V732,IF(M732&lt;W732,"Pass","Fail"),"Fail"),"Fail"))</f>
        <v>Pass</v>
      </c>
      <c r="S732" s="29">
        <v>1340</v>
      </c>
      <c r="T732" s="54"/>
      <c r="U732" s="16"/>
      <c r="V732" s="53">
        <v>10000</v>
      </c>
      <c r="W732" s="22">
        <v>15600</v>
      </c>
      <c r="X732" s="40">
        <v>8090</v>
      </c>
      <c r="Y732" s="40">
        <v>12070</v>
      </c>
      <c r="Z732" s="49">
        <v>15</v>
      </c>
      <c r="AA732" s="49">
        <v>6</v>
      </c>
    </row>
    <row r="733" spans="1:27" ht="15.75" customHeight="1">
      <c r="A733" s="96"/>
      <c r="B733" s="96"/>
      <c r="C733" s="30" t="s">
        <v>128</v>
      </c>
      <c r="D733">
        <v>25081.42</v>
      </c>
      <c r="E733">
        <v>24900.07</v>
      </c>
      <c r="F733">
        <v>24967.21</v>
      </c>
      <c r="G733">
        <v>24835.67</v>
      </c>
      <c r="H733">
        <v>24954.51</v>
      </c>
      <c r="I733">
        <v>24942.55</v>
      </c>
      <c r="J733">
        <v>24854.97</v>
      </c>
      <c r="K733">
        <v>24835.38</v>
      </c>
      <c r="L733">
        <v>24969.05</v>
      </c>
      <c r="M733" s="31"/>
      <c r="N733" s="31"/>
      <c r="O733" s="31"/>
      <c r="P733" s="31"/>
      <c r="Q733" s="31"/>
      <c r="R733" s="32"/>
      <c r="S733" s="33"/>
      <c r="T733" s="55"/>
      <c r="U733" s="16"/>
      <c r="V733" s="47"/>
      <c r="W733" s="47"/>
      <c r="X733" s="48"/>
      <c r="Y733" s="48"/>
      <c r="Z733" s="49"/>
      <c r="AA733" s="49"/>
    </row>
    <row r="734" spans="1:27" ht="16.5" customHeight="1" thickBot="1">
      <c r="A734" s="97"/>
      <c r="B734" s="96"/>
      <c r="C734" s="34" t="s">
        <v>129</v>
      </c>
      <c r="D734" s="35">
        <f>IF(((D732="")*AND(D733="")),"",(D732-D733)*3)</f>
        <v>11520.990000000005</v>
      </c>
      <c r="E734" s="35">
        <f t="shared" ref="E734:L734" si="240">IF(((E732="")*AND(E733="")),"",(E732-E733)*3)</f>
        <v>11851.71</v>
      </c>
      <c r="F734" s="35">
        <f t="shared" si="240"/>
        <v>11757.899999999998</v>
      </c>
      <c r="G734" s="35">
        <f t="shared" si="240"/>
        <v>12072.930000000004</v>
      </c>
      <c r="H734" s="35">
        <f t="shared" si="240"/>
        <v>11964.990000000005</v>
      </c>
      <c r="I734" s="35">
        <f t="shared" si="240"/>
        <v>11986.620000000003</v>
      </c>
      <c r="J734" s="35">
        <f t="shared" si="240"/>
        <v>11992.259999999995</v>
      </c>
      <c r="K734" s="35">
        <f t="shared" si="240"/>
        <v>12020.73</v>
      </c>
      <c r="L734" s="35">
        <f t="shared" si="240"/>
        <v>11964.180000000004</v>
      </c>
      <c r="M734" s="36"/>
      <c r="N734" s="36"/>
      <c r="O734" s="36"/>
      <c r="P734" s="36"/>
      <c r="Q734" s="36"/>
      <c r="R734" s="37"/>
      <c r="S734" s="38"/>
      <c r="T734" s="56"/>
      <c r="U734" s="16"/>
      <c r="V734" s="50"/>
      <c r="W734" s="50"/>
      <c r="X734" s="51"/>
      <c r="Y734" s="51"/>
      <c r="Z734" s="52"/>
      <c r="AA734" s="52"/>
    </row>
    <row r="735" spans="1:27" ht="15.75">
      <c r="A735" s="98">
        <v>43546</v>
      </c>
      <c r="B735" s="115" t="s">
        <v>429</v>
      </c>
      <c r="C735" s="26" t="s">
        <v>126</v>
      </c>
      <c r="D735">
        <v>28927.79</v>
      </c>
      <c r="E735">
        <v>28855.21</v>
      </c>
      <c r="F735">
        <v>28904.27</v>
      </c>
      <c r="G735">
        <v>28859.39</v>
      </c>
      <c r="H735">
        <v>28949.599999999999</v>
      </c>
      <c r="I735">
        <v>28897.06</v>
      </c>
      <c r="J735">
        <v>28842.86</v>
      </c>
      <c r="K735">
        <v>28849.59</v>
      </c>
      <c r="L735">
        <v>28933.89</v>
      </c>
      <c r="M735" s="27">
        <f>IF((L736=""),"",MAX(D737:L737))</f>
        <v>11896.949999999993</v>
      </c>
      <c r="N735" s="27">
        <f>IF(L736="","",MIN(D737:L737))</f>
        <v>11356.29</v>
      </c>
      <c r="O735" s="27">
        <f>IF((L737=""),"",AVERAGE(D737:L737))</f>
        <v>11745.633333333333</v>
      </c>
      <c r="P735" s="27">
        <f>IF((L736=""),"",STDEV(D737:L737))</f>
        <v>168.92686094877797</v>
      </c>
      <c r="Q735" s="168">
        <f>IF((L736=""),"",((M735-N735)/(M735+P735))*100)</f>
        <v>4.4809010255180004</v>
      </c>
      <c r="R735" s="28" t="str">
        <f>IF(L736="","",IF(Q735&lt;Z735,IF(N735&gt;V735,IF(M735&lt;W735,"Pass","Fail"),"Fail"),"Fail"))</f>
        <v>Pass</v>
      </c>
      <c r="S735" s="29">
        <v>1428</v>
      </c>
      <c r="T735" s="54"/>
      <c r="U735" s="16"/>
      <c r="V735" s="53">
        <v>10000</v>
      </c>
      <c r="W735" s="22">
        <v>15600</v>
      </c>
      <c r="X735" s="40">
        <v>8090</v>
      </c>
      <c r="Y735" s="40">
        <v>12070</v>
      </c>
      <c r="Z735" s="49">
        <v>15</v>
      </c>
      <c r="AA735" s="49">
        <v>6</v>
      </c>
    </row>
    <row r="736" spans="1:27" ht="15.75" customHeight="1">
      <c r="A736" s="98"/>
      <c r="B736" s="111"/>
      <c r="C736" s="30" t="s">
        <v>128</v>
      </c>
      <c r="D736">
        <v>25142.36</v>
      </c>
      <c r="E736">
        <v>24952.74</v>
      </c>
      <c r="F736">
        <v>25023.919999999998</v>
      </c>
      <c r="G736">
        <v>24893.74</v>
      </c>
      <c r="H736">
        <v>25011.69</v>
      </c>
      <c r="I736">
        <v>24983.23</v>
      </c>
      <c r="J736">
        <v>24906.18</v>
      </c>
      <c r="K736">
        <v>24885.919999999998</v>
      </c>
      <c r="L736">
        <v>24982.98</v>
      </c>
      <c r="M736" s="31"/>
      <c r="N736" s="31"/>
      <c r="O736" s="31"/>
      <c r="P736" s="31"/>
      <c r="Q736" s="31"/>
      <c r="R736" s="32"/>
      <c r="S736" s="33"/>
      <c r="T736" s="55"/>
      <c r="U736" s="16"/>
      <c r="V736" s="47"/>
      <c r="W736" s="47"/>
      <c r="X736" s="48"/>
      <c r="Y736" s="48"/>
      <c r="Z736" s="49"/>
      <c r="AA736" s="49"/>
    </row>
    <row r="737" spans="1:27" ht="16.5" customHeight="1" thickBot="1">
      <c r="A737" s="98"/>
      <c r="B737" s="112"/>
      <c r="C737" s="34" t="s">
        <v>129</v>
      </c>
      <c r="D737" s="35">
        <f>IF(((D735="")*AND(D736="")),"",(D735-D736)*3)</f>
        <v>11356.29</v>
      </c>
      <c r="E737" s="35">
        <f t="shared" ref="E737:L737" si="241">IF(((E735="")*AND(E736="")),"",(E735-E736)*3)</f>
        <v>11707.409999999993</v>
      </c>
      <c r="F737" s="35">
        <f t="shared" si="241"/>
        <v>11641.050000000007</v>
      </c>
      <c r="G737" s="35">
        <f t="shared" si="241"/>
        <v>11896.949999999993</v>
      </c>
      <c r="H737" s="35">
        <f t="shared" si="241"/>
        <v>11813.73</v>
      </c>
      <c r="I737" s="35">
        <f t="shared" si="241"/>
        <v>11741.490000000005</v>
      </c>
      <c r="J737" s="35">
        <f t="shared" si="241"/>
        <v>11810.04</v>
      </c>
      <c r="K737" s="35">
        <f t="shared" si="241"/>
        <v>11891.010000000006</v>
      </c>
      <c r="L737" s="35">
        <f t="shared" si="241"/>
        <v>11852.73</v>
      </c>
      <c r="M737" s="36"/>
      <c r="N737" s="36"/>
      <c r="O737" s="36"/>
      <c r="P737" s="36"/>
      <c r="Q737" s="36"/>
      <c r="R737" s="37"/>
      <c r="S737" s="38"/>
      <c r="T737" s="56"/>
      <c r="U737" s="16"/>
      <c r="V737" s="50"/>
      <c r="W737" s="50"/>
      <c r="X737" s="51"/>
      <c r="Y737" s="51"/>
      <c r="Z737" s="52"/>
      <c r="AA737" s="52"/>
    </row>
    <row r="738" spans="1:27" ht="15.75">
      <c r="A738" s="98">
        <v>43549</v>
      </c>
      <c r="B738" s="115" t="s">
        <v>429</v>
      </c>
      <c r="C738" s="26" t="s">
        <v>126</v>
      </c>
      <c r="D738">
        <v>28915.47</v>
      </c>
      <c r="E738">
        <v>28843.82</v>
      </c>
      <c r="F738">
        <v>28873.88</v>
      </c>
      <c r="G738">
        <v>28843.98</v>
      </c>
      <c r="H738">
        <v>28915.08</v>
      </c>
      <c r="I738">
        <v>28891.63</v>
      </c>
      <c r="J738">
        <v>28834.959999999999</v>
      </c>
      <c r="K738">
        <v>28837.29</v>
      </c>
      <c r="L738">
        <v>28917.08</v>
      </c>
      <c r="M738" s="27">
        <f>IF((L739=""),"",MAX(D740:L740))</f>
        <v>11818.320000000007</v>
      </c>
      <c r="N738" s="27">
        <f>IF(L739="","",MIN(D740:L740))</f>
        <v>11410.740000000005</v>
      </c>
      <c r="O738" s="27">
        <f>IF((L740=""),"",AVERAGE(D740:L740))</f>
        <v>11693.29</v>
      </c>
      <c r="P738" s="27">
        <f>IF((L739=""),"",STDEV(D740:L740))</f>
        <v>131.24122256379502</v>
      </c>
      <c r="Q738" s="168">
        <f>IF((L739=""),"",((M738-N738)/(M738+P738))*100)</f>
        <v>3.4108365354067338</v>
      </c>
      <c r="R738" s="28" t="str">
        <f>IF(L739="","",IF(Q738&lt;Z738,IF(N738&gt;V738,IF(M738&lt;W738,"Pass","Fail"),"Fail"),"Fail"))</f>
        <v>Pass</v>
      </c>
      <c r="S738" s="29">
        <v>74</v>
      </c>
      <c r="T738" s="54"/>
      <c r="U738" s="16"/>
      <c r="V738" s="53">
        <v>10000</v>
      </c>
      <c r="W738" s="22">
        <v>15600</v>
      </c>
      <c r="X738" s="40">
        <v>8090</v>
      </c>
      <c r="Y738" s="40">
        <v>12070</v>
      </c>
      <c r="Z738" s="49">
        <v>15</v>
      </c>
      <c r="AA738" s="49">
        <v>6</v>
      </c>
    </row>
    <row r="739" spans="1:27" ht="15.75" customHeight="1">
      <c r="A739" s="98"/>
      <c r="B739" s="111"/>
      <c r="C739" s="30" t="s">
        <v>128</v>
      </c>
      <c r="D739">
        <v>25111.89</v>
      </c>
      <c r="E739">
        <v>24956.21</v>
      </c>
      <c r="F739">
        <v>25015.25</v>
      </c>
      <c r="G739">
        <v>24908.02</v>
      </c>
      <c r="H739">
        <v>25010.67</v>
      </c>
      <c r="I739">
        <v>24991.84</v>
      </c>
      <c r="J739">
        <v>24914.880000000001</v>
      </c>
      <c r="K739">
        <v>24897.85</v>
      </c>
      <c r="L739">
        <v>24986.71</v>
      </c>
      <c r="M739" s="31"/>
      <c r="N739" s="31"/>
      <c r="O739" s="31"/>
      <c r="P739" s="31"/>
      <c r="Q739" s="31"/>
      <c r="R739" s="32"/>
      <c r="S739" s="33"/>
      <c r="T739" s="55"/>
      <c r="U739" s="16"/>
      <c r="V739" s="47"/>
      <c r="W739" s="47"/>
      <c r="X739" s="48"/>
      <c r="Y739" s="48"/>
      <c r="Z739" s="49"/>
      <c r="AA739" s="49"/>
    </row>
    <row r="740" spans="1:27" ht="16.5" customHeight="1" thickBot="1">
      <c r="A740" s="98"/>
      <c r="B740" s="112"/>
      <c r="C740" s="34" t="s">
        <v>129</v>
      </c>
      <c r="D740" s="35">
        <f>IF(((D738="")*AND(D739="")),"",(D738-D739)*3)</f>
        <v>11410.740000000005</v>
      </c>
      <c r="E740" s="35">
        <f t="shared" ref="E740:L740" si="242">IF(((E738="")*AND(E739="")),"",(E738-E739)*3)</f>
        <v>11662.830000000002</v>
      </c>
      <c r="F740" s="35">
        <f t="shared" si="242"/>
        <v>11575.890000000003</v>
      </c>
      <c r="G740" s="35">
        <f t="shared" si="242"/>
        <v>11807.879999999997</v>
      </c>
      <c r="H740" s="35">
        <f t="shared" si="242"/>
        <v>11713.23000000001</v>
      </c>
      <c r="I740" s="35">
        <f t="shared" si="242"/>
        <v>11699.370000000003</v>
      </c>
      <c r="J740" s="35">
        <f t="shared" si="242"/>
        <v>11760.239999999994</v>
      </c>
      <c r="K740" s="35">
        <f t="shared" si="242"/>
        <v>11818.320000000007</v>
      </c>
      <c r="L740" s="35">
        <f t="shared" si="242"/>
        <v>11791.110000000008</v>
      </c>
      <c r="M740" s="36"/>
      <c r="N740" s="36"/>
      <c r="O740" s="36"/>
      <c r="P740" s="36"/>
      <c r="Q740" s="36"/>
      <c r="R740" s="37"/>
      <c r="S740" s="38"/>
      <c r="T740" s="56"/>
      <c r="U740" s="16"/>
      <c r="V740" s="50"/>
      <c r="W740" s="50"/>
      <c r="X740" s="51"/>
      <c r="Y740" s="51"/>
      <c r="Z740" s="52"/>
      <c r="AA740" s="52"/>
    </row>
    <row r="741" spans="1:27" ht="15.75">
      <c r="A741" s="95">
        <v>43552</v>
      </c>
      <c r="B741" s="115" t="s">
        <v>429</v>
      </c>
      <c r="C741" s="26" t="s">
        <v>126</v>
      </c>
      <c r="D741">
        <v>28876.04</v>
      </c>
      <c r="E741">
        <v>28816.91</v>
      </c>
      <c r="F741">
        <v>28867.72</v>
      </c>
      <c r="G741">
        <v>28824.28</v>
      </c>
      <c r="H741">
        <v>28907.439999999999</v>
      </c>
      <c r="I741">
        <v>28859.59</v>
      </c>
      <c r="J741">
        <v>28815.17</v>
      </c>
      <c r="K741">
        <v>28818.5</v>
      </c>
      <c r="L741">
        <v>28923.82</v>
      </c>
      <c r="M741" s="27">
        <f>IF((L742=""),"",MAX(D743:L743))</f>
        <v>11854.560000000001</v>
      </c>
      <c r="N741" s="27">
        <f>IF(L742="","",MIN(D743:L743))</f>
        <v>11288.370000000003</v>
      </c>
      <c r="O741" s="27">
        <f>IF((L743=""),"",AVERAGE(D743:L743))</f>
        <v>11652.593333333332</v>
      </c>
      <c r="P741" s="27">
        <f>IF((L742=""),"",STDEV(D743:L743))</f>
        <v>172.00385591613949</v>
      </c>
      <c r="Q741" s="168">
        <f>IF((L742=""),"",((M741-N741)/(M741+P741))*100)</f>
        <v>4.7078284935183445</v>
      </c>
      <c r="R741" s="28" t="str">
        <f>IF(L742="","",IF(Q741&lt;Z741,IF(N741&gt;V741,IF(M741&lt;W741,"Pass","Fail"),"Fail"),"Fail"))</f>
        <v>Pass</v>
      </c>
      <c r="S741" s="29">
        <v>121</v>
      </c>
      <c r="T741" s="54"/>
      <c r="U741" s="16"/>
      <c r="V741" s="53">
        <v>10000</v>
      </c>
      <c r="W741" s="22">
        <v>15600</v>
      </c>
      <c r="X741" s="40">
        <v>8090</v>
      </c>
      <c r="Y741" s="40">
        <v>12070</v>
      </c>
      <c r="Z741" s="49">
        <v>15</v>
      </c>
      <c r="AA741" s="49">
        <v>6</v>
      </c>
    </row>
    <row r="742" spans="1:27" ht="15.75" customHeight="1">
      <c r="A742" s="96"/>
      <c r="B742" s="96"/>
      <c r="C742" s="30" t="s">
        <v>128</v>
      </c>
      <c r="D742">
        <v>25113.25</v>
      </c>
      <c r="E742">
        <v>24940.07</v>
      </c>
      <c r="F742">
        <v>25022.58</v>
      </c>
      <c r="G742">
        <v>24902.17</v>
      </c>
      <c r="H742">
        <v>25030.69</v>
      </c>
      <c r="I742">
        <v>24985.360000000001</v>
      </c>
      <c r="J742">
        <v>24909.05</v>
      </c>
      <c r="K742">
        <v>24876.22</v>
      </c>
      <c r="L742">
        <v>24972.3</v>
      </c>
      <c r="M742" s="31"/>
      <c r="N742" s="31"/>
      <c r="O742" s="31"/>
      <c r="P742" s="31"/>
      <c r="Q742" s="31"/>
      <c r="R742" s="32"/>
      <c r="S742" s="33"/>
      <c r="T742" s="55"/>
      <c r="U742" s="16"/>
      <c r="V742" s="47"/>
      <c r="W742" s="47"/>
      <c r="X742" s="48"/>
      <c r="Y742" s="48"/>
      <c r="Z742" s="49"/>
      <c r="AA742" s="49"/>
    </row>
    <row r="743" spans="1:27" ht="16.5" customHeight="1" thickBot="1">
      <c r="A743" s="97"/>
      <c r="B743" s="96"/>
      <c r="C743" s="34" t="s">
        <v>129</v>
      </c>
      <c r="D743" s="35">
        <f>IF(((D741="")*AND(D742="")),"",(D741-D742)*3)</f>
        <v>11288.370000000003</v>
      </c>
      <c r="E743" s="35">
        <f t="shared" ref="E743:L743" si="243">IF(((E741="")*AND(E742="")),"",(E741-E742)*3)</f>
        <v>11630.52</v>
      </c>
      <c r="F743" s="35">
        <f t="shared" si="243"/>
        <v>11535.419999999998</v>
      </c>
      <c r="G743" s="35">
        <f t="shared" si="243"/>
        <v>11766.330000000002</v>
      </c>
      <c r="H743" s="35">
        <f t="shared" si="243"/>
        <v>11630.25</v>
      </c>
      <c r="I743" s="35">
        <f t="shared" si="243"/>
        <v>11622.689999999999</v>
      </c>
      <c r="J743" s="35">
        <f t="shared" si="243"/>
        <v>11718.359999999997</v>
      </c>
      <c r="K743" s="35">
        <f t="shared" si="243"/>
        <v>11826.839999999997</v>
      </c>
      <c r="L743" s="35">
        <f t="shared" si="243"/>
        <v>11854.560000000001</v>
      </c>
      <c r="M743" s="36"/>
      <c r="N743" s="36"/>
      <c r="O743" s="36"/>
      <c r="P743" s="36"/>
      <c r="Q743" s="36"/>
      <c r="R743" s="37"/>
      <c r="S743" s="38"/>
      <c r="T743" s="56"/>
      <c r="U743" s="16"/>
      <c r="V743" s="50"/>
      <c r="W743" s="50"/>
      <c r="X743" s="51"/>
      <c r="Y743" s="51"/>
      <c r="Z743" s="52"/>
      <c r="AA743" s="52"/>
    </row>
    <row r="744" spans="1:27" ht="15.75">
      <c r="A744" s="95">
        <v>43557</v>
      </c>
      <c r="B744" s="115" t="s">
        <v>429</v>
      </c>
      <c r="C744" s="26" t="s">
        <v>126</v>
      </c>
      <c r="D744">
        <v>28887.18</v>
      </c>
      <c r="E744">
        <v>28805.48</v>
      </c>
      <c r="F744">
        <v>28814.07</v>
      </c>
      <c r="G744">
        <v>28788.06</v>
      </c>
      <c r="H744">
        <v>28875.27</v>
      </c>
      <c r="I744">
        <v>28886.89</v>
      </c>
      <c r="J744">
        <v>28788.58</v>
      </c>
      <c r="K744">
        <v>28776.639999999999</v>
      </c>
      <c r="L744">
        <v>28881.14</v>
      </c>
      <c r="M744" s="27">
        <f>IF((L745=""),"",MAX(D746:L746))</f>
        <v>11767.590000000007</v>
      </c>
      <c r="N744" s="27">
        <f>IF(L745="","",MIN(D746:L746))</f>
        <v>11309.46</v>
      </c>
      <c r="O744" s="27">
        <f>IF((L746=""),"",AVERAGE(D746:L746))</f>
        <v>11617.666666666666</v>
      </c>
      <c r="P744" s="27">
        <f>IF((L745=""),"",STDEV(D746:L746))</f>
        <v>144.58217403944971</v>
      </c>
      <c r="Q744" s="168">
        <f>IF((L745=""),"",((M744-N744)/(M744+P744))*100)</f>
        <v>3.8458980722124241</v>
      </c>
      <c r="R744" s="28" t="str">
        <f>IF(L745="","",IF(Q744&lt;Z744,IF(N744&gt;V744,IF(M744&lt;W744,"Pass","Fail"),"Fail"),"Fail"))</f>
        <v>Pass</v>
      </c>
      <c r="S744" s="29">
        <v>1428</v>
      </c>
      <c r="T744" s="54" t="s">
        <v>320</v>
      </c>
      <c r="U744" s="16"/>
      <c r="V744" s="53">
        <v>10000</v>
      </c>
      <c r="W744" s="22">
        <v>15600</v>
      </c>
      <c r="X744" s="40">
        <v>8090</v>
      </c>
      <c r="Y744" s="40">
        <v>12070</v>
      </c>
      <c r="Z744" s="49">
        <v>15</v>
      </c>
      <c r="AA744" s="49">
        <v>6</v>
      </c>
    </row>
    <row r="745" spans="1:27" ht="15.75" customHeight="1">
      <c r="A745" s="96"/>
      <c r="B745" s="96"/>
      <c r="C745" s="30" t="s">
        <v>128</v>
      </c>
      <c r="D745">
        <v>25117.360000000001</v>
      </c>
      <c r="E745">
        <v>24953.63</v>
      </c>
      <c r="F745">
        <v>24983.38</v>
      </c>
      <c r="G745">
        <v>24865.53</v>
      </c>
      <c r="H745">
        <v>24971.93</v>
      </c>
      <c r="I745">
        <v>25008.720000000001</v>
      </c>
      <c r="J745">
        <v>24903.64</v>
      </c>
      <c r="K745">
        <v>24870.14</v>
      </c>
      <c r="L745">
        <v>24975.98</v>
      </c>
      <c r="M745" s="31"/>
      <c r="N745" s="31"/>
      <c r="O745" s="31"/>
      <c r="P745" s="31"/>
      <c r="Q745" s="31"/>
      <c r="R745" s="32"/>
      <c r="S745" s="33"/>
      <c r="T745" s="55"/>
      <c r="U745" s="16"/>
      <c r="V745" s="47"/>
      <c r="W745" s="47"/>
      <c r="X745" s="48"/>
      <c r="Y745" s="48"/>
      <c r="Z745" s="49"/>
      <c r="AA745" s="49"/>
    </row>
    <row r="746" spans="1:27" ht="16.5" customHeight="1" thickBot="1">
      <c r="A746" s="97"/>
      <c r="B746" s="96"/>
      <c r="C746" s="34" t="s">
        <v>129</v>
      </c>
      <c r="D746" s="35">
        <f>IF(((D744="")*AND(D745="")),"",(D744-D745)*3)</f>
        <v>11309.46</v>
      </c>
      <c r="E746" s="35">
        <f t="shared" ref="E746:L746" si="244">IF(((E744="")*AND(E745="")),"",(E744-E745)*3)</f>
        <v>11555.549999999996</v>
      </c>
      <c r="F746" s="35">
        <f t="shared" si="244"/>
        <v>11492.069999999996</v>
      </c>
      <c r="G746" s="35">
        <f t="shared" si="244"/>
        <v>11767.590000000007</v>
      </c>
      <c r="H746" s="35">
        <f t="shared" si="244"/>
        <v>11710.02</v>
      </c>
      <c r="I746" s="35">
        <f t="shared" si="244"/>
        <v>11634.509999999995</v>
      </c>
      <c r="J746" s="35">
        <f t="shared" si="244"/>
        <v>11654.820000000007</v>
      </c>
      <c r="K746" s="35">
        <f t="shared" si="244"/>
        <v>11719.5</v>
      </c>
      <c r="L746" s="35">
        <f t="shared" si="244"/>
        <v>11715.48</v>
      </c>
      <c r="M746" s="36"/>
      <c r="N746" s="36"/>
      <c r="O746" s="36"/>
      <c r="P746" s="36"/>
      <c r="Q746" s="36"/>
      <c r="R746" s="37"/>
      <c r="S746" s="38"/>
      <c r="T746" s="56"/>
      <c r="U746" s="16"/>
      <c r="V746" s="50"/>
      <c r="W746" s="50"/>
      <c r="X746" s="51"/>
      <c r="Y746" s="51"/>
      <c r="Z746" s="52"/>
      <c r="AA746" s="52"/>
    </row>
    <row r="747" spans="1:27">
      <c r="A747" s="95">
        <v>43562</v>
      </c>
      <c r="B747" s="115" t="s">
        <v>429</v>
      </c>
      <c r="C747" s="26" t="s">
        <v>126</v>
      </c>
      <c r="D747" s="16">
        <v>29630</v>
      </c>
      <c r="E747" s="16">
        <v>29415</v>
      </c>
      <c r="F747" s="16">
        <v>29409</v>
      </c>
      <c r="G747" s="16">
        <v>29414</v>
      </c>
      <c r="H747" s="16">
        <v>29578</v>
      </c>
      <c r="I747" s="16">
        <v>29584</v>
      </c>
      <c r="J747" s="16">
        <v>29398</v>
      </c>
      <c r="K747" s="16">
        <v>29403</v>
      </c>
      <c r="L747" s="16">
        <v>29581</v>
      </c>
      <c r="M747" s="27">
        <f>IF((L748=""),"",MAX(D749:L749))</f>
        <v>12180</v>
      </c>
      <c r="N747" s="27">
        <f>IF(L748="","",MIN(D749:L749))</f>
        <v>11535</v>
      </c>
      <c r="O747" s="27">
        <f>IF((L749=""),"",AVERAGE(D749:L749))</f>
        <v>11969</v>
      </c>
      <c r="P747" s="27">
        <f>IF((L748=""),"",STDEV(D749:L749))</f>
        <v>201.81550981032157</v>
      </c>
      <c r="Q747" s="168">
        <f>IF((L748=""),"",((M747-N747)/(M747+P747))*100)</f>
        <v>5.2092522254830529</v>
      </c>
      <c r="R747" s="28" t="str">
        <f>IF(L748="","",IF(Q747&lt;Z747,IF(N747&gt;V747,IF(M747&lt;W747,"Pass","Fail"),"Fail"),"Fail"))</f>
        <v>Pass</v>
      </c>
      <c r="S747" s="29">
        <v>1335</v>
      </c>
      <c r="T747" s="54" t="s">
        <v>321</v>
      </c>
      <c r="U747" s="16"/>
      <c r="V747" s="53">
        <v>10000</v>
      </c>
      <c r="W747" s="22">
        <v>15600</v>
      </c>
      <c r="X747" s="40">
        <v>8090</v>
      </c>
      <c r="Y747" s="40">
        <v>12070</v>
      </c>
      <c r="Z747" s="49">
        <v>15</v>
      </c>
      <c r="AA747" s="49">
        <v>6</v>
      </c>
    </row>
    <row r="748" spans="1:27" ht="15.75" customHeight="1">
      <c r="A748" s="96"/>
      <c r="B748" s="96"/>
      <c r="C748" s="30" t="s">
        <v>128</v>
      </c>
      <c r="D748" s="16">
        <v>25635</v>
      </c>
      <c r="E748" s="16">
        <v>25355</v>
      </c>
      <c r="F748" s="16">
        <v>25432</v>
      </c>
      <c r="G748" s="16">
        <v>25411</v>
      </c>
      <c r="H748" s="16">
        <v>25733</v>
      </c>
      <c r="I748" s="16">
        <v>25549</v>
      </c>
      <c r="J748" s="16">
        <v>25358</v>
      </c>
      <c r="K748" s="16">
        <v>25377</v>
      </c>
      <c r="L748" s="16">
        <v>25655</v>
      </c>
      <c r="M748" s="31"/>
      <c r="N748" s="31"/>
      <c r="O748" s="31"/>
      <c r="P748" s="31"/>
      <c r="Q748" s="31"/>
      <c r="R748" s="32"/>
      <c r="S748" s="33"/>
      <c r="T748" s="55"/>
      <c r="U748" s="16"/>
      <c r="V748" s="47"/>
      <c r="W748" s="47"/>
      <c r="X748" s="48"/>
      <c r="Y748" s="48"/>
      <c r="Z748" s="49"/>
      <c r="AA748" s="49"/>
    </row>
    <row r="749" spans="1:27" ht="16.5" customHeight="1" thickBot="1">
      <c r="A749" s="97"/>
      <c r="B749" s="96"/>
      <c r="C749" s="34" t="s">
        <v>129</v>
      </c>
      <c r="D749" s="35">
        <f>IF(((D747="")*AND(D748="")),"",(D747-D748)*3)</f>
        <v>11985</v>
      </c>
      <c r="E749" s="35">
        <f t="shared" ref="E749:L749" si="245">IF(((E747="")*AND(E748="")),"",(E747-E748)*3)</f>
        <v>12180</v>
      </c>
      <c r="F749" s="35">
        <f t="shared" si="245"/>
        <v>11931</v>
      </c>
      <c r="G749" s="35">
        <f t="shared" si="245"/>
        <v>12009</v>
      </c>
      <c r="H749" s="35">
        <f t="shared" si="245"/>
        <v>11535</v>
      </c>
      <c r="I749" s="35">
        <f t="shared" si="245"/>
        <v>12105</v>
      </c>
      <c r="J749" s="35">
        <f t="shared" si="245"/>
        <v>12120</v>
      </c>
      <c r="K749" s="35">
        <f t="shared" si="245"/>
        <v>12078</v>
      </c>
      <c r="L749" s="35">
        <f t="shared" si="245"/>
        <v>11778</v>
      </c>
      <c r="M749" s="36"/>
      <c r="N749" s="36"/>
      <c r="O749" s="36"/>
      <c r="P749" s="36"/>
      <c r="Q749" s="36"/>
      <c r="R749" s="37"/>
      <c r="S749" s="38"/>
      <c r="T749" s="56"/>
      <c r="U749" s="16"/>
      <c r="V749" s="50"/>
      <c r="W749" s="50"/>
      <c r="X749" s="51"/>
      <c r="Y749" s="51"/>
      <c r="Z749" s="52"/>
      <c r="AA749" s="52"/>
    </row>
    <row r="750" spans="1:27" ht="15.75">
      <c r="A750" s="98">
        <v>43566</v>
      </c>
      <c r="B750" s="115" t="s">
        <v>429</v>
      </c>
      <c r="C750" s="26" t="s">
        <v>126</v>
      </c>
      <c r="D750">
        <v>29388.13</v>
      </c>
      <c r="E750">
        <v>29290.11</v>
      </c>
      <c r="F750">
        <v>29305.06</v>
      </c>
      <c r="G750">
        <v>29294.35</v>
      </c>
      <c r="H750">
        <v>29382.65</v>
      </c>
      <c r="I750">
        <v>29358.32</v>
      </c>
      <c r="J750">
        <v>29287.52</v>
      </c>
      <c r="K750">
        <v>29300</v>
      </c>
      <c r="L750">
        <v>29409.26</v>
      </c>
      <c r="M750" s="27">
        <f>IF((L751=""),"",MAX(D752:L752))</f>
        <v>12621.54</v>
      </c>
      <c r="N750" s="27">
        <f>IF(L751="","",MIN(D752:L752))</f>
        <v>12152.130000000008</v>
      </c>
      <c r="O750" s="27">
        <f>IF((L752=""),"",AVERAGE(D752:L752))</f>
        <v>12473.353333333334</v>
      </c>
      <c r="P750" s="27">
        <f>IF((L751=""),"",STDEV(D752:L752))</f>
        <v>150.30964872556618</v>
      </c>
      <c r="Q750" s="168">
        <f>IF((L751=""),"",((M750-N750)/(M750+P750))*100)</f>
        <v>3.6753486214648046</v>
      </c>
      <c r="R750" s="28" t="str">
        <f>IF(L751="","",IF(Q750&lt;Z750,IF(N750&gt;V750,IF(M750&lt;W750,"Pass","Fail"),"Fail"),"Fail"))</f>
        <v>Pass</v>
      </c>
      <c r="S750" s="29">
        <v>121</v>
      </c>
      <c r="T750" s="54" t="s">
        <v>322</v>
      </c>
      <c r="U750" s="16"/>
      <c r="V750" s="53">
        <v>10000</v>
      </c>
      <c r="W750" s="22">
        <v>15600</v>
      </c>
      <c r="X750" s="40">
        <v>8090</v>
      </c>
      <c r="Y750" s="40">
        <v>12070</v>
      </c>
      <c r="Z750" s="49">
        <v>15</v>
      </c>
      <c r="AA750" s="49">
        <v>6</v>
      </c>
    </row>
    <row r="751" spans="1:27" ht="15.75" customHeight="1">
      <c r="A751" s="96"/>
      <c r="B751" s="96"/>
      <c r="C751" s="30" t="s">
        <v>128</v>
      </c>
      <c r="D751">
        <v>25232.2</v>
      </c>
      <c r="E751">
        <v>25082.93</v>
      </c>
      <c r="F751">
        <v>25182.46</v>
      </c>
      <c r="G751">
        <v>25137.78</v>
      </c>
      <c r="H751">
        <v>25331.94</v>
      </c>
      <c r="I751">
        <v>25164.98</v>
      </c>
      <c r="J751">
        <v>25084.95</v>
      </c>
      <c r="K751">
        <v>25106.639999999999</v>
      </c>
      <c r="L751">
        <v>25271.46</v>
      </c>
      <c r="M751" s="31"/>
      <c r="N751" s="31"/>
      <c r="O751" s="31"/>
      <c r="P751" s="31"/>
      <c r="Q751" s="31"/>
      <c r="R751" s="32"/>
      <c r="S751" s="33"/>
      <c r="T751" s="55"/>
      <c r="U751" s="16"/>
      <c r="V751" s="47"/>
      <c r="W751" s="47"/>
      <c r="X751" s="48"/>
      <c r="Y751" s="48"/>
      <c r="Z751" s="49"/>
      <c r="AA751" s="49"/>
    </row>
    <row r="752" spans="1:27" ht="16.5" customHeight="1" thickBot="1">
      <c r="A752" s="97"/>
      <c r="B752" s="96"/>
      <c r="C752" s="34" t="s">
        <v>129</v>
      </c>
      <c r="D752" s="35">
        <f>IF(((D750="")*AND(D751="")),"",(D750-D751)*3)</f>
        <v>12467.79</v>
      </c>
      <c r="E752" s="35">
        <f t="shared" ref="E752:L752" si="246">IF(((E750="")*AND(E751="")),"",(E750-E751)*3)</f>
        <v>12621.54</v>
      </c>
      <c r="F752" s="35">
        <f t="shared" si="246"/>
        <v>12367.800000000007</v>
      </c>
      <c r="G752" s="35">
        <f t="shared" si="246"/>
        <v>12469.71</v>
      </c>
      <c r="H752" s="35">
        <f t="shared" si="246"/>
        <v>12152.130000000008</v>
      </c>
      <c r="I752" s="35">
        <f t="shared" si="246"/>
        <v>12580.02</v>
      </c>
      <c r="J752" s="35">
        <f t="shared" si="246"/>
        <v>12607.71</v>
      </c>
      <c r="K752" s="35">
        <f t="shared" si="246"/>
        <v>12580.080000000002</v>
      </c>
      <c r="L752" s="35">
        <f t="shared" si="246"/>
        <v>12413.399999999998</v>
      </c>
      <c r="M752" s="36"/>
      <c r="N752" s="36"/>
      <c r="O752" s="36"/>
      <c r="P752" s="36"/>
      <c r="Q752" s="36"/>
      <c r="R752" s="37"/>
      <c r="S752" s="38"/>
      <c r="T752" s="56"/>
      <c r="U752" s="16"/>
      <c r="V752" s="50"/>
      <c r="W752" s="50"/>
      <c r="X752" s="51"/>
      <c r="Y752" s="51"/>
      <c r="Z752" s="52"/>
      <c r="AA752" s="52"/>
    </row>
    <row r="753" spans="1:27" ht="15">
      <c r="A753" s="98">
        <v>43570</v>
      </c>
      <c r="B753" s="115" t="s">
        <v>429</v>
      </c>
      <c r="C753" s="26" t="s">
        <v>126</v>
      </c>
      <c r="D753" s="90">
        <v>29284.51</v>
      </c>
      <c r="E753" s="90">
        <v>29222.560000000001</v>
      </c>
      <c r="F753" s="90">
        <v>29242.03</v>
      </c>
      <c r="G753" s="90">
        <v>29233.68</v>
      </c>
      <c r="H753" s="90">
        <v>29344.16</v>
      </c>
      <c r="I753" s="90">
        <v>29306.11</v>
      </c>
      <c r="J753" s="90">
        <v>29215.42</v>
      </c>
      <c r="K753" s="90">
        <v>29223.040000000001</v>
      </c>
      <c r="L753" s="90">
        <v>29359.279999999999</v>
      </c>
      <c r="M753" s="27">
        <f>IF((L754=""),"",MAX(D755:L755))</f>
        <v>11871.660000000003</v>
      </c>
      <c r="N753" s="27">
        <f>IF(L754="","",MIN(D755:L755))</f>
        <v>11306.399999999998</v>
      </c>
      <c r="O753" s="27">
        <f>IF((L755=""),"",AVERAGE(D755:L755))</f>
        <v>11688.166666666666</v>
      </c>
      <c r="P753" s="27">
        <f>IF((L754=""),"",STDEV(D755:L755))</f>
        <v>172.27289535793869</v>
      </c>
      <c r="Q753" s="168">
        <f>IF((L754=""),"",((M753-N753)/(M753+P753))*100)</f>
        <v>4.6933174147613537</v>
      </c>
      <c r="R753" s="28" t="str">
        <f>IF(L754="","",IF(Q753&lt;Z753,IF(N753&gt;V753,IF(M753&lt;W753,"Pass","Fail"),"Fail"),"Fail"))</f>
        <v>Pass</v>
      </c>
      <c r="S753" s="29">
        <v>121</v>
      </c>
      <c r="T753" s="54" t="s">
        <v>323</v>
      </c>
      <c r="U753" s="16"/>
      <c r="V753" s="53">
        <v>10000</v>
      </c>
      <c r="W753" s="22">
        <v>15600</v>
      </c>
      <c r="X753" s="40">
        <v>8090</v>
      </c>
      <c r="Y753" s="40">
        <v>12070</v>
      </c>
      <c r="Z753" s="49">
        <v>15</v>
      </c>
      <c r="AA753" s="49">
        <v>6</v>
      </c>
    </row>
    <row r="754" spans="1:27" ht="15">
      <c r="A754" s="96"/>
      <c r="B754" s="96"/>
      <c r="C754" s="30" t="s">
        <v>128</v>
      </c>
      <c r="D754" s="91">
        <v>25515.71</v>
      </c>
      <c r="E754" s="91">
        <v>25337.599999999999</v>
      </c>
      <c r="F754" s="91">
        <v>25374.31</v>
      </c>
      <c r="G754" s="91">
        <v>25285.82</v>
      </c>
      <c r="H754" s="91">
        <v>25386.94</v>
      </c>
      <c r="I754" s="91">
        <v>25420.880000000001</v>
      </c>
      <c r="J754" s="91">
        <v>25308.84</v>
      </c>
      <c r="K754" s="91">
        <v>25276.01</v>
      </c>
      <c r="L754" s="91">
        <v>25460.18</v>
      </c>
      <c r="M754" s="31"/>
      <c r="N754" s="31"/>
      <c r="O754" s="31"/>
      <c r="P754" s="31"/>
      <c r="Q754" s="31"/>
      <c r="R754" s="32"/>
      <c r="S754" s="33"/>
      <c r="T754" s="55"/>
      <c r="U754" s="16"/>
      <c r="V754" s="47"/>
      <c r="W754" s="47"/>
      <c r="X754" s="48"/>
      <c r="Y754" s="48"/>
      <c r="Z754" s="49"/>
      <c r="AA754" s="49"/>
    </row>
    <row r="755" spans="1:27" ht="13.5" thickBot="1">
      <c r="A755" s="97"/>
      <c r="B755" s="96"/>
      <c r="C755" s="34" t="s">
        <v>129</v>
      </c>
      <c r="D755" s="35">
        <f>IF(((D753="")*AND(D754="")),"",(D753-D754)*3)</f>
        <v>11306.399999999998</v>
      </c>
      <c r="E755" s="35">
        <f t="shared" ref="E755:L755" si="247">IF(((E753="")*AND(E754="")),"",(E753-E754)*3)</f>
        <v>11654.880000000008</v>
      </c>
      <c r="F755" s="35">
        <f t="shared" si="247"/>
        <v>11603.159999999993</v>
      </c>
      <c r="G755" s="35">
        <f t="shared" si="247"/>
        <v>11843.580000000002</v>
      </c>
      <c r="H755" s="35">
        <f t="shared" si="247"/>
        <v>11871.660000000003</v>
      </c>
      <c r="I755" s="35">
        <f t="shared" si="247"/>
        <v>11655.689999999999</v>
      </c>
      <c r="J755" s="35">
        <f t="shared" si="247"/>
        <v>11719.739999999994</v>
      </c>
      <c r="K755" s="35">
        <f t="shared" si="247"/>
        <v>11841.090000000007</v>
      </c>
      <c r="L755" s="35">
        <f t="shared" si="247"/>
        <v>11697.299999999996</v>
      </c>
      <c r="M755" s="36"/>
      <c r="N755" s="36"/>
      <c r="O755" s="36"/>
      <c r="P755" s="36"/>
      <c r="Q755" s="36"/>
      <c r="R755" s="37"/>
      <c r="S755" s="38"/>
      <c r="T755" s="56"/>
      <c r="U755" s="16"/>
      <c r="V755" s="50"/>
      <c r="W755" s="50"/>
      <c r="X755" s="51"/>
      <c r="Y755" s="51"/>
      <c r="Z755" s="52"/>
      <c r="AA755" s="52"/>
    </row>
    <row r="756" spans="1:27" ht="15">
      <c r="A756" s="98">
        <v>43577</v>
      </c>
      <c r="B756" s="115" t="s">
        <v>429</v>
      </c>
      <c r="C756" s="26" t="s">
        <v>126</v>
      </c>
      <c r="D756" s="90">
        <v>29356</v>
      </c>
      <c r="E756" s="90">
        <v>29451</v>
      </c>
      <c r="F756" s="90">
        <v>29270</v>
      </c>
      <c r="G756" s="90">
        <v>29253</v>
      </c>
      <c r="H756" s="90">
        <v>29252</v>
      </c>
      <c r="I756" s="90">
        <v>29450</v>
      </c>
      <c r="J756" s="90">
        <v>29452</v>
      </c>
      <c r="K756" s="90">
        <v>29274</v>
      </c>
      <c r="L756" s="90">
        <v>29489</v>
      </c>
      <c r="M756" s="27">
        <f>IF((L757=""),"",MAX(D758:L758))</f>
        <v>12612</v>
      </c>
      <c r="N756" s="27">
        <f>IF(L757="","",MIN(D758:L758))</f>
        <v>11445</v>
      </c>
      <c r="O756" s="27">
        <f>IF((L758=""),"",AVERAGE(D758:L758))</f>
        <v>11948.333333333334</v>
      </c>
      <c r="P756" s="27">
        <f>IF((L757=""),"",STDEV(D758:L758))</f>
        <v>445.8604041625585</v>
      </c>
      <c r="Q756" s="168">
        <f>IF((L757=""),"",((M756-N756)/(M756+P756))*100)</f>
        <v>8.9371456263078599</v>
      </c>
      <c r="R756" s="28" t="str">
        <f>IF(L757="","",IF(Q756&lt;Z756,IF(N756&gt;V756,IF(M756&lt;W756,"Pass","Fail"),"Fail"),"Fail"))</f>
        <v>Pass</v>
      </c>
      <c r="S756" s="29">
        <v>74</v>
      </c>
      <c r="T756" s="54" t="s">
        <v>324</v>
      </c>
      <c r="U756" s="16"/>
      <c r="V756" s="53">
        <v>10000</v>
      </c>
      <c r="W756" s="22">
        <v>15600</v>
      </c>
      <c r="X756" s="40">
        <v>8090</v>
      </c>
      <c r="Y756" s="40">
        <v>12070</v>
      </c>
      <c r="Z756" s="49">
        <v>15</v>
      </c>
      <c r="AA756" s="49">
        <v>6</v>
      </c>
    </row>
    <row r="757" spans="1:27" ht="15">
      <c r="A757" s="96"/>
      <c r="B757" s="96"/>
      <c r="C757" s="30" t="s">
        <v>128</v>
      </c>
      <c r="D757" s="91">
        <v>25448</v>
      </c>
      <c r="E757" s="91">
        <v>25247</v>
      </c>
      <c r="F757" s="91">
        <v>25292</v>
      </c>
      <c r="G757" s="91">
        <v>25193</v>
      </c>
      <c r="H757" s="91">
        <v>25437</v>
      </c>
      <c r="I757" s="91">
        <v>25622</v>
      </c>
      <c r="J757" s="91">
        <v>25272</v>
      </c>
      <c r="K757" s="91">
        <v>25236</v>
      </c>
      <c r="L757" s="91">
        <v>25655</v>
      </c>
      <c r="M757" s="31"/>
      <c r="N757" s="31"/>
      <c r="O757" s="31"/>
      <c r="P757" s="31"/>
      <c r="Q757" s="31"/>
      <c r="R757" s="32"/>
      <c r="S757" s="33"/>
      <c r="T757" s="55"/>
      <c r="U757" s="16"/>
      <c r="V757" s="47"/>
      <c r="W757" s="47"/>
      <c r="X757" s="48"/>
      <c r="Y757" s="48"/>
      <c r="Z757" s="49"/>
      <c r="AA757" s="49"/>
    </row>
    <row r="758" spans="1:27" ht="13.5" thickBot="1">
      <c r="A758" s="97"/>
      <c r="B758" s="96"/>
      <c r="C758" s="34" t="s">
        <v>129</v>
      </c>
      <c r="D758" s="35">
        <f>IF(((D756="")*AND(D757="")),"",(D756-D757)*3)</f>
        <v>11724</v>
      </c>
      <c r="E758" s="35">
        <f t="shared" ref="E758:L758" si="248">IF(((E756="")*AND(E757="")),"",(E756-E757)*3)</f>
        <v>12612</v>
      </c>
      <c r="F758" s="35">
        <f t="shared" si="248"/>
        <v>11934</v>
      </c>
      <c r="G758" s="35">
        <f t="shared" si="248"/>
        <v>12180</v>
      </c>
      <c r="H758" s="35">
        <f t="shared" si="248"/>
        <v>11445</v>
      </c>
      <c r="I758" s="35">
        <f t="shared" si="248"/>
        <v>11484</v>
      </c>
      <c r="J758" s="35">
        <f t="shared" si="248"/>
        <v>12540</v>
      </c>
      <c r="K758" s="35">
        <f t="shared" si="248"/>
        <v>12114</v>
      </c>
      <c r="L758" s="35">
        <f t="shared" si="248"/>
        <v>11502</v>
      </c>
      <c r="M758" s="36"/>
      <c r="N758" s="36"/>
      <c r="O758" s="36"/>
      <c r="P758" s="36"/>
      <c r="Q758" s="36"/>
      <c r="R758" s="37"/>
      <c r="S758" s="38"/>
      <c r="T758" s="56"/>
      <c r="U758" s="16"/>
      <c r="V758" s="50"/>
      <c r="W758" s="50"/>
      <c r="X758" s="51"/>
      <c r="Y758" s="51"/>
      <c r="Z758" s="52"/>
      <c r="AA758" s="52"/>
    </row>
    <row r="759" spans="1:27" ht="15.75">
      <c r="A759" s="98">
        <v>43581</v>
      </c>
      <c r="B759" s="115" t="s">
        <v>429</v>
      </c>
      <c r="C759" s="26" t="s">
        <v>126</v>
      </c>
      <c r="D759">
        <v>29256.95</v>
      </c>
      <c r="E759">
        <v>29145.49</v>
      </c>
      <c r="F759">
        <v>29179.87</v>
      </c>
      <c r="G759">
        <v>29140.3</v>
      </c>
      <c r="H759">
        <v>29228.77</v>
      </c>
      <c r="I759">
        <v>29244.84</v>
      </c>
      <c r="J759">
        <v>29150.17</v>
      </c>
      <c r="K759">
        <v>29155.14</v>
      </c>
      <c r="L759">
        <v>29244.85</v>
      </c>
      <c r="M759" s="27">
        <f>IF((L760=""),"",MAX(D761:L761))</f>
        <v>11524.350000000002</v>
      </c>
      <c r="N759" s="27">
        <f>IF(L760="","",MIN(D761:L761))</f>
        <v>10992.359999999997</v>
      </c>
      <c r="O759" s="27">
        <f>IF((L761=""),"",AVERAGE(D761:L761))</f>
        <v>11356.903333333332</v>
      </c>
      <c r="P759" s="27">
        <f>IF((L760=""),"",STDEV(D761:L761))</f>
        <v>161.73880965928842</v>
      </c>
      <c r="Q759" s="168">
        <f>IF((L760=""),"",((M759-N759)/(M759+P759))*100)</f>
        <v>4.5523357614763453</v>
      </c>
      <c r="R759" s="28" t="str">
        <f>IF(L760="","",IF(Q759&lt;Z759,IF(N759&gt;V759,IF(M759&lt;W759,"Pass","Fail"),"Fail"),"Fail"))</f>
        <v>Pass</v>
      </c>
      <c r="S759" s="29">
        <v>1159</v>
      </c>
      <c r="T759" s="54" t="s">
        <v>325</v>
      </c>
      <c r="U759" s="15"/>
      <c r="V759" s="53">
        <v>10000</v>
      </c>
      <c r="W759" s="22">
        <v>15600</v>
      </c>
      <c r="X759" s="40">
        <v>8090</v>
      </c>
      <c r="Y759" s="40">
        <v>12070</v>
      </c>
      <c r="Z759" s="49">
        <v>15</v>
      </c>
      <c r="AA759" s="49">
        <v>6</v>
      </c>
    </row>
    <row r="760" spans="1:27" ht="15.75">
      <c r="A760" s="96"/>
      <c r="B760" s="96"/>
      <c r="C760" s="30" t="s">
        <v>128</v>
      </c>
      <c r="D760">
        <v>25592.83</v>
      </c>
      <c r="E760">
        <v>25383.69</v>
      </c>
      <c r="F760">
        <v>25425.46</v>
      </c>
      <c r="G760">
        <v>25322.21</v>
      </c>
      <c r="H760">
        <v>25436.95</v>
      </c>
      <c r="I760">
        <v>25447.81</v>
      </c>
      <c r="J760">
        <v>25336.47</v>
      </c>
      <c r="K760">
        <v>25313.69</v>
      </c>
      <c r="L760">
        <v>25416.560000000001</v>
      </c>
      <c r="M760" s="31"/>
      <c r="N760" s="31"/>
      <c r="O760" s="31"/>
      <c r="P760" s="31"/>
      <c r="Q760" s="31"/>
      <c r="R760" s="32"/>
      <c r="S760" s="33"/>
      <c r="T760" s="55"/>
      <c r="U760" s="15"/>
      <c r="V760" s="47"/>
      <c r="W760" s="47"/>
      <c r="X760" s="48"/>
      <c r="Y760" s="48"/>
      <c r="Z760" s="49"/>
      <c r="AA760" s="49"/>
    </row>
    <row r="761" spans="1:27" ht="13.5" thickBot="1">
      <c r="A761" s="97"/>
      <c r="B761" s="96"/>
      <c r="C761" s="34" t="s">
        <v>129</v>
      </c>
      <c r="D761" s="35">
        <f>IF(((D759="")*AND(D760="")),"",(D759-D760)*3)</f>
        <v>10992.359999999997</v>
      </c>
      <c r="E761" s="35">
        <f t="shared" ref="E761:L761" si="249">IF(((E759="")*AND(E760="")),"",(E759-E760)*3)</f>
        <v>11285.400000000009</v>
      </c>
      <c r="F761" s="35">
        <f t="shared" si="249"/>
        <v>11263.23</v>
      </c>
      <c r="G761" s="35">
        <f t="shared" si="249"/>
        <v>11454.27</v>
      </c>
      <c r="H761" s="35">
        <f t="shared" si="249"/>
        <v>11375.46</v>
      </c>
      <c r="I761" s="35">
        <f t="shared" si="249"/>
        <v>11391.089999999997</v>
      </c>
      <c r="J761" s="35">
        <f t="shared" si="249"/>
        <v>11441.099999999991</v>
      </c>
      <c r="K761" s="35">
        <f t="shared" si="249"/>
        <v>11524.350000000002</v>
      </c>
      <c r="L761" s="35">
        <f t="shared" si="249"/>
        <v>11484.869999999992</v>
      </c>
      <c r="M761" s="36"/>
      <c r="N761" s="36"/>
      <c r="O761" s="36"/>
      <c r="P761" s="36"/>
      <c r="Q761" s="36"/>
      <c r="R761" s="37"/>
      <c r="S761" s="38"/>
      <c r="T761" s="56"/>
      <c r="U761" s="15"/>
      <c r="V761" s="50"/>
      <c r="W761" s="50"/>
      <c r="X761" s="51"/>
      <c r="Y761" s="51"/>
      <c r="Z761" s="52"/>
      <c r="AA761" s="52"/>
    </row>
    <row r="762" spans="1:27" ht="15">
      <c r="A762" s="98">
        <v>43585</v>
      </c>
      <c r="B762" s="115" t="s">
        <v>429</v>
      </c>
      <c r="C762" s="26" t="s">
        <v>126</v>
      </c>
      <c r="D762" s="90">
        <v>29342</v>
      </c>
      <c r="E762" s="90">
        <v>29148</v>
      </c>
      <c r="F762" s="90">
        <v>29126</v>
      </c>
      <c r="G762" s="90">
        <v>29151</v>
      </c>
      <c r="H762" s="90">
        <v>29343</v>
      </c>
      <c r="I762" s="90">
        <v>29358</v>
      </c>
      <c r="J762" s="90">
        <v>29163</v>
      </c>
      <c r="K762" s="90">
        <v>29152</v>
      </c>
      <c r="L762" s="90">
        <v>29347</v>
      </c>
      <c r="M762" s="27">
        <f>IF((L763=""),"",MAX(D764:L764))</f>
        <v>12717</v>
      </c>
      <c r="N762" s="27">
        <f>IF(L763="","",MIN(D764:L764))</f>
        <v>11850</v>
      </c>
      <c r="O762" s="27">
        <f>IF((L764=""),"",AVERAGE(D764:L764))</f>
        <v>12462.333333333334</v>
      </c>
      <c r="P762" s="27">
        <f>IF((L763=""),"",STDEV(D764:L764))</f>
        <v>272.14747840095816</v>
      </c>
      <c r="Q762" s="168">
        <f>IF((L763=""),"",((M762-N762)/(M762+P762))*100)</f>
        <v>6.6748029571740055</v>
      </c>
      <c r="R762" s="28" t="str">
        <f>IF(L763="","",IF(Q762&lt;Z762,IF(N762&gt;V762,IF(M762&lt;W762,"Pass","Fail"),"Fail"),"Fail"))</f>
        <v>Pass</v>
      </c>
      <c r="S762" s="29">
        <v>1340</v>
      </c>
      <c r="T762" s="54" t="s">
        <v>326</v>
      </c>
      <c r="U762" s="15"/>
      <c r="V762" s="53">
        <v>10000</v>
      </c>
      <c r="W762" s="22">
        <v>15600</v>
      </c>
      <c r="X762" s="40">
        <v>8090</v>
      </c>
      <c r="Y762" s="40">
        <v>12070</v>
      </c>
      <c r="Z762" s="49">
        <v>15</v>
      </c>
      <c r="AA762" s="49">
        <v>6</v>
      </c>
    </row>
    <row r="763" spans="1:27" ht="15">
      <c r="A763" s="96"/>
      <c r="B763" s="96"/>
      <c r="C763" s="30" t="s">
        <v>128</v>
      </c>
      <c r="D763" s="91">
        <v>25152</v>
      </c>
      <c r="E763" s="91">
        <v>24910</v>
      </c>
      <c r="F763" s="91">
        <v>24983</v>
      </c>
      <c r="G763" s="91">
        <v>24937</v>
      </c>
      <c r="H763" s="91">
        <v>25255</v>
      </c>
      <c r="I763" s="91">
        <v>25408</v>
      </c>
      <c r="J763" s="91">
        <v>24986</v>
      </c>
      <c r="K763" s="91">
        <v>24913</v>
      </c>
      <c r="L763" s="91">
        <v>25199</v>
      </c>
      <c r="M763" s="31"/>
      <c r="N763" s="31"/>
      <c r="O763" s="31"/>
      <c r="P763" s="31"/>
      <c r="Q763" s="31"/>
      <c r="R763" s="32"/>
      <c r="S763" s="33"/>
      <c r="T763" s="55"/>
      <c r="U763" s="15"/>
      <c r="V763" s="47"/>
      <c r="W763" s="47"/>
      <c r="X763" s="48"/>
      <c r="Y763" s="48"/>
      <c r="Z763" s="49"/>
      <c r="AA763" s="49"/>
    </row>
    <row r="764" spans="1:27" ht="13.5" thickBot="1">
      <c r="A764" s="97"/>
      <c r="B764" s="96"/>
      <c r="C764" s="34" t="s">
        <v>129</v>
      </c>
      <c r="D764" s="35">
        <f>IF(((D762="")*AND(D763="")),"",(D762-D763)*3)</f>
        <v>12570</v>
      </c>
      <c r="E764" s="35">
        <f t="shared" ref="E764:L764" si="250">IF(((E762="")*AND(E763="")),"",(E762-E763)*3)</f>
        <v>12714</v>
      </c>
      <c r="F764" s="35">
        <f t="shared" si="250"/>
        <v>12429</v>
      </c>
      <c r="G764" s="35">
        <f t="shared" si="250"/>
        <v>12642</v>
      </c>
      <c r="H764" s="35">
        <f t="shared" si="250"/>
        <v>12264</v>
      </c>
      <c r="I764" s="35">
        <f t="shared" si="250"/>
        <v>11850</v>
      </c>
      <c r="J764" s="35">
        <f t="shared" si="250"/>
        <v>12531</v>
      </c>
      <c r="K764" s="35">
        <f t="shared" si="250"/>
        <v>12717</v>
      </c>
      <c r="L764" s="35">
        <f t="shared" si="250"/>
        <v>12444</v>
      </c>
      <c r="M764" s="36"/>
      <c r="N764" s="36"/>
      <c r="O764" s="36"/>
      <c r="P764" s="36"/>
      <c r="Q764" s="36"/>
      <c r="R764" s="37"/>
      <c r="S764" s="38"/>
      <c r="T764" s="56"/>
      <c r="U764" s="15"/>
      <c r="V764" s="50"/>
      <c r="W764" s="50"/>
      <c r="X764" s="51"/>
      <c r="Y764" s="51"/>
      <c r="Z764" s="52"/>
      <c r="AA764" s="52"/>
    </row>
    <row r="765" spans="1:27" ht="15">
      <c r="A765" s="98">
        <v>43591</v>
      </c>
      <c r="B765" s="115" t="s">
        <v>429</v>
      </c>
      <c r="C765" s="26" t="s">
        <v>126</v>
      </c>
      <c r="D765" s="90">
        <v>29292.78</v>
      </c>
      <c r="E765" s="90">
        <v>29191.32</v>
      </c>
      <c r="F765" s="90">
        <v>29159.11</v>
      </c>
      <c r="G765" s="90">
        <v>29155.42</v>
      </c>
      <c r="H765" s="90">
        <v>29263.56</v>
      </c>
      <c r="I765" s="90">
        <v>29279.06</v>
      </c>
      <c r="J765" s="90">
        <v>29158.47</v>
      </c>
      <c r="K765" s="90">
        <v>29169.16</v>
      </c>
      <c r="L765" s="90">
        <v>29226.99</v>
      </c>
      <c r="M765" s="27">
        <f>IF((L766=""),"",MAX(D767:L767))</f>
        <v>10575.180000000004</v>
      </c>
      <c r="N765" s="27">
        <f>IF(L766="","",MIN(D767:L767))</f>
        <v>10113.990000000005</v>
      </c>
      <c r="O765" s="27">
        <f>IF((L767=""),"",AVERAGE(D767:L767))</f>
        <v>10353.183333333334</v>
      </c>
      <c r="P765" s="27">
        <f>IF((L766=""),"",STDEV(D767:L767))</f>
        <v>167.91376901546894</v>
      </c>
      <c r="Q765" s="168">
        <f>IF((L766=""),"",((M765-N765)/(M765+P765))*100)</f>
        <v>4.2928974643238496</v>
      </c>
      <c r="R765" s="28" t="str">
        <f>IF(L766="","",IF(Q765&lt;Z765,IF(N765&gt;V765,IF(M765&lt;W765,"Pass","Fail"),"Fail"),"Fail"))</f>
        <v>Pass</v>
      </c>
      <c r="S765" s="29">
        <v>1428</v>
      </c>
      <c r="T765" s="54"/>
      <c r="U765" s="15"/>
      <c r="V765" s="53">
        <v>10000</v>
      </c>
      <c r="W765" s="22">
        <v>15600</v>
      </c>
      <c r="X765" s="40">
        <v>8090</v>
      </c>
      <c r="Y765" s="40">
        <v>12070</v>
      </c>
      <c r="Z765" s="49">
        <v>15</v>
      </c>
      <c r="AA765" s="49">
        <v>6</v>
      </c>
    </row>
    <row r="766" spans="1:27" ht="15">
      <c r="A766" s="96"/>
      <c r="B766" s="96"/>
      <c r="C766" s="30" t="s">
        <v>128</v>
      </c>
      <c r="D766" s="91">
        <v>25774.22</v>
      </c>
      <c r="E766" s="91">
        <v>25743.79</v>
      </c>
      <c r="F766" s="91">
        <v>25787.78</v>
      </c>
      <c r="G766" s="91">
        <v>25758.15</v>
      </c>
      <c r="H766" s="91">
        <v>25852.07</v>
      </c>
      <c r="I766" s="91">
        <v>25754</v>
      </c>
      <c r="J766" s="91">
        <v>25741.5</v>
      </c>
      <c r="K766" s="91">
        <v>25701.43</v>
      </c>
      <c r="L766" s="91">
        <v>25723.38</v>
      </c>
      <c r="M766" s="31"/>
      <c r="N766" s="31"/>
      <c r="O766" s="31"/>
      <c r="P766" s="31"/>
      <c r="Q766" s="31"/>
      <c r="R766" s="32"/>
      <c r="S766" s="33"/>
      <c r="T766" s="55"/>
      <c r="U766" s="15"/>
      <c r="V766" s="47"/>
      <c r="W766" s="47"/>
      <c r="X766" s="48"/>
      <c r="Y766" s="48"/>
      <c r="Z766" s="49"/>
      <c r="AA766" s="49"/>
    </row>
    <row r="767" spans="1:27" ht="13.5" thickBot="1">
      <c r="A767" s="97"/>
      <c r="B767" s="96"/>
      <c r="C767" s="34" t="s">
        <v>129</v>
      </c>
      <c r="D767" s="35">
        <f>IF(((D765="")*AND(D766="")),"",(D765-D766)*3)</f>
        <v>10555.679999999993</v>
      </c>
      <c r="E767" s="35">
        <f t="shared" ref="E767:L767" si="251">IF(((E765="")*AND(E766="")),"",(E765-E766)*3)</f>
        <v>10342.589999999997</v>
      </c>
      <c r="F767" s="35">
        <f t="shared" si="251"/>
        <v>10113.990000000005</v>
      </c>
      <c r="G767" s="35">
        <f t="shared" si="251"/>
        <v>10191.80999999999</v>
      </c>
      <c r="H767" s="35">
        <f t="shared" si="251"/>
        <v>10234.470000000005</v>
      </c>
      <c r="I767" s="35">
        <f t="shared" si="251"/>
        <v>10575.180000000004</v>
      </c>
      <c r="J767" s="35">
        <f t="shared" si="251"/>
        <v>10250.910000000003</v>
      </c>
      <c r="K767" s="35">
        <f t="shared" si="251"/>
        <v>10403.189999999999</v>
      </c>
      <c r="L767" s="35">
        <f t="shared" si="251"/>
        <v>10510.830000000002</v>
      </c>
      <c r="M767" s="36"/>
      <c r="N767" s="36"/>
      <c r="O767" s="36"/>
      <c r="P767" s="36"/>
      <c r="Q767" s="36"/>
      <c r="R767" s="37"/>
      <c r="S767" s="38"/>
      <c r="T767" s="56"/>
      <c r="U767" s="15"/>
      <c r="V767" s="50"/>
      <c r="W767" s="50"/>
      <c r="X767" s="51"/>
      <c r="Y767" s="51"/>
      <c r="Z767" s="52"/>
      <c r="AA767" s="52"/>
    </row>
    <row r="768" spans="1:27" ht="15">
      <c r="A768" s="98">
        <v>43596</v>
      </c>
      <c r="B768" s="115" t="s">
        <v>429</v>
      </c>
      <c r="C768" s="26" t="s">
        <v>126</v>
      </c>
      <c r="D768" s="90">
        <v>29208.69</v>
      </c>
      <c r="E768" s="90">
        <v>29103.87</v>
      </c>
      <c r="F768" s="90">
        <v>29123.46</v>
      </c>
      <c r="G768" s="90">
        <v>29108.400000000001</v>
      </c>
      <c r="H768" s="90">
        <v>29207.73</v>
      </c>
      <c r="I768" s="90">
        <v>29169.57</v>
      </c>
      <c r="J768" s="90">
        <v>29077.72</v>
      </c>
      <c r="K768" s="90">
        <v>29115.22</v>
      </c>
      <c r="L768" s="90">
        <v>29226.26</v>
      </c>
      <c r="M768" s="27">
        <f>IF((L769=""),"",MAX(D770:L770))</f>
        <v>10844.78999999999</v>
      </c>
      <c r="N768" s="27">
        <f>IF(L769="","",MIN(D770:L770))</f>
        <v>10088.310000000001</v>
      </c>
      <c r="O768" s="27">
        <f>IF((L770=""),"",AVERAGE(D770:L770))</f>
        <v>10424.883333333333</v>
      </c>
      <c r="P768" s="27">
        <f>IF((L769=""),"",STDEV(D770:L770))</f>
        <v>219.00626058402514</v>
      </c>
      <c r="Q768" s="168">
        <f>IF((L769=""),"",((M768-N768)/(M768+P768))*100)</f>
        <v>6.8374361040525615</v>
      </c>
      <c r="R768" s="28" t="str">
        <f>IF(L769="","",IF(Q768&lt;Z768,IF(N768&gt;V768,IF(M768&lt;W768,"Pass","Fail"),"Fail"),"Fail"))</f>
        <v>Pass</v>
      </c>
      <c r="S768" s="29">
        <v>1534</v>
      </c>
      <c r="T768" s="54"/>
      <c r="U768" s="15"/>
      <c r="V768" s="53">
        <v>10000</v>
      </c>
      <c r="W768" s="22">
        <v>15600</v>
      </c>
      <c r="X768" s="40">
        <v>8090</v>
      </c>
      <c r="Y768" s="40">
        <v>12070</v>
      </c>
      <c r="Z768" s="49">
        <v>15</v>
      </c>
      <c r="AA768" s="49">
        <v>6</v>
      </c>
    </row>
    <row r="769" spans="1:27" ht="15">
      <c r="A769" s="96"/>
      <c r="B769" s="96"/>
      <c r="C769" s="30" t="s">
        <v>128</v>
      </c>
      <c r="D769" s="91">
        <v>25676.91</v>
      </c>
      <c r="E769" s="91">
        <v>25635.48</v>
      </c>
      <c r="F769" s="91">
        <v>25760.69</v>
      </c>
      <c r="G769" s="91">
        <v>25686.86</v>
      </c>
      <c r="H769" s="91">
        <v>25760.62</v>
      </c>
      <c r="I769" s="91">
        <v>25653.96</v>
      </c>
      <c r="J769" s="91">
        <v>25645.99</v>
      </c>
      <c r="K769" s="91">
        <v>25634.43</v>
      </c>
      <c r="L769" s="91">
        <v>25611.33</v>
      </c>
      <c r="M769" s="31"/>
      <c r="N769" s="31"/>
      <c r="O769" s="31"/>
      <c r="P769" s="31"/>
      <c r="Q769" s="31"/>
      <c r="R769" s="32"/>
      <c r="S769" s="33"/>
      <c r="T769" s="55"/>
      <c r="U769" s="15"/>
      <c r="V769" s="47"/>
      <c r="W769" s="47"/>
      <c r="X769" s="48"/>
      <c r="Y769" s="48"/>
      <c r="Z769" s="49"/>
      <c r="AA769" s="49"/>
    </row>
    <row r="770" spans="1:27" ht="13.5" thickBot="1">
      <c r="A770" s="97"/>
      <c r="B770" s="96"/>
      <c r="C770" s="34" t="s">
        <v>129</v>
      </c>
      <c r="D770" s="35">
        <f>IF(((D768="")*AND(D769="")),"",(D768-D769)*3)</f>
        <v>10595.339999999997</v>
      </c>
      <c r="E770" s="35">
        <f t="shared" ref="E770:L770" si="252">IF(((E768="")*AND(E769="")),"",(E768-E769)*3)</f>
        <v>10405.169999999998</v>
      </c>
      <c r="F770" s="35">
        <f t="shared" si="252"/>
        <v>10088.310000000001</v>
      </c>
      <c r="G770" s="35">
        <f t="shared" si="252"/>
        <v>10264.620000000003</v>
      </c>
      <c r="H770" s="35">
        <f t="shared" si="252"/>
        <v>10341.330000000002</v>
      </c>
      <c r="I770" s="35">
        <f t="shared" si="252"/>
        <v>10546.830000000002</v>
      </c>
      <c r="J770" s="35">
        <f t="shared" si="252"/>
        <v>10295.189999999999</v>
      </c>
      <c r="K770" s="35">
        <f t="shared" si="252"/>
        <v>10442.370000000003</v>
      </c>
      <c r="L770" s="35">
        <f t="shared" si="252"/>
        <v>10844.78999999999</v>
      </c>
      <c r="M770" s="36"/>
      <c r="N770" s="36"/>
      <c r="O770" s="36"/>
      <c r="P770" s="36"/>
      <c r="Q770" s="36"/>
      <c r="R770" s="37"/>
      <c r="S770" s="38"/>
      <c r="T770" s="56"/>
      <c r="U770" s="15"/>
      <c r="V770" s="50"/>
      <c r="W770" s="50"/>
      <c r="X770" s="51"/>
      <c r="Y770" s="51"/>
      <c r="Z770" s="52"/>
      <c r="AA770" s="52"/>
    </row>
    <row r="771" spans="1:27" ht="15">
      <c r="A771" s="98">
        <v>43600</v>
      </c>
      <c r="B771" s="115" t="s">
        <v>429</v>
      </c>
      <c r="C771" s="26" t="s">
        <v>126</v>
      </c>
      <c r="D771" s="90">
        <v>29247.1</v>
      </c>
      <c r="E771" s="90">
        <v>29129.55</v>
      </c>
      <c r="F771" s="90">
        <v>29146.33</v>
      </c>
      <c r="G771" s="90">
        <v>29118</v>
      </c>
      <c r="H771" s="90">
        <v>29198.880000000001</v>
      </c>
      <c r="I771" s="90">
        <v>29212.95</v>
      </c>
      <c r="J771" s="90">
        <v>29114.3</v>
      </c>
      <c r="K771" s="90">
        <v>29123.49</v>
      </c>
      <c r="L771" s="90">
        <v>29202.57</v>
      </c>
      <c r="M771" s="27">
        <f>IF((L772=""),"",MAX(D773:L773))</f>
        <v>11304.120000000003</v>
      </c>
      <c r="N771" s="27">
        <f>IF(L772="","",MIN(D773:L773))</f>
        <v>10647.929999999993</v>
      </c>
      <c r="O771" s="27">
        <f>IF((L773=""),"",AVERAGE(D773:L773))</f>
        <v>10953.296666666667</v>
      </c>
      <c r="P771" s="27">
        <f>IF((L772=""),"",STDEV(D773:L773))</f>
        <v>244.17261952356085</v>
      </c>
      <c r="Q771" s="168">
        <f>IF((L772=""),"",((M771-N771)/(M771+P771))*100)</f>
        <v>5.682138664296172</v>
      </c>
      <c r="R771" s="28" t="str">
        <f>IF(L772="","",IF(Q771&lt;Z771,IF(N771&gt;V771,IF(M771&lt;W771,"Pass","Fail"),"Fail"),"Fail"))</f>
        <v>Pass</v>
      </c>
      <c r="S771" s="29" t="s">
        <v>106</v>
      </c>
      <c r="T771" s="54"/>
      <c r="U771" s="15"/>
      <c r="V771" s="53">
        <v>10000</v>
      </c>
      <c r="W771" s="22">
        <v>15600</v>
      </c>
      <c r="X771" s="40">
        <v>8090</v>
      </c>
      <c r="Y771" s="40">
        <v>12070</v>
      </c>
      <c r="Z771" s="49">
        <v>15</v>
      </c>
      <c r="AA771" s="49">
        <v>6</v>
      </c>
    </row>
    <row r="772" spans="1:27" ht="15">
      <c r="A772" s="96"/>
      <c r="B772" s="96"/>
      <c r="C772" s="30" t="s">
        <v>128</v>
      </c>
      <c r="D772" s="91">
        <v>25697.79</v>
      </c>
      <c r="E772" s="91">
        <v>25551.25</v>
      </c>
      <c r="F772" s="91">
        <v>25590.48</v>
      </c>
      <c r="G772" s="91">
        <v>25436.02</v>
      </c>
      <c r="H772" s="91">
        <v>25441.48</v>
      </c>
      <c r="I772" s="91">
        <v>25444.91</v>
      </c>
      <c r="J772" s="91">
        <v>25446.74</v>
      </c>
      <c r="K772" s="91">
        <v>25504.880000000001</v>
      </c>
      <c r="L772" s="91">
        <v>25519.73</v>
      </c>
      <c r="M772" s="31"/>
      <c r="N772" s="31"/>
      <c r="O772" s="31"/>
      <c r="P772" s="31"/>
      <c r="Q772" s="31"/>
      <c r="R772" s="32"/>
      <c r="S772" s="33"/>
      <c r="T772" s="55"/>
      <c r="U772" s="15"/>
      <c r="V772" s="47"/>
      <c r="W772" s="47"/>
      <c r="X772" s="48"/>
      <c r="Y772" s="48"/>
      <c r="Z772" s="49"/>
      <c r="AA772" s="49"/>
    </row>
    <row r="773" spans="1:27" ht="13.5" thickBot="1">
      <c r="A773" s="97"/>
      <c r="B773" s="96"/>
      <c r="C773" s="34" t="s">
        <v>129</v>
      </c>
      <c r="D773" s="35">
        <f>IF(((D771="")*AND(D772="")),"",(D771-D772)*3)</f>
        <v>10647.929999999993</v>
      </c>
      <c r="E773" s="35">
        <f t="shared" ref="E773:L773" si="253">IF(((E771="")*AND(E772="")),"",(E771-E772)*3)</f>
        <v>10734.899999999998</v>
      </c>
      <c r="F773" s="35">
        <f t="shared" si="253"/>
        <v>10667.550000000007</v>
      </c>
      <c r="G773" s="35">
        <f t="shared" si="253"/>
        <v>11045.939999999999</v>
      </c>
      <c r="H773" s="35">
        <f t="shared" si="253"/>
        <v>11272.200000000004</v>
      </c>
      <c r="I773" s="35">
        <f t="shared" si="253"/>
        <v>11304.120000000003</v>
      </c>
      <c r="J773" s="35">
        <f t="shared" si="253"/>
        <v>11002.679999999993</v>
      </c>
      <c r="K773" s="35">
        <f t="shared" si="253"/>
        <v>10855.830000000002</v>
      </c>
      <c r="L773" s="35">
        <f t="shared" si="253"/>
        <v>11048.52</v>
      </c>
      <c r="M773" s="36"/>
      <c r="N773" s="36"/>
      <c r="O773" s="36"/>
      <c r="P773" s="36"/>
      <c r="Q773" s="36"/>
      <c r="R773" s="37"/>
      <c r="S773" s="38"/>
      <c r="T773" s="56"/>
      <c r="U773" s="15"/>
      <c r="V773" s="50"/>
      <c r="W773" s="50"/>
      <c r="X773" s="51"/>
      <c r="Y773" s="51"/>
      <c r="Z773" s="52"/>
      <c r="AA773" s="52"/>
    </row>
    <row r="774" spans="1:27" ht="15.75">
      <c r="A774" s="98">
        <v>43605</v>
      </c>
      <c r="B774" s="115" t="s">
        <v>429</v>
      </c>
      <c r="C774" s="26" t="s">
        <v>126</v>
      </c>
      <c r="D774">
        <v>29477.17</v>
      </c>
      <c r="E774">
        <v>29354.79</v>
      </c>
      <c r="F774">
        <v>29381.75</v>
      </c>
      <c r="G774">
        <v>29353.23</v>
      </c>
      <c r="H774">
        <v>29483.31</v>
      </c>
      <c r="I774">
        <v>29491.79</v>
      </c>
      <c r="J774">
        <v>29346.17</v>
      </c>
      <c r="K774">
        <v>29329.7</v>
      </c>
      <c r="L774">
        <v>29433.1</v>
      </c>
      <c r="M774" s="27">
        <f>IF((L775=""),"",MAX(D776:L776))</f>
        <v>13204.649999999998</v>
      </c>
      <c r="N774" s="27">
        <f>IF(L775="","",MIN(D776:L776))</f>
        <v>12353.579999999991</v>
      </c>
      <c r="O774" s="27">
        <f>IF((L776=""),"",AVERAGE(D776:L776))</f>
        <v>12706.083333333334</v>
      </c>
      <c r="P774" s="27">
        <f>IF((L775=""),"",STDEV(D776:L776))</f>
        <v>272.50377364356427</v>
      </c>
      <c r="Q774" s="168">
        <f>IF((L775=""),"",((M774-N774)/(M774+P774))*100)</f>
        <v>6.3149090252601559</v>
      </c>
      <c r="R774" s="28" t="str">
        <f>IF(L775="","",IF(Q774&lt;Z774,IF(N774&gt;V774,IF(M774&lt;W774,"Pass","Fail"),"Fail"),"Fail"))</f>
        <v>Pass</v>
      </c>
      <c r="S774" s="29">
        <v>1335</v>
      </c>
      <c r="T774" s="49" t="s">
        <v>327</v>
      </c>
      <c r="U774" s="15"/>
      <c r="V774" s="53">
        <v>10000</v>
      </c>
      <c r="W774" s="22">
        <v>15600</v>
      </c>
      <c r="X774" s="40">
        <v>8090</v>
      </c>
      <c r="Y774" s="40">
        <v>12070</v>
      </c>
      <c r="Z774" s="49">
        <v>15</v>
      </c>
      <c r="AA774" s="49">
        <v>6</v>
      </c>
    </row>
    <row r="775" spans="1:27" ht="15.75">
      <c r="A775" s="96"/>
      <c r="B775" s="96"/>
      <c r="C775" s="30" t="s">
        <v>128</v>
      </c>
      <c r="D775">
        <v>25359.31</v>
      </c>
      <c r="E775">
        <v>25191.05</v>
      </c>
      <c r="F775">
        <v>25209.89</v>
      </c>
      <c r="G775">
        <v>25104.21</v>
      </c>
      <c r="H775">
        <v>25138.12</v>
      </c>
      <c r="I775">
        <v>25090.240000000002</v>
      </c>
      <c r="J775">
        <v>25086.66</v>
      </c>
      <c r="K775">
        <v>25143.85</v>
      </c>
      <c r="L775">
        <v>25209.43</v>
      </c>
      <c r="M775" s="31"/>
      <c r="N775" s="31"/>
      <c r="O775" s="31"/>
      <c r="P775" s="31"/>
      <c r="Q775" s="31"/>
      <c r="R775" s="32"/>
      <c r="S775" s="33"/>
      <c r="U775" s="15"/>
      <c r="V775" s="47"/>
      <c r="W775" s="47"/>
      <c r="X775" s="48"/>
      <c r="Y775" s="48"/>
      <c r="Z775" s="49"/>
      <c r="AA775" s="49"/>
    </row>
    <row r="776" spans="1:27" ht="13.5" thickBot="1">
      <c r="A776" s="97"/>
      <c r="B776" s="96"/>
      <c r="C776" s="34" t="s">
        <v>129</v>
      </c>
      <c r="D776" s="35">
        <f>IF(((D774="")*AND(D775="")),"",(D774-D775)*3)</f>
        <v>12353.579999999991</v>
      </c>
      <c r="E776" s="35">
        <f t="shared" ref="E776:L776" si="254">IF(((E774="")*AND(E775="")),"",(E774-E775)*3)</f>
        <v>12491.220000000005</v>
      </c>
      <c r="F776" s="35">
        <f t="shared" si="254"/>
        <v>12515.580000000002</v>
      </c>
      <c r="G776" s="35">
        <f t="shared" si="254"/>
        <v>12747.060000000001</v>
      </c>
      <c r="H776" s="35">
        <f t="shared" si="254"/>
        <v>13035.570000000007</v>
      </c>
      <c r="I776" s="35">
        <f t="shared" si="254"/>
        <v>13204.649999999998</v>
      </c>
      <c r="J776" s="35">
        <f t="shared" si="254"/>
        <v>12778.529999999995</v>
      </c>
      <c r="K776" s="35">
        <f t="shared" si="254"/>
        <v>12557.550000000007</v>
      </c>
      <c r="L776" s="35">
        <f t="shared" si="254"/>
        <v>12671.009999999995</v>
      </c>
      <c r="M776" s="36"/>
      <c r="N776" s="36"/>
      <c r="O776" s="36"/>
      <c r="P776" s="36"/>
      <c r="Q776" s="36"/>
      <c r="R776" s="37"/>
      <c r="S776" s="38"/>
      <c r="U776" s="15"/>
      <c r="V776" s="50"/>
      <c r="W776" s="50"/>
      <c r="X776" s="51"/>
      <c r="Y776" s="51"/>
      <c r="Z776" s="52"/>
      <c r="AA776" s="52"/>
    </row>
    <row r="777" spans="1:27" ht="15.75">
      <c r="A777" s="98">
        <v>43605</v>
      </c>
      <c r="B777" s="115" t="s">
        <v>429</v>
      </c>
      <c r="C777" s="26" t="s">
        <v>126</v>
      </c>
      <c r="D777">
        <v>29477.17</v>
      </c>
      <c r="E777">
        <v>29354.79</v>
      </c>
      <c r="F777">
        <v>29381.75</v>
      </c>
      <c r="G777">
        <v>29353.23</v>
      </c>
      <c r="H777">
        <v>29483.31</v>
      </c>
      <c r="I777">
        <v>29491.79</v>
      </c>
      <c r="J777">
        <v>29346.17</v>
      </c>
      <c r="K777">
        <v>29329.7</v>
      </c>
      <c r="L777">
        <v>29433.1</v>
      </c>
      <c r="M777" s="27">
        <f>IF((L778=""),"",MAX(D779:L779))</f>
        <v>13204.649999999998</v>
      </c>
      <c r="N777" s="27">
        <f>IF(L778="","",MIN(D779:L779))</f>
        <v>12353.579999999991</v>
      </c>
      <c r="O777" s="27">
        <f>IF((L779=""),"",AVERAGE(D779:L779))</f>
        <v>12706.083333333334</v>
      </c>
      <c r="P777" s="27">
        <f>IF((L778=""),"",STDEV(D779:L779))</f>
        <v>272.50377364356427</v>
      </c>
      <c r="Q777" s="168">
        <f>IF((L778=""),"",((M777-N777)/(M777+P777))*100)</f>
        <v>6.3149090252601559</v>
      </c>
      <c r="R777" s="28" t="str">
        <f>IF(L778="","",IF(Q777&lt;Z777,IF(N777&gt;V777,IF(M777&lt;W777,"Pass","Fail"),"Fail"),"Fail"))</f>
        <v>Pass</v>
      </c>
      <c r="S777" s="29">
        <v>1335</v>
      </c>
      <c r="T777" s="54"/>
      <c r="V777" s="53">
        <v>10000</v>
      </c>
      <c r="W777" s="22">
        <v>15600</v>
      </c>
      <c r="X777" s="40">
        <v>8090</v>
      </c>
      <c r="Y777" s="40">
        <v>12070</v>
      </c>
      <c r="Z777" s="49">
        <v>15</v>
      </c>
      <c r="AA777" s="49">
        <v>6</v>
      </c>
    </row>
    <row r="778" spans="1:27" ht="15.75">
      <c r="A778" s="96"/>
      <c r="B778" s="96"/>
      <c r="C778" s="30" t="s">
        <v>128</v>
      </c>
      <c r="D778">
        <v>25359.31</v>
      </c>
      <c r="E778">
        <v>25191.05</v>
      </c>
      <c r="F778">
        <v>25209.89</v>
      </c>
      <c r="G778">
        <v>25104.21</v>
      </c>
      <c r="H778">
        <v>25138.12</v>
      </c>
      <c r="I778">
        <v>25090.240000000002</v>
      </c>
      <c r="J778">
        <v>25086.66</v>
      </c>
      <c r="K778">
        <v>25143.85</v>
      </c>
      <c r="L778">
        <v>25209.43</v>
      </c>
      <c r="M778" s="31"/>
      <c r="N778" s="31"/>
      <c r="O778" s="31"/>
      <c r="P778" s="31"/>
      <c r="Q778" s="31"/>
      <c r="R778" s="32"/>
      <c r="S778" s="33"/>
      <c r="T778" s="55"/>
      <c r="V778" s="47"/>
      <c r="W778" s="47"/>
      <c r="X778" s="48"/>
      <c r="Y778" s="48"/>
      <c r="Z778" s="49"/>
      <c r="AA778" s="49"/>
    </row>
    <row r="779" spans="1:27" ht="13.5" thickBot="1">
      <c r="A779" s="97"/>
      <c r="B779" s="96"/>
      <c r="C779" s="34" t="s">
        <v>129</v>
      </c>
      <c r="D779" s="35">
        <f>IF(((D777="")*AND(D778="")),"",(D777-D778)*3)</f>
        <v>12353.579999999991</v>
      </c>
      <c r="E779" s="35">
        <f t="shared" ref="E779:L779" si="255">IF(((E777="")*AND(E778="")),"",(E777-E778)*3)</f>
        <v>12491.220000000005</v>
      </c>
      <c r="F779" s="35">
        <f t="shared" si="255"/>
        <v>12515.580000000002</v>
      </c>
      <c r="G779" s="35">
        <f t="shared" si="255"/>
        <v>12747.060000000001</v>
      </c>
      <c r="H779" s="35">
        <f t="shared" si="255"/>
        <v>13035.570000000007</v>
      </c>
      <c r="I779" s="35">
        <f t="shared" si="255"/>
        <v>13204.649999999998</v>
      </c>
      <c r="J779" s="35">
        <f t="shared" si="255"/>
        <v>12778.529999999995</v>
      </c>
      <c r="K779" s="35">
        <f t="shared" si="255"/>
        <v>12557.550000000007</v>
      </c>
      <c r="L779" s="35">
        <f t="shared" si="255"/>
        <v>12671.009999999995</v>
      </c>
      <c r="M779" s="36"/>
      <c r="N779" s="36"/>
      <c r="O779" s="36"/>
      <c r="P779" s="36"/>
      <c r="Q779" s="36"/>
      <c r="R779" s="37"/>
      <c r="S779" s="38"/>
      <c r="T779" s="56"/>
      <c r="V779" s="50"/>
      <c r="W779" s="50"/>
      <c r="X779" s="51"/>
      <c r="Y779" s="51"/>
      <c r="Z779" s="52"/>
      <c r="AA779" s="52"/>
    </row>
    <row r="780" spans="1:27" ht="15.75">
      <c r="A780" s="98">
        <v>43609</v>
      </c>
      <c r="B780" s="115" t="s">
        <v>429</v>
      </c>
      <c r="C780" s="26" t="s">
        <v>126</v>
      </c>
      <c r="D780">
        <v>29505</v>
      </c>
      <c r="E780">
        <v>29354</v>
      </c>
      <c r="F780">
        <v>29377</v>
      </c>
      <c r="G780">
        <v>29332</v>
      </c>
      <c r="H780">
        <v>29432</v>
      </c>
      <c r="I780">
        <v>29465</v>
      </c>
      <c r="J780">
        <v>29324</v>
      </c>
      <c r="K780">
        <v>29341</v>
      </c>
      <c r="L780">
        <v>29444</v>
      </c>
      <c r="M780" s="27">
        <f>IF((L781=""),"",MAX(D782:L782))</f>
        <v>16233</v>
      </c>
      <c r="N780" s="27">
        <f>IF(L781="","",MIN(D782:L782))</f>
        <v>15141</v>
      </c>
      <c r="O780" s="27">
        <f>IF((L782=""),"",AVERAGE(D782:L782))</f>
        <v>15714</v>
      </c>
      <c r="P780" s="27">
        <f>IF((L781=""),"",STDEV(D782:L782))</f>
        <v>364.97808153367237</v>
      </c>
      <c r="Q780" s="168">
        <f>IF((L781=""),"",((M780-N780)/(M780+P780))*100)</f>
        <v>6.5791146044163114</v>
      </c>
      <c r="R780" s="28" t="str">
        <f>IF(L781="","",IF(Q780&lt;Z780,IF(N780&gt;V780,IF(M780&lt;W780,"Pass","Fail"),"Fail"),"Fail"))</f>
        <v>Fail</v>
      </c>
      <c r="S780" s="29">
        <v>1340</v>
      </c>
      <c r="T780" s="54"/>
      <c r="V780" s="53">
        <v>10000</v>
      </c>
      <c r="W780" s="22">
        <v>15600</v>
      </c>
      <c r="X780" s="40">
        <v>8090</v>
      </c>
      <c r="Y780" s="40">
        <v>12070</v>
      </c>
      <c r="Z780" s="49">
        <v>15</v>
      </c>
      <c r="AA780" s="49">
        <v>6</v>
      </c>
    </row>
    <row r="781" spans="1:27" ht="15.75">
      <c r="A781" s="96"/>
      <c r="B781" s="96"/>
      <c r="C781" s="30" t="s">
        <v>128</v>
      </c>
      <c r="D781">
        <v>24188</v>
      </c>
      <c r="E781">
        <v>24061</v>
      </c>
      <c r="F781">
        <v>24330</v>
      </c>
      <c r="G781">
        <v>24083</v>
      </c>
      <c r="H781">
        <v>24281</v>
      </c>
      <c r="I781">
        <v>24338</v>
      </c>
      <c r="J781">
        <v>24151</v>
      </c>
      <c r="K781">
        <v>23967</v>
      </c>
      <c r="L781">
        <v>24033</v>
      </c>
      <c r="M781" s="31"/>
      <c r="N781" s="31"/>
      <c r="O781" s="31"/>
      <c r="P781" s="31"/>
      <c r="Q781" s="31"/>
      <c r="R781" s="32"/>
      <c r="S781" s="33"/>
      <c r="T781" s="55"/>
      <c r="V781" s="47"/>
      <c r="W781" s="47"/>
      <c r="X781" s="48"/>
      <c r="Y781" s="48"/>
      <c r="Z781" s="49"/>
      <c r="AA781" s="49"/>
    </row>
    <row r="782" spans="1:27" ht="13.5" thickBot="1">
      <c r="A782" s="97"/>
      <c r="B782" s="96"/>
      <c r="C782" s="34" t="s">
        <v>129</v>
      </c>
      <c r="D782" s="35">
        <f>IF(((D780="")*AND(D781="")),"",(D780-D781)*3)</f>
        <v>15951</v>
      </c>
      <c r="E782" s="35">
        <f t="shared" ref="E782:L782" si="256">IF(((E780="")*AND(E781="")),"",(E780-E781)*3)</f>
        <v>15879</v>
      </c>
      <c r="F782" s="35">
        <f t="shared" si="256"/>
        <v>15141</v>
      </c>
      <c r="G782" s="35">
        <f t="shared" si="256"/>
        <v>15747</v>
      </c>
      <c r="H782" s="35">
        <f t="shared" si="256"/>
        <v>15453</v>
      </c>
      <c r="I782" s="35">
        <f t="shared" si="256"/>
        <v>15381</v>
      </c>
      <c r="J782" s="35">
        <f t="shared" si="256"/>
        <v>15519</v>
      </c>
      <c r="K782" s="35">
        <f t="shared" si="256"/>
        <v>16122</v>
      </c>
      <c r="L782" s="35">
        <f t="shared" si="256"/>
        <v>16233</v>
      </c>
      <c r="M782" s="36"/>
      <c r="N782" s="36"/>
      <c r="O782" s="36"/>
      <c r="P782" s="36"/>
      <c r="Q782" s="36"/>
      <c r="R782" s="37"/>
      <c r="S782" s="38"/>
      <c r="T782" s="56"/>
      <c r="V782" s="50"/>
      <c r="W782" s="50"/>
      <c r="X782" s="51"/>
      <c r="Y782" s="51"/>
      <c r="Z782" s="52"/>
      <c r="AA782" s="52"/>
    </row>
    <row r="783" spans="1:27" ht="15.75">
      <c r="A783" s="98">
        <v>43609</v>
      </c>
      <c r="B783" s="115" t="s">
        <v>429</v>
      </c>
      <c r="C783" s="26" t="s">
        <v>126</v>
      </c>
      <c r="D783">
        <v>29413.58</v>
      </c>
      <c r="E783">
        <v>29262.45</v>
      </c>
      <c r="F783">
        <v>29257.88</v>
      </c>
      <c r="G783">
        <v>29266.080000000002</v>
      </c>
      <c r="H783">
        <v>29392.13</v>
      </c>
      <c r="I783">
        <v>29353.02</v>
      </c>
      <c r="J783">
        <v>29246.2</v>
      </c>
      <c r="K783">
        <v>29264.36</v>
      </c>
      <c r="L783">
        <v>29397.62</v>
      </c>
      <c r="M783" s="27">
        <f>IF((L784=""),"",MAX(D785:L785))</f>
        <v>13315.799999999996</v>
      </c>
      <c r="N783" s="27">
        <f>IF(L784="","",MIN(D785:L785))</f>
        <v>12446.73000000001</v>
      </c>
      <c r="O783" s="27">
        <f>IF((L785=""),"",AVERAGE(D785:L785))</f>
        <v>12856.413333333338</v>
      </c>
      <c r="P783" s="27">
        <f>IF((L784=""),"",STDEV(D785:L785))</f>
        <v>299.44148063511943</v>
      </c>
      <c r="Q783" s="168">
        <f>IF((L784=""),"",((M783-N783)/(M783+P783))*100)</f>
        <v>6.3830671034080355</v>
      </c>
      <c r="R783" s="28" t="str">
        <f>IF(L784="","",IF(Q783&lt;Z783,IF(N783&gt;V783,IF(M783&lt;W783,"Pass","Fail"),"Fail"),"Fail"))</f>
        <v>Pass</v>
      </c>
      <c r="S783" s="29">
        <v>1340</v>
      </c>
      <c r="T783" s="54" t="s">
        <v>328</v>
      </c>
      <c r="V783" s="53">
        <v>10000</v>
      </c>
      <c r="W783" s="22">
        <v>15600</v>
      </c>
      <c r="X783" s="40">
        <v>8090</v>
      </c>
      <c r="Y783" s="40">
        <v>12070</v>
      </c>
      <c r="Z783" s="49">
        <v>15</v>
      </c>
      <c r="AA783" s="49">
        <v>6</v>
      </c>
    </row>
    <row r="784" spans="1:27" ht="15.75">
      <c r="A784" s="96"/>
      <c r="B784" s="96"/>
      <c r="C784" s="30" t="s">
        <v>128</v>
      </c>
      <c r="D784">
        <v>25264.67</v>
      </c>
      <c r="E784">
        <v>25061.98</v>
      </c>
      <c r="F784">
        <v>25077.73</v>
      </c>
      <c r="G784">
        <v>24927.84</v>
      </c>
      <c r="H784">
        <v>24978.74</v>
      </c>
      <c r="I784">
        <v>25078.68</v>
      </c>
      <c r="J784">
        <v>24960.47</v>
      </c>
      <c r="K784">
        <v>24974.95</v>
      </c>
      <c r="L784">
        <v>24959.02</v>
      </c>
      <c r="M784" s="31"/>
      <c r="N784" s="31"/>
      <c r="O784" s="31"/>
      <c r="P784" s="31"/>
      <c r="Q784" s="31"/>
      <c r="R784" s="32"/>
      <c r="S784" s="33"/>
      <c r="T784" s="55"/>
      <c r="V784" s="47"/>
      <c r="W784" s="47"/>
      <c r="X784" s="48"/>
      <c r="Y784" s="48"/>
      <c r="Z784" s="49"/>
      <c r="AA784" s="49"/>
    </row>
    <row r="785" spans="1:27" ht="13.5" thickBot="1">
      <c r="A785" s="97"/>
      <c r="B785" s="96"/>
      <c r="C785" s="34" t="s">
        <v>129</v>
      </c>
      <c r="D785" s="35">
        <f>IF(((D783="")*AND(D784="")),"",(D783-D784)*3)</f>
        <v>12446.73000000001</v>
      </c>
      <c r="E785" s="35">
        <f t="shared" ref="E785:L785" si="257">IF(((E783="")*AND(E784="")),"",(E783-E784)*3)</f>
        <v>12601.410000000003</v>
      </c>
      <c r="F785" s="35">
        <f t="shared" si="257"/>
        <v>12540.450000000004</v>
      </c>
      <c r="G785" s="35">
        <f t="shared" si="257"/>
        <v>13014.720000000005</v>
      </c>
      <c r="H785" s="35">
        <f t="shared" si="257"/>
        <v>13240.169999999998</v>
      </c>
      <c r="I785" s="35">
        <f t="shared" si="257"/>
        <v>12823.02</v>
      </c>
      <c r="J785" s="35">
        <f t="shared" si="257"/>
        <v>12857.189999999999</v>
      </c>
      <c r="K785" s="35">
        <f t="shared" si="257"/>
        <v>12868.23</v>
      </c>
      <c r="L785" s="35">
        <f t="shared" si="257"/>
        <v>13315.799999999996</v>
      </c>
      <c r="M785" s="36"/>
      <c r="N785" s="36"/>
      <c r="O785" s="36"/>
      <c r="P785" s="36"/>
      <c r="Q785" s="36"/>
      <c r="R785" s="37"/>
      <c r="S785" s="38"/>
      <c r="T785" s="56"/>
      <c r="V785" s="50"/>
      <c r="W785" s="50"/>
      <c r="X785" s="51"/>
      <c r="Y785" s="51"/>
      <c r="Z785" s="52"/>
      <c r="AA785" s="52"/>
    </row>
    <row r="786" spans="1:27" ht="15.75">
      <c r="A786" s="98">
        <v>43613</v>
      </c>
      <c r="B786" s="115" t="s">
        <v>429</v>
      </c>
      <c r="C786" s="26" t="s">
        <v>126</v>
      </c>
      <c r="D786">
        <v>29362.97</v>
      </c>
      <c r="E786">
        <v>29265.38</v>
      </c>
      <c r="F786">
        <v>29303.63</v>
      </c>
      <c r="G786">
        <v>29259.599999999999</v>
      </c>
      <c r="H786">
        <v>29394.52</v>
      </c>
      <c r="I786">
        <v>29370.09</v>
      </c>
      <c r="J786">
        <v>29260.9</v>
      </c>
      <c r="K786">
        <v>29269.39</v>
      </c>
      <c r="L786">
        <v>29403.66</v>
      </c>
      <c r="M786" s="27">
        <f>IF((L787=""),"",MAX(D788:L788))</f>
        <v>12501.870000000003</v>
      </c>
      <c r="N786" s="27">
        <f>IF(L787="","",MIN(D788:L788))</f>
        <v>11816.490000000005</v>
      </c>
      <c r="O786" s="27">
        <f>IF((L788=""),"",AVERAGE(D788:L788))</f>
        <v>12158.550000000003</v>
      </c>
      <c r="P786" s="27">
        <f>IF((L787=""),"",STDEV(D788:L788))</f>
        <v>260.64476255999034</v>
      </c>
      <c r="Q786" s="168">
        <f>IF((L787=""),"",((M786-N786)/(M786+P786))*100)</f>
        <v>5.3702582347690795</v>
      </c>
      <c r="R786" s="28" t="str">
        <f>IF(L787="","",IF(Q786&lt;Z786,IF(N786&gt;V786,IF(M786&lt;W786,"Pass","Fail"),"Fail"),"Fail"))</f>
        <v>Pass</v>
      </c>
      <c r="S786" s="29">
        <v>1340</v>
      </c>
      <c r="T786" s="54"/>
      <c r="V786" s="53">
        <v>10000</v>
      </c>
      <c r="W786" s="22">
        <v>15600</v>
      </c>
      <c r="X786" s="40">
        <v>8090</v>
      </c>
      <c r="Y786" s="40">
        <v>12070</v>
      </c>
      <c r="Z786" s="49">
        <v>15</v>
      </c>
      <c r="AA786" s="49">
        <v>6</v>
      </c>
    </row>
    <row r="787" spans="1:27" ht="15.75">
      <c r="A787" s="96"/>
      <c r="B787" s="96"/>
      <c r="C787" s="30" t="s">
        <v>128</v>
      </c>
      <c r="D787">
        <v>25424.14</v>
      </c>
      <c r="E787">
        <v>25293.32</v>
      </c>
      <c r="F787">
        <v>25362.95</v>
      </c>
      <c r="G787">
        <v>25176.44</v>
      </c>
      <c r="H787">
        <v>25227.23</v>
      </c>
      <c r="I787">
        <v>25270.9</v>
      </c>
      <c r="J787">
        <v>25190.03</v>
      </c>
      <c r="K787">
        <v>25226.77</v>
      </c>
      <c r="L787">
        <v>25242.71</v>
      </c>
      <c r="M787" s="31"/>
      <c r="N787" s="31"/>
      <c r="O787" s="31"/>
      <c r="P787" s="31"/>
      <c r="Q787" s="31"/>
      <c r="R787" s="32"/>
      <c r="S787" s="33"/>
      <c r="T787" s="55"/>
      <c r="V787" s="47"/>
      <c r="W787" s="47"/>
      <c r="X787" s="48"/>
      <c r="Y787" s="48"/>
      <c r="Z787" s="49"/>
      <c r="AA787" s="49"/>
    </row>
    <row r="788" spans="1:27" ht="13.5" thickBot="1">
      <c r="A788" s="97"/>
      <c r="B788" s="96"/>
      <c r="C788" s="34" t="s">
        <v>129</v>
      </c>
      <c r="D788" s="35">
        <f>IF(((D786="")*AND(D787="")),"",(D786-D787)*3)</f>
        <v>11816.490000000005</v>
      </c>
      <c r="E788" s="35">
        <f t="shared" ref="E788:L788" si="258">IF(((E786="")*AND(E787="")),"",(E786-E787)*3)</f>
        <v>11916.180000000004</v>
      </c>
      <c r="F788" s="35">
        <f t="shared" si="258"/>
        <v>11822.04</v>
      </c>
      <c r="G788" s="35">
        <f t="shared" si="258"/>
        <v>12249.48</v>
      </c>
      <c r="H788" s="35">
        <f t="shared" si="258"/>
        <v>12501.870000000003</v>
      </c>
      <c r="I788" s="35">
        <f t="shared" si="258"/>
        <v>12297.569999999996</v>
      </c>
      <c r="J788" s="35">
        <f t="shared" si="258"/>
        <v>12212.610000000008</v>
      </c>
      <c r="K788" s="35">
        <f t="shared" si="258"/>
        <v>12127.859999999997</v>
      </c>
      <c r="L788" s="35">
        <f t="shared" si="258"/>
        <v>12482.850000000002</v>
      </c>
      <c r="M788" s="36"/>
      <c r="N788" s="36"/>
      <c r="O788" s="36"/>
      <c r="P788" s="36"/>
      <c r="Q788" s="36"/>
      <c r="R788" s="37"/>
      <c r="S788" s="38"/>
      <c r="T788" s="56"/>
      <c r="V788" s="50"/>
      <c r="W788" s="50"/>
      <c r="X788" s="51"/>
      <c r="Y788" s="51"/>
      <c r="Z788" s="52"/>
      <c r="AA788" s="52"/>
    </row>
    <row r="789" spans="1:27" ht="15.75">
      <c r="A789" s="98">
        <v>43617</v>
      </c>
      <c r="B789" s="115" t="s">
        <v>429</v>
      </c>
      <c r="C789" s="26" t="s">
        <v>126</v>
      </c>
      <c r="D789">
        <v>29382.23</v>
      </c>
      <c r="E789">
        <v>29249</v>
      </c>
      <c r="F789">
        <v>29261.81</v>
      </c>
      <c r="G789">
        <v>29228.21</v>
      </c>
      <c r="H789">
        <v>29319.1</v>
      </c>
      <c r="I789">
        <v>29336.7</v>
      </c>
      <c r="J789">
        <v>29205.26</v>
      </c>
      <c r="K789">
        <v>29243.43</v>
      </c>
      <c r="L789">
        <v>29344.959999999999</v>
      </c>
      <c r="M789" s="27">
        <f>IF((L790=""),"",MAX(D791:L791))</f>
        <v>12634.049999999996</v>
      </c>
      <c r="N789" s="27">
        <f>IF(L790="","",MIN(D791:L791))</f>
        <v>11976.27</v>
      </c>
      <c r="O789" s="27">
        <f>IF((L791=""),"",AVERAGE(D791:L791))</f>
        <v>12318.529999999999</v>
      </c>
      <c r="P789" s="27">
        <f>IF((L790=""),"",STDEV(D791:L791))</f>
        <v>245.28249876426426</v>
      </c>
      <c r="Q789" s="168">
        <f>IF((L790=""),"",((M789-N789)/(M789+P789))*100)</f>
        <v>5.1072522590988907</v>
      </c>
      <c r="R789" s="28" t="str">
        <f>IF(L790="","",IF(Q789&lt;Z789,IF(N789&gt;V789,IF(M789&lt;W789,"Pass","Fail"),"Fail"),"Fail"))</f>
        <v>Pass</v>
      </c>
      <c r="S789" s="29">
        <v>121</v>
      </c>
      <c r="T789" s="54" t="s">
        <v>332</v>
      </c>
      <c r="V789" s="53">
        <v>10000</v>
      </c>
      <c r="W789" s="22">
        <v>15600</v>
      </c>
      <c r="X789" s="40">
        <v>8090</v>
      </c>
      <c r="Y789" s="40">
        <v>12070</v>
      </c>
      <c r="Z789" s="49">
        <v>15</v>
      </c>
      <c r="AA789" s="49">
        <v>6</v>
      </c>
    </row>
    <row r="790" spans="1:27" ht="15.75">
      <c r="A790" s="96"/>
      <c r="B790" s="96"/>
      <c r="C790" s="30" t="s">
        <v>128</v>
      </c>
      <c r="D790">
        <v>25193.23</v>
      </c>
      <c r="E790">
        <v>25110.09</v>
      </c>
      <c r="F790">
        <v>25266.959999999999</v>
      </c>
      <c r="G790">
        <v>25174.880000000001</v>
      </c>
      <c r="H790">
        <v>25327.01</v>
      </c>
      <c r="I790">
        <v>25197.68</v>
      </c>
      <c r="J790">
        <v>25136.240000000002</v>
      </c>
      <c r="K790">
        <v>25075.41</v>
      </c>
      <c r="L790">
        <v>25133.61</v>
      </c>
      <c r="M790" s="31"/>
      <c r="N790" s="31"/>
      <c r="O790" s="31"/>
      <c r="P790" s="31"/>
      <c r="Q790" s="31"/>
      <c r="R790" s="32"/>
      <c r="S790" s="33"/>
      <c r="T790" s="55"/>
      <c r="V790" s="47"/>
      <c r="W790" s="47"/>
      <c r="X790" s="48"/>
      <c r="Y790" s="48"/>
      <c r="Z790" s="49"/>
      <c r="AA790" s="49"/>
    </row>
    <row r="791" spans="1:27" ht="13.5" thickBot="1">
      <c r="A791" s="97"/>
      <c r="B791" s="96"/>
      <c r="C791" s="34" t="s">
        <v>129</v>
      </c>
      <c r="D791" s="35">
        <f>IF(((D789="")*AND(D790="")),"",(D789-D790)*3)</f>
        <v>12567</v>
      </c>
      <c r="E791" s="35">
        <f t="shared" ref="E791:L791" si="259">IF(((E789="")*AND(E790="")),"",(E789-E790)*3)</f>
        <v>12416.73</v>
      </c>
      <c r="F791" s="35">
        <f t="shared" si="259"/>
        <v>11984.550000000007</v>
      </c>
      <c r="G791" s="35">
        <f t="shared" si="259"/>
        <v>12159.989999999994</v>
      </c>
      <c r="H791" s="35">
        <f t="shared" si="259"/>
        <v>11976.27</v>
      </c>
      <c r="I791" s="35">
        <f t="shared" si="259"/>
        <v>12417.060000000001</v>
      </c>
      <c r="J791" s="35">
        <f t="shared" si="259"/>
        <v>12207.05999999999</v>
      </c>
      <c r="K791" s="35">
        <f t="shared" si="259"/>
        <v>12504.060000000001</v>
      </c>
      <c r="L791" s="35">
        <f t="shared" si="259"/>
        <v>12634.049999999996</v>
      </c>
      <c r="M791" s="36"/>
      <c r="N791" s="36"/>
      <c r="O791" s="36"/>
      <c r="P791" s="36"/>
      <c r="Q791" s="36"/>
      <c r="R791" s="37"/>
      <c r="S791" s="38"/>
      <c r="T791" s="56"/>
      <c r="V791" s="50"/>
      <c r="W791" s="50"/>
      <c r="X791" s="51"/>
      <c r="Y791" s="51"/>
      <c r="Z791" s="52"/>
      <c r="AA791" s="52"/>
    </row>
    <row r="792" spans="1:27" ht="15.75">
      <c r="A792" s="98">
        <v>43622</v>
      </c>
      <c r="B792" s="115" t="s">
        <v>429</v>
      </c>
      <c r="C792" s="26" t="s">
        <v>126</v>
      </c>
      <c r="D792" s="102">
        <v>29362.76</v>
      </c>
      <c r="E792" s="102">
        <v>29219.42</v>
      </c>
      <c r="F792" s="102">
        <v>29240.97</v>
      </c>
      <c r="G792" s="102">
        <v>29217.26</v>
      </c>
      <c r="H792" s="102">
        <v>29321.279999999999</v>
      </c>
      <c r="I792" s="102">
        <v>29360.95</v>
      </c>
      <c r="J792" s="102">
        <v>29210.98</v>
      </c>
      <c r="K792" s="102">
        <v>29208.09</v>
      </c>
      <c r="L792" s="102">
        <v>29305.64</v>
      </c>
      <c r="M792" s="27">
        <f>IF((L793=""),"",MAX(D794:L794))</f>
        <v>12176.340000000007</v>
      </c>
      <c r="N792" s="27">
        <f>IF(L793="","",MIN(D794:L794))</f>
        <v>11562.240000000005</v>
      </c>
      <c r="O792" s="27">
        <f>IF((L794=""),"",AVERAGE(D794:L794))</f>
        <v>11908.183333333332</v>
      </c>
      <c r="P792" s="27">
        <f>IF((L793=""),"",STDEV(D794:L794))</f>
        <v>225.14036177461554</v>
      </c>
      <c r="Q792" s="168">
        <f>IF((L793=""),"",((M792-N792)/(M792+P792))*100)</f>
        <v>4.9518281857128699</v>
      </c>
      <c r="R792" s="28" t="str">
        <f>IF(L793="","",IF(Q792&lt;Z792,IF(N792&gt;V792,IF(M792&lt;W792,"Pass","Fail"),"Fail"),"Fail"))</f>
        <v>Pass</v>
      </c>
      <c r="S792" s="29">
        <v>64</v>
      </c>
      <c r="T792" s="54" t="s">
        <v>333</v>
      </c>
      <c r="V792" s="53">
        <v>10000</v>
      </c>
      <c r="W792" s="22">
        <v>15600</v>
      </c>
      <c r="X792" s="40">
        <v>8090</v>
      </c>
      <c r="Y792" s="40">
        <v>12070</v>
      </c>
      <c r="Z792" s="49">
        <v>15</v>
      </c>
      <c r="AA792" s="49">
        <v>6</v>
      </c>
    </row>
    <row r="793" spans="1:27" ht="15.75">
      <c r="A793" s="96"/>
      <c r="B793" s="96"/>
      <c r="C793" s="30" t="s">
        <v>128</v>
      </c>
      <c r="D793" s="102">
        <v>25331.63</v>
      </c>
      <c r="E793" s="102">
        <v>25233.599999999999</v>
      </c>
      <c r="F793" s="102">
        <v>25386.89</v>
      </c>
      <c r="G793" s="102">
        <v>25312.400000000001</v>
      </c>
      <c r="H793" s="102">
        <v>25434.67</v>
      </c>
      <c r="I793" s="102">
        <v>25302.17</v>
      </c>
      <c r="J793" s="102">
        <v>25260.37</v>
      </c>
      <c r="K793" s="102">
        <v>25212.04</v>
      </c>
      <c r="L793" s="102">
        <v>25249.03</v>
      </c>
      <c r="M793" s="31"/>
      <c r="N793" s="31"/>
      <c r="O793" s="31"/>
      <c r="P793" s="31"/>
      <c r="Q793" s="31"/>
      <c r="R793" s="32"/>
      <c r="S793" s="33"/>
      <c r="T793" s="55"/>
      <c r="V793" s="47"/>
      <c r="W793" s="47"/>
      <c r="X793" s="48"/>
      <c r="Y793" s="48"/>
      <c r="Z793" s="49"/>
      <c r="AA793" s="49"/>
    </row>
    <row r="794" spans="1:27" ht="13.5" thickBot="1">
      <c r="A794" s="97"/>
      <c r="B794" s="96"/>
      <c r="C794" s="34" t="s">
        <v>129</v>
      </c>
      <c r="D794" s="35">
        <f>IF(((D792="")*AND(D793="")),"",(D792-D793)*3)</f>
        <v>12093.389999999992</v>
      </c>
      <c r="E794" s="35">
        <f t="shared" ref="E794:L794" si="260">IF(((E792="")*AND(E793="")),"",(E792-E793)*3)</f>
        <v>11957.46</v>
      </c>
      <c r="F794" s="35">
        <f t="shared" si="260"/>
        <v>11562.240000000005</v>
      </c>
      <c r="G794" s="35">
        <f t="shared" si="260"/>
        <v>11714.579999999991</v>
      </c>
      <c r="H794" s="35">
        <f t="shared" si="260"/>
        <v>11659.830000000002</v>
      </c>
      <c r="I794" s="35">
        <f t="shared" si="260"/>
        <v>12176.340000000007</v>
      </c>
      <c r="J794" s="35">
        <f t="shared" si="260"/>
        <v>11851.830000000002</v>
      </c>
      <c r="K794" s="35">
        <f t="shared" si="260"/>
        <v>11988.149999999998</v>
      </c>
      <c r="L794" s="35">
        <f t="shared" si="260"/>
        <v>12169.830000000002</v>
      </c>
      <c r="M794" s="36"/>
      <c r="N794" s="36"/>
      <c r="O794" s="36"/>
      <c r="P794" s="36"/>
      <c r="Q794" s="36"/>
      <c r="R794" s="37"/>
      <c r="S794" s="38"/>
      <c r="T794" s="56"/>
      <c r="V794" s="50"/>
      <c r="W794" s="50"/>
      <c r="X794" s="51"/>
      <c r="Y794" s="51"/>
      <c r="Z794" s="52"/>
      <c r="AA794" s="52"/>
    </row>
    <row r="795" spans="1:27" ht="15.75">
      <c r="A795" s="98">
        <v>43626</v>
      </c>
      <c r="B795" s="115" t="s">
        <v>429</v>
      </c>
      <c r="C795" s="26" t="s">
        <v>126</v>
      </c>
      <c r="D795">
        <v>29354.75</v>
      </c>
      <c r="E795">
        <v>29200.82</v>
      </c>
      <c r="F795">
        <v>29209.83</v>
      </c>
      <c r="G795">
        <v>29201.27</v>
      </c>
      <c r="H795">
        <v>29293.08</v>
      </c>
      <c r="I795">
        <v>29335.05</v>
      </c>
      <c r="J795">
        <v>29201.61</v>
      </c>
      <c r="K795">
        <v>29190.639999999999</v>
      </c>
      <c r="L795">
        <v>29298.82</v>
      </c>
      <c r="M795" s="27">
        <f>IF((L796=""),"",MAX(D797:L797))</f>
        <v>11611.830000000002</v>
      </c>
      <c r="N795" s="27">
        <f>IF(L796="","",MIN(D797:L797))</f>
        <v>11081.73</v>
      </c>
      <c r="O795" s="27">
        <f>IF((L797=""),"",AVERAGE(D797:L797))</f>
        <v>11421.23</v>
      </c>
      <c r="P795" s="27">
        <f>IF((L796=""),"",STDEV(D797:L797))</f>
        <v>193.62928529804748</v>
      </c>
      <c r="Q795" s="168">
        <f>IF((L796=""),"",((M795-N795)/(M795+P795))*100)</f>
        <v>4.4902954403490529</v>
      </c>
      <c r="R795" s="28" t="str">
        <f>IF(L796="","",IF(Q795&lt;Z795,IF(N795&gt;V795,IF(M795&lt;W795,"Pass","Fail"),"Fail"),"Fail"))</f>
        <v>Pass</v>
      </c>
      <c r="S795" s="29">
        <v>1428</v>
      </c>
      <c r="T795" s="54" t="s">
        <v>335</v>
      </c>
      <c r="V795" s="53">
        <v>10000</v>
      </c>
      <c r="W795" s="22">
        <v>15600</v>
      </c>
      <c r="X795" s="40">
        <v>8090</v>
      </c>
      <c r="Y795" s="40">
        <v>12070</v>
      </c>
      <c r="Z795" s="49">
        <v>15</v>
      </c>
      <c r="AA795" s="49">
        <v>6</v>
      </c>
    </row>
    <row r="796" spans="1:27" ht="15.75">
      <c r="A796" s="96"/>
      <c r="B796" s="96"/>
      <c r="C796" s="30" t="s">
        <v>128</v>
      </c>
      <c r="D796">
        <v>25660.84</v>
      </c>
      <c r="E796">
        <v>25439.87</v>
      </c>
      <c r="F796">
        <v>25481.62</v>
      </c>
      <c r="G796">
        <v>25359.74</v>
      </c>
      <c r="H796">
        <v>25436.38</v>
      </c>
      <c r="I796">
        <v>25480.12</v>
      </c>
      <c r="J796">
        <v>25347.84</v>
      </c>
      <c r="K796">
        <v>25387.56</v>
      </c>
      <c r="L796">
        <v>25428.21</v>
      </c>
      <c r="M796" s="31"/>
      <c r="N796" s="31"/>
      <c r="O796" s="31"/>
      <c r="P796" s="31"/>
      <c r="Q796" s="31"/>
      <c r="R796" s="32"/>
      <c r="S796" s="33"/>
      <c r="T796" s="55"/>
      <c r="V796" s="47"/>
      <c r="W796" s="47"/>
      <c r="X796" s="48"/>
      <c r="Y796" s="48"/>
      <c r="Z796" s="49"/>
      <c r="AA796" s="49"/>
    </row>
    <row r="797" spans="1:27" ht="13.5" thickBot="1">
      <c r="A797" s="97"/>
      <c r="B797" s="96"/>
      <c r="C797" s="34" t="s">
        <v>129</v>
      </c>
      <c r="D797" s="35">
        <f>IF(((D795="")*AND(D796="")),"",(D795-D796)*3)</f>
        <v>11081.73</v>
      </c>
      <c r="E797" s="35">
        <f t="shared" ref="E797:L797" si="261">IF(((E795="")*AND(E796="")),"",(E795-E796)*3)</f>
        <v>11282.850000000002</v>
      </c>
      <c r="F797" s="35">
        <f t="shared" si="261"/>
        <v>11184.630000000008</v>
      </c>
      <c r="G797" s="35">
        <f t="shared" si="261"/>
        <v>11524.589999999997</v>
      </c>
      <c r="H797" s="35">
        <f t="shared" si="261"/>
        <v>11570.100000000002</v>
      </c>
      <c r="I797" s="35">
        <f t="shared" si="261"/>
        <v>11564.79</v>
      </c>
      <c r="J797" s="35">
        <f t="shared" si="261"/>
        <v>11561.310000000001</v>
      </c>
      <c r="K797" s="35">
        <f t="shared" si="261"/>
        <v>11409.239999999994</v>
      </c>
      <c r="L797" s="35">
        <f t="shared" si="261"/>
        <v>11611.830000000002</v>
      </c>
      <c r="M797" s="36"/>
      <c r="N797" s="36"/>
      <c r="O797" s="36"/>
      <c r="P797" s="36"/>
      <c r="Q797" s="36"/>
      <c r="R797" s="37"/>
      <c r="S797" s="38"/>
      <c r="T797" s="56"/>
      <c r="V797" s="50"/>
      <c r="W797" s="50"/>
      <c r="X797" s="51"/>
      <c r="Y797" s="51"/>
      <c r="Z797" s="52"/>
      <c r="AA797" s="52"/>
    </row>
    <row r="798" spans="1:27" ht="15.75">
      <c r="A798" s="98">
        <v>43630</v>
      </c>
      <c r="B798" s="115" t="s">
        <v>429</v>
      </c>
      <c r="C798" s="26" t="s">
        <v>126</v>
      </c>
      <c r="D798">
        <v>29222.78</v>
      </c>
      <c r="E798">
        <v>29117.38</v>
      </c>
      <c r="F798">
        <v>29146.38</v>
      </c>
      <c r="G798">
        <v>29117.96</v>
      </c>
      <c r="H798">
        <v>29238.51</v>
      </c>
      <c r="I798">
        <v>29256.36</v>
      </c>
      <c r="J798">
        <v>29107.47</v>
      </c>
      <c r="K798">
        <v>29095.57</v>
      </c>
      <c r="L798">
        <v>29208.58</v>
      </c>
      <c r="M798" s="27">
        <f>IF((L799=""),"",MAX(D800:L800))</f>
        <v>14861.339999999997</v>
      </c>
      <c r="N798" s="27">
        <f>IF(L799="","",MIN(D800:L800))</f>
        <v>13738.71</v>
      </c>
      <c r="O798" s="27">
        <f>IF((L800=""),"",AVERAGE(D800:L800))</f>
        <v>14516.216666666667</v>
      </c>
      <c r="P798" s="27">
        <f>IF((L799=""),"",STDEV(D800:L800))</f>
        <v>344.00819953890795</v>
      </c>
      <c r="Q798" s="168">
        <f>IF((L799=""),"",((M798-N798)/(M798+P798))*100)</f>
        <v>7.383125892730563</v>
      </c>
      <c r="R798" s="28" t="str">
        <f>IF(L799="","",IF(Q798&lt;Z798,IF(N798&gt;V798,IF(M798&lt;W798,"Pass","Fail"),"Fail"),"Fail"))</f>
        <v>Pass</v>
      </c>
      <c r="S798" s="29">
        <v>1428</v>
      </c>
      <c r="T798" s="54" t="s">
        <v>336</v>
      </c>
      <c r="V798" s="53">
        <v>10000</v>
      </c>
      <c r="W798" s="22">
        <v>15600</v>
      </c>
      <c r="X798" s="40">
        <v>8090</v>
      </c>
      <c r="Y798" s="40">
        <v>12070</v>
      </c>
      <c r="Z798" s="49">
        <v>15</v>
      </c>
      <c r="AA798" s="49">
        <v>6</v>
      </c>
    </row>
    <row r="799" spans="1:27" ht="15.75">
      <c r="A799" s="96"/>
      <c r="B799" s="96"/>
      <c r="C799" s="30" t="s">
        <v>128</v>
      </c>
      <c r="D799">
        <v>24643.21</v>
      </c>
      <c r="E799">
        <v>24343.15</v>
      </c>
      <c r="F799">
        <v>24292.51</v>
      </c>
      <c r="G799">
        <v>24164.18</v>
      </c>
      <c r="H799">
        <v>24294.91</v>
      </c>
      <c r="I799">
        <v>24407.58</v>
      </c>
      <c r="J799">
        <v>24173.51</v>
      </c>
      <c r="K799">
        <v>24258.16</v>
      </c>
      <c r="L799">
        <v>24385.13</v>
      </c>
      <c r="M799" s="31"/>
      <c r="N799" s="31"/>
      <c r="O799" s="31"/>
      <c r="P799" s="31"/>
      <c r="Q799" s="31"/>
      <c r="R799" s="32"/>
      <c r="S799" s="33"/>
      <c r="T799" s="55"/>
      <c r="V799" s="47"/>
      <c r="W799" s="47"/>
      <c r="X799" s="48"/>
      <c r="Y799" s="48"/>
      <c r="Z799" s="49"/>
      <c r="AA799" s="49"/>
    </row>
    <row r="800" spans="1:27" ht="13.5" thickBot="1">
      <c r="A800" s="97"/>
      <c r="B800" s="96"/>
      <c r="C800" s="34" t="s">
        <v>129</v>
      </c>
      <c r="D800" s="35">
        <f>IF(((D798="")*AND(D799="")),"",(D798-D799)*3)</f>
        <v>13738.71</v>
      </c>
      <c r="E800" s="35">
        <f t="shared" ref="E800:L800" si="262">IF(((E798="")*AND(E799="")),"",(E798-E799)*3)</f>
        <v>14322.689999999999</v>
      </c>
      <c r="F800" s="35">
        <f t="shared" si="262"/>
        <v>14561.610000000008</v>
      </c>
      <c r="G800" s="35">
        <f t="shared" si="262"/>
        <v>14861.339999999997</v>
      </c>
      <c r="H800" s="35">
        <f t="shared" si="262"/>
        <v>14830.799999999996</v>
      </c>
      <c r="I800" s="35">
        <f t="shared" si="262"/>
        <v>14546.339999999997</v>
      </c>
      <c r="J800" s="35">
        <f t="shared" si="262"/>
        <v>14801.880000000008</v>
      </c>
      <c r="K800" s="35">
        <f t="shared" si="262"/>
        <v>14512.23</v>
      </c>
      <c r="L800" s="35">
        <f t="shared" si="262"/>
        <v>14470.350000000002</v>
      </c>
      <c r="M800" s="36"/>
      <c r="N800" s="36"/>
      <c r="O800" s="36"/>
      <c r="P800" s="36"/>
      <c r="Q800" s="36"/>
      <c r="R800" s="37"/>
      <c r="S800" s="38"/>
      <c r="T800" s="56"/>
      <c r="V800" s="50"/>
      <c r="W800" s="50"/>
      <c r="X800" s="51"/>
      <c r="Y800" s="51"/>
      <c r="Z800" s="52"/>
      <c r="AA800" s="52"/>
    </row>
    <row r="801" spans="1:27" ht="15.75">
      <c r="A801" s="98">
        <v>43634</v>
      </c>
      <c r="B801" s="115" t="s">
        <v>429</v>
      </c>
      <c r="C801" s="26" t="s">
        <v>126</v>
      </c>
      <c r="D801">
        <v>29237.18</v>
      </c>
      <c r="E801">
        <v>29110.3</v>
      </c>
      <c r="F801">
        <v>29093.33</v>
      </c>
      <c r="G801">
        <v>29080.93</v>
      </c>
      <c r="H801">
        <v>29198.07</v>
      </c>
      <c r="I801">
        <v>29271.03</v>
      </c>
      <c r="J801">
        <v>29105.17</v>
      </c>
      <c r="K801">
        <v>29084.81</v>
      </c>
      <c r="L801">
        <v>29170.77</v>
      </c>
      <c r="M801" s="27">
        <f>IF((L802=""),"",MAX(D803:L803))</f>
        <v>12047.939999999999</v>
      </c>
      <c r="N801" s="27">
        <f>IF(L802="","",MIN(D803:L803))</f>
        <v>11452.5</v>
      </c>
      <c r="O801" s="27">
        <f>IF((L803=""),"",AVERAGE(D803:L803))</f>
        <v>11821.603333333334</v>
      </c>
      <c r="P801" s="27">
        <f>IF((L802=""),"",STDEV(D803:L803))</f>
        <v>181.00553706990172</v>
      </c>
      <c r="Q801" s="168">
        <f>IF((L802=""),"",((M801-N801)/(M801+P801))*100)</f>
        <v>4.8691033760435598</v>
      </c>
      <c r="R801" s="28" t="str">
        <f>IF(L802="","",IF(Q801&lt;Z801,IF(N801&gt;V801,IF(M801&lt;W801,"Pass","Fail"),"Fail"),"Fail"))</f>
        <v>Pass</v>
      </c>
      <c r="S801" s="29">
        <v>1335</v>
      </c>
      <c r="T801" s="54"/>
      <c r="V801" s="53">
        <v>10000</v>
      </c>
      <c r="W801" s="22">
        <v>15600</v>
      </c>
      <c r="X801" s="40">
        <v>8090</v>
      </c>
      <c r="Y801" s="40">
        <v>12070</v>
      </c>
      <c r="Z801" s="49">
        <v>15</v>
      </c>
      <c r="AA801" s="49">
        <v>6</v>
      </c>
    </row>
    <row r="802" spans="1:27" ht="15.75">
      <c r="A802" s="96"/>
      <c r="B802" s="96"/>
      <c r="C802" s="30" t="s">
        <v>128</v>
      </c>
      <c r="D802">
        <v>25358.55</v>
      </c>
      <c r="E802">
        <v>25128.87</v>
      </c>
      <c r="F802">
        <v>25138.49</v>
      </c>
      <c r="G802">
        <v>25108.78</v>
      </c>
      <c r="H802">
        <v>25276.959999999999</v>
      </c>
      <c r="I802">
        <v>25453.53</v>
      </c>
      <c r="J802">
        <v>25156.25</v>
      </c>
      <c r="K802">
        <v>25068.83</v>
      </c>
      <c r="L802">
        <v>25196.52</v>
      </c>
      <c r="M802" s="31"/>
      <c r="N802" s="31"/>
      <c r="O802" s="31"/>
      <c r="P802" s="31"/>
      <c r="Q802" s="31"/>
      <c r="R802" s="32"/>
      <c r="S802" s="33"/>
      <c r="T802" s="55"/>
      <c r="V802" s="47"/>
      <c r="W802" s="47"/>
      <c r="X802" s="48"/>
      <c r="Y802" s="48"/>
      <c r="Z802" s="49"/>
      <c r="AA802" s="49"/>
    </row>
    <row r="803" spans="1:27" ht="13.5" thickBot="1">
      <c r="A803" s="97"/>
      <c r="B803" s="96"/>
      <c r="C803" s="34" t="s">
        <v>129</v>
      </c>
      <c r="D803" s="35">
        <f>IF(((D801="")*AND(D802="")),"",(D801-D802)*3)</f>
        <v>11635.890000000003</v>
      </c>
      <c r="E803" s="35">
        <f t="shared" ref="E803:L803" si="263">IF(((E801="")*AND(E802="")),"",(E801-E802)*3)</f>
        <v>11944.29</v>
      </c>
      <c r="F803" s="35">
        <f t="shared" si="263"/>
        <v>11864.52</v>
      </c>
      <c r="G803" s="35">
        <f t="shared" si="263"/>
        <v>11916.450000000004</v>
      </c>
      <c r="H803" s="35">
        <f t="shared" si="263"/>
        <v>11763.330000000002</v>
      </c>
      <c r="I803" s="35">
        <f t="shared" si="263"/>
        <v>11452.5</v>
      </c>
      <c r="J803" s="35">
        <f t="shared" si="263"/>
        <v>11846.759999999995</v>
      </c>
      <c r="K803" s="35">
        <f t="shared" si="263"/>
        <v>12047.939999999999</v>
      </c>
      <c r="L803" s="35">
        <f t="shared" si="263"/>
        <v>11922.75</v>
      </c>
      <c r="M803" s="36"/>
      <c r="N803" s="36"/>
      <c r="O803" s="36"/>
      <c r="P803" s="36"/>
      <c r="Q803" s="36"/>
      <c r="R803" s="37"/>
      <c r="S803" s="38"/>
      <c r="T803" s="56"/>
      <c r="V803" s="50"/>
      <c r="W803" s="50"/>
      <c r="X803" s="51"/>
      <c r="Y803" s="51"/>
      <c r="Z803" s="52"/>
      <c r="AA803" s="52"/>
    </row>
    <row r="804" spans="1:27" ht="15.75">
      <c r="A804" s="98">
        <v>43639</v>
      </c>
      <c r="B804" s="115" t="s">
        <v>429</v>
      </c>
      <c r="C804" s="26" t="s">
        <v>126</v>
      </c>
      <c r="D804">
        <v>29180.86</v>
      </c>
      <c r="E804">
        <v>29151.38</v>
      </c>
      <c r="F804">
        <v>29130.959999999999</v>
      </c>
      <c r="G804">
        <v>29159.86</v>
      </c>
      <c r="H804">
        <v>29259.87</v>
      </c>
      <c r="I804">
        <v>29177.23</v>
      </c>
      <c r="J804">
        <v>29182.49</v>
      </c>
      <c r="K804">
        <v>29123.03</v>
      </c>
      <c r="L804">
        <v>29219.25</v>
      </c>
      <c r="M804" s="27">
        <f>IF((L805=""),"",MAX(D806:L806))</f>
        <v>13838.79</v>
      </c>
      <c r="N804" s="27">
        <f>IF(L805="","",MIN(D806:L806))</f>
        <v>12293.100000000002</v>
      </c>
      <c r="O804" s="27">
        <f>IF((L806=""),"",AVERAGE(D806:L806))</f>
        <v>13101.406666666668</v>
      </c>
      <c r="P804" s="27">
        <f>IF((L805=""),"",STDEV(D806:L806))</f>
        <v>458.12073408651077</v>
      </c>
      <c r="Q804" s="168">
        <f>IF((L805=""),"",((M804-N804)/(M804+P804))*100)</f>
        <v>10.811356584291907</v>
      </c>
      <c r="R804" s="28" t="str">
        <f>IF(L805="","",IF(Q804&lt;Z804,IF(N804&gt;V804,IF(M804&lt;W804,"Pass","Fail"),"Fail"),"Fail"))</f>
        <v>Pass</v>
      </c>
      <c r="S804" s="29">
        <v>74</v>
      </c>
      <c r="T804" s="103" t="s">
        <v>339</v>
      </c>
      <c r="V804" s="53">
        <v>10000</v>
      </c>
      <c r="W804" s="22">
        <v>15600</v>
      </c>
      <c r="X804" s="40">
        <v>8090</v>
      </c>
      <c r="Y804" s="40">
        <v>12070</v>
      </c>
      <c r="Z804" s="49">
        <v>15</v>
      </c>
      <c r="AA804" s="49">
        <v>6</v>
      </c>
    </row>
    <row r="805" spans="1:27" ht="15.75">
      <c r="A805" s="96"/>
      <c r="B805" s="96"/>
      <c r="C805" s="30" t="s">
        <v>128</v>
      </c>
      <c r="D805">
        <v>25083.16</v>
      </c>
      <c r="E805">
        <v>24867.46</v>
      </c>
      <c r="F805">
        <v>24887.94</v>
      </c>
      <c r="G805">
        <v>24763.27</v>
      </c>
      <c r="H805">
        <v>24752.52</v>
      </c>
      <c r="I805">
        <v>24824.35</v>
      </c>
      <c r="J805">
        <v>24715.81</v>
      </c>
      <c r="K805">
        <v>24779.88</v>
      </c>
      <c r="L805">
        <v>24606.32</v>
      </c>
      <c r="M805" s="31"/>
      <c r="N805" s="31"/>
      <c r="O805" s="31"/>
      <c r="P805" s="31"/>
      <c r="Q805" s="31"/>
      <c r="R805" s="32"/>
      <c r="S805" s="33"/>
      <c r="T805" s="55"/>
      <c r="V805" s="47"/>
      <c r="W805" s="47"/>
      <c r="X805" s="48"/>
      <c r="Y805" s="48"/>
      <c r="Z805" s="49"/>
      <c r="AA805" s="49"/>
    </row>
    <row r="806" spans="1:27" ht="13.5" thickBot="1">
      <c r="A806" s="97"/>
      <c r="B806" s="96"/>
      <c r="C806" s="34" t="s">
        <v>129</v>
      </c>
      <c r="D806" s="35">
        <f>IF(((D804="")*AND(D805="")),"",(D804-D805)*3)</f>
        <v>12293.100000000002</v>
      </c>
      <c r="E806" s="35">
        <f t="shared" ref="E806:L806" si="264">IF(((E804="")*AND(E805="")),"",(E804-E805)*3)</f>
        <v>12851.760000000006</v>
      </c>
      <c r="F806" s="35">
        <f t="shared" si="264"/>
        <v>12729.060000000001</v>
      </c>
      <c r="G806" s="35">
        <f t="shared" si="264"/>
        <v>13189.77</v>
      </c>
      <c r="H806" s="35">
        <f t="shared" si="264"/>
        <v>13522.049999999996</v>
      </c>
      <c r="I806" s="35">
        <f t="shared" si="264"/>
        <v>13058.640000000003</v>
      </c>
      <c r="J806" s="35">
        <f t="shared" si="264"/>
        <v>13400.04</v>
      </c>
      <c r="K806" s="35">
        <f t="shared" si="264"/>
        <v>13029.449999999993</v>
      </c>
      <c r="L806" s="35">
        <f t="shared" si="264"/>
        <v>13838.79</v>
      </c>
      <c r="M806" s="36"/>
      <c r="N806" s="36"/>
      <c r="O806" s="36"/>
      <c r="P806" s="36"/>
      <c r="Q806" s="36"/>
      <c r="R806" s="37"/>
      <c r="S806" s="38"/>
      <c r="T806" s="56"/>
      <c r="V806" s="50"/>
      <c r="W806" s="50"/>
      <c r="X806" s="51"/>
      <c r="Y806" s="51"/>
      <c r="Z806" s="52"/>
      <c r="AA806" s="52"/>
    </row>
    <row r="807" spans="1:27" ht="15.75">
      <c r="A807" s="98">
        <v>43643</v>
      </c>
      <c r="B807" s="115" t="s">
        <v>429</v>
      </c>
      <c r="C807" s="26" t="s">
        <v>126</v>
      </c>
      <c r="D807">
        <v>29001.3</v>
      </c>
      <c r="E807">
        <v>28892.92</v>
      </c>
      <c r="F807">
        <v>28919.63</v>
      </c>
      <c r="G807">
        <v>28889.38</v>
      </c>
      <c r="H807">
        <v>29028.35</v>
      </c>
      <c r="I807">
        <v>29027.55</v>
      </c>
      <c r="J807">
        <v>28890.66</v>
      </c>
      <c r="K807">
        <v>28875.01</v>
      </c>
      <c r="L807">
        <v>29013.82</v>
      </c>
      <c r="M807" s="27">
        <f>IF((L808=""),"",MAX(D809:L809))</f>
        <v>11220.299999999996</v>
      </c>
      <c r="N807" s="27">
        <f>IF(L808="","",MIN(D809:L809))</f>
        <v>10663.049999999996</v>
      </c>
      <c r="O807" s="27">
        <f>IF((L809=""),"",AVERAGE(D809:L809))</f>
        <v>11006.023333333329</v>
      </c>
      <c r="P807" s="27">
        <f>IF((L808=""),"",STDEV(D809:L809))</f>
        <v>176.50519765727796</v>
      </c>
      <c r="Q807" s="168">
        <f>IF((L808=""),"",((M807-N807)/(M807+P807))*100)</f>
        <v>4.8895281645644717</v>
      </c>
      <c r="R807" s="28" t="str">
        <f>IF(L808="","",IF(Q807&lt;Z807,IF(N807&gt;V807,IF(M807&lt;W807,"Pass","Fail"),"Fail"),"Fail"))</f>
        <v>Pass</v>
      </c>
      <c r="S807" s="29">
        <v>1340</v>
      </c>
      <c r="T807" s="54" t="s">
        <v>341</v>
      </c>
      <c r="V807" s="53">
        <v>10000</v>
      </c>
      <c r="W807" s="22">
        <v>15600</v>
      </c>
      <c r="X807" s="40">
        <v>8090</v>
      </c>
      <c r="Y807" s="40">
        <v>12070</v>
      </c>
      <c r="Z807" s="49">
        <v>15</v>
      </c>
      <c r="AA807" s="49">
        <v>6</v>
      </c>
    </row>
    <row r="808" spans="1:27" ht="15.75">
      <c r="A808" s="96"/>
      <c r="B808" s="96"/>
      <c r="C808" s="30" t="s">
        <v>128</v>
      </c>
      <c r="D808">
        <v>25261.200000000001</v>
      </c>
      <c r="E808">
        <v>25183.65</v>
      </c>
      <c r="F808">
        <v>25296.13</v>
      </c>
      <c r="G808">
        <v>25252.66</v>
      </c>
      <c r="H808">
        <v>25474</v>
      </c>
      <c r="I808">
        <v>25333.58</v>
      </c>
      <c r="J808">
        <v>25249.87</v>
      </c>
      <c r="K808">
        <v>25161.46</v>
      </c>
      <c r="L808">
        <v>25308</v>
      </c>
      <c r="M808" s="31"/>
      <c r="N808" s="31"/>
      <c r="O808" s="31"/>
      <c r="P808" s="31"/>
      <c r="Q808" s="31"/>
      <c r="R808" s="32"/>
      <c r="S808" s="33"/>
      <c r="T808" s="55"/>
      <c r="V808" s="47"/>
      <c r="W808" s="47"/>
      <c r="X808" s="48"/>
      <c r="Y808" s="48"/>
      <c r="Z808" s="49"/>
      <c r="AA808" s="49"/>
    </row>
    <row r="809" spans="1:27" ht="13.5" thickBot="1">
      <c r="A809" s="97"/>
      <c r="B809" s="96"/>
      <c r="C809" s="34" t="s">
        <v>129</v>
      </c>
      <c r="D809" s="35">
        <f>IF(((D807="")*AND(D808="")),"",(D807-D808)*3)</f>
        <v>11220.299999999996</v>
      </c>
      <c r="E809" s="35">
        <f t="shared" ref="E809:L809" si="265">IF(((E807="")*AND(E808="")),"",(E807-E808)*3)</f>
        <v>11127.80999999999</v>
      </c>
      <c r="F809" s="35">
        <f t="shared" si="265"/>
        <v>10870.5</v>
      </c>
      <c r="G809" s="35">
        <f t="shared" si="265"/>
        <v>10910.160000000003</v>
      </c>
      <c r="H809" s="35">
        <f t="shared" si="265"/>
        <v>10663.049999999996</v>
      </c>
      <c r="I809" s="35">
        <f t="shared" si="265"/>
        <v>11081.909999999993</v>
      </c>
      <c r="J809" s="35">
        <f t="shared" si="265"/>
        <v>10922.370000000003</v>
      </c>
      <c r="K809" s="35">
        <f t="shared" si="265"/>
        <v>11140.649999999998</v>
      </c>
      <c r="L809" s="35">
        <f t="shared" si="265"/>
        <v>11117.46</v>
      </c>
      <c r="M809" s="36"/>
      <c r="N809" s="36"/>
      <c r="O809" s="36"/>
      <c r="P809" s="36"/>
      <c r="Q809" s="36"/>
      <c r="R809" s="37"/>
      <c r="S809" s="38"/>
      <c r="T809" s="56"/>
      <c r="V809" s="50"/>
      <c r="W809" s="50"/>
      <c r="X809" s="51"/>
      <c r="Y809" s="51"/>
      <c r="Z809" s="52"/>
      <c r="AA809" s="52"/>
    </row>
    <row r="810" spans="1:27" ht="15.75">
      <c r="A810" s="98">
        <v>43647</v>
      </c>
      <c r="B810" s="115" t="s">
        <v>429</v>
      </c>
      <c r="C810" s="26" t="s">
        <v>126</v>
      </c>
      <c r="D810">
        <v>28986.65</v>
      </c>
      <c r="E810">
        <v>28865.040000000001</v>
      </c>
      <c r="F810">
        <v>28901.62</v>
      </c>
      <c r="G810">
        <v>28874.45</v>
      </c>
      <c r="H810">
        <v>28991.3</v>
      </c>
      <c r="I810">
        <v>28948.66</v>
      </c>
      <c r="J810">
        <v>28857.279999999999</v>
      </c>
      <c r="K810">
        <v>28866.39</v>
      </c>
      <c r="L810">
        <v>29021.9</v>
      </c>
      <c r="M810" s="27">
        <f>IF((L811=""),"",MAX(D812:L812))</f>
        <v>11223.75</v>
      </c>
      <c r="N810" s="27">
        <f>IF(L811="","",MIN(D812:L812))</f>
        <v>10745.220000000005</v>
      </c>
      <c r="O810" s="27">
        <f>IF((L812=""),"",AVERAGE(D812:L812))</f>
        <v>11058.880000000001</v>
      </c>
      <c r="P810" s="27">
        <f>IF((L811=""),"",STDEV(D812:L812))</f>
        <v>184.29302109686631</v>
      </c>
      <c r="Q810" s="168">
        <f>IF((L811=""),"",((M810-N810)/(M810+P810))*100)</f>
        <v>4.1946721196181578</v>
      </c>
      <c r="R810" s="28" t="str">
        <f>IF(L811="","",IF(Q810&lt;Z810,IF(N810&gt;V810,IF(M810&lt;W810,"Pass","Fail"),"Fail"),"Fail"))</f>
        <v>Pass</v>
      </c>
      <c r="S810" s="29">
        <v>1159</v>
      </c>
      <c r="T810" s="54" t="s">
        <v>343</v>
      </c>
      <c r="V810" s="53">
        <v>10000</v>
      </c>
      <c r="W810" s="22">
        <v>15600</v>
      </c>
      <c r="X810" s="40">
        <v>8090</v>
      </c>
      <c r="Y810" s="40">
        <v>12070</v>
      </c>
      <c r="Z810" s="49">
        <v>15</v>
      </c>
      <c r="AA810" s="49">
        <v>6</v>
      </c>
    </row>
    <row r="811" spans="1:27" ht="15.75">
      <c r="A811" s="96"/>
      <c r="B811" s="96"/>
      <c r="C811" s="30" t="s">
        <v>128</v>
      </c>
      <c r="D811">
        <v>25404.91</v>
      </c>
      <c r="E811">
        <v>25227.48</v>
      </c>
      <c r="F811">
        <v>25288.77</v>
      </c>
      <c r="G811">
        <v>25153.02</v>
      </c>
      <c r="H811">
        <v>25252.57</v>
      </c>
      <c r="I811">
        <v>25207.41</v>
      </c>
      <c r="J811">
        <v>25121.43</v>
      </c>
      <c r="K811">
        <v>25189.51</v>
      </c>
      <c r="L811">
        <v>25291.55</v>
      </c>
      <c r="M811" s="31"/>
      <c r="N811" s="31"/>
      <c r="O811" s="31"/>
      <c r="P811" s="31"/>
      <c r="Q811" s="31"/>
      <c r="R811" s="32"/>
      <c r="S811" s="33"/>
      <c r="T811" s="55"/>
      <c r="V811" s="47"/>
      <c r="W811" s="47"/>
      <c r="X811" s="48"/>
      <c r="Y811" s="48"/>
      <c r="Z811" s="49"/>
      <c r="AA811" s="49"/>
    </row>
    <row r="812" spans="1:27" ht="13.5" thickBot="1">
      <c r="A812" s="97"/>
      <c r="B812" s="96"/>
      <c r="C812" s="34" t="s">
        <v>129</v>
      </c>
      <c r="D812" s="35">
        <f>IF(((D810="")*AND(D811="")),"",(D810-D811)*3)</f>
        <v>10745.220000000005</v>
      </c>
      <c r="E812" s="35">
        <f t="shared" ref="E812:L812" si="266">IF(((E810="")*AND(E811="")),"",(E810-E811)*3)</f>
        <v>10912.680000000004</v>
      </c>
      <c r="F812" s="35">
        <f t="shared" si="266"/>
        <v>10838.549999999996</v>
      </c>
      <c r="G812" s="35">
        <f t="shared" si="266"/>
        <v>11164.29</v>
      </c>
      <c r="H812" s="35">
        <f t="shared" si="266"/>
        <v>11216.189999999999</v>
      </c>
      <c r="I812" s="35">
        <f t="shared" si="266"/>
        <v>11223.75</v>
      </c>
      <c r="J812" s="35">
        <f t="shared" si="266"/>
        <v>11207.549999999996</v>
      </c>
      <c r="K812" s="35">
        <f t="shared" si="266"/>
        <v>11030.640000000003</v>
      </c>
      <c r="L812" s="35">
        <f t="shared" si="266"/>
        <v>11191.050000000007</v>
      </c>
      <c r="M812" s="36"/>
      <c r="N812" s="36"/>
      <c r="O812" s="36"/>
      <c r="P812" s="36"/>
      <c r="Q812" s="36"/>
      <c r="R812" s="37"/>
      <c r="S812" s="38"/>
      <c r="T812" s="56"/>
      <c r="V812" s="50"/>
      <c r="W812" s="50"/>
      <c r="X812" s="51"/>
      <c r="Y812" s="51"/>
      <c r="Z812" s="52"/>
      <c r="AA812" s="52"/>
    </row>
    <row r="813" spans="1:27" ht="15.75">
      <c r="A813" s="98">
        <v>43651</v>
      </c>
      <c r="B813" s="115" t="s">
        <v>429</v>
      </c>
      <c r="C813" s="26" t="s">
        <v>126</v>
      </c>
      <c r="D813">
        <v>29204.560000000001</v>
      </c>
      <c r="E813">
        <v>29082.7</v>
      </c>
      <c r="F813">
        <v>29096.46</v>
      </c>
      <c r="G813">
        <v>29101.77</v>
      </c>
      <c r="H813">
        <v>29204.92</v>
      </c>
      <c r="I813">
        <v>29166.7</v>
      </c>
      <c r="J813">
        <v>29064.15</v>
      </c>
      <c r="K813">
        <v>29097.29</v>
      </c>
      <c r="L813">
        <v>29212.39</v>
      </c>
      <c r="M813" s="27">
        <f>IF((L814=""),"",MAX(D815:L815))</f>
        <v>11033.370000000003</v>
      </c>
      <c r="N813" s="27">
        <f>IF(L814="","",MIN(D815:L815))</f>
        <v>10461.240000000005</v>
      </c>
      <c r="O813" s="27">
        <f>IF((L815=""),"",AVERAGE(D815:L815))</f>
        <v>10772.696666666665</v>
      </c>
      <c r="P813" s="27">
        <f>IF((L814=""),"",STDEV(D815:L815))</f>
        <v>181.98796251407421</v>
      </c>
      <c r="Q813" s="168">
        <f>IF((L814=""),"",((M813-N813)/(M813+P813))*100)</f>
        <v>5.1013084193324003</v>
      </c>
      <c r="R813" s="28" t="str">
        <f>IF(L814="","",IF(Q813&lt;Z813,IF(N813&gt;V813,IF(M813&lt;W813,"Pass","Fail"),"Fail"),"Fail"))</f>
        <v>Pass</v>
      </c>
      <c r="S813" s="29">
        <v>1159</v>
      </c>
      <c r="T813" s="54" t="s">
        <v>345</v>
      </c>
      <c r="V813" s="53">
        <v>10000</v>
      </c>
      <c r="W813" s="22">
        <v>15600</v>
      </c>
      <c r="X813" s="40">
        <v>8090</v>
      </c>
      <c r="Y813" s="40">
        <v>12070</v>
      </c>
      <c r="Z813" s="49">
        <v>15</v>
      </c>
      <c r="AA813" s="49">
        <v>6</v>
      </c>
    </row>
    <row r="814" spans="1:27" ht="15.75">
      <c r="A814" s="96"/>
      <c r="B814" s="96"/>
      <c r="C814" s="30" t="s">
        <v>128</v>
      </c>
      <c r="D814">
        <v>25717.48</v>
      </c>
      <c r="E814">
        <v>25526.87</v>
      </c>
      <c r="F814">
        <v>25584.06</v>
      </c>
      <c r="G814">
        <v>25483.43</v>
      </c>
      <c r="H814">
        <v>25577.15</v>
      </c>
      <c r="I814">
        <v>25488.91</v>
      </c>
      <c r="J814">
        <v>25446.1</v>
      </c>
      <c r="K814">
        <v>25494.22</v>
      </c>
      <c r="L814">
        <v>25594.63</v>
      </c>
      <c r="M814" s="31"/>
      <c r="N814" s="31"/>
      <c r="O814" s="31"/>
      <c r="P814" s="31"/>
      <c r="Q814" s="31"/>
      <c r="R814" s="32"/>
      <c r="S814" s="33"/>
      <c r="T814" s="55"/>
      <c r="V814" s="47"/>
      <c r="W814" s="47"/>
      <c r="X814" s="48"/>
      <c r="Y814" s="48"/>
      <c r="Z814" s="49"/>
      <c r="AA814" s="49"/>
    </row>
    <row r="815" spans="1:27" ht="13.5" thickBot="1">
      <c r="A815" s="97"/>
      <c r="B815" s="96"/>
      <c r="C815" s="34" t="s">
        <v>129</v>
      </c>
      <c r="D815" s="35">
        <f>IF(((D813="")*AND(D814="")),"",(D813-D814)*3)</f>
        <v>10461.240000000005</v>
      </c>
      <c r="E815" s="35">
        <f t="shared" ref="E815:L815" si="267">IF(((E813="")*AND(E814="")),"",(E813-E814)*3)</f>
        <v>10667.490000000005</v>
      </c>
      <c r="F815" s="35">
        <f t="shared" si="267"/>
        <v>10537.199999999993</v>
      </c>
      <c r="G815" s="35">
        <f t="shared" si="267"/>
        <v>10855.02</v>
      </c>
      <c r="H815" s="35">
        <f t="shared" si="267"/>
        <v>10883.30999999999</v>
      </c>
      <c r="I815" s="35">
        <f t="shared" si="267"/>
        <v>11033.370000000003</v>
      </c>
      <c r="J815" s="35">
        <f t="shared" si="267"/>
        <v>10854.150000000009</v>
      </c>
      <c r="K815" s="35">
        <f t="shared" si="267"/>
        <v>10809.21</v>
      </c>
      <c r="L815" s="35">
        <f t="shared" si="267"/>
        <v>10853.279999999995</v>
      </c>
      <c r="M815" s="36"/>
      <c r="N815" s="36"/>
      <c r="O815" s="36"/>
      <c r="P815" s="36"/>
      <c r="Q815" s="36"/>
      <c r="R815" s="37"/>
      <c r="S815" s="38"/>
      <c r="T815" s="56"/>
      <c r="V815" s="50"/>
      <c r="W815" s="50"/>
      <c r="X815" s="51"/>
      <c r="Y815" s="51"/>
      <c r="Z815" s="52"/>
      <c r="AA815" s="52"/>
    </row>
    <row r="816" spans="1:27" ht="15.75">
      <c r="A816" s="98">
        <v>43655</v>
      </c>
      <c r="B816" s="115" t="s">
        <v>429</v>
      </c>
      <c r="C816" s="26" t="s">
        <v>126</v>
      </c>
      <c r="D816">
        <v>29177</v>
      </c>
      <c r="E816">
        <v>29045</v>
      </c>
      <c r="F816">
        <v>29054</v>
      </c>
      <c r="G816">
        <v>29049</v>
      </c>
      <c r="H816">
        <v>29197</v>
      </c>
      <c r="I816">
        <v>29174</v>
      </c>
      <c r="J816">
        <v>29057</v>
      </c>
      <c r="K816">
        <v>29044</v>
      </c>
      <c r="L816">
        <v>29158</v>
      </c>
      <c r="M816" s="27">
        <f>IF((L817=""),"",MAX(D818:L818))</f>
        <v>12030</v>
      </c>
      <c r="N816" s="27">
        <f>IF(L817="","",MIN(D818:L818))</f>
        <v>11322</v>
      </c>
      <c r="O816" s="27">
        <f>IF((L818=""),"",AVERAGE(D818:L818))</f>
        <v>11686.333333333334</v>
      </c>
      <c r="P816" s="27">
        <f>IF((L817=""),"",STDEV(D818:L818))</f>
        <v>230.03423658229659</v>
      </c>
      <c r="Q816" s="168">
        <f>IF((L817=""),"",((M816-N816)/(M816+P816))*100)</f>
        <v>5.7748615243456909</v>
      </c>
      <c r="R816" s="28" t="str">
        <f>IF(L817="","",IF(Q816&lt;Z816,IF(N816&gt;V816,IF(M816&lt;W816,"Pass","Fail"),"Fail"),"Fail"))</f>
        <v>Pass</v>
      </c>
      <c r="S816" s="29">
        <v>1340</v>
      </c>
      <c r="T816" s="54" t="s">
        <v>347</v>
      </c>
      <c r="V816" s="53">
        <v>10000</v>
      </c>
      <c r="W816" s="22">
        <v>15600</v>
      </c>
      <c r="X816" s="40">
        <v>8090</v>
      </c>
      <c r="Y816" s="40">
        <v>12070</v>
      </c>
      <c r="Z816" s="49">
        <v>15</v>
      </c>
      <c r="AA816" s="49">
        <v>6</v>
      </c>
    </row>
    <row r="817" spans="1:27" ht="15.75">
      <c r="A817" s="96"/>
      <c r="B817" s="96"/>
      <c r="C817" s="30" t="s">
        <v>128</v>
      </c>
      <c r="D817">
        <v>25403</v>
      </c>
      <c r="E817">
        <v>25209</v>
      </c>
      <c r="F817">
        <v>25234</v>
      </c>
      <c r="G817">
        <v>25116</v>
      </c>
      <c r="H817">
        <v>25233</v>
      </c>
      <c r="I817">
        <v>25164</v>
      </c>
      <c r="J817">
        <v>25106</v>
      </c>
      <c r="K817">
        <v>25175</v>
      </c>
      <c r="L817">
        <v>25256</v>
      </c>
      <c r="M817" s="31"/>
      <c r="N817" s="31"/>
      <c r="O817" s="31"/>
      <c r="P817" s="31"/>
      <c r="Q817" s="31"/>
      <c r="R817" s="32"/>
      <c r="S817" s="33"/>
      <c r="T817" s="55"/>
      <c r="V817" s="47"/>
      <c r="W817" s="47"/>
      <c r="X817" s="48"/>
      <c r="Y817" s="48"/>
      <c r="Z817" s="49"/>
      <c r="AA817" s="49"/>
    </row>
    <row r="818" spans="1:27" ht="13.5" thickBot="1">
      <c r="A818" s="97"/>
      <c r="B818" s="96"/>
      <c r="C818" s="34" t="s">
        <v>129</v>
      </c>
      <c r="D818" s="35">
        <f>IF(((D816="")*AND(D817="")),"",(D816-D817)*3)</f>
        <v>11322</v>
      </c>
      <c r="E818" s="35">
        <f t="shared" ref="E818:L818" si="268">IF(((E816="")*AND(E817="")),"",(E816-E817)*3)</f>
        <v>11508</v>
      </c>
      <c r="F818" s="35">
        <f t="shared" si="268"/>
        <v>11460</v>
      </c>
      <c r="G818" s="35">
        <f t="shared" si="268"/>
        <v>11799</v>
      </c>
      <c r="H818" s="35">
        <f t="shared" si="268"/>
        <v>11892</v>
      </c>
      <c r="I818" s="35">
        <f t="shared" si="268"/>
        <v>12030</v>
      </c>
      <c r="J818" s="35">
        <f t="shared" si="268"/>
        <v>11853</v>
      </c>
      <c r="K818" s="35">
        <f t="shared" si="268"/>
        <v>11607</v>
      </c>
      <c r="L818" s="35">
        <f t="shared" si="268"/>
        <v>11706</v>
      </c>
      <c r="M818" s="36"/>
      <c r="N818" s="36"/>
      <c r="O818" s="36"/>
      <c r="P818" s="36"/>
      <c r="Q818" s="36"/>
      <c r="R818" s="37"/>
      <c r="S818" s="38"/>
      <c r="T818" s="56"/>
      <c r="V818" s="50"/>
      <c r="W818" s="50"/>
      <c r="X818" s="51"/>
      <c r="Y818" s="51"/>
      <c r="Z818" s="52"/>
      <c r="AA818" s="52"/>
    </row>
    <row r="819" spans="1:27" ht="15.75">
      <c r="A819" s="98">
        <v>43657</v>
      </c>
      <c r="B819" s="115" t="s">
        <v>429</v>
      </c>
      <c r="C819" s="26" t="s">
        <v>126</v>
      </c>
      <c r="D819">
        <v>29130.3</v>
      </c>
      <c r="E819">
        <v>29014.28</v>
      </c>
      <c r="F819">
        <v>29003.75</v>
      </c>
      <c r="G819">
        <v>28993.72</v>
      </c>
      <c r="H819">
        <v>29095.69</v>
      </c>
      <c r="I819">
        <v>29127.9</v>
      </c>
      <c r="J819">
        <v>29003.86</v>
      </c>
      <c r="K819">
        <v>28978.01</v>
      </c>
      <c r="L819">
        <v>29121.42</v>
      </c>
      <c r="M819" s="27">
        <f>IF((L820=""),"",MAX(D821:L821))</f>
        <v>11574.330000000002</v>
      </c>
      <c r="N819" s="27">
        <f>IF(L820="","",MIN(D821:L821))</f>
        <v>10931.759999999995</v>
      </c>
      <c r="O819" s="27">
        <f>IF((L821=""),"",AVERAGE(D821:L821))</f>
        <v>11230.57</v>
      </c>
      <c r="P819" s="27">
        <f>IF((L820=""),"",STDEV(D821:L821))</f>
        <v>192.60567631825296</v>
      </c>
      <c r="Q819" s="168">
        <f>IF((L820=""),"",((M819-N819)/(M819+P819))*100)</f>
        <v>5.4608099990996131</v>
      </c>
      <c r="R819" s="28" t="str">
        <f>IF(L820="","",IF(Q819&lt;Z819,IF(N819&gt;V819,IF(M819&lt;W819,"Pass","Fail"),"Fail"),"Fail"))</f>
        <v>Pass</v>
      </c>
      <c r="S819" s="29">
        <v>121</v>
      </c>
      <c r="T819" s="54"/>
      <c r="V819" s="53">
        <v>10000</v>
      </c>
      <c r="W819" s="22">
        <v>15600</v>
      </c>
      <c r="X819" s="40">
        <v>8090</v>
      </c>
      <c r="Y819" s="40">
        <v>12070</v>
      </c>
      <c r="Z819" s="49">
        <v>15</v>
      </c>
      <c r="AA819" s="49">
        <v>6</v>
      </c>
    </row>
    <row r="820" spans="1:27" ht="15.75">
      <c r="A820" s="96"/>
      <c r="B820" s="96"/>
      <c r="C820" s="30" t="s">
        <v>128</v>
      </c>
      <c r="D820">
        <v>25486.38</v>
      </c>
      <c r="E820">
        <v>25283.81</v>
      </c>
      <c r="F820">
        <v>25300.73</v>
      </c>
      <c r="G820">
        <v>25213.06</v>
      </c>
      <c r="H820">
        <v>25352.6</v>
      </c>
      <c r="I820">
        <v>25269.79</v>
      </c>
      <c r="J820">
        <v>25195.85</v>
      </c>
      <c r="K820">
        <v>25248.26</v>
      </c>
      <c r="L820">
        <v>25426.74</v>
      </c>
      <c r="M820" s="31"/>
      <c r="N820" s="31"/>
      <c r="O820" s="31"/>
      <c r="P820" s="31"/>
      <c r="Q820" s="31"/>
      <c r="R820" s="32"/>
      <c r="S820" s="33"/>
      <c r="T820" s="55"/>
      <c r="V820" s="47"/>
      <c r="W820" s="47"/>
      <c r="X820" s="48"/>
      <c r="Y820" s="48"/>
      <c r="Z820" s="49"/>
      <c r="AA820" s="49"/>
    </row>
    <row r="821" spans="1:27" ht="13.5" thickBot="1">
      <c r="A821" s="97"/>
      <c r="B821" s="96"/>
      <c r="C821" s="34" t="s">
        <v>129</v>
      </c>
      <c r="D821" s="35">
        <f>IF(((D819="")*AND(D820="")),"",(D819-D820)*3)</f>
        <v>10931.759999999995</v>
      </c>
      <c r="E821" s="35">
        <f t="shared" ref="E821:L821" si="269">IF(((E819="")*AND(E820="")),"",(E819-E820)*3)</f>
        <v>11191.409999999993</v>
      </c>
      <c r="F821" s="35">
        <f t="shared" si="269"/>
        <v>11109.060000000001</v>
      </c>
      <c r="G821" s="35">
        <f t="shared" si="269"/>
        <v>11341.98</v>
      </c>
      <c r="H821" s="35">
        <f t="shared" si="269"/>
        <v>11229.27</v>
      </c>
      <c r="I821" s="35">
        <f t="shared" si="269"/>
        <v>11574.330000000002</v>
      </c>
      <c r="J821" s="35">
        <f t="shared" si="269"/>
        <v>11424.030000000006</v>
      </c>
      <c r="K821" s="35">
        <f t="shared" si="269"/>
        <v>11189.25</v>
      </c>
      <c r="L821" s="35">
        <f t="shared" si="269"/>
        <v>11084.03999999999</v>
      </c>
      <c r="M821" s="36"/>
      <c r="N821" s="36"/>
      <c r="O821" s="36"/>
      <c r="P821" s="36"/>
      <c r="Q821" s="36"/>
      <c r="R821" s="37"/>
      <c r="S821" s="38"/>
      <c r="T821" s="56"/>
      <c r="V821" s="50"/>
      <c r="W821" s="50"/>
      <c r="X821" s="51"/>
      <c r="Y821" s="51"/>
      <c r="Z821" s="52"/>
      <c r="AA821" s="52"/>
    </row>
    <row r="822" spans="1:27" ht="15.75">
      <c r="A822" s="98">
        <v>43661</v>
      </c>
      <c r="B822" s="115" t="s">
        <v>429</v>
      </c>
      <c r="C822" s="26" t="s">
        <v>126</v>
      </c>
      <c r="D822">
        <v>29119.33</v>
      </c>
      <c r="E822">
        <v>29038.59</v>
      </c>
      <c r="F822">
        <v>29087.32</v>
      </c>
      <c r="G822">
        <v>29041.42</v>
      </c>
      <c r="H822">
        <v>29172.58</v>
      </c>
      <c r="I822">
        <v>29129.93</v>
      </c>
      <c r="J822">
        <v>29043.98</v>
      </c>
      <c r="K822">
        <v>29012.83</v>
      </c>
      <c r="L822">
        <v>29127.35</v>
      </c>
      <c r="M822" s="27">
        <f>IF((L823=""),"",MAX(D824:L824))</f>
        <v>12114.419999999998</v>
      </c>
      <c r="N822" s="27">
        <f>IF(L823="","",MIN(D824:L824))</f>
        <v>11737.529999999995</v>
      </c>
      <c r="O822" s="27">
        <f>IF((L824=""),"",AVERAGE(D824:L824))</f>
        <v>11966.769999999999</v>
      </c>
      <c r="P822" s="27">
        <f>IF((L823=""),"",STDEV(D824:L824))</f>
        <v>121.58439198762805</v>
      </c>
      <c r="Q822" s="168">
        <f>IF((L823=""),"",((M822-N822)/(M822+P822))*100)</f>
        <v>3.0801721536386335</v>
      </c>
      <c r="R822" s="28" t="str">
        <f>IF(L823="","",IF(Q822&lt;Z822,IF(N822&gt;V822,IF(M822&lt;W822,"Pass","Fail"),"Fail"),"Fail"))</f>
        <v>Pass</v>
      </c>
      <c r="S822" s="29">
        <v>1335</v>
      </c>
      <c r="T822" s="54" t="s">
        <v>349</v>
      </c>
      <c r="V822" s="53">
        <v>10000</v>
      </c>
      <c r="W822" s="22">
        <v>15600</v>
      </c>
      <c r="X822" s="40">
        <v>8090</v>
      </c>
      <c r="Y822" s="40">
        <v>12070</v>
      </c>
      <c r="Z822" s="49">
        <v>15</v>
      </c>
      <c r="AA822" s="49">
        <v>6</v>
      </c>
    </row>
    <row r="823" spans="1:27" ht="15.75">
      <c r="A823" s="96"/>
      <c r="B823" s="96"/>
      <c r="C823" s="30" t="s">
        <v>128</v>
      </c>
      <c r="D823">
        <v>25141.71</v>
      </c>
      <c r="E823">
        <v>25029.93</v>
      </c>
      <c r="F823">
        <v>25102.86</v>
      </c>
      <c r="G823">
        <v>25028.95</v>
      </c>
      <c r="H823">
        <v>25233.42</v>
      </c>
      <c r="I823">
        <v>25109.63</v>
      </c>
      <c r="J823">
        <v>25005.84</v>
      </c>
      <c r="K823">
        <v>25005.84</v>
      </c>
      <c r="L823">
        <v>25214.84</v>
      </c>
      <c r="M823" s="31"/>
      <c r="N823" s="31"/>
      <c r="O823" s="31"/>
      <c r="P823" s="31"/>
      <c r="Q823" s="31"/>
      <c r="R823" s="32"/>
      <c r="S823" s="33"/>
      <c r="T823" s="55"/>
      <c r="V823" s="47"/>
      <c r="W823" s="47"/>
      <c r="X823" s="48"/>
      <c r="Y823" s="48"/>
      <c r="Z823" s="49"/>
      <c r="AA823" s="49"/>
    </row>
    <row r="824" spans="1:27" ht="13.5" thickBot="1">
      <c r="A824" s="97"/>
      <c r="B824" s="96"/>
      <c r="C824" s="34" t="s">
        <v>129</v>
      </c>
      <c r="D824" s="35">
        <f>IF(((D822="")*AND(D823="")),"",(D822-D823)*3)</f>
        <v>11932.860000000008</v>
      </c>
      <c r="E824" s="35">
        <f t="shared" ref="E824:L824" si="270">IF(((E822="")*AND(E823="")),"",(E822-E823)*3)</f>
        <v>12025.98</v>
      </c>
      <c r="F824" s="35">
        <f t="shared" si="270"/>
        <v>11953.379999999997</v>
      </c>
      <c r="G824" s="35">
        <f t="shared" si="270"/>
        <v>12037.409999999993</v>
      </c>
      <c r="H824" s="35">
        <f t="shared" si="270"/>
        <v>11817.48000000001</v>
      </c>
      <c r="I824" s="35">
        <f t="shared" si="270"/>
        <v>12060.899999999998</v>
      </c>
      <c r="J824" s="35">
        <f t="shared" si="270"/>
        <v>12114.419999999998</v>
      </c>
      <c r="K824" s="35">
        <f t="shared" si="270"/>
        <v>12020.970000000005</v>
      </c>
      <c r="L824" s="35">
        <f t="shared" si="270"/>
        <v>11737.529999999995</v>
      </c>
      <c r="M824" s="36"/>
      <c r="N824" s="36"/>
      <c r="O824" s="36"/>
      <c r="P824" s="36"/>
      <c r="Q824" s="36"/>
      <c r="R824" s="37"/>
      <c r="S824" s="38"/>
      <c r="T824" s="56"/>
      <c r="V824" s="50"/>
      <c r="W824" s="50"/>
      <c r="X824" s="51"/>
      <c r="Y824" s="51"/>
      <c r="Z824" s="52"/>
      <c r="AA824" s="52"/>
    </row>
    <row r="825" spans="1:27" ht="15.75">
      <c r="A825" s="98">
        <v>43669</v>
      </c>
      <c r="B825" s="115" t="s">
        <v>429</v>
      </c>
      <c r="C825" s="26" t="s">
        <v>126</v>
      </c>
      <c r="D825">
        <v>29087.200000000001</v>
      </c>
      <c r="E825">
        <v>28961.38</v>
      </c>
      <c r="F825">
        <v>28946.61</v>
      </c>
      <c r="G825">
        <v>28942.82</v>
      </c>
      <c r="H825">
        <v>29062.42</v>
      </c>
      <c r="I825">
        <v>29055.88</v>
      </c>
      <c r="J825">
        <v>28953.82</v>
      </c>
      <c r="K825">
        <v>28934.86</v>
      </c>
      <c r="L825">
        <v>29061.7</v>
      </c>
      <c r="M825" s="27">
        <f>IF((L826=""),"",MAX(D827:L827))</f>
        <v>11466.419999999998</v>
      </c>
      <c r="N825" s="27">
        <f>IF(L826="","",MIN(D827:L827))</f>
        <v>10761.570000000007</v>
      </c>
      <c r="O825" s="27">
        <f>IF((L827=""),"",AVERAGE(D827:L827))</f>
        <v>11033.070000000002</v>
      </c>
      <c r="P825" s="27">
        <f>IF((L826=""),"",STDEV(D827:L827))</f>
        <v>220.66639690937009</v>
      </c>
      <c r="Q825" s="168">
        <f>IF((L826=""),"",((M825-N825)/(M825+P825))*100)</f>
        <v>6.0310155676301642</v>
      </c>
      <c r="R825" s="28" t="str">
        <f>IF(L826="","",IF(Q825&lt;Z825,IF(N825&gt;V825,IF(M825&lt;W825,"Pass","Fail"),"Fail"),"Fail"))</f>
        <v>Pass</v>
      </c>
      <c r="S825" s="29">
        <v>1340</v>
      </c>
      <c r="T825" s="54" t="s">
        <v>352</v>
      </c>
      <c r="V825" s="53">
        <v>10000</v>
      </c>
      <c r="W825" s="22">
        <v>15600</v>
      </c>
      <c r="X825" s="40">
        <v>8090</v>
      </c>
      <c r="Y825" s="40">
        <v>12070</v>
      </c>
      <c r="Z825" s="49">
        <v>15</v>
      </c>
      <c r="AA825" s="49">
        <v>6</v>
      </c>
    </row>
    <row r="826" spans="1:27" ht="15.75">
      <c r="A826" s="96"/>
      <c r="B826" s="96"/>
      <c r="C826" s="30" t="s">
        <v>128</v>
      </c>
      <c r="D826">
        <v>25500.01</v>
      </c>
      <c r="E826">
        <v>25316.29</v>
      </c>
      <c r="F826">
        <v>25336.94</v>
      </c>
      <c r="G826">
        <v>25249.3</v>
      </c>
      <c r="H826">
        <v>25336.99</v>
      </c>
      <c r="I826">
        <v>25233.74</v>
      </c>
      <c r="J826">
        <v>25219.01</v>
      </c>
      <c r="K826">
        <v>25292.47</v>
      </c>
      <c r="L826">
        <v>25422.73</v>
      </c>
      <c r="M826" s="31"/>
      <c r="N826" s="31"/>
      <c r="O826" s="31"/>
      <c r="P826" s="31"/>
      <c r="Q826" s="31"/>
      <c r="R826" s="32"/>
      <c r="S826" s="33"/>
      <c r="T826" s="55"/>
      <c r="V826" s="47"/>
      <c r="W826" s="47"/>
      <c r="X826" s="48"/>
      <c r="Y826" s="48"/>
      <c r="Z826" s="49"/>
      <c r="AA826" s="49"/>
    </row>
    <row r="827" spans="1:27" ht="13.5" thickBot="1">
      <c r="A827" s="97"/>
      <c r="B827" s="96"/>
      <c r="C827" s="34" t="s">
        <v>129</v>
      </c>
      <c r="D827" s="35">
        <f>IF(((D825="")*AND(D826="")),"",(D825-D826)*3)</f>
        <v>10761.570000000007</v>
      </c>
      <c r="E827" s="35">
        <f t="shared" ref="E827:L827" si="271">IF(((E825="")*AND(E826="")),"",(E825-E826)*3)</f>
        <v>10935.27</v>
      </c>
      <c r="F827" s="35">
        <f t="shared" si="271"/>
        <v>10829.010000000006</v>
      </c>
      <c r="G827" s="35">
        <f t="shared" si="271"/>
        <v>11080.560000000001</v>
      </c>
      <c r="H827" s="35">
        <f t="shared" si="271"/>
        <v>11176.28999999999</v>
      </c>
      <c r="I827" s="35">
        <f t="shared" si="271"/>
        <v>11466.419999999998</v>
      </c>
      <c r="J827" s="35">
        <f t="shared" si="271"/>
        <v>11204.430000000004</v>
      </c>
      <c r="K827" s="35">
        <f t="shared" si="271"/>
        <v>10927.169999999998</v>
      </c>
      <c r="L827" s="35">
        <f t="shared" si="271"/>
        <v>10916.910000000003</v>
      </c>
      <c r="M827" s="36"/>
      <c r="N827" s="36"/>
      <c r="O827" s="36"/>
      <c r="P827" s="36"/>
      <c r="Q827" s="36"/>
      <c r="R827" s="37"/>
      <c r="S827" s="38"/>
      <c r="T827" s="56"/>
      <c r="V827" s="50"/>
      <c r="W827" s="50"/>
      <c r="X827" s="51"/>
      <c r="Y827" s="51"/>
      <c r="Z827" s="52"/>
      <c r="AA827" s="52"/>
    </row>
    <row r="828" spans="1:27" ht="15.75">
      <c r="A828" s="98">
        <v>43673</v>
      </c>
      <c r="B828" s="115" t="s">
        <v>429</v>
      </c>
      <c r="C828" s="26" t="s">
        <v>126</v>
      </c>
      <c r="D828">
        <v>29046.41</v>
      </c>
      <c r="E828">
        <v>28936</v>
      </c>
      <c r="F828">
        <v>28941.69</v>
      </c>
      <c r="G828">
        <v>28937.200000000001</v>
      </c>
      <c r="H828">
        <v>29089.94</v>
      </c>
      <c r="I828">
        <v>29058.55</v>
      </c>
      <c r="J828">
        <v>28931.56</v>
      </c>
      <c r="K828">
        <v>28913.41</v>
      </c>
      <c r="L828">
        <v>29036.89</v>
      </c>
      <c r="M828" s="27">
        <f>IF((L829=""),"",MAX(D830:L830))</f>
        <v>12185.849999999991</v>
      </c>
      <c r="N828" s="27">
        <f>IF(L829="","",MIN(D830:L830))</f>
        <v>11180.370000000003</v>
      </c>
      <c r="O828" s="27">
        <f>IF((L830=""),"",AVERAGE(D830:L830))</f>
        <v>11698.509999999997</v>
      </c>
      <c r="P828" s="27">
        <f>IF((L829=""),"",STDEV(D830:L830))</f>
        <v>314.33187322486151</v>
      </c>
      <c r="Q828" s="168">
        <f>IF((L829=""),"",((M828-N828)/(M828+P828))*100)</f>
        <v>8.0437229649730728</v>
      </c>
      <c r="R828" s="28" t="str">
        <f>IF(L829="","",IF(Q828&lt;Z828,IF(N828&gt;V828,IF(M828&lt;W828,"Pass","Fail"),"Fail"),"Fail"))</f>
        <v>Pass</v>
      </c>
      <c r="S828" s="29">
        <v>1340</v>
      </c>
      <c r="T828" s="54" t="s">
        <v>354</v>
      </c>
      <c r="V828" s="53">
        <v>10000</v>
      </c>
      <c r="W828" s="22">
        <v>15600</v>
      </c>
      <c r="X828" s="40">
        <v>8090</v>
      </c>
      <c r="Y828" s="40">
        <v>12070</v>
      </c>
      <c r="Z828" s="49">
        <v>15</v>
      </c>
      <c r="AA828" s="49">
        <v>6</v>
      </c>
    </row>
    <row r="829" spans="1:27" ht="15.75">
      <c r="A829" s="96"/>
      <c r="B829" s="96"/>
      <c r="C829" s="30" t="s">
        <v>128</v>
      </c>
      <c r="D829">
        <v>25319.62</v>
      </c>
      <c r="E829">
        <v>25104.49</v>
      </c>
      <c r="F829">
        <v>25153.69</v>
      </c>
      <c r="G829">
        <v>24986.06</v>
      </c>
      <c r="H829">
        <v>25027.99</v>
      </c>
      <c r="I829">
        <v>25069.83</v>
      </c>
      <c r="J829">
        <v>24982.880000000001</v>
      </c>
      <c r="K829">
        <v>25041.49</v>
      </c>
      <c r="L829">
        <v>25110.07</v>
      </c>
      <c r="M829" s="31"/>
      <c r="N829" s="31"/>
      <c r="O829" s="31"/>
      <c r="P829" s="31"/>
      <c r="Q829" s="31"/>
      <c r="R829" s="32"/>
      <c r="S829" s="33"/>
      <c r="T829" s="55"/>
      <c r="V829" s="47"/>
      <c r="W829" s="47"/>
      <c r="X829" s="48"/>
      <c r="Y829" s="48"/>
      <c r="Z829" s="49"/>
      <c r="AA829" s="49"/>
    </row>
    <row r="830" spans="1:27" ht="13.5" thickBot="1">
      <c r="A830" s="97"/>
      <c r="B830" s="96"/>
      <c r="C830" s="34" t="s">
        <v>129</v>
      </c>
      <c r="D830" s="35">
        <f>IF(((D828="")*AND(D829="")),"",(D828-D829)*3)</f>
        <v>11180.370000000003</v>
      </c>
      <c r="E830" s="35">
        <f t="shared" ref="E830:L830" si="272">IF(((E828="")*AND(E829="")),"",(E828-E829)*3)</f>
        <v>11494.529999999995</v>
      </c>
      <c r="F830" s="35">
        <f t="shared" si="272"/>
        <v>11364</v>
      </c>
      <c r="G830" s="35">
        <f t="shared" si="272"/>
        <v>11853.419999999998</v>
      </c>
      <c r="H830" s="35">
        <f t="shared" si="272"/>
        <v>12185.849999999991</v>
      </c>
      <c r="I830" s="35">
        <f t="shared" si="272"/>
        <v>11966.159999999993</v>
      </c>
      <c r="J830" s="35">
        <f t="shared" si="272"/>
        <v>11846.04</v>
      </c>
      <c r="K830" s="35">
        <f t="shared" si="272"/>
        <v>11615.759999999995</v>
      </c>
      <c r="L830" s="35">
        <f t="shared" si="272"/>
        <v>11780.46</v>
      </c>
      <c r="M830" s="36"/>
      <c r="N830" s="36"/>
      <c r="O830" s="36"/>
      <c r="P830" s="36"/>
      <c r="Q830" s="36"/>
      <c r="R830" s="37"/>
      <c r="S830" s="38"/>
      <c r="T830" s="56"/>
      <c r="V830" s="50"/>
      <c r="W830" s="50"/>
      <c r="X830" s="51"/>
      <c r="Y830" s="51"/>
      <c r="Z830" s="52"/>
      <c r="AA830" s="52"/>
    </row>
    <row r="831" spans="1:27" ht="15.75">
      <c r="A831" s="98">
        <v>43677</v>
      </c>
      <c r="B831" s="115" t="s">
        <v>429</v>
      </c>
      <c r="C831" s="26" t="s">
        <v>126</v>
      </c>
      <c r="D831">
        <v>29032.37</v>
      </c>
      <c r="E831">
        <v>28971.5</v>
      </c>
      <c r="F831">
        <v>28834.59</v>
      </c>
      <c r="G831">
        <v>28916.13</v>
      </c>
      <c r="H831">
        <v>28997.23</v>
      </c>
      <c r="I831">
        <v>29051.81</v>
      </c>
      <c r="J831">
        <v>28905.42</v>
      </c>
      <c r="K831">
        <v>28897.94</v>
      </c>
      <c r="L831">
        <v>29082.78</v>
      </c>
      <c r="M831" s="27">
        <f>IF((L832=""),"",MAX(D833:L833))</f>
        <v>12490.200000000004</v>
      </c>
      <c r="N831" s="27">
        <f>IF(L832="","",MIN(D833:L833))</f>
        <v>11566.199999999993</v>
      </c>
      <c r="O831" s="27">
        <f>IF((L833=""),"",AVERAGE(D833:L833))</f>
        <v>12106.306666666665</v>
      </c>
      <c r="P831" s="27">
        <f>IF((L832=""),"",STDEV(D833:L833))</f>
        <v>290.52686024699011</v>
      </c>
      <c r="Q831" s="168">
        <f>IF((L832=""),"",((M831-N831)/(M831+P831))*100)</f>
        <v>7.2296357640973339</v>
      </c>
      <c r="R831" s="28" t="str">
        <f>IF(L832="","",IF(Q831&lt;Z831,IF(N831&gt;V831,IF(M831&lt;W831,"Pass","Fail"),"Fail"),"Fail"))</f>
        <v>Pass</v>
      </c>
      <c r="S831" s="29">
        <v>1159</v>
      </c>
      <c r="T831" s="54" t="s">
        <v>355</v>
      </c>
      <c r="V831" s="53">
        <v>10000</v>
      </c>
      <c r="W831" s="22">
        <v>15600</v>
      </c>
      <c r="X831" s="40">
        <v>8090</v>
      </c>
      <c r="Y831" s="40">
        <v>12070</v>
      </c>
      <c r="Z831" s="49">
        <v>15</v>
      </c>
      <c r="AA831" s="49">
        <v>6</v>
      </c>
    </row>
    <row r="832" spans="1:27" ht="15.75">
      <c r="A832" s="96"/>
      <c r="B832" s="96"/>
      <c r="C832" s="30" t="s">
        <v>128</v>
      </c>
      <c r="D832">
        <v>25176.97</v>
      </c>
      <c r="E832">
        <v>24945.759999999998</v>
      </c>
      <c r="F832">
        <v>24890.84</v>
      </c>
      <c r="G832">
        <v>24803.75</v>
      </c>
      <c r="H832">
        <v>24886.78</v>
      </c>
      <c r="I832">
        <v>24888.41</v>
      </c>
      <c r="J832">
        <v>24830.74</v>
      </c>
      <c r="K832">
        <v>24925.759999999998</v>
      </c>
      <c r="L832">
        <v>25021.84</v>
      </c>
      <c r="M832" s="31"/>
      <c r="N832" s="31"/>
      <c r="O832" s="31"/>
      <c r="P832" s="31"/>
      <c r="Q832" s="31"/>
      <c r="R832" s="32"/>
      <c r="S832" s="33"/>
      <c r="T832" s="55"/>
      <c r="V832" s="47"/>
      <c r="W832" s="47"/>
      <c r="X832" s="48"/>
      <c r="Y832" s="48"/>
      <c r="Z832" s="49"/>
      <c r="AA832" s="49"/>
    </row>
    <row r="833" spans="1:27" ht="13.5" thickBot="1">
      <c r="A833" s="97"/>
      <c r="B833" s="96"/>
      <c r="C833" s="34" t="s">
        <v>129</v>
      </c>
      <c r="D833" s="35">
        <f>IF(((D831="")*AND(D832="")),"",(D831-D832)*3)</f>
        <v>11566.199999999993</v>
      </c>
      <c r="E833" s="35">
        <f t="shared" ref="E833:L833" si="273">IF(((E831="")*AND(E832="")),"",(E831-E832)*3)</f>
        <v>12077.220000000005</v>
      </c>
      <c r="F833" s="35">
        <f t="shared" si="273"/>
        <v>11831.25</v>
      </c>
      <c r="G833" s="35">
        <f t="shared" si="273"/>
        <v>12337.140000000003</v>
      </c>
      <c r="H833" s="35">
        <f t="shared" si="273"/>
        <v>12331.350000000002</v>
      </c>
      <c r="I833" s="35">
        <f t="shared" si="273"/>
        <v>12490.200000000004</v>
      </c>
      <c r="J833" s="35">
        <f t="shared" si="273"/>
        <v>12224.03999999999</v>
      </c>
      <c r="K833" s="35">
        <f t="shared" si="273"/>
        <v>11916.54</v>
      </c>
      <c r="L833" s="35">
        <f t="shared" si="273"/>
        <v>12182.819999999996</v>
      </c>
      <c r="M833" s="36"/>
      <c r="N833" s="36"/>
      <c r="O833" s="36"/>
      <c r="P833" s="36"/>
      <c r="Q833" s="36"/>
      <c r="R833" s="37"/>
      <c r="S833" s="38"/>
      <c r="T833" s="56"/>
      <c r="V833" s="50"/>
      <c r="W833" s="50"/>
      <c r="X833" s="51"/>
      <c r="Y833" s="51"/>
      <c r="Z833" s="52"/>
      <c r="AA833" s="52"/>
    </row>
    <row r="834" spans="1:27" ht="15.75">
      <c r="A834" s="98">
        <v>43681</v>
      </c>
      <c r="B834" s="115" t="s">
        <v>429</v>
      </c>
      <c r="C834" s="26" t="s">
        <v>126</v>
      </c>
      <c r="D834">
        <v>26649.35</v>
      </c>
      <c r="E834">
        <v>26632.880000000001</v>
      </c>
      <c r="F834">
        <v>26718.19</v>
      </c>
      <c r="G834">
        <v>26597.97</v>
      </c>
      <c r="H834">
        <v>26570.36</v>
      </c>
      <c r="I834">
        <v>26637.57</v>
      </c>
      <c r="J834">
        <v>26604.27</v>
      </c>
      <c r="K834">
        <v>26582.94</v>
      </c>
      <c r="L834">
        <v>26632.54</v>
      </c>
      <c r="M834" s="27">
        <f>IF((L835=""),"",MAX(D836:L836))</f>
        <v>12258.689999999999</v>
      </c>
      <c r="N834" s="27">
        <f>IF(L835="","",MIN(D836:L836))</f>
        <v>11167.409999999993</v>
      </c>
      <c r="O834" s="27">
        <f>IF((L836=""),"",AVERAGE(D836:L836))</f>
        <v>11600.093333333331</v>
      </c>
      <c r="P834" s="27">
        <f>IF((L835=""),"",STDEV(D836:L836))</f>
        <v>359.48165113127038</v>
      </c>
      <c r="Q834" s="168">
        <f>IF((L835=""),"",((M834-N834)/(M834+P834))*100)</f>
        <v>8.6484795909569723</v>
      </c>
      <c r="R834" s="28" t="str">
        <f>IF(L835="","",IF(Q834&lt;Z834,IF(N834&gt;V834,IF(M834&lt;W834,"Pass","Fail"),"Fail"),"Fail"))</f>
        <v>Pass</v>
      </c>
      <c r="S834" s="29">
        <v>74</v>
      </c>
      <c r="T834" s="54" t="s">
        <v>358</v>
      </c>
      <c r="V834" s="53">
        <v>10000</v>
      </c>
      <c r="W834" s="22">
        <v>15600</v>
      </c>
      <c r="X834" s="40">
        <v>8090</v>
      </c>
      <c r="Y834" s="40">
        <v>12070</v>
      </c>
      <c r="Z834" s="49">
        <v>15</v>
      </c>
      <c r="AA834" s="49">
        <v>6</v>
      </c>
    </row>
    <row r="835" spans="1:27" ht="15.75">
      <c r="A835" s="96"/>
      <c r="B835" s="96"/>
      <c r="C835" s="30" t="s">
        <v>128</v>
      </c>
      <c r="D835">
        <v>22844.02</v>
      </c>
      <c r="E835">
        <v>22872.9</v>
      </c>
      <c r="F835">
        <v>22995.72</v>
      </c>
      <c r="G835">
        <v>22703.83</v>
      </c>
      <c r="H835">
        <v>22484.13</v>
      </c>
      <c r="I835">
        <v>22610.27</v>
      </c>
      <c r="J835">
        <v>22755.919999999998</v>
      </c>
      <c r="K835">
        <v>22775.64</v>
      </c>
      <c r="L835">
        <v>22783.360000000001</v>
      </c>
      <c r="M835" s="31"/>
      <c r="N835" s="31"/>
      <c r="O835" s="31"/>
      <c r="P835" s="31"/>
      <c r="Q835" s="31"/>
      <c r="R835" s="32"/>
      <c r="S835" s="33"/>
      <c r="T835" s="55"/>
      <c r="V835" s="47"/>
      <c r="W835" s="47"/>
      <c r="X835" s="48"/>
      <c r="Y835" s="48"/>
      <c r="Z835" s="49"/>
      <c r="AA835" s="49"/>
    </row>
    <row r="836" spans="1:27" ht="13.5" thickBot="1">
      <c r="A836" s="97"/>
      <c r="B836" s="96"/>
      <c r="C836" s="34" t="s">
        <v>129</v>
      </c>
      <c r="D836" s="35">
        <f>IF(((D834="")*AND(D835="")),"",(D834-D835)*3)</f>
        <v>11415.989999999994</v>
      </c>
      <c r="E836" s="35">
        <f t="shared" ref="E836:L836" si="274">IF(((E834="")*AND(E835="")),"",(E834-E835)*3)</f>
        <v>11279.939999999999</v>
      </c>
      <c r="F836" s="35">
        <f t="shared" si="274"/>
        <v>11167.409999999993</v>
      </c>
      <c r="G836" s="35">
        <f t="shared" si="274"/>
        <v>11682.419999999998</v>
      </c>
      <c r="H836" s="35">
        <f t="shared" si="274"/>
        <v>12258.689999999999</v>
      </c>
      <c r="I836" s="35">
        <f t="shared" si="274"/>
        <v>12081.899999999998</v>
      </c>
      <c r="J836" s="35">
        <f t="shared" si="274"/>
        <v>11545.050000000007</v>
      </c>
      <c r="K836" s="35">
        <f t="shared" si="274"/>
        <v>11421.899999999998</v>
      </c>
      <c r="L836" s="35">
        <f t="shared" si="274"/>
        <v>11547.54</v>
      </c>
      <c r="M836" s="36"/>
      <c r="N836" s="36"/>
      <c r="O836" s="36"/>
      <c r="P836" s="36"/>
      <c r="Q836" s="36"/>
      <c r="R836" s="37"/>
      <c r="S836" s="38"/>
      <c r="T836" s="56"/>
      <c r="V836" s="50"/>
      <c r="W836" s="50"/>
      <c r="X836" s="51"/>
      <c r="Y836" s="51"/>
      <c r="Z836" s="52"/>
      <c r="AA836" s="52"/>
    </row>
    <row r="837" spans="1:27" ht="15.75">
      <c r="A837" s="98">
        <v>43687</v>
      </c>
      <c r="B837" s="115" t="s">
        <v>429</v>
      </c>
      <c r="C837" s="26" t="s">
        <v>126</v>
      </c>
      <c r="D837">
        <v>28979.8</v>
      </c>
      <c r="E837">
        <v>28854.09</v>
      </c>
      <c r="F837">
        <v>28858.06</v>
      </c>
      <c r="G837">
        <v>28846.94</v>
      </c>
      <c r="H837">
        <v>28977.3</v>
      </c>
      <c r="I837">
        <v>28966.31</v>
      </c>
      <c r="J837">
        <v>28857.62</v>
      </c>
      <c r="K837">
        <v>28827.01</v>
      </c>
      <c r="L837">
        <v>28954.51</v>
      </c>
      <c r="M837" s="27">
        <f>IF((L838=""),"",MAX(D839:L839))</f>
        <v>11675.219999999994</v>
      </c>
      <c r="N837" s="27">
        <f>IF(L838="","",MIN(D839:L839))</f>
        <v>10888.109999999997</v>
      </c>
      <c r="O837" s="27">
        <f>IF((L839=""),"",AVERAGE(D839:L839))</f>
        <v>11322.683333333327</v>
      </c>
      <c r="P837" s="27">
        <f>IF((L838=""),"",STDEV(D839:L839))</f>
        <v>231.46091036082291</v>
      </c>
      <c r="Q837" s="168">
        <f>IF((L838=""),"",((M837-N837)/(M837+P837))*100)</f>
        <v>6.6106583852018632</v>
      </c>
      <c r="R837" s="28" t="str">
        <f>IF(L838="","",IF(Q837&lt;Z837,IF(N837&gt;V837,IF(M837&lt;W837,"Pass","Fail"),"Fail"),"Fail"))</f>
        <v>Pass</v>
      </c>
      <c r="S837" s="29" t="s">
        <v>360</v>
      </c>
      <c r="T837" s="54" t="s">
        <v>362</v>
      </c>
      <c r="V837" s="53">
        <v>10000</v>
      </c>
      <c r="W837" s="22">
        <v>15600</v>
      </c>
      <c r="X837" s="40">
        <v>8090</v>
      </c>
      <c r="Y837" s="40">
        <v>12070</v>
      </c>
      <c r="Z837" s="49">
        <v>15</v>
      </c>
      <c r="AA837" s="49">
        <v>6</v>
      </c>
    </row>
    <row r="838" spans="1:27" ht="15.75">
      <c r="A838" s="96"/>
      <c r="B838" s="96"/>
      <c r="C838" s="30" t="s">
        <v>128</v>
      </c>
      <c r="D838">
        <v>25350.43</v>
      </c>
      <c r="E838">
        <v>25114.77</v>
      </c>
      <c r="F838">
        <v>25134.28</v>
      </c>
      <c r="G838">
        <v>25013.56</v>
      </c>
      <c r="H838">
        <v>25085.56</v>
      </c>
      <c r="I838">
        <v>25137.29</v>
      </c>
      <c r="J838">
        <v>25046.74</v>
      </c>
      <c r="K838">
        <v>25055.88</v>
      </c>
      <c r="L838">
        <v>25215.08</v>
      </c>
      <c r="M838" s="31"/>
      <c r="N838" s="31"/>
      <c r="O838" s="31"/>
      <c r="P838" s="31"/>
      <c r="Q838" s="31"/>
      <c r="R838" s="32"/>
      <c r="S838" s="33"/>
      <c r="T838" s="55"/>
      <c r="V838" s="47"/>
      <c r="W838" s="47"/>
      <c r="X838" s="48"/>
      <c r="Y838" s="48"/>
      <c r="Z838" s="49"/>
      <c r="AA838" s="49"/>
    </row>
    <row r="839" spans="1:27" ht="13.5" thickBot="1">
      <c r="A839" s="97"/>
      <c r="B839" s="96"/>
      <c r="C839" s="34" t="s">
        <v>129</v>
      </c>
      <c r="D839" s="35">
        <f>IF(((D837="")*AND(D838="")),"",(D837-D838)*3)</f>
        <v>10888.109999999997</v>
      </c>
      <c r="E839" s="35">
        <f t="shared" ref="E839:L839" si="275">IF(((E837="")*AND(E838="")),"",(E837-E838)*3)</f>
        <v>11217.96</v>
      </c>
      <c r="F839" s="35">
        <f t="shared" si="275"/>
        <v>11171.340000000007</v>
      </c>
      <c r="G839" s="35">
        <f t="shared" si="275"/>
        <v>11500.139999999992</v>
      </c>
      <c r="H839" s="35">
        <f t="shared" si="275"/>
        <v>11675.219999999994</v>
      </c>
      <c r="I839" s="35">
        <f t="shared" si="275"/>
        <v>11487.060000000001</v>
      </c>
      <c r="J839" s="35">
        <f t="shared" si="275"/>
        <v>11432.639999999992</v>
      </c>
      <c r="K839" s="35">
        <f t="shared" si="275"/>
        <v>11313.389999999992</v>
      </c>
      <c r="L839" s="35">
        <f t="shared" si="275"/>
        <v>11218.28999999999</v>
      </c>
      <c r="M839" s="36"/>
      <c r="N839" s="36"/>
      <c r="O839" s="36"/>
      <c r="P839" s="36"/>
      <c r="Q839" s="36"/>
      <c r="R839" s="37"/>
      <c r="S839" s="38"/>
      <c r="T839" s="56"/>
      <c r="V839" s="50"/>
      <c r="W839" s="50"/>
      <c r="X839" s="51"/>
      <c r="Y839" s="51"/>
      <c r="Z839" s="52"/>
      <c r="AA839" s="52"/>
    </row>
    <row r="840" spans="1:27" ht="15.75">
      <c r="A840" s="98">
        <v>43691</v>
      </c>
      <c r="B840" s="115" t="s">
        <v>429</v>
      </c>
      <c r="C840" s="26" t="s">
        <v>126</v>
      </c>
      <c r="D840">
        <v>28952.94</v>
      </c>
      <c r="E840">
        <v>28815.27</v>
      </c>
      <c r="F840">
        <v>28827.37</v>
      </c>
      <c r="G840">
        <v>28823.81</v>
      </c>
      <c r="H840">
        <v>28932.42</v>
      </c>
      <c r="I840">
        <v>28908.03</v>
      </c>
      <c r="J840">
        <v>28803.81</v>
      </c>
      <c r="K840">
        <v>28830.55</v>
      </c>
      <c r="L840">
        <v>28943.97</v>
      </c>
      <c r="M840" s="27">
        <f>IF((L841=""),"",MAX(D842:L842))</f>
        <v>11652.54</v>
      </c>
      <c r="N840" s="27">
        <f>IF(L841="","",MIN(D842:L842))</f>
        <v>11091.80999999999</v>
      </c>
      <c r="O840" s="27">
        <f>IF((L842=""),"",AVERAGE(D842:L842))</f>
        <v>11416.463333333331</v>
      </c>
      <c r="P840" s="27">
        <f>IF((L841=""),"",STDEV(D842:L842))</f>
        <v>172.6357394921221</v>
      </c>
      <c r="Q840" s="168">
        <f>IF((L841=""),"",((M840-N840)/(M840+P840))*100)</f>
        <v>4.7418322767699781</v>
      </c>
      <c r="R840" s="28" t="str">
        <f>IF(L841="","",IF(Q840&lt;Z840,IF(N840&gt;V840,IF(M840&lt;W840,"Pass","Fail"),"Fail"),"Fail"))</f>
        <v>Pass</v>
      </c>
      <c r="S840" s="29">
        <v>1159</v>
      </c>
      <c r="T840" s="54" t="s">
        <v>364</v>
      </c>
      <c r="V840" s="53">
        <v>10000</v>
      </c>
      <c r="W840" s="22">
        <v>15600</v>
      </c>
      <c r="X840" s="40">
        <v>8090</v>
      </c>
      <c r="Y840" s="40">
        <v>12070</v>
      </c>
      <c r="Z840" s="49">
        <v>15</v>
      </c>
      <c r="AA840" s="49">
        <v>6</v>
      </c>
    </row>
    <row r="841" spans="1:27" ht="15.75">
      <c r="A841" s="96"/>
      <c r="B841" s="96"/>
      <c r="C841" s="30" t="s">
        <v>128</v>
      </c>
      <c r="D841">
        <v>25142.68</v>
      </c>
      <c r="E841">
        <v>24977.63</v>
      </c>
      <c r="F841">
        <v>25074.26</v>
      </c>
      <c r="G841">
        <v>25039.74</v>
      </c>
      <c r="H841">
        <v>25235.15</v>
      </c>
      <c r="I841">
        <v>25105.439999999999</v>
      </c>
      <c r="J841">
        <v>24994.66</v>
      </c>
      <c r="K841">
        <v>24959.43</v>
      </c>
      <c r="L841">
        <v>25059.79</v>
      </c>
      <c r="M841" s="31"/>
      <c r="N841" s="31"/>
      <c r="O841" s="31"/>
      <c r="P841" s="31"/>
      <c r="Q841" s="31"/>
      <c r="R841" s="32"/>
      <c r="S841" s="33"/>
      <c r="T841" s="55"/>
      <c r="V841" s="47"/>
      <c r="W841" s="47"/>
      <c r="X841" s="48"/>
      <c r="Y841" s="48"/>
      <c r="Z841" s="49"/>
      <c r="AA841" s="49"/>
    </row>
    <row r="842" spans="1:27" ht="13.5" thickBot="1">
      <c r="A842" s="97"/>
      <c r="B842" s="96"/>
      <c r="C842" s="34" t="s">
        <v>129</v>
      </c>
      <c r="D842" s="35">
        <f>IF(((D840="")*AND(D841="")),"",(D840-D841)*3)</f>
        <v>11430.779999999995</v>
      </c>
      <c r="E842" s="35">
        <f t="shared" ref="E842:L842" si="276">IF(((E840="")*AND(E841="")),"",(E840-E841)*3)</f>
        <v>11512.919999999998</v>
      </c>
      <c r="F842" s="35">
        <f t="shared" si="276"/>
        <v>11259.330000000002</v>
      </c>
      <c r="G842" s="35">
        <f t="shared" si="276"/>
        <v>11352.21</v>
      </c>
      <c r="H842" s="35">
        <f t="shared" si="276"/>
        <v>11091.80999999999</v>
      </c>
      <c r="I842" s="35">
        <f t="shared" si="276"/>
        <v>11407.77</v>
      </c>
      <c r="J842" s="35">
        <f t="shared" si="276"/>
        <v>11427.450000000004</v>
      </c>
      <c r="K842" s="35">
        <f t="shared" si="276"/>
        <v>11613.359999999997</v>
      </c>
      <c r="L842" s="35">
        <f t="shared" si="276"/>
        <v>11652.54</v>
      </c>
      <c r="M842" s="36"/>
      <c r="N842" s="36"/>
      <c r="O842" s="36"/>
      <c r="P842" s="36"/>
      <c r="Q842" s="36"/>
      <c r="R842" s="37"/>
      <c r="S842" s="38"/>
      <c r="T842" s="56"/>
      <c r="V842" s="50"/>
      <c r="W842" s="50"/>
      <c r="X842" s="51"/>
      <c r="Y842" s="51"/>
      <c r="Z842" s="52"/>
      <c r="AA842" s="52"/>
    </row>
    <row r="843" spans="1:27" ht="15.75">
      <c r="A843" s="98">
        <v>43696</v>
      </c>
      <c r="B843" s="115" t="s">
        <v>429</v>
      </c>
      <c r="C843" s="26" t="s">
        <v>126</v>
      </c>
      <c r="D843">
        <v>28989.77</v>
      </c>
      <c r="E843">
        <v>28843.21</v>
      </c>
      <c r="F843">
        <v>28865.71</v>
      </c>
      <c r="G843">
        <v>28837.75</v>
      </c>
      <c r="H843">
        <v>28944.53</v>
      </c>
      <c r="I843">
        <v>28939.43</v>
      </c>
      <c r="J843">
        <v>28828.3</v>
      </c>
      <c r="K843">
        <v>28841.66</v>
      </c>
      <c r="L843">
        <v>28945.18</v>
      </c>
      <c r="M843" s="27">
        <f>IF((L844=""),"",MAX(D845:L845))</f>
        <v>11574.48</v>
      </c>
      <c r="N843" s="27">
        <f>IF(L844="","",MIN(D845:L845))</f>
        <v>10908.96</v>
      </c>
      <c r="O843" s="27">
        <f>IF((L845=""),"",AVERAGE(D845:L845))</f>
        <v>11318.636666666667</v>
      </c>
      <c r="P843" s="27">
        <f>IF((L844=""),"",STDEV(D845:L845))</f>
        <v>195.24336819720855</v>
      </c>
      <c r="Q843" s="168">
        <f>IF((L844=""),"",((M843-N843)/(M843+P843))*100)</f>
        <v>5.6545084296398329</v>
      </c>
      <c r="R843" s="28" t="str">
        <f>IF(L844="","",IF(Q843&lt;Z843,IF(N843&gt;V843,IF(M843&lt;W843,"Pass","Fail"),"Fail"),"Fail"))</f>
        <v>Pass</v>
      </c>
      <c r="S843" s="29">
        <v>1340</v>
      </c>
      <c r="T843" s="54"/>
      <c r="V843" s="53">
        <v>10000</v>
      </c>
      <c r="W843" s="22">
        <v>15600</v>
      </c>
      <c r="X843" s="40">
        <v>8090</v>
      </c>
      <c r="Y843" s="40">
        <v>12070</v>
      </c>
      <c r="Z843" s="49">
        <v>15</v>
      </c>
      <c r="AA843" s="49">
        <v>6</v>
      </c>
    </row>
    <row r="844" spans="1:27" ht="15.75">
      <c r="A844" s="96"/>
      <c r="B844" s="96"/>
      <c r="C844" s="30" t="s">
        <v>128</v>
      </c>
      <c r="D844">
        <v>25353.45</v>
      </c>
      <c r="E844">
        <v>25110.74</v>
      </c>
      <c r="F844">
        <v>25135.85</v>
      </c>
      <c r="G844">
        <v>25014.1</v>
      </c>
      <c r="H844">
        <v>25086.37</v>
      </c>
      <c r="I844">
        <v>25142.31</v>
      </c>
      <c r="J844">
        <v>25026.42</v>
      </c>
      <c r="K844">
        <v>25052.36</v>
      </c>
      <c r="L844">
        <v>25158.03</v>
      </c>
      <c r="M844" s="31"/>
      <c r="N844" s="31"/>
      <c r="O844" s="31"/>
      <c r="P844" s="31"/>
      <c r="Q844" s="31"/>
      <c r="R844" s="32"/>
      <c r="S844" s="33"/>
      <c r="T844" s="55"/>
      <c r="V844" s="47"/>
      <c r="W844" s="47"/>
      <c r="X844" s="48"/>
      <c r="Y844" s="48"/>
      <c r="Z844" s="49"/>
      <c r="AA844" s="49"/>
    </row>
    <row r="845" spans="1:27" ht="13.5" thickBot="1">
      <c r="A845" s="97"/>
      <c r="B845" s="96"/>
      <c r="C845" s="34" t="s">
        <v>129</v>
      </c>
      <c r="D845" s="35">
        <f>IF(((D843="")*AND(D844="")),"",(D843-D844)*3)</f>
        <v>10908.96</v>
      </c>
      <c r="E845" s="35">
        <f t="shared" ref="E845:L845" si="277">IF(((E843="")*AND(E844="")),"",(E843-E844)*3)</f>
        <v>11197.409999999993</v>
      </c>
      <c r="F845" s="35">
        <f t="shared" si="277"/>
        <v>11189.580000000002</v>
      </c>
      <c r="G845" s="35">
        <f t="shared" si="277"/>
        <v>11470.950000000004</v>
      </c>
      <c r="H845" s="35">
        <f t="shared" si="277"/>
        <v>11574.48</v>
      </c>
      <c r="I845" s="35">
        <f t="shared" si="277"/>
        <v>11391.359999999997</v>
      </c>
      <c r="J845" s="35">
        <f t="shared" si="277"/>
        <v>11405.640000000003</v>
      </c>
      <c r="K845" s="35">
        <f t="shared" si="277"/>
        <v>11367.899999999998</v>
      </c>
      <c r="L845" s="35">
        <f t="shared" si="277"/>
        <v>11361.450000000004</v>
      </c>
      <c r="M845" s="36"/>
      <c r="N845" s="36"/>
      <c r="O845" s="36"/>
      <c r="P845" s="36"/>
      <c r="Q845" s="36"/>
      <c r="R845" s="37"/>
      <c r="S845" s="38"/>
      <c r="T845" s="56"/>
      <c r="V845" s="50"/>
      <c r="W845" s="50"/>
      <c r="X845" s="51"/>
      <c r="Y845" s="51"/>
      <c r="Z845" s="52"/>
      <c r="AA845" s="52"/>
    </row>
    <row r="846" spans="1:27" ht="15.75">
      <c r="A846" s="98">
        <v>43700</v>
      </c>
      <c r="B846" s="115" t="s">
        <v>429</v>
      </c>
      <c r="C846" s="26" t="s">
        <v>126</v>
      </c>
      <c r="D846">
        <v>29310.86</v>
      </c>
      <c r="E846">
        <v>29108.75</v>
      </c>
      <c r="F846">
        <v>29129.33</v>
      </c>
      <c r="G846">
        <v>29115.67</v>
      </c>
      <c r="H846">
        <v>29204.76</v>
      </c>
      <c r="I846">
        <v>29213.46</v>
      </c>
      <c r="J846">
        <v>29058.400000000001</v>
      </c>
      <c r="K846">
        <v>29118.63</v>
      </c>
      <c r="L846">
        <v>29210.82</v>
      </c>
      <c r="M846" s="27">
        <f>IF((L847=""),"",MAX(D848:L848))</f>
        <v>15320.339999999997</v>
      </c>
      <c r="N846" s="27">
        <f>IF(L847="","",MIN(D848:L848))</f>
        <v>13750.02</v>
      </c>
      <c r="O846" s="27">
        <f>IF((L848=""),"",AVERAGE(D848:L848))</f>
        <v>14861.789999999999</v>
      </c>
      <c r="P846" s="27">
        <f>IF((L847=""),"",STDEV(D848:L848))</f>
        <v>484.57218781111067</v>
      </c>
      <c r="Q846" s="168">
        <f>IF((L847=""),"",((M846-N846)/(M846+P846))*100)</f>
        <v>9.9356452053624267</v>
      </c>
      <c r="R846" s="28" t="str">
        <f>IF(L847="","",IF(Q846&lt;Z846,IF(N846&gt;V846,IF(M846&lt;W846,"Pass","Fail"),"Fail"),"Fail"))</f>
        <v>Pass</v>
      </c>
      <c r="S846" s="29">
        <v>1340</v>
      </c>
      <c r="T846" s="54" t="s">
        <v>367</v>
      </c>
      <c r="V846" s="53">
        <v>10000</v>
      </c>
      <c r="W846" s="22">
        <v>15600</v>
      </c>
      <c r="X846" s="40">
        <v>8090</v>
      </c>
      <c r="Y846" s="40">
        <v>12070</v>
      </c>
      <c r="Z846" s="49">
        <v>15</v>
      </c>
      <c r="AA846" s="49">
        <v>6</v>
      </c>
    </row>
    <row r="847" spans="1:27" ht="15.75">
      <c r="A847" s="96"/>
      <c r="B847" s="96"/>
      <c r="C847" s="30" t="s">
        <v>128</v>
      </c>
      <c r="D847">
        <v>24204.080000000002</v>
      </c>
      <c r="E847">
        <v>24023.67</v>
      </c>
      <c r="F847">
        <v>24063.33</v>
      </c>
      <c r="G847">
        <v>24237.14</v>
      </c>
      <c r="H847">
        <v>24621.42</v>
      </c>
      <c r="I847">
        <v>24265.16</v>
      </c>
      <c r="J847">
        <v>24100.32</v>
      </c>
      <c r="K847">
        <v>24064.15</v>
      </c>
      <c r="L847">
        <v>24306.04</v>
      </c>
      <c r="M847" s="31"/>
      <c r="N847" s="31"/>
      <c r="O847" s="31"/>
      <c r="P847" s="31"/>
      <c r="Q847" s="31"/>
      <c r="R847" s="32"/>
      <c r="S847" s="33"/>
      <c r="T847" s="55"/>
      <c r="V847" s="47"/>
      <c r="W847" s="47"/>
      <c r="X847" s="48"/>
      <c r="Y847" s="48"/>
      <c r="Z847" s="49"/>
      <c r="AA847" s="49"/>
    </row>
    <row r="848" spans="1:27" ht="13.5" thickBot="1">
      <c r="A848" s="98"/>
      <c r="B848" s="112"/>
      <c r="C848" s="34" t="s">
        <v>129</v>
      </c>
      <c r="D848" s="35">
        <f>IF(((D846="")*AND(D847="")),"",(D846-D847)*3)</f>
        <v>15320.339999999997</v>
      </c>
      <c r="E848" s="35">
        <f t="shared" ref="E848:L848" si="278">IF(((E846="")*AND(E847="")),"",(E846-E847)*3)</f>
        <v>15255.240000000005</v>
      </c>
      <c r="F848" s="35">
        <f t="shared" si="278"/>
        <v>15198</v>
      </c>
      <c r="G848" s="35">
        <f t="shared" si="278"/>
        <v>14635.589999999997</v>
      </c>
      <c r="H848" s="35">
        <f t="shared" si="278"/>
        <v>13750.02</v>
      </c>
      <c r="I848" s="35">
        <f t="shared" si="278"/>
        <v>14844.899999999998</v>
      </c>
      <c r="J848" s="35">
        <f t="shared" si="278"/>
        <v>14874.240000000005</v>
      </c>
      <c r="K848" s="35">
        <f t="shared" si="278"/>
        <v>15163.439999999999</v>
      </c>
      <c r="L848" s="35">
        <f t="shared" si="278"/>
        <v>14714.339999999997</v>
      </c>
      <c r="M848" s="36"/>
      <c r="N848" s="36"/>
      <c r="O848" s="36"/>
      <c r="P848" s="36"/>
      <c r="Q848" s="36"/>
      <c r="R848" s="37"/>
      <c r="S848" s="38"/>
      <c r="T848" s="56"/>
      <c r="V848" s="50"/>
      <c r="W848" s="50"/>
      <c r="X848" s="51"/>
      <c r="Y848" s="51"/>
      <c r="Z848" s="52"/>
      <c r="AA848" s="52"/>
    </row>
    <row r="849" spans="1:27" ht="15.75">
      <c r="A849" s="98">
        <v>43704</v>
      </c>
      <c r="B849" s="115" t="s">
        <v>429</v>
      </c>
      <c r="C849" s="26" t="s">
        <v>126</v>
      </c>
      <c r="D849">
        <v>28899.25</v>
      </c>
      <c r="E849">
        <v>28743.74</v>
      </c>
      <c r="F849">
        <v>28733.03</v>
      </c>
      <c r="G849">
        <v>28750.17</v>
      </c>
      <c r="H849">
        <v>28893.43</v>
      </c>
      <c r="I849">
        <v>28725.91</v>
      </c>
      <c r="J849">
        <v>28741.79</v>
      </c>
      <c r="K849">
        <v>28718.19</v>
      </c>
      <c r="L849">
        <v>28796.95</v>
      </c>
      <c r="M849" s="27">
        <f>IF((L850=""),"",MAX(D851:L851))</f>
        <v>9821.5499999999956</v>
      </c>
      <c r="N849" s="27">
        <f>IF(L850="","",MIN(D851:L851))</f>
        <v>9170.3700000000026</v>
      </c>
      <c r="O849" s="27">
        <f>IF((L851=""),"",AVERAGE(D851:L851))</f>
        <v>9485.6899999999987</v>
      </c>
      <c r="P849" s="27">
        <f>IF((L850=""),"",STDEV(D851:L851))</f>
        <v>207.55426013457557</v>
      </c>
      <c r="Q849" s="168">
        <f>IF((L850=""),"",((M849-N849)/(M849+P849))*100)</f>
        <v>6.4929028865361049</v>
      </c>
      <c r="R849" s="28" t="str">
        <f>IF(L850="","",IF(Q849&lt;Z849,IF(N849&gt;V849,IF(M849&lt;W849,"Pass","Fail"),"Fail"),"Fail"))</f>
        <v>Fail</v>
      </c>
      <c r="S849" s="29">
        <v>1159</v>
      </c>
      <c r="T849" s="54"/>
      <c r="V849" s="53">
        <v>10000</v>
      </c>
      <c r="W849" s="22">
        <v>15600</v>
      </c>
      <c r="X849" s="40">
        <v>8090</v>
      </c>
      <c r="Y849" s="40">
        <v>12070</v>
      </c>
      <c r="Z849" s="49">
        <v>15</v>
      </c>
      <c r="AA849" s="49">
        <v>6</v>
      </c>
    </row>
    <row r="850" spans="1:27" ht="15.75">
      <c r="A850" s="96"/>
      <c r="B850" s="96"/>
      <c r="C850" s="30" t="s">
        <v>128</v>
      </c>
      <c r="D850">
        <v>25842.46</v>
      </c>
      <c r="E850">
        <v>25620.94</v>
      </c>
      <c r="F850">
        <v>25657.93</v>
      </c>
      <c r="G850">
        <v>25573.65</v>
      </c>
      <c r="H850">
        <v>25714.23</v>
      </c>
      <c r="I850">
        <v>25452.06</v>
      </c>
      <c r="J850">
        <v>25551.62</v>
      </c>
      <c r="K850">
        <v>25562.959999999999</v>
      </c>
      <c r="L850">
        <v>25569.54</v>
      </c>
      <c r="M850" s="31"/>
      <c r="N850" s="31"/>
      <c r="O850" s="31"/>
      <c r="P850" s="31"/>
      <c r="Q850" s="31"/>
      <c r="R850" s="32"/>
      <c r="S850" s="33"/>
      <c r="T850" s="55"/>
      <c r="V850" s="47"/>
      <c r="W850" s="47"/>
      <c r="X850" s="48"/>
      <c r="Y850" s="48"/>
      <c r="Z850" s="49"/>
      <c r="AA850" s="49"/>
    </row>
    <row r="851" spans="1:27" ht="13.5" thickBot="1">
      <c r="A851" s="98"/>
      <c r="B851" s="112"/>
      <c r="C851" s="34" t="s">
        <v>129</v>
      </c>
      <c r="D851" s="35">
        <f>IF(((D849="")*AND(D850="")),"",(D849-D850)*3)</f>
        <v>9170.3700000000026</v>
      </c>
      <c r="E851" s="35">
        <f t="shared" ref="E851:L851" si="279">IF(((E849="")*AND(E850="")),"",(E849-E850)*3)</f>
        <v>9368.4000000000087</v>
      </c>
      <c r="F851" s="35">
        <f t="shared" si="279"/>
        <v>9225.2999999999956</v>
      </c>
      <c r="G851" s="35">
        <f t="shared" si="279"/>
        <v>9529.5599999999904</v>
      </c>
      <c r="H851" s="35">
        <f t="shared" si="279"/>
        <v>9537.6000000000022</v>
      </c>
      <c r="I851" s="35">
        <f t="shared" si="279"/>
        <v>9821.5499999999956</v>
      </c>
      <c r="J851" s="35">
        <f t="shared" si="279"/>
        <v>9570.5100000000057</v>
      </c>
      <c r="K851" s="35">
        <f t="shared" si="279"/>
        <v>9465.6899999999987</v>
      </c>
      <c r="L851" s="35">
        <f t="shared" si="279"/>
        <v>9682.23</v>
      </c>
      <c r="M851" s="36"/>
      <c r="N851" s="36"/>
      <c r="O851" s="36"/>
      <c r="P851" s="36"/>
      <c r="Q851" s="36"/>
      <c r="R851" s="37"/>
      <c r="S851" s="38"/>
      <c r="T851" s="56"/>
      <c r="V851" s="50"/>
      <c r="W851" s="50"/>
      <c r="X851" s="51"/>
      <c r="Y851" s="51"/>
      <c r="Z851" s="52"/>
      <c r="AA851" s="52"/>
    </row>
    <row r="852" spans="1:27" ht="15.75">
      <c r="A852" s="98">
        <v>43704</v>
      </c>
      <c r="B852" s="115" t="s">
        <v>429</v>
      </c>
      <c r="C852" s="26" t="s">
        <v>126</v>
      </c>
      <c r="D852">
        <v>28897.74</v>
      </c>
      <c r="E852">
        <v>28766.52</v>
      </c>
      <c r="F852">
        <v>28760.5</v>
      </c>
      <c r="G852">
        <v>28767.4</v>
      </c>
      <c r="H852">
        <v>28871.56</v>
      </c>
      <c r="I852">
        <v>28887.73</v>
      </c>
      <c r="J852">
        <v>28771.27</v>
      </c>
      <c r="K852">
        <v>28755.25</v>
      </c>
      <c r="L852">
        <v>28889.74</v>
      </c>
      <c r="M852" s="27">
        <f>IF((L853=""),"",MAX(D854:L854))</f>
        <v>11001.450000000004</v>
      </c>
      <c r="N852" s="27">
        <f>IF(L853="","",MIN(D854:L854))</f>
        <v>10425.840000000007</v>
      </c>
      <c r="O852" s="27">
        <f>IF((L854=""),"",AVERAGE(D854:L854))</f>
        <v>10831.773333333334</v>
      </c>
      <c r="P852" s="27">
        <f>IF((L853=""),"",STDEV(D854:L854))</f>
        <v>192.62318928422636</v>
      </c>
      <c r="Q852" s="168">
        <f>IF((L853=""),"",((M852-N852)/(M852+P852))*100)</f>
        <v>5.1420960919838556</v>
      </c>
      <c r="R852" s="28" t="str">
        <f>IF(L853="","",IF(Q852&lt;Z852,IF(N852&gt;V852,IF(M852&lt;W852,"Pass","Fail"),"Fail"),"Fail"))</f>
        <v>Pass</v>
      </c>
      <c r="S852" s="29">
        <v>1159</v>
      </c>
      <c r="T852" s="54" t="s">
        <v>369</v>
      </c>
      <c r="V852" s="53">
        <v>10000</v>
      </c>
      <c r="W852" s="22">
        <v>15600</v>
      </c>
      <c r="X852" s="40">
        <v>8090</v>
      </c>
      <c r="Y852" s="40">
        <v>12070</v>
      </c>
      <c r="Z852" s="49">
        <v>15</v>
      </c>
      <c r="AA852" s="49">
        <v>6</v>
      </c>
    </row>
    <row r="853" spans="1:27" ht="15.75">
      <c r="A853" s="96"/>
      <c r="B853" s="96"/>
      <c r="C853" s="30" t="s">
        <v>128</v>
      </c>
      <c r="D853">
        <v>25422.46</v>
      </c>
      <c r="E853">
        <v>25201.07</v>
      </c>
      <c r="F853">
        <v>25193.74</v>
      </c>
      <c r="G853">
        <v>25103.759999999998</v>
      </c>
      <c r="H853">
        <v>25204.41</v>
      </c>
      <c r="I853">
        <v>25223.06</v>
      </c>
      <c r="J853">
        <v>25122.35</v>
      </c>
      <c r="K853">
        <v>25138.93</v>
      </c>
      <c r="L853">
        <v>25262.61</v>
      </c>
      <c r="M853" s="31"/>
      <c r="N853" s="31"/>
      <c r="O853" s="31"/>
      <c r="P853" s="31"/>
      <c r="Q853" s="31"/>
      <c r="R853" s="32"/>
      <c r="S853" s="33"/>
      <c r="T853" s="55"/>
      <c r="V853" s="47"/>
      <c r="W853" s="47"/>
      <c r="X853" s="48"/>
      <c r="Y853" s="48"/>
      <c r="Z853" s="49"/>
      <c r="AA853" s="49"/>
    </row>
    <row r="854" spans="1:27" ht="13.5" thickBot="1">
      <c r="A854" s="98"/>
      <c r="B854" s="112"/>
      <c r="C854" s="34" t="s">
        <v>129</v>
      </c>
      <c r="D854" s="35">
        <f>IF(((D852="")*AND(D853="")),"",(D852-D853)*3)</f>
        <v>10425.840000000007</v>
      </c>
      <c r="E854" s="35">
        <f t="shared" ref="E854:L854" si="280">IF(((E852="")*AND(E853="")),"",(E852-E853)*3)</f>
        <v>10696.350000000002</v>
      </c>
      <c r="F854" s="35">
        <f t="shared" si="280"/>
        <v>10700.279999999995</v>
      </c>
      <c r="G854" s="35">
        <f t="shared" si="280"/>
        <v>10990.920000000009</v>
      </c>
      <c r="H854" s="35">
        <f t="shared" si="280"/>
        <v>11001.450000000004</v>
      </c>
      <c r="I854" s="35">
        <f t="shared" si="280"/>
        <v>10994.009999999995</v>
      </c>
      <c r="J854" s="35">
        <f t="shared" si="280"/>
        <v>10946.760000000006</v>
      </c>
      <c r="K854" s="35">
        <f t="shared" si="280"/>
        <v>10848.96</v>
      </c>
      <c r="L854" s="35">
        <f t="shared" si="280"/>
        <v>10881.390000000003</v>
      </c>
      <c r="M854" s="36"/>
      <c r="N854" s="36"/>
      <c r="O854" s="36"/>
      <c r="P854" s="36"/>
      <c r="Q854" s="36"/>
      <c r="R854" s="37"/>
      <c r="S854" s="38"/>
      <c r="T854" s="56"/>
      <c r="V854" s="50"/>
      <c r="W854" s="50"/>
      <c r="X854" s="51"/>
      <c r="Y854" s="51"/>
      <c r="Z854" s="52"/>
      <c r="AA854" s="52"/>
    </row>
    <row r="855" spans="1:27" ht="15.75">
      <c r="A855" s="98">
        <v>43704</v>
      </c>
      <c r="B855" s="115" t="s">
        <v>429</v>
      </c>
      <c r="C855" s="26" t="s">
        <v>126</v>
      </c>
      <c r="D855">
        <v>29282.85</v>
      </c>
      <c r="E855">
        <v>29141.09</v>
      </c>
      <c r="F855">
        <v>29154.639999999999</v>
      </c>
      <c r="G855">
        <v>29118</v>
      </c>
      <c r="H855">
        <v>29227.81</v>
      </c>
      <c r="I855">
        <v>29241.43</v>
      </c>
      <c r="J855">
        <v>29124.15</v>
      </c>
      <c r="K855">
        <v>29111.37</v>
      </c>
      <c r="L855">
        <v>29212.46</v>
      </c>
      <c r="M855" s="27">
        <f>IF((L856=""),"",MAX(D857:L857))</f>
        <v>11866.259999999995</v>
      </c>
      <c r="N855" s="27">
        <f>IF(L856="","",MIN(D857:L857))</f>
        <v>11267.939999999999</v>
      </c>
      <c r="O855" s="27">
        <f>IF((L857=""),"",AVERAGE(D857:L857))</f>
        <v>11643.636666666665</v>
      </c>
      <c r="P855" s="27">
        <f>IF((L856=""),"",STDEV(D857:L857))</f>
        <v>182.62635879024165</v>
      </c>
      <c r="Q855" s="168">
        <f>IF((L856=""),"",((M855-N855)/(M855+P855))*100)</f>
        <v>4.9657701316395366</v>
      </c>
      <c r="R855" s="28" t="str">
        <f>IF(L856="","",IF(Q855&lt;Z855,IF(N855&gt;V855,IF(M855&lt;W855,"Pass","Fail"),"Fail"),"Fail"))</f>
        <v>Pass</v>
      </c>
      <c r="S855" s="29">
        <v>121</v>
      </c>
      <c r="T855" s="48" t="s">
        <v>371</v>
      </c>
      <c r="V855" s="53">
        <v>10000</v>
      </c>
      <c r="W855" s="22">
        <v>15600</v>
      </c>
      <c r="X855" s="40">
        <v>8090</v>
      </c>
      <c r="Y855" s="40">
        <v>12070</v>
      </c>
      <c r="Z855" s="49">
        <v>15</v>
      </c>
      <c r="AA855" s="49">
        <v>6</v>
      </c>
    </row>
    <row r="856" spans="1:27" ht="15.75">
      <c r="A856" s="96"/>
      <c r="B856" s="96"/>
      <c r="C856" s="30" t="s">
        <v>128</v>
      </c>
      <c r="D856">
        <v>25364.54</v>
      </c>
      <c r="E856">
        <v>25216.02</v>
      </c>
      <c r="F856">
        <v>25317.72</v>
      </c>
      <c r="G856">
        <v>25265.83</v>
      </c>
      <c r="H856">
        <v>25471.83</v>
      </c>
      <c r="I856">
        <v>25370.49</v>
      </c>
      <c r="J856">
        <v>25236.17</v>
      </c>
      <c r="K856">
        <v>25183.25</v>
      </c>
      <c r="L856">
        <v>25257.040000000001</v>
      </c>
      <c r="M856" s="31"/>
      <c r="N856" s="31"/>
      <c r="O856" s="31"/>
      <c r="P856" s="31"/>
      <c r="Q856" s="31"/>
      <c r="R856" s="32"/>
      <c r="S856" s="33"/>
      <c r="T856" s="55"/>
      <c r="V856" s="47"/>
      <c r="W856" s="47"/>
      <c r="X856" s="48"/>
      <c r="Y856" s="48"/>
      <c r="Z856" s="49"/>
      <c r="AA856" s="49"/>
    </row>
    <row r="857" spans="1:27" ht="13.5" thickBot="1">
      <c r="A857" s="98"/>
      <c r="B857" s="112"/>
      <c r="C857" s="34" t="s">
        <v>129</v>
      </c>
      <c r="D857" s="35">
        <f>IF(((D855="")*AND(D856="")),"",(D855-D856)*3)</f>
        <v>11754.929999999993</v>
      </c>
      <c r="E857" s="35">
        <f t="shared" ref="E857:L857" si="281">IF(((E855="")*AND(E856="")),"",(E855-E856)*3)</f>
        <v>11775.21</v>
      </c>
      <c r="F857" s="35">
        <f t="shared" si="281"/>
        <v>11510.759999999995</v>
      </c>
      <c r="G857" s="35">
        <f t="shared" si="281"/>
        <v>11556.509999999995</v>
      </c>
      <c r="H857" s="35">
        <f t="shared" si="281"/>
        <v>11267.939999999999</v>
      </c>
      <c r="I857" s="35">
        <f t="shared" si="281"/>
        <v>11612.819999999996</v>
      </c>
      <c r="J857" s="35">
        <f t="shared" si="281"/>
        <v>11663.94000000001</v>
      </c>
      <c r="K857" s="35">
        <f t="shared" si="281"/>
        <v>11784.359999999997</v>
      </c>
      <c r="L857" s="35">
        <f t="shared" si="281"/>
        <v>11866.259999999995</v>
      </c>
      <c r="M857" s="36"/>
      <c r="N857" s="36"/>
      <c r="O857" s="36"/>
      <c r="P857" s="36"/>
      <c r="Q857" s="36"/>
      <c r="R857" s="37"/>
      <c r="S857" s="38"/>
      <c r="T857" s="56"/>
      <c r="V857" s="50"/>
      <c r="W857" s="50"/>
      <c r="X857" s="51"/>
      <c r="Y857" s="51"/>
      <c r="Z857" s="52"/>
      <c r="AA857" s="52"/>
    </row>
    <row r="858" spans="1:27" ht="15.75">
      <c r="A858" s="98">
        <v>43712</v>
      </c>
      <c r="B858" s="115" t="s">
        <v>429</v>
      </c>
      <c r="C858" s="26" t="s">
        <v>126</v>
      </c>
      <c r="D858">
        <v>28809.08</v>
      </c>
      <c r="E858">
        <v>28739.7</v>
      </c>
      <c r="F858">
        <v>28752.42</v>
      </c>
      <c r="G858">
        <v>28737.94</v>
      </c>
      <c r="H858">
        <v>28871.65</v>
      </c>
      <c r="I858">
        <v>28865.759999999998</v>
      </c>
      <c r="J858">
        <v>28738.62</v>
      </c>
      <c r="K858">
        <v>28714.95</v>
      </c>
      <c r="L858">
        <v>28838.27</v>
      </c>
      <c r="M858" s="27">
        <f>IF((L859=""),"",MAX(D860:L860))</f>
        <v>9949.4699999999939</v>
      </c>
      <c r="N858" s="27">
        <f>IF(L859="","",MIN(D860:L860))</f>
        <v>9521.0100000000057</v>
      </c>
      <c r="O858" s="27">
        <f>IF((L860=""),"",AVERAGE(D860:L860))</f>
        <v>9789.4199999999983</v>
      </c>
      <c r="P858" s="27">
        <f>IF((L859=""),"",STDEV(D860:L860))</f>
        <v>143.17392980229667</v>
      </c>
      <c r="Q858" s="168">
        <f>IF((L859=""),"",((M858-N858)/(M858+P858))*100)</f>
        <v>4.2452701490320139</v>
      </c>
      <c r="R858" s="28" t="str">
        <f>IF(L859="","",IF(Q858&lt;Z858,IF(N858&gt;V858,IF(M858&lt;W858,"Pass","Fail"),"Fail"),"Fail"))</f>
        <v>Fail</v>
      </c>
      <c r="S858" s="29">
        <v>1428</v>
      </c>
      <c r="T858" s="54"/>
      <c r="V858" s="53">
        <v>10000</v>
      </c>
      <c r="W858" s="22">
        <v>15600</v>
      </c>
      <c r="X858" s="40">
        <v>8090</v>
      </c>
      <c r="Y858" s="40">
        <v>12070</v>
      </c>
      <c r="Z858" s="49">
        <v>15</v>
      </c>
      <c r="AA858" s="49">
        <v>6</v>
      </c>
    </row>
    <row r="859" spans="1:27" ht="15.75">
      <c r="A859" s="96"/>
      <c r="B859" s="96"/>
      <c r="C859" s="30" t="s">
        <v>128</v>
      </c>
      <c r="D859">
        <v>25635.41</v>
      </c>
      <c r="E859">
        <v>25499.57</v>
      </c>
      <c r="F859">
        <v>25541.8</v>
      </c>
      <c r="G859">
        <v>25421.45</v>
      </c>
      <c r="H859">
        <v>25560.44</v>
      </c>
      <c r="I859">
        <v>25592.89</v>
      </c>
      <c r="J859">
        <v>25437.4</v>
      </c>
      <c r="K859">
        <v>25436.77</v>
      </c>
      <c r="L859">
        <v>25574.400000000001</v>
      </c>
      <c r="M859" s="31"/>
      <c r="N859" s="31"/>
      <c r="O859" s="31"/>
      <c r="P859" s="31"/>
      <c r="Q859" s="31"/>
      <c r="R859" s="32"/>
      <c r="S859" s="33"/>
      <c r="T859" s="55"/>
      <c r="V859" s="47"/>
      <c r="W859" s="47"/>
      <c r="X859" s="48"/>
      <c r="Y859" s="48"/>
      <c r="Z859" s="49"/>
      <c r="AA859" s="49"/>
    </row>
    <row r="860" spans="1:27" ht="13.5" thickBot="1">
      <c r="A860" s="98"/>
      <c r="B860" s="112"/>
      <c r="C860" s="34" t="s">
        <v>129</v>
      </c>
      <c r="D860" s="35">
        <f>IF(((D858="")*AND(D859="")),"",(D858-D859)*3)</f>
        <v>9521.0100000000057</v>
      </c>
      <c r="E860" s="35">
        <f t="shared" ref="E860:L860" si="282">IF(((E858="")*AND(E859="")),"",(E858-E859)*3)</f>
        <v>9720.3900000000031</v>
      </c>
      <c r="F860" s="35">
        <f t="shared" si="282"/>
        <v>9631.8599999999969</v>
      </c>
      <c r="G860" s="35">
        <f t="shared" si="282"/>
        <v>9949.4699999999939</v>
      </c>
      <c r="H860" s="35">
        <f t="shared" si="282"/>
        <v>9933.6300000000083</v>
      </c>
      <c r="I860" s="35">
        <f t="shared" si="282"/>
        <v>9818.6099999999969</v>
      </c>
      <c r="J860" s="35">
        <f t="shared" si="282"/>
        <v>9903.6599999999926</v>
      </c>
      <c r="K860" s="35">
        <f t="shared" si="282"/>
        <v>9834.5400000000009</v>
      </c>
      <c r="L860" s="35">
        <f t="shared" si="282"/>
        <v>9791.6099999999969</v>
      </c>
      <c r="M860" s="36"/>
      <c r="N860" s="36"/>
      <c r="O860" s="36"/>
      <c r="P860" s="36"/>
      <c r="Q860" s="36"/>
      <c r="R860" s="37"/>
      <c r="S860" s="38"/>
      <c r="T860" s="56"/>
      <c r="V860" s="50"/>
      <c r="W860" s="50"/>
      <c r="X860" s="51"/>
      <c r="Y860" s="51"/>
      <c r="Z860" s="52"/>
      <c r="AA860" s="52"/>
    </row>
    <row r="861" spans="1:27" ht="15.75">
      <c r="A861" s="98">
        <v>43713</v>
      </c>
      <c r="B861" s="115" t="s">
        <v>429</v>
      </c>
      <c r="C861" s="26" t="s">
        <v>126</v>
      </c>
      <c r="D861" s="102">
        <v>28915.97</v>
      </c>
      <c r="E861" s="102">
        <v>28779.48</v>
      </c>
      <c r="F861" s="102">
        <v>28793.51</v>
      </c>
      <c r="G861" s="102">
        <v>28768</v>
      </c>
      <c r="H861" s="102">
        <v>28847.599999999999</v>
      </c>
      <c r="I861" s="102">
        <v>28876.61</v>
      </c>
      <c r="J861" s="102">
        <v>28758.09</v>
      </c>
      <c r="K861" s="102">
        <v>28772.74</v>
      </c>
      <c r="L861" s="102">
        <v>28913.58</v>
      </c>
      <c r="M861" s="27">
        <f>IF((L862=""),"",MAX(D863:L863))</f>
        <v>12103.080000000002</v>
      </c>
      <c r="N861" s="27">
        <f>IF(L862="","",MIN(D863:L863))</f>
        <v>11450.52</v>
      </c>
      <c r="O861" s="27">
        <f>IF((L863=""),"",AVERAGE(D863:L863))</f>
        <v>11838.713333333333</v>
      </c>
      <c r="P861" s="27">
        <f>IF((L862=""),"",STDEV(D863:L863))</f>
        <v>219.55290006061938</v>
      </c>
      <c r="Q861" s="168">
        <f>IF((L862=""),"",((M861-N861)/(M861+P861))*100)</f>
        <v>5.29562152254646</v>
      </c>
      <c r="R861" s="28" t="str">
        <f>IF(L862="","",IF(Q861&lt;Z861,IF(N861&gt;V861,IF(M861&lt;W861,"Pass","Fail"),"Fail"),"Fail"))</f>
        <v>Pass</v>
      </c>
      <c r="S861" s="29">
        <v>1428</v>
      </c>
      <c r="T861" s="54" t="s">
        <v>374</v>
      </c>
      <c r="V861" s="53">
        <v>10000</v>
      </c>
      <c r="W861" s="22">
        <v>15600</v>
      </c>
      <c r="X861" s="40">
        <v>8090</v>
      </c>
      <c r="Y861" s="40">
        <v>12070</v>
      </c>
      <c r="Z861" s="49">
        <v>15</v>
      </c>
      <c r="AA861" s="49">
        <v>6</v>
      </c>
    </row>
    <row r="862" spans="1:27" ht="15.75">
      <c r="A862" s="96"/>
      <c r="B862" s="96"/>
      <c r="C862" s="30" t="s">
        <v>128</v>
      </c>
      <c r="D862" s="102">
        <v>24949.48</v>
      </c>
      <c r="E862" s="102">
        <v>24771.34</v>
      </c>
      <c r="F862" s="102">
        <v>24875.83</v>
      </c>
      <c r="G862" s="102">
        <v>24838.2</v>
      </c>
      <c r="H862" s="102">
        <v>25030.76</v>
      </c>
      <c r="I862" s="102">
        <v>25005.83</v>
      </c>
      <c r="J862" s="102">
        <v>24817.62</v>
      </c>
      <c r="K862" s="102">
        <v>24741.16</v>
      </c>
      <c r="L862" s="102">
        <v>24879.22</v>
      </c>
      <c r="M862" s="31"/>
      <c r="N862" s="31"/>
      <c r="O862" s="31"/>
      <c r="P862" s="31"/>
      <c r="Q862" s="31"/>
      <c r="R862" s="32"/>
      <c r="S862" s="33"/>
      <c r="T862" s="55"/>
      <c r="V862" s="47"/>
      <c r="W862" s="47"/>
      <c r="X862" s="48"/>
      <c r="Y862" s="48"/>
      <c r="Z862" s="49"/>
      <c r="AA862" s="49"/>
    </row>
    <row r="863" spans="1:27" ht="13.5" thickBot="1">
      <c r="A863" s="98"/>
      <c r="B863" s="112"/>
      <c r="C863" s="34" t="s">
        <v>129</v>
      </c>
      <c r="D863" s="35">
        <f>IF(((D861="")*AND(D862="")),"",(D861-D862)*3)</f>
        <v>11899.470000000005</v>
      </c>
      <c r="E863" s="35">
        <f t="shared" ref="E863:L863" si="283">IF(((E861="")*AND(E862="")),"",(E861-E862)*3)</f>
        <v>12024.419999999998</v>
      </c>
      <c r="F863" s="35">
        <f t="shared" si="283"/>
        <v>11753.03999999999</v>
      </c>
      <c r="G863" s="35">
        <f t="shared" si="283"/>
        <v>11789.399999999998</v>
      </c>
      <c r="H863" s="35">
        <f t="shared" si="283"/>
        <v>11450.52</v>
      </c>
      <c r="I863" s="35">
        <f t="shared" si="283"/>
        <v>11612.339999999997</v>
      </c>
      <c r="J863" s="35">
        <f t="shared" si="283"/>
        <v>11821.410000000003</v>
      </c>
      <c r="K863" s="35">
        <f t="shared" si="283"/>
        <v>12094.740000000005</v>
      </c>
      <c r="L863" s="35">
        <f t="shared" si="283"/>
        <v>12103.080000000002</v>
      </c>
      <c r="M863" s="36"/>
      <c r="N863" s="36"/>
      <c r="O863" s="36"/>
      <c r="P863" s="36"/>
      <c r="Q863" s="36"/>
      <c r="R863" s="37"/>
      <c r="S863" s="38"/>
      <c r="T863" s="56"/>
      <c r="V863" s="50"/>
      <c r="W863" s="50"/>
      <c r="X863" s="51"/>
      <c r="Y863" s="51"/>
      <c r="Z863" s="52"/>
      <c r="AA863" s="52"/>
    </row>
    <row r="864" spans="1:27" ht="15.75">
      <c r="A864" s="98">
        <v>43717</v>
      </c>
      <c r="B864" s="115" t="s">
        <v>429</v>
      </c>
      <c r="C864" s="26" t="s">
        <v>126</v>
      </c>
      <c r="D864">
        <v>29353.73</v>
      </c>
      <c r="E864">
        <v>29284.65</v>
      </c>
      <c r="F864">
        <v>29283.23</v>
      </c>
      <c r="G864">
        <v>29241.64</v>
      </c>
      <c r="H864">
        <v>29407.02</v>
      </c>
      <c r="I864">
        <v>29357.7</v>
      </c>
      <c r="J864">
        <v>29270.32</v>
      </c>
      <c r="K864">
        <v>29236.7</v>
      </c>
      <c r="L864">
        <v>29359.78</v>
      </c>
      <c r="M864" s="27">
        <f>IF((L865=""),"",MAX(D866:L866))</f>
        <v>12868.859999999997</v>
      </c>
      <c r="N864" s="27">
        <f>IF(L865="","",MIN(D866:L866))</f>
        <v>11932.199999999993</v>
      </c>
      <c r="O864" s="27">
        <f>IF((L866=""),"",AVERAGE(D866:L866))</f>
        <v>12485.14</v>
      </c>
      <c r="P864" s="27">
        <f>IF((L865=""),"",STDEV(D866:L866))</f>
        <v>286.00400561003744</v>
      </c>
      <c r="Q864" s="168">
        <f>IF((L865=""),"",((M864-N864)/(M864+P864))*100)</f>
        <v>7.1202560482613473</v>
      </c>
      <c r="R864" s="28" t="str">
        <f>IF(L865="","",IF(Q864&lt;Z864,IF(N864&gt;V864,IF(M864&lt;W864,"Pass","Fail"),"Fail"),"Fail"))</f>
        <v>Pass</v>
      </c>
      <c r="S864" s="29">
        <v>74</v>
      </c>
      <c r="T864" s="54" t="s">
        <v>376</v>
      </c>
      <c r="V864" s="53">
        <v>10000</v>
      </c>
      <c r="W864" s="22">
        <v>15600</v>
      </c>
      <c r="X864" s="40">
        <v>8090</v>
      </c>
      <c r="Y864" s="40">
        <v>12070</v>
      </c>
      <c r="Z864" s="49">
        <v>15</v>
      </c>
      <c r="AA864" s="49">
        <v>6</v>
      </c>
    </row>
    <row r="865" spans="1:27" ht="15.75">
      <c r="A865" s="96"/>
      <c r="B865" s="96"/>
      <c r="C865" s="30" t="s">
        <v>128</v>
      </c>
      <c r="D865">
        <v>25376.33</v>
      </c>
      <c r="E865">
        <v>25158.52</v>
      </c>
      <c r="F865">
        <v>25166.18</v>
      </c>
      <c r="G865">
        <v>25035.13</v>
      </c>
      <c r="H865">
        <v>25117.4</v>
      </c>
      <c r="I865">
        <v>25117.61</v>
      </c>
      <c r="J865">
        <v>25021.98</v>
      </c>
      <c r="K865">
        <v>25091.71</v>
      </c>
      <c r="L865">
        <v>25254.49</v>
      </c>
      <c r="M865" s="31"/>
      <c r="N865" s="31"/>
      <c r="O865" s="31"/>
      <c r="P865" s="31"/>
      <c r="Q865" s="31"/>
      <c r="R865" s="32"/>
      <c r="S865" s="33"/>
      <c r="T865" s="55"/>
      <c r="V865" s="47"/>
      <c r="W865" s="47"/>
      <c r="X865" s="48"/>
      <c r="Y865" s="48"/>
      <c r="Z865" s="49"/>
      <c r="AA865" s="49"/>
    </row>
    <row r="866" spans="1:27" ht="13.5" thickBot="1">
      <c r="A866" s="98"/>
      <c r="B866" s="112"/>
      <c r="C866" s="34" t="s">
        <v>129</v>
      </c>
      <c r="D866" s="35">
        <f>IF(((D864="")*AND(D865="")),"",(D864-D865)*3)</f>
        <v>11932.199999999993</v>
      </c>
      <c r="E866" s="35">
        <f t="shared" ref="E866:L866" si="284">IF(((E864="")*AND(E865="")),"",(E864-E865)*3)</f>
        <v>12378.390000000003</v>
      </c>
      <c r="F866" s="35">
        <f t="shared" si="284"/>
        <v>12351.149999999998</v>
      </c>
      <c r="G866" s="35">
        <f t="shared" si="284"/>
        <v>12619.529999999995</v>
      </c>
      <c r="H866" s="35">
        <f t="shared" si="284"/>
        <v>12868.859999999997</v>
      </c>
      <c r="I866" s="35">
        <f t="shared" si="284"/>
        <v>12720.27</v>
      </c>
      <c r="J866" s="35">
        <f t="shared" si="284"/>
        <v>12745.02</v>
      </c>
      <c r="K866" s="35">
        <f t="shared" si="284"/>
        <v>12434.970000000005</v>
      </c>
      <c r="L866" s="35">
        <f t="shared" si="284"/>
        <v>12315.869999999992</v>
      </c>
      <c r="M866" s="36"/>
      <c r="N866" s="36"/>
      <c r="O866" s="36"/>
      <c r="P866" s="36"/>
      <c r="Q866" s="36"/>
      <c r="R866" s="37"/>
      <c r="S866" s="38"/>
      <c r="T866" s="56"/>
      <c r="V866" s="50"/>
      <c r="W866" s="50"/>
      <c r="X866" s="51"/>
      <c r="Y866" s="51"/>
      <c r="Z866" s="52"/>
      <c r="AA866" s="52"/>
    </row>
    <row r="867" spans="1:27" ht="15.75">
      <c r="A867" s="98">
        <v>43721</v>
      </c>
      <c r="B867" s="115" t="s">
        <v>429</v>
      </c>
      <c r="C867" s="26" t="s">
        <v>126</v>
      </c>
      <c r="D867">
        <v>29117.03</v>
      </c>
      <c r="E867">
        <v>28982.84</v>
      </c>
      <c r="F867">
        <v>28994.2</v>
      </c>
      <c r="G867">
        <v>28955.57</v>
      </c>
      <c r="H867">
        <v>29057.62</v>
      </c>
      <c r="I867">
        <v>29078.91</v>
      </c>
      <c r="J867">
        <v>28955.62</v>
      </c>
      <c r="K867">
        <v>28964.57</v>
      </c>
      <c r="L867">
        <v>29118.97</v>
      </c>
      <c r="M867" s="27">
        <f>IF((L868=""),"",MAX(D869:L869))</f>
        <v>10523.160000000003</v>
      </c>
      <c r="N867" s="27">
        <f>IF(L868="","",MIN(D869:L869))</f>
        <v>10052.790000000001</v>
      </c>
      <c r="O867" s="27">
        <f>IF((L869=""),"",AVERAGE(D869:L869))</f>
        <v>10257.826666666666</v>
      </c>
      <c r="P867" s="27">
        <f>IF((L868=""),"",STDEV(D869:L869))</f>
        <v>156.06635303614325</v>
      </c>
      <c r="Q867" s="168">
        <f>IF((L868=""),"",((M867-N867)/(M867+P867))*100)</f>
        <v>4.4045325424371642</v>
      </c>
      <c r="R867" s="28" t="str">
        <f>IF(L868="","",IF(Q867&lt;Z867,IF(N867&gt;V867,IF(M867&lt;W867,"Pass","Fail"),"Fail"),"Fail"))</f>
        <v>Pass</v>
      </c>
      <c r="S867" s="29">
        <v>1159</v>
      </c>
      <c r="T867" s="54" t="s">
        <v>378</v>
      </c>
      <c r="V867" s="53">
        <v>10000</v>
      </c>
      <c r="W867" s="22">
        <v>15600</v>
      </c>
      <c r="X867" s="40">
        <v>8090</v>
      </c>
      <c r="Y867" s="40">
        <v>12070</v>
      </c>
      <c r="Z867" s="49">
        <v>15</v>
      </c>
      <c r="AA867" s="49">
        <v>6</v>
      </c>
    </row>
    <row r="868" spans="1:27" ht="15.75">
      <c r="A868" s="96"/>
      <c r="B868" s="96"/>
      <c r="C868" s="30" t="s">
        <v>128</v>
      </c>
      <c r="D868">
        <v>25766.1</v>
      </c>
      <c r="E868">
        <v>25595.58</v>
      </c>
      <c r="F868">
        <v>25622.47</v>
      </c>
      <c r="G868">
        <v>25503.39</v>
      </c>
      <c r="H868">
        <v>25597.54</v>
      </c>
      <c r="I868">
        <v>25571.19</v>
      </c>
      <c r="J868">
        <v>25502.34</v>
      </c>
      <c r="K868">
        <v>25549.38</v>
      </c>
      <c r="L868">
        <v>25743.86</v>
      </c>
      <c r="M868" s="31"/>
      <c r="N868" s="31"/>
      <c r="O868" s="31"/>
      <c r="P868" s="31"/>
      <c r="Q868" s="31"/>
      <c r="R868" s="32"/>
      <c r="S868" s="33"/>
      <c r="T868" s="55"/>
      <c r="V868" s="47"/>
      <c r="W868" s="47"/>
      <c r="X868" s="48"/>
      <c r="Y868" s="48"/>
      <c r="Z868" s="49"/>
      <c r="AA868" s="49"/>
    </row>
    <row r="869" spans="1:27" ht="13.5" thickBot="1">
      <c r="A869" s="98"/>
      <c r="B869" s="112"/>
      <c r="C869" s="34" t="s">
        <v>129</v>
      </c>
      <c r="D869" s="35">
        <f>IF(((D867="")*AND(D868="")),"",(D867-D868)*3)</f>
        <v>10052.790000000001</v>
      </c>
      <c r="E869" s="35">
        <f t="shared" ref="E869:L869" si="285">IF(((E867="")*AND(E868="")),"",(E867-E868)*3)</f>
        <v>10161.779999999995</v>
      </c>
      <c r="F869" s="35">
        <f t="shared" si="285"/>
        <v>10115.189999999999</v>
      </c>
      <c r="G869" s="35">
        <f t="shared" si="285"/>
        <v>10356.540000000001</v>
      </c>
      <c r="H869" s="35">
        <f t="shared" si="285"/>
        <v>10380.239999999994</v>
      </c>
      <c r="I869" s="35">
        <f t="shared" si="285"/>
        <v>10523.160000000003</v>
      </c>
      <c r="J869" s="35">
        <f t="shared" si="285"/>
        <v>10359.839999999997</v>
      </c>
      <c r="K869" s="35">
        <f t="shared" si="285"/>
        <v>10245.569999999996</v>
      </c>
      <c r="L869" s="35">
        <f t="shared" si="285"/>
        <v>10125.330000000002</v>
      </c>
      <c r="M869" s="36"/>
      <c r="N869" s="36"/>
      <c r="O869" s="36"/>
      <c r="P869" s="36"/>
      <c r="Q869" s="36"/>
      <c r="R869" s="37"/>
      <c r="S869" s="38"/>
      <c r="T869" s="56"/>
      <c r="V869" s="50"/>
      <c r="W869" s="50"/>
      <c r="X869" s="51"/>
      <c r="Y869" s="51"/>
      <c r="Z869" s="52"/>
      <c r="AA869" s="52"/>
    </row>
    <row r="870" spans="1:27" ht="15.75">
      <c r="A870" s="98">
        <v>43725</v>
      </c>
      <c r="B870" s="115" t="s">
        <v>429</v>
      </c>
      <c r="C870" s="26" t="s">
        <v>126</v>
      </c>
      <c r="D870">
        <v>28809.06</v>
      </c>
      <c r="E870">
        <v>28701.68</v>
      </c>
      <c r="F870">
        <v>28682</v>
      </c>
      <c r="G870">
        <v>28697.49</v>
      </c>
      <c r="H870">
        <v>28817.69</v>
      </c>
      <c r="I870">
        <v>28812.41</v>
      </c>
      <c r="J870">
        <v>28686.79</v>
      </c>
      <c r="K870">
        <v>28706.240000000002</v>
      </c>
      <c r="L870">
        <v>28844.94</v>
      </c>
      <c r="M870" s="27">
        <f>IF((L871=""),"",MAX(D872:L872))</f>
        <v>9797.5799999999908</v>
      </c>
      <c r="N870" s="27">
        <f>IF(L871="","",MIN(D872:L872))</f>
        <v>9193.7400000000052</v>
      </c>
      <c r="O870" s="27">
        <f>IF((L872=""),"",AVERAGE(D872:L872))</f>
        <v>9585.739999999998</v>
      </c>
      <c r="P870" s="27">
        <f>IF((L871=""),"",STDEV(D872:L872))</f>
        <v>195.39125229918989</v>
      </c>
      <c r="Q870" s="168">
        <f>IF((L871=""),"",((M870-N870)/(M870+P870))*100)</f>
        <v>6.0426472242783067</v>
      </c>
      <c r="R870" s="28" t="str">
        <f>IF(L871="","",IF(Q870&lt;Z870,IF(N870&gt;V870,IF(M870&lt;W870,"Pass","Fail"),"Fail"),"Fail"))</f>
        <v>Fail</v>
      </c>
      <c r="S870" s="29">
        <v>1340</v>
      </c>
      <c r="T870" s="54"/>
      <c r="V870" s="53">
        <v>10000</v>
      </c>
      <c r="W870" s="22">
        <v>15600</v>
      </c>
      <c r="X870" s="40">
        <v>8090</v>
      </c>
      <c r="Y870" s="40">
        <v>12070</v>
      </c>
      <c r="Z870" s="49">
        <v>15</v>
      </c>
      <c r="AA870" s="49">
        <v>6</v>
      </c>
    </row>
    <row r="871" spans="1:27" ht="15.75">
      <c r="A871" s="96"/>
      <c r="B871" s="96"/>
      <c r="C871" s="30" t="s">
        <v>128</v>
      </c>
      <c r="D871">
        <v>25744.48</v>
      </c>
      <c r="E871">
        <v>25548.080000000002</v>
      </c>
      <c r="F871">
        <v>25546.34</v>
      </c>
      <c r="G871">
        <v>25448.11</v>
      </c>
      <c r="H871">
        <v>25551.83</v>
      </c>
      <c r="I871">
        <v>25566.5</v>
      </c>
      <c r="J871">
        <v>25469.41</v>
      </c>
      <c r="K871">
        <v>25491.22</v>
      </c>
      <c r="L871">
        <v>25635.11</v>
      </c>
      <c r="M871" s="31"/>
      <c r="N871" s="31"/>
      <c r="O871" s="31"/>
      <c r="P871" s="31"/>
      <c r="Q871" s="31"/>
      <c r="R871" s="32"/>
      <c r="S871" s="33"/>
      <c r="T871" s="55"/>
      <c r="V871" s="47"/>
      <c r="W871" s="47"/>
      <c r="X871" s="48"/>
      <c r="Y871" s="48"/>
      <c r="Z871" s="49"/>
      <c r="AA871" s="49"/>
    </row>
    <row r="872" spans="1:27" ht="13.5" thickBot="1">
      <c r="A872" s="98"/>
      <c r="B872" s="112"/>
      <c r="C872" s="34" t="s">
        <v>129</v>
      </c>
      <c r="D872" s="35">
        <f>IF(((D870="")*AND(D871="")),"",(D870-D871)*3)</f>
        <v>9193.7400000000052</v>
      </c>
      <c r="E872" s="35">
        <f t="shared" ref="E872:L872" si="286">IF(((E870="")*AND(E871="")),"",(E870-E871)*3)</f>
        <v>9460.7999999999956</v>
      </c>
      <c r="F872" s="35">
        <f t="shared" si="286"/>
        <v>9406.98</v>
      </c>
      <c r="G872" s="35">
        <f t="shared" si="286"/>
        <v>9748.1400000000031</v>
      </c>
      <c r="H872" s="35">
        <f t="shared" si="286"/>
        <v>9797.5799999999908</v>
      </c>
      <c r="I872" s="35">
        <f t="shared" si="286"/>
        <v>9737.73</v>
      </c>
      <c r="J872" s="35">
        <f t="shared" si="286"/>
        <v>9652.1400000000031</v>
      </c>
      <c r="K872" s="35">
        <f t="shared" si="286"/>
        <v>9645.0600000000013</v>
      </c>
      <c r="L872" s="35">
        <f t="shared" si="286"/>
        <v>9629.4899999999943</v>
      </c>
      <c r="M872" s="36"/>
      <c r="N872" s="36"/>
      <c r="O872" s="36"/>
      <c r="P872" s="36"/>
      <c r="Q872" s="36"/>
      <c r="R872" s="37"/>
      <c r="S872" s="38"/>
      <c r="T872" s="56"/>
      <c r="V872" s="50"/>
      <c r="W872" s="50"/>
      <c r="X872" s="51"/>
      <c r="Y872" s="51"/>
      <c r="Z872" s="52"/>
      <c r="AA872" s="52"/>
    </row>
    <row r="873" spans="1:27" ht="15.75">
      <c r="A873" s="98">
        <v>43725</v>
      </c>
      <c r="B873" s="115" t="s">
        <v>429</v>
      </c>
      <c r="C873" s="26" t="s">
        <v>126</v>
      </c>
      <c r="D873">
        <v>29035.82</v>
      </c>
      <c r="E873">
        <v>28926.12</v>
      </c>
      <c r="F873">
        <v>28916.2</v>
      </c>
      <c r="G873">
        <v>28915.05</v>
      </c>
      <c r="H873">
        <v>29068.18</v>
      </c>
      <c r="I873">
        <v>29026.57</v>
      </c>
      <c r="J873">
        <v>28921.54</v>
      </c>
      <c r="K873">
        <v>28916.6</v>
      </c>
      <c r="L873">
        <v>29044.26</v>
      </c>
      <c r="M873" s="27">
        <f>IF((L874=""),"",MAX(D875:L875))</f>
        <v>10670.129999999997</v>
      </c>
      <c r="N873" s="27">
        <f>IF(L874="","",MIN(D875:L875))</f>
        <v>10113.029999999995</v>
      </c>
      <c r="O873" s="27">
        <f>IF((L875=""),"",AVERAGE(D875:L875))</f>
        <v>10472.373333333333</v>
      </c>
      <c r="P873" s="27">
        <f>IF((L874=""),"",STDEV(D875:L875))</f>
        <v>177.09900945510833</v>
      </c>
      <c r="Q873" s="168">
        <f>IF((L874=""),"",((M873-N873)/(M873+P873))*100)</f>
        <v>5.1358738670899253</v>
      </c>
      <c r="R873" s="28" t="str">
        <f>IF(L874="","",IF(Q873&lt;Z873,IF(N873&gt;V873,IF(M873&lt;W873,"Pass","Fail"),"Fail"),"Fail"))</f>
        <v>Pass</v>
      </c>
      <c r="S873" s="29">
        <v>1340</v>
      </c>
      <c r="T873" s="54"/>
      <c r="V873" s="53">
        <v>10000</v>
      </c>
      <c r="W873" s="22">
        <v>15600</v>
      </c>
      <c r="X873" s="40">
        <v>8090</v>
      </c>
      <c r="Y873" s="40">
        <v>12070</v>
      </c>
      <c r="Z873" s="49">
        <v>15</v>
      </c>
      <c r="AA873" s="49">
        <v>6</v>
      </c>
    </row>
    <row r="874" spans="1:27" ht="15.75">
      <c r="A874" s="96"/>
      <c r="B874" s="96"/>
      <c r="C874" s="30" t="s">
        <v>128</v>
      </c>
      <c r="D874">
        <v>25664.81</v>
      </c>
      <c r="E874">
        <v>25473.200000000001</v>
      </c>
      <c r="F874">
        <v>25474.07</v>
      </c>
      <c r="G874">
        <v>25389.19</v>
      </c>
      <c r="H874">
        <v>25511.47</v>
      </c>
      <c r="I874">
        <v>25490.67</v>
      </c>
      <c r="J874">
        <v>25388.87</v>
      </c>
      <c r="K874">
        <v>25426.58</v>
      </c>
      <c r="L874">
        <v>25534.36</v>
      </c>
      <c r="M874" s="31"/>
      <c r="N874" s="31"/>
      <c r="O874" s="31"/>
      <c r="P874" s="31"/>
      <c r="Q874" s="31"/>
      <c r="R874" s="32"/>
      <c r="S874" s="33"/>
      <c r="T874" s="55"/>
      <c r="V874" s="47"/>
      <c r="W874" s="47"/>
      <c r="X874" s="48"/>
      <c r="Y874" s="48"/>
      <c r="Z874" s="49"/>
      <c r="AA874" s="49"/>
    </row>
    <row r="875" spans="1:27" ht="13.5" thickBot="1">
      <c r="A875" s="98"/>
      <c r="B875" s="112"/>
      <c r="C875" s="34" t="s">
        <v>129</v>
      </c>
      <c r="D875" s="35">
        <f>IF(((D873="")*AND(D874="")),"",(D873-D874)*3)</f>
        <v>10113.029999999995</v>
      </c>
      <c r="E875" s="35">
        <f t="shared" ref="E875:L875" si="287">IF(((E873="")*AND(E874="")),"",(E873-E874)*3)</f>
        <v>10358.759999999995</v>
      </c>
      <c r="F875" s="35">
        <f t="shared" si="287"/>
        <v>10326.390000000003</v>
      </c>
      <c r="G875" s="35">
        <f t="shared" si="287"/>
        <v>10577.580000000002</v>
      </c>
      <c r="H875" s="35">
        <f t="shared" si="287"/>
        <v>10670.129999999997</v>
      </c>
      <c r="I875" s="35">
        <f t="shared" si="287"/>
        <v>10607.700000000004</v>
      </c>
      <c r="J875" s="35">
        <f t="shared" si="287"/>
        <v>10598.010000000006</v>
      </c>
      <c r="K875" s="35">
        <f t="shared" si="287"/>
        <v>10470.05999999999</v>
      </c>
      <c r="L875" s="35">
        <f t="shared" si="287"/>
        <v>10529.699999999993</v>
      </c>
      <c r="M875" s="36"/>
      <c r="N875" s="36"/>
      <c r="O875" s="36"/>
      <c r="P875" s="36"/>
      <c r="Q875" s="36"/>
      <c r="R875" s="37"/>
      <c r="S875" s="38"/>
      <c r="T875" s="56"/>
      <c r="V875" s="50"/>
      <c r="W875" s="50"/>
      <c r="X875" s="51"/>
      <c r="Y875" s="51"/>
      <c r="Z875" s="52"/>
      <c r="AA875" s="52"/>
    </row>
    <row r="876" spans="1:27" ht="15.75">
      <c r="A876" s="98">
        <v>43729</v>
      </c>
      <c r="B876" s="115" t="s">
        <v>429</v>
      </c>
      <c r="C876" s="26" t="s">
        <v>126</v>
      </c>
      <c r="D876" s="102">
        <v>29021.79</v>
      </c>
      <c r="E876" s="102">
        <v>28907.89</v>
      </c>
      <c r="F876" s="102">
        <v>28934.5</v>
      </c>
      <c r="G876" s="102">
        <v>28912.3</v>
      </c>
      <c r="H876" s="102">
        <v>29041.55</v>
      </c>
      <c r="I876" s="102">
        <v>28988.400000000001</v>
      </c>
      <c r="J876" s="102">
        <v>28888.84</v>
      </c>
      <c r="K876" s="102">
        <v>28903.7</v>
      </c>
      <c r="L876" s="102">
        <v>29040.15</v>
      </c>
      <c r="M876" s="27">
        <f>IF((L877=""),"",MAX(D878:L878))</f>
        <v>10284.420000000009</v>
      </c>
      <c r="N876" s="27">
        <f>IF(L877="","",MIN(D878:L878))</f>
        <v>10014.450000000004</v>
      </c>
      <c r="O876" s="27">
        <f>IF((L878=""),"",AVERAGE(D878:L878))</f>
        <v>10176.526666666668</v>
      </c>
      <c r="P876" s="27">
        <f>IF((L877=""),"",STDEV(D878:L878))</f>
        <v>98.471147804944238</v>
      </c>
      <c r="Q876" s="168">
        <f>IF((L877=""),"",((M876-N876)/(M876+P876))*100)</f>
        <v>2.6001428326355818</v>
      </c>
      <c r="R876" s="28" t="str">
        <f>IF(L877="","",IF(Q876&lt;Z876,IF(N876&gt;V876,IF(M876&lt;W876,"Pass","Fail"),"Fail"),"Fail"))</f>
        <v>Pass</v>
      </c>
      <c r="S876" s="29">
        <v>64</v>
      </c>
      <c r="T876" s="54" t="s">
        <v>380</v>
      </c>
      <c r="V876" s="53">
        <v>10000</v>
      </c>
      <c r="W876" s="22">
        <v>15600</v>
      </c>
      <c r="X876" s="40">
        <v>8090</v>
      </c>
      <c r="Y876" s="40">
        <v>12070</v>
      </c>
      <c r="Z876" s="49">
        <v>15</v>
      </c>
      <c r="AA876" s="49">
        <v>6</v>
      </c>
    </row>
    <row r="877" spans="1:27" ht="15.75">
      <c r="A877" s="96"/>
      <c r="B877" s="96"/>
      <c r="C877" s="30" t="s">
        <v>128</v>
      </c>
      <c r="D877" s="102">
        <v>25661.19</v>
      </c>
      <c r="E877" s="102">
        <v>25541.89</v>
      </c>
      <c r="F877" s="102">
        <v>25596.35</v>
      </c>
      <c r="G877" s="102">
        <v>25504.21</v>
      </c>
      <c r="H877" s="102">
        <v>25632.07</v>
      </c>
      <c r="I877" s="102">
        <v>25569.83</v>
      </c>
      <c r="J877" s="102">
        <v>25462.639999999999</v>
      </c>
      <c r="K877" s="102">
        <v>25529.35</v>
      </c>
      <c r="L877" s="102">
        <v>25612.01</v>
      </c>
      <c r="M877" s="31"/>
      <c r="N877" s="31"/>
      <c r="O877" s="31"/>
      <c r="P877" s="31"/>
      <c r="Q877" s="31"/>
      <c r="R877" s="32"/>
      <c r="S877" s="33"/>
      <c r="T877" s="55"/>
      <c r="V877" s="47"/>
      <c r="W877" s="47"/>
      <c r="X877" s="48"/>
      <c r="Y877" s="48"/>
      <c r="Z877" s="49"/>
      <c r="AA877" s="49"/>
    </row>
    <row r="878" spans="1:27" ht="13.5" thickBot="1">
      <c r="A878" s="98"/>
      <c r="B878" s="112"/>
      <c r="C878" s="34" t="s">
        <v>129</v>
      </c>
      <c r="D878" s="35">
        <f>IF(((D876="")*AND(D877="")),"",(D876-D877)*3)</f>
        <v>10081.800000000007</v>
      </c>
      <c r="E878" s="35">
        <f t="shared" ref="E878:L878" si="288">IF(((E876="")*AND(E877="")),"",(E876-E877)*3)</f>
        <v>10098</v>
      </c>
      <c r="F878" s="35">
        <f t="shared" si="288"/>
        <v>10014.450000000004</v>
      </c>
      <c r="G878" s="35">
        <f t="shared" si="288"/>
        <v>10224.27</v>
      </c>
      <c r="H878" s="35">
        <f t="shared" si="288"/>
        <v>10228.439999999999</v>
      </c>
      <c r="I878" s="35">
        <f t="shared" si="288"/>
        <v>10255.709999999999</v>
      </c>
      <c r="J878" s="35">
        <f t="shared" si="288"/>
        <v>10278.600000000002</v>
      </c>
      <c r="K878" s="35">
        <f t="shared" si="288"/>
        <v>10123.050000000007</v>
      </c>
      <c r="L878" s="35">
        <f t="shared" si="288"/>
        <v>10284.420000000009</v>
      </c>
      <c r="M878" s="36"/>
      <c r="N878" s="36"/>
      <c r="O878" s="36"/>
      <c r="P878" s="36"/>
      <c r="Q878" s="36"/>
      <c r="R878" s="37"/>
      <c r="S878" s="38"/>
      <c r="T878" s="56"/>
      <c r="V878" s="50"/>
      <c r="W878" s="50"/>
      <c r="X878" s="51"/>
      <c r="Y878" s="51"/>
      <c r="Z878" s="52"/>
      <c r="AA878" s="52"/>
    </row>
    <row r="879" spans="1:27" ht="15.75">
      <c r="A879" s="98">
        <v>43733</v>
      </c>
      <c r="B879" s="115" t="s">
        <v>429</v>
      </c>
      <c r="C879" s="26" t="s">
        <v>126</v>
      </c>
      <c r="D879">
        <v>29010.61</v>
      </c>
      <c r="E879">
        <v>28889.51</v>
      </c>
      <c r="F879">
        <v>28883.11</v>
      </c>
      <c r="G879">
        <v>28905.51</v>
      </c>
      <c r="H879">
        <v>29041.11</v>
      </c>
      <c r="I879">
        <v>29018.57</v>
      </c>
      <c r="J879">
        <v>28882.400000000001</v>
      </c>
      <c r="K879">
        <v>28887.3</v>
      </c>
      <c r="L879">
        <v>29045.360000000001</v>
      </c>
      <c r="M879" s="27">
        <f>IF((L880=""),"",MAX(D881:L881))</f>
        <v>10253.790000000001</v>
      </c>
      <c r="N879" s="27">
        <f>IF(L880="","",MIN(D881:L881))</f>
        <v>9552.75</v>
      </c>
      <c r="O879" s="27">
        <f>IF((L881=""),"",AVERAGE(D881:L881))</f>
        <v>9974.0166666666664</v>
      </c>
      <c r="P879" s="27">
        <f>IF((L880=""),"",STDEV(D881:L881))</f>
        <v>206.70068021176709</v>
      </c>
      <c r="Q879" s="168">
        <f>IF((L880=""),"",((M879-N879)/(M879+P879))*100)</f>
        <v>6.7017888685295279</v>
      </c>
      <c r="R879" s="28" t="str">
        <f>IF(L880="","",IF(Q879&lt;Z879,IF(N879&gt;V879,IF(M879&lt;W879,"Pass","Fail"),"Fail"),"Fail"))</f>
        <v>Fail</v>
      </c>
      <c r="S879" s="29">
        <v>1335</v>
      </c>
      <c r="T879" s="54"/>
      <c r="V879" s="53">
        <v>10000</v>
      </c>
      <c r="W879" s="22">
        <v>15600</v>
      </c>
      <c r="X879" s="40">
        <v>8090</v>
      </c>
      <c r="Y879" s="40">
        <v>12070</v>
      </c>
      <c r="Z879" s="49">
        <v>15</v>
      </c>
      <c r="AA879" s="49">
        <v>6</v>
      </c>
    </row>
    <row r="880" spans="1:27" ht="15.75">
      <c r="A880" s="96"/>
      <c r="B880" s="96"/>
      <c r="C880" s="30" t="s">
        <v>128</v>
      </c>
      <c r="D880">
        <v>25826.36</v>
      </c>
      <c r="E880">
        <v>25597.79</v>
      </c>
      <c r="F880">
        <v>25585</v>
      </c>
      <c r="G880">
        <v>25544.37</v>
      </c>
      <c r="H880">
        <v>25647.4</v>
      </c>
      <c r="I880">
        <v>25600.639999999999</v>
      </c>
      <c r="J880">
        <v>25524.3</v>
      </c>
      <c r="K880">
        <v>25574.43</v>
      </c>
      <c r="L880">
        <v>25741.14</v>
      </c>
      <c r="M880" s="31"/>
      <c r="N880" s="31"/>
      <c r="O880" s="31"/>
      <c r="P880" s="31"/>
      <c r="Q880" s="31"/>
      <c r="R880" s="32"/>
      <c r="S880" s="33"/>
      <c r="T880" s="55"/>
      <c r="V880" s="47"/>
      <c r="W880" s="47"/>
      <c r="X880" s="48"/>
      <c r="Y880" s="48"/>
      <c r="Z880" s="49"/>
      <c r="AA880" s="49"/>
    </row>
    <row r="881" spans="1:27" ht="13.5" thickBot="1">
      <c r="A881" s="98"/>
      <c r="B881" s="112"/>
      <c r="C881" s="34" t="s">
        <v>129</v>
      </c>
      <c r="D881" s="35">
        <f>IF(((D879="")*AND(D880="")),"",(D879-D880)*3)</f>
        <v>9552.75</v>
      </c>
      <c r="E881" s="35">
        <f t="shared" ref="E881:L881" si="289">IF(((E879="")*AND(E880="")),"",(E879-E880)*3)</f>
        <v>9875.1599999999926</v>
      </c>
      <c r="F881" s="35">
        <f t="shared" si="289"/>
        <v>9894.3300000000017</v>
      </c>
      <c r="G881" s="35">
        <f t="shared" si="289"/>
        <v>10083.419999999998</v>
      </c>
      <c r="H881" s="35">
        <f t="shared" si="289"/>
        <v>10181.129999999997</v>
      </c>
      <c r="I881" s="35">
        <f t="shared" si="289"/>
        <v>10253.790000000001</v>
      </c>
      <c r="J881" s="35">
        <f t="shared" si="289"/>
        <v>10074.300000000007</v>
      </c>
      <c r="K881" s="35">
        <f t="shared" si="289"/>
        <v>9938.6099999999969</v>
      </c>
      <c r="L881" s="35">
        <f t="shared" si="289"/>
        <v>9912.6600000000035</v>
      </c>
      <c r="M881" s="36"/>
      <c r="N881" s="36"/>
      <c r="O881" s="36"/>
      <c r="P881" s="36"/>
      <c r="Q881" s="36"/>
      <c r="R881" s="37"/>
      <c r="S881" s="38"/>
      <c r="T881" s="56"/>
      <c r="V881" s="50"/>
      <c r="W881" s="50"/>
      <c r="X881" s="51"/>
      <c r="Y881" s="51"/>
      <c r="Z881" s="52"/>
      <c r="AA881" s="52"/>
    </row>
    <row r="882" spans="1:27" ht="15.75">
      <c r="A882" s="98">
        <v>43734</v>
      </c>
      <c r="B882" s="115" t="s">
        <v>429</v>
      </c>
      <c r="C882" s="26" t="s">
        <v>126</v>
      </c>
      <c r="D882">
        <v>29185.599999999999</v>
      </c>
      <c r="E882">
        <v>29185.52</v>
      </c>
      <c r="F882">
        <v>29097.16</v>
      </c>
      <c r="G882">
        <v>29116.41</v>
      </c>
      <c r="H882">
        <v>29162.25</v>
      </c>
      <c r="I882">
        <v>29233.85</v>
      </c>
      <c r="J882">
        <v>29144.66</v>
      </c>
      <c r="K882">
        <v>29148.38</v>
      </c>
      <c r="L882">
        <v>29237.42</v>
      </c>
      <c r="M882" s="27">
        <f>IF((L883=""),"",MAX(D884:L884))</f>
        <v>11056.71</v>
      </c>
      <c r="N882" s="27">
        <f>IF(L883="","",MIN(D884:L884))</f>
        <v>10430.549999999996</v>
      </c>
      <c r="O882" s="27">
        <f>IF((L884=""),"",AVERAGE(D884:L884))</f>
        <v>10662.843333333332</v>
      </c>
      <c r="P882" s="27">
        <f>IF((L883=""),"",STDEV(D884:L884))</f>
        <v>172.87199570771025</v>
      </c>
      <c r="Q882" s="168">
        <f>IF((L883=""),"",((M882-N882)/(M882+P882))*100)</f>
        <v>5.5759867129456913</v>
      </c>
      <c r="R882" s="28" t="str">
        <f>IF(L883="","",IF(Q882&lt;Z882,IF(N882&gt;V882,IF(M882&lt;W882,"Pass","Fail"),"Fail"),"Fail"))</f>
        <v>Pass</v>
      </c>
      <c r="S882" s="29">
        <v>1159</v>
      </c>
      <c r="T882" s="49" t="s">
        <v>384</v>
      </c>
      <c r="V882" s="53">
        <v>10000</v>
      </c>
      <c r="W882" s="22">
        <v>15600</v>
      </c>
      <c r="X882" s="40">
        <v>8090</v>
      </c>
      <c r="Y882" s="40">
        <v>12070</v>
      </c>
      <c r="Z882" s="49">
        <v>15</v>
      </c>
      <c r="AA882" s="49">
        <v>6</v>
      </c>
    </row>
    <row r="883" spans="1:27" ht="15.75">
      <c r="A883" s="96"/>
      <c r="B883" s="96"/>
      <c r="C883" s="30" t="s">
        <v>128</v>
      </c>
      <c r="D883">
        <v>25660.62</v>
      </c>
      <c r="E883">
        <v>25663.47</v>
      </c>
      <c r="F883">
        <v>25620.31</v>
      </c>
      <c r="G883">
        <v>25577.53</v>
      </c>
      <c r="H883">
        <v>25476.68</v>
      </c>
      <c r="I883">
        <v>25696.46</v>
      </c>
      <c r="J883">
        <v>25562.18</v>
      </c>
      <c r="K883">
        <v>25583.34</v>
      </c>
      <c r="L883">
        <v>25682.13</v>
      </c>
      <c r="M883" s="31"/>
      <c r="N883" s="31"/>
      <c r="O883" s="31"/>
      <c r="P883" s="31"/>
      <c r="Q883" s="31"/>
      <c r="R883" s="32"/>
      <c r="S883" s="33"/>
      <c r="V883" s="47"/>
      <c r="W883" s="47"/>
      <c r="X883" s="48"/>
      <c r="Y883" s="48"/>
      <c r="Z883" s="49"/>
      <c r="AA883" s="49"/>
    </row>
    <row r="884" spans="1:27" ht="13.5" thickBot="1">
      <c r="A884" s="98"/>
      <c r="B884" s="112"/>
      <c r="C884" s="34" t="s">
        <v>129</v>
      </c>
      <c r="D884" s="35">
        <f>IF(((D882="")*AND(D883="")),"",(D882-D883)*3)</f>
        <v>10574.939999999999</v>
      </c>
      <c r="E884" s="35">
        <f t="shared" ref="E884:L884" si="290">IF(((E882="")*AND(E883="")),"",(E882-E883)*3)</f>
        <v>10566.149999999998</v>
      </c>
      <c r="F884" s="35">
        <f t="shared" si="290"/>
        <v>10430.549999999996</v>
      </c>
      <c r="G884" s="35">
        <f t="shared" si="290"/>
        <v>10616.640000000003</v>
      </c>
      <c r="H884" s="35">
        <f t="shared" si="290"/>
        <v>11056.71</v>
      </c>
      <c r="I884" s="35">
        <f t="shared" si="290"/>
        <v>10612.169999999998</v>
      </c>
      <c r="J884" s="35">
        <f t="shared" si="290"/>
        <v>10747.439999999999</v>
      </c>
      <c r="K884" s="35">
        <f t="shared" si="290"/>
        <v>10695.120000000003</v>
      </c>
      <c r="L884" s="35">
        <f t="shared" si="290"/>
        <v>10665.869999999992</v>
      </c>
      <c r="M884" s="36"/>
      <c r="N884" s="36"/>
      <c r="O884" s="36"/>
      <c r="P884" s="36"/>
      <c r="Q884" s="36"/>
      <c r="R884" s="37"/>
      <c r="S884" s="38"/>
      <c r="V884" s="50"/>
      <c r="W884" s="50"/>
      <c r="X884" s="51"/>
      <c r="Y884" s="51"/>
      <c r="Z884" s="52"/>
      <c r="AA884" s="52"/>
    </row>
    <row r="885" spans="1:27" ht="15.75">
      <c r="A885" s="39">
        <v>43738</v>
      </c>
      <c r="B885" s="115" t="s">
        <v>429</v>
      </c>
      <c r="C885" s="26" t="s">
        <v>126</v>
      </c>
      <c r="D885">
        <v>29043.4</v>
      </c>
      <c r="E885">
        <v>28919.88</v>
      </c>
      <c r="F885">
        <v>28867.48</v>
      </c>
      <c r="G885">
        <v>28897.79</v>
      </c>
      <c r="H885">
        <v>29012.73</v>
      </c>
      <c r="I885">
        <v>29025.25</v>
      </c>
      <c r="J885">
        <v>28904.639999999999</v>
      </c>
      <c r="K885">
        <v>28907.07</v>
      </c>
      <c r="L885">
        <v>29043.58</v>
      </c>
      <c r="M885" s="27">
        <f>IF((L886=""),"",MAX(D887:L887))</f>
        <v>11364.600000000002</v>
      </c>
      <c r="N885" s="27">
        <f>IF(L886="","",MIN(D887:L887))</f>
        <v>10621.169999999998</v>
      </c>
      <c r="O885" s="27">
        <f>IF((L887=""),"",AVERAGE(D887:L887))</f>
        <v>11101.206666666671</v>
      </c>
      <c r="P885" s="27">
        <f>IF((L886=""),"",STDEV(D887:L887))</f>
        <v>223.51497824520979</v>
      </c>
      <c r="Q885" s="168">
        <f>IF((L886=""),"",((M885-N885)/(M885+P885))*100)</f>
        <v>6.4154523958009735</v>
      </c>
      <c r="R885" s="28" t="str">
        <f>IF(L886="","",IF(Q885&lt;Z885,IF(N885&gt;V885,IF(M885&lt;W885,"Pass","Fail"),"Fail"),"Fail"))</f>
        <v>Pass</v>
      </c>
      <c r="S885" s="29">
        <v>121</v>
      </c>
      <c r="T885" s="49" t="s">
        <v>386</v>
      </c>
      <c r="V885" s="53">
        <v>10000</v>
      </c>
      <c r="W885" s="22">
        <v>15600</v>
      </c>
      <c r="X885" s="40">
        <v>8090</v>
      </c>
      <c r="Y885" s="40">
        <v>12070</v>
      </c>
      <c r="Z885" s="49">
        <v>15</v>
      </c>
      <c r="AA885" s="49">
        <v>6</v>
      </c>
    </row>
    <row r="886" spans="1:27" ht="15.75">
      <c r="A886" s="96"/>
      <c r="B886" s="96"/>
      <c r="C886" s="30" t="s">
        <v>128</v>
      </c>
      <c r="D886">
        <v>25255.200000000001</v>
      </c>
      <c r="E886">
        <v>25162.79</v>
      </c>
      <c r="F886">
        <v>25179.18</v>
      </c>
      <c r="G886">
        <v>25245.06</v>
      </c>
      <c r="H886">
        <v>25472.34</v>
      </c>
      <c r="I886">
        <v>25348.57</v>
      </c>
      <c r="J886">
        <v>25202.46</v>
      </c>
      <c r="K886">
        <v>25167.23</v>
      </c>
      <c r="L886">
        <v>25285.37</v>
      </c>
      <c r="M886" s="31"/>
      <c r="N886" s="31"/>
      <c r="O886" s="31"/>
      <c r="P886" s="31"/>
      <c r="Q886" s="31"/>
      <c r="R886" s="32"/>
      <c r="S886" s="33"/>
      <c r="V886" s="47"/>
      <c r="W886" s="47"/>
      <c r="X886" s="48"/>
      <c r="Y886" s="48"/>
      <c r="Z886" s="49"/>
      <c r="AA886" s="49"/>
    </row>
    <row r="887" spans="1:27" ht="13.5" thickBot="1">
      <c r="A887" s="98"/>
      <c r="B887" s="112"/>
      <c r="C887" s="34" t="s">
        <v>129</v>
      </c>
      <c r="D887" s="35">
        <f>IF(((D885="")*AND(D886="")),"",(D885-D886)*3)</f>
        <v>11364.600000000002</v>
      </c>
      <c r="E887" s="35">
        <f t="shared" ref="E887:L887" si="291">IF(((E885="")*AND(E886="")),"",(E885-E886)*3)</f>
        <v>11271.27</v>
      </c>
      <c r="F887" s="35">
        <f t="shared" si="291"/>
        <v>11064.899999999998</v>
      </c>
      <c r="G887" s="35">
        <f t="shared" si="291"/>
        <v>10958.189999999999</v>
      </c>
      <c r="H887" s="35">
        <f t="shared" si="291"/>
        <v>10621.169999999998</v>
      </c>
      <c r="I887" s="35">
        <f t="shared" si="291"/>
        <v>11030.04</v>
      </c>
      <c r="J887" s="35">
        <f t="shared" si="291"/>
        <v>11106.54</v>
      </c>
      <c r="K887" s="35">
        <f t="shared" si="291"/>
        <v>11219.52</v>
      </c>
      <c r="L887" s="35">
        <f t="shared" si="291"/>
        <v>11274.630000000008</v>
      </c>
      <c r="M887" s="36"/>
      <c r="N887" s="36"/>
      <c r="O887" s="36"/>
      <c r="P887" s="36"/>
      <c r="Q887" s="36"/>
      <c r="R887" s="37"/>
      <c r="S887" s="38"/>
      <c r="V887" s="50"/>
      <c r="W887" s="50"/>
      <c r="X887" s="51"/>
      <c r="Y887" s="51"/>
      <c r="Z887" s="52"/>
      <c r="AA887" s="52"/>
    </row>
    <row r="888" spans="1:27" ht="15.75">
      <c r="A888" s="39">
        <v>43742</v>
      </c>
      <c r="B888" s="115" t="s">
        <v>429</v>
      </c>
      <c r="C888" s="26" t="s">
        <v>126</v>
      </c>
      <c r="D888">
        <v>29044.32</v>
      </c>
      <c r="E888">
        <v>28908.86</v>
      </c>
      <c r="F888">
        <v>28913.26</v>
      </c>
      <c r="G888">
        <v>28886</v>
      </c>
      <c r="H888">
        <v>28999.07</v>
      </c>
      <c r="I888">
        <v>29000.53</v>
      </c>
      <c r="J888">
        <v>28888.35</v>
      </c>
      <c r="K888">
        <v>28894.81</v>
      </c>
      <c r="L888">
        <v>29041.23</v>
      </c>
      <c r="M888" s="27">
        <f>IF((L889=""),"",MAX(D890:L890))</f>
        <v>12064.080000000002</v>
      </c>
      <c r="N888" s="27">
        <f>IF(L889="","",MIN(D890:L890))</f>
        <v>11272.049999999996</v>
      </c>
      <c r="O888" s="27">
        <f>IF((L890=""),"",AVERAGE(D890:L890))</f>
        <v>11769.309999999998</v>
      </c>
      <c r="P888" s="27">
        <f>IF((L889=""),"",STDEV(D890:L890))</f>
        <v>261.00028491364333</v>
      </c>
      <c r="Q888" s="168">
        <f>IF((L889=""),"",((M888-N888)/(M888+P888))*100)</f>
        <v>6.4261650365838197</v>
      </c>
      <c r="R888" s="28" t="str">
        <f>IF(L889="","",IF(Q888&lt;Z888,IF(N888&gt;V888,IF(M888&lt;W888,"Pass","Fail"),"Fail"),"Fail"))</f>
        <v>Pass</v>
      </c>
      <c r="S888" s="29">
        <v>121</v>
      </c>
      <c r="T888" s="49" t="s">
        <v>388</v>
      </c>
      <c r="V888" s="53">
        <v>10000</v>
      </c>
      <c r="W888" s="22">
        <v>15600</v>
      </c>
      <c r="X888" s="40">
        <v>8090</v>
      </c>
      <c r="Y888" s="40">
        <v>12070</v>
      </c>
      <c r="Z888" s="49">
        <v>15</v>
      </c>
      <c r="AA888" s="49">
        <v>6</v>
      </c>
    </row>
    <row r="889" spans="1:27" ht="15.75">
      <c r="A889" s="96"/>
      <c r="B889" s="96"/>
      <c r="C889" s="30" t="s">
        <v>128</v>
      </c>
      <c r="D889">
        <v>25047.83</v>
      </c>
      <c r="E889">
        <v>24915.89</v>
      </c>
      <c r="F889">
        <v>25047.74</v>
      </c>
      <c r="G889">
        <v>25001.279999999999</v>
      </c>
      <c r="H889">
        <v>25241.72</v>
      </c>
      <c r="I889">
        <v>25131.61</v>
      </c>
      <c r="J889">
        <v>24964.55</v>
      </c>
      <c r="K889">
        <v>24898.01</v>
      </c>
      <c r="L889">
        <v>25019.87</v>
      </c>
      <c r="M889" s="31"/>
      <c r="N889" s="31"/>
      <c r="O889" s="31"/>
      <c r="P889" s="31"/>
      <c r="Q889" s="31"/>
      <c r="R889" s="32"/>
      <c r="S889" s="33"/>
      <c r="V889" s="47"/>
      <c r="W889" s="47"/>
      <c r="X889" s="48"/>
      <c r="Y889" s="48"/>
      <c r="Z889" s="49"/>
      <c r="AA889" s="49"/>
    </row>
    <row r="890" spans="1:27" ht="13.5" thickBot="1">
      <c r="A890" s="98"/>
      <c r="B890" s="112"/>
      <c r="C890" s="34" t="s">
        <v>129</v>
      </c>
      <c r="D890" s="35">
        <f>IF(((D888="")*AND(D889="")),"",(D888-D889)*3)</f>
        <v>11989.469999999994</v>
      </c>
      <c r="E890" s="35">
        <f t="shared" ref="E890:L890" si="292">IF(((E888="")*AND(E889="")),"",(E888-E889)*3)</f>
        <v>11978.910000000003</v>
      </c>
      <c r="F890" s="35">
        <f t="shared" si="292"/>
        <v>11596.55999999999</v>
      </c>
      <c r="G890" s="35">
        <f t="shared" si="292"/>
        <v>11654.160000000003</v>
      </c>
      <c r="H890" s="35">
        <f t="shared" si="292"/>
        <v>11272.049999999996</v>
      </c>
      <c r="I890" s="35">
        <f t="shared" si="292"/>
        <v>11606.759999999995</v>
      </c>
      <c r="J890" s="35">
        <f t="shared" si="292"/>
        <v>11771.399999999998</v>
      </c>
      <c r="K890" s="35">
        <f t="shared" si="292"/>
        <v>11990.400000000009</v>
      </c>
      <c r="L890" s="35">
        <f t="shared" si="292"/>
        <v>12064.080000000002</v>
      </c>
      <c r="M890" s="36"/>
      <c r="N890" s="36"/>
      <c r="O890" s="36"/>
      <c r="P890" s="36"/>
      <c r="Q890" s="36"/>
      <c r="R890" s="37"/>
      <c r="S890" s="38"/>
      <c r="V890" s="50"/>
      <c r="W890" s="50"/>
      <c r="X890" s="51"/>
      <c r="Y890" s="51"/>
      <c r="Z890" s="52"/>
      <c r="AA890" s="52"/>
    </row>
    <row r="891" spans="1:27" ht="15.75">
      <c r="A891" s="39">
        <v>43747</v>
      </c>
      <c r="B891" s="115" t="s">
        <v>429</v>
      </c>
      <c r="C891" s="26" t="s">
        <v>126</v>
      </c>
      <c r="D891">
        <v>28811.87</v>
      </c>
      <c r="E891">
        <v>28695.63</v>
      </c>
      <c r="F891">
        <v>28680.080000000002</v>
      </c>
      <c r="G891">
        <v>28701.43</v>
      </c>
      <c r="H891">
        <v>28827.68</v>
      </c>
      <c r="I891">
        <v>28818.51</v>
      </c>
      <c r="J891">
        <v>28691.42</v>
      </c>
      <c r="K891">
        <v>28693.58</v>
      </c>
      <c r="L891">
        <v>28793.29</v>
      </c>
      <c r="M891" s="27">
        <f>IF((L892=""),"",MAX(D893:L893))</f>
        <v>10883.819999999996</v>
      </c>
      <c r="N891" s="27">
        <f>IF(L892="","",MIN(D893:L893))</f>
        <v>10250.669999999998</v>
      </c>
      <c r="O891" s="27">
        <f>IF((L893=""),"",AVERAGE(D893:L893))</f>
        <v>10633.66</v>
      </c>
      <c r="P891" s="27">
        <f>IF((L892=""),"",STDEV(D893:L893))</f>
        <v>221.22848132640016</v>
      </c>
      <c r="Q891" s="168">
        <f>IF((L892=""),"",((M891-N891)/(M891+P891))*100)</f>
        <v>5.7014609262144695</v>
      </c>
      <c r="R891" s="28" t="str">
        <f>IF(L892="","",IF(Q891&lt;Z891,IF(N891&gt;V891,IF(M891&lt;W891,"Pass","Fail"),"Fail"),"Fail"))</f>
        <v>Pass</v>
      </c>
      <c r="S891" s="29">
        <v>1335</v>
      </c>
      <c r="T891" s="49" t="s">
        <v>390</v>
      </c>
      <c r="V891" s="53">
        <v>10000</v>
      </c>
      <c r="W891" s="22">
        <v>15600</v>
      </c>
      <c r="X891" s="40">
        <v>8090</v>
      </c>
      <c r="Y891" s="40">
        <v>12070</v>
      </c>
      <c r="Z891" s="49">
        <v>15</v>
      </c>
      <c r="AA891" s="49">
        <v>6</v>
      </c>
    </row>
    <row r="892" spans="1:27" ht="15.75">
      <c r="A892" s="96"/>
      <c r="B892" s="96"/>
      <c r="C892" s="30" t="s">
        <v>128</v>
      </c>
      <c r="D892">
        <v>25183.93</v>
      </c>
      <c r="E892">
        <v>25088.54</v>
      </c>
      <c r="F892">
        <v>25218.26</v>
      </c>
      <c r="G892">
        <v>25189.200000000001</v>
      </c>
      <c r="H892">
        <v>25410.79</v>
      </c>
      <c r="I892">
        <v>25300.639999999999</v>
      </c>
      <c r="J892">
        <v>25147.06</v>
      </c>
      <c r="K892">
        <v>25094</v>
      </c>
      <c r="L892">
        <v>25180.09</v>
      </c>
      <c r="M892" s="31"/>
      <c r="N892" s="31"/>
      <c r="O892" s="31"/>
      <c r="P892" s="31"/>
      <c r="Q892" s="31"/>
      <c r="R892" s="32"/>
      <c r="S892" s="33"/>
    </row>
    <row r="893" spans="1:27" ht="13.5" thickBot="1">
      <c r="A893" s="98"/>
      <c r="B893" s="112"/>
      <c r="C893" s="34" t="s">
        <v>129</v>
      </c>
      <c r="D893" s="35">
        <f>IF(((D891="")*AND(D892="")),"",(D891-D892)*3)</f>
        <v>10883.819999999996</v>
      </c>
      <c r="E893" s="35">
        <f t="shared" ref="E893:L893" si="293">IF(((E891="")*AND(E892="")),"",(E891-E892)*3)</f>
        <v>10821.27</v>
      </c>
      <c r="F893" s="35">
        <f t="shared" si="293"/>
        <v>10385.46000000001</v>
      </c>
      <c r="G893" s="35">
        <f t="shared" si="293"/>
        <v>10536.689999999999</v>
      </c>
      <c r="H893" s="35">
        <f t="shared" si="293"/>
        <v>10250.669999999998</v>
      </c>
      <c r="I893" s="35">
        <f t="shared" si="293"/>
        <v>10553.609999999997</v>
      </c>
      <c r="J893" s="35">
        <f t="shared" si="293"/>
        <v>10633.079999999991</v>
      </c>
      <c r="K893" s="35">
        <f t="shared" si="293"/>
        <v>10798.740000000005</v>
      </c>
      <c r="L893" s="35">
        <f t="shared" si="293"/>
        <v>10839.600000000002</v>
      </c>
      <c r="M893" s="36"/>
      <c r="N893" s="36"/>
      <c r="O893" s="36"/>
      <c r="P893" s="36"/>
      <c r="Q893" s="36"/>
      <c r="R893" s="37"/>
      <c r="S893" s="38"/>
    </row>
    <row r="894" spans="1:27" ht="15.75">
      <c r="A894" s="39">
        <v>43752</v>
      </c>
      <c r="B894" s="115" t="s">
        <v>429</v>
      </c>
      <c r="C894" s="26" t="s">
        <v>126</v>
      </c>
      <c r="D894">
        <v>28797.71</v>
      </c>
      <c r="E894">
        <v>28662.82</v>
      </c>
      <c r="F894">
        <v>28655.78</v>
      </c>
      <c r="G894">
        <v>28659.119999999999</v>
      </c>
      <c r="H894">
        <v>28753.71</v>
      </c>
      <c r="I894">
        <v>28766.35</v>
      </c>
      <c r="J894">
        <v>29035.59</v>
      </c>
      <c r="K894">
        <v>28665.84</v>
      </c>
      <c r="L894">
        <v>28803.16</v>
      </c>
      <c r="M894" s="27">
        <f>IF((L895=""),"",MAX(D896:L896))</f>
        <v>11126.04</v>
      </c>
      <c r="N894" s="27">
        <f>IF(L895="","",MIN(D896:L896))</f>
        <v>9164.73</v>
      </c>
      <c r="O894" s="27">
        <f>IF((L896=""),"",AVERAGE(D896:L896))</f>
        <v>9739.6666666666661</v>
      </c>
      <c r="P894" s="27">
        <f>IF((L895=""),"",STDEV(D896:L896))</f>
        <v>553.73223362016722</v>
      </c>
      <c r="Q894" s="168">
        <f>IF((L895=""),"",((M894-N894)/(M894+P894))*100)</f>
        <v>16.792365131525251</v>
      </c>
      <c r="R894" s="28" t="str">
        <f>IF(L895="","",IF(Q894&lt;Z894,IF(N894&gt;V894,IF(M894&lt;W894,"Pass","Fail"),"Fail"),"Fail"))</f>
        <v>Fail</v>
      </c>
      <c r="S894" s="29">
        <v>1340</v>
      </c>
      <c r="V894" s="53">
        <v>10000</v>
      </c>
      <c r="W894" s="22">
        <v>15600</v>
      </c>
      <c r="X894" s="40">
        <v>8090</v>
      </c>
      <c r="Y894" s="40">
        <v>12070</v>
      </c>
      <c r="Z894" s="49">
        <v>15</v>
      </c>
      <c r="AA894" s="49">
        <v>6</v>
      </c>
    </row>
    <row r="895" spans="1:27" ht="15.75">
      <c r="A895" s="96"/>
      <c r="B895" s="96"/>
      <c r="C895" s="30" t="s">
        <v>128</v>
      </c>
      <c r="D895">
        <v>25742.799999999999</v>
      </c>
      <c r="E895">
        <v>25514.12</v>
      </c>
      <c r="F895">
        <v>25491.33</v>
      </c>
      <c r="G895">
        <v>25420.94</v>
      </c>
      <c r="H895">
        <v>25506.3</v>
      </c>
      <c r="I895">
        <v>25498.61</v>
      </c>
      <c r="J895">
        <v>25326.91</v>
      </c>
      <c r="K895">
        <v>25471.38</v>
      </c>
      <c r="L895">
        <v>25608.69</v>
      </c>
      <c r="M895" s="31"/>
      <c r="N895" s="31"/>
      <c r="O895" s="31"/>
      <c r="P895" s="31"/>
      <c r="Q895" s="31"/>
      <c r="R895" s="32"/>
      <c r="S895" s="33"/>
    </row>
    <row r="896" spans="1:27" ht="13.5" thickBot="1">
      <c r="A896" s="98"/>
      <c r="B896" s="112"/>
      <c r="C896" s="34" t="s">
        <v>129</v>
      </c>
      <c r="D896" s="35">
        <f>IF(((D894="")*AND(D895="")),"",(D894-D895)*3)</f>
        <v>9164.73</v>
      </c>
      <c r="E896" s="35">
        <f t="shared" ref="E896:L896" si="294">IF(((E894="")*AND(E895="")),"",(E894-E895)*3)</f>
        <v>9446.1000000000022</v>
      </c>
      <c r="F896" s="35">
        <f t="shared" si="294"/>
        <v>9493.3499999999913</v>
      </c>
      <c r="G896" s="35">
        <f t="shared" si="294"/>
        <v>9714.5400000000009</v>
      </c>
      <c r="H896" s="35">
        <f t="shared" si="294"/>
        <v>9742.23</v>
      </c>
      <c r="I896" s="35">
        <f t="shared" si="294"/>
        <v>9803.2199999999939</v>
      </c>
      <c r="J896" s="35">
        <f t="shared" si="294"/>
        <v>11126.04</v>
      </c>
      <c r="K896" s="35">
        <f t="shared" si="294"/>
        <v>9583.3799999999974</v>
      </c>
      <c r="L896" s="35">
        <f t="shared" si="294"/>
        <v>9583.4100000000035</v>
      </c>
      <c r="M896" s="36"/>
      <c r="N896" s="36"/>
      <c r="O896" s="36"/>
      <c r="P896" s="36"/>
      <c r="Q896" s="36"/>
      <c r="R896" s="37"/>
      <c r="S896" s="38"/>
    </row>
    <row r="897" spans="1:27" ht="15.75">
      <c r="A897" s="39">
        <v>43752</v>
      </c>
      <c r="B897" s="115" t="s">
        <v>429</v>
      </c>
      <c r="C897" s="26" t="s">
        <v>126</v>
      </c>
      <c r="D897">
        <v>29400.97</v>
      </c>
      <c r="E897">
        <v>29282.73</v>
      </c>
      <c r="F897">
        <v>29288.32</v>
      </c>
      <c r="G897">
        <v>29277.23</v>
      </c>
      <c r="H897">
        <v>29393.63</v>
      </c>
      <c r="I897">
        <v>29355.71</v>
      </c>
      <c r="J897">
        <v>29264.51</v>
      </c>
      <c r="K897">
        <v>29269.54</v>
      </c>
      <c r="L897">
        <v>29416.46</v>
      </c>
      <c r="M897" s="27">
        <f>IF((L898=""),"",MAX(D899:L899))</f>
        <v>12076.679999999993</v>
      </c>
      <c r="N897" s="27">
        <f>IF(L898="","",MIN(D899:L899))</f>
        <v>11461.29</v>
      </c>
      <c r="O897" s="27">
        <f>IF((L899=""),"",AVERAGE(D899:L899))</f>
        <v>11857.702499999998</v>
      </c>
      <c r="P897" s="27">
        <f>IF((L898=""),"",STDEV(D899:L899))</f>
        <v>196.39610694067443</v>
      </c>
      <c r="Q897" s="168">
        <f>IF((L898=""),"",((M897-N897)/(M897+P897))*100)</f>
        <v>5.0141463691566042</v>
      </c>
      <c r="R897" s="28" t="str">
        <f>IF(L898="","",IF(Q897&lt;Z897,IF(N897&gt;V897,IF(M897&lt;W897,"Pass","Fail"),"Fail"),"Fail"))</f>
        <v>Pass</v>
      </c>
      <c r="S897" s="29">
        <v>1340</v>
      </c>
      <c r="T897" s="49" t="s">
        <v>392</v>
      </c>
      <c r="V897" s="53">
        <v>10000</v>
      </c>
      <c r="W897" s="22">
        <v>15600</v>
      </c>
      <c r="X897" s="40">
        <v>8090</v>
      </c>
      <c r="Y897" s="40">
        <v>12070</v>
      </c>
      <c r="Z897" s="49">
        <v>15</v>
      </c>
      <c r="AA897" s="49">
        <v>6</v>
      </c>
    </row>
    <row r="898" spans="1:27" ht="15.75">
      <c r="A898" s="96"/>
      <c r="B898" s="113"/>
      <c r="D898">
        <v>25580.54</v>
      </c>
      <c r="E898">
        <v>25358.06</v>
      </c>
      <c r="F898">
        <v>25381.83</v>
      </c>
      <c r="G898">
        <v>25287.46</v>
      </c>
      <c r="H898">
        <v>25394.16</v>
      </c>
      <c r="I898">
        <v>25330.15</v>
      </c>
      <c r="J898">
        <v>25275.52</v>
      </c>
      <c r="K898">
        <v>25319.1</v>
      </c>
      <c r="L898">
        <v>25477.07</v>
      </c>
      <c r="M898" s="31"/>
      <c r="N898" s="31"/>
      <c r="O898" s="31"/>
      <c r="P898" s="31"/>
      <c r="Q898" s="31"/>
      <c r="R898" s="32"/>
      <c r="S898" s="33"/>
    </row>
    <row r="899" spans="1:27" ht="13.5" thickBot="1">
      <c r="A899" s="98"/>
      <c r="B899" s="112"/>
      <c r="C899" s="34" t="s">
        <v>129</v>
      </c>
      <c r="D899" s="35">
        <f>IF(((D897="")*AND(D898="")),"",(D897-D898)*3)</f>
        <v>11461.29</v>
      </c>
      <c r="E899" s="30" t="s">
        <v>128</v>
      </c>
      <c r="F899" s="35">
        <f t="shared" ref="F899:L899" si="295">IF(((F897="")*AND(F898="")),"",(F897-F898)*3)</f>
        <v>11719.469999999994</v>
      </c>
      <c r="G899" s="35">
        <f t="shared" si="295"/>
        <v>11969.310000000001</v>
      </c>
      <c r="H899" s="35">
        <f t="shared" si="295"/>
        <v>11998.410000000003</v>
      </c>
      <c r="I899" s="35">
        <f t="shared" si="295"/>
        <v>12076.679999999993</v>
      </c>
      <c r="J899" s="35">
        <f t="shared" si="295"/>
        <v>11966.969999999994</v>
      </c>
      <c r="K899" s="35">
        <f t="shared" si="295"/>
        <v>11851.320000000007</v>
      </c>
      <c r="L899" s="35">
        <f t="shared" si="295"/>
        <v>11818.169999999998</v>
      </c>
      <c r="M899" s="36"/>
      <c r="N899" s="36"/>
      <c r="O899" s="36"/>
      <c r="P899" s="36"/>
      <c r="Q899" s="36"/>
      <c r="R899" s="37"/>
      <c r="S899" s="38"/>
    </row>
    <row r="900" spans="1:27" ht="15.75">
      <c r="A900" s="39">
        <v>43756</v>
      </c>
      <c r="B900" s="115" t="s">
        <v>429</v>
      </c>
      <c r="C900" s="26" t="s">
        <v>126</v>
      </c>
      <c r="D900">
        <v>29304.89</v>
      </c>
      <c r="E900">
        <v>29148.93</v>
      </c>
      <c r="F900">
        <v>29140.86</v>
      </c>
      <c r="G900">
        <v>29142.28</v>
      </c>
      <c r="H900">
        <v>29265.3</v>
      </c>
      <c r="I900">
        <v>29229.439999999999</v>
      </c>
      <c r="J900">
        <v>29130.25</v>
      </c>
      <c r="K900">
        <v>29160.43</v>
      </c>
      <c r="L900">
        <v>29281.69</v>
      </c>
      <c r="M900" s="27">
        <f>IF((L901=""),"",MAX(D902:L902))</f>
        <v>11731.259999999995</v>
      </c>
      <c r="N900" s="27">
        <f>IF(L901="","",MIN(D902:L902))</f>
        <v>10984.169999999998</v>
      </c>
      <c r="O900" s="27">
        <f>IF((L902=""),"",AVERAGE(D902:L902))</f>
        <v>11413.129999999997</v>
      </c>
      <c r="P900" s="27">
        <f>IF((L901=""),"",STDEV(D902:L902))</f>
        <v>225.87091545836961</v>
      </c>
      <c r="Q900" s="168">
        <f>IF((L901=""),"",((M900-N900)/(M900+P900))*100)</f>
        <v>6.2480707561221642</v>
      </c>
      <c r="R900" s="28" t="str">
        <f>IF(L901="","",IF(Q900&lt;Z900,IF(N900&gt;V900,IF(M900&lt;W900,"Pass","Fail"),"Fail"),"Fail"))</f>
        <v>Pass</v>
      </c>
      <c r="S900" s="29">
        <v>1340</v>
      </c>
      <c r="T900" s="49" t="s">
        <v>394</v>
      </c>
      <c r="V900" s="53">
        <v>10000</v>
      </c>
      <c r="W900" s="22">
        <v>15600</v>
      </c>
      <c r="X900" s="40">
        <v>8090</v>
      </c>
      <c r="Y900" s="40">
        <v>12070</v>
      </c>
      <c r="Z900" s="49">
        <v>15</v>
      </c>
      <c r="AA900" s="49">
        <v>6</v>
      </c>
    </row>
    <row r="901" spans="1:27" ht="15.75">
      <c r="A901" s="96"/>
      <c r="B901" s="113"/>
      <c r="D901">
        <v>25643.5</v>
      </c>
      <c r="E901">
        <v>25389.83</v>
      </c>
      <c r="F901">
        <v>25392.22</v>
      </c>
      <c r="G901">
        <v>25283.89</v>
      </c>
      <c r="H901">
        <v>25402.33</v>
      </c>
      <c r="I901">
        <v>25319.02</v>
      </c>
      <c r="J901">
        <v>25282.2</v>
      </c>
      <c r="K901">
        <v>25359.040000000001</v>
      </c>
      <c r="L901">
        <v>25492.65</v>
      </c>
      <c r="M901" s="31"/>
      <c r="N901" s="31"/>
      <c r="O901" s="31"/>
      <c r="P901" s="31"/>
      <c r="Q901" s="31"/>
      <c r="R901" s="32"/>
      <c r="S901" s="30"/>
    </row>
    <row r="902" spans="1:27" ht="13.5" thickBot="1">
      <c r="A902" s="98"/>
      <c r="B902" s="112"/>
      <c r="C902" s="34" t="s">
        <v>129</v>
      </c>
      <c r="D902" s="35">
        <f>IF(((D900="")*AND(D901="")),"",(D900-D901)*3)</f>
        <v>10984.169999999998</v>
      </c>
      <c r="E902" s="35">
        <f t="shared" ref="E902:L902" si="296">IF(((E900="")*AND(E901="")),"",(E900-E901)*3)</f>
        <v>11277.299999999996</v>
      </c>
      <c r="F902" s="35">
        <f t="shared" si="296"/>
        <v>11245.919999999998</v>
      </c>
      <c r="G902" s="35">
        <f t="shared" si="296"/>
        <v>11575.169999999998</v>
      </c>
      <c r="H902" s="35">
        <f t="shared" si="296"/>
        <v>11588.909999999993</v>
      </c>
      <c r="I902" s="35">
        <f t="shared" si="296"/>
        <v>11731.259999999995</v>
      </c>
      <c r="J902" s="35">
        <f t="shared" si="296"/>
        <v>11544.149999999998</v>
      </c>
      <c r="K902" s="35">
        <f t="shared" si="296"/>
        <v>11404.169999999998</v>
      </c>
      <c r="L902" s="35">
        <f t="shared" si="296"/>
        <v>11367.119999999992</v>
      </c>
      <c r="M902" s="36"/>
      <c r="N902" s="36"/>
      <c r="O902" s="36"/>
      <c r="P902" s="36"/>
      <c r="Q902" s="36"/>
      <c r="R902" s="37"/>
      <c r="S902" s="38"/>
    </row>
    <row r="903" spans="1:27" ht="15.75">
      <c r="A903" s="39">
        <v>43760</v>
      </c>
      <c r="B903" s="115" t="s">
        <v>429</v>
      </c>
      <c r="C903" s="26" t="s">
        <v>126</v>
      </c>
      <c r="D903">
        <v>29305.27</v>
      </c>
      <c r="E903">
        <v>29177.17</v>
      </c>
      <c r="F903">
        <v>29148.12</v>
      </c>
      <c r="G903">
        <v>29178.16</v>
      </c>
      <c r="H903">
        <v>29266.68</v>
      </c>
      <c r="I903">
        <v>29293.919999999998</v>
      </c>
      <c r="J903">
        <v>29179.73</v>
      </c>
      <c r="K903">
        <v>29168.91</v>
      </c>
      <c r="L903">
        <v>29279.599999999999</v>
      </c>
      <c r="M903" s="27">
        <f>IF((L904=""),"",MAX(D905:L905))</f>
        <v>12964.200000000004</v>
      </c>
      <c r="N903" s="27">
        <f>IF(L904="","",MIN(D905:L905))</f>
        <v>12134.939999999999</v>
      </c>
      <c r="O903" s="27">
        <f>IF((L905=""),"",AVERAGE(D905:L905))</f>
        <v>12664.699999999997</v>
      </c>
      <c r="P903" s="27">
        <f>IF((L904=""),"",STDEV(D905:L905))</f>
        <v>266.35522850139131</v>
      </c>
      <c r="Q903" s="168">
        <f>IF((L904=""),"",((M903-N903)/(M903+P903))*100)</f>
        <v>6.2677641692134385</v>
      </c>
      <c r="R903" s="28" t="str">
        <f>IF(L904="","",IF(Q903&lt;Z903,IF(N903&gt;V903,IF(M903&lt;W903,"Pass","Fail"),"Fail"),"Fail"))</f>
        <v>Pass</v>
      </c>
      <c r="S903" s="29">
        <v>1335</v>
      </c>
      <c r="T903" s="49" t="s">
        <v>398</v>
      </c>
      <c r="V903" s="53">
        <v>10000</v>
      </c>
      <c r="W903" s="22">
        <v>15600</v>
      </c>
      <c r="X903" s="40">
        <v>8090</v>
      </c>
      <c r="Y903" s="40">
        <v>12070</v>
      </c>
      <c r="Z903" s="49">
        <v>15</v>
      </c>
      <c r="AA903" s="49">
        <v>6</v>
      </c>
    </row>
    <row r="904" spans="1:27" ht="15.75">
      <c r="A904" s="96"/>
      <c r="B904" s="96"/>
      <c r="C904" s="30" t="s">
        <v>128</v>
      </c>
      <c r="D904">
        <v>25260.29</v>
      </c>
      <c r="E904">
        <v>25000.47</v>
      </c>
      <c r="F904">
        <v>24983.72</v>
      </c>
      <c r="G904">
        <v>24876.25</v>
      </c>
      <c r="H904">
        <v>24945.279999999999</v>
      </c>
      <c r="I904">
        <v>25002.77</v>
      </c>
      <c r="J904">
        <v>24893.63</v>
      </c>
      <c r="K904">
        <v>24948.84</v>
      </c>
      <c r="L904">
        <v>25092.21</v>
      </c>
      <c r="M904" s="31"/>
      <c r="N904" s="31"/>
      <c r="O904" s="31"/>
      <c r="P904" s="31"/>
      <c r="Q904" s="31"/>
      <c r="R904" s="32"/>
      <c r="S904" s="33"/>
      <c r="Z904" s="46"/>
      <c r="AA904" s="46"/>
    </row>
    <row r="905" spans="1:27" ht="13.5" thickBot="1">
      <c r="A905" s="98"/>
      <c r="B905" s="112"/>
      <c r="C905" s="34" t="s">
        <v>129</v>
      </c>
      <c r="D905" s="35">
        <f>IF(((D903="")*AND(D904="")),"",(D903-D904)*3)</f>
        <v>12134.939999999999</v>
      </c>
      <c r="E905" s="35">
        <f t="shared" ref="E905:L905" si="297">IF(((E903="")*AND(E904="")),"",(E903-E904)*3)</f>
        <v>12530.099999999991</v>
      </c>
      <c r="F905" s="35">
        <f t="shared" si="297"/>
        <v>12493.199999999993</v>
      </c>
      <c r="G905" s="35">
        <f t="shared" si="297"/>
        <v>12905.73</v>
      </c>
      <c r="H905" s="35">
        <f t="shared" si="297"/>
        <v>12964.200000000004</v>
      </c>
      <c r="I905" s="35">
        <f t="shared" si="297"/>
        <v>12873.449999999993</v>
      </c>
      <c r="J905" s="35">
        <f t="shared" si="297"/>
        <v>12858.299999999996</v>
      </c>
      <c r="K905" s="35">
        <f t="shared" si="297"/>
        <v>12660.21</v>
      </c>
      <c r="L905" s="35">
        <f t="shared" si="297"/>
        <v>12562.169999999998</v>
      </c>
      <c r="M905" s="36"/>
      <c r="N905" s="36"/>
      <c r="O905" s="36"/>
      <c r="P905" s="36"/>
      <c r="Q905" s="36"/>
      <c r="R905" s="37"/>
      <c r="S905" s="38"/>
      <c r="Z905" s="46"/>
      <c r="AA905" s="46"/>
    </row>
    <row r="906" spans="1:27" ht="15.75">
      <c r="A906" s="39">
        <v>43766</v>
      </c>
      <c r="B906" s="115" t="s">
        <v>429</v>
      </c>
      <c r="C906" s="26" t="s">
        <v>126</v>
      </c>
      <c r="D906">
        <v>29209.14</v>
      </c>
      <c r="E906">
        <v>29064.85</v>
      </c>
      <c r="F906">
        <v>29036.63</v>
      </c>
      <c r="G906">
        <v>29038.59</v>
      </c>
      <c r="H906">
        <v>29152.43</v>
      </c>
      <c r="I906">
        <v>29120.11</v>
      </c>
      <c r="J906">
        <v>29017.57</v>
      </c>
      <c r="K906">
        <v>29050.43</v>
      </c>
      <c r="L906">
        <v>29167.74</v>
      </c>
      <c r="M906" s="27">
        <f>IF((L907=""),"",MAX(D908:L908))</f>
        <v>11186.700000000004</v>
      </c>
      <c r="N906" s="27">
        <f>IF(L907="","",MIN(D908:L908))</f>
        <v>10413.689999999999</v>
      </c>
      <c r="O906" s="27">
        <f>IF((L908=""),"",AVERAGE(D908:L908))</f>
        <v>10875.463333333335</v>
      </c>
      <c r="P906" s="27">
        <f>IF((L907=""),"",STDEV(D908:L908))</f>
        <v>245.54391430050836</v>
      </c>
      <c r="Q906" s="168">
        <f>IF((L907=""),"",((M906-N906)/(M906+P906))*100)</f>
        <v>6.7616646897557269</v>
      </c>
      <c r="R906" s="28" t="str">
        <f>IF(L907="","",IF(Q906&lt;Z906,IF(N906&gt;V906,IF(M906&lt;W906,"Pass","Fail"),"Fail"),"Fail"))</f>
        <v>Pass</v>
      </c>
      <c r="S906" s="29">
        <v>1428</v>
      </c>
      <c r="T906" s="49" t="s">
        <v>399</v>
      </c>
      <c r="V906" s="53">
        <v>10000</v>
      </c>
      <c r="W906" s="22">
        <v>15600</v>
      </c>
      <c r="X906" s="40">
        <v>8090</v>
      </c>
      <c r="Y906" s="40">
        <v>12070</v>
      </c>
      <c r="Z906" s="49">
        <v>15</v>
      </c>
      <c r="AA906" s="49">
        <v>6</v>
      </c>
    </row>
    <row r="907" spans="1:27" ht="15.75">
      <c r="A907" s="96"/>
      <c r="B907" s="96"/>
      <c r="C907" s="30" t="s">
        <v>128</v>
      </c>
      <c r="D907">
        <v>25499.09</v>
      </c>
      <c r="E907">
        <v>25379.1</v>
      </c>
      <c r="F907">
        <v>25456.94</v>
      </c>
      <c r="G907">
        <v>25443.4</v>
      </c>
      <c r="H907">
        <v>25681.200000000001</v>
      </c>
      <c r="I907">
        <v>25544.25</v>
      </c>
      <c r="J907">
        <v>25412.57</v>
      </c>
      <c r="K907">
        <v>25375.71</v>
      </c>
      <c r="L907">
        <v>25438.84</v>
      </c>
      <c r="M907" s="31"/>
      <c r="N907" s="31"/>
      <c r="O907" s="31"/>
      <c r="P907" s="31"/>
      <c r="Q907" s="31"/>
      <c r="R907" s="32"/>
      <c r="S907" s="33"/>
      <c r="Z907" s="46"/>
      <c r="AA907" s="46"/>
    </row>
    <row r="908" spans="1:27" ht="13.5" thickBot="1">
      <c r="A908" s="98"/>
      <c r="B908" s="112"/>
      <c r="C908" s="34" t="s">
        <v>129</v>
      </c>
      <c r="D908" s="35">
        <f>IF(((D906="")*AND(D907="")),"",(D906-D907)*3)</f>
        <v>11130.149999999998</v>
      </c>
      <c r="E908" s="35">
        <f t="shared" ref="E908:L908" si="298">IF(((E906="")*AND(E907="")),"",(E906-E907)*3)</f>
        <v>11057.25</v>
      </c>
      <c r="F908" s="35">
        <f t="shared" si="298"/>
        <v>10739.070000000007</v>
      </c>
      <c r="G908" s="35">
        <f t="shared" si="298"/>
        <v>10785.569999999996</v>
      </c>
      <c r="H908" s="35">
        <f t="shared" si="298"/>
        <v>10413.689999999999</v>
      </c>
      <c r="I908" s="35">
        <f t="shared" si="298"/>
        <v>10727.580000000002</v>
      </c>
      <c r="J908" s="35">
        <f t="shared" si="298"/>
        <v>10815</v>
      </c>
      <c r="K908" s="35">
        <f t="shared" si="298"/>
        <v>11024.160000000003</v>
      </c>
      <c r="L908" s="35">
        <f t="shared" si="298"/>
        <v>11186.700000000004</v>
      </c>
      <c r="M908" s="36"/>
      <c r="N908" s="36"/>
      <c r="O908" s="36"/>
      <c r="P908" s="36"/>
      <c r="Q908" s="36"/>
      <c r="R908" s="37"/>
      <c r="S908" s="38"/>
      <c r="Z908" s="46"/>
      <c r="AA908" s="46"/>
    </row>
    <row r="909" spans="1:27" ht="15.75">
      <c r="A909" s="39">
        <v>43770</v>
      </c>
      <c r="B909" s="115" t="s">
        <v>429</v>
      </c>
      <c r="C909" s="26" t="s">
        <v>126</v>
      </c>
      <c r="D909" s="102">
        <v>29223.8</v>
      </c>
      <c r="E909" s="102">
        <v>29111.37</v>
      </c>
      <c r="F909" s="102">
        <v>29081.25</v>
      </c>
      <c r="G909" s="102">
        <v>29077.85</v>
      </c>
      <c r="H909" s="102">
        <v>29196.09</v>
      </c>
      <c r="I909" s="102">
        <v>29226.7</v>
      </c>
      <c r="J909" s="102">
        <v>29093.61</v>
      </c>
      <c r="K909" s="102">
        <v>29087.45</v>
      </c>
      <c r="L909" s="102">
        <v>29186.67</v>
      </c>
      <c r="M909" s="27">
        <f>IF((L910=""),"",MAX(D911:L911))</f>
        <v>11593.01999999999</v>
      </c>
      <c r="N909" s="27">
        <f>IF(L910="","",MIN(D911:L911))</f>
        <v>10859.279999999995</v>
      </c>
      <c r="O909" s="27">
        <f>IF((L911=""),"",AVERAGE(D911:L911))</f>
        <v>11297.64333333333</v>
      </c>
      <c r="P909" s="27">
        <f>IF((L910=""),"",STDEV(D911:L911))</f>
        <v>226.53898047583755</v>
      </c>
      <c r="Q909" s="168">
        <f>IF((L910=""),"",((M909-N909)/(M909+P909))*100)</f>
        <v>6.2078458359742932</v>
      </c>
      <c r="R909" s="28" t="str">
        <f>IF(L910="","",IF(Q909&lt;Z909,IF(N909&gt;V909,IF(M909&lt;W909,"Pass","Fail"),"Fail"),"Fail"))</f>
        <v>Pass</v>
      </c>
      <c r="S909" s="29">
        <v>1428</v>
      </c>
      <c r="T909" s="49" t="s">
        <v>400</v>
      </c>
      <c r="V909" s="53">
        <v>10000</v>
      </c>
      <c r="W909" s="22">
        <v>15600</v>
      </c>
      <c r="X909" s="40">
        <v>8090</v>
      </c>
      <c r="Y909" s="40">
        <v>12070</v>
      </c>
      <c r="Z909" s="49">
        <v>15</v>
      </c>
      <c r="AA909" s="49">
        <v>6</v>
      </c>
    </row>
    <row r="910" spans="1:27" ht="15.75">
      <c r="A910" s="96"/>
      <c r="B910" s="96"/>
      <c r="C910" s="30" t="s">
        <v>128</v>
      </c>
      <c r="D910" s="102">
        <v>25383.32</v>
      </c>
      <c r="E910" s="102">
        <v>25294.59</v>
      </c>
      <c r="F910" s="102">
        <v>25364.68</v>
      </c>
      <c r="G910" s="102">
        <v>25364.03</v>
      </c>
      <c r="H910" s="102">
        <v>25576.33</v>
      </c>
      <c r="I910" s="102">
        <v>25467.73</v>
      </c>
      <c r="J910" s="102">
        <v>25332.04</v>
      </c>
      <c r="K910" s="102">
        <v>25286.81</v>
      </c>
      <c r="L910" s="102">
        <v>25322.33</v>
      </c>
      <c r="M910" s="31"/>
      <c r="N910" s="31"/>
      <c r="O910" s="31"/>
      <c r="P910" s="31"/>
      <c r="Q910" s="31"/>
      <c r="R910" s="32"/>
      <c r="S910" s="33"/>
      <c r="Z910" s="46"/>
      <c r="AA910" s="46"/>
    </row>
    <row r="911" spans="1:27" ht="13.5" thickBot="1">
      <c r="A911" s="98"/>
      <c r="B911" s="112"/>
      <c r="C911" s="34" t="s">
        <v>129</v>
      </c>
      <c r="D911" s="35">
        <f>IF(((D909="")*AND(D910="")),"",(D909-D910)*3)</f>
        <v>11521.439999999999</v>
      </c>
      <c r="E911" s="35">
        <f t="shared" ref="E911:L911" si="299">IF(((E909="")*AND(E910="")),"",(E909-E910)*3)</f>
        <v>11450.339999999997</v>
      </c>
      <c r="F911" s="35">
        <f t="shared" si="299"/>
        <v>11149.71</v>
      </c>
      <c r="G911" s="35">
        <f t="shared" si="299"/>
        <v>11141.46</v>
      </c>
      <c r="H911" s="35">
        <f t="shared" si="299"/>
        <v>10859.279999999995</v>
      </c>
      <c r="I911" s="35">
        <f t="shared" si="299"/>
        <v>11276.910000000003</v>
      </c>
      <c r="J911" s="35">
        <f t="shared" si="299"/>
        <v>11284.71</v>
      </c>
      <c r="K911" s="35">
        <f t="shared" si="299"/>
        <v>11401.919999999998</v>
      </c>
      <c r="L911" s="35">
        <f t="shared" si="299"/>
        <v>11593.01999999999</v>
      </c>
      <c r="M911" s="36"/>
      <c r="N911" s="36"/>
      <c r="O911" s="36"/>
      <c r="P911" s="36"/>
      <c r="Q911" s="36"/>
      <c r="R911" s="37"/>
      <c r="S911" s="38"/>
      <c r="Z911" s="46"/>
      <c r="AA911" s="46"/>
    </row>
    <row r="912" spans="1:27" ht="15.75">
      <c r="A912" s="39">
        <v>43773</v>
      </c>
      <c r="B912" s="115" t="s">
        <v>429</v>
      </c>
      <c r="C912" s="26" t="s">
        <v>126</v>
      </c>
      <c r="D912">
        <v>29175.48</v>
      </c>
      <c r="E912">
        <v>29030.68</v>
      </c>
      <c r="F912">
        <v>29010.22</v>
      </c>
      <c r="G912">
        <v>29005.95</v>
      </c>
      <c r="H912">
        <v>29120.71</v>
      </c>
      <c r="I912">
        <v>29126.19</v>
      </c>
      <c r="J912">
        <v>29003.83</v>
      </c>
      <c r="K912">
        <v>29020.44</v>
      </c>
      <c r="L912">
        <v>29121.88</v>
      </c>
      <c r="M912" s="27">
        <f>IF((L913=""),"",MAX(D914:L914))</f>
        <v>11963.159999999993</v>
      </c>
      <c r="N912" s="27">
        <f>IF(L913="","",MIN(D914:L914))</f>
        <v>11132.669999999998</v>
      </c>
      <c r="O912" s="27">
        <f>IF((L914=""),"",AVERAGE(D914:L914))</f>
        <v>11569.84</v>
      </c>
      <c r="P912" s="27">
        <f>IF((L913=""),"",STDEV(D914:L914))</f>
        <v>252.43039094969117</v>
      </c>
      <c r="Q912" s="168">
        <f>IF((L913=""),"",((M912-N912)/(M912+P912))*100)</f>
        <v>6.798607135806467</v>
      </c>
      <c r="R912" s="28" t="str">
        <f>IF(L913="","",IF(Q912&lt;Z912,IF(N912&gt;V912,IF(M912&lt;W912,"Pass","Fail"),"Fail"),"Fail"))</f>
        <v>Pass</v>
      </c>
      <c r="S912" s="29">
        <v>121</v>
      </c>
      <c r="T912" s="49" t="s">
        <v>401</v>
      </c>
      <c r="V912" s="53">
        <v>10000</v>
      </c>
      <c r="W912" s="22">
        <v>15600</v>
      </c>
      <c r="X912" s="40">
        <v>8090</v>
      </c>
      <c r="Y912" s="40">
        <v>12070</v>
      </c>
      <c r="Z912" s="49">
        <v>15</v>
      </c>
      <c r="AA912" s="49">
        <v>6</v>
      </c>
    </row>
    <row r="913" spans="1:27" ht="15.75">
      <c r="A913" s="96"/>
      <c r="B913" s="96"/>
      <c r="C913" s="30" t="s">
        <v>128</v>
      </c>
      <c r="D913">
        <v>25464.59</v>
      </c>
      <c r="E913">
        <v>25210.2</v>
      </c>
      <c r="F913">
        <v>25206.400000000001</v>
      </c>
      <c r="G913">
        <v>25092.94</v>
      </c>
      <c r="H913">
        <v>25217.17</v>
      </c>
      <c r="I913">
        <v>25138.47</v>
      </c>
      <c r="J913">
        <v>25077.55</v>
      </c>
      <c r="K913">
        <v>25171.38</v>
      </c>
      <c r="L913">
        <v>25327.16</v>
      </c>
      <c r="M913" s="31"/>
      <c r="N913" s="31"/>
      <c r="O913" s="31"/>
      <c r="P913" s="31"/>
      <c r="Q913" s="31"/>
      <c r="R913" s="32"/>
      <c r="S913" s="33"/>
      <c r="Z913" s="46"/>
      <c r="AA913" s="46"/>
    </row>
    <row r="914" spans="1:27" ht="13.5" thickBot="1">
      <c r="A914" s="98"/>
      <c r="B914" s="112"/>
      <c r="C914" s="34" t="s">
        <v>129</v>
      </c>
      <c r="D914" s="35">
        <f>IF(((D912="")*AND(D913="")),"",(D912-D913)*3)</f>
        <v>11132.669999999998</v>
      </c>
      <c r="E914" s="35">
        <f t="shared" ref="E914:L914" si="300">IF(((E912="")*AND(E913="")),"",(E912-E913)*3)</f>
        <v>11461.439999999999</v>
      </c>
      <c r="F914" s="35">
        <f t="shared" si="300"/>
        <v>11411.46</v>
      </c>
      <c r="G914" s="35">
        <f t="shared" si="300"/>
        <v>11739.030000000006</v>
      </c>
      <c r="H914" s="35">
        <f t="shared" si="300"/>
        <v>11710.620000000003</v>
      </c>
      <c r="I914" s="35">
        <f t="shared" si="300"/>
        <v>11963.159999999993</v>
      </c>
      <c r="J914" s="35">
        <f t="shared" si="300"/>
        <v>11778.840000000007</v>
      </c>
      <c r="K914" s="35">
        <f t="shared" si="300"/>
        <v>11547.179999999993</v>
      </c>
      <c r="L914" s="35">
        <f t="shared" si="300"/>
        <v>11384.160000000003</v>
      </c>
      <c r="M914" s="36"/>
      <c r="N914" s="36"/>
      <c r="O914" s="36"/>
      <c r="P914" s="36"/>
      <c r="Q914" s="36"/>
      <c r="R914" s="37"/>
      <c r="S914" s="38"/>
      <c r="Z914" s="46"/>
      <c r="AA914" s="46"/>
    </row>
    <row r="915" spans="1:27" ht="15.75">
      <c r="A915" s="39">
        <v>43779</v>
      </c>
      <c r="B915" s="115" t="s">
        <v>429</v>
      </c>
      <c r="C915" s="26" t="s">
        <v>126</v>
      </c>
      <c r="D915">
        <v>29110.53</v>
      </c>
      <c r="E915">
        <v>28988.57</v>
      </c>
      <c r="F915">
        <v>28974.68</v>
      </c>
      <c r="G915">
        <v>28964.34</v>
      </c>
      <c r="H915">
        <v>29073.97</v>
      </c>
      <c r="I915">
        <v>29105.01</v>
      </c>
      <c r="J915">
        <v>28965.73</v>
      </c>
      <c r="K915">
        <v>28959.040000000001</v>
      </c>
      <c r="L915">
        <v>29050.25</v>
      </c>
      <c r="M915" s="27">
        <f>IF((L916=""),"",MAX(D917:L917))</f>
        <v>10495.620000000003</v>
      </c>
      <c r="N915" s="27">
        <f>IF(L916="","",MIN(D917:L917))</f>
        <v>9910.4700000000048</v>
      </c>
      <c r="O915" s="27">
        <f>IF((L917=""),"",AVERAGE(D917:L917))</f>
        <v>10188.796666666667</v>
      </c>
      <c r="P915" s="27">
        <f>IF((L916=""),"",STDEV(D917:L917))</f>
        <v>208.13890662248923</v>
      </c>
      <c r="Q915" s="168">
        <f>IF((L916=""),"",((M915-N915)/(M915+P915))*100)</f>
        <v>5.4667711138183552</v>
      </c>
      <c r="R915" s="28" t="str">
        <f>IF(L916="","",IF(Q915&lt;Z915,IF(N915&gt;V915,IF(M915&lt;W915,"Pass","Fail"),"Fail"),"Fail"))</f>
        <v>Fail</v>
      </c>
      <c r="S915" s="29">
        <v>121</v>
      </c>
      <c r="T915" s="49" t="s">
        <v>404</v>
      </c>
      <c r="U915" s="48" t="s">
        <v>408</v>
      </c>
      <c r="V915" s="53">
        <v>10000</v>
      </c>
      <c r="W915" s="22">
        <v>15600</v>
      </c>
      <c r="X915" s="40">
        <v>8090</v>
      </c>
      <c r="Y915" s="40">
        <v>12070</v>
      </c>
      <c r="Z915" s="49">
        <v>15</v>
      </c>
      <c r="AA915" s="49">
        <v>6</v>
      </c>
    </row>
    <row r="916" spans="1:27" ht="15.75">
      <c r="A916" s="96"/>
      <c r="B916" s="96"/>
      <c r="C916" s="30" t="s">
        <v>128</v>
      </c>
      <c r="D916">
        <v>25782.86</v>
      </c>
      <c r="E916">
        <v>25643.69</v>
      </c>
      <c r="F916">
        <v>25671.19</v>
      </c>
      <c r="G916">
        <v>25565.8</v>
      </c>
      <c r="H916">
        <v>25575.43</v>
      </c>
      <c r="I916">
        <v>25621.18</v>
      </c>
      <c r="J916">
        <v>25592.74</v>
      </c>
      <c r="K916">
        <v>25579</v>
      </c>
      <c r="L916">
        <v>25593.84</v>
      </c>
      <c r="M916" s="31"/>
      <c r="N916" s="31"/>
      <c r="O916" s="31"/>
      <c r="P916" s="31"/>
      <c r="Q916" s="31"/>
      <c r="R916" s="32"/>
      <c r="S916" s="33"/>
      <c r="Z916" s="46"/>
      <c r="AA916" s="46"/>
    </row>
    <row r="917" spans="1:27" ht="13.5" thickBot="1">
      <c r="A917" s="98"/>
      <c r="B917" s="112"/>
      <c r="C917" s="34" t="s">
        <v>129</v>
      </c>
      <c r="D917" s="35">
        <f>IF(((D915="")*AND(D916="")),"",(D915-D916)*3)</f>
        <v>9983.0099999999948</v>
      </c>
      <c r="E917" s="35">
        <f t="shared" ref="E917:L917" si="301">IF(((E915="")*AND(E916="")),"",(E915-E916)*3)</f>
        <v>10034.640000000003</v>
      </c>
      <c r="F917" s="35">
        <f t="shared" si="301"/>
        <v>9910.4700000000048</v>
      </c>
      <c r="G917" s="35">
        <f t="shared" si="301"/>
        <v>10195.620000000003</v>
      </c>
      <c r="H917" s="35">
        <f t="shared" si="301"/>
        <v>10495.620000000003</v>
      </c>
      <c r="I917" s="35">
        <f t="shared" si="301"/>
        <v>10451.489999999994</v>
      </c>
      <c r="J917" s="35">
        <f t="shared" si="301"/>
        <v>10118.969999999994</v>
      </c>
      <c r="K917" s="35">
        <f t="shared" si="301"/>
        <v>10140.120000000003</v>
      </c>
      <c r="L917" s="35">
        <f t="shared" si="301"/>
        <v>10369.23</v>
      </c>
      <c r="M917" s="36"/>
      <c r="N917" s="36"/>
      <c r="O917" s="36"/>
      <c r="P917" s="36"/>
      <c r="Q917" s="36"/>
      <c r="R917" s="37"/>
      <c r="S917" s="38"/>
      <c r="Z917" s="46"/>
      <c r="AA917" s="46"/>
    </row>
    <row r="918" spans="1:27" ht="15.75">
      <c r="A918" s="39">
        <v>43780</v>
      </c>
      <c r="B918" s="115" t="s">
        <v>429</v>
      </c>
      <c r="C918" s="26" t="s">
        <v>126</v>
      </c>
      <c r="D918">
        <v>29071.72</v>
      </c>
      <c r="E918">
        <v>28949.07</v>
      </c>
      <c r="F918">
        <v>28925.96</v>
      </c>
      <c r="G918">
        <v>28929.360000000001</v>
      </c>
      <c r="H918">
        <v>29045.98</v>
      </c>
      <c r="I918">
        <v>29046.74</v>
      </c>
      <c r="J918">
        <v>28937.7</v>
      </c>
      <c r="K918">
        <v>28921.72</v>
      </c>
      <c r="L918">
        <v>29051.06</v>
      </c>
      <c r="M918" s="27">
        <f>IF((L919=""),"",MAX(D920:L920))</f>
        <v>10682.219999999994</v>
      </c>
      <c r="N918" s="27">
        <f>IF(L919="","",MIN(D920:L920))</f>
        <v>10055.100000000002</v>
      </c>
      <c r="O918" s="27">
        <f>IF((L920=""),"",AVERAGE(D920:L920))</f>
        <v>10349.163333333334</v>
      </c>
      <c r="P918" s="27">
        <f>IF((L919=""),"",STDEV(D920:L920))</f>
        <v>219.47037488008476</v>
      </c>
      <c r="Q918" s="168">
        <f>IF((L919=""),"",((M918-N918)/(M918+P918))*100)</f>
        <v>5.7525023958212556</v>
      </c>
      <c r="R918" s="28" t="str">
        <f>IF(L919="","",IF(Q918&lt;Z918,IF(N918&gt;V918,IF(M918&lt;W918,"Pass","Fail"),"Fail"),"Fail"))</f>
        <v>Pass</v>
      </c>
      <c r="S918" s="29">
        <v>1340</v>
      </c>
      <c r="T918" s="49" t="s">
        <v>405</v>
      </c>
      <c r="V918" s="53">
        <v>10000</v>
      </c>
      <c r="W918" s="22">
        <v>15600</v>
      </c>
      <c r="X918" s="40">
        <v>8090</v>
      </c>
      <c r="Y918" s="40">
        <v>12070</v>
      </c>
      <c r="Z918" s="49">
        <v>15</v>
      </c>
      <c r="AA918" s="49">
        <v>6</v>
      </c>
    </row>
    <row r="919" spans="1:27" ht="15.75">
      <c r="A919" s="96"/>
      <c r="B919" s="96"/>
      <c r="C919" s="30" t="s">
        <v>128</v>
      </c>
      <c r="D919">
        <v>25684.880000000001</v>
      </c>
      <c r="E919">
        <v>25554.22</v>
      </c>
      <c r="F919">
        <v>25574.26</v>
      </c>
      <c r="G919">
        <v>25491.63</v>
      </c>
      <c r="H919">
        <v>25485.24</v>
      </c>
      <c r="I919">
        <v>25500.13</v>
      </c>
      <c r="J919">
        <v>25497.18</v>
      </c>
      <c r="K919">
        <v>25501.51</v>
      </c>
      <c r="L919">
        <v>25542.77</v>
      </c>
      <c r="M919" s="31"/>
      <c r="N919" s="31"/>
      <c r="O919" s="31"/>
      <c r="P919" s="31"/>
      <c r="Q919" s="31"/>
      <c r="R919" s="32"/>
      <c r="S919" s="33"/>
      <c r="Z919" s="46"/>
      <c r="AA919" s="46"/>
    </row>
    <row r="920" spans="1:27" ht="13.5" thickBot="1">
      <c r="A920" s="98"/>
      <c r="B920" s="112"/>
      <c r="C920" s="34" t="s">
        <v>129</v>
      </c>
      <c r="D920" s="35">
        <f>IF(((D918="")*AND(D919="")),"",(D918-D919)*3)</f>
        <v>10160.52</v>
      </c>
      <c r="E920" s="35">
        <f t="shared" ref="E920:L920" si="302">IF(((E918="")*AND(E919="")),"",(E918-E919)*3)</f>
        <v>10184.549999999996</v>
      </c>
      <c r="F920" s="35">
        <f t="shared" si="302"/>
        <v>10055.100000000002</v>
      </c>
      <c r="G920" s="35">
        <f t="shared" si="302"/>
        <v>10313.189999999999</v>
      </c>
      <c r="H920" s="35">
        <f t="shared" si="302"/>
        <v>10682.219999999994</v>
      </c>
      <c r="I920" s="35">
        <f t="shared" si="302"/>
        <v>10639.830000000002</v>
      </c>
      <c r="J920" s="35">
        <f t="shared" si="302"/>
        <v>10321.560000000001</v>
      </c>
      <c r="K920" s="35">
        <f t="shared" si="302"/>
        <v>10260.630000000008</v>
      </c>
      <c r="L920" s="35">
        <f t="shared" si="302"/>
        <v>10524.870000000003</v>
      </c>
      <c r="M920" s="36"/>
      <c r="N920" s="36"/>
      <c r="O920" s="36"/>
      <c r="P920" s="36"/>
      <c r="Q920" s="36"/>
      <c r="R920" s="37"/>
      <c r="S920" s="38"/>
      <c r="Z920" s="46"/>
      <c r="AA920" s="46"/>
    </row>
    <row r="921" spans="1:27" ht="15.75">
      <c r="A921" s="39">
        <v>43784</v>
      </c>
      <c r="B921" s="115" t="s">
        <v>429</v>
      </c>
      <c r="C921" s="26" t="s">
        <v>126</v>
      </c>
      <c r="D921">
        <v>29159.439999999999</v>
      </c>
      <c r="E921">
        <v>29006.53</v>
      </c>
      <c r="F921">
        <v>29039.16</v>
      </c>
      <c r="G921">
        <v>29000.54</v>
      </c>
      <c r="H921">
        <v>29121.67</v>
      </c>
      <c r="I921">
        <v>29141.45</v>
      </c>
      <c r="J921">
        <v>29012.07</v>
      </c>
      <c r="K921">
        <v>28997.1</v>
      </c>
      <c r="L921">
        <v>29098.87</v>
      </c>
      <c r="M921" s="27">
        <f>IF((L922=""),"",MAX(D923:L923))</f>
        <v>11326.950000000004</v>
      </c>
      <c r="N921" s="27">
        <f>IF(L922="","",MIN(D923:L923))</f>
        <v>10614.299999999996</v>
      </c>
      <c r="O921" s="27">
        <f>IF((L923=""),"",AVERAGE(D923:L923))</f>
        <v>10895.543333333329</v>
      </c>
      <c r="P921" s="27">
        <f>IF((L922=""),"",STDEV(D923:L923))</f>
        <v>260.7817638371298</v>
      </c>
      <c r="Q921" s="168">
        <f>IF((L922=""),"",((M921-N921)/(M921+P921))*100)</f>
        <v>6.150038804177699</v>
      </c>
      <c r="R921" s="28" t="str">
        <f>IF(L922="","",IF(Q921&lt;Z921,IF(N921&gt;V921,IF(M921&lt;W921,"Pass","Fail"),"Fail"),"Fail"))</f>
        <v>Pass</v>
      </c>
      <c r="S921" s="29">
        <v>1340</v>
      </c>
      <c r="T921" s="49" t="s">
        <v>407</v>
      </c>
      <c r="V921" s="53">
        <v>10000</v>
      </c>
      <c r="W921" s="22">
        <v>15600</v>
      </c>
      <c r="X921" s="40">
        <v>8090</v>
      </c>
      <c r="Y921" s="40">
        <v>12070</v>
      </c>
      <c r="Z921" s="49">
        <v>15</v>
      </c>
      <c r="AA921" s="49">
        <v>6</v>
      </c>
    </row>
    <row r="922" spans="1:27" ht="15.75">
      <c r="A922" s="96"/>
      <c r="B922" s="96"/>
      <c r="C922" s="30" t="s">
        <v>128</v>
      </c>
      <c r="D922">
        <v>25620.29</v>
      </c>
      <c r="E922">
        <v>25451.58</v>
      </c>
      <c r="F922">
        <v>25501.06</v>
      </c>
      <c r="G922">
        <v>25357.56</v>
      </c>
      <c r="H922">
        <v>25374.25</v>
      </c>
      <c r="I922">
        <v>25365.8</v>
      </c>
      <c r="J922">
        <v>25384.17</v>
      </c>
      <c r="K922">
        <v>25405.43</v>
      </c>
      <c r="L922">
        <v>25430.06</v>
      </c>
      <c r="M922" s="31"/>
      <c r="N922" s="31"/>
      <c r="O922" s="31"/>
      <c r="P922" s="31"/>
      <c r="Q922" s="31"/>
      <c r="R922" s="32"/>
      <c r="S922" s="33"/>
      <c r="Z922" s="46"/>
      <c r="AA922" s="46"/>
    </row>
    <row r="923" spans="1:27" ht="13.5" thickBot="1">
      <c r="A923" s="98"/>
      <c r="B923" s="112"/>
      <c r="C923" s="34" t="s">
        <v>129</v>
      </c>
      <c r="D923" s="35">
        <f>IF(((D921="")*AND(D922="")),"",(D921-D922)*3)</f>
        <v>10617.449999999993</v>
      </c>
      <c r="E923" s="35">
        <f t="shared" ref="E923:L923" si="303">IF(((E921="")*AND(E922="")),"",(E921-E922)*3)</f>
        <v>10664.849999999991</v>
      </c>
      <c r="F923" s="35">
        <f t="shared" si="303"/>
        <v>10614.299999999996</v>
      </c>
      <c r="G923" s="35">
        <f t="shared" si="303"/>
        <v>10928.939999999999</v>
      </c>
      <c r="H923" s="35">
        <f t="shared" si="303"/>
        <v>11242.259999999995</v>
      </c>
      <c r="I923" s="35">
        <f t="shared" si="303"/>
        <v>11326.950000000004</v>
      </c>
      <c r="J923" s="35">
        <f t="shared" si="303"/>
        <v>10883.700000000004</v>
      </c>
      <c r="K923" s="35">
        <f t="shared" si="303"/>
        <v>10775.009999999995</v>
      </c>
      <c r="L923" s="35">
        <f t="shared" si="303"/>
        <v>11006.429999999993</v>
      </c>
      <c r="M923" s="36"/>
      <c r="N923" s="36"/>
      <c r="O923" s="36"/>
      <c r="P923" s="36"/>
      <c r="Q923" s="36"/>
      <c r="R923" s="37"/>
      <c r="S923" s="38"/>
      <c r="Z923" s="46"/>
      <c r="AA923" s="46"/>
    </row>
    <row r="924" spans="1:27" ht="15.75">
      <c r="A924" s="39">
        <v>43788</v>
      </c>
      <c r="B924" s="115" t="s">
        <v>429</v>
      </c>
      <c r="C924" s="26" t="s">
        <v>126</v>
      </c>
      <c r="D924" s="102">
        <v>29003.69</v>
      </c>
      <c r="E924" s="102">
        <v>28955.42</v>
      </c>
      <c r="F924" s="102">
        <v>28961.84</v>
      </c>
      <c r="G924" s="102">
        <v>28961.279999999999</v>
      </c>
      <c r="H924" s="102">
        <v>29020.14</v>
      </c>
      <c r="I924" s="102">
        <v>29080.81</v>
      </c>
      <c r="J924" s="102">
        <v>28952.85</v>
      </c>
      <c r="K924" s="102">
        <v>28950.26</v>
      </c>
      <c r="L924" s="102">
        <v>29055.360000000001</v>
      </c>
      <c r="M924" s="27">
        <f>IF((L925=""),"",MAX(D926:L926))</f>
        <v>13237.679999999993</v>
      </c>
      <c r="N924" s="27">
        <f>IF(L925="","",MIN(D926:L926))</f>
        <v>11492.279999999995</v>
      </c>
      <c r="O924" s="27">
        <f>IF((L926=""),"",AVERAGE(D926:L926))</f>
        <v>12045.019999999997</v>
      </c>
      <c r="P924" s="27">
        <f>IF((L925=""),"",STDEV(D926:L926))</f>
        <v>499.05658246337782</v>
      </c>
      <c r="Q924" s="168">
        <f>IF((L925=""),"",((M924-N924)/(M924+P924))*100)</f>
        <v>12.7060746162099</v>
      </c>
      <c r="R924" s="28" t="str">
        <f>IF(L925="","",IF(Q924&lt;Z924,IF(N924&gt;V924,IF(M924&lt;W924,"Pass","Fail"),"Fail"),"Fail"))</f>
        <v>Pass</v>
      </c>
      <c r="S924" s="29">
        <v>74</v>
      </c>
      <c r="T924" s="49" t="s">
        <v>412</v>
      </c>
      <c r="V924" s="53">
        <v>10000</v>
      </c>
      <c r="W924" s="22">
        <v>15600</v>
      </c>
      <c r="X924" s="40">
        <v>8090</v>
      </c>
      <c r="Y924" s="40">
        <v>12070</v>
      </c>
      <c r="Z924" s="49">
        <v>15</v>
      </c>
      <c r="AA924" s="49">
        <v>6</v>
      </c>
    </row>
    <row r="925" spans="1:27" ht="15.75">
      <c r="A925" s="96"/>
      <c r="B925" s="96"/>
      <c r="C925" s="30" t="s">
        <v>128</v>
      </c>
      <c r="D925" s="102">
        <v>24994.98</v>
      </c>
      <c r="E925" s="102">
        <v>25066.45</v>
      </c>
      <c r="F925" s="102">
        <v>25131.08</v>
      </c>
      <c r="G925" s="102">
        <v>24972.09</v>
      </c>
      <c r="H925" s="102">
        <v>24607.58</v>
      </c>
      <c r="I925" s="102">
        <v>24993.06</v>
      </c>
      <c r="J925" s="102">
        <v>24990.63</v>
      </c>
      <c r="K925" s="102">
        <v>25003.62</v>
      </c>
      <c r="L925" s="102">
        <v>25047.1</v>
      </c>
      <c r="M925" s="31"/>
      <c r="N925" s="31"/>
      <c r="O925" s="31"/>
      <c r="P925" s="31"/>
      <c r="Q925" s="31"/>
      <c r="R925" s="32"/>
      <c r="S925" s="33"/>
      <c r="Z925" s="46"/>
      <c r="AA925" s="46"/>
    </row>
    <row r="926" spans="1:27" ht="13.5" thickBot="1">
      <c r="A926" s="98"/>
      <c r="B926" s="112"/>
      <c r="C926" s="34" t="s">
        <v>129</v>
      </c>
      <c r="D926" s="35">
        <f>IF(((D924="")*AND(D925="")),"",(D924-D925)*3)</f>
        <v>12026.129999999997</v>
      </c>
      <c r="E926" s="35">
        <f t="shared" ref="E926:L926" si="304">IF(((E924="")*AND(E925="")),"",(E924-E925)*3)</f>
        <v>11666.909999999993</v>
      </c>
      <c r="F926" s="35">
        <f t="shared" si="304"/>
        <v>11492.279999999995</v>
      </c>
      <c r="G926" s="35">
        <f t="shared" si="304"/>
        <v>11967.569999999996</v>
      </c>
      <c r="H926" s="35">
        <f t="shared" si="304"/>
        <v>13237.679999999993</v>
      </c>
      <c r="I926" s="35">
        <f t="shared" si="304"/>
        <v>12263.25</v>
      </c>
      <c r="J926" s="35">
        <f t="shared" si="304"/>
        <v>11886.659999999993</v>
      </c>
      <c r="K926" s="35">
        <f t="shared" si="304"/>
        <v>11839.919999999998</v>
      </c>
      <c r="L926" s="35">
        <f t="shared" si="304"/>
        <v>12024.780000000006</v>
      </c>
      <c r="M926" s="36"/>
      <c r="N926" s="36"/>
      <c r="O926" s="36"/>
      <c r="P926" s="36"/>
      <c r="Q926" s="36"/>
      <c r="R926" s="37"/>
      <c r="S926" s="38"/>
      <c r="Z926" s="46"/>
      <c r="AA926" s="46"/>
    </row>
    <row r="927" spans="1:27" ht="15.75">
      <c r="A927" s="39">
        <v>43792</v>
      </c>
      <c r="B927" s="115" t="s">
        <v>429</v>
      </c>
      <c r="C927" s="26" t="s">
        <v>126</v>
      </c>
      <c r="D927">
        <v>29064.46</v>
      </c>
      <c r="E927">
        <v>28944.99</v>
      </c>
      <c r="F927">
        <v>28941.55</v>
      </c>
      <c r="G927">
        <v>28926.27</v>
      </c>
      <c r="H927">
        <v>29017.62</v>
      </c>
      <c r="I927">
        <v>29045.49</v>
      </c>
      <c r="J927">
        <v>28930.02</v>
      </c>
      <c r="K927">
        <v>28926.89</v>
      </c>
      <c r="L927">
        <v>29051.45</v>
      </c>
      <c r="M927" s="27">
        <f>IF((L928=""),"",MAX(D929:L929))</f>
        <v>12041.52</v>
      </c>
      <c r="N927" s="27">
        <f>IF(L928="","",MIN(D929:L929))</f>
        <v>11125.589999999997</v>
      </c>
      <c r="O927" s="27">
        <f>IF((L929=""),"",AVERAGE(D929:L929))</f>
        <v>11555.03</v>
      </c>
      <c r="P927" s="27">
        <f>IF((L928=""),"",STDEV(D929:L929))</f>
        <v>298.72577203012071</v>
      </c>
      <c r="Q927" s="168">
        <f>IF((L928=""),"",((M927-N927)/(M927+P927))*100)</f>
        <v>7.4222994980862715</v>
      </c>
      <c r="R927" s="28" t="str">
        <f>IF(L928="","",IF(Q927&lt;Z927,IF(N927&gt;V927,IF(M927&lt;W927,"Pass","Fail"),"Fail"),"Fail"))</f>
        <v>Pass</v>
      </c>
      <c r="S927" s="29">
        <v>121</v>
      </c>
      <c r="T927" s="49" t="s">
        <v>415</v>
      </c>
      <c r="V927" s="53">
        <v>10000</v>
      </c>
      <c r="W927" s="22">
        <v>15600</v>
      </c>
      <c r="X927" s="40">
        <v>8090</v>
      </c>
      <c r="Y927" s="40">
        <v>12070</v>
      </c>
      <c r="Z927" s="49">
        <v>15</v>
      </c>
      <c r="AA927" s="49">
        <v>6</v>
      </c>
    </row>
    <row r="928" spans="1:27" ht="15.75">
      <c r="A928" s="96"/>
      <c r="B928" s="96"/>
      <c r="C928" s="30" t="s">
        <v>128</v>
      </c>
      <c r="D928">
        <v>25050.62</v>
      </c>
      <c r="E928">
        <v>25078.65</v>
      </c>
      <c r="F928">
        <v>25233.02</v>
      </c>
      <c r="G928">
        <v>25138.98</v>
      </c>
      <c r="H928">
        <v>25260.9</v>
      </c>
      <c r="I928">
        <v>25160.92</v>
      </c>
      <c r="J928">
        <v>25113.84</v>
      </c>
      <c r="K928">
        <v>25076.61</v>
      </c>
      <c r="L928">
        <v>25070.11</v>
      </c>
      <c r="M928" s="31"/>
      <c r="N928" s="31"/>
      <c r="O928" s="31"/>
      <c r="P928" s="31"/>
      <c r="Q928" s="31"/>
      <c r="R928" s="32"/>
      <c r="S928" s="33"/>
      <c r="Z928" s="46"/>
      <c r="AA928" s="46"/>
    </row>
    <row r="929" spans="1:27" ht="13.5" thickBot="1">
      <c r="A929" s="98"/>
      <c r="B929" s="112"/>
      <c r="C929" s="34" t="s">
        <v>129</v>
      </c>
      <c r="D929" s="35">
        <f>IF(((D927="")*AND(D928="")),"",(D927-D928)*3)</f>
        <v>12041.52</v>
      </c>
      <c r="E929" s="35">
        <f t="shared" ref="E929:L929" si="305">IF(((E927="")*AND(E928="")),"",(E927-E928)*3)</f>
        <v>11599.02</v>
      </c>
      <c r="F929" s="35">
        <f t="shared" si="305"/>
        <v>11125.589999999997</v>
      </c>
      <c r="G929" s="35">
        <f t="shared" si="305"/>
        <v>11361.870000000003</v>
      </c>
      <c r="H929" s="35">
        <f t="shared" si="305"/>
        <v>11270.159999999993</v>
      </c>
      <c r="I929" s="35">
        <f t="shared" si="305"/>
        <v>11653.71000000001</v>
      </c>
      <c r="J929" s="35">
        <f t="shared" si="305"/>
        <v>11448.54</v>
      </c>
      <c r="K929" s="35">
        <f t="shared" si="305"/>
        <v>11550.839999999997</v>
      </c>
      <c r="L929" s="35">
        <f t="shared" si="305"/>
        <v>11944.02</v>
      </c>
      <c r="M929" s="36"/>
      <c r="N929" s="36"/>
      <c r="O929" s="36"/>
      <c r="P929" s="36"/>
      <c r="Q929" s="36"/>
      <c r="R929" s="37"/>
      <c r="S929" s="38"/>
      <c r="Z929" s="46"/>
      <c r="AA929" s="46"/>
    </row>
    <row r="930" spans="1:27" ht="15.75">
      <c r="A930" s="39">
        <v>43796</v>
      </c>
      <c r="B930" s="115" t="s">
        <v>429</v>
      </c>
      <c r="C930" s="26" t="s">
        <v>126</v>
      </c>
      <c r="D930">
        <v>29084.29</v>
      </c>
      <c r="E930">
        <v>28922.52</v>
      </c>
      <c r="F930">
        <v>28904.3</v>
      </c>
      <c r="G930">
        <v>28913.119999999999</v>
      </c>
      <c r="H930">
        <v>29019.97</v>
      </c>
      <c r="I930">
        <v>29004.2</v>
      </c>
      <c r="J930">
        <v>28893.45</v>
      </c>
      <c r="K930">
        <v>28920.37</v>
      </c>
      <c r="L930">
        <v>29046.68</v>
      </c>
      <c r="M930" s="27">
        <f>IF((L931=""),"",MAX(D932:L932))</f>
        <v>11168.52</v>
      </c>
      <c r="N930" s="27">
        <f>IF(L931="","",MIN(D932:L932))</f>
        <v>10543.350000000002</v>
      </c>
      <c r="O930" s="27">
        <f>IF((L932=""),"",AVERAGE(D932:L932))</f>
        <v>10876.326666666668</v>
      </c>
      <c r="P930" s="27">
        <f>IF((L931=""),"",STDEV(D932:L932))</f>
        <v>219.71617612275892</v>
      </c>
      <c r="Q930" s="168">
        <f>IF((L931=""),"",((M930-N930)/(M930+P930))*100)</f>
        <v>5.4896121781419165</v>
      </c>
      <c r="R930" s="28" t="str">
        <f>IF(L931="","",IF(Q930&lt;Z930,IF(N930&gt;V930,IF(M930&lt;W930,"Pass","Fail"),"Fail"),"Fail"))</f>
        <v>Pass</v>
      </c>
      <c r="S930" s="29">
        <v>1428</v>
      </c>
      <c r="T930" s="49" t="s">
        <v>418</v>
      </c>
      <c r="V930" s="53">
        <v>10000</v>
      </c>
      <c r="W930" s="22">
        <v>15600</v>
      </c>
      <c r="X930" s="40">
        <v>8090</v>
      </c>
      <c r="Y930" s="40">
        <v>12070</v>
      </c>
      <c r="Z930" s="49">
        <v>15</v>
      </c>
      <c r="AA930" s="49">
        <v>6</v>
      </c>
    </row>
    <row r="931" spans="1:27" ht="15.75">
      <c r="A931" s="96"/>
      <c r="B931" s="96"/>
      <c r="C931" s="30" t="s">
        <v>128</v>
      </c>
      <c r="D931">
        <v>25525.56</v>
      </c>
      <c r="E931">
        <v>25351.73</v>
      </c>
      <c r="F931">
        <v>25389.85</v>
      </c>
      <c r="G931">
        <v>25287.48</v>
      </c>
      <c r="H931">
        <v>25297.17</v>
      </c>
      <c r="I931">
        <v>25281.360000000001</v>
      </c>
      <c r="J931">
        <v>25281.73</v>
      </c>
      <c r="K931">
        <v>25306.07</v>
      </c>
      <c r="L931">
        <v>25358.97</v>
      </c>
      <c r="M931" s="31"/>
      <c r="N931" s="31"/>
      <c r="O931" s="31"/>
      <c r="P931" s="31"/>
      <c r="Q931" s="31"/>
      <c r="R931" s="32"/>
      <c r="S931" s="33"/>
      <c r="Z931" s="46"/>
      <c r="AA931" s="46"/>
    </row>
    <row r="932" spans="1:27" ht="13.5" thickBot="1">
      <c r="A932" s="98"/>
      <c r="B932" s="112"/>
      <c r="C932" s="34" t="s">
        <v>129</v>
      </c>
      <c r="D932" s="35">
        <f>IF(((D930="")*AND(D931="")),"",(D930-D931)*3)</f>
        <v>10676.189999999999</v>
      </c>
      <c r="E932" s="35">
        <f t="shared" ref="E932:L932" si="306">IF(((E930="")*AND(E931="")),"",(E930-E931)*3)</f>
        <v>10712.370000000003</v>
      </c>
      <c r="F932" s="35">
        <f t="shared" si="306"/>
        <v>10543.350000000002</v>
      </c>
      <c r="G932" s="35">
        <f t="shared" si="306"/>
        <v>10876.919999999998</v>
      </c>
      <c r="H932" s="35">
        <f t="shared" si="306"/>
        <v>11168.400000000009</v>
      </c>
      <c r="I932" s="35">
        <f t="shared" si="306"/>
        <v>11168.52</v>
      </c>
      <c r="J932" s="35">
        <f t="shared" si="306"/>
        <v>10835.160000000003</v>
      </c>
      <c r="K932" s="35">
        <f t="shared" si="306"/>
        <v>10842.899999999998</v>
      </c>
      <c r="L932" s="35">
        <f t="shared" si="306"/>
        <v>11063.129999999997</v>
      </c>
      <c r="M932" s="36"/>
      <c r="N932" s="36"/>
      <c r="O932" s="36"/>
      <c r="P932" s="36"/>
      <c r="Q932" s="36"/>
      <c r="R932" s="37"/>
      <c r="S932" s="38"/>
      <c r="Z932" s="46"/>
      <c r="AA932" s="46"/>
    </row>
    <row r="933" spans="1:27" ht="15.75">
      <c r="A933" s="39">
        <v>43800</v>
      </c>
      <c r="B933" s="115" t="s">
        <v>429</v>
      </c>
      <c r="C933" s="26" t="s">
        <v>126</v>
      </c>
      <c r="D933">
        <v>29009.86</v>
      </c>
      <c r="E933">
        <v>28875.88</v>
      </c>
      <c r="F933">
        <v>28839.35</v>
      </c>
      <c r="G933">
        <v>28864.05</v>
      </c>
      <c r="H933">
        <v>28973.27</v>
      </c>
      <c r="I933">
        <v>28991.06</v>
      </c>
      <c r="J933">
        <v>28864.43</v>
      </c>
      <c r="K933">
        <v>28866.18</v>
      </c>
      <c r="L933">
        <v>28994.46</v>
      </c>
      <c r="M933" s="27">
        <f>IF((L934=""),"",MAX(D935:L935))</f>
        <v>11262</v>
      </c>
      <c r="N933" s="27">
        <f>IF(L934="","",MIN(D935:L935))</f>
        <v>10518.659999999993</v>
      </c>
      <c r="O933" s="27">
        <f>IF((L935=""),"",AVERAGE(D935:L935))</f>
        <v>10897.283333333333</v>
      </c>
      <c r="P933" s="27">
        <f>IF((L934=""),"",STDEV(D935:L935))</f>
        <v>220.8451649346697</v>
      </c>
      <c r="Q933" s="168">
        <f>IF((L934=""),"",((M933-N933)/(M933+P933))*100)</f>
        <v>6.473482741628839</v>
      </c>
      <c r="R933" s="28" t="str">
        <f>IF(L934="","",IF(Q933&lt;Z933,IF(N933&gt;V933,IF(M933&lt;W933,"Pass","Fail"),"Fail"),"Fail"))</f>
        <v>Pass</v>
      </c>
      <c r="S933" s="29">
        <v>1335</v>
      </c>
      <c r="T933" s="49" t="s">
        <v>420</v>
      </c>
      <c r="V933" s="53">
        <v>10000</v>
      </c>
      <c r="W933" s="22">
        <v>15600</v>
      </c>
      <c r="X933" s="40">
        <v>8090</v>
      </c>
      <c r="Y933" s="40">
        <v>12070</v>
      </c>
      <c r="Z933" s="49">
        <v>15</v>
      </c>
      <c r="AA933" s="49">
        <v>6</v>
      </c>
    </row>
    <row r="934" spans="1:27" ht="15.75">
      <c r="A934" s="96"/>
      <c r="B934" s="96"/>
      <c r="C934" s="30" t="s">
        <v>128</v>
      </c>
      <c r="D934">
        <v>25446.41</v>
      </c>
      <c r="E934">
        <v>25271.08</v>
      </c>
      <c r="F934">
        <v>25333.13</v>
      </c>
      <c r="G934">
        <v>25226.45</v>
      </c>
      <c r="H934">
        <v>25219.27</v>
      </c>
      <c r="I934">
        <v>25297.17</v>
      </c>
      <c r="J934">
        <v>25224.07</v>
      </c>
      <c r="K934">
        <v>25258.5</v>
      </c>
      <c r="L934">
        <v>25310.61</v>
      </c>
      <c r="M934" s="31"/>
      <c r="N934" s="31"/>
      <c r="O934" s="31"/>
      <c r="P934" s="31"/>
      <c r="Q934" s="31"/>
      <c r="R934" s="32"/>
      <c r="S934" s="33"/>
      <c r="Z934" s="46"/>
      <c r="AA934" s="46"/>
    </row>
    <row r="935" spans="1:27" ht="13.5" thickBot="1">
      <c r="A935" s="98"/>
      <c r="B935" s="112"/>
      <c r="C935" s="34" t="s">
        <v>129</v>
      </c>
      <c r="D935" s="35">
        <f>IF(((D933="")*AND(D934="")),"",(D933-D934)*3)</f>
        <v>10690.350000000002</v>
      </c>
      <c r="E935" s="35">
        <f t="shared" ref="E935:L935" si="307">IF(((E933="")*AND(E934="")),"",(E933-E934)*3)</f>
        <v>10814.399999999998</v>
      </c>
      <c r="F935" s="35">
        <f t="shared" si="307"/>
        <v>10518.659999999993</v>
      </c>
      <c r="G935" s="35">
        <f t="shared" si="307"/>
        <v>10912.799999999996</v>
      </c>
      <c r="H935" s="35">
        <f t="shared" si="307"/>
        <v>11262</v>
      </c>
      <c r="I935" s="35">
        <f t="shared" si="307"/>
        <v>11081.670000000009</v>
      </c>
      <c r="J935" s="35">
        <f t="shared" si="307"/>
        <v>10921.080000000002</v>
      </c>
      <c r="K935" s="35">
        <f t="shared" si="307"/>
        <v>10823.04</v>
      </c>
      <c r="L935" s="35">
        <f t="shared" si="307"/>
        <v>11051.549999999996</v>
      </c>
      <c r="M935" s="36"/>
      <c r="N935" s="36"/>
      <c r="O935" s="36"/>
      <c r="P935" s="36"/>
      <c r="Q935" s="36"/>
      <c r="R935" s="37"/>
      <c r="S935" s="38"/>
      <c r="Z935" s="46"/>
      <c r="AA935" s="46"/>
    </row>
    <row r="936" spans="1:27" ht="15.75">
      <c r="A936" s="39">
        <v>43804</v>
      </c>
      <c r="B936" s="115" t="s">
        <v>429</v>
      </c>
      <c r="C936" s="26" t="s">
        <v>126</v>
      </c>
      <c r="D936">
        <v>29289.88</v>
      </c>
      <c r="E936">
        <v>29157.03</v>
      </c>
      <c r="F936">
        <v>29144.41</v>
      </c>
      <c r="G936">
        <v>29121.759999999998</v>
      </c>
      <c r="H936">
        <v>29218.400000000001</v>
      </c>
      <c r="I936">
        <v>29286.98</v>
      </c>
      <c r="J936">
        <v>29135.84</v>
      </c>
      <c r="K936">
        <v>29124.33</v>
      </c>
      <c r="L936">
        <v>29224.42</v>
      </c>
      <c r="M936" s="27">
        <f>IF((L937=""),"",MAX(D938:L938))</f>
        <v>12290.430000000004</v>
      </c>
      <c r="N936" s="27">
        <f>IF(L937="","",MIN(D938:L938))</f>
        <v>11407.860000000008</v>
      </c>
      <c r="O936" s="27">
        <f>IF((L938=""),"",AVERAGE(D938:L938))</f>
        <v>11881.016666666668</v>
      </c>
      <c r="P936" s="27">
        <f>IF((L937=""),"",STDEV(D938:L938))</f>
        <v>293.29046822207454</v>
      </c>
      <c r="Q936" s="168">
        <f>IF((L937=""),"",((M936-N936)/(M936+P936))*100)</f>
        <v>7.0135855467289483</v>
      </c>
      <c r="R936" s="28" t="str">
        <f>IF(L937="","",IF(Q936&lt;Z936,IF(N936&gt;V936,IF(M936&lt;W936,"Pass","Fail"),"Fail"),"Fail"))</f>
        <v>Pass</v>
      </c>
      <c r="S936" s="29">
        <v>1335</v>
      </c>
      <c r="V936" s="53">
        <v>10000</v>
      </c>
      <c r="W936" s="22">
        <v>15600</v>
      </c>
      <c r="X936" s="40">
        <v>8090</v>
      </c>
      <c r="Y936" s="40">
        <v>12070</v>
      </c>
      <c r="Z936" s="49">
        <v>15</v>
      </c>
      <c r="AA936" s="49">
        <v>6</v>
      </c>
    </row>
    <row r="937" spans="1:27" ht="15.75">
      <c r="A937" s="96"/>
      <c r="B937" s="96"/>
      <c r="C937" s="30" t="s">
        <v>128</v>
      </c>
      <c r="D937">
        <v>25193.07</v>
      </c>
      <c r="E937">
        <v>25151.71</v>
      </c>
      <c r="F937">
        <v>25262.48</v>
      </c>
      <c r="G937">
        <v>25224.43</v>
      </c>
      <c r="H937">
        <v>25415.78</v>
      </c>
      <c r="I937">
        <v>25363.040000000001</v>
      </c>
      <c r="J937">
        <v>25197.200000000001</v>
      </c>
      <c r="K937">
        <v>25118.38</v>
      </c>
      <c r="L937">
        <v>25133.91</v>
      </c>
      <c r="M937" s="31"/>
      <c r="N937" s="31"/>
      <c r="O937" s="31"/>
      <c r="P937" s="31"/>
      <c r="Q937" s="31"/>
      <c r="R937" s="32"/>
      <c r="S937" s="33"/>
      <c r="Z937" s="46"/>
      <c r="AA937" s="46"/>
    </row>
    <row r="938" spans="1:27" ht="13.5" thickBot="1">
      <c r="A938" s="98"/>
      <c r="B938" s="112"/>
      <c r="C938" s="34" t="s">
        <v>129</v>
      </c>
      <c r="D938" s="35">
        <f>IF(((D936="")*AND(D937="")),"",(D936-D937)*3)</f>
        <v>12290.430000000004</v>
      </c>
      <c r="E938" s="35">
        <f t="shared" ref="E938:L938" si="308">IF(((E936="")*AND(E937="")),"",(E936-E937)*3)</f>
        <v>12015.96</v>
      </c>
      <c r="F938" s="35">
        <f t="shared" si="308"/>
        <v>11645.79</v>
      </c>
      <c r="G938" s="35">
        <f t="shared" si="308"/>
        <v>11691.989999999994</v>
      </c>
      <c r="H938" s="35">
        <f t="shared" si="308"/>
        <v>11407.860000000008</v>
      </c>
      <c r="I938" s="35">
        <f t="shared" si="308"/>
        <v>11771.819999999996</v>
      </c>
      <c r="J938" s="35">
        <f t="shared" si="308"/>
        <v>11815.919999999998</v>
      </c>
      <c r="K938" s="35">
        <f t="shared" si="308"/>
        <v>12017.850000000002</v>
      </c>
      <c r="L938" s="35">
        <f t="shared" si="308"/>
        <v>12271.529999999995</v>
      </c>
      <c r="M938" s="36"/>
      <c r="N938" s="36"/>
      <c r="O938" s="36"/>
      <c r="P938" s="36"/>
      <c r="Q938" s="36"/>
      <c r="R938" s="37"/>
      <c r="S938" s="38"/>
      <c r="Z938" s="46"/>
      <c r="AA938" s="46"/>
    </row>
    <row r="939" spans="1:27" ht="15.75">
      <c r="A939" s="39">
        <v>43811</v>
      </c>
      <c r="B939" s="115" t="s">
        <v>429</v>
      </c>
      <c r="C939" s="26" t="s">
        <v>126</v>
      </c>
      <c r="D939">
        <v>28985.3</v>
      </c>
      <c r="E939">
        <v>28861.86</v>
      </c>
      <c r="F939">
        <v>28864.07</v>
      </c>
      <c r="G939">
        <v>28846.57</v>
      </c>
      <c r="H939">
        <v>28964</v>
      </c>
      <c r="I939">
        <v>28980.9</v>
      </c>
      <c r="J939">
        <v>28850.21</v>
      </c>
      <c r="K939">
        <v>28850.46</v>
      </c>
      <c r="L939">
        <v>28944.37</v>
      </c>
      <c r="M939" s="27">
        <f>IF((L940=""),"",MAX(D941:L941))</f>
        <v>10733.189999999999</v>
      </c>
      <c r="N939" s="27">
        <f>IF(L940="","",MIN(D941:L941))</f>
        <v>10034.129999999997</v>
      </c>
      <c r="O939" s="27">
        <f>IF((L941=""),"",AVERAGE(D941:L941))</f>
        <v>10317.220000000001</v>
      </c>
      <c r="P939" s="27">
        <f>IF((L940=""),"",STDEV(D941:L941))</f>
        <v>256.82464061100563</v>
      </c>
      <c r="Q939" s="168">
        <f>IF((L940=""),"",((M939-N939)/(M939+P939))*100)</f>
        <v>6.3608650475932045</v>
      </c>
      <c r="R939" s="28" t="str">
        <f>IF(L940="","",IF(Q939&lt;Z939,IF(N939&gt;V939,IF(M939&lt;W939,"Pass","Fail"),"Fail"),"Fail"))</f>
        <v>Pass</v>
      </c>
      <c r="S939" s="29">
        <v>1519</v>
      </c>
      <c r="T939" s="49" t="s">
        <v>435</v>
      </c>
      <c r="V939" s="53">
        <v>10000</v>
      </c>
      <c r="W939" s="22">
        <v>15600</v>
      </c>
      <c r="X939" s="40">
        <v>8090</v>
      </c>
      <c r="Y939" s="40">
        <v>12070</v>
      </c>
      <c r="Z939" s="49">
        <v>15</v>
      </c>
      <c r="AA939" s="49">
        <v>6</v>
      </c>
    </row>
    <row r="940" spans="1:27" ht="15.75">
      <c r="A940" s="96"/>
      <c r="B940" s="96"/>
      <c r="C940" s="30" t="s">
        <v>128</v>
      </c>
      <c r="D940">
        <v>25640.59</v>
      </c>
      <c r="E940">
        <v>25485.7</v>
      </c>
      <c r="F940">
        <v>25489.62</v>
      </c>
      <c r="G940">
        <v>25370.52</v>
      </c>
      <c r="H940">
        <v>25396.71</v>
      </c>
      <c r="I940">
        <v>25603.8</v>
      </c>
      <c r="J940">
        <v>25437.23</v>
      </c>
      <c r="K940">
        <v>25405.27</v>
      </c>
      <c r="L940">
        <v>25366.639999999999</v>
      </c>
      <c r="M940" s="31"/>
      <c r="N940" s="31"/>
      <c r="O940" s="31"/>
      <c r="P940" s="31"/>
      <c r="Q940" s="31"/>
      <c r="R940" s="32"/>
      <c r="S940" s="33"/>
      <c r="Z940" s="46"/>
      <c r="AA940" s="46"/>
    </row>
    <row r="941" spans="1:27" ht="13.5" thickBot="1">
      <c r="A941" s="98"/>
      <c r="B941" s="112"/>
      <c r="C941" s="34" t="s">
        <v>129</v>
      </c>
      <c r="D941" s="35">
        <f>IF(((D939="")*AND(D940="")),"",(D939-D940)*3)</f>
        <v>10034.129999999997</v>
      </c>
      <c r="E941" s="35">
        <f t="shared" ref="E941:L941" si="309">IF(((E939="")*AND(E940="")),"",(E939-E940)*3)</f>
        <v>10128.48</v>
      </c>
      <c r="F941" s="35">
        <f t="shared" si="309"/>
        <v>10123.350000000002</v>
      </c>
      <c r="G941" s="35">
        <f t="shared" si="309"/>
        <v>10428.149999999998</v>
      </c>
      <c r="H941" s="35">
        <f t="shared" si="309"/>
        <v>10701.870000000003</v>
      </c>
      <c r="I941" s="35">
        <f t="shared" si="309"/>
        <v>10131.300000000007</v>
      </c>
      <c r="J941" s="35">
        <f t="shared" si="309"/>
        <v>10238.939999999999</v>
      </c>
      <c r="K941" s="35">
        <f t="shared" si="309"/>
        <v>10335.569999999996</v>
      </c>
      <c r="L941" s="35">
        <f t="shared" si="309"/>
        <v>10733.189999999999</v>
      </c>
      <c r="M941" s="36"/>
      <c r="N941" s="36"/>
      <c r="O941" s="36"/>
      <c r="P941" s="36"/>
      <c r="Q941" s="36"/>
      <c r="R941" s="37"/>
      <c r="S941" s="38"/>
      <c r="Z941" s="46"/>
      <c r="AA941" s="46"/>
    </row>
    <row r="942" spans="1:27" ht="15.75">
      <c r="A942" s="39">
        <v>43815</v>
      </c>
      <c r="B942" s="115" t="s">
        <v>429</v>
      </c>
      <c r="C942" s="26" t="s">
        <v>126</v>
      </c>
      <c r="D942">
        <v>29200.47</v>
      </c>
      <c r="E942">
        <v>29078.52</v>
      </c>
      <c r="F942">
        <v>29049.17</v>
      </c>
      <c r="G942">
        <v>29078.71</v>
      </c>
      <c r="H942">
        <v>29226.720000000001</v>
      </c>
      <c r="I942">
        <v>29182.799999999999</v>
      </c>
      <c r="J942">
        <v>29069.93</v>
      </c>
      <c r="K942">
        <v>29046.95</v>
      </c>
      <c r="L942">
        <v>29165.72</v>
      </c>
      <c r="M942" s="27">
        <f>IF((L943=""),"",MAX(D944:L944))</f>
        <v>11546.430000000004</v>
      </c>
      <c r="N942" s="27">
        <f>IF(L943="","",MIN(D944:L944))</f>
        <v>10793.130000000008</v>
      </c>
      <c r="O942" s="27">
        <f>IF((L944=""),"",AVERAGE(D944:L944))</f>
        <v>11111.210000000001</v>
      </c>
      <c r="P942" s="27">
        <f>IF((L943=""),"",STDEV(D944:L944))</f>
        <v>255.72817340878714</v>
      </c>
      <c r="Q942" s="168">
        <f>IF((L943=""),"",((M942-N942)/(M942+P942))*100)</f>
        <v>6.3827309287994547</v>
      </c>
      <c r="R942" s="28" t="str">
        <f>IF(L943="","",IF(Q942&lt;Z942,IF(N942&gt;V942,IF(M942&lt;W942,"Pass","Fail"),"Fail"),"Fail"))</f>
        <v>Pass</v>
      </c>
      <c r="S942" s="29">
        <v>1159</v>
      </c>
      <c r="T942" s="49" t="s">
        <v>438</v>
      </c>
      <c r="V942" s="53">
        <v>10000</v>
      </c>
      <c r="W942" s="22">
        <v>15600</v>
      </c>
      <c r="X942" s="40">
        <v>8090</v>
      </c>
      <c r="Y942" s="40">
        <v>12070</v>
      </c>
      <c r="Z942" s="49">
        <v>15</v>
      </c>
      <c r="AA942" s="49">
        <v>6</v>
      </c>
    </row>
    <row r="943" spans="1:27" ht="15.75">
      <c r="A943" s="96"/>
      <c r="B943" s="96"/>
      <c r="C943" s="30" t="s">
        <v>128</v>
      </c>
      <c r="D943">
        <v>25602.76</v>
      </c>
      <c r="E943">
        <v>25448.84</v>
      </c>
      <c r="F943">
        <v>25445.360000000001</v>
      </c>
      <c r="G943">
        <v>25337.48</v>
      </c>
      <c r="H943">
        <v>25377.91</v>
      </c>
      <c r="I943">
        <v>25448.79</v>
      </c>
      <c r="J943">
        <v>25357.42</v>
      </c>
      <c r="K943">
        <v>25370</v>
      </c>
      <c r="L943">
        <v>25376.799999999999</v>
      </c>
      <c r="M943" s="31"/>
      <c r="N943" s="31"/>
      <c r="O943" s="31"/>
      <c r="P943" s="31"/>
      <c r="Q943" s="31"/>
      <c r="R943" s="32"/>
      <c r="S943" s="33"/>
      <c r="Z943" s="46"/>
      <c r="AA943" s="46"/>
    </row>
    <row r="944" spans="1:27" ht="13.5" thickBot="1">
      <c r="A944" s="98"/>
      <c r="B944" s="112"/>
      <c r="C944" s="34" t="s">
        <v>129</v>
      </c>
      <c r="D944" s="35">
        <f>IF(((D942="")*AND(D943="")),"",(D942-D943)*3)</f>
        <v>10793.130000000008</v>
      </c>
      <c r="E944" s="35">
        <f t="shared" ref="E944:L944" si="310">IF(((E942="")*AND(E943="")),"",(E942-E943)*3)</f>
        <v>10889.04</v>
      </c>
      <c r="F944" s="35">
        <f t="shared" si="310"/>
        <v>10811.429999999993</v>
      </c>
      <c r="G944" s="35">
        <f t="shared" si="310"/>
        <v>11223.689999999999</v>
      </c>
      <c r="H944" s="35">
        <f t="shared" si="310"/>
        <v>11546.430000000004</v>
      </c>
      <c r="I944" s="35">
        <f t="shared" si="310"/>
        <v>11202.029999999995</v>
      </c>
      <c r="J944" s="35">
        <f t="shared" si="310"/>
        <v>11137.530000000006</v>
      </c>
      <c r="K944" s="35">
        <f t="shared" si="310"/>
        <v>11030.850000000002</v>
      </c>
      <c r="L944" s="35">
        <f t="shared" si="310"/>
        <v>11366.760000000006</v>
      </c>
      <c r="M944" s="36"/>
      <c r="N944" s="36"/>
      <c r="O944" s="36"/>
      <c r="P944" s="36"/>
      <c r="Q944" s="36"/>
      <c r="R944" s="37"/>
      <c r="S944" s="38"/>
      <c r="Z944" s="46"/>
      <c r="AA944" s="46"/>
    </row>
    <row r="945" spans="1:27" ht="15.75">
      <c r="A945" s="39">
        <v>43819</v>
      </c>
      <c r="B945" s="115" t="s">
        <v>429</v>
      </c>
      <c r="C945" s="26" t="s">
        <v>126</v>
      </c>
      <c r="D945">
        <v>29189.74</v>
      </c>
      <c r="E945">
        <v>29063.08</v>
      </c>
      <c r="F945">
        <v>29058.84</v>
      </c>
      <c r="G945">
        <v>29063.78</v>
      </c>
      <c r="H945">
        <v>29172.32</v>
      </c>
      <c r="I945">
        <v>29164.04</v>
      </c>
      <c r="J945">
        <v>29044.97</v>
      </c>
      <c r="K945">
        <v>29072.25</v>
      </c>
      <c r="L945">
        <v>29171.88</v>
      </c>
      <c r="M945" s="27">
        <f>IF((L946=""),"",MAX(D947:L947))</f>
        <v>12151.169999999998</v>
      </c>
      <c r="N945" s="27">
        <f>IF(L946="","",MIN(D947:L947))</f>
        <v>11196.360000000008</v>
      </c>
      <c r="O945" s="27">
        <f>IF((L947=""),"",AVERAGE(D947:L947))</f>
        <v>11676.18</v>
      </c>
      <c r="P945" s="27">
        <f>IF((L946=""),"",STDEV(D947:L947))</f>
        <v>296.72198427154132</v>
      </c>
      <c r="Q945" s="168">
        <f>IF((L946=""),"",((M945-N945)/(M945+P945))*100)</f>
        <v>7.6704553767532264</v>
      </c>
      <c r="R945" s="28" t="str">
        <f>IF(L946="","",IF(Q945&lt;Z945,IF(N945&gt;V945,IF(M945&lt;W945,"Pass","Fail"),"Fail"),"Fail"))</f>
        <v>Pass</v>
      </c>
      <c r="S945" s="29">
        <v>1159</v>
      </c>
      <c r="T945" s="49" t="s">
        <v>441</v>
      </c>
      <c r="U945" s="48" t="s">
        <v>439</v>
      </c>
      <c r="V945" s="53">
        <v>10000</v>
      </c>
      <c r="W945" s="22">
        <v>15600</v>
      </c>
      <c r="X945" s="40">
        <v>8090</v>
      </c>
      <c r="Y945" s="40">
        <v>12070</v>
      </c>
      <c r="Z945" s="49">
        <v>15</v>
      </c>
      <c r="AA945" s="49">
        <v>6</v>
      </c>
    </row>
    <row r="946" spans="1:27" ht="15.75">
      <c r="A946" s="96"/>
      <c r="B946" s="96"/>
      <c r="C946" s="30" t="s">
        <v>128</v>
      </c>
      <c r="D946">
        <v>25457.62</v>
      </c>
      <c r="E946">
        <v>25247.41</v>
      </c>
      <c r="F946">
        <v>25244.79</v>
      </c>
      <c r="G946">
        <v>25086.639999999999</v>
      </c>
      <c r="H946">
        <v>25121.93</v>
      </c>
      <c r="I946">
        <v>25300.31</v>
      </c>
      <c r="J946">
        <v>25165.53</v>
      </c>
      <c r="K946">
        <v>25149.07</v>
      </c>
      <c r="L946">
        <v>25199.06</v>
      </c>
      <c r="M946" s="31"/>
      <c r="N946" s="31"/>
      <c r="O946" s="31"/>
      <c r="P946" s="31"/>
      <c r="Q946" s="31"/>
      <c r="R946" s="32"/>
      <c r="S946" s="33"/>
      <c r="Z946" s="46"/>
      <c r="AA946" s="46"/>
    </row>
    <row r="947" spans="1:27" ht="13.5" thickBot="1">
      <c r="A947" s="98"/>
      <c r="B947" s="112"/>
      <c r="C947" s="34" t="s">
        <v>129</v>
      </c>
      <c r="D947" s="35">
        <f>IF(((D945="")*AND(D946="")),"",(D945-D946)*3)</f>
        <v>11196.360000000008</v>
      </c>
      <c r="E947" s="35">
        <f t="shared" ref="E947:L947" si="311">IF(((E945="")*AND(E946="")),"",(E945-E946)*3)</f>
        <v>11447.010000000006</v>
      </c>
      <c r="F947" s="35">
        <f t="shared" si="311"/>
        <v>11442.149999999998</v>
      </c>
      <c r="G947" s="35">
        <f t="shared" si="311"/>
        <v>11931.419999999998</v>
      </c>
      <c r="H947" s="35">
        <f t="shared" si="311"/>
        <v>12151.169999999998</v>
      </c>
      <c r="I947" s="35">
        <f t="shared" si="311"/>
        <v>11591.189999999999</v>
      </c>
      <c r="J947" s="35">
        <f t="shared" si="311"/>
        <v>11638.320000000007</v>
      </c>
      <c r="K947" s="35">
        <f t="shared" si="311"/>
        <v>11769.54</v>
      </c>
      <c r="L947" s="35">
        <f t="shared" si="311"/>
        <v>11918.46</v>
      </c>
      <c r="M947" s="36"/>
      <c r="N947" s="36"/>
      <c r="O947" s="36"/>
      <c r="P947" s="36"/>
      <c r="Q947" s="36"/>
      <c r="R947" s="37"/>
      <c r="S947" s="38"/>
      <c r="Z947" s="46"/>
      <c r="AA947" s="46"/>
    </row>
    <row r="948" spans="1:27" ht="15.75">
      <c r="A948" s="39">
        <v>43823</v>
      </c>
      <c r="B948" s="115" t="s">
        <v>429</v>
      </c>
      <c r="C948" s="26" t="s">
        <v>126</v>
      </c>
      <c r="D948">
        <v>29165.99</v>
      </c>
      <c r="E948">
        <v>29071.11</v>
      </c>
      <c r="F948">
        <v>29045.040000000001</v>
      </c>
      <c r="G948">
        <v>29058.09</v>
      </c>
      <c r="H948">
        <v>29158.67</v>
      </c>
      <c r="I948">
        <v>29188.13</v>
      </c>
      <c r="J948">
        <v>29041.24</v>
      </c>
      <c r="K948">
        <v>29040.21</v>
      </c>
      <c r="L948">
        <v>29136.31</v>
      </c>
      <c r="M948" s="27">
        <f>IF((L949=""),"",MAX(D950:L950))</f>
        <v>11521.830000000002</v>
      </c>
      <c r="N948" s="27">
        <f>IF(L949="","",MIN(D950:L950))</f>
        <v>10666.23</v>
      </c>
      <c r="O948" s="27">
        <f>IF((L950=""),"",AVERAGE(D950:L950))</f>
        <v>11030.863333333335</v>
      </c>
      <c r="P948" s="27">
        <f>IF((L949=""),"",STDEV(D950:L950))</f>
        <v>281.50232845397011</v>
      </c>
      <c r="Q948" s="168">
        <f>IF((L949=""),"",((M948-N948)/(M948+P948))*100)</f>
        <v>7.2488003912033427</v>
      </c>
      <c r="R948" s="28" t="str">
        <f>IF(L949="","",IF(Q948&lt;Z948,IF(N948&gt;V948,IF(M948&lt;W948,"Pass","Fail"),"Fail"),"Fail"))</f>
        <v>Pass</v>
      </c>
      <c r="S948" s="29">
        <v>1428</v>
      </c>
      <c r="T948" s="49" t="s">
        <v>443</v>
      </c>
      <c r="V948" s="53">
        <v>10000</v>
      </c>
      <c r="W948" s="22">
        <v>15600</v>
      </c>
      <c r="X948" s="40">
        <v>8090</v>
      </c>
      <c r="Y948" s="40">
        <v>12070</v>
      </c>
      <c r="Z948" s="49">
        <v>15</v>
      </c>
      <c r="AA948" s="49">
        <v>6</v>
      </c>
    </row>
    <row r="949" spans="1:27" ht="15.75">
      <c r="A949" s="96"/>
      <c r="B949" s="96"/>
      <c r="C949" s="30" t="s">
        <v>128</v>
      </c>
      <c r="D949">
        <v>25325.38</v>
      </c>
      <c r="E949">
        <v>25329.439999999999</v>
      </c>
      <c r="F949">
        <v>25484.03</v>
      </c>
      <c r="G949">
        <v>25453.64</v>
      </c>
      <c r="H949">
        <v>25603.26</v>
      </c>
      <c r="I949">
        <v>25450.69</v>
      </c>
      <c r="J949">
        <v>25383.33</v>
      </c>
      <c r="K949">
        <v>25367.31</v>
      </c>
      <c r="L949">
        <v>25415.119999999999</v>
      </c>
      <c r="M949" s="31"/>
      <c r="N949" s="31"/>
      <c r="O949" s="31"/>
      <c r="P949" s="31"/>
      <c r="Q949" s="31"/>
      <c r="R949" s="32"/>
      <c r="S949" s="33"/>
      <c r="Z949" s="46"/>
      <c r="AA949" s="46"/>
    </row>
    <row r="950" spans="1:27" ht="13.5" thickBot="1">
      <c r="A950" s="98"/>
      <c r="B950" s="112"/>
      <c r="C950" s="34" t="s">
        <v>129</v>
      </c>
      <c r="D950" s="35">
        <f>IF(((D948="")*AND(D949="")),"",(D948-D949)*3)</f>
        <v>11521.830000000002</v>
      </c>
      <c r="E950" s="35">
        <f t="shared" ref="E950:L950" si="312">IF(((E948="")*AND(E949="")),"",(E948-E949)*3)</f>
        <v>11225.010000000006</v>
      </c>
      <c r="F950" s="35">
        <f t="shared" si="312"/>
        <v>10683.030000000006</v>
      </c>
      <c r="G950" s="35">
        <f t="shared" si="312"/>
        <v>10813.350000000002</v>
      </c>
      <c r="H950" s="35">
        <f t="shared" si="312"/>
        <v>10666.23</v>
      </c>
      <c r="I950" s="35">
        <f t="shared" si="312"/>
        <v>11212.320000000007</v>
      </c>
      <c r="J950" s="35">
        <f t="shared" si="312"/>
        <v>10973.73</v>
      </c>
      <c r="K950" s="35">
        <f t="shared" si="312"/>
        <v>11018.699999999993</v>
      </c>
      <c r="L950" s="35">
        <f t="shared" si="312"/>
        <v>11163.570000000007</v>
      </c>
      <c r="M950" s="36"/>
      <c r="N950" s="36"/>
      <c r="O950" s="36"/>
      <c r="P950" s="36"/>
      <c r="Q950" s="36"/>
      <c r="R950" s="37"/>
      <c r="S950" s="38"/>
      <c r="Z950" s="46"/>
      <c r="AA950" s="46"/>
    </row>
    <row r="951" spans="1:27" ht="15.75">
      <c r="A951" s="39">
        <v>43829</v>
      </c>
      <c r="B951" s="115" t="s">
        <v>429</v>
      </c>
      <c r="C951" s="26" t="s">
        <v>126</v>
      </c>
      <c r="D951">
        <v>28942.13</v>
      </c>
      <c r="E951">
        <v>28834.11</v>
      </c>
      <c r="F951">
        <v>28748.06</v>
      </c>
      <c r="G951">
        <v>28801.86</v>
      </c>
      <c r="H951">
        <v>28965.95</v>
      </c>
      <c r="I951">
        <v>28899.93</v>
      </c>
      <c r="J951">
        <v>28798.9</v>
      </c>
      <c r="K951">
        <v>28771.78</v>
      </c>
      <c r="L951">
        <v>28852.47</v>
      </c>
      <c r="M951" s="27">
        <f>IF((L952=""),"",MAX(D953:L953))</f>
        <v>11717.669999999998</v>
      </c>
      <c r="N951" s="27">
        <f>IF(L952="","",MIN(D953:L953))</f>
        <v>10706.010000000006</v>
      </c>
      <c r="O951" s="27">
        <f>IF((L953=""),"",AVERAGE(D953:L953))</f>
        <v>11273.103333333336</v>
      </c>
      <c r="P951" s="27">
        <f>IF((L952=""),"",STDEV(D953:L953))</f>
        <v>308.75205408220955</v>
      </c>
      <c r="Q951" s="168">
        <f>IF((L952=""),"",((M951-N951)/(M951+P951))*100)</f>
        <v>8.4119781881145457</v>
      </c>
      <c r="R951" s="28" t="str">
        <f>IF(L952="","",IF(Q951&lt;Z951,IF(N951&gt;V951,IF(M951&lt;W951,"Pass","Fail"),"Fail"),"Fail"))</f>
        <v>Pass</v>
      </c>
      <c r="S951" s="29">
        <v>121</v>
      </c>
      <c r="T951" s="49" t="s">
        <v>447</v>
      </c>
      <c r="V951" s="53">
        <v>10000</v>
      </c>
      <c r="W951" s="22">
        <v>15600</v>
      </c>
      <c r="X951" s="40">
        <v>8090</v>
      </c>
      <c r="Y951" s="40">
        <v>12070</v>
      </c>
      <c r="Z951" s="49">
        <v>15</v>
      </c>
      <c r="AA951" s="49">
        <v>6</v>
      </c>
    </row>
    <row r="952" spans="1:27" ht="15.75">
      <c r="A952" s="96"/>
      <c r="B952" s="96"/>
      <c r="C952" s="30" t="s">
        <v>128</v>
      </c>
      <c r="D952">
        <v>25036.240000000002</v>
      </c>
      <c r="E952">
        <v>25016.27</v>
      </c>
      <c r="F952">
        <v>25179.39</v>
      </c>
      <c r="G952">
        <v>25126.32</v>
      </c>
      <c r="H952">
        <v>25088</v>
      </c>
      <c r="I952">
        <v>25136.02</v>
      </c>
      <c r="J952">
        <v>25039.54</v>
      </c>
      <c r="K952">
        <v>25051.5</v>
      </c>
      <c r="L952">
        <v>25122.6</v>
      </c>
      <c r="M952" s="31"/>
      <c r="N952" s="31"/>
      <c r="O952" s="31"/>
      <c r="P952" s="31"/>
      <c r="Q952" s="31"/>
      <c r="R952" s="32"/>
      <c r="S952" s="33"/>
      <c r="Z952" s="46"/>
      <c r="AA952" s="46"/>
    </row>
    <row r="953" spans="1:27" ht="13.5" thickBot="1">
      <c r="A953" s="98"/>
      <c r="B953" s="112"/>
      <c r="C953" s="34" t="s">
        <v>129</v>
      </c>
      <c r="D953" s="35">
        <f>IF(((D951="")*AND(D952="")),"",(D951-D952)*3)</f>
        <v>11717.669999999998</v>
      </c>
      <c r="E953" s="35">
        <f t="shared" ref="E953:L953" si="313">IF(((E951="")*AND(E952="")),"",(E951-E952)*3)</f>
        <v>11453.52</v>
      </c>
      <c r="F953" s="35">
        <f t="shared" si="313"/>
        <v>10706.010000000006</v>
      </c>
      <c r="G953" s="35">
        <f t="shared" si="313"/>
        <v>11026.620000000003</v>
      </c>
      <c r="H953" s="35">
        <f t="shared" si="313"/>
        <v>11633.850000000002</v>
      </c>
      <c r="I953" s="35">
        <f t="shared" si="313"/>
        <v>11291.73</v>
      </c>
      <c r="J953" s="35">
        <f t="shared" si="313"/>
        <v>11278.080000000002</v>
      </c>
      <c r="K953" s="35">
        <f t="shared" si="313"/>
        <v>11160.839999999997</v>
      </c>
      <c r="L953" s="35">
        <f t="shared" si="313"/>
        <v>11189.610000000008</v>
      </c>
      <c r="M953" s="36"/>
      <c r="N953" s="36"/>
      <c r="O953" s="36"/>
      <c r="P953" s="36"/>
      <c r="Q953" s="36"/>
      <c r="R953" s="37"/>
      <c r="S953" s="38"/>
      <c r="Z953" s="46"/>
      <c r="AA953" s="46"/>
    </row>
    <row r="954" spans="1:27" ht="15.75">
      <c r="A954" s="39">
        <v>43833</v>
      </c>
      <c r="B954" s="115" t="s">
        <v>429</v>
      </c>
      <c r="C954" s="26" t="s">
        <v>126</v>
      </c>
      <c r="D954">
        <v>29123.439999999999</v>
      </c>
      <c r="E954">
        <v>28983.64</v>
      </c>
      <c r="F954">
        <v>28993.599999999999</v>
      </c>
      <c r="G954">
        <v>29011</v>
      </c>
      <c r="H954">
        <v>29146.68</v>
      </c>
      <c r="I954">
        <v>29116.6</v>
      </c>
      <c r="J954">
        <v>29013.66</v>
      </c>
      <c r="K954">
        <v>28985.33</v>
      </c>
      <c r="L954">
        <v>29087.3</v>
      </c>
      <c r="M954" s="27">
        <f>IF((L955=""),"",MAX(D956:L956))</f>
        <v>11344.560000000001</v>
      </c>
      <c r="N954" s="27">
        <f>IF(L955="","",MIN(D956:L956))</f>
        <v>10555.5</v>
      </c>
      <c r="O954" s="27">
        <f>IF((L956=""),"",AVERAGE(D956:L956))</f>
        <v>10879.873333333331</v>
      </c>
      <c r="P954" s="27">
        <f>IF((L955=""),"",STDEV(D956:L956))</f>
        <v>260.39838728386786</v>
      </c>
      <c r="Q954" s="168">
        <f>IF((L955=""),"",((M954-N954)/(M954+P954))*100)</f>
        <v>6.7993350227314355</v>
      </c>
      <c r="R954" s="28" t="str">
        <f>IF(L955="","",IF(Q954&lt;Z954,IF(N954&gt;V954,IF(M954&lt;W954,"Pass","Fail"),"Fail"),"Fail"))</f>
        <v>Pass</v>
      </c>
      <c r="S954" s="29">
        <v>1335</v>
      </c>
      <c r="T954" s="49" t="s">
        <v>449</v>
      </c>
      <c r="V954" s="53">
        <v>10000</v>
      </c>
      <c r="W954" s="22">
        <v>15600</v>
      </c>
      <c r="X954" s="40">
        <v>8090</v>
      </c>
      <c r="Y954" s="40">
        <v>12070</v>
      </c>
      <c r="Z954" s="49">
        <v>15</v>
      </c>
      <c r="AA954" s="49">
        <v>6</v>
      </c>
    </row>
    <row r="955" spans="1:27" ht="15.75">
      <c r="A955" s="96"/>
      <c r="B955" s="96"/>
      <c r="C955" s="30" t="s">
        <v>128</v>
      </c>
      <c r="D955">
        <v>25604.94</v>
      </c>
      <c r="E955">
        <v>25439.18</v>
      </c>
      <c r="F955">
        <v>25469.52</v>
      </c>
      <c r="G955">
        <v>25337.64</v>
      </c>
      <c r="H955">
        <v>25365.16</v>
      </c>
      <c r="I955">
        <v>25436.23</v>
      </c>
      <c r="J955">
        <v>25368.61</v>
      </c>
      <c r="K955">
        <v>25378.6</v>
      </c>
      <c r="L955">
        <v>25421.75</v>
      </c>
      <c r="M955" s="31"/>
      <c r="N955" s="31"/>
      <c r="O955" s="31"/>
      <c r="P955" s="31"/>
      <c r="Q955" s="31"/>
      <c r="R955" s="32"/>
      <c r="S955" s="33"/>
      <c r="Z955" s="46"/>
      <c r="AA955" s="46"/>
    </row>
    <row r="956" spans="1:27" ht="13.5" thickBot="1">
      <c r="A956" s="98"/>
      <c r="B956" s="112"/>
      <c r="C956" s="34" t="s">
        <v>129</v>
      </c>
      <c r="D956" s="35">
        <f>IF(((D954="")*AND(D955="")),"",(D954-D955)*3)</f>
        <v>10555.5</v>
      </c>
      <c r="E956" s="35">
        <f t="shared" ref="E956:L956" si="314">IF(((E954="")*AND(E955="")),"",(E954-E955)*3)</f>
        <v>10633.379999999997</v>
      </c>
      <c r="F956" s="35">
        <f t="shared" si="314"/>
        <v>10572.239999999994</v>
      </c>
      <c r="G956" s="35">
        <f t="shared" si="314"/>
        <v>11020.080000000002</v>
      </c>
      <c r="H956" s="35">
        <f t="shared" si="314"/>
        <v>11344.560000000001</v>
      </c>
      <c r="I956" s="35">
        <f t="shared" si="314"/>
        <v>11041.109999999997</v>
      </c>
      <c r="J956" s="35">
        <f t="shared" si="314"/>
        <v>10935.149999999998</v>
      </c>
      <c r="K956" s="35">
        <f t="shared" si="314"/>
        <v>10820.19000000001</v>
      </c>
      <c r="L956" s="35">
        <f t="shared" si="314"/>
        <v>10996.649999999998</v>
      </c>
      <c r="M956" s="36"/>
      <c r="N956" s="36"/>
      <c r="O956" s="36"/>
      <c r="P956" s="36"/>
      <c r="Q956" s="36"/>
      <c r="R956" s="37"/>
      <c r="S956" s="38"/>
      <c r="Z956" s="46"/>
      <c r="AA956" s="46"/>
    </row>
    <row r="957" spans="1:27" ht="15.75">
      <c r="A957" s="39">
        <v>43837</v>
      </c>
      <c r="B957" s="115" t="s">
        <v>429</v>
      </c>
      <c r="C957" s="26" t="s">
        <v>126</v>
      </c>
      <c r="D957">
        <v>29140.84</v>
      </c>
      <c r="E957">
        <v>29013.39</v>
      </c>
      <c r="F957">
        <v>29027.29</v>
      </c>
      <c r="G957">
        <v>29021.41</v>
      </c>
      <c r="H957">
        <v>29154.58</v>
      </c>
      <c r="I957">
        <v>29116.31</v>
      </c>
      <c r="J957">
        <v>29018.94</v>
      </c>
      <c r="K957">
        <v>29011.1</v>
      </c>
      <c r="L957">
        <v>29145.53</v>
      </c>
      <c r="M957" s="27">
        <f>IF((L958=""),"",MAX(D959:L959))</f>
        <v>12119.160000000003</v>
      </c>
      <c r="N957" s="27">
        <f>IF(L958="","",MIN(D959:L959))</f>
        <v>11330.850000000002</v>
      </c>
      <c r="O957" s="27">
        <f>IF((L959=""),"",AVERAGE(D959:L959))</f>
        <v>11705.403333333334</v>
      </c>
      <c r="P957" s="27">
        <f>IF((L958=""),"",STDEV(D959:L959))</f>
        <v>245.2475575311241</v>
      </c>
      <c r="Q957" s="168">
        <f>IF((L958=""),"",((M957-N957)/(M957+P957))*100)</f>
        <v>6.3756390779907912</v>
      </c>
      <c r="R957" s="28" t="str">
        <f>IF(L958="","",IF(Q957&lt;Z957,IF(N957&gt;V957,IF(M957&lt;W957,"Pass","Fail"),"Fail"),"Fail"))</f>
        <v>Pass</v>
      </c>
      <c r="S957" s="29">
        <v>1340</v>
      </c>
      <c r="T957" s="49" t="s">
        <v>451</v>
      </c>
      <c r="V957" s="53">
        <v>10000</v>
      </c>
      <c r="W957" s="22">
        <v>15600</v>
      </c>
      <c r="X957" s="40">
        <v>8090</v>
      </c>
      <c r="Y957" s="40">
        <v>12070</v>
      </c>
      <c r="Z957" s="49">
        <v>15</v>
      </c>
      <c r="AA957" s="49">
        <v>6</v>
      </c>
    </row>
    <row r="958" spans="1:27" ht="15.75">
      <c r="A958" s="96"/>
      <c r="B958" s="96"/>
      <c r="C958" s="30" t="s">
        <v>128</v>
      </c>
      <c r="D958">
        <v>25363.89</v>
      </c>
      <c r="E958">
        <v>25176.09</v>
      </c>
      <c r="F958">
        <v>25212.25</v>
      </c>
      <c r="G958">
        <v>25061.93</v>
      </c>
      <c r="H958">
        <v>25114.86</v>
      </c>
      <c r="I958">
        <v>25207.66</v>
      </c>
      <c r="J958">
        <v>25103.98</v>
      </c>
      <c r="K958">
        <v>25108.95</v>
      </c>
      <c r="L958">
        <v>25183.57</v>
      </c>
      <c r="M958" s="31"/>
      <c r="N958" s="31"/>
      <c r="O958" s="31"/>
      <c r="P958" s="31"/>
      <c r="Q958" s="31"/>
      <c r="R958" s="32"/>
      <c r="S958" s="33"/>
      <c r="Z958" s="46"/>
      <c r="AA958" s="46"/>
    </row>
    <row r="959" spans="1:27" ht="13.5" thickBot="1">
      <c r="A959" s="98"/>
      <c r="B959" s="112"/>
      <c r="C959" s="34" t="s">
        <v>129</v>
      </c>
      <c r="D959" s="35">
        <f>IF(((D957="")*AND(D958="")),"",(D957-D958)*3)</f>
        <v>11330.850000000002</v>
      </c>
      <c r="E959" s="35">
        <f t="shared" ref="E959:L959" si="315">IF(((E957="")*AND(E958="")),"",(E957-E958)*3)</f>
        <v>11511.899999999998</v>
      </c>
      <c r="F959" s="35">
        <f t="shared" si="315"/>
        <v>11445.120000000003</v>
      </c>
      <c r="G959" s="35">
        <f t="shared" si="315"/>
        <v>11878.439999999999</v>
      </c>
      <c r="H959" s="35">
        <f t="shared" si="315"/>
        <v>12119.160000000003</v>
      </c>
      <c r="I959" s="35">
        <f t="shared" si="315"/>
        <v>11725.950000000004</v>
      </c>
      <c r="J959" s="35">
        <f t="shared" si="315"/>
        <v>11744.879999999997</v>
      </c>
      <c r="K959" s="35">
        <f t="shared" si="315"/>
        <v>11706.449999999993</v>
      </c>
      <c r="L959" s="35">
        <f t="shared" si="315"/>
        <v>11885.879999999997</v>
      </c>
      <c r="M959" s="36"/>
      <c r="N959" s="36"/>
      <c r="O959" s="36"/>
      <c r="P959" s="36"/>
      <c r="Q959" s="36"/>
      <c r="R959" s="37"/>
      <c r="S959" s="38"/>
      <c r="Z959" s="46"/>
      <c r="AA959" s="46"/>
    </row>
    <row r="960" spans="1:27" ht="15.75">
      <c r="A960" s="39">
        <v>43841</v>
      </c>
      <c r="B960" s="115" t="s">
        <v>429</v>
      </c>
      <c r="C960" s="26" t="s">
        <v>126</v>
      </c>
      <c r="D960">
        <v>29091.53</v>
      </c>
      <c r="E960">
        <v>28954.34</v>
      </c>
      <c r="F960">
        <v>28952.61</v>
      </c>
      <c r="G960">
        <v>28956.83</v>
      </c>
      <c r="H960">
        <v>29078.01</v>
      </c>
      <c r="I960">
        <v>29065.69</v>
      </c>
      <c r="J960">
        <v>28958.79</v>
      </c>
      <c r="K960">
        <v>28933.83</v>
      </c>
      <c r="L960">
        <v>29050.14</v>
      </c>
      <c r="M960" s="27">
        <f>IF((L961=""),"",MAX(D962:L962))</f>
        <v>14518.949999999993</v>
      </c>
      <c r="N960" s="27">
        <f>IF(L961="","",MIN(D962:L962))</f>
        <v>12926.339999999997</v>
      </c>
      <c r="O960" s="27">
        <f>IF((L962=""),"",AVERAGE(D962:L962))</f>
        <v>13749.399999999998</v>
      </c>
      <c r="P960" s="27">
        <f>IF((L961=""),"",STDEV(D962:L962))</f>
        <v>459.34871239073743</v>
      </c>
      <c r="Q960" s="168">
        <f>IF((L961=""),"",((M960-N960)/(M960+P960))*100)</f>
        <v>10.632783005472559</v>
      </c>
      <c r="R960" s="28" t="str">
        <f>IF(L961="","",IF(Q960&lt;Z960,IF(N960&gt;V960,IF(M960&lt;W960,"Pass","Fail"),"Fail"),"Fail"))</f>
        <v>Pass</v>
      </c>
      <c r="S960" s="29">
        <v>1159</v>
      </c>
      <c r="T960" s="49" t="s">
        <v>453</v>
      </c>
      <c r="V960" s="53">
        <v>10000</v>
      </c>
      <c r="W960" s="22">
        <v>15600</v>
      </c>
      <c r="X960" s="40">
        <v>8090</v>
      </c>
      <c r="Y960" s="40">
        <v>12070</v>
      </c>
      <c r="Z960" s="49">
        <v>15</v>
      </c>
      <c r="AA960" s="49">
        <v>6</v>
      </c>
    </row>
    <row r="961" spans="1:27" ht="15.75">
      <c r="A961" s="96"/>
      <c r="B961" s="96"/>
      <c r="C961" s="30" t="s">
        <v>128</v>
      </c>
      <c r="D961">
        <v>24782.75</v>
      </c>
      <c r="E961">
        <v>24490.75</v>
      </c>
      <c r="F961">
        <v>24468.79</v>
      </c>
      <c r="G961">
        <v>24248.04</v>
      </c>
      <c r="H961">
        <v>24238.36</v>
      </c>
      <c r="I961">
        <v>24421.58</v>
      </c>
      <c r="J961">
        <v>24327.68</v>
      </c>
      <c r="K961">
        <v>24365.79</v>
      </c>
      <c r="L961">
        <v>24449.83</v>
      </c>
      <c r="M961" s="31"/>
      <c r="N961" s="31"/>
      <c r="O961" s="31"/>
      <c r="P961" s="31"/>
      <c r="Q961" s="31"/>
      <c r="R961" s="32"/>
      <c r="S961" s="33"/>
      <c r="Z961" s="46"/>
      <c r="AA961" s="46"/>
    </row>
    <row r="962" spans="1:27" ht="13.5" thickBot="1">
      <c r="A962" s="98"/>
      <c r="B962" s="112"/>
      <c r="C962" s="34" t="s">
        <v>129</v>
      </c>
      <c r="D962" s="35">
        <f>IF(((D960="")*AND(D961="")),"",(D960-D961)*3)</f>
        <v>12926.339999999997</v>
      </c>
      <c r="E962" s="35">
        <f t="shared" ref="E962:L962" si="316">IF(((E960="")*AND(E961="")),"",(E960-E961)*3)</f>
        <v>13390.77</v>
      </c>
      <c r="F962" s="35">
        <f t="shared" si="316"/>
        <v>13451.46</v>
      </c>
      <c r="G962" s="35">
        <f t="shared" si="316"/>
        <v>14126.370000000003</v>
      </c>
      <c r="H962" s="35">
        <f t="shared" si="316"/>
        <v>14518.949999999993</v>
      </c>
      <c r="I962" s="35">
        <f t="shared" si="316"/>
        <v>13932.329999999991</v>
      </c>
      <c r="J962" s="35">
        <f t="shared" si="316"/>
        <v>13893.330000000002</v>
      </c>
      <c r="K962" s="35">
        <f t="shared" si="316"/>
        <v>13704.120000000003</v>
      </c>
      <c r="L962" s="35">
        <f t="shared" si="316"/>
        <v>13800.929999999993</v>
      </c>
      <c r="M962" s="36"/>
      <c r="N962" s="36"/>
      <c r="O962" s="36"/>
      <c r="P962" s="36"/>
      <c r="Q962" s="36"/>
      <c r="R962" s="37"/>
      <c r="S962" s="38"/>
      <c r="Z962" s="46"/>
      <c r="AA962" s="46"/>
    </row>
    <row r="963" spans="1:27" ht="15.75">
      <c r="A963" s="39">
        <v>43845</v>
      </c>
      <c r="B963" s="115" t="s">
        <v>429</v>
      </c>
      <c r="C963" s="26" t="s">
        <v>126</v>
      </c>
      <c r="D963">
        <v>29019.84</v>
      </c>
      <c r="E963">
        <v>28889.83</v>
      </c>
      <c r="F963">
        <v>28888.52</v>
      </c>
      <c r="G963">
        <v>28906.46</v>
      </c>
      <c r="H963">
        <v>29046.23</v>
      </c>
      <c r="I963">
        <v>29013.65</v>
      </c>
      <c r="J963">
        <v>28893.46</v>
      </c>
      <c r="K963">
        <v>28885.73</v>
      </c>
      <c r="L963">
        <v>28994.28</v>
      </c>
      <c r="M963" s="27">
        <f>IF((L964=""),"",MAX(D965:L965))</f>
        <v>11212.140000000003</v>
      </c>
      <c r="N963" s="27">
        <f>IF(L964="","",MIN(D965:L965))</f>
        <v>10357.890000000003</v>
      </c>
      <c r="O963" s="27">
        <f>IF((L965=""),"",AVERAGE(D965:L965))</f>
        <v>10733.246666666666</v>
      </c>
      <c r="P963" s="27">
        <f>IF((L964=""),"",STDEV(D965:L965))</f>
        <v>254.34075125710345</v>
      </c>
      <c r="Q963" s="168">
        <f>IF((L964=""),"",((M963-N963)/(M963+P963))*100)</f>
        <v>7.449975441735651</v>
      </c>
      <c r="R963" s="28" t="str">
        <f>IF(L964="","",IF(Q963&lt;Z963,IF(N963&gt;V963,IF(M963&lt;W963,"Pass","Fail"),"Fail"),"Fail"))</f>
        <v>Pass</v>
      </c>
      <c r="S963" s="29">
        <v>1159</v>
      </c>
      <c r="T963" s="49" t="s">
        <v>455</v>
      </c>
      <c r="V963" s="53">
        <v>10000</v>
      </c>
      <c r="W963" s="22">
        <v>15600</v>
      </c>
      <c r="X963" s="40">
        <v>8090</v>
      </c>
      <c r="Y963" s="40">
        <v>12070</v>
      </c>
      <c r="Z963" s="49">
        <v>15</v>
      </c>
      <c r="AA963" s="49">
        <v>6</v>
      </c>
    </row>
    <row r="964" spans="1:27" ht="15.75">
      <c r="A964" s="96"/>
      <c r="B964" s="96"/>
      <c r="C964" s="30" t="s">
        <v>128</v>
      </c>
      <c r="D964">
        <v>25567.21</v>
      </c>
      <c r="E964">
        <v>25380.92</v>
      </c>
      <c r="F964">
        <v>25391.06</v>
      </c>
      <c r="G964">
        <v>25285.79</v>
      </c>
      <c r="H964">
        <v>25308.85</v>
      </c>
      <c r="I964">
        <v>25397.82</v>
      </c>
      <c r="J964">
        <v>25312.12</v>
      </c>
      <c r="K964">
        <v>25319.65</v>
      </c>
      <c r="L964">
        <v>25374.84</v>
      </c>
      <c r="M964" s="31"/>
      <c r="N964" s="31"/>
      <c r="O964" s="31"/>
      <c r="P964" s="31"/>
      <c r="Q964" s="31"/>
      <c r="R964" s="32"/>
      <c r="S964" s="33"/>
      <c r="Z964" s="46"/>
      <c r="AA964" s="46"/>
    </row>
    <row r="965" spans="1:27" ht="13.5" thickBot="1">
      <c r="A965" s="98"/>
      <c r="B965" s="112"/>
      <c r="C965" s="34" t="s">
        <v>129</v>
      </c>
      <c r="D965" s="35">
        <f>IF(((D963="")*AND(D964="")),"",(D963-D964)*3)</f>
        <v>10357.890000000003</v>
      </c>
      <c r="E965" s="35">
        <f t="shared" ref="E965:L965" si="317">IF(((E963="")*AND(E964="")),"",(E963-E964)*3)</f>
        <v>10526.73000000001</v>
      </c>
      <c r="F965" s="35">
        <f t="shared" si="317"/>
        <v>10492.379999999997</v>
      </c>
      <c r="G965" s="35">
        <f t="shared" si="317"/>
        <v>10862.009999999995</v>
      </c>
      <c r="H965" s="35">
        <f t="shared" si="317"/>
        <v>11212.140000000003</v>
      </c>
      <c r="I965" s="35">
        <f t="shared" si="317"/>
        <v>10847.490000000005</v>
      </c>
      <c r="J965" s="35">
        <f t="shared" si="317"/>
        <v>10744.02</v>
      </c>
      <c r="K965" s="35">
        <f t="shared" si="317"/>
        <v>10698.239999999994</v>
      </c>
      <c r="L965" s="35">
        <f t="shared" si="317"/>
        <v>10858.319999999996</v>
      </c>
      <c r="M965" s="36"/>
      <c r="N965" s="36"/>
      <c r="O965" s="36"/>
      <c r="P965" s="36"/>
      <c r="Q965" s="36"/>
      <c r="R965" s="37"/>
      <c r="S965" s="38"/>
      <c r="Z965" s="46"/>
      <c r="AA965" s="46"/>
    </row>
    <row r="966" spans="1:27" ht="15.75">
      <c r="A966" s="39">
        <v>43846</v>
      </c>
      <c r="B966" s="115" t="s">
        <v>429</v>
      </c>
      <c r="C966" s="26" t="s">
        <v>126</v>
      </c>
      <c r="D966">
        <v>29017.24</v>
      </c>
      <c r="E966">
        <v>28924.41</v>
      </c>
      <c r="F966">
        <v>28947.61</v>
      </c>
      <c r="G966">
        <v>28951.78</v>
      </c>
      <c r="H966">
        <v>29059.84</v>
      </c>
      <c r="I966">
        <v>29031.52</v>
      </c>
      <c r="J966">
        <v>28942.16</v>
      </c>
      <c r="K966">
        <v>28919.78</v>
      </c>
      <c r="L966">
        <v>29052.85</v>
      </c>
      <c r="M966" s="27">
        <f>IF((L967=""),"",MAX(D968:L968))</f>
        <v>14421.359999999997</v>
      </c>
      <c r="N966" s="27">
        <f>IF(L967="","",MIN(D968:L968))</f>
        <v>12897.929999999993</v>
      </c>
      <c r="O966" s="27">
        <f>IF((L968=""),"",AVERAGE(D968:L968))</f>
        <v>13543.933333333332</v>
      </c>
      <c r="P966" s="27">
        <f>IF((L967=""),"",STDEV(D968:L968))</f>
        <v>546.66451947238897</v>
      </c>
      <c r="Q966" s="168">
        <f>IF((L967=""),"",((M966-N966)/(M966+P966))*100)</f>
        <v>10.177896208134378</v>
      </c>
      <c r="R966" s="28" t="str">
        <f>IF(L967="","",IF(Q966&lt;Z966,IF(N966&gt;V966,IF(M966&lt;W966,"Pass","Fail"),"Fail"),"Fail"))</f>
        <v>Pass</v>
      </c>
      <c r="S966" s="29">
        <v>1340</v>
      </c>
      <c r="T966" s="49" t="s">
        <v>457</v>
      </c>
      <c r="U966" s="48" t="s">
        <v>456</v>
      </c>
      <c r="V966" s="53">
        <v>10000</v>
      </c>
      <c r="W966" s="22">
        <v>15600</v>
      </c>
      <c r="X966" s="40">
        <v>8090</v>
      </c>
      <c r="Y966" s="40">
        <v>12070</v>
      </c>
      <c r="Z966" s="49">
        <v>15</v>
      </c>
      <c r="AA966" s="49">
        <v>6</v>
      </c>
    </row>
    <row r="967" spans="1:27" ht="15.75">
      <c r="A967" s="96"/>
      <c r="B967" s="96"/>
      <c r="C967" s="30" t="s">
        <v>128</v>
      </c>
      <c r="D967">
        <v>24301.62</v>
      </c>
      <c r="E967">
        <v>24476.87</v>
      </c>
      <c r="F967">
        <v>24611.58</v>
      </c>
      <c r="G967">
        <v>24652.47</v>
      </c>
      <c r="H967">
        <v>24557.83</v>
      </c>
      <c r="I967">
        <v>24224.400000000001</v>
      </c>
      <c r="J967">
        <v>24526.55</v>
      </c>
      <c r="K967">
        <v>24513.52</v>
      </c>
      <c r="L967">
        <v>24350.55</v>
      </c>
      <c r="M967" s="31"/>
      <c r="N967" s="31"/>
      <c r="O967" s="31"/>
      <c r="P967" s="31"/>
      <c r="Q967" s="31"/>
      <c r="R967" s="32"/>
      <c r="S967" s="33"/>
      <c r="Z967" s="46"/>
      <c r="AA967" s="46"/>
    </row>
    <row r="968" spans="1:27" ht="13.5" thickBot="1">
      <c r="A968" s="98"/>
      <c r="B968" s="112"/>
      <c r="C968" s="34" t="s">
        <v>129</v>
      </c>
      <c r="D968" s="35">
        <f>IF(((D966="")*AND(D967="")),"",(D966-D967)*3)</f>
        <v>14146.860000000008</v>
      </c>
      <c r="E968" s="35">
        <f t="shared" ref="E968:L968" si="318">IF(((E966="")*AND(E967="")),"",(E966-E967)*3)</f>
        <v>13342.620000000003</v>
      </c>
      <c r="F968" s="35">
        <f t="shared" si="318"/>
        <v>13008.089999999997</v>
      </c>
      <c r="G968" s="35">
        <f t="shared" si="318"/>
        <v>12897.929999999993</v>
      </c>
      <c r="H968" s="35">
        <f t="shared" si="318"/>
        <v>13506.029999999995</v>
      </c>
      <c r="I968" s="35">
        <f t="shared" si="318"/>
        <v>14421.359999999997</v>
      </c>
      <c r="J968" s="35">
        <f t="shared" si="318"/>
        <v>13246.830000000002</v>
      </c>
      <c r="K968" s="35">
        <f t="shared" si="318"/>
        <v>13218.779999999995</v>
      </c>
      <c r="L968" s="35">
        <f t="shared" si="318"/>
        <v>14106.899999999998</v>
      </c>
      <c r="M968" s="36"/>
      <c r="N968" s="36"/>
      <c r="O968" s="36"/>
      <c r="P968" s="36"/>
      <c r="Q968" s="36"/>
      <c r="R968" s="37"/>
      <c r="S968" s="38"/>
      <c r="Z968" s="46"/>
      <c r="AA968" s="46"/>
    </row>
    <row r="969" spans="1:27" ht="15.75">
      <c r="A969" s="39">
        <v>43858</v>
      </c>
      <c r="B969" s="115" t="s">
        <v>429</v>
      </c>
      <c r="C969" s="26" t="s">
        <v>126</v>
      </c>
      <c r="D969">
        <v>29204.400000000001</v>
      </c>
      <c r="E969">
        <v>29074.54</v>
      </c>
      <c r="F969">
        <v>29062.26</v>
      </c>
      <c r="G969">
        <v>29074</v>
      </c>
      <c r="H969">
        <v>29178.3</v>
      </c>
      <c r="I969">
        <v>29217.74</v>
      </c>
      <c r="J969">
        <v>29080.17</v>
      </c>
      <c r="K969">
        <v>29062.23</v>
      </c>
      <c r="L969">
        <v>29174.42</v>
      </c>
      <c r="M969" s="27">
        <f>IF((L970=""),"",MAX(D971:L971))</f>
        <v>12552</v>
      </c>
      <c r="N969" s="27">
        <f>IF(L970="","",MIN(D971:L971))</f>
        <v>11683.44000000001</v>
      </c>
      <c r="O969" s="27">
        <f>IF((L971=""),"",AVERAGE(D971:L971))</f>
        <v>12133.390000000001</v>
      </c>
      <c r="P969" s="27">
        <f>IF((L970=""),"",STDEV(D971:L971))</f>
        <v>249.37345398014941</v>
      </c>
      <c r="Q969" s="168">
        <f>IF((L970=""),"",((M969-N969)/(M969+P969))*100)</f>
        <v>6.7848969731442468</v>
      </c>
      <c r="R969" s="28" t="str">
        <f>IF(L970="","",IF(Q969&lt;Z969,IF(N969&gt;V969,IF(M969&lt;W969,"Pass","Fail"),"Fail"),"Fail"))</f>
        <v>Pass</v>
      </c>
      <c r="S969" s="29">
        <v>64</v>
      </c>
      <c r="T969" s="49" t="s">
        <v>459</v>
      </c>
      <c r="U969" s="48" t="s">
        <v>458</v>
      </c>
      <c r="V969" s="53">
        <v>10000</v>
      </c>
      <c r="W969" s="22">
        <v>15600</v>
      </c>
      <c r="X969" s="40">
        <v>8090</v>
      </c>
      <c r="Y969" s="40">
        <v>12070</v>
      </c>
      <c r="Z969" s="49">
        <v>15</v>
      </c>
      <c r="AA969" s="49">
        <v>6</v>
      </c>
    </row>
    <row r="970" spans="1:27" ht="15.75">
      <c r="A970" s="96"/>
      <c r="B970" s="96"/>
      <c r="C970" s="30" t="s">
        <v>128</v>
      </c>
      <c r="D970">
        <v>25309.919999999998</v>
      </c>
      <c r="E970">
        <v>25103.26</v>
      </c>
      <c r="F970">
        <v>25033.51</v>
      </c>
      <c r="G970">
        <v>24962.799999999999</v>
      </c>
      <c r="H970">
        <v>24994.3</v>
      </c>
      <c r="I970">
        <v>25124.33</v>
      </c>
      <c r="J970">
        <v>25018.52</v>
      </c>
      <c r="K970">
        <v>25033.46</v>
      </c>
      <c r="L970">
        <v>25147.79</v>
      </c>
      <c r="M970" s="31"/>
      <c r="N970" s="31"/>
      <c r="O970" s="31"/>
      <c r="P970" s="31"/>
      <c r="Q970" s="31"/>
      <c r="R970" s="32"/>
      <c r="S970" s="33"/>
      <c r="Z970" s="46"/>
      <c r="AA970" s="46"/>
    </row>
    <row r="971" spans="1:27" ht="13.5" thickBot="1">
      <c r="A971" s="98"/>
      <c r="B971" s="112"/>
      <c r="C971" s="34" t="s">
        <v>129</v>
      </c>
      <c r="D971" s="35">
        <f>IF(((D969="")*AND(D970="")),"",(D969-D970)*3)</f>
        <v>11683.44000000001</v>
      </c>
      <c r="E971" s="35">
        <f t="shared" ref="E971:L971" si="319">IF(((E969="")*AND(E970="")),"",(E969-E970)*3)</f>
        <v>11913.840000000007</v>
      </c>
      <c r="F971" s="35">
        <f t="shared" si="319"/>
        <v>12086.25</v>
      </c>
      <c r="G971" s="35">
        <f t="shared" si="319"/>
        <v>12333.600000000002</v>
      </c>
      <c r="H971" s="35">
        <f t="shared" si="319"/>
        <v>12552</v>
      </c>
      <c r="I971" s="35">
        <f t="shared" si="319"/>
        <v>12280.23</v>
      </c>
      <c r="J971" s="35">
        <f t="shared" si="319"/>
        <v>12184.949999999993</v>
      </c>
      <c r="K971" s="35">
        <f t="shared" si="319"/>
        <v>12086.310000000001</v>
      </c>
      <c r="L971" s="35">
        <f t="shared" si="319"/>
        <v>12079.889999999992</v>
      </c>
      <c r="M971" s="36"/>
      <c r="N971" s="36"/>
      <c r="O971" s="36"/>
      <c r="P971" s="36"/>
      <c r="Q971" s="36"/>
      <c r="R971" s="37"/>
      <c r="S971" s="38"/>
      <c r="Z971" s="46"/>
      <c r="AA971" s="46"/>
    </row>
    <row r="972" spans="1:27" ht="15.75">
      <c r="A972" s="39">
        <v>43863</v>
      </c>
      <c r="B972" s="115" t="s">
        <v>429</v>
      </c>
      <c r="C972" s="26" t="s">
        <v>126</v>
      </c>
      <c r="D972">
        <v>29165.69</v>
      </c>
      <c r="E972">
        <v>29052.9</v>
      </c>
      <c r="F972">
        <v>29006.16</v>
      </c>
      <c r="G972">
        <v>29013.08</v>
      </c>
      <c r="H972">
        <v>29099.23</v>
      </c>
      <c r="I972">
        <v>29176.17</v>
      </c>
      <c r="J972">
        <v>29026.47</v>
      </c>
      <c r="K972">
        <v>29006.65</v>
      </c>
      <c r="L972">
        <v>29138</v>
      </c>
      <c r="M972" s="27">
        <f>IF((L973=""),"",MAX(D974:L974))</f>
        <v>11333.25</v>
      </c>
      <c r="N972" s="27">
        <f>IF(L973="","",MIN(D974:L974))</f>
        <v>10664.339999999997</v>
      </c>
      <c r="O972" s="27">
        <f>IF((L974=""),"",AVERAGE(D974:L974))</f>
        <v>11017.046666666667</v>
      </c>
      <c r="P972" s="27">
        <f>IF((L973=""),"",STDEV(D974:L974))</f>
        <v>206.57620990814175</v>
      </c>
      <c r="Q972" s="168">
        <f>IF((L973=""),"",((M972-N972)/(M972+P972))*100)</f>
        <v>5.7965344350305257</v>
      </c>
      <c r="R972" s="28" t="str">
        <f>IF(L973="","",IF(Q972&lt;Z972,IF(N972&gt;V972,IF(M972&lt;W972,"Pass","Fail"),"Fail"),"Fail"))</f>
        <v>Pass</v>
      </c>
      <c r="S972" s="29">
        <v>64</v>
      </c>
      <c r="T972" s="49" t="s">
        <v>460</v>
      </c>
      <c r="U972" s="48" t="s">
        <v>458</v>
      </c>
      <c r="V972" s="53">
        <v>10000</v>
      </c>
      <c r="W972" s="22">
        <v>15600</v>
      </c>
      <c r="X972" s="40">
        <v>8090</v>
      </c>
      <c r="Y972" s="40">
        <v>12070</v>
      </c>
      <c r="Z972" s="49">
        <v>15</v>
      </c>
      <c r="AA972" s="49">
        <v>6</v>
      </c>
    </row>
    <row r="973" spans="1:27" ht="15.75">
      <c r="A973" s="96"/>
      <c r="B973" s="96"/>
      <c r="C973" s="30" t="s">
        <v>128</v>
      </c>
      <c r="D973">
        <v>25610.91</v>
      </c>
      <c r="E973">
        <v>25429.759999999998</v>
      </c>
      <c r="F973">
        <v>25389.09</v>
      </c>
      <c r="G973">
        <v>25292.84</v>
      </c>
      <c r="H973">
        <v>25321.48</v>
      </c>
      <c r="I973">
        <v>25437.82</v>
      </c>
      <c r="J973">
        <v>25335.74</v>
      </c>
      <c r="K973">
        <v>25356.49</v>
      </c>
      <c r="L973">
        <v>25459.08</v>
      </c>
      <c r="M973" s="31"/>
      <c r="N973" s="31"/>
      <c r="O973" s="31"/>
      <c r="P973" s="31"/>
      <c r="Q973" s="31"/>
      <c r="R973" s="32"/>
      <c r="S973" s="33"/>
      <c r="Z973" s="46"/>
      <c r="AA973" s="46"/>
    </row>
    <row r="974" spans="1:27" ht="13.5" thickBot="1">
      <c r="A974" s="98"/>
      <c r="B974" s="112"/>
      <c r="C974" s="34" t="s">
        <v>129</v>
      </c>
      <c r="D974" s="35">
        <f>IF(((D972="")*AND(D973="")),"",(D972-D973)*3)</f>
        <v>10664.339999999997</v>
      </c>
      <c r="E974" s="35">
        <f t="shared" ref="E974:L974" si="320">IF(((E972="")*AND(E973="")),"",(E972-E973)*3)</f>
        <v>10869.420000000009</v>
      </c>
      <c r="F974" s="35">
        <f t="shared" si="320"/>
        <v>10851.21</v>
      </c>
      <c r="G974" s="35">
        <f t="shared" si="320"/>
        <v>11160.720000000005</v>
      </c>
      <c r="H974" s="35">
        <f t="shared" si="320"/>
        <v>11333.25</v>
      </c>
      <c r="I974" s="35">
        <f t="shared" si="320"/>
        <v>11215.049999999996</v>
      </c>
      <c r="J974" s="35">
        <f t="shared" si="320"/>
        <v>11072.189999999999</v>
      </c>
      <c r="K974" s="35">
        <f t="shared" si="320"/>
        <v>10950.48</v>
      </c>
      <c r="L974" s="35">
        <f t="shared" si="320"/>
        <v>11036.759999999995</v>
      </c>
      <c r="M974" s="36"/>
      <c r="N974" s="36"/>
      <c r="O974" s="36"/>
      <c r="P974" s="36"/>
      <c r="Q974" s="36"/>
      <c r="R974" s="37"/>
      <c r="S974" s="38"/>
      <c r="Z974" s="46"/>
      <c r="AA974" s="46"/>
    </row>
    <row r="975" spans="1:27" ht="15.75">
      <c r="A975" s="39">
        <v>43867</v>
      </c>
      <c r="B975" s="115" t="s">
        <v>429</v>
      </c>
      <c r="C975" s="26" t="s">
        <v>126</v>
      </c>
      <c r="D975" s="102">
        <v>29385.56</v>
      </c>
      <c r="E975" s="102">
        <v>29246.38</v>
      </c>
      <c r="F975" s="102">
        <v>29249.03</v>
      </c>
      <c r="G975" s="102">
        <v>29254.720000000001</v>
      </c>
      <c r="H975" s="102">
        <v>29383.64</v>
      </c>
      <c r="I975" s="102">
        <v>29384.7</v>
      </c>
      <c r="J975" s="102">
        <v>29264.11</v>
      </c>
      <c r="K975" s="102">
        <v>29252.53</v>
      </c>
      <c r="L975" s="102">
        <v>29345.63</v>
      </c>
      <c r="M975" s="27">
        <f>IF((L976=""),"",MAX(D977:L977))</f>
        <v>12580.799999999996</v>
      </c>
      <c r="N975" s="27">
        <f>IF(L976="","",MIN(D977:L977))</f>
        <v>11651.490000000005</v>
      </c>
      <c r="O975" s="27">
        <f>IF((L977=""),"",AVERAGE(D977:L977))</f>
        <v>12170.863333333333</v>
      </c>
      <c r="P975" s="27">
        <f>IF((L976=""),"",STDEV(D977:L977))</f>
        <v>300.39934362455546</v>
      </c>
      <c r="Q975" s="168">
        <f>IF((L976=""),"",((M975-N975)/(M975+P975))*100)</f>
        <v>7.2144679638076177</v>
      </c>
      <c r="R975" s="28" t="str">
        <f>IF(L976="","",IF(Q975&lt;Z975,IF(N975&gt;V975,IF(M975&lt;W975,"Pass","Fail"),"Fail"),"Fail"))</f>
        <v>Pass</v>
      </c>
      <c r="S975" s="29" t="s">
        <v>462</v>
      </c>
      <c r="T975" s="49" t="s">
        <v>461</v>
      </c>
      <c r="V975" s="53">
        <v>10000</v>
      </c>
      <c r="W975" s="22">
        <v>15600</v>
      </c>
      <c r="X975" s="40">
        <v>8090</v>
      </c>
      <c r="Y975" s="40">
        <v>12070</v>
      </c>
      <c r="Z975" s="49">
        <v>15</v>
      </c>
      <c r="AA975" s="49">
        <v>6</v>
      </c>
    </row>
    <row r="976" spans="1:27" ht="15.75">
      <c r="A976" s="96"/>
      <c r="B976" s="96"/>
      <c r="C976" s="30" t="s">
        <v>128</v>
      </c>
      <c r="D976" s="102">
        <v>25501.73</v>
      </c>
      <c r="E976" s="102">
        <v>25263.52</v>
      </c>
      <c r="F976" s="102">
        <v>25284.33</v>
      </c>
      <c r="G976" s="102">
        <v>25113.64</v>
      </c>
      <c r="H976" s="102">
        <v>25190.04</v>
      </c>
      <c r="I976" s="102">
        <v>25244.73</v>
      </c>
      <c r="J976" s="102">
        <v>25151.68</v>
      </c>
      <c r="K976" s="102">
        <v>25192.7</v>
      </c>
      <c r="L976" s="102">
        <v>25311.34</v>
      </c>
      <c r="M976" s="31"/>
      <c r="N976" s="31"/>
      <c r="O976" s="31"/>
      <c r="P976" s="31"/>
      <c r="Q976" s="31"/>
      <c r="R976" s="32"/>
      <c r="S976" s="33"/>
      <c r="Z976" s="46"/>
      <c r="AA976" s="46"/>
    </row>
    <row r="977" spans="1:27" ht="13.5" thickBot="1">
      <c r="A977" s="98"/>
      <c r="B977" s="112"/>
      <c r="C977" s="34" t="s">
        <v>129</v>
      </c>
      <c r="D977" s="35">
        <f>IF(((D975="")*AND(D976="")),"",(D975-D976)*3)</f>
        <v>11651.490000000005</v>
      </c>
      <c r="E977" s="35">
        <f t="shared" ref="E977:L977" si="321">IF(((E975="")*AND(E976="")),"",(E975-E976)*3)</f>
        <v>11948.580000000002</v>
      </c>
      <c r="F977" s="35">
        <f t="shared" si="321"/>
        <v>11894.099999999991</v>
      </c>
      <c r="G977" s="35">
        <f t="shared" si="321"/>
        <v>12423.240000000005</v>
      </c>
      <c r="H977" s="35">
        <f t="shared" si="321"/>
        <v>12580.799999999996</v>
      </c>
      <c r="I977" s="35">
        <f t="shared" si="321"/>
        <v>12419.910000000003</v>
      </c>
      <c r="J977" s="35">
        <f t="shared" si="321"/>
        <v>12337.29</v>
      </c>
      <c r="K977" s="35">
        <f t="shared" si="321"/>
        <v>12179.489999999994</v>
      </c>
      <c r="L977" s="35">
        <f t="shared" si="321"/>
        <v>12102.870000000003</v>
      </c>
      <c r="M977" s="36"/>
      <c r="N977" s="36"/>
      <c r="O977" s="36"/>
      <c r="P977" s="36"/>
      <c r="Q977" s="36"/>
      <c r="R977" s="37"/>
      <c r="S977" s="38"/>
      <c r="Z977" s="46"/>
      <c r="AA977" s="46"/>
    </row>
    <row r="978" spans="1:27" ht="15.75">
      <c r="A978" s="39">
        <v>43871</v>
      </c>
      <c r="B978" s="115" t="s">
        <v>429</v>
      </c>
      <c r="C978" s="26" t="s">
        <v>126</v>
      </c>
      <c r="D978">
        <v>29193.03</v>
      </c>
      <c r="E978">
        <v>29072.12</v>
      </c>
      <c r="F978">
        <v>29039.88</v>
      </c>
      <c r="G978">
        <v>29064.51</v>
      </c>
      <c r="H978">
        <v>29145.4</v>
      </c>
      <c r="I978">
        <v>29127.279999999999</v>
      </c>
      <c r="J978">
        <v>29041.4</v>
      </c>
      <c r="K978">
        <v>29083</v>
      </c>
      <c r="L978">
        <v>29180.37</v>
      </c>
      <c r="M978" s="27">
        <f>IF((L979=""),"",MAX(D980:L980))</f>
        <v>12798.390000000003</v>
      </c>
      <c r="N978" s="27">
        <f>IF(L979="","",MIN(D980:L980))</f>
        <v>11559.48</v>
      </c>
      <c r="O978" s="27">
        <f>IF((L980=""),"",AVERAGE(D980:L980))</f>
        <v>12138.953333333329</v>
      </c>
      <c r="P978" s="27">
        <f>IF((L979=""),"",STDEV(D980:L980))</f>
        <v>367.19419841561233</v>
      </c>
      <c r="Q978" s="168">
        <f>IF((L979=""),"",((M978-N978)/(M978+P978))*100)</f>
        <v>9.4102166780346703</v>
      </c>
      <c r="R978" s="28" t="str">
        <f>IF(L979="","",IF(Q978&lt;Z978,IF(N978&gt;V978,IF(M978&lt;W978,"Pass","Fail"),"Fail"),"Fail"))</f>
        <v>Pass</v>
      </c>
      <c r="S978" s="29">
        <v>102</v>
      </c>
      <c r="T978" s="49" t="s">
        <v>463</v>
      </c>
      <c r="V978" s="53">
        <v>10000</v>
      </c>
      <c r="W978" s="22">
        <v>15600</v>
      </c>
      <c r="X978" s="40">
        <v>8090</v>
      </c>
      <c r="Y978" s="40">
        <v>12070</v>
      </c>
      <c r="Z978" s="49">
        <v>15</v>
      </c>
      <c r="AA978" s="49">
        <v>6</v>
      </c>
    </row>
    <row r="979" spans="1:27" ht="15.75">
      <c r="A979" s="96"/>
      <c r="B979" s="96"/>
      <c r="C979" s="30" t="s">
        <v>128</v>
      </c>
      <c r="D979">
        <v>25339.87</v>
      </c>
      <c r="E979">
        <v>25073.78</v>
      </c>
      <c r="F979">
        <v>25065.15</v>
      </c>
      <c r="G979">
        <v>24906.15</v>
      </c>
      <c r="H979">
        <v>24879.27</v>
      </c>
      <c r="I979">
        <v>25036.79</v>
      </c>
      <c r="J979">
        <v>24945.58</v>
      </c>
      <c r="K979">
        <v>25051.38</v>
      </c>
      <c r="L979">
        <v>25232.16</v>
      </c>
      <c r="M979" s="31"/>
      <c r="N979" s="31"/>
      <c r="O979" s="31"/>
      <c r="P979" s="31"/>
      <c r="Q979" s="31"/>
      <c r="R979" s="32"/>
      <c r="S979" s="33"/>
      <c r="Z979" s="46"/>
      <c r="AA979" s="46"/>
    </row>
    <row r="980" spans="1:27" ht="13.5" thickBot="1">
      <c r="A980" s="98"/>
      <c r="B980" s="112"/>
      <c r="C980" s="34" t="s">
        <v>129</v>
      </c>
      <c r="D980" s="35">
        <f>IF(((D978="")*AND(D979="")),"",(D978-D979)*3)</f>
        <v>11559.48</v>
      </c>
      <c r="E980" s="35">
        <f t="shared" ref="E980:L980" si="322">IF(((E978="")*AND(E979="")),"",(E978-E979)*3)</f>
        <v>11995.02</v>
      </c>
      <c r="F980" s="35">
        <f t="shared" si="322"/>
        <v>11924.189999999999</v>
      </c>
      <c r="G980" s="35">
        <f t="shared" si="322"/>
        <v>12475.079999999991</v>
      </c>
      <c r="H980" s="35">
        <f t="shared" si="322"/>
        <v>12798.390000000003</v>
      </c>
      <c r="I980" s="35">
        <f t="shared" si="322"/>
        <v>12271.469999999994</v>
      </c>
      <c r="J980" s="35">
        <f t="shared" si="322"/>
        <v>12287.46</v>
      </c>
      <c r="K980" s="35">
        <f t="shared" si="322"/>
        <v>12094.859999999997</v>
      </c>
      <c r="L980" s="35">
        <f t="shared" si="322"/>
        <v>11844.629999999997</v>
      </c>
      <c r="M980" s="36"/>
      <c r="N980" s="36"/>
      <c r="O980" s="36"/>
      <c r="P980" s="36"/>
      <c r="Q980" s="36"/>
      <c r="R980" s="37"/>
      <c r="S980" s="38"/>
      <c r="Z980" s="46"/>
      <c r="AA980" s="46"/>
    </row>
    <row r="981" spans="1:27" ht="15.75">
      <c r="A981" s="39">
        <v>43872</v>
      </c>
      <c r="B981" s="115" t="s">
        <v>429</v>
      </c>
      <c r="C981" s="26" t="s">
        <v>126</v>
      </c>
      <c r="D981">
        <v>29072.59</v>
      </c>
      <c r="E981">
        <v>28982.13</v>
      </c>
      <c r="F981">
        <v>28981.74</v>
      </c>
      <c r="G981">
        <v>29007.73</v>
      </c>
      <c r="H981">
        <v>29132.52</v>
      </c>
      <c r="I981">
        <v>29099.67</v>
      </c>
      <c r="J981">
        <v>28983.81</v>
      </c>
      <c r="K981">
        <v>28992.98</v>
      </c>
      <c r="L981">
        <v>29133.32</v>
      </c>
      <c r="M981" s="27">
        <f>IF((L982=""),"",MAX(D983:L983))</f>
        <v>12415.169999999998</v>
      </c>
      <c r="N981" s="27">
        <f>IF(L982="","",MIN(D983:L983))</f>
        <v>11329.140000000003</v>
      </c>
      <c r="O981" s="27">
        <f>IF((L983=""),"",AVERAGE(D983:L983))</f>
        <v>11912.07</v>
      </c>
      <c r="P981" s="27">
        <f>IF((L982=""),"",STDEV(D983:L983))</f>
        <v>367.74271964242774</v>
      </c>
      <c r="Q981" s="168">
        <f>IF((L982=""),"",((M981-N981)/(M981+P981))*100)</f>
        <v>8.4959509919142633</v>
      </c>
      <c r="R981" s="28" t="str">
        <f>IF(L982="","",IF(Q981&lt;Z981,IF(N981&gt;V981,IF(M981&lt;W981,"Pass","Fail"),"Fail"),"Fail"))</f>
        <v>Pass</v>
      </c>
      <c r="S981" s="29">
        <v>1428</v>
      </c>
      <c r="T981" s="49" t="s">
        <v>465</v>
      </c>
      <c r="V981" s="53">
        <v>10000</v>
      </c>
      <c r="W981" s="22">
        <v>15600</v>
      </c>
      <c r="X981" s="40">
        <v>8090</v>
      </c>
      <c r="Y981" s="40">
        <v>12070</v>
      </c>
      <c r="Z981" s="49">
        <v>15</v>
      </c>
      <c r="AA981" s="49">
        <v>6</v>
      </c>
    </row>
    <row r="982" spans="1:27" ht="15.75">
      <c r="A982" s="96"/>
      <c r="B982" s="96"/>
      <c r="C982" s="30" t="s">
        <v>128</v>
      </c>
      <c r="D982">
        <v>25296.21</v>
      </c>
      <c r="E982">
        <v>25087</v>
      </c>
      <c r="F982">
        <v>25117.02</v>
      </c>
      <c r="G982">
        <v>24932.63</v>
      </c>
      <c r="H982">
        <v>24994.13</v>
      </c>
      <c r="I982">
        <v>24992.38</v>
      </c>
      <c r="J982">
        <v>24964</v>
      </c>
      <c r="K982">
        <v>25031.23</v>
      </c>
      <c r="L982">
        <v>25235.68</v>
      </c>
      <c r="M982" s="31"/>
      <c r="N982" s="31"/>
      <c r="O982" s="31"/>
      <c r="P982" s="31"/>
      <c r="Q982" s="31"/>
      <c r="R982" s="32"/>
      <c r="S982" s="33"/>
      <c r="Z982" s="46"/>
      <c r="AA982" s="46"/>
    </row>
    <row r="983" spans="1:27" ht="13.5" thickBot="1">
      <c r="A983" s="98"/>
      <c r="B983" s="112"/>
      <c r="C983" s="34" t="s">
        <v>129</v>
      </c>
      <c r="D983" s="35">
        <f>IF(((D981="")*AND(D982="")),"",(D981-D982)*3)</f>
        <v>11329.140000000003</v>
      </c>
      <c r="E983" s="35">
        <f t="shared" ref="E983:L983" si="323">IF(((E981="")*AND(E982="")),"",(E981-E982)*3)</f>
        <v>11685.390000000003</v>
      </c>
      <c r="F983" s="35">
        <f t="shared" si="323"/>
        <v>11594.160000000003</v>
      </c>
      <c r="G983" s="35">
        <f t="shared" si="323"/>
        <v>12225.299999999996</v>
      </c>
      <c r="H983" s="35">
        <f t="shared" si="323"/>
        <v>12415.169999999998</v>
      </c>
      <c r="I983" s="35">
        <f t="shared" si="323"/>
        <v>12321.869999999992</v>
      </c>
      <c r="J983" s="35">
        <f t="shared" si="323"/>
        <v>12059.430000000004</v>
      </c>
      <c r="K983" s="35">
        <f t="shared" si="323"/>
        <v>11885.25</v>
      </c>
      <c r="L983" s="35">
        <f t="shared" si="323"/>
        <v>11692.919999999998</v>
      </c>
      <c r="M983" s="36"/>
      <c r="N983" s="36"/>
      <c r="O983" s="36"/>
      <c r="P983" s="36"/>
      <c r="Q983" s="36"/>
      <c r="R983" s="37"/>
      <c r="S983" s="38"/>
      <c r="Z983" s="46"/>
      <c r="AA983" s="46"/>
    </row>
    <row r="984" spans="1:27" ht="15.75">
      <c r="A984" s="39">
        <v>43877</v>
      </c>
      <c r="B984" s="115" t="s">
        <v>429</v>
      </c>
      <c r="C984" s="26" t="s">
        <v>126</v>
      </c>
      <c r="D984">
        <v>29227</v>
      </c>
      <c r="E984">
        <v>29030</v>
      </c>
      <c r="F984">
        <v>29023</v>
      </c>
      <c r="G984">
        <v>29033</v>
      </c>
      <c r="H984">
        <v>29215</v>
      </c>
      <c r="I984">
        <v>29173</v>
      </c>
      <c r="J984">
        <v>29017</v>
      </c>
      <c r="K984">
        <v>29032</v>
      </c>
      <c r="L984">
        <v>29240</v>
      </c>
      <c r="M984" s="27">
        <f>IF((L985=""),"",MAX(D986:L986))</f>
        <v>11058</v>
      </c>
      <c r="N984" s="27">
        <f>IF(L985="","",MIN(D986:L986))</f>
        <v>10254</v>
      </c>
      <c r="O984" s="27">
        <f>IF((L986=""),"",AVERAGE(D986:L986))</f>
        <v>10713.666666666666</v>
      </c>
      <c r="P984" s="27">
        <f>IF((L985=""),"",STDEV(D986:L986))</f>
        <v>281.16809918623414</v>
      </c>
      <c r="Q984" s="168">
        <f>IF((L985=""),"",((M984-N984)/(M984+P984))*100)</f>
        <v>7.0904672456324187</v>
      </c>
      <c r="R984" s="28" t="str">
        <f>IF(L985="","",IF(Q984&lt;Z984,IF(N984&gt;V984,IF(M984&lt;W984,"Pass","Fail"),"Fail"),"Fail"))</f>
        <v>Pass</v>
      </c>
      <c r="S984" s="29">
        <v>121</v>
      </c>
      <c r="T984" s="49" t="s">
        <v>467</v>
      </c>
      <c r="V984" s="53">
        <v>10000</v>
      </c>
      <c r="W984" s="22">
        <v>15600</v>
      </c>
      <c r="X984" s="40">
        <v>8090</v>
      </c>
      <c r="Y984" s="40">
        <v>12070</v>
      </c>
      <c r="Z984" s="49">
        <v>15</v>
      </c>
      <c r="AA984" s="49">
        <v>6</v>
      </c>
    </row>
    <row r="985" spans="1:27" ht="15.75">
      <c r="A985" s="96"/>
      <c r="B985" s="96"/>
      <c r="C985" s="30" t="s">
        <v>128</v>
      </c>
      <c r="D985">
        <v>25541</v>
      </c>
      <c r="E985">
        <v>25381</v>
      </c>
      <c r="F985">
        <v>25464</v>
      </c>
      <c r="G985">
        <v>25518</v>
      </c>
      <c r="H985">
        <v>25797</v>
      </c>
      <c r="I985">
        <v>25696</v>
      </c>
      <c r="J985">
        <v>25480</v>
      </c>
      <c r="K985">
        <v>25412</v>
      </c>
      <c r="L985">
        <v>25560</v>
      </c>
      <c r="M985" s="31"/>
      <c r="N985" s="31"/>
      <c r="O985" s="31"/>
      <c r="P985" s="31"/>
      <c r="Q985" s="31"/>
      <c r="R985" s="32"/>
      <c r="S985" s="33"/>
      <c r="Z985" s="46"/>
      <c r="AA985" s="46"/>
    </row>
    <row r="986" spans="1:27" ht="13.5" thickBot="1">
      <c r="A986" s="98"/>
      <c r="B986" s="112"/>
      <c r="C986" s="34" t="s">
        <v>129</v>
      </c>
      <c r="D986" s="35">
        <f>IF(((D984="")*AND(D985="")),"",(D984-D985)*3)</f>
        <v>11058</v>
      </c>
      <c r="E986" s="35">
        <f t="shared" ref="E986:L986" si="324">IF(((E984="")*AND(E985="")),"",(E984-E985)*3)</f>
        <v>10947</v>
      </c>
      <c r="F986" s="35">
        <f t="shared" si="324"/>
        <v>10677</v>
      </c>
      <c r="G986" s="35">
        <f t="shared" si="324"/>
        <v>10545</v>
      </c>
      <c r="H986" s="35">
        <f t="shared" si="324"/>
        <v>10254</v>
      </c>
      <c r="I986" s="35">
        <f t="shared" si="324"/>
        <v>10431</v>
      </c>
      <c r="J986" s="35">
        <f t="shared" si="324"/>
        <v>10611</v>
      </c>
      <c r="K986" s="35">
        <f t="shared" si="324"/>
        <v>10860</v>
      </c>
      <c r="L986" s="35">
        <f t="shared" si="324"/>
        <v>11040</v>
      </c>
      <c r="M986" s="36"/>
      <c r="N986" s="36"/>
      <c r="O986" s="36"/>
      <c r="P986" s="36"/>
      <c r="Q986" s="36"/>
      <c r="R986" s="37"/>
      <c r="S986" s="38"/>
      <c r="Z986" s="46"/>
      <c r="AA986" s="46"/>
    </row>
    <row r="987" spans="1:27" ht="15.75">
      <c r="A987" s="39">
        <v>43886</v>
      </c>
      <c r="B987" s="115" t="s">
        <v>429</v>
      </c>
      <c r="C987" s="26" t="s">
        <v>126</v>
      </c>
      <c r="D987">
        <v>29206</v>
      </c>
      <c r="E987">
        <v>29004</v>
      </c>
      <c r="F987">
        <v>29001</v>
      </c>
      <c r="G987">
        <v>29002</v>
      </c>
      <c r="H987">
        <v>29193</v>
      </c>
      <c r="I987">
        <v>29177</v>
      </c>
      <c r="J987">
        <v>28997</v>
      </c>
      <c r="K987">
        <v>29000</v>
      </c>
      <c r="L987">
        <v>29225</v>
      </c>
      <c r="M987" s="27">
        <f>IF((L988=""),"",MAX(D989:L989))</f>
        <v>12543</v>
      </c>
      <c r="N987" s="27">
        <f>IF(L988="","",MIN(D989:L989))</f>
        <v>11274</v>
      </c>
      <c r="O987" s="27">
        <f>IF((L989=""),"",AVERAGE(D989:L989))</f>
        <v>11750.333333333334</v>
      </c>
      <c r="P987" s="27">
        <f>IF((L988=""),"",STDEV(D989:L989))</f>
        <v>394.30254881245696</v>
      </c>
      <c r="Q987" s="168">
        <f>IF((L988=""),"",((M987-N987)/(M987+P987))*100)</f>
        <v>9.8088453540609528</v>
      </c>
      <c r="R987" s="28" t="str">
        <f>IF(L988="","",IF(Q987&lt;Z987,IF(N987&gt;V987,IF(M987&lt;W987,"Pass","Fail"),"Fail"),"Fail"))</f>
        <v>Pass</v>
      </c>
      <c r="S987" s="29">
        <v>1159</v>
      </c>
      <c r="T987" s="49" t="s">
        <v>470</v>
      </c>
      <c r="V987" s="53">
        <v>10000</v>
      </c>
      <c r="W987" s="22">
        <v>15600</v>
      </c>
      <c r="X987" s="40">
        <v>8090</v>
      </c>
      <c r="Y987" s="40">
        <v>12070</v>
      </c>
      <c r="Z987" s="49">
        <v>15</v>
      </c>
      <c r="AA987" s="49">
        <v>6</v>
      </c>
    </row>
    <row r="988" spans="1:27" ht="15.75">
      <c r="A988" s="96"/>
      <c r="B988" s="96"/>
      <c r="C988" s="30" t="s">
        <v>128</v>
      </c>
      <c r="D988">
        <v>25448</v>
      </c>
      <c r="E988">
        <v>25127</v>
      </c>
      <c r="F988">
        <v>25138</v>
      </c>
      <c r="G988">
        <v>24937</v>
      </c>
      <c r="H988">
        <v>25012</v>
      </c>
      <c r="I988">
        <v>25355</v>
      </c>
      <c r="J988">
        <v>25096</v>
      </c>
      <c r="K988">
        <v>25052</v>
      </c>
      <c r="L988">
        <v>25389</v>
      </c>
      <c r="M988" s="31"/>
      <c r="N988" s="31"/>
      <c r="O988" s="31"/>
      <c r="P988" s="31"/>
      <c r="Q988" s="31"/>
      <c r="R988" s="32"/>
      <c r="S988" s="33"/>
      <c r="Z988" s="46"/>
      <c r="AA988" s="46"/>
    </row>
    <row r="989" spans="1:27" ht="13.5" thickBot="1">
      <c r="A989" s="98"/>
      <c r="B989" s="112"/>
      <c r="C989" s="34" t="s">
        <v>129</v>
      </c>
      <c r="D989" s="35">
        <f>IF(((D987="")*AND(D988="")),"",(D987-D988)*3)</f>
        <v>11274</v>
      </c>
      <c r="E989" s="35">
        <f t="shared" ref="E989:L989" si="325">IF(((E987="")*AND(E988="")),"",(E987-E988)*3)</f>
        <v>11631</v>
      </c>
      <c r="F989" s="35">
        <f t="shared" si="325"/>
        <v>11589</v>
      </c>
      <c r="G989" s="35">
        <f t="shared" si="325"/>
        <v>12195</v>
      </c>
      <c r="H989" s="35">
        <f t="shared" si="325"/>
        <v>12543</v>
      </c>
      <c r="I989" s="35">
        <f t="shared" si="325"/>
        <v>11466</v>
      </c>
      <c r="J989" s="35">
        <f t="shared" si="325"/>
        <v>11703</v>
      </c>
      <c r="K989" s="35">
        <f t="shared" si="325"/>
        <v>11844</v>
      </c>
      <c r="L989" s="35">
        <f t="shared" si="325"/>
        <v>11508</v>
      </c>
      <c r="M989" s="36"/>
      <c r="N989" s="36"/>
      <c r="O989" s="36"/>
      <c r="P989" s="36"/>
      <c r="Q989" s="36"/>
      <c r="R989" s="37"/>
      <c r="S989" s="38"/>
      <c r="Z989" s="46"/>
      <c r="AA989" s="46"/>
    </row>
    <row r="990" spans="1:27" ht="15.75">
      <c r="A990" s="39">
        <v>43888</v>
      </c>
      <c r="B990" s="115" t="s">
        <v>429</v>
      </c>
      <c r="C990" s="26" t="s">
        <v>126</v>
      </c>
      <c r="D990">
        <v>29143</v>
      </c>
      <c r="E990">
        <v>28937</v>
      </c>
      <c r="F990">
        <v>28900</v>
      </c>
      <c r="G990">
        <v>28924</v>
      </c>
      <c r="H990">
        <v>29133</v>
      </c>
      <c r="I990">
        <v>29145</v>
      </c>
      <c r="J990">
        <v>28925</v>
      </c>
      <c r="K990">
        <v>28930</v>
      </c>
      <c r="L990">
        <v>29116</v>
      </c>
      <c r="M990" s="27">
        <f>IF((L991=""),"",MAX(D992:L992))</f>
        <v>11925</v>
      </c>
      <c r="N990" s="27">
        <f>IF(L991="","",MIN(D992:L992))</f>
        <v>10662</v>
      </c>
      <c r="O990" s="27">
        <f>IF((L992=""),"",AVERAGE(D992:L992))</f>
        <v>11441.333333333334</v>
      </c>
      <c r="P990" s="27">
        <f>IF((L991=""),"",STDEV(D992:L992))</f>
        <v>396.37419189447741</v>
      </c>
      <c r="Q990" s="168">
        <f>IF((L991=""),"",((M990-N990)/(M990+P990))*100)</f>
        <v>10.250480022194724</v>
      </c>
      <c r="R990" s="28" t="str">
        <f>IF(L991="","",IF(Q990&lt;Z990,IF(N990&gt;V990,IF(M990&lt;W990,"Pass","Fail"),"Fail"),"Fail"))</f>
        <v>Pass</v>
      </c>
      <c r="S990" s="29">
        <v>74</v>
      </c>
      <c r="T990" s="49" t="s">
        <v>471</v>
      </c>
      <c r="V990" s="53">
        <v>10000</v>
      </c>
      <c r="W990" s="22">
        <v>15600</v>
      </c>
      <c r="X990" s="40">
        <v>8090</v>
      </c>
      <c r="Y990" s="40">
        <v>12070</v>
      </c>
      <c r="Z990" s="49">
        <v>15</v>
      </c>
      <c r="AA990" s="49">
        <v>6</v>
      </c>
    </row>
    <row r="991" spans="1:27" ht="15.75">
      <c r="A991" s="96"/>
      <c r="B991" s="96"/>
      <c r="C991" s="30" t="s">
        <v>128</v>
      </c>
      <c r="D991">
        <v>25316</v>
      </c>
      <c r="E991">
        <v>24962</v>
      </c>
      <c r="F991">
        <v>24995</v>
      </c>
      <c r="G991">
        <v>25150</v>
      </c>
      <c r="H991">
        <v>25579</v>
      </c>
      <c r="I991">
        <v>25468</v>
      </c>
      <c r="J991">
        <v>25085</v>
      </c>
      <c r="K991">
        <v>24988</v>
      </c>
      <c r="L991">
        <v>25286</v>
      </c>
      <c r="M991" s="31"/>
      <c r="N991" s="31"/>
      <c r="O991" s="31"/>
      <c r="P991" s="31"/>
      <c r="Q991" s="31"/>
      <c r="R991" s="32"/>
      <c r="S991" s="33"/>
      <c r="Z991" s="46"/>
      <c r="AA991" s="46"/>
    </row>
    <row r="992" spans="1:27" ht="13.5" thickBot="1">
      <c r="A992" s="98"/>
      <c r="B992" s="112"/>
      <c r="C992" s="34" t="s">
        <v>129</v>
      </c>
      <c r="D992" s="35">
        <f>IF(((D990="")*AND(D991="")),"",(D990-D991)*3)</f>
        <v>11481</v>
      </c>
      <c r="E992" s="35">
        <f t="shared" ref="E992:L992" si="326">IF(((E990="")*AND(E991="")),"",(E990-E991)*3)</f>
        <v>11925</v>
      </c>
      <c r="F992" s="35">
        <f t="shared" si="326"/>
        <v>11715</v>
      </c>
      <c r="G992" s="35">
        <f t="shared" si="326"/>
        <v>11322</v>
      </c>
      <c r="H992" s="35">
        <f t="shared" si="326"/>
        <v>10662</v>
      </c>
      <c r="I992" s="35">
        <f t="shared" si="326"/>
        <v>11031</v>
      </c>
      <c r="J992" s="35">
        <f t="shared" si="326"/>
        <v>11520</v>
      </c>
      <c r="K992" s="35">
        <f t="shared" si="326"/>
        <v>11826</v>
      </c>
      <c r="L992" s="35">
        <f t="shared" si="326"/>
        <v>11490</v>
      </c>
      <c r="M992" s="36"/>
      <c r="N992" s="36"/>
      <c r="O992" s="36"/>
      <c r="P992" s="36"/>
      <c r="Q992" s="36"/>
      <c r="R992" s="37"/>
      <c r="S992" s="38"/>
      <c r="Z992" s="46"/>
      <c r="AA992" s="46"/>
    </row>
    <row r="993" spans="1:27" ht="15.75">
      <c r="A993" s="39">
        <v>43892</v>
      </c>
      <c r="B993" s="115" t="s">
        <v>429</v>
      </c>
      <c r="C993" s="26" t="s">
        <v>126</v>
      </c>
      <c r="D993">
        <v>29277</v>
      </c>
      <c r="E993">
        <v>29046</v>
      </c>
      <c r="F993">
        <v>29026</v>
      </c>
      <c r="G993">
        <v>29006</v>
      </c>
      <c r="H993">
        <v>29185</v>
      </c>
      <c r="I993">
        <v>29212</v>
      </c>
      <c r="J993">
        <v>29030</v>
      </c>
      <c r="K993">
        <v>29059</v>
      </c>
      <c r="L993">
        <v>29239</v>
      </c>
      <c r="M993" s="27">
        <f>IF((L994=""),"",MAX(D995:L995))</f>
        <v>11442</v>
      </c>
      <c r="N993" s="27">
        <f>IF(L994="","",MIN(D995:L995))</f>
        <v>10656</v>
      </c>
      <c r="O993" s="27">
        <f>IF((L995=""),"",AVERAGE(D995:L995))</f>
        <v>10975</v>
      </c>
      <c r="P993" s="27">
        <f>IF((L994=""),"",STDEV(D995:L995))</f>
        <v>247.4499949484744</v>
      </c>
      <c r="Q993" s="168">
        <f>IF((L994=""),"",((M993-N993)/(M993+P993))*100)</f>
        <v>6.7240118255321262</v>
      </c>
      <c r="R993" s="28" t="str">
        <f>IF(L994="","",IF(Q993&lt;Z993,IF(N993&gt;V993,IF(M993&lt;W993,"Pass","Fail"),"Fail"),"Fail"))</f>
        <v>Pass</v>
      </c>
      <c r="S993" s="29">
        <v>1340</v>
      </c>
      <c r="T993" s="49" t="s">
        <v>473</v>
      </c>
      <c r="V993" s="53">
        <v>10000</v>
      </c>
      <c r="W993" s="22">
        <v>15600</v>
      </c>
      <c r="X993" s="40">
        <v>8090</v>
      </c>
      <c r="Y993" s="40">
        <v>12070</v>
      </c>
      <c r="Z993" s="49">
        <v>15</v>
      </c>
      <c r="AA993" s="49">
        <v>6</v>
      </c>
    </row>
    <row r="994" spans="1:27" ht="15.75">
      <c r="A994" s="96"/>
      <c r="B994" s="96"/>
      <c r="C994" s="30" t="s">
        <v>128</v>
      </c>
      <c r="D994">
        <v>25647</v>
      </c>
      <c r="E994">
        <v>25388</v>
      </c>
      <c r="F994">
        <v>25454</v>
      </c>
      <c r="G994">
        <v>25310</v>
      </c>
      <c r="H994">
        <v>25371</v>
      </c>
      <c r="I994">
        <v>25660</v>
      </c>
      <c r="J994">
        <v>25422</v>
      </c>
      <c r="K994">
        <v>25319</v>
      </c>
      <c r="L994">
        <v>25584</v>
      </c>
      <c r="M994" s="31"/>
      <c r="N994" s="31"/>
      <c r="O994" s="31"/>
      <c r="P994" s="31"/>
      <c r="Q994" s="31"/>
      <c r="R994" s="32"/>
      <c r="S994" s="33"/>
      <c r="Z994" s="46"/>
      <c r="AA994" s="46"/>
    </row>
    <row r="995" spans="1:27" ht="13.5" thickBot="1">
      <c r="A995" s="98"/>
      <c r="B995" s="112"/>
      <c r="C995" s="34" t="s">
        <v>129</v>
      </c>
      <c r="D995" s="35">
        <f>IF(((D993="")*AND(D994="")),"",(D993-D994)*3)</f>
        <v>10890</v>
      </c>
      <c r="E995" s="35">
        <f t="shared" ref="E995:L995" si="327">IF(((E993="")*AND(E994="")),"",(E993-E994)*3)</f>
        <v>10974</v>
      </c>
      <c r="F995" s="35">
        <f t="shared" si="327"/>
        <v>10716</v>
      </c>
      <c r="G995" s="35">
        <f t="shared" si="327"/>
        <v>11088</v>
      </c>
      <c r="H995" s="35">
        <f t="shared" si="327"/>
        <v>11442</v>
      </c>
      <c r="I995" s="35">
        <f t="shared" si="327"/>
        <v>10656</v>
      </c>
      <c r="J995" s="35">
        <f t="shared" si="327"/>
        <v>10824</v>
      </c>
      <c r="K995" s="35">
        <f t="shared" si="327"/>
        <v>11220</v>
      </c>
      <c r="L995" s="35">
        <f t="shared" si="327"/>
        <v>10965</v>
      </c>
      <c r="M995" s="36"/>
      <c r="N995" s="36"/>
      <c r="O995" s="36"/>
      <c r="P995" s="36"/>
      <c r="Q995" s="36"/>
      <c r="R995" s="37"/>
      <c r="S995" s="38"/>
      <c r="Z995" s="46"/>
      <c r="AA995" s="46"/>
    </row>
    <row r="996" spans="1:27" ht="15.75">
      <c r="A996" s="39">
        <v>43896</v>
      </c>
      <c r="B996" s="115" t="s">
        <v>429</v>
      </c>
      <c r="C996" s="26" t="s">
        <v>126</v>
      </c>
      <c r="D996">
        <v>29083</v>
      </c>
      <c r="E996">
        <v>28919</v>
      </c>
      <c r="F996">
        <v>28919</v>
      </c>
      <c r="G996">
        <v>28947</v>
      </c>
      <c r="H996">
        <v>29160</v>
      </c>
      <c r="I996">
        <v>29099</v>
      </c>
      <c r="J996">
        <v>28938</v>
      </c>
      <c r="K996">
        <v>28922</v>
      </c>
      <c r="L996">
        <v>29126</v>
      </c>
      <c r="M996" s="27">
        <f>IF((L997=""),"",MAX(D998:L998))</f>
        <v>11487</v>
      </c>
      <c r="N996" s="27">
        <f>IF(L997="","",MIN(D998:L998))</f>
        <v>10221</v>
      </c>
      <c r="O996" s="27">
        <f>IF((L998=""),"",AVERAGE(D998:L998))</f>
        <v>10914.666666666666</v>
      </c>
      <c r="P996" s="27">
        <f>IF((L997=""),"",STDEV(D998:L998))</f>
        <v>373.78837595623543</v>
      </c>
      <c r="Q996" s="168">
        <f>IF((L997=""),"",((M996-N996)/(M996+P996))*100)</f>
        <v>10.673826729481068</v>
      </c>
      <c r="R996" s="28" t="str">
        <f>IF(L997="","",IF(Q996&lt;Z996,IF(N996&gt;V996,IF(M996&lt;W996,"Pass","Fail"),"Fail"),"Fail"))</f>
        <v>Pass</v>
      </c>
      <c r="S996" s="29">
        <v>1340</v>
      </c>
      <c r="T996" s="49" t="s">
        <v>475</v>
      </c>
      <c r="V996" s="53">
        <v>10000</v>
      </c>
      <c r="W996" s="22">
        <v>15600</v>
      </c>
      <c r="X996" s="40">
        <v>8090</v>
      </c>
      <c r="Y996" s="40">
        <v>12070</v>
      </c>
      <c r="Z996" s="49">
        <v>15</v>
      </c>
      <c r="AA996" s="49">
        <v>6</v>
      </c>
    </row>
    <row r="997" spans="1:27" ht="15.75">
      <c r="A997" s="96"/>
      <c r="B997" s="96"/>
      <c r="C997" s="30" t="s">
        <v>128</v>
      </c>
      <c r="D997">
        <v>25491</v>
      </c>
      <c r="E997">
        <v>25276</v>
      </c>
      <c r="F997">
        <v>25305</v>
      </c>
      <c r="G997">
        <v>25190</v>
      </c>
      <c r="H997">
        <v>25331</v>
      </c>
      <c r="I997">
        <v>25568</v>
      </c>
      <c r="J997">
        <v>25531</v>
      </c>
      <c r="K997">
        <v>25209</v>
      </c>
      <c r="L997">
        <v>25468</v>
      </c>
      <c r="M997" s="31"/>
      <c r="N997" s="31"/>
      <c r="O997" s="31"/>
      <c r="P997" s="31"/>
      <c r="Q997" s="31"/>
      <c r="R997" s="32"/>
      <c r="S997" s="33"/>
      <c r="Z997" s="46"/>
      <c r="AA997" s="46"/>
    </row>
    <row r="998" spans="1:27" ht="13.5" thickBot="1">
      <c r="A998" s="98"/>
      <c r="B998" s="112"/>
      <c r="C998" s="34" t="s">
        <v>129</v>
      </c>
      <c r="D998" s="35">
        <f>IF(((D996="")*AND(D997="")),"",(D996-D997)*3)</f>
        <v>10776</v>
      </c>
      <c r="E998" s="35">
        <f t="shared" ref="E998:L998" si="328">IF(((E996="")*AND(E997="")),"",(E996-E997)*3)</f>
        <v>10929</v>
      </c>
      <c r="F998" s="35">
        <f t="shared" si="328"/>
        <v>10842</v>
      </c>
      <c r="G998" s="35">
        <f t="shared" si="328"/>
        <v>11271</v>
      </c>
      <c r="H998" s="35">
        <f t="shared" si="328"/>
        <v>11487</v>
      </c>
      <c r="I998" s="35">
        <f t="shared" si="328"/>
        <v>10593</v>
      </c>
      <c r="J998" s="35">
        <f t="shared" si="328"/>
        <v>10221</v>
      </c>
      <c r="K998" s="35">
        <f t="shared" si="328"/>
        <v>11139</v>
      </c>
      <c r="L998" s="35">
        <f t="shared" si="328"/>
        <v>10974</v>
      </c>
      <c r="M998" s="36"/>
      <c r="N998" s="36"/>
      <c r="O998" s="36"/>
      <c r="P998" s="36"/>
      <c r="Q998" s="36"/>
      <c r="R998" s="37"/>
      <c r="S998" s="38"/>
      <c r="Z998" s="46"/>
      <c r="AA998" s="46"/>
    </row>
    <row r="999" spans="1:27" ht="15.75">
      <c r="A999" s="39">
        <v>43901</v>
      </c>
      <c r="B999" s="115" t="s">
        <v>429</v>
      </c>
      <c r="C999" s="26" t="s">
        <v>126</v>
      </c>
      <c r="D999" s="102">
        <v>29101.31</v>
      </c>
      <c r="E999" s="102">
        <v>28895.81</v>
      </c>
      <c r="F999" s="102">
        <v>28880.06</v>
      </c>
      <c r="G999" s="102">
        <v>28889.95</v>
      </c>
      <c r="H999" s="102">
        <v>29078.97</v>
      </c>
      <c r="I999" s="102">
        <v>29087.29</v>
      </c>
      <c r="J999" s="102">
        <v>28900.45</v>
      </c>
      <c r="K999" s="102">
        <v>28900.6</v>
      </c>
      <c r="L999" s="102">
        <v>29074.03</v>
      </c>
      <c r="M999" s="27">
        <f>IF((L1000=""),"",MAX(D1001:L1001))</f>
        <v>11907.48</v>
      </c>
      <c r="N999" s="27">
        <f>IF(L1000="","",MIN(D1001:L1001))</f>
        <v>10711.860000000008</v>
      </c>
      <c r="O999" s="27">
        <f>IF((L1001=""),"",AVERAGE(D1001:L1001))</f>
        <v>11248.133333333337</v>
      </c>
      <c r="P999" s="27">
        <f>IF((L1000=""),"",STDEV(D1001:L1001))</f>
        <v>360.40366798910833</v>
      </c>
      <c r="Q999" s="168">
        <f>IF((L1000=""),"",((M999-N999)/(M999+P999))*100)</f>
        <v>9.7459352595570543</v>
      </c>
      <c r="R999" s="28" t="str">
        <f>IF(L1000="","",IF(Q999&lt;Z999,IF(N999&gt;V999,IF(M999&lt;W999,"Pass","Fail"),"Fail"),"Fail"))</f>
        <v>Pass</v>
      </c>
      <c r="S999" s="29">
        <v>64</v>
      </c>
      <c r="T999" s="49" t="s">
        <v>476</v>
      </c>
      <c r="V999" s="53">
        <v>10000</v>
      </c>
      <c r="W999" s="22">
        <v>15600</v>
      </c>
      <c r="X999" s="40">
        <v>8090</v>
      </c>
      <c r="Y999" s="40">
        <v>12070</v>
      </c>
      <c r="Z999" s="49">
        <v>15</v>
      </c>
      <c r="AA999" s="49">
        <v>6</v>
      </c>
    </row>
    <row r="1000" spans="1:27" ht="15.75">
      <c r="A1000" s="96"/>
      <c r="B1000" s="96"/>
      <c r="C1000" s="30" t="s">
        <v>128</v>
      </c>
      <c r="D1000" s="102">
        <v>25286.3</v>
      </c>
      <c r="E1000" s="102">
        <v>25078.959999999999</v>
      </c>
      <c r="F1000" s="102">
        <v>25191.200000000001</v>
      </c>
      <c r="G1000" s="102">
        <v>25211.46</v>
      </c>
      <c r="H1000" s="102">
        <v>25508.35</v>
      </c>
      <c r="I1000" s="102">
        <v>25438.27</v>
      </c>
      <c r="J1000" s="102">
        <v>25176.66</v>
      </c>
      <c r="K1000" s="102">
        <v>25068</v>
      </c>
      <c r="L1000" s="102">
        <v>25104.87</v>
      </c>
      <c r="M1000" s="31"/>
      <c r="N1000" s="31"/>
      <c r="O1000" s="31"/>
      <c r="P1000" s="31"/>
      <c r="Q1000" s="31"/>
      <c r="R1000" s="32"/>
      <c r="S1000" s="33"/>
      <c r="Z1000" s="46"/>
      <c r="AA1000" s="46"/>
    </row>
    <row r="1001" spans="1:27" ht="13.5" thickBot="1">
      <c r="A1001" s="98"/>
      <c r="B1001" s="112"/>
      <c r="C1001" s="34" t="s">
        <v>129</v>
      </c>
      <c r="D1001" s="35">
        <f>IF(((D999="")*AND(D1000="")),"",(D999-D1000)*3)</f>
        <v>11445.030000000006</v>
      </c>
      <c r="E1001" s="35">
        <f t="shared" ref="E1001:L1001" si="329">IF(((E999="")*AND(E1000="")),"",(E999-E1000)*3)</f>
        <v>11450.550000000007</v>
      </c>
      <c r="F1001" s="35">
        <f t="shared" si="329"/>
        <v>11066.580000000002</v>
      </c>
      <c r="G1001" s="35">
        <f t="shared" si="329"/>
        <v>11035.470000000005</v>
      </c>
      <c r="H1001" s="35">
        <f t="shared" si="329"/>
        <v>10711.860000000008</v>
      </c>
      <c r="I1001" s="35">
        <f t="shared" si="329"/>
        <v>10947.060000000001</v>
      </c>
      <c r="J1001" s="35">
        <f t="shared" si="329"/>
        <v>11171.370000000003</v>
      </c>
      <c r="K1001" s="35">
        <f t="shared" si="329"/>
        <v>11497.799999999996</v>
      </c>
      <c r="L1001" s="35">
        <f t="shared" si="329"/>
        <v>11907.48</v>
      </c>
      <c r="M1001" s="36"/>
      <c r="N1001" s="36"/>
      <c r="O1001" s="36"/>
      <c r="P1001" s="36"/>
      <c r="Q1001" s="36"/>
      <c r="R1001" s="37"/>
      <c r="S1001" s="38"/>
      <c r="Z1001" s="46"/>
      <c r="AA1001" s="46"/>
    </row>
    <row r="1002" spans="1:27" ht="15.75">
      <c r="A1002" s="39">
        <v>43904</v>
      </c>
      <c r="B1002" s="115" t="s">
        <v>429</v>
      </c>
      <c r="C1002" s="26" t="s">
        <v>126</v>
      </c>
      <c r="D1002">
        <v>28969.62</v>
      </c>
      <c r="E1002">
        <v>28832.53</v>
      </c>
      <c r="F1002">
        <v>28816.37</v>
      </c>
      <c r="G1002">
        <v>28837.49</v>
      </c>
      <c r="H1002">
        <v>28969.75</v>
      </c>
      <c r="I1002">
        <v>28936.05</v>
      </c>
      <c r="J1002">
        <v>28821.56</v>
      </c>
      <c r="K1002">
        <v>28825.62</v>
      </c>
      <c r="L1002">
        <v>28942.36</v>
      </c>
      <c r="M1002" s="27">
        <f>IF((L1003=""),"",MAX(D1004:L1004))</f>
        <v>11570.399999999998</v>
      </c>
      <c r="N1002" s="27">
        <f>IF(L1003="","",MIN(D1004:L1004))</f>
        <v>11060.159999999993</v>
      </c>
      <c r="O1002" s="27">
        <f>IF((L1004=""),"",AVERAGE(D1004:L1004))</f>
        <v>11331.789999999999</v>
      </c>
      <c r="P1002" s="27">
        <f>IF((L1003=""),"",STDEV(D1004:L1004))</f>
        <v>167.30753898141168</v>
      </c>
      <c r="Q1002" s="168">
        <f>IF((L1003=""),"",((M1002-N1002)/(M1002+P1002))*100)</f>
        <v>4.3470157891179113</v>
      </c>
      <c r="R1002" s="28" t="str">
        <f>IF(L1003="","",IF(Q1002&lt;Z1002,IF(N1002&gt;V1002,IF(M1002&lt;W1002,"Pass","Fail"),"Fail"),"Fail"))</f>
        <v>Pass</v>
      </c>
      <c r="S1002" s="29">
        <v>1428</v>
      </c>
      <c r="T1002" s="49" t="s">
        <v>478</v>
      </c>
      <c r="U1002" s="48" t="s">
        <v>480</v>
      </c>
      <c r="V1002" s="53">
        <v>10000</v>
      </c>
      <c r="W1002" s="22">
        <v>15600</v>
      </c>
      <c r="X1002" s="40">
        <v>8090</v>
      </c>
      <c r="Y1002" s="40">
        <v>12070</v>
      </c>
      <c r="Z1002" s="49">
        <v>15</v>
      </c>
      <c r="AA1002" s="49">
        <v>6</v>
      </c>
    </row>
    <row r="1003" spans="1:27" ht="15.75">
      <c r="A1003" s="96"/>
      <c r="B1003" s="96"/>
      <c r="C1003" s="30" t="s">
        <v>128</v>
      </c>
      <c r="D1003">
        <v>25253.8</v>
      </c>
      <c r="E1003">
        <v>25095.93</v>
      </c>
      <c r="F1003">
        <v>25129.65</v>
      </c>
      <c r="G1003">
        <v>25035.81</v>
      </c>
      <c r="H1003">
        <v>25112.95</v>
      </c>
      <c r="I1003">
        <v>25123</v>
      </c>
      <c r="J1003">
        <v>25045.1</v>
      </c>
      <c r="K1003">
        <v>25049.86</v>
      </c>
      <c r="L1003">
        <v>25109.88</v>
      </c>
      <c r="M1003" s="31"/>
      <c r="N1003" s="31"/>
      <c r="O1003" s="31"/>
      <c r="P1003" s="31"/>
      <c r="Q1003" s="31"/>
      <c r="R1003" s="32"/>
      <c r="S1003" s="33"/>
      <c r="Z1003" s="46"/>
      <c r="AA1003" s="46"/>
    </row>
    <row r="1004" spans="1:27" ht="13.5" thickBot="1">
      <c r="A1004" s="98"/>
      <c r="B1004" s="112"/>
      <c r="C1004" s="34" t="s">
        <v>129</v>
      </c>
      <c r="D1004" s="35">
        <f>IF(((D1002="")*AND(D1003="")),"",(D1002-D1003)*3)</f>
        <v>11147.46</v>
      </c>
      <c r="E1004" s="35">
        <f t="shared" ref="E1004:L1004" si="330">IF(((E1002="")*AND(E1003="")),"",(E1002-E1003)*3)</f>
        <v>11209.799999999996</v>
      </c>
      <c r="F1004" s="35">
        <f t="shared" si="330"/>
        <v>11060.159999999993</v>
      </c>
      <c r="G1004" s="35">
        <f t="shared" si="330"/>
        <v>11405.04</v>
      </c>
      <c r="H1004" s="35">
        <f t="shared" si="330"/>
        <v>11570.399999999998</v>
      </c>
      <c r="I1004" s="35">
        <f t="shared" si="330"/>
        <v>11439.149999999998</v>
      </c>
      <c r="J1004" s="35">
        <f t="shared" si="330"/>
        <v>11329.380000000008</v>
      </c>
      <c r="K1004" s="35">
        <f t="shared" si="330"/>
        <v>11327.279999999995</v>
      </c>
      <c r="L1004" s="35">
        <f t="shared" si="330"/>
        <v>11497.439999999999</v>
      </c>
      <c r="M1004" s="36"/>
      <c r="N1004" s="36"/>
      <c r="O1004" s="36"/>
      <c r="P1004" s="36"/>
      <c r="Q1004" s="36"/>
      <c r="R1004" s="37"/>
      <c r="S1004" s="38"/>
      <c r="Z1004" s="46"/>
      <c r="AA1004" s="46"/>
    </row>
    <row r="1005" spans="1:27" ht="15.75">
      <c r="A1005" s="39">
        <v>43907</v>
      </c>
      <c r="B1005" s="115" t="s">
        <v>429</v>
      </c>
      <c r="C1005" s="26" t="s">
        <v>126</v>
      </c>
      <c r="D1005">
        <v>29109.19</v>
      </c>
      <c r="E1005">
        <v>28986.799999999999</v>
      </c>
      <c r="F1005">
        <v>28960.67</v>
      </c>
      <c r="G1005">
        <v>28980.46</v>
      </c>
      <c r="H1005">
        <v>29084.04</v>
      </c>
      <c r="I1005">
        <v>29116.48</v>
      </c>
      <c r="J1005">
        <v>28986.65</v>
      </c>
      <c r="K1005">
        <v>28981.84</v>
      </c>
      <c r="L1005">
        <v>29118.95</v>
      </c>
      <c r="M1005" s="27">
        <f>IF((L1006=""),"",MAX(D1007:L1007))</f>
        <v>31137.48</v>
      </c>
      <c r="N1005" s="27">
        <f>IF(L1006="","",MIN(D1007:L1007))</f>
        <v>28211.159999999993</v>
      </c>
      <c r="O1005" s="27">
        <f>IF((L1007=""),"",AVERAGE(D1007:L1007))</f>
        <v>29631.25333333333</v>
      </c>
      <c r="P1005" s="27">
        <f>IF((L1006=""),"",STDEV(D1007:L1007))</f>
        <v>868.14457042020899</v>
      </c>
      <c r="Q1005" s="168">
        <f>IF((L1006=""),"",((M1005-N1005)/(M1005+P1005))*100)</f>
        <v>9.1431429296478388</v>
      </c>
      <c r="R1005" s="28" t="str">
        <f>IF(L1006="","",IF(Q1005&lt;Z1005,IF(N1005&gt;V1005,IF(M1005&lt;W1005,"Pass","Fail"),"Fail"),"Fail"))</f>
        <v>Fail</v>
      </c>
      <c r="S1005" s="29">
        <v>1335</v>
      </c>
      <c r="U1005" s="48" t="s">
        <v>481</v>
      </c>
      <c r="V1005" s="53">
        <v>10000</v>
      </c>
      <c r="W1005" s="22">
        <v>15600</v>
      </c>
      <c r="X1005" s="40">
        <v>8090</v>
      </c>
      <c r="Y1005" s="40">
        <v>12070</v>
      </c>
      <c r="Z1005" s="49">
        <v>15</v>
      </c>
      <c r="AA1005" s="49">
        <v>6</v>
      </c>
    </row>
    <row r="1006" spans="1:27" ht="15.75">
      <c r="A1006" s="96"/>
      <c r="B1006" s="96"/>
      <c r="C1006" s="30" t="s">
        <v>128</v>
      </c>
      <c r="D1006">
        <v>19705.47</v>
      </c>
      <c r="E1006">
        <v>19358.21</v>
      </c>
      <c r="F1006">
        <v>19276.990000000002</v>
      </c>
      <c r="G1006">
        <v>18918.900000000001</v>
      </c>
      <c r="H1006">
        <v>18704.88</v>
      </c>
      <c r="I1006">
        <v>19148.13</v>
      </c>
      <c r="J1006">
        <v>19172.259999999998</v>
      </c>
      <c r="K1006">
        <v>19123.650000000001</v>
      </c>
      <c r="L1006">
        <v>19022.830000000002</v>
      </c>
      <c r="M1006" s="31"/>
      <c r="N1006" s="31"/>
      <c r="O1006" s="31"/>
      <c r="P1006" s="31"/>
      <c r="Q1006" s="31"/>
      <c r="R1006" s="32"/>
      <c r="S1006" s="33"/>
      <c r="Z1006" s="46"/>
      <c r="AA1006" s="46"/>
    </row>
    <row r="1007" spans="1:27" ht="13.5" thickBot="1">
      <c r="A1007" s="98"/>
      <c r="B1007" s="112"/>
      <c r="C1007" s="34" t="s">
        <v>129</v>
      </c>
      <c r="D1007" s="35">
        <f>IF(((D1005="")*AND(D1006="")),"",(D1005-D1006)*3)</f>
        <v>28211.159999999993</v>
      </c>
      <c r="E1007" s="35">
        <f t="shared" ref="E1007:L1007" si="331">IF(((E1005="")*AND(E1006="")),"",(E1005-E1006)*3)</f>
        <v>28885.77</v>
      </c>
      <c r="F1007" s="35">
        <f t="shared" si="331"/>
        <v>29051.03999999999</v>
      </c>
      <c r="G1007" s="35">
        <f t="shared" si="331"/>
        <v>30184.679999999993</v>
      </c>
      <c r="H1007" s="35">
        <f t="shared" si="331"/>
        <v>31137.48</v>
      </c>
      <c r="I1007" s="35">
        <f t="shared" si="331"/>
        <v>29905.049999999996</v>
      </c>
      <c r="J1007" s="35">
        <f t="shared" si="331"/>
        <v>29443.170000000009</v>
      </c>
      <c r="K1007" s="35">
        <f t="shared" si="331"/>
        <v>29574.569999999996</v>
      </c>
      <c r="L1007" s="35">
        <f t="shared" si="331"/>
        <v>30288.359999999997</v>
      </c>
      <c r="M1007" s="36"/>
      <c r="N1007" s="36"/>
      <c r="O1007" s="36"/>
      <c r="P1007" s="36"/>
      <c r="Q1007" s="36"/>
      <c r="R1007" s="37"/>
      <c r="S1007" s="38"/>
      <c r="Z1007" s="46"/>
      <c r="AA1007" s="46"/>
    </row>
    <row r="1008" spans="1:27" ht="15.75">
      <c r="A1008" s="39">
        <v>43909</v>
      </c>
      <c r="B1008" s="115" t="s">
        <v>429</v>
      </c>
      <c r="C1008" s="26" t="s">
        <v>126</v>
      </c>
      <c r="D1008">
        <v>28995.47</v>
      </c>
      <c r="E1008">
        <v>28870.26</v>
      </c>
      <c r="F1008">
        <v>28843.48</v>
      </c>
      <c r="G1008">
        <v>28880.77</v>
      </c>
      <c r="H1008">
        <v>29014.59</v>
      </c>
      <c r="I1008">
        <v>28992.19</v>
      </c>
      <c r="J1008">
        <v>28862.04</v>
      </c>
      <c r="K1008">
        <v>28868.46</v>
      </c>
      <c r="L1008">
        <v>28992.59</v>
      </c>
      <c r="M1008" s="27">
        <f>IF((L1009=""),"",MAX(D1010:L1010))</f>
        <v>11319.629999999997</v>
      </c>
      <c r="N1008" s="27">
        <f>IF(L1009="","",MIN(D1010:L1010))</f>
        <v>10735.410000000003</v>
      </c>
      <c r="O1008" s="27">
        <f>IF((L1010=""),"",AVERAGE(D1010:L1010))</f>
        <v>11045.45</v>
      </c>
      <c r="P1008" s="27">
        <f>IF((L1009=""),"",STDEV(D1010:L1010))</f>
        <v>180.42622599009795</v>
      </c>
      <c r="Q1008" s="168">
        <f>IF((L1009=""),"",((M1008-N1008)/(M1008+P1008))*100)</f>
        <v>5.0801490750945915</v>
      </c>
      <c r="R1008" s="28" t="str">
        <f>IF(L1009="","",IF(Q1008&lt;Z1008,IF(N1008&gt;V1008,IF(M1008&lt;W1008,"Pass","Fail"),"Fail"),"Fail"))</f>
        <v>Pass</v>
      </c>
      <c r="S1008" s="29">
        <v>1428</v>
      </c>
      <c r="U1008" s="48" t="s">
        <v>481</v>
      </c>
      <c r="V1008" s="53">
        <v>10000</v>
      </c>
      <c r="W1008" s="22">
        <v>15600</v>
      </c>
      <c r="X1008" s="40">
        <v>8090</v>
      </c>
      <c r="Y1008" s="40">
        <v>12070</v>
      </c>
      <c r="Z1008" s="49">
        <v>15</v>
      </c>
      <c r="AA1008" s="49">
        <v>6</v>
      </c>
    </row>
    <row r="1009" spans="1:27" ht="15.75">
      <c r="A1009" s="96"/>
      <c r="B1009" s="96"/>
      <c r="C1009" s="30" t="s">
        <v>128</v>
      </c>
      <c r="D1009">
        <v>25335.200000000001</v>
      </c>
      <c r="E1009">
        <v>25239.11</v>
      </c>
      <c r="F1009">
        <v>25265.01</v>
      </c>
      <c r="G1009">
        <v>25167.09</v>
      </c>
      <c r="H1009">
        <v>25241.38</v>
      </c>
      <c r="I1009">
        <v>25239.279999999999</v>
      </c>
      <c r="J1009">
        <v>25177.46</v>
      </c>
      <c r="K1009">
        <v>25214.19</v>
      </c>
      <c r="L1009">
        <v>25304.78</v>
      </c>
      <c r="M1009" s="31"/>
      <c r="N1009" s="31"/>
      <c r="O1009" s="31"/>
      <c r="P1009" s="31"/>
      <c r="Q1009" s="31"/>
      <c r="R1009" s="32"/>
      <c r="S1009" s="33"/>
      <c r="Z1009" s="46"/>
      <c r="AA1009" s="46"/>
    </row>
    <row r="1010" spans="1:27" ht="13.5" thickBot="1">
      <c r="A1010" s="98"/>
      <c r="B1010" s="112"/>
      <c r="C1010" s="34" t="s">
        <v>129</v>
      </c>
      <c r="D1010" s="35">
        <f>IF(((D1008="")*AND(D1009="")),"",(D1008-D1009)*3)</f>
        <v>10980.810000000001</v>
      </c>
      <c r="E1010" s="35">
        <f t="shared" ref="E1010:L1010" si="332">IF(((E1008="")*AND(E1009="")),"",(E1008-E1009)*3)</f>
        <v>10893.449999999993</v>
      </c>
      <c r="F1010" s="35">
        <f t="shared" si="332"/>
        <v>10735.410000000003</v>
      </c>
      <c r="G1010" s="35">
        <f t="shared" si="332"/>
        <v>11141.04</v>
      </c>
      <c r="H1010" s="35">
        <f t="shared" si="332"/>
        <v>11319.629999999997</v>
      </c>
      <c r="I1010" s="35">
        <f t="shared" si="332"/>
        <v>11258.73</v>
      </c>
      <c r="J1010" s="35">
        <f t="shared" si="332"/>
        <v>11053.740000000005</v>
      </c>
      <c r="K1010" s="35">
        <f t="shared" si="332"/>
        <v>10962.810000000001</v>
      </c>
      <c r="L1010" s="35">
        <f t="shared" si="332"/>
        <v>11063.430000000004</v>
      </c>
      <c r="M1010" s="36"/>
      <c r="N1010" s="36"/>
      <c r="O1010" s="36"/>
      <c r="P1010" s="36"/>
      <c r="Q1010" s="36"/>
      <c r="R1010" s="37"/>
      <c r="S1010" s="38"/>
      <c r="Z1010" s="46"/>
      <c r="AA1010" s="46"/>
    </row>
    <row r="1011" spans="1:27" ht="15.75">
      <c r="A1011" s="39">
        <v>43945</v>
      </c>
      <c r="B1011" s="115" t="s">
        <v>429</v>
      </c>
      <c r="C1011" s="26" t="s">
        <v>126</v>
      </c>
      <c r="D1011">
        <v>28948.07</v>
      </c>
      <c r="E1011">
        <v>28830.07</v>
      </c>
      <c r="F1011">
        <v>28838.98</v>
      </c>
      <c r="G1011">
        <v>28835.439999999999</v>
      </c>
      <c r="H1011">
        <v>28947.21</v>
      </c>
      <c r="I1011">
        <v>28906.76</v>
      </c>
      <c r="J1011">
        <v>28818.85</v>
      </c>
      <c r="K1011">
        <v>28818.73</v>
      </c>
      <c r="L1011">
        <v>28880.18</v>
      </c>
      <c r="M1011" s="27">
        <f>IF((L1012=""),"",MAX(D1013:L1013))</f>
        <v>10788.359999999997</v>
      </c>
      <c r="N1011" s="27">
        <f>IF(L1012="","",MIN(D1013:L1013))</f>
        <v>9978.1499999999978</v>
      </c>
      <c r="O1011" s="27">
        <f>IF((L1013=""),"",AVERAGE(D1013:L1013))</f>
        <v>10287.036666666663</v>
      </c>
      <c r="P1011" s="27">
        <f>IF((L1012=""),"",STDEV(D1013:L1013))</f>
        <v>215.33137335277578</v>
      </c>
      <c r="Q1011" s="168">
        <f>IF((L1012=""),"",((M1011-N1011)/(M1011+P1011))*100)</f>
        <v>7.3630745584345849</v>
      </c>
      <c r="R1011" s="28" t="str">
        <f>IF(L1012="","",IF(Q1011&lt;Z1011,IF(N1011&gt;V1011,IF(M1011&lt;W1011,"Pass","Fail"),"Fail"),"Fail"))</f>
        <v>Fail</v>
      </c>
      <c r="S1011" s="29">
        <v>121</v>
      </c>
      <c r="T1011" s="49" t="s">
        <v>485</v>
      </c>
      <c r="U1011" s="48" t="s">
        <v>484</v>
      </c>
      <c r="V1011" s="53">
        <v>10000</v>
      </c>
      <c r="W1011" s="22">
        <v>15600</v>
      </c>
      <c r="X1011" s="40">
        <v>8090</v>
      </c>
      <c r="Y1011" s="40">
        <v>12070</v>
      </c>
      <c r="Z1011" s="49">
        <v>15</v>
      </c>
      <c r="AA1011" s="49">
        <v>6</v>
      </c>
    </row>
    <row r="1012" spans="1:27" ht="15.75">
      <c r="A1012" s="96"/>
      <c r="B1012" s="96"/>
      <c r="C1012" s="30" t="s">
        <v>128</v>
      </c>
      <c r="D1012">
        <v>25517.62</v>
      </c>
      <c r="E1012">
        <v>25420.99</v>
      </c>
      <c r="F1012">
        <v>25512.93</v>
      </c>
      <c r="G1012">
        <v>25435.56</v>
      </c>
      <c r="H1012">
        <v>25509.22</v>
      </c>
      <c r="I1012">
        <v>25475.59</v>
      </c>
      <c r="J1012">
        <v>25425.73</v>
      </c>
      <c r="K1012">
        <v>25381.48</v>
      </c>
      <c r="L1012">
        <v>25284.06</v>
      </c>
      <c r="M1012" s="31"/>
      <c r="N1012" s="31"/>
      <c r="O1012" s="31"/>
      <c r="P1012" s="31"/>
      <c r="Q1012" s="31"/>
      <c r="R1012" s="32"/>
      <c r="S1012" s="33"/>
      <c r="Z1012" s="46"/>
      <c r="AA1012" s="46"/>
    </row>
    <row r="1013" spans="1:27" ht="13.5" thickBot="1">
      <c r="A1013" s="98"/>
      <c r="B1013" s="112"/>
      <c r="C1013" s="34" t="s">
        <v>129</v>
      </c>
      <c r="D1013" s="35">
        <f>IF(((D1011="")*AND(D1012="")),"",(D1011-D1012)*3)</f>
        <v>10291.350000000002</v>
      </c>
      <c r="E1013" s="35">
        <f t="shared" ref="E1013:L1013" si="333">IF(((E1011="")*AND(E1012="")),"",(E1011-E1012)*3)</f>
        <v>10227.239999999994</v>
      </c>
      <c r="F1013" s="35">
        <f t="shared" si="333"/>
        <v>9978.1499999999978</v>
      </c>
      <c r="G1013" s="35">
        <f t="shared" si="333"/>
        <v>10199.639999999992</v>
      </c>
      <c r="H1013" s="35">
        <f t="shared" si="333"/>
        <v>10313.969999999994</v>
      </c>
      <c r="I1013" s="35">
        <f t="shared" si="333"/>
        <v>10293.509999999995</v>
      </c>
      <c r="J1013" s="35">
        <f t="shared" si="333"/>
        <v>10179.359999999997</v>
      </c>
      <c r="K1013" s="35">
        <f t="shared" si="333"/>
        <v>10311.75</v>
      </c>
      <c r="L1013" s="35">
        <f t="shared" si="333"/>
        <v>10788.359999999997</v>
      </c>
      <c r="M1013" s="36"/>
      <c r="N1013" s="36"/>
      <c r="O1013" s="36"/>
      <c r="P1013" s="36"/>
      <c r="Q1013" s="36"/>
      <c r="R1013" s="37"/>
      <c r="S1013" s="38"/>
      <c r="Z1013" s="46"/>
      <c r="AA1013" s="46"/>
    </row>
    <row r="1014" spans="1:27" ht="15.75">
      <c r="A1014" s="39">
        <v>43945</v>
      </c>
      <c r="B1014" s="115" t="s">
        <v>429</v>
      </c>
      <c r="C1014" s="26" t="s">
        <v>126</v>
      </c>
      <c r="D1014">
        <v>29036.44</v>
      </c>
      <c r="E1014">
        <v>28904.23</v>
      </c>
      <c r="F1014">
        <v>28887.8</v>
      </c>
      <c r="G1014">
        <v>28872.91</v>
      </c>
      <c r="H1014">
        <v>28967.200000000001</v>
      </c>
      <c r="I1014">
        <v>28924.560000000001</v>
      </c>
      <c r="J1014">
        <v>28881.48</v>
      </c>
      <c r="K1014">
        <v>28849.93</v>
      </c>
      <c r="L1014">
        <v>28858.28</v>
      </c>
      <c r="M1014" s="27">
        <f>IF((L1015=""),"",MAX(D1016:L1016))</f>
        <v>10738.169999999998</v>
      </c>
      <c r="N1014" s="27">
        <f>IF(L1015="","",MIN(D1016:L1016))</f>
        <v>9682.3500000000022</v>
      </c>
      <c r="O1014" s="27">
        <f>IF((L1016=""),"",AVERAGE(D1016:L1016))</f>
        <v>10061.760000000002</v>
      </c>
      <c r="P1014" s="27">
        <f>IF((L1015=""),"",STDEV(D1016:L1016))</f>
        <v>312.69670337241388</v>
      </c>
      <c r="Q1014" s="168">
        <f>IF((L1015=""),"",((M1014-N1014)/(M1014+P1014))*100)</f>
        <v>9.5541827472933818</v>
      </c>
      <c r="R1014" s="28" t="str">
        <f>IF(L1015="","",IF(Q1014&lt;Z1014,IF(N1014&gt;V1014,IF(M1014&lt;W1014,"Pass","Fail"),"Fail"),"Fail"))</f>
        <v>Fail</v>
      </c>
      <c r="S1014" s="29">
        <v>1519</v>
      </c>
      <c r="U1014" s="48" t="s">
        <v>484</v>
      </c>
      <c r="V1014" s="53">
        <v>10000</v>
      </c>
      <c r="W1014" s="22">
        <v>15600</v>
      </c>
      <c r="X1014" s="40">
        <v>8090</v>
      </c>
      <c r="Y1014" s="40">
        <v>12070</v>
      </c>
      <c r="Z1014" s="49">
        <v>15</v>
      </c>
      <c r="AA1014" s="49">
        <v>6</v>
      </c>
    </row>
    <row r="1015" spans="1:27" ht="15.75">
      <c r="A1015" s="96"/>
      <c r="B1015" s="96"/>
      <c r="C1015" s="30" t="s">
        <v>128</v>
      </c>
      <c r="D1015">
        <v>25651.26</v>
      </c>
      <c r="E1015">
        <v>25557.53</v>
      </c>
      <c r="F1015">
        <v>25660.35</v>
      </c>
      <c r="G1015">
        <v>25586.41</v>
      </c>
      <c r="H1015">
        <v>25689.48</v>
      </c>
      <c r="I1015">
        <v>25491.27</v>
      </c>
      <c r="J1015">
        <v>25575.32</v>
      </c>
      <c r="K1015">
        <v>25507.040000000001</v>
      </c>
      <c r="L1015">
        <v>25278.89</v>
      </c>
      <c r="M1015" s="31"/>
      <c r="N1015" s="31"/>
      <c r="O1015" s="31"/>
      <c r="P1015" s="31"/>
      <c r="Q1015" s="31"/>
      <c r="R1015" s="32"/>
      <c r="S1015" s="33"/>
      <c r="Z1015" s="46"/>
      <c r="AA1015" s="46"/>
    </row>
    <row r="1016" spans="1:27" ht="13.5" thickBot="1">
      <c r="A1016" s="98"/>
      <c r="B1016" s="112"/>
      <c r="C1016" s="34" t="s">
        <v>129</v>
      </c>
      <c r="D1016" s="35">
        <f>IF(((D1014="")*AND(D1015="")),"",(D1014-D1015)*3)</f>
        <v>10155.540000000001</v>
      </c>
      <c r="E1016" s="35">
        <f t="shared" ref="E1016:L1016" si="334">IF(((E1014="")*AND(E1015="")),"",(E1014-E1015)*3)</f>
        <v>10040.100000000002</v>
      </c>
      <c r="F1016" s="35">
        <f t="shared" si="334"/>
        <v>9682.3500000000022</v>
      </c>
      <c r="G1016" s="35">
        <f t="shared" si="334"/>
        <v>9859.5</v>
      </c>
      <c r="H1016" s="35">
        <f t="shared" si="334"/>
        <v>9833.1600000000035</v>
      </c>
      <c r="I1016" s="35">
        <f t="shared" si="334"/>
        <v>10299.870000000003</v>
      </c>
      <c r="J1016" s="35">
        <f t="shared" si="334"/>
        <v>9918.48</v>
      </c>
      <c r="K1016" s="35">
        <f t="shared" si="334"/>
        <v>10028.669999999998</v>
      </c>
      <c r="L1016" s="35">
        <f t="shared" si="334"/>
        <v>10738.169999999998</v>
      </c>
      <c r="M1016" s="36"/>
      <c r="N1016" s="36"/>
      <c r="O1016" s="36"/>
      <c r="P1016" s="36"/>
      <c r="Q1016" s="36"/>
      <c r="R1016" s="37"/>
      <c r="S1016" s="38"/>
      <c r="Z1016" s="46"/>
      <c r="AA1016" s="46"/>
    </row>
    <row r="1017" spans="1:27" ht="15.75">
      <c r="A1017" s="39">
        <v>43946</v>
      </c>
      <c r="B1017" s="115" t="s">
        <v>429</v>
      </c>
      <c r="C1017" s="26" t="s">
        <v>126</v>
      </c>
      <c r="D1017">
        <v>28939.74</v>
      </c>
      <c r="E1017">
        <v>28836.06</v>
      </c>
      <c r="F1017">
        <v>28794.71</v>
      </c>
      <c r="G1017">
        <v>28837.200000000001</v>
      </c>
      <c r="H1017">
        <v>28937.26</v>
      </c>
      <c r="I1017">
        <v>28975.88</v>
      </c>
      <c r="J1017">
        <v>28830.35</v>
      </c>
      <c r="K1017">
        <v>28829.02</v>
      </c>
      <c r="L1017">
        <v>28955.63</v>
      </c>
      <c r="M1017" s="27">
        <f t="shared" ref="M1017" si="335">IF((L1018=""),"",MAX(D1019:L1019))</f>
        <v>11625.569999999996</v>
      </c>
      <c r="N1017" s="27">
        <f t="shared" ref="N1017" si="336">IF(L1018="","",MIN(D1019:L1019))</f>
        <v>10873.589999999997</v>
      </c>
      <c r="O1017" s="27">
        <f t="shared" ref="O1017" si="337">IF((L1019=""),"",AVERAGE(D1019:L1019))</f>
        <v>11218.406666666669</v>
      </c>
      <c r="P1017" s="27">
        <f t="shared" ref="P1017" si="338">IF((L1018=""),"",STDEV(D1019:L1019))</f>
        <v>225.80054456297341</v>
      </c>
      <c r="Q1017" s="168">
        <f>IF((L1018=""),"",((M1017-N1017)/(M1017+P1017))*100)</f>
        <v>6.345088925980666</v>
      </c>
      <c r="R1017" s="28" t="str">
        <f t="shared" ref="R1017" si="339">IF(L1018="","",IF(Q1017&lt;Z1017,IF(N1017&gt;V1017,IF(M1017&lt;W1017,"Pass","Fail"),"Fail"),"Fail"))</f>
        <v>Pass</v>
      </c>
      <c r="S1017" s="29">
        <v>1534</v>
      </c>
      <c r="T1017" s="49" t="s">
        <v>486</v>
      </c>
      <c r="U1017" s="48" t="s">
        <v>484</v>
      </c>
      <c r="V1017" s="53">
        <v>10000</v>
      </c>
      <c r="W1017" s="22">
        <v>15600</v>
      </c>
      <c r="X1017" s="40">
        <v>8090</v>
      </c>
      <c r="Y1017" s="40">
        <v>12070</v>
      </c>
      <c r="Z1017" s="49">
        <v>15</v>
      </c>
      <c r="AA1017" s="49">
        <v>6</v>
      </c>
    </row>
    <row r="1018" spans="1:27" ht="15.75">
      <c r="A1018" s="96"/>
      <c r="B1018" s="96"/>
      <c r="C1018" s="30" t="s">
        <v>128</v>
      </c>
      <c r="D1018">
        <v>25264.67</v>
      </c>
      <c r="E1018">
        <v>25130.5</v>
      </c>
      <c r="F1018">
        <v>25170.18</v>
      </c>
      <c r="G1018">
        <v>25076.47</v>
      </c>
      <c r="H1018">
        <v>25062.07</v>
      </c>
      <c r="I1018">
        <v>25152.959999999999</v>
      </c>
      <c r="J1018">
        <v>25094.43</v>
      </c>
      <c r="K1018">
        <v>25119.87</v>
      </c>
      <c r="L1018">
        <v>25209.48</v>
      </c>
      <c r="M1018" s="31"/>
      <c r="N1018" s="31"/>
      <c r="O1018" s="31"/>
      <c r="P1018" s="31"/>
      <c r="Q1018" s="31"/>
      <c r="R1018" s="32"/>
      <c r="S1018" s="33"/>
      <c r="Z1018" s="46"/>
      <c r="AA1018" s="46"/>
    </row>
    <row r="1019" spans="1:27" ht="13.5" thickBot="1">
      <c r="A1019" s="98"/>
      <c r="B1019" s="112"/>
      <c r="C1019" s="34" t="s">
        <v>129</v>
      </c>
      <c r="D1019" s="35">
        <f t="shared" ref="D1019:L1019" si="340">IF(((D1017="")*AND(D1018="")),"",(D1017-D1018)*3)</f>
        <v>11025.21000000001</v>
      </c>
      <c r="E1019" s="35">
        <f t="shared" si="340"/>
        <v>11116.680000000004</v>
      </c>
      <c r="F1019" s="35">
        <f t="shared" si="340"/>
        <v>10873.589999999997</v>
      </c>
      <c r="G1019" s="35">
        <f t="shared" si="340"/>
        <v>11282.189999999999</v>
      </c>
      <c r="H1019" s="35">
        <f t="shared" si="340"/>
        <v>11625.569999999996</v>
      </c>
      <c r="I1019" s="35">
        <f t="shared" si="340"/>
        <v>11468.760000000006</v>
      </c>
      <c r="J1019" s="35">
        <f t="shared" si="340"/>
        <v>11207.759999999995</v>
      </c>
      <c r="K1019" s="35">
        <f t="shared" si="340"/>
        <v>11127.450000000004</v>
      </c>
      <c r="L1019" s="35">
        <f t="shared" si="340"/>
        <v>11238.450000000004</v>
      </c>
      <c r="M1019" s="36"/>
      <c r="N1019" s="36"/>
      <c r="O1019" s="36"/>
      <c r="P1019" s="36"/>
      <c r="Q1019" s="36"/>
      <c r="R1019" s="37"/>
      <c r="S1019" s="38"/>
      <c r="Z1019" s="46"/>
      <c r="AA1019" s="46"/>
    </row>
    <row r="1020" spans="1:27" ht="15.75">
      <c r="A1020" s="39">
        <v>43955</v>
      </c>
      <c r="B1020" s="115" t="s">
        <v>429</v>
      </c>
      <c r="C1020" s="26" t="s">
        <v>126</v>
      </c>
      <c r="D1020">
        <v>28047.54</v>
      </c>
      <c r="E1020">
        <v>28054.46</v>
      </c>
      <c r="F1020">
        <v>28068.93</v>
      </c>
      <c r="G1020">
        <v>28038.95</v>
      </c>
      <c r="H1020">
        <v>28062.83</v>
      </c>
      <c r="I1020">
        <v>27904.27</v>
      </c>
      <c r="J1020">
        <v>28001.040000000001</v>
      </c>
      <c r="K1020">
        <v>28046.07</v>
      </c>
      <c r="L1020">
        <v>28062.54</v>
      </c>
      <c r="M1020" s="27">
        <f t="shared" ref="M1020" si="341">IF((L1021=""),"",MAX(D1022:L1022))</f>
        <v>11955.359999999997</v>
      </c>
      <c r="N1020" s="27">
        <f t="shared" ref="N1020" si="342">IF(L1021="","",MIN(D1022:L1022))</f>
        <v>9404.52</v>
      </c>
      <c r="O1020" s="27">
        <f t="shared" ref="O1020" si="343">IF((L1022=""),"",AVERAGE(D1022:L1022))</f>
        <v>10458.976666666667</v>
      </c>
      <c r="P1020" s="27">
        <f t="shared" ref="P1020" si="344">IF((L1021=""),"",STDEV(D1022:L1022))</f>
        <v>937.48370939177983</v>
      </c>
      <c r="Q1020" s="168">
        <f>IF((L1021=""),"",((M1020-N1020)/(M1020+P1020))*100)</f>
        <v>19.784929201785332</v>
      </c>
      <c r="R1020" s="28" t="str">
        <f t="shared" ref="R1020" si="345">IF(L1021="","",IF(Q1020&lt;Z1020,IF(N1020&gt;V1020,IF(M1020&lt;W1020,"Pass","Fail"),"Fail"),"Fail"))</f>
        <v>Fail</v>
      </c>
      <c r="S1020" s="29">
        <v>102</v>
      </c>
      <c r="U1020" s="48" t="s">
        <v>484</v>
      </c>
      <c r="V1020" s="53">
        <v>10000</v>
      </c>
      <c r="W1020" s="22">
        <v>15600</v>
      </c>
      <c r="X1020" s="40">
        <v>8090</v>
      </c>
      <c r="Y1020" s="40">
        <v>12070</v>
      </c>
      <c r="Z1020" s="49">
        <v>15</v>
      </c>
      <c r="AA1020" s="49">
        <v>6</v>
      </c>
    </row>
    <row r="1021" spans="1:27" ht="15.75">
      <c r="A1021" s="96"/>
      <c r="B1021" s="96"/>
      <c r="C1021" s="30" t="s">
        <v>128</v>
      </c>
      <c r="D1021">
        <v>24912.03</v>
      </c>
      <c r="E1021">
        <v>24809.15</v>
      </c>
      <c r="F1021">
        <v>24934.09</v>
      </c>
      <c r="G1021">
        <v>24830.97</v>
      </c>
      <c r="H1021">
        <v>24451.95</v>
      </c>
      <c r="I1021">
        <v>24292.81</v>
      </c>
      <c r="J1021">
        <v>24337.82</v>
      </c>
      <c r="K1021">
        <v>24060.95</v>
      </c>
      <c r="L1021">
        <v>24279.93</v>
      </c>
      <c r="M1021" s="31"/>
      <c r="N1021" s="31"/>
      <c r="O1021" s="31"/>
      <c r="P1021" s="31"/>
      <c r="Q1021" s="31"/>
      <c r="R1021" s="32"/>
      <c r="S1021" s="33"/>
      <c r="Z1021" s="46"/>
      <c r="AA1021" s="46"/>
    </row>
    <row r="1022" spans="1:27" ht="13.5" thickBot="1">
      <c r="A1022" s="98"/>
      <c r="B1022" s="112"/>
      <c r="C1022" s="34" t="s">
        <v>129</v>
      </c>
      <c r="D1022" s="35">
        <f t="shared" ref="D1022:L1022" si="346">IF(((D1020="")*AND(D1021="")),"",(D1020-D1021)*3)</f>
        <v>9406.5300000000061</v>
      </c>
      <c r="E1022" s="35">
        <f t="shared" si="346"/>
        <v>9735.929999999993</v>
      </c>
      <c r="F1022" s="35">
        <f t="shared" si="346"/>
        <v>9404.52</v>
      </c>
      <c r="G1022" s="35">
        <f t="shared" si="346"/>
        <v>9623.9399999999987</v>
      </c>
      <c r="H1022" s="35">
        <f t="shared" si="346"/>
        <v>10832.640000000003</v>
      </c>
      <c r="I1022" s="35">
        <f t="shared" si="346"/>
        <v>10834.379999999997</v>
      </c>
      <c r="J1022" s="35">
        <f t="shared" si="346"/>
        <v>10989.660000000003</v>
      </c>
      <c r="K1022" s="35">
        <f t="shared" si="346"/>
        <v>11955.359999999997</v>
      </c>
      <c r="L1022" s="35">
        <f t="shared" si="346"/>
        <v>11347.830000000002</v>
      </c>
      <c r="M1022" s="36"/>
      <c r="N1022" s="36"/>
      <c r="O1022" s="36"/>
      <c r="P1022" s="36"/>
      <c r="Q1022" s="36"/>
      <c r="R1022" s="37"/>
      <c r="S1022" s="38"/>
      <c r="Z1022" s="46"/>
      <c r="AA1022" s="46"/>
    </row>
    <row r="1023" spans="1:27" ht="15.75">
      <c r="A1023" s="39">
        <v>43955</v>
      </c>
      <c r="B1023" s="115" t="s">
        <v>429</v>
      </c>
      <c r="C1023" s="26" t="s">
        <v>126</v>
      </c>
      <c r="D1023">
        <v>29360.09</v>
      </c>
      <c r="E1023">
        <v>29243.26</v>
      </c>
      <c r="F1023">
        <v>29252.71</v>
      </c>
      <c r="G1023">
        <v>29225.439999999999</v>
      </c>
      <c r="H1023">
        <v>29333.46</v>
      </c>
      <c r="I1023">
        <v>29325.599999999999</v>
      </c>
      <c r="J1023">
        <v>29225.11</v>
      </c>
      <c r="K1023">
        <v>29200.99</v>
      </c>
      <c r="L1023">
        <v>29365.05</v>
      </c>
      <c r="M1023" s="27">
        <f t="shared" ref="M1023" si="347">IF((L1024=""),"",MAX(D1025:L1025))</f>
        <v>12212.760000000006</v>
      </c>
      <c r="N1023" s="27">
        <f t="shared" ref="N1023" si="348">IF(L1024="","",MIN(D1025:L1025))</f>
        <v>11675.639999999992</v>
      </c>
      <c r="O1023" s="27">
        <f t="shared" ref="O1023" si="349">IF((L1025=""),"",AVERAGE(D1025:L1025))</f>
        <v>11911.149999999998</v>
      </c>
      <c r="P1023" s="27">
        <f t="shared" ref="P1023" si="350">IF((L1024=""),"",STDEV(D1025:L1025))</f>
        <v>177.73064641491521</v>
      </c>
      <c r="Q1023" s="168">
        <f>IF((L1024=""),"",((M1023-N1023)/(M1023+P1023))*100)</f>
        <v>4.3349372944761022</v>
      </c>
      <c r="R1023" s="28" t="str">
        <f t="shared" ref="R1023" si="351">IF(L1024="","",IF(Q1023&lt;Z1023,IF(N1023&gt;V1023,IF(M1023&lt;W1023,"Pass","Fail"),"Fail"),"Fail"))</f>
        <v>Pass</v>
      </c>
      <c r="S1023" s="29">
        <v>1335</v>
      </c>
      <c r="T1023" s="49" t="s">
        <v>488</v>
      </c>
      <c r="U1023" s="48" t="s">
        <v>484</v>
      </c>
      <c r="V1023" s="53">
        <v>10000</v>
      </c>
      <c r="W1023" s="22">
        <v>15600</v>
      </c>
      <c r="X1023" s="40">
        <v>8090</v>
      </c>
      <c r="Y1023" s="40">
        <v>12070</v>
      </c>
      <c r="Z1023" s="49">
        <v>15</v>
      </c>
      <c r="AA1023" s="49">
        <v>6</v>
      </c>
    </row>
    <row r="1024" spans="1:27" ht="15.75">
      <c r="A1024" s="96"/>
      <c r="B1024" s="96"/>
      <c r="C1024" s="30" t="s">
        <v>128</v>
      </c>
      <c r="D1024">
        <v>25289.17</v>
      </c>
      <c r="E1024">
        <v>25238.2</v>
      </c>
      <c r="F1024">
        <v>25360.83</v>
      </c>
      <c r="G1024">
        <v>25304.12</v>
      </c>
      <c r="H1024">
        <v>25434.35</v>
      </c>
      <c r="I1024">
        <v>25323.48</v>
      </c>
      <c r="J1024">
        <v>25254.34</v>
      </c>
      <c r="K1024">
        <v>25243.27</v>
      </c>
      <c r="L1024">
        <v>25350.5</v>
      </c>
      <c r="M1024" s="31"/>
      <c r="N1024" s="31"/>
      <c r="O1024" s="31"/>
      <c r="P1024" s="31"/>
      <c r="Q1024" s="31"/>
      <c r="R1024" s="32"/>
      <c r="S1024" s="33"/>
      <c r="Z1024" s="46"/>
      <c r="AA1024" s="46"/>
    </row>
    <row r="1025" spans="1:27" ht="13.5" thickBot="1">
      <c r="A1025" s="98"/>
      <c r="B1025" s="112"/>
      <c r="C1025" s="34" t="s">
        <v>129</v>
      </c>
      <c r="D1025" s="35">
        <f t="shared" ref="D1025:L1025" si="352">IF(((D1023="")*AND(D1024="")),"",(D1023-D1024)*3)</f>
        <v>12212.760000000006</v>
      </c>
      <c r="E1025" s="35">
        <f t="shared" si="352"/>
        <v>12015.179999999993</v>
      </c>
      <c r="F1025" s="35">
        <f t="shared" si="352"/>
        <v>11675.639999999992</v>
      </c>
      <c r="G1025" s="35">
        <f t="shared" si="352"/>
        <v>11763.96</v>
      </c>
      <c r="H1025" s="35">
        <f t="shared" si="352"/>
        <v>11697.330000000002</v>
      </c>
      <c r="I1025" s="35">
        <f t="shared" si="352"/>
        <v>12006.359999999997</v>
      </c>
      <c r="J1025" s="35">
        <f t="shared" si="352"/>
        <v>11912.310000000001</v>
      </c>
      <c r="K1025" s="35">
        <f t="shared" si="352"/>
        <v>11873.160000000003</v>
      </c>
      <c r="L1025" s="35">
        <f t="shared" si="352"/>
        <v>12043.649999999998</v>
      </c>
      <c r="M1025" s="36"/>
      <c r="N1025" s="36"/>
      <c r="O1025" s="36"/>
      <c r="P1025" s="36"/>
      <c r="Q1025" s="36"/>
      <c r="R1025" s="37"/>
      <c r="S1025" s="38"/>
      <c r="Z1025" s="46"/>
      <c r="AA1025" s="46"/>
    </row>
    <row r="1026" spans="1:27" ht="15.75">
      <c r="A1026" s="39">
        <v>43962</v>
      </c>
      <c r="B1026" s="115" t="s">
        <v>429</v>
      </c>
      <c r="C1026" s="26" t="s">
        <v>126</v>
      </c>
      <c r="D1026">
        <v>29440.16</v>
      </c>
      <c r="E1026">
        <v>29301.25</v>
      </c>
      <c r="F1026">
        <v>29302.15</v>
      </c>
      <c r="G1026">
        <v>29285.3</v>
      </c>
      <c r="H1026">
        <v>29368.92</v>
      </c>
      <c r="I1026">
        <v>29399.58</v>
      </c>
      <c r="J1026">
        <v>29283.65</v>
      </c>
      <c r="K1026">
        <v>29296.17</v>
      </c>
      <c r="L1026">
        <v>29389.09</v>
      </c>
      <c r="M1026" s="27">
        <f t="shared" ref="M1026" si="353">IF((L1027=""),"",MAX(D1028:L1028))</f>
        <v>12035.099999999991</v>
      </c>
      <c r="N1026" s="27">
        <f t="shared" ref="N1026" si="354">IF(L1027="","",MIN(D1028:L1028))</f>
        <v>11581.560000000001</v>
      </c>
      <c r="O1026" s="27">
        <f t="shared" ref="O1026" si="355">IF((L1028=""),"",AVERAGE(D1028:L1028))</f>
        <v>11761.773333333333</v>
      </c>
      <c r="P1026" s="27">
        <f t="shared" ref="P1026" si="356">IF((L1027=""),"",STDEV(D1028:L1028))</f>
        <v>155.94592027367543</v>
      </c>
      <c r="Q1026" s="168">
        <f>IF((L1027=""),"",((M1026-N1026)/(M1026+P1026))*100)</f>
        <v>3.7202714432053323</v>
      </c>
      <c r="R1026" s="28" t="str">
        <f t="shared" ref="R1026" si="357">IF(L1027="","",IF(Q1026&lt;Z1026,IF(N1026&gt;V1026,IF(M1026&lt;W1026,"Pass","Fail"),"Fail"),"Fail"))</f>
        <v>Pass</v>
      </c>
      <c r="S1026" s="29">
        <v>1159</v>
      </c>
      <c r="T1026" s="49" t="s">
        <v>490</v>
      </c>
      <c r="U1026" s="48" t="s">
        <v>484</v>
      </c>
      <c r="V1026" s="53">
        <v>10000</v>
      </c>
      <c r="W1026" s="22">
        <v>15600</v>
      </c>
      <c r="X1026" s="40">
        <v>8090</v>
      </c>
      <c r="Y1026" s="40">
        <v>12070</v>
      </c>
      <c r="Z1026" s="49">
        <v>15</v>
      </c>
      <c r="AA1026" s="49">
        <v>6</v>
      </c>
    </row>
    <row r="1027" spans="1:27" ht="15.75">
      <c r="A1027" s="96"/>
      <c r="B1027" s="96"/>
      <c r="C1027" s="30" t="s">
        <v>128</v>
      </c>
      <c r="D1027">
        <v>25578.1</v>
      </c>
      <c r="E1027">
        <v>25436.73</v>
      </c>
      <c r="F1027">
        <v>25441.63</v>
      </c>
      <c r="G1027">
        <v>25346.61</v>
      </c>
      <c r="H1027">
        <v>25357.22</v>
      </c>
      <c r="I1027">
        <v>25444.46</v>
      </c>
      <c r="J1027">
        <v>25375.52</v>
      </c>
      <c r="K1027">
        <v>25370.02</v>
      </c>
      <c r="L1027">
        <v>25430.66</v>
      </c>
      <c r="M1027" s="31"/>
      <c r="N1027" s="31"/>
      <c r="O1027" s="31"/>
      <c r="P1027" s="31"/>
      <c r="Q1027" s="31"/>
      <c r="R1027" s="32"/>
      <c r="S1027" s="33"/>
      <c r="Z1027" s="46"/>
      <c r="AA1027" s="46"/>
    </row>
    <row r="1028" spans="1:27" ht="13.5" thickBot="1">
      <c r="A1028" s="98"/>
      <c r="B1028" s="112"/>
      <c r="C1028" s="34" t="s">
        <v>129</v>
      </c>
      <c r="D1028" s="35">
        <f t="shared" ref="D1028:L1028" si="358">IF(((D1026="")*AND(D1027="")),"",(D1026-D1027)*3)</f>
        <v>11586.180000000004</v>
      </c>
      <c r="E1028" s="35">
        <f t="shared" si="358"/>
        <v>11593.560000000001</v>
      </c>
      <c r="F1028" s="35">
        <f t="shared" si="358"/>
        <v>11581.560000000001</v>
      </c>
      <c r="G1028" s="35">
        <f t="shared" si="358"/>
        <v>11816.069999999996</v>
      </c>
      <c r="H1028" s="35">
        <f t="shared" si="358"/>
        <v>12035.099999999991</v>
      </c>
      <c r="I1028" s="35">
        <f t="shared" si="358"/>
        <v>11865.360000000008</v>
      </c>
      <c r="J1028" s="35">
        <f t="shared" si="358"/>
        <v>11724.390000000003</v>
      </c>
      <c r="K1028" s="35">
        <f t="shared" si="358"/>
        <v>11778.449999999993</v>
      </c>
      <c r="L1028" s="35">
        <f t="shared" si="358"/>
        <v>11875.29</v>
      </c>
      <c r="M1028" s="36"/>
      <c r="N1028" s="36"/>
      <c r="O1028" s="36"/>
      <c r="P1028" s="36"/>
      <c r="Q1028" s="36"/>
      <c r="R1028" s="37"/>
      <c r="S1028" s="38"/>
      <c r="Z1028" s="46"/>
      <c r="AA1028" s="46"/>
    </row>
    <row r="1029" spans="1:27" ht="15.75">
      <c r="A1029" s="39">
        <v>43966</v>
      </c>
      <c r="B1029" s="115" t="s">
        <v>429</v>
      </c>
      <c r="C1029" s="26" t="s">
        <v>126</v>
      </c>
      <c r="D1029">
        <v>28082.54</v>
      </c>
      <c r="E1029">
        <v>28066.62</v>
      </c>
      <c r="F1029">
        <v>28100.04</v>
      </c>
      <c r="G1029">
        <v>28013.83</v>
      </c>
      <c r="H1029">
        <v>27935.17</v>
      </c>
      <c r="I1029">
        <v>27955.91</v>
      </c>
      <c r="J1029">
        <v>28005.85</v>
      </c>
      <c r="K1029">
        <v>28032.23</v>
      </c>
      <c r="L1029">
        <v>27946.01</v>
      </c>
      <c r="M1029" s="27">
        <f t="shared" ref="M1029" si="359">IF((L1030=""),"",MAX(D1031:L1031))</f>
        <v>10566.929999999993</v>
      </c>
      <c r="N1029" s="27">
        <f t="shared" ref="N1029" si="360">IF(L1030="","",MIN(D1031:L1031))</f>
        <v>9401.46000000001</v>
      </c>
      <c r="O1029" s="27">
        <f t="shared" ref="O1029" si="361">IF((L1031=""),"",AVERAGE(D1031:L1031))</f>
        <v>9808.5999999999985</v>
      </c>
      <c r="P1029" s="27">
        <f t="shared" ref="P1029" si="362">IF((L1030=""),"",STDEV(D1031:L1031))</f>
        <v>439.6880490188621</v>
      </c>
      <c r="Q1029" s="168">
        <f>IF((L1030=""),"",((M1029-N1029)/(M1029+P1029))*100)</f>
        <v>10.58881115715535</v>
      </c>
      <c r="R1029" s="28" t="str">
        <f t="shared" ref="R1029" si="363">IF(L1030="","",IF(Q1029&lt;Z1029,IF(N1029&gt;V1029,IF(M1029&lt;W1029,"Pass","Fail"),"Fail"),"Fail"))</f>
        <v>Fail</v>
      </c>
      <c r="S1029" s="29">
        <v>74</v>
      </c>
      <c r="U1029" s="48" t="s">
        <v>484</v>
      </c>
      <c r="V1029" s="53">
        <v>10000</v>
      </c>
      <c r="W1029" s="22">
        <v>15600</v>
      </c>
      <c r="X1029" s="40">
        <v>8090</v>
      </c>
      <c r="Y1029" s="40">
        <v>12070</v>
      </c>
      <c r="Z1029" s="49">
        <v>15</v>
      </c>
      <c r="AA1029" s="49">
        <v>6</v>
      </c>
    </row>
    <row r="1030" spans="1:27" ht="15.75">
      <c r="A1030" s="96"/>
      <c r="B1030" s="96"/>
      <c r="C1030" s="30" t="s">
        <v>128</v>
      </c>
      <c r="D1030">
        <v>24829.759999999998</v>
      </c>
      <c r="E1030">
        <v>24917.81</v>
      </c>
      <c r="F1030">
        <v>24892.799999999999</v>
      </c>
      <c r="G1030">
        <v>24880.01</v>
      </c>
      <c r="H1030">
        <v>24412.86</v>
      </c>
      <c r="I1030">
        <v>24478.74</v>
      </c>
      <c r="J1030">
        <v>24839.37</v>
      </c>
      <c r="K1030">
        <v>24865.35</v>
      </c>
      <c r="L1030">
        <v>24595.7</v>
      </c>
      <c r="M1030" s="31"/>
      <c r="N1030" s="31"/>
      <c r="O1030" s="31"/>
      <c r="P1030" s="31"/>
      <c r="Q1030" s="31"/>
      <c r="R1030" s="32"/>
      <c r="S1030" s="33"/>
      <c r="Z1030" s="46"/>
      <c r="AA1030" s="46"/>
    </row>
    <row r="1031" spans="1:27" ht="13.5" thickBot="1">
      <c r="A1031" s="98"/>
      <c r="B1031" s="112"/>
      <c r="C1031" s="34" t="s">
        <v>129</v>
      </c>
      <c r="D1031" s="35">
        <f t="shared" ref="D1031:L1031" si="364">IF(((D1029="")*AND(D1030="")),"",(D1029-D1030)*3)</f>
        <v>9758.3400000000074</v>
      </c>
      <c r="E1031" s="35">
        <f t="shared" si="364"/>
        <v>9446.429999999993</v>
      </c>
      <c r="F1031" s="35">
        <f t="shared" si="364"/>
        <v>9621.7200000000048</v>
      </c>
      <c r="G1031" s="35">
        <f t="shared" si="364"/>
        <v>9401.46000000001</v>
      </c>
      <c r="H1031" s="35">
        <f t="shared" si="364"/>
        <v>10566.929999999993</v>
      </c>
      <c r="I1031" s="35">
        <f t="shared" si="364"/>
        <v>10431.509999999995</v>
      </c>
      <c r="J1031" s="35">
        <f t="shared" si="364"/>
        <v>9499.4399999999987</v>
      </c>
      <c r="K1031" s="35">
        <f t="shared" si="364"/>
        <v>9500.6400000000031</v>
      </c>
      <c r="L1031" s="35">
        <f t="shared" si="364"/>
        <v>10050.929999999993</v>
      </c>
      <c r="M1031" s="36"/>
      <c r="N1031" s="36"/>
      <c r="O1031" s="36"/>
      <c r="P1031" s="36"/>
      <c r="Q1031" s="36"/>
      <c r="R1031" s="37"/>
      <c r="S1031" s="38"/>
      <c r="Z1031" s="46"/>
      <c r="AA1031" s="46"/>
    </row>
    <row r="1032" spans="1:27" ht="15.75">
      <c r="A1032" s="39">
        <v>43966</v>
      </c>
      <c r="B1032" s="115" t="s">
        <v>429</v>
      </c>
      <c r="C1032" s="26" t="s">
        <v>126</v>
      </c>
      <c r="D1032">
        <v>28444.06</v>
      </c>
      <c r="E1032">
        <v>28364.98</v>
      </c>
      <c r="F1032">
        <v>28341.78</v>
      </c>
      <c r="G1032">
        <v>28310.18</v>
      </c>
      <c r="H1032">
        <v>28290.37</v>
      </c>
      <c r="I1032">
        <v>28252.63</v>
      </c>
      <c r="J1032">
        <v>28313.56</v>
      </c>
      <c r="K1032">
        <v>28302.97</v>
      </c>
      <c r="L1032">
        <v>28315.040000000001</v>
      </c>
      <c r="M1032" s="27">
        <f t="shared" ref="M1032" si="365">IF((L1033=""),"",MAX(D1034:L1034))</f>
        <v>13149.75</v>
      </c>
      <c r="N1032" s="27">
        <f t="shared" ref="N1032" si="366">IF(L1033="","",MIN(D1034:L1034))</f>
        <v>5833.02</v>
      </c>
      <c r="O1032" s="27">
        <f t="shared" ref="O1032" si="367">IF((L1034=""),"",AVERAGE(D1034:L1034))</f>
        <v>9407.2366666666676</v>
      </c>
      <c r="P1032" s="27">
        <f t="shared" ref="P1032" si="368">IF((L1033=""),"",STDEV(D1034:L1034))</f>
        <v>2240.2591730869021</v>
      </c>
      <c r="Q1032" s="168">
        <f>IF((L1033=""),"",((M1032-N1032)/(M1032+P1032))*100)</f>
        <v>47.542076926081663</v>
      </c>
      <c r="R1032" s="28" t="str">
        <f t="shared" ref="R1032" si="369">IF(L1033="","",IF(Q1032&lt;Z1032,IF(N1032&gt;V1032,IF(M1032&lt;W1032,"Pass","Fail"),"Fail"),"Fail"))</f>
        <v>Fail</v>
      </c>
      <c r="S1032" s="29">
        <v>74</v>
      </c>
      <c r="U1032" s="48" t="s">
        <v>484</v>
      </c>
      <c r="V1032" s="53">
        <v>10000</v>
      </c>
      <c r="W1032" s="22">
        <v>15600</v>
      </c>
      <c r="X1032" s="40">
        <v>8090</v>
      </c>
      <c r="Y1032" s="40">
        <v>12070</v>
      </c>
      <c r="Z1032" s="49">
        <v>15</v>
      </c>
      <c r="AA1032" s="49">
        <v>6</v>
      </c>
    </row>
    <row r="1033" spans="1:27" ht="15.75">
      <c r="A1033" s="96"/>
      <c r="B1033" s="96"/>
      <c r="C1033" s="30" t="s">
        <v>128</v>
      </c>
      <c r="D1033">
        <v>25452.13</v>
      </c>
      <c r="E1033">
        <v>23981.73</v>
      </c>
      <c r="F1033">
        <v>25545.53</v>
      </c>
      <c r="G1033">
        <v>24597.63</v>
      </c>
      <c r="H1033">
        <v>25485.03</v>
      </c>
      <c r="I1033">
        <v>25481.23</v>
      </c>
      <c r="J1033">
        <v>26369.22</v>
      </c>
      <c r="K1033">
        <v>24335.07</v>
      </c>
      <c r="L1033">
        <v>25466.29</v>
      </c>
      <c r="M1033" s="31"/>
      <c r="N1033" s="31"/>
      <c r="O1033" s="31"/>
      <c r="P1033" s="31"/>
      <c r="Q1033" s="31"/>
      <c r="R1033" s="32"/>
      <c r="S1033" s="33"/>
      <c r="Z1033" s="46"/>
      <c r="AA1033" s="46"/>
    </row>
    <row r="1034" spans="1:27" ht="13.5" thickBot="1">
      <c r="A1034" s="98"/>
      <c r="B1034" s="98"/>
      <c r="C1034" s="34" t="s">
        <v>129</v>
      </c>
      <c r="D1034" s="35">
        <f t="shared" ref="D1034:L1034" si="370">IF(((D1032="")*AND(D1033="")),"",(D1032-D1033)*3)</f>
        <v>8975.7900000000009</v>
      </c>
      <c r="E1034" s="35">
        <f t="shared" si="370"/>
        <v>13149.75</v>
      </c>
      <c r="F1034" s="35">
        <f t="shared" si="370"/>
        <v>8388.75</v>
      </c>
      <c r="G1034" s="35">
        <f t="shared" si="370"/>
        <v>11137.649999999998</v>
      </c>
      <c r="H1034" s="35">
        <f t="shared" si="370"/>
        <v>8416.02</v>
      </c>
      <c r="I1034" s="35">
        <f t="shared" si="370"/>
        <v>8314.2000000000044</v>
      </c>
      <c r="J1034" s="35">
        <f t="shared" si="370"/>
        <v>5833.02</v>
      </c>
      <c r="K1034" s="35">
        <f t="shared" si="370"/>
        <v>11903.700000000004</v>
      </c>
      <c r="L1034" s="35">
        <f t="shared" si="370"/>
        <v>8546.25</v>
      </c>
      <c r="M1034" s="36"/>
      <c r="N1034" s="36"/>
      <c r="O1034" s="36"/>
      <c r="P1034" s="36"/>
      <c r="Q1034" s="36"/>
      <c r="R1034" s="37"/>
      <c r="S1034" s="38"/>
      <c r="Z1034" s="46"/>
      <c r="AA1034" s="46"/>
    </row>
    <row r="1035" spans="1:27" ht="15.75">
      <c r="A1035" s="39">
        <v>43966</v>
      </c>
      <c r="B1035" s="115" t="s">
        <v>429</v>
      </c>
      <c r="C1035" s="26" t="s">
        <v>126</v>
      </c>
      <c r="D1035">
        <v>29369.22</v>
      </c>
      <c r="E1035">
        <v>29220.79</v>
      </c>
      <c r="F1035">
        <v>29206.2</v>
      </c>
      <c r="G1035">
        <v>29202.38</v>
      </c>
      <c r="H1035">
        <v>29336.01</v>
      </c>
      <c r="I1035">
        <v>29277.72</v>
      </c>
      <c r="J1035">
        <v>29198.36</v>
      </c>
      <c r="K1035">
        <v>29205.56</v>
      </c>
      <c r="L1035">
        <v>29351.4</v>
      </c>
      <c r="M1035" s="27">
        <f t="shared" ref="M1035" si="371">IF((L1036=""),"",MAX(D1037:L1037))</f>
        <v>10658.669999999998</v>
      </c>
      <c r="N1035" s="27">
        <f t="shared" ref="N1035" si="372">IF(L1036="","",MIN(D1037:L1037))</f>
        <v>10003.860000000008</v>
      </c>
      <c r="O1035" s="27">
        <f t="shared" ref="O1035" si="373">IF((L1037=""),"",AVERAGE(D1037:L1037))</f>
        <v>10324.36666666667</v>
      </c>
      <c r="P1035" s="27">
        <f t="shared" ref="P1035" si="374">IF((L1036=""),"",STDEV(D1037:L1037))</f>
        <v>228.01087676906096</v>
      </c>
      <c r="Q1035" s="168">
        <f>IF((L1036=""),"",((M1035-N1035)/(M1035+P1035))*100)</f>
        <v>6.0147808814464332</v>
      </c>
      <c r="R1035" s="28" t="str">
        <f t="shared" ref="R1035" si="375">IF(L1036="","",IF(Q1035&lt;Z1035,IF(N1035&gt;V1035,IF(M1035&lt;W1035,"Pass","Fail"),"Fail"),"Fail"))</f>
        <v>Pass</v>
      </c>
      <c r="S1035" s="29">
        <v>74</v>
      </c>
      <c r="T1035" s="116" t="s">
        <v>491</v>
      </c>
      <c r="U1035" s="48" t="s">
        <v>484</v>
      </c>
      <c r="V1035" s="53">
        <v>10000</v>
      </c>
      <c r="W1035" s="22">
        <v>15600</v>
      </c>
      <c r="X1035" s="40">
        <v>8090</v>
      </c>
      <c r="Y1035" s="40">
        <v>12070</v>
      </c>
      <c r="Z1035" s="49">
        <v>15</v>
      </c>
      <c r="AA1035" s="49">
        <v>6</v>
      </c>
    </row>
    <row r="1036" spans="1:27" ht="15.75">
      <c r="A1036" s="96"/>
      <c r="B1036" s="96"/>
      <c r="C1036" s="30" t="s">
        <v>128</v>
      </c>
      <c r="D1036">
        <v>25853.99</v>
      </c>
      <c r="E1036">
        <v>25783.45</v>
      </c>
      <c r="F1036">
        <v>25703.46</v>
      </c>
      <c r="G1036">
        <v>25867.759999999998</v>
      </c>
      <c r="H1036">
        <v>25783.119999999999</v>
      </c>
      <c r="I1036">
        <v>25914.46</v>
      </c>
      <c r="J1036">
        <v>25823.56</v>
      </c>
      <c r="K1036">
        <v>25795.26</v>
      </c>
      <c r="L1036">
        <v>25869.48</v>
      </c>
      <c r="M1036" s="31"/>
      <c r="N1036" s="31"/>
      <c r="O1036" s="31"/>
      <c r="P1036" s="31"/>
      <c r="Q1036" s="31"/>
      <c r="R1036" s="32"/>
      <c r="S1036" s="33"/>
      <c r="Z1036" s="46"/>
      <c r="AA1036" s="46"/>
    </row>
    <row r="1037" spans="1:27" ht="13.5" thickBot="1">
      <c r="A1037" s="98"/>
      <c r="B1037" s="98"/>
      <c r="C1037" s="34" t="s">
        <v>129</v>
      </c>
      <c r="D1037" s="35">
        <f t="shared" ref="D1037:L1037" si="376">IF(((D1035="")*AND(D1036="")),"",(D1035-D1036)*3)</f>
        <v>10545.689999999999</v>
      </c>
      <c r="E1037" s="35">
        <f t="shared" si="376"/>
        <v>10312.02</v>
      </c>
      <c r="F1037" s="35">
        <f t="shared" si="376"/>
        <v>10508.220000000005</v>
      </c>
      <c r="G1037" s="35">
        <f t="shared" si="376"/>
        <v>10003.860000000008</v>
      </c>
      <c r="H1037" s="35">
        <f t="shared" si="376"/>
        <v>10658.669999999998</v>
      </c>
      <c r="I1037" s="35">
        <f t="shared" si="376"/>
        <v>10089.780000000006</v>
      </c>
      <c r="J1037" s="35">
        <f t="shared" si="376"/>
        <v>10124.399999999998</v>
      </c>
      <c r="K1037" s="35">
        <f t="shared" si="376"/>
        <v>10230.900000000009</v>
      </c>
      <c r="L1037" s="35">
        <f t="shared" si="376"/>
        <v>10445.760000000006</v>
      </c>
      <c r="M1037" s="36"/>
      <c r="N1037" s="36"/>
      <c r="O1037" s="36"/>
      <c r="P1037" s="36"/>
      <c r="Q1037" s="36"/>
      <c r="R1037" s="37"/>
      <c r="S1037" s="38"/>
      <c r="Z1037" s="46"/>
      <c r="AA1037" s="46"/>
    </row>
    <row r="1038" spans="1:27" ht="15.75">
      <c r="A1038" s="39">
        <v>43970</v>
      </c>
      <c r="B1038" s="115" t="s">
        <v>429</v>
      </c>
      <c r="C1038" s="26" t="s">
        <v>126</v>
      </c>
      <c r="D1038">
        <v>28188.080000000002</v>
      </c>
      <c r="E1038">
        <v>28109.23</v>
      </c>
      <c r="F1038">
        <v>28128.21</v>
      </c>
      <c r="G1038">
        <v>28056.68</v>
      </c>
      <c r="H1038">
        <v>28010.18</v>
      </c>
      <c r="I1038">
        <v>27987.37</v>
      </c>
      <c r="J1038">
        <v>28031.32</v>
      </c>
      <c r="K1038">
        <v>28086.41</v>
      </c>
      <c r="L1038">
        <v>28040.84</v>
      </c>
      <c r="M1038" s="27">
        <f t="shared" ref="M1038" si="377">IF((L1039=""),"",MAX(D1040:L1040))</f>
        <v>10430.189999999999</v>
      </c>
      <c r="N1038" s="27">
        <f t="shared" ref="N1038" si="378">IF(L1039="","",MIN(D1040:L1040))</f>
        <v>4783.2299999999996</v>
      </c>
      <c r="O1038" s="27">
        <f t="shared" ref="O1038" si="379">IF((L1040=""),"",AVERAGE(D1040:L1040))</f>
        <v>7762.0633333333326</v>
      </c>
      <c r="P1038" s="27">
        <f t="shared" ref="P1038" si="380">IF((L1039=""),"",STDEV(D1040:L1040))</f>
        <v>1947.7502726864147</v>
      </c>
      <c r="Q1038" s="168">
        <f>IF((L1039=""),"",((M1038-N1038)/(M1038+P1038))*100)</f>
        <v>45.621160512955242</v>
      </c>
      <c r="R1038" s="28" t="str">
        <f t="shared" ref="R1038" si="381">IF(L1039="","",IF(Q1038&lt;Z1038,IF(N1038&gt;V1038,IF(M1038&lt;W1038,"Pass","Fail"),"Fail"),"Fail"))</f>
        <v>Fail</v>
      </c>
      <c r="S1038" s="29">
        <v>1335</v>
      </c>
      <c r="T1038" s="116"/>
      <c r="U1038" s="48" t="s">
        <v>484</v>
      </c>
      <c r="V1038" s="53">
        <v>10000</v>
      </c>
      <c r="W1038" s="22">
        <v>15600</v>
      </c>
      <c r="X1038" s="40">
        <v>8090</v>
      </c>
      <c r="Y1038" s="40">
        <v>12070</v>
      </c>
      <c r="Z1038" s="49">
        <v>15</v>
      </c>
      <c r="AA1038" s="49">
        <v>6</v>
      </c>
    </row>
    <row r="1039" spans="1:27" ht="15.75">
      <c r="A1039" s="96"/>
      <c r="B1039" s="96"/>
      <c r="C1039" s="30" t="s">
        <v>128</v>
      </c>
      <c r="D1039">
        <v>25813.56</v>
      </c>
      <c r="E1039">
        <v>26108.639999999999</v>
      </c>
      <c r="F1039">
        <v>25743.68</v>
      </c>
      <c r="G1039">
        <v>25668.799999999999</v>
      </c>
      <c r="H1039">
        <v>24775.4</v>
      </c>
      <c r="I1039">
        <v>24576.48</v>
      </c>
      <c r="J1039">
        <v>26436.91</v>
      </c>
      <c r="K1039">
        <v>25664.55</v>
      </c>
      <c r="L1039">
        <v>24564.11</v>
      </c>
      <c r="M1039" s="31"/>
      <c r="N1039" s="31"/>
      <c r="O1039" s="31"/>
      <c r="P1039" s="31"/>
      <c r="Q1039" s="31"/>
      <c r="R1039" s="32"/>
      <c r="S1039" s="33"/>
      <c r="Z1039" s="46"/>
      <c r="AA1039" s="46"/>
    </row>
    <row r="1040" spans="1:27" ht="13.5" thickBot="1">
      <c r="A1040" s="98"/>
      <c r="B1040" s="98"/>
      <c r="C1040" s="34" t="s">
        <v>129</v>
      </c>
      <c r="D1040" s="35">
        <f t="shared" ref="D1040:L1040" si="382">IF(((D1038="")*AND(D1039="")),"",(D1038-D1039)*3)</f>
        <v>7123.5600000000013</v>
      </c>
      <c r="E1040" s="35">
        <f t="shared" si="382"/>
        <v>6001.77</v>
      </c>
      <c r="F1040" s="35">
        <f t="shared" si="382"/>
        <v>7153.5899999999965</v>
      </c>
      <c r="G1040" s="35">
        <f t="shared" si="382"/>
        <v>7163.6400000000031</v>
      </c>
      <c r="H1040" s="35">
        <f t="shared" si="382"/>
        <v>9704.3399999999965</v>
      </c>
      <c r="I1040" s="35">
        <f t="shared" si="382"/>
        <v>10232.669999999998</v>
      </c>
      <c r="J1040" s="35">
        <f t="shared" si="382"/>
        <v>4783.2299999999996</v>
      </c>
      <c r="K1040" s="35">
        <f t="shared" si="382"/>
        <v>7265.5800000000017</v>
      </c>
      <c r="L1040" s="35">
        <f t="shared" si="382"/>
        <v>10430.189999999999</v>
      </c>
      <c r="M1040" s="36"/>
      <c r="N1040" s="36"/>
      <c r="O1040" s="36"/>
      <c r="P1040" s="36"/>
      <c r="Q1040" s="36"/>
      <c r="R1040" s="37"/>
      <c r="S1040" s="38"/>
      <c r="Z1040" s="46"/>
      <c r="AA1040" s="46"/>
    </row>
    <row r="1041" spans="1:27" ht="15.75">
      <c r="A1041" s="39">
        <v>43970</v>
      </c>
      <c r="B1041" s="115" t="s">
        <v>429</v>
      </c>
      <c r="C1041" s="26" t="s">
        <v>126</v>
      </c>
      <c r="D1041">
        <v>29376.41</v>
      </c>
      <c r="E1041">
        <v>29217.439999999999</v>
      </c>
      <c r="F1041">
        <v>29206.76</v>
      </c>
      <c r="G1041">
        <v>29208.13</v>
      </c>
      <c r="H1041">
        <v>29302.47</v>
      </c>
      <c r="I1041">
        <v>29297.66</v>
      </c>
      <c r="J1041">
        <v>29191.19</v>
      </c>
      <c r="K1041">
        <v>29213.29</v>
      </c>
      <c r="L1041">
        <v>29328.9</v>
      </c>
      <c r="M1041" s="27">
        <f t="shared" ref="M1041" si="383">IF((L1042=""),"",MAX(D1043:L1043))</f>
        <v>12610.319999999996</v>
      </c>
      <c r="N1041" s="27">
        <f t="shared" ref="N1041" si="384">IF(L1042="","",MIN(D1043:L1043))</f>
        <v>11990.879999999997</v>
      </c>
      <c r="O1041" s="27">
        <f t="shared" ref="O1041" si="385">IF((L1043=""),"",AVERAGE(D1043:L1043))</f>
        <v>12276.693333333333</v>
      </c>
      <c r="P1041" s="27">
        <f t="shared" ref="P1041" si="386">IF((L1042=""),"",STDEV(D1043:L1043))</f>
        <v>209.82694089420346</v>
      </c>
      <c r="Q1041" s="168">
        <f>IF((L1042=""),"",((M1041-N1041)/(M1041+P1041))*100)</f>
        <v>4.8317698919977667</v>
      </c>
      <c r="R1041" s="28" t="str">
        <f t="shared" ref="R1041" si="387">IF(L1042="","",IF(Q1041&lt;Z1041,IF(N1041&gt;V1041,IF(M1041&lt;W1041,"Pass","Fail"),"Fail"),"Fail"))</f>
        <v>Pass</v>
      </c>
      <c r="S1041" s="29">
        <v>1335</v>
      </c>
      <c r="T1041" s="116" t="s">
        <v>494</v>
      </c>
      <c r="U1041" s="48" t="s">
        <v>484</v>
      </c>
      <c r="V1041" s="53">
        <v>10000</v>
      </c>
      <c r="W1041" s="22">
        <v>15600</v>
      </c>
      <c r="X1041" s="40">
        <v>8090</v>
      </c>
      <c r="Y1041" s="40">
        <v>12070</v>
      </c>
      <c r="Z1041" s="49">
        <v>15</v>
      </c>
      <c r="AA1041" s="49">
        <v>6</v>
      </c>
    </row>
    <row r="1042" spans="1:27" ht="15.75">
      <c r="A1042" s="96"/>
      <c r="B1042" s="96"/>
      <c r="C1042" s="30" t="s">
        <v>128</v>
      </c>
      <c r="D1042">
        <v>25172.97</v>
      </c>
      <c r="E1042">
        <v>25088.91</v>
      </c>
      <c r="F1042">
        <v>25209.8</v>
      </c>
      <c r="G1042">
        <v>25151.8</v>
      </c>
      <c r="H1042">
        <v>25290.22</v>
      </c>
      <c r="I1042">
        <v>25215.65</v>
      </c>
      <c r="J1042">
        <v>25126.54</v>
      </c>
      <c r="K1042">
        <v>25106.92</v>
      </c>
      <c r="L1042">
        <v>25149.360000000001</v>
      </c>
      <c r="M1042" s="31"/>
      <c r="N1042" s="31"/>
      <c r="O1042" s="31"/>
      <c r="P1042" s="31"/>
      <c r="Q1042" s="31"/>
      <c r="R1042" s="32"/>
      <c r="S1042" s="33"/>
      <c r="Z1042" s="46"/>
      <c r="AA1042" s="46"/>
    </row>
    <row r="1043" spans="1:27" ht="13.5" thickBot="1">
      <c r="A1043" s="98"/>
      <c r="B1043" s="98"/>
      <c r="C1043" s="34" t="s">
        <v>129</v>
      </c>
      <c r="D1043" s="35">
        <f t="shared" ref="D1043:L1043" si="388">IF(((D1041="")*AND(D1042="")),"",(D1041-D1042)*3)</f>
        <v>12610.319999999996</v>
      </c>
      <c r="E1043" s="35">
        <f t="shared" si="388"/>
        <v>12385.589999999997</v>
      </c>
      <c r="F1043" s="35">
        <f t="shared" si="388"/>
        <v>11990.879999999997</v>
      </c>
      <c r="G1043" s="35">
        <f t="shared" si="388"/>
        <v>12168.990000000005</v>
      </c>
      <c r="H1043" s="35">
        <f t="shared" si="388"/>
        <v>12036.75</v>
      </c>
      <c r="I1043" s="35">
        <f t="shared" si="388"/>
        <v>12246.029999999995</v>
      </c>
      <c r="J1043" s="35">
        <f t="shared" si="388"/>
        <v>12193.949999999993</v>
      </c>
      <c r="K1043" s="35">
        <f t="shared" si="388"/>
        <v>12319.110000000008</v>
      </c>
      <c r="L1043" s="35">
        <f t="shared" si="388"/>
        <v>12538.620000000003</v>
      </c>
      <c r="M1043" s="36"/>
      <c r="N1043" s="36"/>
      <c r="O1043" s="36"/>
      <c r="P1043" s="36"/>
      <c r="Q1043" s="36"/>
      <c r="R1043" s="37"/>
      <c r="S1043" s="38"/>
      <c r="Z1043" s="46"/>
      <c r="AA1043" s="46"/>
    </row>
    <row r="1044" spans="1:27" ht="15.75">
      <c r="A1044" s="39">
        <v>43974</v>
      </c>
      <c r="B1044" s="115" t="s">
        <v>429</v>
      </c>
      <c r="C1044" s="26" t="s">
        <v>126</v>
      </c>
      <c r="D1044">
        <v>28955.07</v>
      </c>
      <c r="E1044">
        <v>28824.38</v>
      </c>
      <c r="F1044">
        <v>28811.08</v>
      </c>
      <c r="G1044">
        <v>28825.62</v>
      </c>
      <c r="H1044">
        <v>28903.09</v>
      </c>
      <c r="I1044">
        <v>28952.34</v>
      </c>
      <c r="J1044">
        <v>28822.92</v>
      </c>
      <c r="K1044">
        <v>28807.69</v>
      </c>
      <c r="L1044">
        <v>28952.23</v>
      </c>
      <c r="M1044" s="27">
        <f t="shared" ref="M1044" si="389">IF((L1045=""),"",MAX(D1046:L1046))</f>
        <v>11301.390000000003</v>
      </c>
      <c r="N1044" s="27">
        <f t="shared" ref="N1044" si="390">IF(L1045="","",MIN(D1046:L1046))</f>
        <v>10501.590000000007</v>
      </c>
      <c r="O1044" s="27">
        <f t="shared" ref="O1044" si="391">IF((L1046=""),"",AVERAGE(D1046:L1046))</f>
        <v>10778.906666666668</v>
      </c>
      <c r="P1044" s="27">
        <f t="shared" ref="P1044" si="392">IF((L1045=""),"",STDEV(D1046:L1046))</f>
        <v>246.15726700623293</v>
      </c>
      <c r="Q1044" s="168">
        <f>IF((L1045=""),"",((M1044-N1044)/(M1044+P1044))*100)</f>
        <v>6.9261461460754692</v>
      </c>
      <c r="R1044" s="28" t="str">
        <f t="shared" ref="R1044" si="393">IF(L1045="","",IF(Q1044&lt;Z1044,IF(N1044&gt;V1044,IF(M1044&lt;W1044,"Pass","Fail"),"Fail"),"Fail"))</f>
        <v>Pass</v>
      </c>
      <c r="S1044" s="29">
        <v>1428</v>
      </c>
      <c r="T1044" s="116" t="s">
        <v>496</v>
      </c>
      <c r="U1044" s="48" t="s">
        <v>484</v>
      </c>
      <c r="V1044" s="53">
        <v>10000</v>
      </c>
      <c r="W1044" s="22">
        <v>15600</v>
      </c>
      <c r="X1044" s="40">
        <v>8090</v>
      </c>
      <c r="Y1044" s="40">
        <v>12070</v>
      </c>
      <c r="Z1044" s="49">
        <v>15</v>
      </c>
      <c r="AA1044" s="49">
        <v>6</v>
      </c>
    </row>
    <row r="1045" spans="1:27" ht="15.75">
      <c r="A1045" s="96"/>
      <c r="B1045" s="96"/>
      <c r="C1045" s="30" t="s">
        <v>128</v>
      </c>
      <c r="D1045">
        <v>25436.05</v>
      </c>
      <c r="E1045">
        <v>25301.14</v>
      </c>
      <c r="F1045">
        <v>25310.55</v>
      </c>
      <c r="G1045">
        <v>25210</v>
      </c>
      <c r="H1045">
        <v>25135.96</v>
      </c>
      <c r="I1045">
        <v>25326.3</v>
      </c>
      <c r="J1045">
        <v>25237.11</v>
      </c>
      <c r="K1045">
        <v>25246.14</v>
      </c>
      <c r="L1045">
        <v>25314.45</v>
      </c>
      <c r="M1045" s="31"/>
      <c r="N1045" s="31"/>
      <c r="O1045" s="31"/>
      <c r="P1045" s="31"/>
      <c r="Q1045" s="31"/>
      <c r="R1045" s="32"/>
      <c r="S1045" s="33"/>
      <c r="Z1045" s="46"/>
      <c r="AA1045" s="46"/>
    </row>
    <row r="1046" spans="1:27" ht="13.5" thickBot="1">
      <c r="A1046" s="98"/>
      <c r="B1046" s="98"/>
      <c r="C1046" s="34" t="s">
        <v>129</v>
      </c>
      <c r="D1046" s="35">
        <f t="shared" ref="D1046:L1046" si="394">IF(((D1044="")*AND(D1045="")),"",(D1044-D1045)*3)</f>
        <v>10557.060000000001</v>
      </c>
      <c r="E1046" s="35">
        <f t="shared" si="394"/>
        <v>10569.720000000005</v>
      </c>
      <c r="F1046" s="35">
        <f t="shared" si="394"/>
        <v>10501.590000000007</v>
      </c>
      <c r="G1046" s="35">
        <f t="shared" si="394"/>
        <v>10846.859999999997</v>
      </c>
      <c r="H1046" s="35">
        <f t="shared" si="394"/>
        <v>11301.390000000003</v>
      </c>
      <c r="I1046" s="35">
        <f t="shared" si="394"/>
        <v>10878.120000000003</v>
      </c>
      <c r="J1046" s="35">
        <f t="shared" si="394"/>
        <v>10757.429999999993</v>
      </c>
      <c r="K1046" s="35">
        <f t="shared" si="394"/>
        <v>10684.649999999998</v>
      </c>
      <c r="L1046" s="35">
        <f t="shared" si="394"/>
        <v>10913.339999999997</v>
      </c>
      <c r="M1046" s="36"/>
      <c r="N1046" s="36"/>
      <c r="O1046" s="36"/>
      <c r="P1046" s="36"/>
      <c r="Q1046" s="36"/>
      <c r="R1046" s="37"/>
      <c r="S1046" s="38"/>
      <c r="Z1046" s="46"/>
      <c r="AA1046" s="46"/>
    </row>
    <row r="1047" spans="1:27" ht="15.75">
      <c r="A1047" s="39">
        <v>43978</v>
      </c>
      <c r="B1047" s="115" t="s">
        <v>429</v>
      </c>
      <c r="C1047" s="26" t="s">
        <v>126</v>
      </c>
      <c r="D1047">
        <v>29264</v>
      </c>
      <c r="E1047">
        <v>29144</v>
      </c>
      <c r="F1047">
        <v>29117</v>
      </c>
      <c r="G1047">
        <v>29138</v>
      </c>
      <c r="H1047">
        <v>29247</v>
      </c>
      <c r="I1047">
        <v>29256</v>
      </c>
      <c r="J1047">
        <v>29137</v>
      </c>
      <c r="K1047">
        <v>29124</v>
      </c>
      <c r="L1047">
        <v>29230</v>
      </c>
      <c r="M1047" s="27">
        <f t="shared" ref="M1047" si="395">IF((L1048=""),"",MAX(D1049:L1049))</f>
        <v>11664</v>
      </c>
      <c r="N1047" s="27">
        <f t="shared" ref="N1047" si="396">IF(L1048="","",MIN(D1049:L1049))</f>
        <v>11001</v>
      </c>
      <c r="O1047" s="27">
        <f t="shared" ref="O1047" si="397">IF((L1049=""),"",AVERAGE(D1049:L1049))</f>
        <v>11268.666666666666</v>
      </c>
      <c r="P1047" s="27">
        <f t="shared" ref="P1047" si="398">IF((L1048=""),"",STDEV(D1049:L1049))</f>
        <v>208.68756551361656</v>
      </c>
      <c r="Q1047" s="168">
        <f>IF((L1048=""),"",((M1047-N1047)/(M1047+P1047))*100)</f>
        <v>5.5842453222285089</v>
      </c>
      <c r="R1047" s="28" t="str">
        <f t="shared" ref="R1047" si="399">IF(L1048="","",IF(Q1047&lt;Z1047,IF(N1047&gt;V1047,IF(M1047&lt;W1047,"Pass","Fail"),"Fail"),"Fail"))</f>
        <v>Pass</v>
      </c>
      <c r="S1047" s="29">
        <v>1340</v>
      </c>
      <c r="T1047" s="116" t="s">
        <v>498</v>
      </c>
      <c r="U1047" s="48" t="s">
        <v>484</v>
      </c>
      <c r="V1047" s="53">
        <v>10000</v>
      </c>
      <c r="W1047" s="22">
        <v>15600</v>
      </c>
      <c r="X1047" s="40">
        <v>8090</v>
      </c>
      <c r="Y1047" s="40">
        <v>12070</v>
      </c>
      <c r="Z1047" s="49">
        <v>15</v>
      </c>
      <c r="AA1047" s="49">
        <v>6</v>
      </c>
    </row>
    <row r="1048" spans="1:27" ht="15.75">
      <c r="A1048" s="96"/>
      <c r="B1048" s="96"/>
      <c r="C1048" s="30" t="s">
        <v>128</v>
      </c>
      <c r="D1048">
        <v>25597</v>
      </c>
      <c r="E1048">
        <v>25435</v>
      </c>
      <c r="F1048">
        <v>25443</v>
      </c>
      <c r="G1048">
        <v>25342</v>
      </c>
      <c r="H1048">
        <v>25359</v>
      </c>
      <c r="I1048">
        <v>25480</v>
      </c>
      <c r="J1048">
        <v>25401</v>
      </c>
      <c r="K1048">
        <v>25365</v>
      </c>
      <c r="L1048">
        <v>25429</v>
      </c>
      <c r="M1048" s="31"/>
      <c r="N1048" s="31"/>
      <c r="O1048" s="31"/>
      <c r="P1048" s="31"/>
      <c r="Q1048" s="31"/>
      <c r="R1048" s="32"/>
      <c r="S1048" s="33"/>
      <c r="Z1048" s="46"/>
      <c r="AA1048" s="46"/>
    </row>
    <row r="1049" spans="1:27" ht="13.5" thickBot="1">
      <c r="A1049" s="98"/>
      <c r="B1049" s="98"/>
      <c r="C1049" s="34" t="s">
        <v>129</v>
      </c>
      <c r="D1049" s="35">
        <f t="shared" ref="D1049:L1049" si="400">IF(((D1047="")*AND(D1048="")),"",(D1047-D1048)*3)</f>
        <v>11001</v>
      </c>
      <c r="E1049" s="35">
        <f t="shared" si="400"/>
        <v>11127</v>
      </c>
      <c r="F1049" s="35">
        <f t="shared" si="400"/>
        <v>11022</v>
      </c>
      <c r="G1049" s="35">
        <f t="shared" si="400"/>
        <v>11388</v>
      </c>
      <c r="H1049" s="35">
        <f t="shared" si="400"/>
        <v>11664</v>
      </c>
      <c r="I1049" s="35">
        <f t="shared" si="400"/>
        <v>11328</v>
      </c>
      <c r="J1049" s="35">
        <f t="shared" si="400"/>
        <v>11208</v>
      </c>
      <c r="K1049" s="35">
        <f t="shared" si="400"/>
        <v>11277</v>
      </c>
      <c r="L1049" s="35">
        <f t="shared" si="400"/>
        <v>11403</v>
      </c>
      <c r="M1049" s="36"/>
      <c r="N1049" s="36"/>
      <c r="O1049" s="36"/>
      <c r="P1049" s="36"/>
      <c r="Q1049" s="36"/>
      <c r="R1049" s="37"/>
      <c r="S1049" s="38"/>
      <c r="Z1049" s="46"/>
      <c r="AA1049" s="46"/>
    </row>
    <row r="1050" spans="1:27" ht="15.75">
      <c r="A1050" s="39">
        <v>43979</v>
      </c>
      <c r="B1050" s="115" t="s">
        <v>499</v>
      </c>
      <c r="C1050" s="26" t="s">
        <v>126</v>
      </c>
      <c r="D1050">
        <v>29273.9</v>
      </c>
      <c r="E1050">
        <v>29123.46</v>
      </c>
      <c r="F1050">
        <v>29095.61</v>
      </c>
      <c r="G1050">
        <v>29107.99</v>
      </c>
      <c r="H1050">
        <v>29225.97</v>
      </c>
      <c r="I1050">
        <v>29180.63</v>
      </c>
      <c r="J1050">
        <v>29090.09</v>
      </c>
      <c r="K1050">
        <v>29119.119999999999</v>
      </c>
      <c r="L1050">
        <v>29279.040000000001</v>
      </c>
      <c r="M1050" s="27">
        <f t="shared" ref="M1050" si="401">IF((L1051=""),"",MAX(D1052:L1052))</f>
        <v>12491.910000000003</v>
      </c>
      <c r="N1050" s="27">
        <f t="shared" ref="N1050" si="402">IF(L1051="","",MIN(D1052:L1052))</f>
        <v>11675.52</v>
      </c>
      <c r="O1050" s="27">
        <f t="shared" ref="O1050" si="403">IF((L1052=""),"",AVERAGE(D1052:L1052))</f>
        <v>11976.26666666667</v>
      </c>
      <c r="P1050" s="27">
        <f t="shared" ref="P1050" si="404">IF((L1051=""),"",STDEV(D1052:L1052))</f>
        <v>288.38093145184479</v>
      </c>
      <c r="Q1050" s="168">
        <f>IF((L1051=""),"",((M1050-N1050)/(M1050+P1050))*100)</f>
        <v>6.3878827514864778</v>
      </c>
      <c r="R1050" s="28" t="str">
        <f t="shared" ref="R1050" si="405">IF(L1051="","",IF(Q1050&lt;Z1050,IF(N1050&gt;V1050,IF(M1050&lt;W1050,"Pass","Fail"),"Fail"),"Fail"))</f>
        <v>Pass</v>
      </c>
      <c r="S1050" s="29">
        <v>1534</v>
      </c>
      <c r="T1050" s="116" t="s">
        <v>500</v>
      </c>
      <c r="U1050" s="48" t="s">
        <v>484</v>
      </c>
      <c r="V1050" s="53">
        <v>10000</v>
      </c>
      <c r="W1050" s="22">
        <v>15600</v>
      </c>
      <c r="X1050" s="40">
        <v>8090</v>
      </c>
      <c r="Y1050" s="40">
        <v>12070</v>
      </c>
      <c r="Z1050" s="49">
        <v>15</v>
      </c>
      <c r="AA1050" s="49">
        <v>6</v>
      </c>
    </row>
    <row r="1051" spans="1:27" ht="15.75">
      <c r="A1051" s="96"/>
      <c r="B1051" s="96"/>
      <c r="C1051" s="30" t="s">
        <v>128</v>
      </c>
      <c r="D1051">
        <v>25366.799999999999</v>
      </c>
      <c r="E1051">
        <v>25180.12</v>
      </c>
      <c r="F1051">
        <v>25193.37</v>
      </c>
      <c r="G1051">
        <v>25068.76</v>
      </c>
      <c r="H1051">
        <v>25062</v>
      </c>
      <c r="I1051">
        <v>25288.79</v>
      </c>
      <c r="J1051">
        <v>25133.09</v>
      </c>
      <c r="K1051">
        <v>25098.42</v>
      </c>
      <c r="L1051">
        <v>25175.66</v>
      </c>
      <c r="M1051" s="31"/>
      <c r="N1051" s="31"/>
      <c r="O1051" s="31"/>
      <c r="P1051" s="31"/>
      <c r="Q1051" s="31"/>
      <c r="R1051" s="32"/>
      <c r="S1051" s="33"/>
      <c r="Z1051" s="46"/>
      <c r="AA1051" s="46"/>
    </row>
    <row r="1052" spans="1:27" ht="13.5" thickBot="1">
      <c r="A1052" s="98"/>
      <c r="B1052" s="98"/>
      <c r="C1052" s="34" t="s">
        <v>129</v>
      </c>
      <c r="D1052" s="35">
        <f t="shared" ref="D1052:L1052" si="406">IF(((D1050="")*AND(D1051="")),"",(D1050-D1051)*3)</f>
        <v>11721.300000000007</v>
      </c>
      <c r="E1052" s="35">
        <f t="shared" si="406"/>
        <v>11830.02</v>
      </c>
      <c r="F1052" s="35">
        <f t="shared" si="406"/>
        <v>11706.720000000005</v>
      </c>
      <c r="G1052" s="35">
        <f t="shared" si="406"/>
        <v>12117.69000000001</v>
      </c>
      <c r="H1052" s="35">
        <f t="shared" si="406"/>
        <v>12491.910000000003</v>
      </c>
      <c r="I1052" s="35">
        <f t="shared" si="406"/>
        <v>11675.52</v>
      </c>
      <c r="J1052" s="35">
        <f t="shared" si="406"/>
        <v>11871</v>
      </c>
      <c r="K1052" s="35">
        <f t="shared" si="406"/>
        <v>12062.100000000002</v>
      </c>
      <c r="L1052" s="35">
        <f t="shared" si="406"/>
        <v>12310.140000000003</v>
      </c>
      <c r="M1052" s="36"/>
      <c r="N1052" s="36"/>
      <c r="O1052" s="36"/>
      <c r="P1052" s="36"/>
      <c r="Q1052" s="36"/>
      <c r="R1052" s="37"/>
      <c r="S1052" s="38"/>
      <c r="Z1052" s="46"/>
      <c r="AA1052" s="46"/>
    </row>
    <row r="1053" spans="1:27" ht="15.75">
      <c r="A1053" s="39">
        <v>43986</v>
      </c>
      <c r="B1053" s="115" t="s">
        <v>429</v>
      </c>
      <c r="C1053" s="26" t="s">
        <v>126</v>
      </c>
      <c r="D1053">
        <v>29308</v>
      </c>
      <c r="E1053">
        <v>29155</v>
      </c>
      <c r="F1053">
        <v>29146</v>
      </c>
      <c r="G1053">
        <v>29111</v>
      </c>
      <c r="H1053">
        <v>29219</v>
      </c>
      <c r="I1053">
        <v>29249</v>
      </c>
      <c r="J1053">
        <v>29121</v>
      </c>
      <c r="K1053">
        <v>29154</v>
      </c>
      <c r="L1053">
        <v>29284</v>
      </c>
      <c r="M1053" s="27">
        <f t="shared" ref="M1053" si="407">IF((L1054=""),"",MAX(D1055:L1055))</f>
        <v>12029.160000000003</v>
      </c>
      <c r="N1053" s="27">
        <f t="shared" ref="N1053" si="408">IF(L1054="","",MIN(D1055:L1055))</f>
        <v>11642.970000000005</v>
      </c>
      <c r="O1053" s="27">
        <f t="shared" ref="O1053" si="409">IF((L1055=""),"",AVERAGE(D1055:L1055))</f>
        <v>11854.500000000002</v>
      </c>
      <c r="P1053" s="27">
        <f t="shared" ref="P1053" si="410">IF((L1054=""),"",STDEV(D1055:L1055))</f>
        <v>115.17455383003838</v>
      </c>
      <c r="Q1053" s="168">
        <f>IF((L1054=""),"",((M1053-N1053)/(M1053+P1053))*100)</f>
        <v>3.1800013272707748</v>
      </c>
      <c r="R1053" s="28" t="str">
        <f t="shared" ref="R1053" si="411">IF(L1054="","",IF(Q1053&lt;Z1053,IF(N1053&gt;V1053,IF(M1053&lt;W1053,"Pass","Fail"),"Fail"),"Fail"))</f>
        <v>Pass</v>
      </c>
      <c r="S1053" s="29">
        <v>1340</v>
      </c>
      <c r="T1053" s="116" t="s">
        <v>501</v>
      </c>
      <c r="U1053" s="48" t="s">
        <v>484</v>
      </c>
      <c r="V1053" s="53">
        <v>10000</v>
      </c>
      <c r="W1053" s="22">
        <v>15600</v>
      </c>
      <c r="X1053" s="40">
        <v>8090</v>
      </c>
      <c r="Y1053" s="40">
        <v>12070</v>
      </c>
      <c r="Z1053" s="49">
        <v>15</v>
      </c>
      <c r="AA1053" s="49">
        <v>6</v>
      </c>
    </row>
    <row r="1054" spans="1:27" ht="15.75">
      <c r="A1054" s="96"/>
      <c r="B1054" s="96"/>
      <c r="C1054" s="30" t="s">
        <v>128</v>
      </c>
      <c r="D1054">
        <v>25335.200000000001</v>
      </c>
      <c r="E1054">
        <v>25239.11</v>
      </c>
      <c r="F1054">
        <v>25265.01</v>
      </c>
      <c r="G1054">
        <v>25167.09</v>
      </c>
      <c r="H1054">
        <v>25241.38</v>
      </c>
      <c r="I1054">
        <v>25239.279999999999</v>
      </c>
      <c r="J1054">
        <v>25177.46</v>
      </c>
      <c r="K1054">
        <v>25214.19</v>
      </c>
      <c r="L1054">
        <v>25304.78</v>
      </c>
      <c r="M1054" s="31"/>
      <c r="N1054" s="31"/>
      <c r="O1054" s="31"/>
      <c r="P1054" s="31"/>
      <c r="Q1054" s="31"/>
      <c r="R1054" s="32"/>
      <c r="S1054" s="33"/>
      <c r="Z1054" s="46"/>
      <c r="AA1054" s="46"/>
    </row>
    <row r="1055" spans="1:27" ht="13.5" thickBot="1">
      <c r="A1055" s="98"/>
      <c r="B1055" s="98"/>
      <c r="C1055" s="34" t="s">
        <v>129</v>
      </c>
      <c r="D1055" s="35">
        <f t="shared" ref="D1055:L1055" si="412">IF(((D1053="")*AND(D1054="")),"",(D1053-D1054)*3)</f>
        <v>11918.399999999998</v>
      </c>
      <c r="E1055" s="35">
        <f t="shared" si="412"/>
        <v>11747.669999999998</v>
      </c>
      <c r="F1055" s="35">
        <f t="shared" si="412"/>
        <v>11642.970000000005</v>
      </c>
      <c r="G1055" s="35">
        <f t="shared" si="412"/>
        <v>11831.73</v>
      </c>
      <c r="H1055" s="35">
        <f t="shared" si="412"/>
        <v>11932.859999999997</v>
      </c>
      <c r="I1055" s="35">
        <f t="shared" si="412"/>
        <v>12029.160000000003</v>
      </c>
      <c r="J1055" s="35">
        <f t="shared" si="412"/>
        <v>11830.620000000003</v>
      </c>
      <c r="K1055" s="35">
        <f t="shared" si="412"/>
        <v>11819.430000000004</v>
      </c>
      <c r="L1055" s="35">
        <f t="shared" si="412"/>
        <v>11937.660000000003</v>
      </c>
      <c r="M1055" s="36"/>
      <c r="N1055" s="36"/>
      <c r="O1055" s="36"/>
      <c r="P1055" s="36"/>
      <c r="Q1055" s="36"/>
      <c r="R1055" s="37"/>
      <c r="S1055" s="38"/>
      <c r="Z1055" s="46"/>
      <c r="AA1055" s="46"/>
    </row>
    <row r="1056" spans="1:27" ht="15.75">
      <c r="A1056" s="39">
        <v>43990</v>
      </c>
      <c r="B1056" s="115" t="s">
        <v>429</v>
      </c>
      <c r="C1056" s="26" t="s">
        <v>126</v>
      </c>
      <c r="D1056">
        <v>29363.31</v>
      </c>
      <c r="E1056">
        <v>29229.61</v>
      </c>
      <c r="F1056">
        <v>29232.48</v>
      </c>
      <c r="G1056">
        <v>29210.880000000001</v>
      </c>
      <c r="H1056">
        <v>29321.8</v>
      </c>
      <c r="I1056">
        <v>29359.49</v>
      </c>
      <c r="J1056">
        <v>29219.37</v>
      </c>
      <c r="K1056">
        <v>29208.33</v>
      </c>
      <c r="L1056">
        <v>29312.32</v>
      </c>
      <c r="M1056" s="27">
        <f t="shared" ref="M1056" si="413">IF((L1057=""),"",MAX(D1058:L1058))</f>
        <v>12500.79</v>
      </c>
      <c r="N1056" s="27">
        <f t="shared" ref="N1056" si="414">IF(L1057="","",MIN(D1058:L1058))</f>
        <v>11849.549999999996</v>
      </c>
      <c r="O1056" s="27">
        <f t="shared" ref="O1056" si="415">IF((L1058=""),"",AVERAGE(D1058:L1058))</f>
        <v>12163.900000000001</v>
      </c>
      <c r="P1056" s="27">
        <f t="shared" ref="P1056" si="416">IF((L1057=""),"",STDEV(D1058:L1058))</f>
        <v>211.50450207965133</v>
      </c>
      <c r="Q1056" s="168">
        <f>IF((L1057=""),"",((M1056-N1056)/(M1056+P1056))*100)</f>
        <v>5.122914670466975</v>
      </c>
      <c r="R1056" s="28" t="str">
        <f t="shared" ref="R1056" si="417">IF(L1057="","",IF(Q1056&lt;Z1056,IF(N1056&gt;V1056,IF(M1056&lt;W1056,"Pass","Fail"),"Fail"),"Fail"))</f>
        <v>Pass</v>
      </c>
      <c r="S1056" s="29">
        <v>1159</v>
      </c>
      <c r="T1056" s="116" t="s">
        <v>503</v>
      </c>
      <c r="U1056" s="48" t="s">
        <v>484</v>
      </c>
      <c r="V1056" s="53">
        <v>10000</v>
      </c>
      <c r="W1056" s="22">
        <v>15600</v>
      </c>
      <c r="X1056" s="40">
        <v>8090</v>
      </c>
      <c r="Y1056" s="40">
        <v>12070</v>
      </c>
      <c r="Z1056" s="49">
        <v>15</v>
      </c>
      <c r="AA1056" s="49">
        <v>6</v>
      </c>
    </row>
    <row r="1057" spans="1:27" ht="15.75">
      <c r="A1057" s="96"/>
      <c r="B1057" s="96"/>
      <c r="C1057" s="30" t="s">
        <v>128</v>
      </c>
      <c r="D1057">
        <v>25196.38</v>
      </c>
      <c r="E1057">
        <v>25129.64</v>
      </c>
      <c r="F1057">
        <v>25238.22</v>
      </c>
      <c r="G1057">
        <v>25206.54</v>
      </c>
      <c r="H1057">
        <v>25371.95</v>
      </c>
      <c r="I1057">
        <v>25330.86</v>
      </c>
      <c r="J1057">
        <v>25179.75</v>
      </c>
      <c r="K1057">
        <v>25137.13</v>
      </c>
      <c r="L1057">
        <v>25175.42</v>
      </c>
      <c r="M1057" s="31"/>
      <c r="N1057" s="31"/>
      <c r="O1057" s="31"/>
      <c r="P1057" s="31"/>
      <c r="Q1057" s="31"/>
      <c r="R1057" s="32"/>
      <c r="S1057" s="33"/>
      <c r="Z1057" s="46"/>
      <c r="AA1057" s="46"/>
    </row>
    <row r="1058" spans="1:27" ht="13.5" thickBot="1">
      <c r="A1058" s="98"/>
      <c r="B1058" s="98"/>
      <c r="C1058" s="34" t="s">
        <v>129</v>
      </c>
      <c r="D1058" s="35">
        <f t="shared" ref="D1058:L1058" si="418">IF(((D1056="")*AND(D1057="")),"",(D1056-D1057)*3)</f>
        <v>12500.79</v>
      </c>
      <c r="E1058" s="35">
        <f t="shared" si="418"/>
        <v>12299.910000000003</v>
      </c>
      <c r="F1058" s="35">
        <f t="shared" si="418"/>
        <v>11982.779999999995</v>
      </c>
      <c r="G1058" s="35">
        <f t="shared" si="418"/>
        <v>12013.02</v>
      </c>
      <c r="H1058" s="35">
        <f t="shared" si="418"/>
        <v>11849.549999999996</v>
      </c>
      <c r="I1058" s="35">
        <f t="shared" si="418"/>
        <v>12085.890000000003</v>
      </c>
      <c r="J1058" s="35">
        <f t="shared" si="418"/>
        <v>12118.859999999997</v>
      </c>
      <c r="K1058" s="35">
        <f t="shared" si="418"/>
        <v>12213.600000000002</v>
      </c>
      <c r="L1058" s="35">
        <f t="shared" si="418"/>
        <v>12410.700000000004</v>
      </c>
      <c r="M1058" s="36"/>
      <c r="N1058" s="36"/>
      <c r="O1058" s="36"/>
      <c r="P1058" s="36"/>
      <c r="Q1058" s="36"/>
      <c r="R1058" s="37"/>
      <c r="S1058" s="38"/>
      <c r="Z1058" s="46"/>
      <c r="AA1058" s="46"/>
    </row>
    <row r="1059" spans="1:27" ht="15.75">
      <c r="A1059" s="39">
        <v>43994</v>
      </c>
      <c r="B1059" s="115" t="s">
        <v>429</v>
      </c>
      <c r="C1059" s="26" t="s">
        <v>126</v>
      </c>
      <c r="D1059">
        <v>29345.119999999999</v>
      </c>
      <c r="E1059">
        <v>29190.71</v>
      </c>
      <c r="F1059">
        <v>29174.22</v>
      </c>
      <c r="G1059">
        <v>29169.919999999998</v>
      </c>
      <c r="H1059">
        <v>29274.26</v>
      </c>
      <c r="I1059">
        <v>29249.42</v>
      </c>
      <c r="J1059">
        <v>29157.58</v>
      </c>
      <c r="K1059">
        <v>29186.47</v>
      </c>
      <c r="L1059">
        <v>29331.29</v>
      </c>
      <c r="M1059" s="27">
        <f t="shared" ref="M1059" si="419">IF((L1060=""),"",MAX(D1061:L1061))</f>
        <v>12597.419999999998</v>
      </c>
      <c r="N1059" s="27">
        <f t="shared" ref="N1059" si="420">IF(L1060="","",MIN(D1061:L1061))</f>
        <v>11894.939999999999</v>
      </c>
      <c r="O1059" s="27">
        <f t="shared" ref="O1059" si="421">IF((L1061=""),"",AVERAGE(D1061:L1061))</f>
        <v>12252.316666666666</v>
      </c>
      <c r="P1059" s="27">
        <f t="shared" ref="P1059" si="422">IF((L1060=""),"",STDEV(D1061:L1061))</f>
        <v>201.59448994206699</v>
      </c>
      <c r="Q1059" s="168">
        <f>IF((L1060=""),"",((M1059-N1059)/(M1059+P1059))*100)</f>
        <v>5.4885475795971175</v>
      </c>
      <c r="R1059" s="28" t="str">
        <f t="shared" ref="R1059" si="423">IF(L1060="","",IF(Q1059&lt;Z1059,IF(N1059&gt;V1059,IF(M1059&lt;W1059,"Pass","Fail"),"Fail"),"Fail"))</f>
        <v>Pass</v>
      </c>
      <c r="S1059" s="29">
        <v>1159</v>
      </c>
      <c r="T1059" s="116" t="s">
        <v>505</v>
      </c>
      <c r="U1059" s="48" t="s">
        <v>484</v>
      </c>
      <c r="V1059" s="53">
        <v>10000</v>
      </c>
      <c r="W1059" s="22">
        <v>15600</v>
      </c>
      <c r="X1059" s="40">
        <v>8090</v>
      </c>
      <c r="Y1059" s="40">
        <v>12070</v>
      </c>
      <c r="Z1059" s="49">
        <v>15</v>
      </c>
      <c r="AA1059" s="49">
        <v>6</v>
      </c>
    </row>
    <row r="1060" spans="1:27" ht="15.75">
      <c r="A1060" s="96"/>
      <c r="B1060" s="96"/>
      <c r="C1060" s="30" t="s">
        <v>128</v>
      </c>
      <c r="D1060">
        <v>25380.14</v>
      </c>
      <c r="E1060">
        <v>25126.11</v>
      </c>
      <c r="F1060">
        <v>25129.95</v>
      </c>
      <c r="G1060">
        <v>25017.77</v>
      </c>
      <c r="H1060">
        <v>25075.119999999999</v>
      </c>
      <c r="I1060">
        <v>25163.98</v>
      </c>
      <c r="J1060">
        <v>25065.84</v>
      </c>
      <c r="K1060">
        <v>25077.919999999998</v>
      </c>
      <c r="L1060">
        <v>25285.21</v>
      </c>
      <c r="M1060" s="31"/>
      <c r="N1060" s="31"/>
      <c r="O1060" s="31"/>
      <c r="P1060" s="31"/>
      <c r="Q1060" s="31"/>
      <c r="R1060" s="32"/>
      <c r="S1060" s="33"/>
      <c r="Z1060" s="46"/>
      <c r="AA1060" s="46"/>
    </row>
    <row r="1061" spans="1:27" ht="13.5" thickBot="1">
      <c r="A1061" s="98"/>
      <c r="B1061" s="98"/>
      <c r="C1061" s="34" t="s">
        <v>129</v>
      </c>
      <c r="D1061" s="35">
        <f t="shared" ref="D1061:L1061" si="424">IF(((D1059="")*AND(D1060="")),"",(D1059-D1060)*3)</f>
        <v>11894.939999999999</v>
      </c>
      <c r="E1061" s="35">
        <f t="shared" si="424"/>
        <v>12193.799999999996</v>
      </c>
      <c r="F1061" s="35">
        <f t="shared" si="424"/>
        <v>12132.810000000001</v>
      </c>
      <c r="G1061" s="35">
        <f t="shared" si="424"/>
        <v>12456.449999999993</v>
      </c>
      <c r="H1061" s="35">
        <f t="shared" si="424"/>
        <v>12597.419999999998</v>
      </c>
      <c r="I1061" s="35">
        <f t="shared" si="424"/>
        <v>12256.319999999996</v>
      </c>
      <c r="J1061" s="35">
        <f t="shared" si="424"/>
        <v>12275.220000000005</v>
      </c>
      <c r="K1061" s="35">
        <f t="shared" si="424"/>
        <v>12325.650000000009</v>
      </c>
      <c r="L1061" s="35">
        <f t="shared" si="424"/>
        <v>12138.240000000005</v>
      </c>
      <c r="M1061" s="36"/>
      <c r="N1061" s="36"/>
      <c r="O1061" s="36"/>
      <c r="P1061" s="36"/>
      <c r="Q1061" s="36"/>
      <c r="R1061" s="37"/>
      <c r="S1061" s="38"/>
      <c r="Z1061" s="46"/>
      <c r="AA1061" s="46"/>
    </row>
    <row r="1062" spans="1:27" ht="15.75">
      <c r="A1062" s="39">
        <v>43998</v>
      </c>
      <c r="B1062" s="115" t="s">
        <v>429</v>
      </c>
      <c r="C1062" s="26" t="s">
        <v>126</v>
      </c>
      <c r="D1062">
        <v>29146.89</v>
      </c>
      <c r="E1062">
        <v>29014.82</v>
      </c>
      <c r="F1062">
        <v>29021.85</v>
      </c>
      <c r="G1062">
        <v>29005.13</v>
      </c>
      <c r="H1062">
        <v>29086.12</v>
      </c>
      <c r="I1062">
        <v>29126.41</v>
      </c>
      <c r="J1062">
        <v>29011.35</v>
      </c>
      <c r="K1062">
        <v>29013.73</v>
      </c>
      <c r="L1062">
        <v>29090.5</v>
      </c>
      <c r="M1062" s="27">
        <f t="shared" ref="M1062" si="425">IF((L1063=""),"",MAX(D1064:L1064))</f>
        <v>10884.54</v>
      </c>
      <c r="N1062" s="27">
        <f t="shared" ref="N1062" si="426">IF(L1063="","",MIN(D1064:L1064))</f>
        <v>10181.399999999998</v>
      </c>
      <c r="O1062" s="27">
        <f t="shared" ref="O1062" si="427">IF((L1064=""),"",AVERAGE(D1064:L1064))</f>
        <v>10547.209999999997</v>
      </c>
      <c r="P1062" s="27">
        <f t="shared" ref="P1062" si="428">IF((L1063=""),"",STDEV(D1064:L1064))</f>
        <v>212.24259845754798</v>
      </c>
      <c r="Q1062" s="168">
        <f>IF((L1063=""),"",((M1062-N1062)/(M1062+P1062))*100)</f>
        <v>6.3364312471773525</v>
      </c>
      <c r="R1062" s="28" t="str">
        <f t="shared" ref="R1062" si="429">IF(L1063="","",IF(Q1062&lt;Z1062,IF(N1062&gt;V1062,IF(M1062&lt;W1062,"Pass","Fail"),"Fail"),"Fail"))</f>
        <v>Pass</v>
      </c>
      <c r="S1062" s="29">
        <v>102</v>
      </c>
      <c r="T1062" s="116" t="s">
        <v>507</v>
      </c>
      <c r="U1062" s="48" t="s">
        <v>484</v>
      </c>
      <c r="V1062" s="53">
        <v>10000</v>
      </c>
      <c r="W1062" s="22">
        <v>15600</v>
      </c>
      <c r="X1062" s="40">
        <v>8090</v>
      </c>
      <c r="Y1062" s="40">
        <v>12070</v>
      </c>
      <c r="Z1062" s="49">
        <v>15</v>
      </c>
      <c r="AA1062" s="49">
        <v>6</v>
      </c>
    </row>
    <row r="1063" spans="1:27" ht="15.75">
      <c r="A1063" s="96"/>
      <c r="B1063" s="96"/>
      <c r="C1063" s="30" t="s">
        <v>128</v>
      </c>
      <c r="D1063">
        <v>25753.09</v>
      </c>
      <c r="E1063">
        <v>25529.77</v>
      </c>
      <c r="F1063">
        <v>25569.47</v>
      </c>
      <c r="G1063">
        <v>25454.720000000001</v>
      </c>
      <c r="H1063">
        <v>25457.94</v>
      </c>
      <c r="I1063">
        <v>25543.43</v>
      </c>
      <c r="J1063">
        <v>25471.18</v>
      </c>
      <c r="K1063">
        <v>25487.119999999999</v>
      </c>
      <c r="L1063">
        <v>25608.45</v>
      </c>
      <c r="M1063" s="31"/>
      <c r="N1063" s="31"/>
      <c r="O1063" s="31"/>
      <c r="P1063" s="31"/>
      <c r="Q1063" s="31"/>
      <c r="R1063" s="32"/>
      <c r="S1063" s="33"/>
      <c r="Z1063" s="46"/>
      <c r="AA1063" s="46"/>
    </row>
    <row r="1064" spans="1:27" ht="13.5" thickBot="1">
      <c r="A1064" s="98"/>
      <c r="B1064" s="98"/>
      <c r="C1064" s="34" t="s">
        <v>129</v>
      </c>
      <c r="D1064" s="35">
        <f t="shared" ref="D1064:L1064" si="430">IF(((D1062="")*AND(D1063="")),"",(D1062-D1063)*3)</f>
        <v>10181.399999999998</v>
      </c>
      <c r="E1064" s="35">
        <f t="shared" si="430"/>
        <v>10455.149999999998</v>
      </c>
      <c r="F1064" s="35">
        <f t="shared" si="430"/>
        <v>10357.139999999992</v>
      </c>
      <c r="G1064" s="35">
        <f t="shared" si="430"/>
        <v>10651.23</v>
      </c>
      <c r="H1064" s="35">
        <f t="shared" si="430"/>
        <v>10884.54</v>
      </c>
      <c r="I1064" s="35">
        <f t="shared" si="430"/>
        <v>10748.939999999999</v>
      </c>
      <c r="J1064" s="35">
        <f t="shared" si="430"/>
        <v>10620.509999999995</v>
      </c>
      <c r="K1064" s="35">
        <f t="shared" si="430"/>
        <v>10579.830000000002</v>
      </c>
      <c r="L1064" s="35">
        <f t="shared" si="430"/>
        <v>10446.149999999998</v>
      </c>
      <c r="M1064" s="36"/>
      <c r="N1064" s="36"/>
      <c r="O1064" s="36"/>
      <c r="P1064" s="36"/>
      <c r="Q1064" s="36"/>
      <c r="R1064" s="37"/>
      <c r="S1064" s="38"/>
      <c r="Z1064" s="46"/>
      <c r="AA1064" s="46"/>
    </row>
    <row r="1065" spans="1:27" ht="15.75">
      <c r="A1065" s="39">
        <v>44004</v>
      </c>
      <c r="B1065" s="115" t="s">
        <v>429</v>
      </c>
      <c r="C1065" s="26" t="s">
        <v>126</v>
      </c>
      <c r="D1065">
        <v>29174.799999999999</v>
      </c>
      <c r="E1065">
        <v>29030.7</v>
      </c>
      <c r="F1065">
        <v>29030.15</v>
      </c>
      <c r="G1065">
        <v>29033.97</v>
      </c>
      <c r="H1065">
        <v>29133.69</v>
      </c>
      <c r="I1065">
        <v>29163.71</v>
      </c>
      <c r="J1065">
        <v>29041.33</v>
      </c>
      <c r="K1065">
        <v>29031.68</v>
      </c>
      <c r="L1065">
        <v>29113.87</v>
      </c>
      <c r="M1065" s="27">
        <f t="shared" ref="M1065" si="431">IF((L1066=""),"",MAX(D1067:L1067))</f>
        <v>13157.46</v>
      </c>
      <c r="N1065" s="27">
        <f t="shared" ref="N1065" si="432">IF(L1066="","",MIN(D1067:L1067))</f>
        <v>12343.109999999997</v>
      </c>
      <c r="O1065" s="27">
        <f t="shared" ref="O1065" si="433">IF((L1067=""),"",AVERAGE(D1067:L1067))</f>
        <v>12839.28</v>
      </c>
      <c r="P1065" s="27">
        <f t="shared" ref="P1065" si="434">IF((L1066=""),"",STDEV(D1067:L1067))</f>
        <v>262.33909754362344</v>
      </c>
      <c r="Q1065" s="168">
        <f>IF((L1066=""),"",((M1065-N1065)/(M1065+P1065))*100)</f>
        <v>6.0682726625099912</v>
      </c>
      <c r="R1065" s="28" t="str">
        <f t="shared" ref="R1065" si="435">IF(L1066="","",IF(Q1065&lt;Z1065,IF(N1065&gt;V1065,IF(M1065&lt;W1065,"Pass","Fail"),"Fail"),"Fail"))</f>
        <v>Pass</v>
      </c>
      <c r="S1065" s="29">
        <v>121</v>
      </c>
      <c r="T1065" s="49" t="s">
        <v>508</v>
      </c>
      <c r="V1065" s="53">
        <v>10000</v>
      </c>
      <c r="W1065" s="22">
        <v>15600</v>
      </c>
      <c r="X1065" s="40">
        <v>8090</v>
      </c>
      <c r="Y1065" s="40">
        <v>12070</v>
      </c>
      <c r="Z1065" s="49">
        <v>15</v>
      </c>
      <c r="AA1065" s="49">
        <v>6</v>
      </c>
    </row>
    <row r="1066" spans="1:27" ht="15.75">
      <c r="A1066" s="96"/>
      <c r="B1066" s="96"/>
      <c r="C1066" s="30" t="s">
        <v>128</v>
      </c>
      <c r="D1066">
        <v>25060.43</v>
      </c>
      <c r="E1066">
        <v>24805.22</v>
      </c>
      <c r="F1066">
        <v>24764.39</v>
      </c>
      <c r="G1066">
        <v>24696.18</v>
      </c>
      <c r="H1066">
        <v>24747.87</v>
      </c>
      <c r="I1066">
        <v>24787.43</v>
      </c>
      <c r="J1066">
        <v>24726.48</v>
      </c>
      <c r="K1066">
        <v>24740.560000000001</v>
      </c>
      <c r="L1066">
        <v>24907.5</v>
      </c>
      <c r="M1066" s="31"/>
      <c r="N1066" s="31"/>
      <c r="O1066" s="31"/>
      <c r="P1066" s="31"/>
      <c r="Q1066" s="31"/>
      <c r="R1066" s="32"/>
      <c r="S1066" s="33"/>
      <c r="Z1066" s="46"/>
      <c r="AA1066" s="46"/>
    </row>
    <row r="1067" spans="1:27" ht="13.5" thickBot="1">
      <c r="A1067" s="98"/>
      <c r="B1067" s="98"/>
      <c r="C1067" s="34" t="s">
        <v>129</v>
      </c>
      <c r="D1067" s="35">
        <f t="shared" ref="D1067:L1067" si="436">IF(((D1065="")*AND(D1066="")),"",(D1065-D1066)*3)</f>
        <v>12343.109999999997</v>
      </c>
      <c r="E1067" s="35">
        <f t="shared" si="436"/>
        <v>12676.439999999999</v>
      </c>
      <c r="F1067" s="35">
        <f t="shared" si="436"/>
        <v>12797.280000000006</v>
      </c>
      <c r="G1067" s="35">
        <f t="shared" si="436"/>
        <v>13013.370000000003</v>
      </c>
      <c r="H1067" s="35">
        <f t="shared" si="436"/>
        <v>13157.46</v>
      </c>
      <c r="I1067" s="35">
        <f t="shared" si="436"/>
        <v>13128.839999999997</v>
      </c>
      <c r="J1067" s="35">
        <f t="shared" si="436"/>
        <v>12944.550000000007</v>
      </c>
      <c r="K1067" s="35">
        <f t="shared" si="436"/>
        <v>12873.359999999997</v>
      </c>
      <c r="L1067" s="35">
        <f t="shared" si="436"/>
        <v>12619.109999999997</v>
      </c>
      <c r="M1067" s="36"/>
      <c r="N1067" s="36"/>
      <c r="O1067" s="36"/>
      <c r="P1067" s="36"/>
      <c r="Q1067" s="36"/>
      <c r="R1067" s="37"/>
      <c r="S1067" s="38"/>
      <c r="Z1067" s="46"/>
      <c r="AA1067" s="46"/>
    </row>
    <row r="1068" spans="1:27" ht="15.75">
      <c r="A1068" s="39">
        <v>44008</v>
      </c>
      <c r="B1068" s="115" t="s">
        <v>429</v>
      </c>
      <c r="C1068" s="26" t="s">
        <v>126</v>
      </c>
      <c r="D1068">
        <v>29089.95</v>
      </c>
      <c r="E1068">
        <v>28953.040000000001</v>
      </c>
      <c r="F1068">
        <v>28938.639999999999</v>
      </c>
      <c r="G1068">
        <v>28920.98</v>
      </c>
      <c r="H1068">
        <v>29023.88</v>
      </c>
      <c r="I1068">
        <v>29071.21</v>
      </c>
      <c r="J1068">
        <v>28939.08</v>
      </c>
      <c r="K1068">
        <v>28940.959999999999</v>
      </c>
      <c r="L1068">
        <v>29065.94</v>
      </c>
      <c r="M1068" s="27">
        <f t="shared" ref="M1068" si="437">IF((L1069=""),"",MAX(D1070:L1070))</f>
        <v>11661.510000000006</v>
      </c>
      <c r="N1068" s="27">
        <f t="shared" ref="N1068" si="438">IF(L1069="","",MIN(D1070:L1070))</f>
        <v>10756.5</v>
      </c>
      <c r="O1068" s="27">
        <f t="shared" ref="O1068" si="439">IF((L1070=""),"",AVERAGE(D1070:L1070))</f>
        <v>11263.73</v>
      </c>
      <c r="P1068" s="27">
        <f t="shared" ref="P1068" si="440">IF((L1069=""),"",STDEV(D1070:L1070))</f>
        <v>297.6808944994844</v>
      </c>
      <c r="Q1068" s="168">
        <f>IF((L1069=""),"",((M1068-N1068)/(M1068+P1068))*100)</f>
        <v>7.5674851917971795</v>
      </c>
      <c r="R1068" s="28" t="str">
        <f t="shared" ref="R1068" si="441">IF(L1069="","",IF(Q1068&lt;Z1068,IF(N1068&gt;V1068,IF(M1068&lt;W1068,"Pass","Fail"),"Fail"),"Fail"))</f>
        <v>Pass</v>
      </c>
      <c r="S1068" s="29" t="s">
        <v>212</v>
      </c>
      <c r="T1068" s="49" t="s">
        <v>511</v>
      </c>
      <c r="V1068" s="53">
        <v>10000</v>
      </c>
      <c r="W1068" s="22">
        <v>15600</v>
      </c>
      <c r="X1068" s="40">
        <v>8090</v>
      </c>
      <c r="Y1068" s="40">
        <v>12070</v>
      </c>
      <c r="Z1068" s="49">
        <v>15</v>
      </c>
      <c r="AA1068" s="49">
        <v>6</v>
      </c>
    </row>
    <row r="1069" spans="1:27" ht="15.75">
      <c r="A1069" s="96"/>
      <c r="B1069" s="96"/>
      <c r="C1069" s="30" t="s">
        <v>128</v>
      </c>
      <c r="D1069">
        <v>25202.78</v>
      </c>
      <c r="E1069">
        <v>25123.88</v>
      </c>
      <c r="F1069">
        <v>25240.95</v>
      </c>
      <c r="G1069">
        <v>25232.09</v>
      </c>
      <c r="H1069">
        <v>25438.38</v>
      </c>
      <c r="I1069">
        <v>25384</v>
      </c>
      <c r="J1069">
        <v>25192.44</v>
      </c>
      <c r="K1069">
        <v>25139.06</v>
      </c>
      <c r="L1069">
        <v>25198.91</v>
      </c>
      <c r="M1069" s="31"/>
      <c r="N1069" s="31"/>
      <c r="O1069" s="31"/>
      <c r="P1069" s="31"/>
      <c r="Q1069" s="31"/>
      <c r="R1069" s="32"/>
      <c r="S1069" s="33"/>
      <c r="Z1069" s="46"/>
      <c r="AA1069" s="46"/>
    </row>
    <row r="1070" spans="1:27" ht="13.5" thickBot="1">
      <c r="A1070" s="98"/>
      <c r="B1070" s="98"/>
      <c r="C1070" s="34" t="s">
        <v>129</v>
      </c>
      <c r="D1070" s="35">
        <f t="shared" ref="D1070:L1070" si="442">IF(((D1068="")*AND(D1069="")),"",(D1068-D1069)*3)</f>
        <v>11661.510000000006</v>
      </c>
      <c r="E1070" s="35">
        <f t="shared" si="442"/>
        <v>11487.48</v>
      </c>
      <c r="F1070" s="35">
        <f t="shared" si="442"/>
        <v>11093.069999999996</v>
      </c>
      <c r="G1070" s="35">
        <f t="shared" si="442"/>
        <v>11066.669999999998</v>
      </c>
      <c r="H1070" s="35">
        <f t="shared" si="442"/>
        <v>10756.5</v>
      </c>
      <c r="I1070" s="35">
        <f t="shared" si="442"/>
        <v>11061.629999999997</v>
      </c>
      <c r="J1070" s="35">
        <f t="shared" si="442"/>
        <v>11239.920000000009</v>
      </c>
      <c r="K1070" s="35">
        <f t="shared" si="442"/>
        <v>11405.699999999993</v>
      </c>
      <c r="L1070" s="35">
        <f t="shared" si="442"/>
        <v>11601.089999999997</v>
      </c>
      <c r="M1070" s="36"/>
      <c r="N1070" s="36"/>
      <c r="O1070" s="36"/>
      <c r="P1070" s="36"/>
      <c r="Q1070" s="36"/>
      <c r="R1070" s="37"/>
      <c r="S1070" s="38"/>
      <c r="Z1070" s="46"/>
      <c r="AA1070" s="46"/>
    </row>
    <row r="1071" spans="1:27" ht="15.75">
      <c r="A1071" s="39">
        <v>44013</v>
      </c>
      <c r="B1071" s="115" t="s">
        <v>429</v>
      </c>
      <c r="C1071" s="26" t="s">
        <v>126</v>
      </c>
      <c r="D1071">
        <v>29250</v>
      </c>
      <c r="E1071">
        <v>29039</v>
      </c>
      <c r="F1071">
        <v>29050</v>
      </c>
      <c r="G1071">
        <v>29022</v>
      </c>
      <c r="H1071">
        <v>29211</v>
      </c>
      <c r="I1071">
        <v>29223</v>
      </c>
      <c r="J1071">
        <v>29030</v>
      </c>
      <c r="K1071">
        <v>29042</v>
      </c>
      <c r="L1071">
        <v>29238</v>
      </c>
      <c r="M1071" s="27">
        <f t="shared" ref="M1071" si="443">IF((L1072=""),"",MAX(D1073:L1073))</f>
        <v>11856</v>
      </c>
      <c r="N1071" s="27">
        <f t="shared" ref="N1071" si="444">IF(L1072="","",MIN(D1073:L1073))</f>
        <v>10914</v>
      </c>
      <c r="O1071" s="27">
        <f t="shared" ref="O1071" si="445">IF((L1073=""),"",AVERAGE(D1073:L1073))</f>
        <v>11479</v>
      </c>
      <c r="P1071" s="27">
        <f t="shared" ref="P1071" si="446">IF((L1072=""),"",STDEV(D1073:L1073))</f>
        <v>308.23448866082458</v>
      </c>
      <c r="Q1071" s="168">
        <f>IF((L1072=""),"",((M1071-N1071)/(M1071+P1071))*100)</f>
        <v>7.7440138208294762</v>
      </c>
      <c r="R1071" s="28" t="str">
        <f t="shared" ref="R1071" si="447">IF(L1072="","",IF(Q1071&lt;Z1071,IF(N1071&gt;V1071,IF(M1071&lt;W1071,"Pass","Fail"),"Fail"),"Fail"))</f>
        <v>Pass</v>
      </c>
      <c r="S1071" s="29">
        <v>1159</v>
      </c>
      <c r="T1071" s="49" t="s">
        <v>513</v>
      </c>
      <c r="V1071" s="53">
        <v>10000</v>
      </c>
      <c r="W1071" s="22">
        <v>15600</v>
      </c>
      <c r="X1071" s="40">
        <v>8090</v>
      </c>
      <c r="Y1071" s="40">
        <v>12070</v>
      </c>
      <c r="Z1071" s="49">
        <v>15</v>
      </c>
      <c r="AA1071" s="49">
        <v>6</v>
      </c>
    </row>
    <row r="1072" spans="1:27" ht="15.75">
      <c r="A1072" s="96"/>
      <c r="B1072" s="96"/>
      <c r="C1072" s="30" t="s">
        <v>128</v>
      </c>
      <c r="D1072">
        <v>25302</v>
      </c>
      <c r="E1072">
        <v>25145</v>
      </c>
      <c r="F1072">
        <v>25278</v>
      </c>
      <c r="G1072">
        <v>25251</v>
      </c>
      <c r="H1072">
        <v>25573</v>
      </c>
      <c r="I1072">
        <v>25463</v>
      </c>
      <c r="J1072">
        <v>25212</v>
      </c>
      <c r="K1072">
        <v>25158</v>
      </c>
      <c r="L1072">
        <v>25286</v>
      </c>
      <c r="M1072" s="31"/>
      <c r="N1072" s="31"/>
      <c r="O1072" s="31"/>
      <c r="P1072" s="31"/>
      <c r="Q1072" s="31"/>
      <c r="R1072" s="32"/>
      <c r="S1072" s="33"/>
      <c r="Z1072" s="46"/>
      <c r="AA1072" s="46"/>
    </row>
    <row r="1073" spans="1:27" ht="13.5" thickBot="1">
      <c r="A1073" s="98"/>
      <c r="B1073" s="98"/>
      <c r="C1073" s="34" t="s">
        <v>129</v>
      </c>
      <c r="D1073" s="35">
        <f t="shared" ref="D1073:L1073" si="448">IF(((D1071="")*AND(D1072="")),"",(D1071-D1072)*3)</f>
        <v>11844</v>
      </c>
      <c r="E1073" s="35">
        <f t="shared" si="448"/>
        <v>11682</v>
      </c>
      <c r="F1073" s="35">
        <f t="shared" si="448"/>
        <v>11316</v>
      </c>
      <c r="G1073" s="35">
        <f t="shared" si="448"/>
        <v>11313</v>
      </c>
      <c r="H1073" s="35">
        <f t="shared" si="448"/>
        <v>10914</v>
      </c>
      <c r="I1073" s="35">
        <f t="shared" si="448"/>
        <v>11280</v>
      </c>
      <c r="J1073" s="35">
        <f t="shared" si="448"/>
        <v>11454</v>
      </c>
      <c r="K1073" s="35">
        <f t="shared" si="448"/>
        <v>11652</v>
      </c>
      <c r="L1073" s="35">
        <f t="shared" si="448"/>
        <v>11856</v>
      </c>
      <c r="M1073" s="36"/>
      <c r="N1073" s="36"/>
      <c r="O1073" s="36"/>
      <c r="P1073" s="36"/>
      <c r="Q1073" s="36"/>
      <c r="R1073" s="37"/>
      <c r="S1073" s="38"/>
      <c r="Z1073" s="46"/>
      <c r="AA1073" s="46"/>
    </row>
    <row r="1074" spans="1:27" ht="15.75">
      <c r="A1074" s="39">
        <v>44017</v>
      </c>
      <c r="B1074" s="115" t="s">
        <v>429</v>
      </c>
      <c r="C1074" s="26" t="s">
        <v>126</v>
      </c>
      <c r="D1074">
        <v>29214.27</v>
      </c>
      <c r="E1074">
        <v>29072.240000000002</v>
      </c>
      <c r="F1074">
        <v>29072.2</v>
      </c>
      <c r="G1074">
        <v>29091.13</v>
      </c>
      <c r="H1074">
        <v>29214.54</v>
      </c>
      <c r="I1074">
        <v>29140.799999999999</v>
      </c>
      <c r="J1074">
        <v>29061.18</v>
      </c>
      <c r="K1074">
        <v>29102.17</v>
      </c>
      <c r="L1074">
        <v>29232.19</v>
      </c>
      <c r="M1074" s="27">
        <f t="shared" ref="M1074" si="449">IF((L1075=""),"",MAX(D1076:L1076))</f>
        <v>12260.910000000003</v>
      </c>
      <c r="N1074" s="27">
        <f t="shared" ref="N1074" si="450">IF(L1075="","",MIN(D1076:L1076))</f>
        <v>11246.25</v>
      </c>
      <c r="O1074" s="27">
        <f t="shared" ref="O1074" si="451">IF((L1076=""),"",AVERAGE(D1076:L1076))</f>
        <v>11817.250000000004</v>
      </c>
      <c r="P1074" s="27">
        <f t="shared" ref="P1074" si="452">IF((L1075=""),"",STDEV(D1076:L1076))</f>
        <v>278.79974869954884</v>
      </c>
      <c r="Q1074" s="168">
        <f>IF((L1075=""),"",((M1074-N1074)/(M1074+P1074))*100)</f>
        <v>8.0915748476971743</v>
      </c>
      <c r="R1074" s="28" t="str">
        <f t="shared" ref="R1074" si="453">IF(L1075="","",IF(Q1074&lt;Z1074,IF(N1074&gt;V1074,IF(M1074&lt;W1074,"Pass","Fail"),"Fail"),"Fail"))</f>
        <v>Pass</v>
      </c>
      <c r="S1074" s="29">
        <v>1159</v>
      </c>
      <c r="T1074" s="49" t="s">
        <v>515</v>
      </c>
      <c r="V1074" s="53">
        <v>10000</v>
      </c>
      <c r="W1074" s="22">
        <v>15600</v>
      </c>
      <c r="X1074" s="40">
        <v>8090</v>
      </c>
      <c r="Y1074" s="40">
        <v>12070</v>
      </c>
      <c r="Z1074" s="49">
        <v>15</v>
      </c>
      <c r="AA1074" s="49">
        <v>6</v>
      </c>
    </row>
    <row r="1075" spans="1:27" ht="15.75">
      <c r="A1075" s="96"/>
      <c r="B1075" s="96"/>
      <c r="C1075" s="30" t="s">
        <v>128</v>
      </c>
      <c r="D1075">
        <v>25465.52</v>
      </c>
      <c r="E1075">
        <v>25190.89</v>
      </c>
      <c r="F1075">
        <v>25146.79</v>
      </c>
      <c r="G1075">
        <v>25068.75</v>
      </c>
      <c r="H1075">
        <v>25127.57</v>
      </c>
      <c r="I1075">
        <v>25192.59</v>
      </c>
      <c r="J1075">
        <v>25115.119999999999</v>
      </c>
      <c r="K1075">
        <v>25143.599999999999</v>
      </c>
      <c r="L1075">
        <v>25298.14</v>
      </c>
      <c r="M1075" s="31"/>
      <c r="N1075" s="31"/>
      <c r="O1075" s="31"/>
      <c r="P1075" s="31"/>
      <c r="Q1075" s="31"/>
      <c r="R1075" s="32"/>
      <c r="S1075" s="33"/>
      <c r="Z1075" s="46"/>
      <c r="AA1075" s="46"/>
    </row>
    <row r="1076" spans="1:27" ht="13.5" thickBot="1">
      <c r="A1076" s="98"/>
      <c r="B1076" s="98"/>
      <c r="C1076" s="34" t="s">
        <v>129</v>
      </c>
      <c r="D1076" s="35">
        <f t="shared" ref="D1076:L1076" si="454">IF(((D1074="")*AND(D1075="")),"",(D1074-D1075)*3)</f>
        <v>11246.25</v>
      </c>
      <c r="E1076" s="35">
        <f t="shared" si="454"/>
        <v>11644.050000000007</v>
      </c>
      <c r="F1076" s="35">
        <f t="shared" si="454"/>
        <v>11776.23</v>
      </c>
      <c r="G1076" s="35">
        <f t="shared" si="454"/>
        <v>12067.140000000003</v>
      </c>
      <c r="H1076" s="35">
        <f t="shared" si="454"/>
        <v>12260.910000000003</v>
      </c>
      <c r="I1076" s="35">
        <f t="shared" si="454"/>
        <v>11844.629999999997</v>
      </c>
      <c r="J1076" s="35">
        <f t="shared" si="454"/>
        <v>11838.180000000004</v>
      </c>
      <c r="K1076" s="35">
        <f t="shared" si="454"/>
        <v>11875.71</v>
      </c>
      <c r="L1076" s="35">
        <f t="shared" si="454"/>
        <v>11802.149999999998</v>
      </c>
      <c r="M1076" s="36"/>
      <c r="N1076" s="36"/>
      <c r="O1076" s="36"/>
      <c r="P1076" s="36"/>
      <c r="Q1076" s="36"/>
      <c r="R1076" s="37"/>
      <c r="S1076" s="38"/>
      <c r="Z1076" s="46"/>
      <c r="AA1076" s="46"/>
    </row>
    <row r="1077" spans="1:27" ht="15.75">
      <c r="A1077" s="39">
        <v>44021</v>
      </c>
      <c r="B1077" s="115" t="s">
        <v>429</v>
      </c>
      <c r="C1077" s="26" t="s">
        <v>126</v>
      </c>
      <c r="D1077">
        <v>29149.85</v>
      </c>
      <c r="E1077">
        <v>29016.15</v>
      </c>
      <c r="F1077">
        <v>29029.18</v>
      </c>
      <c r="G1077">
        <v>29025.05</v>
      </c>
      <c r="H1077">
        <v>29131.79</v>
      </c>
      <c r="I1077">
        <v>29128.58</v>
      </c>
      <c r="J1077">
        <v>29011.4</v>
      </c>
      <c r="K1077">
        <v>29006.93</v>
      </c>
      <c r="L1077">
        <v>29123.94</v>
      </c>
      <c r="M1077" s="27">
        <f t="shared" ref="M1077" si="455">IF((L1078=""),"",MAX(D1079:L1079))</f>
        <v>12002.79</v>
      </c>
      <c r="N1077" s="27">
        <f t="shared" ref="N1077" si="456">IF(L1078="","",MIN(D1079:L1079))</f>
        <v>11130.599999999991</v>
      </c>
      <c r="O1077" s="27">
        <f t="shared" ref="O1077" si="457">IF((L1079=""),"",AVERAGE(D1079:L1079))</f>
        <v>11569.626666666667</v>
      </c>
      <c r="P1077" s="27">
        <f t="shared" ref="P1077" si="458">IF((L1078=""),"",STDEV(D1079:L1079))</f>
        <v>267.2307476694599</v>
      </c>
      <c r="Q1077" s="168">
        <f>IF((L1078=""),"",((M1077-N1077)/(M1077+P1077))*100)</f>
        <v>7.1083009388201015</v>
      </c>
      <c r="R1077" s="28" t="str">
        <f t="shared" ref="R1077" si="459">IF(L1078="","",IF(Q1077&lt;Z1077,IF(N1077&gt;V1077,IF(M1077&lt;W1077,"Pass","Fail"),"Fail"),"Fail"))</f>
        <v>Pass</v>
      </c>
      <c r="S1077" s="29">
        <v>1340</v>
      </c>
      <c r="T1077" s="49" t="s">
        <v>517</v>
      </c>
      <c r="V1077" s="53">
        <v>10000</v>
      </c>
      <c r="W1077" s="22">
        <v>15600</v>
      </c>
      <c r="X1077" s="40">
        <v>8090</v>
      </c>
      <c r="Y1077" s="40">
        <v>12070</v>
      </c>
      <c r="Z1077" s="49">
        <v>15</v>
      </c>
      <c r="AA1077" s="49">
        <v>6</v>
      </c>
    </row>
    <row r="1078" spans="1:27" ht="15.75">
      <c r="A1078" s="96"/>
      <c r="B1078" s="96"/>
      <c r="C1078" s="30" t="s">
        <v>128</v>
      </c>
      <c r="D1078">
        <v>25439.65</v>
      </c>
      <c r="E1078">
        <v>25208.400000000001</v>
      </c>
      <c r="F1078">
        <v>25226.7</v>
      </c>
      <c r="G1078">
        <v>25103.58</v>
      </c>
      <c r="H1078">
        <v>25130.86</v>
      </c>
      <c r="I1078">
        <v>25194.32</v>
      </c>
      <c r="J1078">
        <v>25116.98</v>
      </c>
      <c r="K1078">
        <v>25162.23</v>
      </c>
      <c r="L1078">
        <v>25331.27</v>
      </c>
      <c r="M1078" s="31"/>
      <c r="N1078" s="31"/>
      <c r="O1078" s="31"/>
      <c r="P1078" s="31"/>
      <c r="Q1078" s="31"/>
      <c r="R1078" s="32"/>
      <c r="S1078" s="33"/>
      <c r="Z1078" s="46"/>
      <c r="AA1078" s="46"/>
    </row>
    <row r="1079" spans="1:27" ht="13.5" thickBot="1">
      <c r="A1079" s="98"/>
      <c r="B1079" s="98"/>
      <c r="C1079" s="34" t="s">
        <v>129</v>
      </c>
      <c r="D1079" s="35">
        <f t="shared" ref="D1079:L1079" si="460">IF(((D1077="")*AND(D1078="")),"",(D1077-D1078)*3)</f>
        <v>11130.599999999991</v>
      </c>
      <c r="E1079" s="35">
        <f t="shared" si="460"/>
        <v>11423.25</v>
      </c>
      <c r="F1079" s="35">
        <f t="shared" si="460"/>
        <v>11407.439999999999</v>
      </c>
      <c r="G1079" s="35">
        <f t="shared" si="460"/>
        <v>11764.409999999993</v>
      </c>
      <c r="H1079" s="35">
        <f t="shared" si="460"/>
        <v>12002.79</v>
      </c>
      <c r="I1079" s="35">
        <f t="shared" si="460"/>
        <v>11802.780000000006</v>
      </c>
      <c r="J1079" s="35">
        <f t="shared" si="460"/>
        <v>11683.260000000006</v>
      </c>
      <c r="K1079" s="35">
        <f t="shared" si="460"/>
        <v>11534.100000000002</v>
      </c>
      <c r="L1079" s="35">
        <f t="shared" si="460"/>
        <v>11378.009999999995</v>
      </c>
      <c r="M1079" s="36"/>
      <c r="N1079" s="36"/>
      <c r="O1079" s="36"/>
      <c r="P1079" s="36"/>
      <c r="Q1079" s="36"/>
      <c r="R1079" s="37"/>
      <c r="S1079" s="38"/>
      <c r="Z1079" s="46"/>
      <c r="AA1079" s="46"/>
    </row>
    <row r="1080" spans="1:27" ht="15.75">
      <c r="A1080" s="39">
        <v>44025</v>
      </c>
      <c r="B1080" s="115" t="s">
        <v>429</v>
      </c>
      <c r="C1080" s="26" t="s">
        <v>126</v>
      </c>
      <c r="D1080">
        <v>29123.24</v>
      </c>
      <c r="E1080">
        <v>29000.92</v>
      </c>
      <c r="F1080">
        <v>28982.6</v>
      </c>
      <c r="G1080">
        <v>29016.34</v>
      </c>
      <c r="H1080">
        <v>29129.16</v>
      </c>
      <c r="I1080">
        <v>29090.97</v>
      </c>
      <c r="J1080">
        <v>28993.57</v>
      </c>
      <c r="K1080">
        <v>29013.040000000001</v>
      </c>
      <c r="L1080">
        <v>29162.6</v>
      </c>
      <c r="M1080" s="27">
        <f t="shared" ref="M1080" si="461">IF((L1081=""),"",MAX(D1082:L1082))</f>
        <v>11883.149999999998</v>
      </c>
      <c r="N1080" s="27">
        <f t="shared" ref="N1080" si="462">IF(L1081="","",MIN(D1082:L1082))</f>
        <v>10930.98</v>
      </c>
      <c r="O1080" s="27">
        <f t="shared" ref="O1080" si="463">IF((L1082=""),"",AVERAGE(D1082:L1082))</f>
        <v>11493.223333333335</v>
      </c>
      <c r="P1080" s="27">
        <f t="shared" ref="P1080" si="464">IF((L1081=""),"",STDEV(D1082:L1082))</f>
        <v>274.90826733656525</v>
      </c>
      <c r="Q1080" s="168">
        <f>IF((L1081=""),"",((M1080-N1080)/(M1080+P1080))*100)</f>
        <v>7.8315959593487614</v>
      </c>
      <c r="R1080" s="28" t="str">
        <f t="shared" ref="R1080" si="465">IF(L1081="","",IF(Q1080&lt;Z1080,IF(N1080&gt;V1080,IF(M1080&lt;W1080,"Pass","Fail"),"Fail"),"Fail"))</f>
        <v>Pass</v>
      </c>
      <c r="S1080" s="29">
        <v>1340</v>
      </c>
      <c r="T1080" s="49" t="s">
        <v>519</v>
      </c>
      <c r="V1080" s="53">
        <v>10000</v>
      </c>
      <c r="W1080" s="22">
        <v>15600</v>
      </c>
      <c r="X1080" s="40">
        <v>8090</v>
      </c>
      <c r="Y1080" s="40">
        <v>12070</v>
      </c>
      <c r="Z1080" s="49">
        <v>15</v>
      </c>
      <c r="AA1080" s="49">
        <v>6</v>
      </c>
    </row>
    <row r="1081" spans="1:27" ht="15.75">
      <c r="A1081" s="96"/>
      <c r="B1081" s="96"/>
      <c r="C1081" s="30" t="s">
        <v>128</v>
      </c>
      <c r="D1081">
        <v>25479.58</v>
      </c>
      <c r="E1081">
        <v>25206.6</v>
      </c>
      <c r="F1081">
        <v>25190.53</v>
      </c>
      <c r="G1081">
        <v>25099.89</v>
      </c>
      <c r="H1081">
        <v>25168.11</v>
      </c>
      <c r="I1081">
        <v>25213.38</v>
      </c>
      <c r="J1081">
        <v>25133.71</v>
      </c>
      <c r="K1081">
        <v>25167.17</v>
      </c>
      <c r="L1081">
        <v>25373.8</v>
      </c>
      <c r="M1081" s="31"/>
      <c r="N1081" s="31"/>
      <c r="O1081" s="31"/>
      <c r="P1081" s="31"/>
      <c r="Q1081" s="31"/>
      <c r="R1081" s="32"/>
      <c r="S1081" s="33"/>
      <c r="Z1081" s="46"/>
      <c r="AA1081" s="46"/>
    </row>
    <row r="1082" spans="1:27" ht="13.5" thickBot="1">
      <c r="A1082" s="98"/>
      <c r="B1082" s="98"/>
      <c r="C1082" s="34" t="s">
        <v>129</v>
      </c>
      <c r="D1082" s="35">
        <f t="shared" ref="D1082:L1082" si="466">IF(((D1080="")*AND(D1081="")),"",(D1080-D1081)*3)</f>
        <v>10930.98</v>
      </c>
      <c r="E1082" s="35">
        <f t="shared" si="466"/>
        <v>11382.96</v>
      </c>
      <c r="F1082" s="35">
        <f t="shared" si="466"/>
        <v>11376.21</v>
      </c>
      <c r="G1082" s="35">
        <f t="shared" si="466"/>
        <v>11749.350000000002</v>
      </c>
      <c r="H1082" s="35">
        <f t="shared" si="466"/>
        <v>11883.149999999998</v>
      </c>
      <c r="I1082" s="35">
        <f t="shared" si="466"/>
        <v>11632.77</v>
      </c>
      <c r="J1082" s="35">
        <f t="shared" si="466"/>
        <v>11579.580000000002</v>
      </c>
      <c r="K1082" s="35">
        <f t="shared" si="466"/>
        <v>11537.610000000008</v>
      </c>
      <c r="L1082" s="35">
        <f t="shared" si="466"/>
        <v>11366.399999999998</v>
      </c>
      <c r="M1082" s="36"/>
      <c r="N1082" s="36"/>
      <c r="O1082" s="36"/>
      <c r="P1082" s="36"/>
      <c r="Q1082" s="36"/>
      <c r="R1082" s="37"/>
      <c r="S1082" s="38"/>
      <c r="Z1082" s="46"/>
      <c r="AA1082" s="46"/>
    </row>
    <row r="1083" spans="1:27" ht="15.75">
      <c r="A1083" s="39">
        <v>44029</v>
      </c>
      <c r="B1083" s="115" t="s">
        <v>429</v>
      </c>
      <c r="C1083" s="26" t="s">
        <v>126</v>
      </c>
      <c r="D1083">
        <v>29142.12</v>
      </c>
      <c r="E1083">
        <v>29028.53</v>
      </c>
      <c r="F1083">
        <v>29042.02</v>
      </c>
      <c r="G1083">
        <v>29043.83</v>
      </c>
      <c r="H1083">
        <v>29170.51</v>
      </c>
      <c r="I1083">
        <v>29181.54</v>
      </c>
      <c r="J1083">
        <v>29030.1</v>
      </c>
      <c r="K1083">
        <v>29028.19</v>
      </c>
      <c r="L1083">
        <v>29142.71</v>
      </c>
      <c r="M1083" s="27">
        <f t="shared" ref="M1083" si="467">IF((L1084=""),"",MAX(D1085:L1085))</f>
        <v>12043.379999999997</v>
      </c>
      <c r="N1083" s="27">
        <f t="shared" ref="N1083" si="468">IF(L1084="","",MIN(D1085:L1085))</f>
        <v>11031.48</v>
      </c>
      <c r="O1083" s="27">
        <f t="shared" ref="O1083" si="469">IF((L1085=""),"",AVERAGE(D1085:L1085))</f>
        <v>11624.446666666669</v>
      </c>
      <c r="P1083" s="27">
        <f t="shared" ref="P1083" si="470">IF((L1084=""),"",STDEV(D1085:L1085))</f>
        <v>333.80967380375068</v>
      </c>
      <c r="Q1083" s="168">
        <f>IF((L1084=""),"",((M1083-N1083)/(M1083+P1083))*100)</f>
        <v>8.1755230926264169</v>
      </c>
      <c r="R1083" s="28" t="str">
        <f t="shared" ref="R1083" si="471">IF(L1084="","",IF(Q1083&lt;Z1083,IF(N1083&gt;V1083,IF(M1083&lt;W1083,"Pass","Fail"),"Fail"),"Fail"))</f>
        <v>Pass</v>
      </c>
      <c r="S1083" s="29">
        <v>1340</v>
      </c>
      <c r="T1083" s="49" t="s">
        <v>521</v>
      </c>
      <c r="V1083" s="53">
        <v>10000</v>
      </c>
      <c r="W1083" s="22">
        <v>15600</v>
      </c>
      <c r="X1083" s="40">
        <v>8090</v>
      </c>
      <c r="Y1083" s="40">
        <v>12070</v>
      </c>
      <c r="Z1083" s="49">
        <v>15</v>
      </c>
      <c r="AA1083" s="49">
        <v>6</v>
      </c>
    </row>
    <row r="1084" spans="1:27" ht="15.75">
      <c r="A1084" s="96"/>
      <c r="B1084" s="96"/>
      <c r="C1084" s="30" t="s">
        <v>128</v>
      </c>
      <c r="D1084">
        <v>25127.66</v>
      </c>
      <c r="E1084">
        <v>25083.91</v>
      </c>
      <c r="F1084">
        <v>25208.87</v>
      </c>
      <c r="G1084">
        <v>25203.26</v>
      </c>
      <c r="H1084">
        <v>25493.35</v>
      </c>
      <c r="I1084">
        <v>25422.23</v>
      </c>
      <c r="J1084">
        <v>25166.37</v>
      </c>
      <c r="K1084">
        <v>25080.92</v>
      </c>
      <c r="L1084">
        <v>25149.64</v>
      </c>
      <c r="M1084" s="31"/>
      <c r="N1084" s="31"/>
      <c r="O1084" s="31"/>
      <c r="P1084" s="31"/>
      <c r="Q1084" s="31"/>
      <c r="R1084" s="32"/>
      <c r="S1084" s="33"/>
      <c r="Z1084" s="46"/>
      <c r="AA1084" s="46"/>
    </row>
    <row r="1085" spans="1:27" ht="13.5" thickBot="1">
      <c r="A1085" s="98"/>
      <c r="B1085" s="98"/>
      <c r="C1085" s="34" t="s">
        <v>129</v>
      </c>
      <c r="D1085" s="35">
        <f t="shared" ref="D1085:L1085" si="472">IF(((D1083="")*AND(D1084="")),"",(D1083-D1084)*3)</f>
        <v>12043.379999999997</v>
      </c>
      <c r="E1085" s="35">
        <f t="shared" si="472"/>
        <v>11833.859999999997</v>
      </c>
      <c r="F1085" s="35">
        <f t="shared" si="472"/>
        <v>11499.450000000004</v>
      </c>
      <c r="G1085" s="35">
        <f t="shared" si="472"/>
        <v>11521.71000000001</v>
      </c>
      <c r="H1085" s="35">
        <f t="shared" si="472"/>
        <v>11031.48</v>
      </c>
      <c r="I1085" s="35">
        <f t="shared" si="472"/>
        <v>11277.930000000004</v>
      </c>
      <c r="J1085" s="35">
        <f t="shared" si="472"/>
        <v>11591.189999999999</v>
      </c>
      <c r="K1085" s="35">
        <f t="shared" si="472"/>
        <v>11841.810000000001</v>
      </c>
      <c r="L1085" s="35">
        <f t="shared" si="472"/>
        <v>11979.21</v>
      </c>
      <c r="M1085" s="36"/>
      <c r="N1085" s="36"/>
      <c r="O1085" s="36"/>
      <c r="P1085" s="36"/>
      <c r="Q1085" s="36"/>
      <c r="R1085" s="37"/>
      <c r="S1085" s="38"/>
      <c r="Z1085" s="46"/>
      <c r="AA1085" s="46"/>
    </row>
    <row r="1086" spans="1:27" ht="15.75">
      <c r="A1086" s="39">
        <v>44033</v>
      </c>
      <c r="B1086" s="115" t="s">
        <v>429</v>
      </c>
      <c r="C1086" s="26" t="s">
        <v>126</v>
      </c>
      <c r="D1086">
        <v>29244.21</v>
      </c>
      <c r="E1086">
        <v>29127.88</v>
      </c>
      <c r="F1086">
        <v>29149.71</v>
      </c>
      <c r="G1086">
        <v>29136.240000000002</v>
      </c>
      <c r="H1086">
        <v>29243.53</v>
      </c>
      <c r="I1086">
        <v>29276.99</v>
      </c>
      <c r="J1086">
        <v>29134.02</v>
      </c>
      <c r="K1086">
        <v>29114.720000000001</v>
      </c>
      <c r="L1086">
        <v>29219.49</v>
      </c>
      <c r="M1086" s="27">
        <f t="shared" ref="M1086" si="473">IF((L1087=""),"",MAX(D1088:L1088))</f>
        <v>13324.739999999994</v>
      </c>
      <c r="N1086" s="27">
        <f t="shared" ref="N1086" si="474">IF(L1087="","",MIN(D1088:L1088))</f>
        <v>12017.819999999996</v>
      </c>
      <c r="O1086" s="27">
        <f t="shared" ref="O1086" si="475">IF((L1088=""),"",AVERAGE(D1088:L1088))</f>
        <v>12739.700000000003</v>
      </c>
      <c r="P1086" s="27">
        <f t="shared" ref="P1086" si="476">IF((L1087=""),"",STDEV(D1088:L1088))</f>
        <v>367.8427077569408</v>
      </c>
      <c r="Q1086" s="168">
        <f>IF((L1087=""),"",((M1086-N1086)/(M1086+P1086))*100)</f>
        <v>9.5447296386212042</v>
      </c>
      <c r="R1086" s="28" t="str">
        <f t="shared" ref="R1086" si="477">IF(L1087="","",IF(Q1086&lt;Z1086,IF(N1086&gt;V1086,IF(M1086&lt;W1086,"Pass","Fail"),"Fail"),"Fail"))</f>
        <v>Pass</v>
      </c>
      <c r="S1086" s="29">
        <v>1159</v>
      </c>
      <c r="T1086" s="49" t="s">
        <v>522</v>
      </c>
      <c r="V1086" s="53">
        <v>10000</v>
      </c>
      <c r="W1086" s="22">
        <v>15600</v>
      </c>
      <c r="X1086" s="40">
        <v>8090</v>
      </c>
      <c r="Y1086" s="40">
        <v>12070</v>
      </c>
      <c r="Z1086" s="49">
        <v>15</v>
      </c>
      <c r="AA1086" s="49">
        <v>6</v>
      </c>
    </row>
    <row r="1087" spans="1:27" ht="15.75">
      <c r="A1087" s="96"/>
      <c r="B1087" s="96"/>
      <c r="C1087" s="30" t="s">
        <v>128</v>
      </c>
      <c r="D1087">
        <v>25238.27</v>
      </c>
      <c r="E1087">
        <v>24927.82</v>
      </c>
      <c r="F1087">
        <v>24891.4</v>
      </c>
      <c r="G1087">
        <v>24774.49</v>
      </c>
      <c r="H1087">
        <v>24801.95</v>
      </c>
      <c r="I1087">
        <v>25047.87</v>
      </c>
      <c r="J1087">
        <v>24848.34</v>
      </c>
      <c r="K1087">
        <v>24844.69</v>
      </c>
      <c r="L1087">
        <v>25052.86</v>
      </c>
      <c r="M1087" s="31"/>
      <c r="N1087" s="31"/>
      <c r="O1087" s="31"/>
      <c r="P1087" s="31"/>
      <c r="Q1087" s="31"/>
      <c r="R1087" s="32"/>
      <c r="S1087" s="33"/>
      <c r="Z1087" s="46"/>
      <c r="AA1087" s="46"/>
    </row>
    <row r="1088" spans="1:27" ht="13.5" thickBot="1">
      <c r="A1088" s="98"/>
      <c r="B1088" s="98"/>
      <c r="C1088" s="34" t="s">
        <v>129</v>
      </c>
      <c r="D1088" s="35">
        <f t="shared" ref="D1088:L1088" si="478">IF(((D1086="")*AND(D1087="")),"",(D1086-D1087)*3)</f>
        <v>12017.819999999996</v>
      </c>
      <c r="E1088" s="35">
        <f t="shared" si="478"/>
        <v>12600.180000000004</v>
      </c>
      <c r="F1088" s="35">
        <f t="shared" si="478"/>
        <v>12774.929999999993</v>
      </c>
      <c r="G1088" s="35">
        <f t="shared" si="478"/>
        <v>13085.25</v>
      </c>
      <c r="H1088" s="35">
        <f t="shared" si="478"/>
        <v>13324.739999999994</v>
      </c>
      <c r="I1088" s="35">
        <f t="shared" si="478"/>
        <v>12687.360000000008</v>
      </c>
      <c r="J1088" s="35">
        <f t="shared" si="478"/>
        <v>12857.04</v>
      </c>
      <c r="K1088" s="35">
        <f t="shared" si="478"/>
        <v>12810.090000000007</v>
      </c>
      <c r="L1088" s="35">
        <f t="shared" si="478"/>
        <v>12499.890000000003</v>
      </c>
      <c r="M1088" s="36"/>
      <c r="N1088" s="36"/>
      <c r="O1088" s="36"/>
      <c r="P1088" s="36"/>
      <c r="Q1088" s="36"/>
      <c r="R1088" s="37"/>
      <c r="S1088" s="38"/>
      <c r="Z1088" s="46"/>
      <c r="AA1088" s="46"/>
    </row>
    <row r="1089" spans="1:27" ht="15.75">
      <c r="A1089" s="39">
        <v>44038</v>
      </c>
      <c r="B1089" s="115" t="s">
        <v>429</v>
      </c>
      <c r="C1089" s="26" t="s">
        <v>126</v>
      </c>
      <c r="D1089">
        <v>29208.15</v>
      </c>
      <c r="E1089">
        <v>29086.7</v>
      </c>
      <c r="F1089">
        <v>29078.04</v>
      </c>
      <c r="G1089">
        <v>29062.87</v>
      </c>
      <c r="H1089">
        <v>29178.77</v>
      </c>
      <c r="I1089">
        <v>29184.6</v>
      </c>
      <c r="J1089">
        <v>29063.21</v>
      </c>
      <c r="K1089">
        <v>29067.8</v>
      </c>
      <c r="L1089">
        <v>29190.65</v>
      </c>
      <c r="M1089" s="27">
        <f t="shared" ref="M1089" si="479">IF((L1090=""),"",MAX(D1091:L1091))</f>
        <v>12165.75</v>
      </c>
      <c r="N1089" s="27">
        <f t="shared" ref="N1089" si="480">IF(L1090="","",MIN(D1091:L1091))</f>
        <v>11216.970000000005</v>
      </c>
      <c r="O1089" s="27">
        <f t="shared" ref="O1089" si="481">IF((L1091=""),"",AVERAGE(D1091:L1091))</f>
        <v>11817.263333333332</v>
      </c>
      <c r="P1089" s="27">
        <f t="shared" ref="P1089" si="482">IF((L1090=""),"",STDEV(D1091:L1091))</f>
        <v>295.58916527004214</v>
      </c>
      <c r="Q1089" s="168">
        <f>IF((L1090=""),"",((M1089-N1089)/(M1089+P1089))*100)</f>
        <v>7.613788433303065</v>
      </c>
      <c r="R1089" s="28" t="str">
        <f t="shared" ref="R1089" si="483">IF(L1090="","",IF(Q1089&lt;Z1089,IF(N1089&gt;V1089,IF(M1089&lt;W1089,"Pass","Fail"),"Fail"),"Fail"))</f>
        <v>Pass</v>
      </c>
      <c r="S1089" s="29">
        <v>1340</v>
      </c>
      <c r="T1089" s="49" t="s">
        <v>525</v>
      </c>
      <c r="V1089" s="53">
        <v>10000</v>
      </c>
      <c r="W1089" s="22">
        <v>15600</v>
      </c>
      <c r="X1089" s="40">
        <v>8090</v>
      </c>
      <c r="Y1089" s="40">
        <v>12070</v>
      </c>
      <c r="Z1089" s="49">
        <v>15</v>
      </c>
      <c r="AA1089" s="49">
        <v>6</v>
      </c>
    </row>
    <row r="1090" spans="1:27" ht="15.75">
      <c r="A1090" s="96"/>
      <c r="B1090" s="96"/>
      <c r="C1090" s="30" t="s">
        <v>128</v>
      </c>
      <c r="D1090">
        <v>25469.16</v>
      </c>
      <c r="E1090">
        <v>25176.99</v>
      </c>
      <c r="F1090">
        <v>25167.71</v>
      </c>
      <c r="G1090">
        <v>25044.42</v>
      </c>
      <c r="H1090">
        <v>25123.52</v>
      </c>
      <c r="I1090">
        <v>25156.58</v>
      </c>
      <c r="J1090">
        <v>25074.080000000002</v>
      </c>
      <c r="K1090">
        <v>25129.279999999999</v>
      </c>
      <c r="L1090">
        <v>25327.26</v>
      </c>
      <c r="M1090" s="31"/>
      <c r="N1090" s="31"/>
      <c r="O1090" s="31"/>
      <c r="P1090" s="31"/>
      <c r="Q1090" s="31"/>
      <c r="R1090" s="32"/>
      <c r="S1090" s="33"/>
      <c r="Z1090" s="46"/>
      <c r="AA1090" s="46"/>
    </row>
    <row r="1091" spans="1:27" ht="13.5" thickBot="1">
      <c r="A1091" s="98"/>
      <c r="B1091" s="98"/>
      <c r="C1091" s="34" t="s">
        <v>129</v>
      </c>
      <c r="D1091" s="35">
        <f t="shared" ref="D1091:L1091" si="484">IF(((D1089="")*AND(D1090="")),"",(D1089-D1090)*3)</f>
        <v>11216.970000000005</v>
      </c>
      <c r="E1091" s="35">
        <f t="shared" si="484"/>
        <v>11729.129999999997</v>
      </c>
      <c r="F1091" s="35">
        <f t="shared" si="484"/>
        <v>11730.990000000005</v>
      </c>
      <c r="G1091" s="35">
        <f t="shared" si="484"/>
        <v>12055.350000000002</v>
      </c>
      <c r="H1091" s="35">
        <f t="shared" si="484"/>
        <v>12165.75</v>
      </c>
      <c r="I1091" s="35">
        <f t="shared" si="484"/>
        <v>12084.05999999999</v>
      </c>
      <c r="J1091" s="35">
        <f t="shared" si="484"/>
        <v>11967.389999999992</v>
      </c>
      <c r="K1091" s="35">
        <f t="shared" si="484"/>
        <v>11815.560000000001</v>
      </c>
      <c r="L1091" s="35">
        <f t="shared" si="484"/>
        <v>11590.170000000009</v>
      </c>
      <c r="M1091" s="36"/>
      <c r="N1091" s="36"/>
      <c r="O1091" s="36"/>
      <c r="P1091" s="36"/>
      <c r="Q1091" s="36"/>
      <c r="R1091" s="37"/>
      <c r="S1091" s="38"/>
      <c r="Z1091" s="46"/>
      <c r="AA1091" s="46"/>
    </row>
    <row r="1092" spans="1:27" ht="15.75">
      <c r="A1092" s="39">
        <v>44043</v>
      </c>
      <c r="B1092" s="115" t="s">
        <v>429</v>
      </c>
      <c r="C1092" s="26" t="s">
        <v>126</v>
      </c>
      <c r="D1092">
        <v>28987.279999999999</v>
      </c>
      <c r="E1092">
        <v>28821.73</v>
      </c>
      <c r="F1092">
        <v>28808.22</v>
      </c>
      <c r="G1092">
        <v>28816.79</v>
      </c>
      <c r="H1092">
        <v>28928.14</v>
      </c>
      <c r="I1092">
        <v>28965.57</v>
      </c>
      <c r="J1092">
        <v>28812.25</v>
      </c>
      <c r="K1092">
        <v>28831.74</v>
      </c>
      <c r="L1092">
        <v>28959.46</v>
      </c>
      <c r="M1092" s="27">
        <f t="shared" ref="M1092" si="485">IF((L1093=""),"",MAX(D1094:L1094))</f>
        <v>10277.25</v>
      </c>
      <c r="N1092" s="27">
        <f t="shared" ref="N1092" si="486">IF(L1093="","",MIN(D1094:L1094))</f>
        <v>9026.8500000000022</v>
      </c>
      <c r="O1092" s="27">
        <f t="shared" ref="O1092" si="487">IF((L1094=""),"",AVERAGE(D1094:L1094))</f>
        <v>9846.246666666666</v>
      </c>
      <c r="P1092" s="27">
        <f t="shared" ref="P1092" si="488">IF((L1093=""),"",STDEV(D1094:L1094))</f>
        <v>397.15446371658226</v>
      </c>
      <c r="Q1092" s="168">
        <f>IF((L1093=""),"",((M1092-N1092)/(M1092+P1092))*100)</f>
        <v>11.714002446227687</v>
      </c>
      <c r="R1092" s="28" t="str">
        <f t="shared" ref="R1092" si="489">IF(L1093="","",IF(Q1092&lt;Z1092,IF(N1092&gt;V1092,IF(M1092&lt;W1092,"Pass","Fail"),"Fail"),"Fail"))</f>
        <v>Fail</v>
      </c>
      <c r="S1092" s="29">
        <v>121</v>
      </c>
      <c r="V1092" s="53">
        <v>10000</v>
      </c>
      <c r="W1092" s="22">
        <v>15600</v>
      </c>
      <c r="X1092" s="40">
        <v>8090</v>
      </c>
      <c r="Y1092" s="40">
        <v>12070</v>
      </c>
      <c r="Z1092" s="49">
        <v>15</v>
      </c>
      <c r="AA1092" s="49">
        <v>6</v>
      </c>
    </row>
    <row r="1093" spans="1:27" ht="15.75">
      <c r="A1093" s="96"/>
      <c r="B1093" s="96"/>
      <c r="C1093" s="30" t="s">
        <v>128</v>
      </c>
      <c r="D1093">
        <v>25561.53</v>
      </c>
      <c r="E1093">
        <v>25443.91</v>
      </c>
      <c r="F1093">
        <v>25547.32</v>
      </c>
      <c r="G1093">
        <v>25602.46</v>
      </c>
      <c r="H1093">
        <v>25919.19</v>
      </c>
      <c r="I1093">
        <v>25754.32</v>
      </c>
      <c r="J1093">
        <v>25551.27</v>
      </c>
      <c r="K1093">
        <v>25476.06</v>
      </c>
      <c r="L1093">
        <v>25536.38</v>
      </c>
      <c r="M1093" s="31"/>
      <c r="N1093" s="31"/>
      <c r="O1093" s="31"/>
      <c r="P1093" s="31"/>
      <c r="Q1093" s="31"/>
      <c r="R1093" s="32"/>
      <c r="S1093" s="33"/>
      <c r="Z1093" s="46"/>
      <c r="AA1093" s="46"/>
    </row>
    <row r="1094" spans="1:27" ht="13.5" thickBot="1">
      <c r="A1094" s="98"/>
      <c r="B1094" s="98"/>
      <c r="C1094" s="34" t="s">
        <v>129</v>
      </c>
      <c r="D1094" s="35">
        <f t="shared" ref="D1094:L1094" si="490">IF(((D1092="")*AND(D1093="")),"",(D1092-D1093)*3)</f>
        <v>10277.25</v>
      </c>
      <c r="E1094" s="35">
        <f t="shared" si="490"/>
        <v>10133.459999999999</v>
      </c>
      <c r="F1094" s="35">
        <f t="shared" si="490"/>
        <v>9782.7000000000044</v>
      </c>
      <c r="G1094" s="35">
        <f t="shared" si="490"/>
        <v>9642.9900000000052</v>
      </c>
      <c r="H1094" s="35">
        <f t="shared" si="490"/>
        <v>9026.8500000000022</v>
      </c>
      <c r="I1094" s="35">
        <f t="shared" si="490"/>
        <v>9633.75</v>
      </c>
      <c r="J1094" s="35">
        <f t="shared" si="490"/>
        <v>9782.9399999999987</v>
      </c>
      <c r="K1094" s="35">
        <f t="shared" si="490"/>
        <v>10067.040000000001</v>
      </c>
      <c r="L1094" s="35">
        <f t="shared" si="490"/>
        <v>10269.239999999994</v>
      </c>
      <c r="M1094" s="36"/>
      <c r="N1094" s="36"/>
      <c r="O1094" s="36"/>
      <c r="P1094" s="36"/>
      <c r="Q1094" s="36"/>
      <c r="R1094" s="37"/>
      <c r="S1094" s="38"/>
      <c r="Z1094" s="46"/>
      <c r="AA1094" s="46"/>
    </row>
    <row r="1095" spans="1:27" ht="15.75">
      <c r="A1095" s="39">
        <v>44048</v>
      </c>
      <c r="B1095" s="115" t="s">
        <v>429</v>
      </c>
      <c r="C1095" s="26" t="s">
        <v>126</v>
      </c>
      <c r="D1095">
        <v>29170</v>
      </c>
      <c r="E1095">
        <v>28963</v>
      </c>
      <c r="F1095">
        <v>28947</v>
      </c>
      <c r="G1095">
        <v>28961</v>
      </c>
      <c r="H1095">
        <v>29146</v>
      </c>
      <c r="I1095">
        <v>29134</v>
      </c>
      <c r="J1095">
        <v>28953</v>
      </c>
      <c r="K1095">
        <v>28947</v>
      </c>
      <c r="L1095">
        <v>28127</v>
      </c>
      <c r="M1095" s="27">
        <f t="shared" ref="M1095" si="491">IF((L1096=""),"",MAX(D1097:L1097))</f>
        <v>11139</v>
      </c>
      <c r="N1095" s="27">
        <f t="shared" ref="N1095" si="492">IF(L1096="","",MIN(D1097:L1097))</f>
        <v>8562</v>
      </c>
      <c r="O1095" s="27">
        <f t="shared" ref="O1095" si="493">IF((L1097=""),"",AVERAGE(D1097:L1097))</f>
        <v>10454.333333333334</v>
      </c>
      <c r="P1095" s="27">
        <f t="shared" ref="P1095" si="494">IF((L1096=""),"",STDEV(D1097:L1097))</f>
        <v>757.9851581660422</v>
      </c>
      <c r="Q1095" s="168">
        <f>IF((L1096=""),"",((M1095-N1095)/(M1095+P1095))*100)</f>
        <v>21.660949944374416</v>
      </c>
      <c r="R1095" s="28" t="str">
        <f t="shared" ref="R1095" si="495">IF(L1096="","",IF(Q1095&lt;Z1095,IF(N1095&gt;V1095,IF(M1095&lt;W1095,"Pass","Fail"),"Fail"),"Fail"))</f>
        <v>Fail</v>
      </c>
      <c r="S1095" s="29">
        <v>1519</v>
      </c>
      <c r="V1095" s="53">
        <v>10000</v>
      </c>
      <c r="W1095" s="22">
        <v>15600</v>
      </c>
      <c r="X1095" s="40">
        <v>8090</v>
      </c>
      <c r="Y1095" s="40">
        <v>12070</v>
      </c>
      <c r="Z1095" s="49">
        <v>15</v>
      </c>
      <c r="AA1095" s="49">
        <v>6</v>
      </c>
    </row>
    <row r="1096" spans="1:27" ht="15.75">
      <c r="A1096" s="96"/>
      <c r="B1096" s="96"/>
      <c r="C1096" s="30" t="s">
        <v>128</v>
      </c>
      <c r="D1096">
        <v>25615</v>
      </c>
      <c r="E1096">
        <v>25339</v>
      </c>
      <c r="F1096">
        <v>25386</v>
      </c>
      <c r="G1096">
        <v>25360</v>
      </c>
      <c r="H1096">
        <v>25630</v>
      </c>
      <c r="I1096">
        <v>25753</v>
      </c>
      <c r="J1096">
        <v>25395</v>
      </c>
      <c r="K1096">
        <v>25234</v>
      </c>
      <c r="L1096">
        <v>25273</v>
      </c>
      <c r="M1096" s="31"/>
      <c r="N1096" s="31"/>
      <c r="O1096" s="31"/>
      <c r="P1096" s="31"/>
      <c r="Q1096" s="31"/>
      <c r="R1096" s="32"/>
      <c r="S1096" s="33"/>
      <c r="Z1096" s="46"/>
      <c r="AA1096" s="46"/>
    </row>
    <row r="1097" spans="1:27" ht="13.5" thickBot="1">
      <c r="A1097" s="98"/>
      <c r="B1097" s="98"/>
      <c r="C1097" s="34" t="s">
        <v>129</v>
      </c>
      <c r="D1097" s="35">
        <f t="shared" ref="D1097:L1097" si="496">IF(((D1095="")*AND(D1096="")),"",(D1095-D1096)*3)</f>
        <v>10665</v>
      </c>
      <c r="E1097" s="35">
        <f t="shared" si="496"/>
        <v>10872</v>
      </c>
      <c r="F1097" s="35">
        <f t="shared" si="496"/>
        <v>10683</v>
      </c>
      <c r="G1097" s="35">
        <f t="shared" si="496"/>
        <v>10803</v>
      </c>
      <c r="H1097" s="35">
        <f t="shared" si="496"/>
        <v>10548</v>
      </c>
      <c r="I1097" s="35">
        <f t="shared" si="496"/>
        <v>10143</v>
      </c>
      <c r="J1097" s="35">
        <f t="shared" si="496"/>
        <v>10674</v>
      </c>
      <c r="K1097" s="35">
        <f t="shared" si="496"/>
        <v>11139</v>
      </c>
      <c r="L1097" s="35">
        <f t="shared" si="496"/>
        <v>8562</v>
      </c>
      <c r="M1097" s="36"/>
      <c r="N1097" s="36"/>
      <c r="O1097" s="36"/>
      <c r="P1097" s="36"/>
      <c r="Q1097" s="36"/>
      <c r="R1097" s="37"/>
      <c r="S1097" s="38"/>
      <c r="Z1097" s="46"/>
      <c r="AA1097" s="46"/>
    </row>
    <row r="1098" spans="1:27" ht="15.75">
      <c r="A1098" s="39">
        <v>44048</v>
      </c>
      <c r="B1098" s="115" t="s">
        <v>429</v>
      </c>
      <c r="C1098" s="26" t="s">
        <v>126</v>
      </c>
      <c r="D1098">
        <v>29419.29</v>
      </c>
      <c r="E1098">
        <v>31512.11</v>
      </c>
      <c r="F1098">
        <v>29346.29</v>
      </c>
      <c r="G1098">
        <v>31520.880000000001</v>
      </c>
      <c r="H1098">
        <v>29410.69</v>
      </c>
      <c r="I1098">
        <v>29435.42</v>
      </c>
      <c r="J1098">
        <v>31509.89</v>
      </c>
      <c r="K1098">
        <v>31502.400000000001</v>
      </c>
      <c r="L1098">
        <v>29401.57</v>
      </c>
      <c r="M1098" s="27">
        <f t="shared" ref="M1098" si="497">IF((L1099=""),"",MAX(D1100:L1100))</f>
        <v>20250.990000000005</v>
      </c>
      <c r="N1098" s="27">
        <f t="shared" ref="N1098" si="498">IF(L1099="","",MIN(D1100:L1100))</f>
        <v>12536.010000000006</v>
      </c>
      <c r="O1098" s="27">
        <f t="shared" ref="O1098" si="499">IF((L1100=""),"",AVERAGE(D1100:L1100))</f>
        <v>15463.983333333337</v>
      </c>
      <c r="P1098" s="27">
        <f t="shared" ref="P1098" si="500">IF((L1099=""),"",STDEV(D1100:L1100))</f>
        <v>3393.6003784623604</v>
      </c>
      <c r="Q1098" s="168">
        <f>IF((L1099=""),"",((M1098-N1098)/(M1098+P1098))*100)</f>
        <v>32.628943350304354</v>
      </c>
      <c r="R1098" s="28" t="str">
        <f t="shared" ref="R1098" si="501">IF(L1099="","",IF(Q1098&lt;Z1098,IF(N1098&gt;V1098,IF(M1098&lt;W1098,"Pass","Fail"),"Fail"),"Fail"))</f>
        <v>Fail</v>
      </c>
      <c r="S1098" s="29">
        <v>1159</v>
      </c>
      <c r="U1098" s="48" t="s">
        <v>528</v>
      </c>
      <c r="V1098" s="53">
        <v>10000</v>
      </c>
      <c r="W1098" s="22">
        <v>15600</v>
      </c>
      <c r="X1098" s="40">
        <v>8090</v>
      </c>
      <c r="Y1098" s="40">
        <v>12070</v>
      </c>
      <c r="Z1098" s="49">
        <v>15</v>
      </c>
      <c r="AA1098" s="49">
        <v>6</v>
      </c>
    </row>
    <row r="1099" spans="1:27" ht="15.75">
      <c r="A1099" s="96"/>
      <c r="B1099" s="96"/>
      <c r="C1099" s="30" t="s">
        <v>128</v>
      </c>
      <c r="D1099">
        <v>25240.62</v>
      </c>
      <c r="E1099">
        <v>24927.07</v>
      </c>
      <c r="F1099">
        <v>24897.64</v>
      </c>
      <c r="G1099">
        <v>24770.55</v>
      </c>
      <c r="H1099">
        <v>24733.84</v>
      </c>
      <c r="I1099">
        <v>25117.4</v>
      </c>
      <c r="J1099">
        <v>24891.18</v>
      </c>
      <c r="K1099">
        <v>27037.279999999999</v>
      </c>
      <c r="L1099">
        <v>25051.01</v>
      </c>
      <c r="M1099" s="31"/>
      <c r="N1099" s="31"/>
      <c r="O1099" s="31"/>
      <c r="P1099" s="31"/>
      <c r="Q1099" s="31"/>
      <c r="R1099" s="32"/>
      <c r="S1099" s="33"/>
      <c r="Z1099" s="46"/>
      <c r="AA1099" s="46"/>
    </row>
    <row r="1100" spans="1:27" ht="13.5" thickBot="1">
      <c r="A1100" s="98"/>
      <c r="B1100" s="98"/>
      <c r="C1100" s="34" t="s">
        <v>129</v>
      </c>
      <c r="D1100" s="35">
        <f t="shared" ref="D1100:L1100" si="502">IF(((D1098="")*AND(D1099="")),"",(D1098-D1099)*3)</f>
        <v>12536.010000000006</v>
      </c>
      <c r="E1100" s="35">
        <f t="shared" si="502"/>
        <v>19755.120000000003</v>
      </c>
      <c r="F1100" s="35">
        <f t="shared" si="502"/>
        <v>13345.950000000004</v>
      </c>
      <c r="G1100" s="35">
        <f t="shared" si="502"/>
        <v>20250.990000000005</v>
      </c>
      <c r="H1100" s="35">
        <f t="shared" si="502"/>
        <v>14030.549999999996</v>
      </c>
      <c r="I1100" s="35">
        <f t="shared" si="502"/>
        <v>12954.05999999999</v>
      </c>
      <c r="J1100" s="35">
        <f t="shared" si="502"/>
        <v>19856.129999999997</v>
      </c>
      <c r="K1100" s="35">
        <f t="shared" si="502"/>
        <v>13395.360000000008</v>
      </c>
      <c r="L1100" s="35">
        <f t="shared" si="502"/>
        <v>13051.680000000004</v>
      </c>
      <c r="M1100" s="36"/>
      <c r="N1100" s="36"/>
      <c r="O1100" s="36"/>
      <c r="P1100" s="36"/>
      <c r="Q1100" s="36"/>
      <c r="R1100" s="37"/>
      <c r="S1100" s="38"/>
      <c r="Z1100" s="46"/>
      <c r="AA1100" s="46"/>
    </row>
    <row r="1101" spans="1:27" ht="15.75">
      <c r="A1101" s="39">
        <v>44048</v>
      </c>
      <c r="B1101" s="115" t="s">
        <v>429</v>
      </c>
      <c r="C1101" s="26" t="s">
        <v>126</v>
      </c>
      <c r="D1101">
        <v>28890.1</v>
      </c>
      <c r="E1101">
        <v>28770.6</v>
      </c>
      <c r="F1101">
        <v>28743.93</v>
      </c>
      <c r="G1101">
        <v>28767.13</v>
      </c>
      <c r="H1101">
        <v>28861.43</v>
      </c>
      <c r="I1101">
        <v>28888.68</v>
      </c>
      <c r="J1101">
        <v>28777.200000000001</v>
      </c>
      <c r="K1101">
        <v>28755.040000000001</v>
      </c>
      <c r="L1101">
        <v>28903.69</v>
      </c>
      <c r="M1101" s="27">
        <f t="shared" ref="M1101" si="503">IF((L1102=""),"",MAX(D1103:L1103))</f>
        <v>11449.77</v>
      </c>
      <c r="N1101" s="27">
        <f t="shared" ref="N1101" si="504">IF(L1102="","",MIN(D1103:L1103))</f>
        <v>10351.589999999997</v>
      </c>
      <c r="O1101" s="27">
        <f t="shared" ref="O1101" si="505">IF((L1103=""),"",AVERAGE(D1103:L1103))</f>
        <v>10992.783333333336</v>
      </c>
      <c r="P1101" s="27">
        <f t="shared" ref="P1101" si="506">IF((L1102=""),"",STDEV(D1103:L1103))</f>
        <v>323.65705024755295</v>
      </c>
      <c r="Q1101" s="168">
        <f>IF((L1102=""),"",((M1101-N1101)/(M1101+P1101))*100)</f>
        <v>9.3276154454697462</v>
      </c>
      <c r="R1101" s="28" t="str">
        <f t="shared" ref="R1101" si="507">IF(L1102="","",IF(Q1101&lt;Z1101,IF(N1101&gt;V1101,IF(M1101&lt;W1101,"Pass","Fail"),"Fail"),"Fail"))</f>
        <v>Pass</v>
      </c>
      <c r="S1101" s="29">
        <v>1159</v>
      </c>
      <c r="V1101" s="53">
        <v>10000</v>
      </c>
      <c r="W1101" s="22">
        <v>15600</v>
      </c>
      <c r="X1101" s="40">
        <v>8090</v>
      </c>
      <c r="Y1101" s="40">
        <v>12070</v>
      </c>
      <c r="Z1101" s="49">
        <v>15</v>
      </c>
      <c r="AA1101" s="49">
        <v>6</v>
      </c>
    </row>
    <row r="1102" spans="1:27" ht="15.75">
      <c r="A1102" s="96"/>
      <c r="B1102" s="96"/>
      <c r="C1102" s="30" t="s">
        <v>128</v>
      </c>
      <c r="D1102">
        <v>25439.57</v>
      </c>
      <c r="E1102">
        <v>25165.19</v>
      </c>
      <c r="F1102">
        <v>25061.48</v>
      </c>
      <c r="G1102">
        <v>25040.17</v>
      </c>
      <c r="H1102">
        <v>25044.84</v>
      </c>
      <c r="I1102">
        <v>25132.23</v>
      </c>
      <c r="J1102">
        <v>25070.53</v>
      </c>
      <c r="K1102">
        <v>25109.48</v>
      </c>
      <c r="L1102">
        <v>25315.96</v>
      </c>
      <c r="M1102" s="31"/>
      <c r="N1102" s="31"/>
      <c r="O1102" s="31"/>
      <c r="P1102" s="31"/>
      <c r="Q1102" s="31"/>
      <c r="R1102" s="32"/>
      <c r="S1102" s="33"/>
      <c r="Z1102" s="46"/>
      <c r="AA1102" s="46"/>
    </row>
    <row r="1103" spans="1:27" ht="13.5" thickBot="1">
      <c r="A1103" s="98"/>
      <c r="B1103" s="98"/>
      <c r="C1103" s="34" t="s">
        <v>129</v>
      </c>
      <c r="D1103" s="35">
        <f t="shared" ref="D1103:L1103" si="508">IF(((D1101="")*AND(D1102="")),"",(D1101-D1102)*3)</f>
        <v>10351.589999999997</v>
      </c>
      <c r="E1103" s="35">
        <f t="shared" si="508"/>
        <v>10816.23</v>
      </c>
      <c r="F1103" s="35">
        <f t="shared" si="508"/>
        <v>11047.350000000002</v>
      </c>
      <c r="G1103" s="35">
        <f t="shared" si="508"/>
        <v>11180.880000000008</v>
      </c>
      <c r="H1103" s="35">
        <f t="shared" si="508"/>
        <v>11449.77</v>
      </c>
      <c r="I1103" s="35">
        <f t="shared" si="508"/>
        <v>11269.350000000002</v>
      </c>
      <c r="J1103" s="35">
        <f t="shared" si="508"/>
        <v>11120.010000000006</v>
      </c>
      <c r="K1103" s="35">
        <f t="shared" si="508"/>
        <v>10936.680000000004</v>
      </c>
      <c r="L1103" s="35">
        <f t="shared" si="508"/>
        <v>10763.189999999999</v>
      </c>
      <c r="M1103" s="36"/>
      <c r="N1103" s="36"/>
      <c r="O1103" s="36"/>
      <c r="P1103" s="36"/>
      <c r="Q1103" s="36"/>
      <c r="R1103" s="37"/>
      <c r="S1103" s="38"/>
      <c r="Z1103" s="46"/>
      <c r="AA1103" s="46"/>
    </row>
    <row r="1104" spans="1:27" ht="15.75">
      <c r="A1104" s="39">
        <v>44081</v>
      </c>
      <c r="B1104" s="115" t="s">
        <v>429</v>
      </c>
      <c r="C1104" s="26" t="s">
        <v>126</v>
      </c>
      <c r="D1104">
        <v>28854.23</v>
      </c>
      <c r="E1104">
        <v>28743.55</v>
      </c>
      <c r="F1104">
        <v>28788.71</v>
      </c>
      <c r="G1104">
        <v>28740.84</v>
      </c>
      <c r="H1104">
        <v>28902.880000000001</v>
      </c>
      <c r="I1104">
        <v>28860.73</v>
      </c>
      <c r="J1104">
        <v>28743.53</v>
      </c>
      <c r="K1104">
        <v>28719.42</v>
      </c>
      <c r="L1104">
        <v>28856.65</v>
      </c>
      <c r="M1104" s="27">
        <f t="shared" ref="M1104" si="509">IF((L1105=""),"",MAX(D1106:L1106))</f>
        <v>10281.810000000001</v>
      </c>
      <c r="N1104" s="27">
        <f t="shared" ref="N1104" si="510">IF(L1105="","",MIN(D1106:L1106))</f>
        <v>10008.239999999994</v>
      </c>
      <c r="O1104" s="27">
        <f t="shared" ref="O1104" si="511">IF((L1106=""),"",AVERAGE(D1106:L1106))</f>
        <v>10147.906666666666</v>
      </c>
      <c r="P1104" s="27">
        <f t="shared" ref="P1104" si="512">IF((L1105=""),"",STDEV(D1106:L1106))</f>
        <v>90.576021799297365</v>
      </c>
      <c r="Q1104" s="168">
        <f>IF((L1105=""),"",((M1104-N1104)/(M1104+P1104))*100)</f>
        <v>2.6374837903743074</v>
      </c>
      <c r="R1104" s="28" t="str">
        <f t="shared" ref="R1104" si="513">IF(L1105="","",IF(Q1104&lt;Z1104,IF(N1104&gt;V1104,IF(M1104&lt;W1104,"Pass","Fail"),"Fail"),"Fail"))</f>
        <v>Pass</v>
      </c>
      <c r="S1104" s="29">
        <v>64</v>
      </c>
      <c r="T1104" s="49" t="s">
        <v>530</v>
      </c>
      <c r="U1104" s="48" t="s">
        <v>529</v>
      </c>
      <c r="V1104" s="53">
        <v>10000</v>
      </c>
      <c r="W1104" s="22">
        <v>15600</v>
      </c>
      <c r="X1104" s="40">
        <v>8090</v>
      </c>
      <c r="Y1104" s="40">
        <v>12070</v>
      </c>
      <c r="Z1104" s="49">
        <v>15</v>
      </c>
      <c r="AA1104" s="49">
        <v>6</v>
      </c>
    </row>
    <row r="1105" spans="1:27" ht="15.75">
      <c r="A1105" s="96"/>
      <c r="B1105" s="96"/>
      <c r="C1105" s="30" t="s">
        <v>128</v>
      </c>
      <c r="D1105">
        <v>25426.959999999999</v>
      </c>
      <c r="E1105">
        <v>25407.47</v>
      </c>
      <c r="F1105">
        <v>25408.400000000001</v>
      </c>
      <c r="G1105">
        <v>25347.59</v>
      </c>
      <c r="H1105">
        <v>25489.69</v>
      </c>
      <c r="I1105">
        <v>25451.56</v>
      </c>
      <c r="J1105">
        <v>25386.31</v>
      </c>
      <c r="K1105">
        <v>25357.75</v>
      </c>
      <c r="L1105">
        <v>25491.09</v>
      </c>
      <c r="M1105" s="31"/>
      <c r="N1105" s="31"/>
      <c r="O1105" s="31"/>
      <c r="P1105" s="31"/>
      <c r="Q1105" s="31"/>
      <c r="R1105" s="32"/>
      <c r="S1105" s="33"/>
      <c r="Z1105" s="46"/>
      <c r="AA1105" s="46"/>
    </row>
    <row r="1106" spans="1:27" ht="13.5" thickBot="1">
      <c r="A1106" s="98"/>
      <c r="B1106" s="98"/>
      <c r="C1106" s="34" t="s">
        <v>129</v>
      </c>
      <c r="D1106" s="35">
        <f t="shared" ref="D1106:L1106" si="514">IF(((D1104="")*AND(D1105="")),"",(D1104-D1105)*3)</f>
        <v>10281.810000000001</v>
      </c>
      <c r="E1106" s="35">
        <f t="shared" si="514"/>
        <v>10008.239999999994</v>
      </c>
      <c r="F1106" s="35">
        <f t="shared" si="514"/>
        <v>10140.929999999993</v>
      </c>
      <c r="G1106" s="35">
        <f t="shared" si="514"/>
        <v>10179.75</v>
      </c>
      <c r="H1106" s="35">
        <f t="shared" si="514"/>
        <v>10239.570000000007</v>
      </c>
      <c r="I1106" s="35">
        <f t="shared" si="514"/>
        <v>10227.509999999995</v>
      </c>
      <c r="J1106" s="35">
        <f t="shared" si="514"/>
        <v>10071.659999999993</v>
      </c>
      <c r="K1106" s="35">
        <f t="shared" si="514"/>
        <v>10085.009999999995</v>
      </c>
      <c r="L1106" s="35">
        <f t="shared" si="514"/>
        <v>10096.680000000004</v>
      </c>
      <c r="M1106" s="36"/>
      <c r="N1106" s="36"/>
      <c r="O1106" s="36"/>
      <c r="P1106" s="36"/>
      <c r="Q1106" s="36"/>
      <c r="R1106" s="37"/>
      <c r="S1106" s="38"/>
      <c r="Z1106" s="46"/>
      <c r="AA1106" s="46"/>
    </row>
    <row r="1107" spans="1:27" ht="15.75">
      <c r="A1107" s="39">
        <v>44088</v>
      </c>
      <c r="B1107" s="115" t="s">
        <v>429</v>
      </c>
      <c r="C1107" s="26" t="s">
        <v>126</v>
      </c>
      <c r="D1107">
        <v>29210.2</v>
      </c>
      <c r="E1107">
        <v>29058.05</v>
      </c>
      <c r="F1107">
        <v>29028.57</v>
      </c>
      <c r="G1107">
        <v>29037.53</v>
      </c>
      <c r="H1107">
        <v>29148.58</v>
      </c>
      <c r="I1107">
        <v>29142.29</v>
      </c>
      <c r="J1107">
        <v>29032.21</v>
      </c>
      <c r="K1107">
        <v>29021.85</v>
      </c>
      <c r="L1107">
        <v>29126.51</v>
      </c>
      <c r="M1107" s="27">
        <f t="shared" ref="M1107" si="515">IF((L1108=""),"",MAX(D1109:L1109))</f>
        <v>13690.889999999992</v>
      </c>
      <c r="N1107" s="27">
        <f t="shared" ref="N1107" si="516">IF(L1108="","",MIN(D1109:L1109))</f>
        <v>12914.880000000008</v>
      </c>
      <c r="O1107" s="27">
        <f t="shared" ref="O1107" si="517">IF((L1109=""),"",AVERAGE(D1109:L1109))</f>
        <v>13357.946666666665</v>
      </c>
      <c r="P1107" s="27">
        <f t="shared" ref="P1107" si="518">IF((L1108=""),"",STDEV(D1109:L1109))</f>
        <v>268.95221796815275</v>
      </c>
      <c r="Q1107" s="168">
        <f>IF((L1108=""),"",((M1107-N1107)/(M1107+P1107))*100)</f>
        <v>5.5588737170765246</v>
      </c>
      <c r="R1107" s="28" t="str">
        <f t="shared" ref="R1107" si="519">IF(L1108="","",IF(Q1107&lt;Z1107,IF(N1107&gt;V1107,IF(M1107&lt;W1107,"Pass","Fail"),"Fail"),"Fail"))</f>
        <v>Pass</v>
      </c>
      <c r="S1107" s="29">
        <v>1519</v>
      </c>
      <c r="V1107" s="53">
        <v>10000</v>
      </c>
      <c r="W1107" s="22">
        <v>15600</v>
      </c>
      <c r="X1107" s="40">
        <v>8090</v>
      </c>
      <c r="Y1107" s="40">
        <v>12070</v>
      </c>
      <c r="Z1107" s="49">
        <v>15</v>
      </c>
      <c r="AA1107" s="49">
        <v>6</v>
      </c>
    </row>
    <row r="1108" spans="1:27" ht="15.75">
      <c r="A1108" s="96"/>
      <c r="B1108" s="96"/>
      <c r="C1108" s="30" t="s">
        <v>128</v>
      </c>
      <c r="D1108">
        <v>24668.28</v>
      </c>
      <c r="E1108">
        <v>24518.76</v>
      </c>
      <c r="F1108">
        <v>24611.86</v>
      </c>
      <c r="G1108">
        <v>24639.61</v>
      </c>
      <c r="H1108">
        <v>24843.62</v>
      </c>
      <c r="I1108">
        <v>24784.27</v>
      </c>
      <c r="J1108">
        <v>24570.47</v>
      </c>
      <c r="K1108">
        <v>24532.2</v>
      </c>
      <c r="L1108">
        <v>24562.880000000001</v>
      </c>
      <c r="M1108" s="31"/>
      <c r="N1108" s="31"/>
      <c r="O1108" s="31"/>
      <c r="P1108" s="31"/>
      <c r="Q1108" s="31"/>
      <c r="R1108" s="32"/>
      <c r="S1108" s="33"/>
      <c r="Z1108" s="46"/>
      <c r="AA1108" s="46"/>
    </row>
    <row r="1109" spans="1:27" ht="13.5" thickBot="1">
      <c r="A1109" s="98"/>
      <c r="B1109" s="98"/>
      <c r="C1109" s="34" t="s">
        <v>129</v>
      </c>
      <c r="D1109" s="35">
        <f t="shared" ref="D1109:L1109" si="520">IF(((D1107="")*AND(D1108="")),"",(D1107-D1108)*3)</f>
        <v>13625.760000000006</v>
      </c>
      <c r="E1109" s="35">
        <f t="shared" si="520"/>
        <v>13617.870000000003</v>
      </c>
      <c r="F1109" s="35">
        <f t="shared" si="520"/>
        <v>13250.129999999997</v>
      </c>
      <c r="G1109" s="35">
        <f t="shared" si="520"/>
        <v>13193.759999999995</v>
      </c>
      <c r="H1109" s="35">
        <f t="shared" si="520"/>
        <v>12914.880000000008</v>
      </c>
      <c r="I1109" s="35">
        <f t="shared" si="520"/>
        <v>13074.060000000001</v>
      </c>
      <c r="J1109" s="35">
        <f t="shared" si="520"/>
        <v>13385.219999999994</v>
      </c>
      <c r="K1109" s="35">
        <f t="shared" si="520"/>
        <v>13468.949999999993</v>
      </c>
      <c r="L1109" s="35">
        <f t="shared" si="520"/>
        <v>13690.889999999992</v>
      </c>
      <c r="M1109" s="36"/>
      <c r="N1109" s="36"/>
      <c r="O1109" s="36"/>
      <c r="P1109" s="36"/>
      <c r="Q1109" s="36"/>
      <c r="R1109" s="37"/>
      <c r="S1109" s="38"/>
      <c r="Z1109" s="46"/>
      <c r="AA1109" s="46"/>
    </row>
    <row r="1110" spans="1:27" ht="15.75">
      <c r="A1110" s="39">
        <v>44092</v>
      </c>
      <c r="B1110" s="115" t="s">
        <v>429</v>
      </c>
      <c r="C1110" s="26" t="s">
        <v>126</v>
      </c>
      <c r="D1110">
        <v>29313.52</v>
      </c>
      <c r="E1110">
        <v>29149.82</v>
      </c>
      <c r="F1110">
        <v>29141.13</v>
      </c>
      <c r="G1110">
        <v>29123.040000000001</v>
      </c>
      <c r="H1110">
        <v>29286.65</v>
      </c>
      <c r="I1110">
        <v>29355.09</v>
      </c>
      <c r="J1110">
        <v>29141.360000000001</v>
      </c>
      <c r="K1110">
        <v>29142.23</v>
      </c>
      <c r="L1110">
        <v>29288.33</v>
      </c>
      <c r="M1110" s="27">
        <f t="shared" ref="M1110" si="521">IF((L1111=""),"",MAX(D1112:L1112))</f>
        <v>13257.630000000008</v>
      </c>
      <c r="N1110" s="27">
        <f t="shared" ref="N1110" si="522">IF(L1111="","",MIN(D1112:L1112))</f>
        <v>12366.96</v>
      </c>
      <c r="O1110" s="27">
        <f t="shared" ref="O1110" si="523">IF((L1112=""),"",AVERAGE(D1112:L1112))</f>
        <v>12758.210000000003</v>
      </c>
      <c r="P1110" s="27">
        <f t="shared" ref="P1110" si="524">IF((L1111=""),"",STDEV(D1112:L1112))</f>
        <v>266.8791139261009</v>
      </c>
      <c r="Q1110" s="168">
        <f>IF((L1111=""),"",((M1110-N1110)/(M1110+P1110))*100)</f>
        <v>6.5855994661047728</v>
      </c>
      <c r="R1110" s="28" t="str">
        <f t="shared" ref="R1110" si="525">IF(L1111="","",IF(Q1110&lt;Z1110,IF(N1110&gt;V1110,IF(M1110&lt;W1110,"Pass","Fail"),"Fail"),"Fail"))</f>
        <v>Pass</v>
      </c>
      <c r="S1110" s="29">
        <v>74</v>
      </c>
      <c r="T1110" s="116" t="s">
        <v>533</v>
      </c>
      <c r="V1110" s="53">
        <v>10000</v>
      </c>
      <c r="W1110" s="22">
        <v>15600</v>
      </c>
      <c r="X1110" s="40">
        <v>8090</v>
      </c>
      <c r="Y1110" s="40">
        <v>12070</v>
      </c>
      <c r="Z1110" s="49">
        <v>15</v>
      </c>
      <c r="AA1110" s="49">
        <v>6</v>
      </c>
    </row>
    <row r="1111" spans="1:27" ht="15.75">
      <c r="A1111" s="96"/>
      <c r="B1111" s="96"/>
      <c r="C1111" s="30" t="s">
        <v>128</v>
      </c>
      <c r="D1111">
        <v>25191.200000000001</v>
      </c>
      <c r="E1111">
        <v>24957.15</v>
      </c>
      <c r="F1111">
        <v>24975.759999999998</v>
      </c>
      <c r="G1111">
        <v>24797.15</v>
      </c>
      <c r="H1111">
        <v>24867.439999999999</v>
      </c>
      <c r="I1111">
        <v>25070.35</v>
      </c>
      <c r="J1111">
        <v>24897.96</v>
      </c>
      <c r="K1111">
        <v>24862.17</v>
      </c>
      <c r="L1111">
        <v>25047.360000000001</v>
      </c>
      <c r="M1111" s="31"/>
      <c r="N1111" s="31"/>
      <c r="O1111" s="31"/>
      <c r="P1111" s="31"/>
      <c r="Q1111" s="31"/>
      <c r="R1111" s="32"/>
      <c r="S1111" s="33"/>
      <c r="Z1111" s="46"/>
      <c r="AA1111" s="46"/>
    </row>
    <row r="1112" spans="1:27" ht="13.5" thickBot="1">
      <c r="A1112" s="98"/>
      <c r="B1112" s="98"/>
      <c r="C1112" s="34" t="s">
        <v>129</v>
      </c>
      <c r="D1112" s="35">
        <f t="shared" ref="D1112:L1112" si="526">IF(((D1110="")*AND(D1111="")),"",(D1110-D1111)*3)</f>
        <v>12366.96</v>
      </c>
      <c r="E1112" s="35">
        <f t="shared" si="526"/>
        <v>12578.009999999995</v>
      </c>
      <c r="F1112" s="35">
        <f t="shared" si="526"/>
        <v>12496.110000000008</v>
      </c>
      <c r="G1112" s="35">
        <f t="shared" si="526"/>
        <v>12977.669999999998</v>
      </c>
      <c r="H1112" s="35">
        <f t="shared" si="526"/>
        <v>13257.630000000008</v>
      </c>
      <c r="I1112" s="35">
        <f t="shared" si="526"/>
        <v>12854.220000000005</v>
      </c>
      <c r="J1112" s="35">
        <f t="shared" si="526"/>
        <v>12730.200000000004</v>
      </c>
      <c r="K1112" s="35">
        <f t="shared" si="526"/>
        <v>12840.180000000004</v>
      </c>
      <c r="L1112" s="35">
        <f t="shared" si="526"/>
        <v>12722.910000000003</v>
      </c>
      <c r="M1112" s="36"/>
      <c r="N1112" s="36"/>
      <c r="O1112" s="36"/>
      <c r="P1112" s="36"/>
      <c r="Q1112" s="36"/>
      <c r="R1112" s="37"/>
      <c r="S1112" s="38"/>
      <c r="Z1112" s="46"/>
      <c r="AA1112" s="46"/>
    </row>
    <row r="1113" spans="1:27" ht="15.75">
      <c r="A1113" s="39">
        <v>44099</v>
      </c>
      <c r="B1113" s="115" t="s">
        <v>429</v>
      </c>
      <c r="C1113" s="26" t="s">
        <v>126</v>
      </c>
      <c r="D1113">
        <v>29178.32</v>
      </c>
      <c r="E1113">
        <v>29037.61</v>
      </c>
      <c r="F1113">
        <v>28996.01</v>
      </c>
      <c r="G1113">
        <v>29006.41</v>
      </c>
      <c r="H1113">
        <v>29126.86</v>
      </c>
      <c r="I1113">
        <v>29089.42</v>
      </c>
      <c r="J1113">
        <v>28999.84</v>
      </c>
      <c r="K1113">
        <v>29000.34</v>
      </c>
      <c r="L1113">
        <v>29112.720000000001</v>
      </c>
      <c r="M1113" s="27">
        <f t="shared" ref="M1113" si="527">IF((L1114=""),"",MAX(D1115:L1115))</f>
        <v>10806.75</v>
      </c>
      <c r="N1113" s="27">
        <f t="shared" ref="N1113" si="528">IF(L1114="","",MIN(D1115:L1115))</f>
        <v>10317.330000000002</v>
      </c>
      <c r="O1113" s="27">
        <f t="shared" ref="O1113" si="529">IF((L1115=""),"",AVERAGE(D1115:L1115))</f>
        <v>10563.67</v>
      </c>
      <c r="P1113" s="27">
        <f t="shared" ref="P1113" si="530">IF((L1114=""),"",STDEV(D1115:L1115))</f>
        <v>186.85502889937678</v>
      </c>
      <c r="Q1113" s="168">
        <f>IF((L1114=""),"",((M1113-N1113)/(M1113+P1113))*100)</f>
        <v>4.4518608655981202</v>
      </c>
      <c r="R1113" s="28" t="str">
        <f t="shared" ref="R1113" si="531">IF(L1114="","",IF(Q1113&lt;Z1113,IF(N1113&gt;V1113,IF(M1113&lt;W1113,"Pass","Fail"),"Fail"),"Fail"))</f>
        <v>Pass</v>
      </c>
      <c r="S1113" s="29">
        <v>64</v>
      </c>
      <c r="T1113" s="116"/>
      <c r="V1113" s="53">
        <v>10000</v>
      </c>
      <c r="W1113" s="22">
        <v>15600</v>
      </c>
      <c r="X1113" s="40">
        <v>8090</v>
      </c>
      <c r="Y1113" s="40">
        <v>12070</v>
      </c>
      <c r="Z1113" s="49">
        <v>15</v>
      </c>
      <c r="AA1113" s="49">
        <v>6</v>
      </c>
    </row>
    <row r="1114" spans="1:27" ht="15.75">
      <c r="A1114" s="96"/>
      <c r="B1114" s="96"/>
      <c r="C1114" s="30" t="s">
        <v>128</v>
      </c>
      <c r="D1114">
        <v>25576.86</v>
      </c>
      <c r="E1114">
        <v>25483.85</v>
      </c>
      <c r="F1114">
        <v>25550.95</v>
      </c>
      <c r="G1114">
        <v>25542.73</v>
      </c>
      <c r="H1114">
        <v>25687.75</v>
      </c>
      <c r="I1114">
        <v>25535.61</v>
      </c>
      <c r="J1114">
        <v>25483.16</v>
      </c>
      <c r="K1114">
        <v>25485.14</v>
      </c>
      <c r="L1114">
        <v>25510.47</v>
      </c>
      <c r="M1114" s="31"/>
      <c r="N1114" s="31"/>
      <c r="O1114" s="31"/>
      <c r="P1114" s="31"/>
      <c r="Q1114" s="31"/>
      <c r="R1114" s="32"/>
      <c r="S1114" s="33"/>
      <c r="Z1114" s="46"/>
      <c r="AA1114" s="46"/>
    </row>
    <row r="1115" spans="1:27" ht="13.5" thickBot="1">
      <c r="A1115" s="98"/>
      <c r="B1115" s="98"/>
      <c r="C1115" s="34" t="s">
        <v>129</v>
      </c>
      <c r="D1115" s="35">
        <f t="shared" ref="D1115:L1115" si="532">IF(((D1113="")*AND(D1114="")),"",(D1113-D1114)*3)</f>
        <v>10804.379999999997</v>
      </c>
      <c r="E1115" s="35">
        <f t="shared" si="532"/>
        <v>10661.280000000006</v>
      </c>
      <c r="F1115" s="35">
        <f t="shared" si="532"/>
        <v>10335.179999999993</v>
      </c>
      <c r="G1115" s="35">
        <f t="shared" si="532"/>
        <v>10391.040000000001</v>
      </c>
      <c r="H1115" s="35">
        <f t="shared" si="532"/>
        <v>10317.330000000002</v>
      </c>
      <c r="I1115" s="35">
        <f t="shared" si="532"/>
        <v>10661.429999999993</v>
      </c>
      <c r="J1115" s="35">
        <f t="shared" si="532"/>
        <v>10550.04</v>
      </c>
      <c r="K1115" s="35">
        <f t="shared" si="532"/>
        <v>10545.600000000002</v>
      </c>
      <c r="L1115" s="35">
        <f t="shared" si="532"/>
        <v>10806.75</v>
      </c>
      <c r="M1115" s="36"/>
      <c r="N1115" s="36"/>
      <c r="O1115" s="36"/>
      <c r="P1115" s="36"/>
      <c r="Q1115" s="36"/>
      <c r="R1115" s="37"/>
      <c r="S1115" s="38"/>
      <c r="Z1115" s="46"/>
      <c r="AA1115" s="46"/>
    </row>
    <row r="1116" spans="1:27" ht="15.75">
      <c r="A1116" s="39">
        <v>44104</v>
      </c>
      <c r="B1116" s="115" t="s">
        <v>429</v>
      </c>
      <c r="C1116" s="26" t="s">
        <v>126</v>
      </c>
      <c r="D1116">
        <v>29117.94</v>
      </c>
      <c r="E1116">
        <v>28964.33</v>
      </c>
      <c r="F1116">
        <v>28939.37</v>
      </c>
      <c r="G1116">
        <v>28960.9</v>
      </c>
      <c r="H1116">
        <v>29069.59</v>
      </c>
      <c r="I1116">
        <v>29072.45</v>
      </c>
      <c r="J1116">
        <v>28958</v>
      </c>
      <c r="K1116">
        <v>28942.42</v>
      </c>
      <c r="L1116">
        <v>29073.98</v>
      </c>
      <c r="M1116" s="27">
        <f t="shared" ref="M1116" si="533">IF((L1117=""),"",MAX(D1118:L1118))</f>
        <v>11292.810000000001</v>
      </c>
      <c r="N1116" s="27">
        <f t="shared" ref="N1116" si="534">IF(L1117="","",MIN(D1118:L1118))</f>
        <v>10970.399999999998</v>
      </c>
      <c r="O1116" s="27">
        <f t="shared" ref="O1116" si="535">IF((L1118=""),"",AVERAGE(D1118:L1118))</f>
        <v>11160.61</v>
      </c>
      <c r="P1116" s="27">
        <f t="shared" ref="P1116" si="536">IF((L1117=""),"",STDEV(D1118:L1118))</f>
        <v>112.73412438124876</v>
      </c>
      <c r="Q1116" s="168">
        <f>IF((L1117=""),"",((M1116-N1116)/(M1116+P1116))*100)</f>
        <v>2.8267831546133642</v>
      </c>
      <c r="R1116" s="28" t="str">
        <f t="shared" ref="R1116" si="537">IF(L1117="","",IF(Q1116&lt;Z1116,IF(N1116&gt;V1116,IF(M1116&lt;W1116,"Pass","Fail"),"Fail"),"Fail"))</f>
        <v>Pass</v>
      </c>
      <c r="S1116" s="29">
        <v>74</v>
      </c>
      <c r="T1116" s="116" t="s">
        <v>538</v>
      </c>
      <c r="V1116" s="53">
        <v>10000</v>
      </c>
      <c r="W1116" s="22">
        <v>15600</v>
      </c>
      <c r="X1116" s="40">
        <v>8090</v>
      </c>
      <c r="Y1116" s="40">
        <v>12070</v>
      </c>
      <c r="Z1116" s="49">
        <v>15</v>
      </c>
      <c r="AA1116" s="49">
        <v>6</v>
      </c>
    </row>
    <row r="1117" spans="1:27" ht="15.75">
      <c r="A1117" s="96"/>
      <c r="B1117" s="96"/>
      <c r="C1117" s="30" t="s">
        <v>128</v>
      </c>
      <c r="D1117">
        <v>25428.23</v>
      </c>
      <c r="E1117">
        <v>25271.05</v>
      </c>
      <c r="F1117">
        <v>25282.57</v>
      </c>
      <c r="G1117">
        <v>25205.82</v>
      </c>
      <c r="H1117">
        <v>25318.54</v>
      </c>
      <c r="I1117">
        <v>25360.51</v>
      </c>
      <c r="J1117">
        <v>25253.23</v>
      </c>
      <c r="K1117">
        <v>25187.49</v>
      </c>
      <c r="L1117">
        <v>25309.71</v>
      </c>
      <c r="M1117" s="31"/>
      <c r="N1117" s="31"/>
      <c r="O1117" s="31"/>
      <c r="P1117" s="31"/>
      <c r="Q1117" s="31"/>
      <c r="R1117" s="32"/>
      <c r="S1117" s="33"/>
      <c r="Z1117" s="46"/>
      <c r="AA1117" s="46"/>
    </row>
    <row r="1118" spans="1:27" ht="13.5" thickBot="1">
      <c r="A1118" s="98"/>
      <c r="B1118" s="98"/>
      <c r="C1118" s="34" t="s">
        <v>129</v>
      </c>
      <c r="D1118" s="35">
        <f t="shared" ref="D1118:L1118" si="538">IF(((D1116="")*AND(D1117="")),"",(D1116-D1117)*3)</f>
        <v>11069.129999999997</v>
      </c>
      <c r="E1118" s="35">
        <f t="shared" si="538"/>
        <v>11079.840000000007</v>
      </c>
      <c r="F1118" s="35">
        <f t="shared" si="538"/>
        <v>10970.399999999998</v>
      </c>
      <c r="G1118" s="35">
        <f t="shared" si="538"/>
        <v>11265.240000000005</v>
      </c>
      <c r="H1118" s="35">
        <f t="shared" si="538"/>
        <v>11253.149999999998</v>
      </c>
      <c r="I1118" s="35">
        <f t="shared" si="538"/>
        <v>11135.820000000007</v>
      </c>
      <c r="J1118" s="35">
        <f t="shared" si="538"/>
        <v>11114.310000000001</v>
      </c>
      <c r="K1118" s="35">
        <f t="shared" si="538"/>
        <v>11264.78999999999</v>
      </c>
      <c r="L1118" s="35">
        <f t="shared" si="538"/>
        <v>11292.810000000001</v>
      </c>
      <c r="M1118" s="36"/>
      <c r="N1118" s="36"/>
      <c r="O1118" s="36"/>
      <c r="P1118" s="36"/>
      <c r="Q1118" s="36"/>
      <c r="R1118" s="37"/>
      <c r="S1118" s="38"/>
      <c r="Z1118" s="46"/>
      <c r="AA1118" s="46"/>
    </row>
    <row r="1119" spans="1:27" ht="15.75">
      <c r="A1119" s="39">
        <v>44110</v>
      </c>
      <c r="B1119" s="115" t="s">
        <v>429</v>
      </c>
      <c r="C1119" s="26" t="s">
        <v>126</v>
      </c>
      <c r="D1119">
        <v>29051.759999999998</v>
      </c>
      <c r="E1119">
        <v>28918.54</v>
      </c>
      <c r="F1119">
        <v>28917.56</v>
      </c>
      <c r="G1119">
        <v>28923.11</v>
      </c>
      <c r="H1119">
        <v>29006.45</v>
      </c>
      <c r="I1119">
        <v>29072.98</v>
      </c>
      <c r="J1119">
        <v>28927.62</v>
      </c>
      <c r="K1119">
        <v>28901.31</v>
      </c>
      <c r="L1119">
        <v>29015.599999999999</v>
      </c>
      <c r="M1119" s="27">
        <f t="shared" ref="M1119" si="539">IF((L1120=""),"",MAX(D1121:L1121))</f>
        <v>11250.419999999998</v>
      </c>
      <c r="N1119" s="27">
        <f t="shared" ref="N1119" si="540">IF(L1120="","",MIN(D1121:L1121))</f>
        <v>10777.23</v>
      </c>
      <c r="O1119" s="27">
        <f t="shared" ref="O1119" si="541">IF((L1121=""),"",AVERAGE(D1121:L1121))</f>
        <v>11018.999999999998</v>
      </c>
      <c r="P1119" s="27">
        <f t="shared" ref="P1119" si="542">IF((L1120=""),"",STDEV(D1121:L1121))</f>
        <v>135.7363600883796</v>
      </c>
      <c r="Q1119" s="168">
        <f>IF((L1120=""),"",((M1119-N1119)/(M1119+P1119))*100)</f>
        <v>4.1558361314856018</v>
      </c>
      <c r="R1119" s="28" t="str">
        <f t="shared" ref="R1119" si="543">IF(L1120="","",IF(Q1119&lt;Z1119,IF(N1119&gt;V1119,IF(M1119&lt;W1119,"Pass","Fail"),"Fail"),"Fail"))</f>
        <v>Pass</v>
      </c>
      <c r="S1119" s="29">
        <v>1159</v>
      </c>
      <c r="T1119" s="116" t="s">
        <v>540</v>
      </c>
      <c r="V1119" s="53">
        <v>10000</v>
      </c>
      <c r="W1119" s="22">
        <v>15600</v>
      </c>
      <c r="X1119" s="40">
        <v>8090</v>
      </c>
      <c r="Y1119" s="40">
        <v>12070</v>
      </c>
      <c r="Z1119" s="49">
        <v>15</v>
      </c>
      <c r="AA1119" s="49">
        <v>6</v>
      </c>
    </row>
    <row r="1120" spans="1:27" ht="15.75">
      <c r="A1120" s="96"/>
      <c r="B1120" s="96"/>
      <c r="C1120" s="30" t="s">
        <v>128</v>
      </c>
      <c r="D1120">
        <v>25395.63</v>
      </c>
      <c r="E1120">
        <v>25279.11</v>
      </c>
      <c r="F1120">
        <v>25325.15</v>
      </c>
      <c r="G1120">
        <v>25222.400000000001</v>
      </c>
      <c r="H1120">
        <v>25256.31</v>
      </c>
      <c r="I1120">
        <v>25369.82</v>
      </c>
      <c r="J1120">
        <v>25278.16</v>
      </c>
      <c r="K1120">
        <v>25225.51</v>
      </c>
      <c r="L1120">
        <v>25325.84</v>
      </c>
      <c r="M1120" s="31"/>
      <c r="N1120" s="31"/>
      <c r="O1120" s="31"/>
      <c r="P1120" s="31"/>
      <c r="Q1120" s="31"/>
      <c r="R1120" s="32"/>
      <c r="S1120" s="33"/>
      <c r="Z1120" s="46"/>
      <c r="AA1120" s="46"/>
    </row>
    <row r="1121" spans="1:27" ht="13.5" thickBot="1">
      <c r="A1121" s="98"/>
      <c r="B1121" s="98"/>
      <c r="C1121" s="34" t="s">
        <v>129</v>
      </c>
      <c r="D1121" s="35">
        <f t="shared" ref="D1121:L1121" si="544">IF(((D1119="")*AND(D1120="")),"",(D1119-D1120)*3)</f>
        <v>10968.389999999992</v>
      </c>
      <c r="E1121" s="35">
        <f t="shared" si="544"/>
        <v>10918.29</v>
      </c>
      <c r="F1121" s="35">
        <f t="shared" si="544"/>
        <v>10777.23</v>
      </c>
      <c r="G1121" s="35">
        <f t="shared" si="544"/>
        <v>11102.129999999997</v>
      </c>
      <c r="H1121" s="35">
        <f t="shared" si="544"/>
        <v>11250.419999999998</v>
      </c>
      <c r="I1121" s="35">
        <f t="shared" si="544"/>
        <v>11109.48</v>
      </c>
      <c r="J1121" s="35">
        <f t="shared" si="544"/>
        <v>10948.379999999997</v>
      </c>
      <c r="K1121" s="35">
        <f t="shared" si="544"/>
        <v>11027.400000000009</v>
      </c>
      <c r="L1121" s="35">
        <f t="shared" si="544"/>
        <v>11069.279999999995</v>
      </c>
      <c r="M1121" s="36"/>
      <c r="N1121" s="36"/>
      <c r="O1121" s="36"/>
      <c r="P1121" s="36"/>
      <c r="Q1121" s="36"/>
      <c r="R1121" s="37"/>
      <c r="S1121" s="38"/>
      <c r="Z1121" s="46"/>
      <c r="AA1121" s="46"/>
    </row>
    <row r="1122" spans="1:27" ht="15.75">
      <c r="A1122" s="39">
        <v>44118</v>
      </c>
      <c r="B1122" s="115" t="s">
        <v>429</v>
      </c>
      <c r="C1122" s="26" t="s">
        <v>126</v>
      </c>
      <c r="D1122">
        <v>29045.56</v>
      </c>
      <c r="E1122">
        <v>28880.32</v>
      </c>
      <c r="F1122">
        <v>28826.53</v>
      </c>
      <c r="G1122">
        <v>28888.73</v>
      </c>
      <c r="H1122">
        <v>28988.44</v>
      </c>
      <c r="I1122">
        <v>29004.98</v>
      </c>
      <c r="J1122">
        <v>28872.26</v>
      </c>
      <c r="K1122">
        <v>28874.37</v>
      </c>
      <c r="L1122">
        <v>28977.91</v>
      </c>
      <c r="M1122" s="27">
        <f t="shared" ref="M1122" si="545">IF((L1123=""),"",MAX(D1124:L1124))</f>
        <v>11155.589999999997</v>
      </c>
      <c r="N1122" s="27">
        <f t="shared" ref="N1122" si="546">IF(L1123="","",MIN(D1124:L1124))</f>
        <v>10423.049999999996</v>
      </c>
      <c r="O1122" s="27">
        <f t="shared" ref="O1122" si="547">IF((L1124=""),"",AVERAGE(D1124:L1124))</f>
        <v>10729.499999999998</v>
      </c>
      <c r="P1122" s="27">
        <f t="shared" ref="P1122" si="548">IF((L1123=""),"",STDEV(D1124:L1124))</f>
        <v>258.48497340270211</v>
      </c>
      <c r="Q1122" s="168">
        <f>IF((L1123=""),"",((M1122-N1122)/(M1122+P1122))*100)</f>
        <v>6.4178656764300204</v>
      </c>
      <c r="R1122" s="28" t="str">
        <f t="shared" ref="R1122" si="549">IF(L1123="","",IF(Q1122&lt;Z1122,IF(N1122&gt;V1122,IF(M1122&lt;W1122,"Pass","Fail"),"Fail"),"Fail"))</f>
        <v>Pass</v>
      </c>
      <c r="S1122" s="29">
        <v>121</v>
      </c>
      <c r="T1122" s="116" t="s">
        <v>545</v>
      </c>
      <c r="V1122" s="53">
        <v>10000</v>
      </c>
      <c r="W1122" s="22">
        <v>15600</v>
      </c>
      <c r="X1122" s="40">
        <v>8090</v>
      </c>
      <c r="Y1122" s="40">
        <v>12070</v>
      </c>
      <c r="Z1122" s="49">
        <v>15</v>
      </c>
      <c r="AA1122" s="49">
        <v>6</v>
      </c>
    </row>
    <row r="1123" spans="1:27" ht="15.75">
      <c r="A1123" s="96"/>
      <c r="B1123" s="96"/>
      <c r="C1123" s="30" t="s">
        <v>128</v>
      </c>
      <c r="D1123">
        <v>25370.3</v>
      </c>
      <c r="E1123">
        <v>25314.13</v>
      </c>
      <c r="F1123">
        <v>25314.44</v>
      </c>
      <c r="G1123">
        <v>25391.07</v>
      </c>
      <c r="H1123">
        <v>25514.09</v>
      </c>
      <c r="I1123">
        <v>25352</v>
      </c>
      <c r="J1123">
        <v>25306.35</v>
      </c>
      <c r="K1123">
        <v>25348.84</v>
      </c>
      <c r="L1123">
        <v>25259.38</v>
      </c>
      <c r="M1123" s="31"/>
      <c r="N1123" s="31"/>
      <c r="O1123" s="31"/>
      <c r="P1123" s="31"/>
      <c r="Q1123" s="31"/>
      <c r="R1123" s="32"/>
      <c r="S1123" s="33"/>
      <c r="Z1123" s="46"/>
      <c r="AA1123" s="46"/>
    </row>
    <row r="1124" spans="1:27" ht="13.5" thickBot="1">
      <c r="A1124" s="98"/>
      <c r="B1124" s="98"/>
      <c r="C1124" s="34" t="s">
        <v>129</v>
      </c>
      <c r="D1124" s="35">
        <f t="shared" ref="D1124:L1124" si="550">IF(((D1122="")*AND(D1123="")),"",(D1122-D1123)*3)</f>
        <v>11025.780000000006</v>
      </c>
      <c r="E1124" s="35">
        <f t="shared" si="550"/>
        <v>10698.569999999996</v>
      </c>
      <c r="F1124" s="35">
        <f t="shared" si="550"/>
        <v>10536.27</v>
      </c>
      <c r="G1124" s="35">
        <f t="shared" si="550"/>
        <v>10492.98</v>
      </c>
      <c r="H1124" s="35">
        <f t="shared" si="550"/>
        <v>10423.049999999996</v>
      </c>
      <c r="I1124" s="35">
        <f t="shared" si="550"/>
        <v>10958.939999999999</v>
      </c>
      <c r="J1124" s="35">
        <f t="shared" si="550"/>
        <v>10697.73</v>
      </c>
      <c r="K1124" s="35">
        <f t="shared" si="550"/>
        <v>10576.589999999997</v>
      </c>
      <c r="L1124" s="35">
        <f t="shared" si="550"/>
        <v>11155.589999999997</v>
      </c>
      <c r="M1124" s="36"/>
      <c r="N1124" s="36"/>
      <c r="O1124" s="36"/>
      <c r="P1124" s="36"/>
      <c r="Q1124" s="36"/>
      <c r="R1124" s="37"/>
      <c r="S1124" s="38"/>
      <c r="Z1124" s="46"/>
      <c r="AA1124" s="46"/>
    </row>
    <row r="1125" spans="1:27" ht="15.75">
      <c r="A1125" s="39">
        <v>44123</v>
      </c>
      <c r="B1125" s="115" t="s">
        <v>499</v>
      </c>
      <c r="C1125" s="26" t="s">
        <v>126</v>
      </c>
      <c r="D1125" s="102">
        <v>29142.98</v>
      </c>
      <c r="E1125" s="102">
        <v>28918.92</v>
      </c>
      <c r="F1125" s="102">
        <v>28913.94</v>
      </c>
      <c r="G1125" s="102">
        <v>28910.41</v>
      </c>
      <c r="H1125" s="102">
        <v>29085.29</v>
      </c>
      <c r="I1125" s="102">
        <v>29114.54</v>
      </c>
      <c r="J1125" s="102">
        <v>28917.31</v>
      </c>
      <c r="K1125" s="102">
        <v>28917.88</v>
      </c>
      <c r="L1125" s="102">
        <v>29105.87</v>
      </c>
      <c r="M1125" s="27">
        <f t="shared" ref="M1125" si="551">IF((L1126=""),"",MAX(D1127:L1127))</f>
        <v>11754.509999999995</v>
      </c>
      <c r="N1125" s="27">
        <f t="shared" ref="N1125" si="552">IF(L1126="","",MIN(D1127:L1127))</f>
        <v>11024.549999999996</v>
      </c>
      <c r="O1125" s="27">
        <f t="shared" ref="O1125" si="553">IF((L1127=""),"",AVERAGE(D1127:L1127))</f>
        <v>11367.873333333335</v>
      </c>
      <c r="P1125" s="27">
        <f t="shared" ref="P1125" si="554">IF((L1126=""),"",STDEV(D1127:L1127))</f>
        <v>219.47976239269454</v>
      </c>
      <c r="Q1125" s="168">
        <f>IF((L1126=""),"",((M1125-N1125)/(M1125+P1125))*100)</f>
        <v>6.0962136638250781</v>
      </c>
      <c r="R1125" s="28" t="str">
        <f t="shared" ref="R1125" si="555">IF(L1126="","",IF(Q1125&lt;Z1125,IF(N1125&gt;V1125,IF(M1125&lt;W1125,"Pass","Fail"),"Fail"),"Fail"))</f>
        <v>Pass</v>
      </c>
      <c r="S1125" s="29">
        <v>1428</v>
      </c>
      <c r="T1125" s="116" t="s">
        <v>547</v>
      </c>
      <c r="V1125" s="53">
        <v>10000</v>
      </c>
      <c r="W1125" s="22">
        <v>15600</v>
      </c>
      <c r="X1125" s="40">
        <v>8090</v>
      </c>
      <c r="Y1125" s="40">
        <v>12070</v>
      </c>
      <c r="Z1125" s="49">
        <v>15</v>
      </c>
      <c r="AA1125" s="49">
        <v>6</v>
      </c>
    </row>
    <row r="1126" spans="1:27" ht="15.75">
      <c r="A1126" s="96"/>
      <c r="B1126" s="96"/>
      <c r="C1126" s="30" t="s">
        <v>128</v>
      </c>
      <c r="D1126" s="102">
        <v>25224.81</v>
      </c>
      <c r="E1126" s="102">
        <v>25069.84</v>
      </c>
      <c r="F1126" s="102">
        <v>25239.09</v>
      </c>
      <c r="G1126" s="102">
        <v>25156.41</v>
      </c>
      <c r="H1126" s="102">
        <v>25365.53</v>
      </c>
      <c r="I1126" s="102">
        <v>25338.63</v>
      </c>
      <c r="J1126" s="102">
        <v>25130.19</v>
      </c>
      <c r="K1126" s="102">
        <v>25138.75</v>
      </c>
      <c r="L1126" s="102">
        <v>25260.27</v>
      </c>
      <c r="M1126" s="31"/>
      <c r="N1126" s="31"/>
      <c r="O1126" s="31"/>
      <c r="P1126" s="31"/>
      <c r="Q1126" s="31"/>
      <c r="R1126" s="32"/>
      <c r="S1126" s="33"/>
      <c r="Z1126" s="46"/>
      <c r="AA1126" s="46"/>
    </row>
    <row r="1127" spans="1:27" ht="13.5" thickBot="1">
      <c r="A1127" s="98"/>
      <c r="B1127" s="98"/>
      <c r="C1127" s="34" t="s">
        <v>129</v>
      </c>
      <c r="D1127" s="35">
        <f t="shared" ref="D1127:L1127" si="556">IF(((D1125="")*AND(D1126="")),"",(D1125-D1126)*3)</f>
        <v>11754.509999999995</v>
      </c>
      <c r="E1127" s="35">
        <f t="shared" si="556"/>
        <v>11547.239999999994</v>
      </c>
      <c r="F1127" s="35">
        <f t="shared" si="556"/>
        <v>11024.549999999996</v>
      </c>
      <c r="G1127" s="35">
        <f t="shared" si="556"/>
        <v>11262</v>
      </c>
      <c r="H1127" s="35">
        <f t="shared" si="556"/>
        <v>11159.280000000006</v>
      </c>
      <c r="I1127" s="35">
        <f t="shared" si="556"/>
        <v>11327.73</v>
      </c>
      <c r="J1127" s="35">
        <f t="shared" si="556"/>
        <v>11361.360000000008</v>
      </c>
      <c r="K1127" s="35">
        <f t="shared" si="556"/>
        <v>11337.390000000003</v>
      </c>
      <c r="L1127" s="35">
        <f t="shared" si="556"/>
        <v>11536.799999999996</v>
      </c>
      <c r="M1127" s="36"/>
      <c r="N1127" s="36"/>
      <c r="O1127" s="36"/>
      <c r="P1127" s="36"/>
      <c r="Q1127" s="36"/>
      <c r="R1127" s="37"/>
      <c r="S1127" s="38"/>
      <c r="Z1127" s="46"/>
      <c r="AA1127" s="46"/>
    </row>
    <row r="1128" spans="1:27" ht="15">
      <c r="A1128" s="39">
        <v>44125</v>
      </c>
      <c r="B1128" s="115" t="s">
        <v>499</v>
      </c>
      <c r="C1128" s="26" t="s">
        <v>126</v>
      </c>
      <c r="D1128" s="136">
        <v>29133.5</v>
      </c>
      <c r="E1128" s="136">
        <v>28922.45</v>
      </c>
      <c r="F1128" s="136">
        <v>28863.99</v>
      </c>
      <c r="G1128" s="136">
        <v>28914.21</v>
      </c>
      <c r="H1128" s="136">
        <v>29088.57</v>
      </c>
      <c r="I1128" s="136">
        <v>29065.08</v>
      </c>
      <c r="J1128" s="136">
        <v>28908.54</v>
      </c>
      <c r="K1128" s="136">
        <v>28907.52</v>
      </c>
      <c r="L1128" s="136">
        <v>29083.14</v>
      </c>
      <c r="M1128" s="27">
        <f t="shared" ref="M1128" si="557">IF((L1129=""),"",MAX(D1130:L1130))</f>
        <v>202.25999999999476</v>
      </c>
      <c r="N1128" s="27">
        <f t="shared" ref="N1128" si="558">IF(L1129="","",MIN(D1130:L1130))</f>
        <v>150.33000000000175</v>
      </c>
      <c r="O1128" s="27">
        <f t="shared" ref="O1128" si="559">IF((L1130=""),"",AVERAGE(D1130:L1130))</f>
        <v>171.12333333333422</v>
      </c>
      <c r="P1128" s="27">
        <f t="shared" ref="P1128" si="560">IF((L1129=""),"",STDEV(D1130:L1130))</f>
        <v>15.87171855849172</v>
      </c>
      <c r="Q1128" s="168">
        <f>IF((L1129=""),"",((M1128-N1128)/(M1128+P1128))*100)</f>
        <v>23.80671657619078</v>
      </c>
      <c r="R1128" s="28" t="str">
        <f t="shared" ref="R1128" si="561">IF(L1129="","",IF(Q1128&lt;Z1128,IF(N1128&gt;V1128,IF(M1128&lt;W1128,"Pass","Fail"),"Fail"),"Fail"))</f>
        <v>Fail</v>
      </c>
      <c r="S1128" s="29">
        <v>102</v>
      </c>
      <c r="T1128" s="116"/>
      <c r="U1128" s="48" t="s">
        <v>548</v>
      </c>
      <c r="V1128" s="53">
        <v>10000</v>
      </c>
      <c r="W1128" s="22">
        <v>15600</v>
      </c>
      <c r="X1128" s="40">
        <v>8090</v>
      </c>
      <c r="Y1128" s="40">
        <v>12070</v>
      </c>
      <c r="Z1128" s="49">
        <v>15</v>
      </c>
      <c r="AA1128" s="49">
        <v>6</v>
      </c>
    </row>
    <row r="1129" spans="1:27" ht="15">
      <c r="A1129" s="96"/>
      <c r="B1129" s="96"/>
      <c r="C1129" s="30" t="s">
        <v>128</v>
      </c>
      <c r="D1129" s="137">
        <v>29082.31</v>
      </c>
      <c r="E1129" s="137">
        <v>28864.37</v>
      </c>
      <c r="F1129" s="137">
        <v>28806.959999999999</v>
      </c>
      <c r="G1129" s="137">
        <v>28846.79</v>
      </c>
      <c r="H1129" s="137">
        <v>29032.07</v>
      </c>
      <c r="I1129" s="137">
        <v>29014.97</v>
      </c>
      <c r="J1129" s="137">
        <v>28854.73</v>
      </c>
      <c r="K1129" s="137">
        <v>28845.8</v>
      </c>
      <c r="L1129" s="137">
        <v>29025.63</v>
      </c>
      <c r="M1129" s="31"/>
      <c r="N1129" s="31"/>
      <c r="O1129" s="31"/>
      <c r="P1129" s="31"/>
      <c r="Q1129" s="31"/>
      <c r="R1129" s="32"/>
      <c r="S1129" s="33"/>
      <c r="Z1129" s="46"/>
      <c r="AA1129" s="46"/>
    </row>
    <row r="1130" spans="1:27" ht="13.5" thickBot="1">
      <c r="A1130" s="98"/>
      <c r="B1130" s="98"/>
      <c r="C1130" s="34" t="s">
        <v>129</v>
      </c>
      <c r="D1130" s="35">
        <f t="shared" ref="D1130:L1130" si="562">IF(((D1128="")*AND(D1129="")),"",(D1128-D1129)*3)</f>
        <v>153.56999999999607</v>
      </c>
      <c r="E1130" s="35">
        <f t="shared" si="562"/>
        <v>174.24000000000524</v>
      </c>
      <c r="F1130" s="35">
        <f t="shared" si="562"/>
        <v>171.09000000000742</v>
      </c>
      <c r="G1130" s="35">
        <f t="shared" si="562"/>
        <v>202.25999999999476</v>
      </c>
      <c r="H1130" s="35">
        <f t="shared" si="562"/>
        <v>169.5</v>
      </c>
      <c r="I1130" s="35">
        <f t="shared" si="562"/>
        <v>150.33000000000175</v>
      </c>
      <c r="J1130" s="35">
        <f t="shared" si="562"/>
        <v>161.43000000000393</v>
      </c>
      <c r="K1130" s="35">
        <f t="shared" si="562"/>
        <v>185.16000000000349</v>
      </c>
      <c r="L1130" s="35">
        <f t="shared" si="562"/>
        <v>172.5299999999952</v>
      </c>
      <c r="M1130" s="36"/>
      <c r="N1130" s="36"/>
      <c r="O1130" s="36"/>
      <c r="P1130" s="36"/>
      <c r="Q1130" s="36"/>
      <c r="R1130" s="37"/>
      <c r="S1130" s="38"/>
      <c r="Z1130" s="46"/>
      <c r="AA1130" s="46"/>
    </row>
    <row r="1131" spans="1:27" ht="15.75">
      <c r="A1131" s="39">
        <v>44125</v>
      </c>
      <c r="B1131" s="115" t="s">
        <v>499</v>
      </c>
      <c r="C1131" s="26" t="s">
        <v>126</v>
      </c>
      <c r="D1131">
        <v>29102.36</v>
      </c>
      <c r="E1131">
        <v>28911.81</v>
      </c>
      <c r="F1131">
        <v>28922.68</v>
      </c>
      <c r="G1131">
        <v>28892.29</v>
      </c>
      <c r="H1131">
        <v>29084.54</v>
      </c>
      <c r="I1131">
        <v>29120.1</v>
      </c>
      <c r="J1131">
        <v>28902.3</v>
      </c>
      <c r="K1131">
        <v>28895.87</v>
      </c>
      <c r="L1131">
        <v>29124.07</v>
      </c>
      <c r="M1131" s="27">
        <f t="shared" ref="M1131" si="563">IF((L1132=""),"",MAX(D1133:L1133))</f>
        <v>489.08999999999651</v>
      </c>
      <c r="N1131" s="27">
        <f t="shared" ref="N1131" si="564">IF(L1132="","",MIN(D1133:L1133))</f>
        <v>74.580000000001746</v>
      </c>
      <c r="O1131" s="27">
        <f t="shared" ref="O1131" si="565">IF((L1133=""),"",AVERAGE(D1133:L1133))</f>
        <v>201.36999999999776</v>
      </c>
      <c r="P1131" s="27">
        <f t="shared" ref="P1131" si="566">IF((L1132=""),"",STDEV(D1133:L1133))</f>
        <v>142.67546223860643</v>
      </c>
      <c r="Q1131" s="168">
        <f>IF((L1132=""),"",((M1131-N1131)/(M1131+P1131))*100)</f>
        <v>65.611373963245256</v>
      </c>
      <c r="R1131" s="28" t="str">
        <f t="shared" ref="R1131" si="567">IF(L1132="","",IF(Q1131&lt;Z1131,IF(N1131&gt;V1131,IF(M1131&lt;W1131,"Pass","Fail"),"Fail"),"Fail"))</f>
        <v>Fail</v>
      </c>
      <c r="S1131" s="29">
        <v>102</v>
      </c>
      <c r="T1131" s="116"/>
      <c r="U1131" s="48" t="s">
        <v>549</v>
      </c>
      <c r="V1131" s="53">
        <v>10000</v>
      </c>
      <c r="W1131" s="22">
        <v>15600</v>
      </c>
      <c r="X1131" s="40">
        <v>8090</v>
      </c>
      <c r="Y1131" s="40">
        <v>12070</v>
      </c>
      <c r="Z1131" s="49">
        <v>15</v>
      </c>
      <c r="AA1131" s="49">
        <v>6</v>
      </c>
    </row>
    <row r="1132" spans="1:27" ht="15.75">
      <c r="A1132" s="96"/>
      <c r="B1132" s="96"/>
      <c r="C1132" s="30" t="s">
        <v>128</v>
      </c>
      <c r="D1132">
        <v>29076.83</v>
      </c>
      <c r="E1132">
        <v>28858.95</v>
      </c>
      <c r="F1132">
        <v>28827.3</v>
      </c>
      <c r="G1132">
        <v>28856.31</v>
      </c>
      <c r="H1132">
        <v>29059.68</v>
      </c>
      <c r="I1132">
        <v>29004.07</v>
      </c>
      <c r="J1132">
        <v>28851.74</v>
      </c>
      <c r="K1132">
        <v>28855.99</v>
      </c>
      <c r="L1132">
        <v>28961.040000000001</v>
      </c>
      <c r="M1132" s="31"/>
      <c r="N1132" s="31"/>
      <c r="O1132" s="31"/>
      <c r="P1132" s="31"/>
      <c r="Q1132" s="31"/>
      <c r="R1132" s="32"/>
      <c r="S1132" s="33"/>
      <c r="Z1132" s="46"/>
      <c r="AA1132" s="46"/>
    </row>
    <row r="1133" spans="1:27" ht="13.5" thickBot="1">
      <c r="A1133" s="98"/>
      <c r="B1133" s="98"/>
      <c r="C1133" s="34" t="s">
        <v>129</v>
      </c>
      <c r="D1133" s="35">
        <f t="shared" ref="D1133:L1133" si="568">IF(((D1131="")*AND(D1132="")),"",(D1131-D1132)*3)</f>
        <v>76.589999999996508</v>
      </c>
      <c r="E1133" s="35">
        <f t="shared" si="568"/>
        <v>158.58000000000175</v>
      </c>
      <c r="F1133" s="35">
        <f t="shared" si="568"/>
        <v>286.14000000000306</v>
      </c>
      <c r="G1133" s="35">
        <f t="shared" si="568"/>
        <v>107.93999999999869</v>
      </c>
      <c r="H1133" s="35">
        <f t="shared" si="568"/>
        <v>74.580000000001746</v>
      </c>
      <c r="I1133" s="35">
        <f t="shared" si="568"/>
        <v>348.08999999999651</v>
      </c>
      <c r="J1133" s="35">
        <f t="shared" si="568"/>
        <v>151.67999999999302</v>
      </c>
      <c r="K1133" s="35">
        <f t="shared" si="568"/>
        <v>119.63999999999214</v>
      </c>
      <c r="L1133" s="35">
        <f t="shared" si="568"/>
        <v>489.08999999999651</v>
      </c>
      <c r="M1133" s="36"/>
      <c r="N1133" s="36"/>
      <c r="O1133" s="36"/>
      <c r="P1133" s="36"/>
      <c r="Q1133" s="36"/>
      <c r="R1133" s="37"/>
      <c r="S1133" s="38"/>
      <c r="Z1133" s="46"/>
      <c r="AA1133" s="46"/>
    </row>
    <row r="1134" spans="1:27" ht="15.75">
      <c r="A1134" s="39">
        <v>44125</v>
      </c>
      <c r="B1134" s="115" t="s">
        <v>499</v>
      </c>
      <c r="C1134" s="26" t="s">
        <v>126</v>
      </c>
      <c r="D1134">
        <v>29146.57</v>
      </c>
      <c r="E1134">
        <v>28929.07</v>
      </c>
      <c r="F1134">
        <v>28899.33</v>
      </c>
      <c r="G1134">
        <v>28910.59</v>
      </c>
      <c r="H1134">
        <v>29122.42</v>
      </c>
      <c r="I1134">
        <v>29048.51</v>
      </c>
      <c r="J1134">
        <v>28901.4</v>
      </c>
      <c r="K1134">
        <v>28917.37</v>
      </c>
      <c r="L1134">
        <v>29033.82</v>
      </c>
      <c r="M1134" s="27">
        <f t="shared" ref="M1134" si="569">IF((L1135=""),"",MAX(D1136:L1136))</f>
        <v>349.70999999999913</v>
      </c>
      <c r="N1134" s="27">
        <f t="shared" ref="N1134" si="570">IF(L1135="","",MIN(D1136:L1136))</f>
        <v>-54.030000000006112</v>
      </c>
      <c r="O1134" s="27">
        <f t="shared" ref="O1134" si="571">IF((L1136=""),"",AVERAGE(D1136:L1136))</f>
        <v>205.6766666666675</v>
      </c>
      <c r="P1134" s="27">
        <f t="shared" ref="P1134" si="572">IF((L1135=""),"",STDEV(D1136:L1136))</f>
        <v>143.33507220844666</v>
      </c>
      <c r="Q1134" s="168">
        <f>IF((L1135=""),"",((M1134-N1134)/(M1134+P1134))*100)</f>
        <v>81.887036856807924</v>
      </c>
      <c r="R1134" s="28" t="str">
        <f t="shared" ref="R1134" si="573">IF(L1135="","",IF(Q1134&lt;Z1134,IF(N1134&gt;V1134,IF(M1134&lt;W1134,"Pass","Fail"),"Fail"),"Fail"))</f>
        <v>Fail</v>
      </c>
      <c r="S1134" s="29">
        <v>102</v>
      </c>
      <c r="T1134" s="116"/>
      <c r="U1134" s="48" t="s">
        <v>550</v>
      </c>
      <c r="V1134" s="53">
        <v>10000</v>
      </c>
      <c r="W1134" s="22">
        <v>15600</v>
      </c>
      <c r="X1134" s="40">
        <v>8090</v>
      </c>
      <c r="Y1134" s="40">
        <v>12070</v>
      </c>
      <c r="Z1134" s="49">
        <v>15</v>
      </c>
      <c r="AA1134" s="49">
        <v>6</v>
      </c>
    </row>
    <row r="1135" spans="1:27" ht="15.75">
      <c r="A1135" s="96"/>
      <c r="B1135" s="96"/>
      <c r="C1135" s="30" t="s">
        <v>128</v>
      </c>
      <c r="D1135">
        <v>29030</v>
      </c>
      <c r="E1135">
        <v>28827.759999999998</v>
      </c>
      <c r="F1135">
        <v>28830.3</v>
      </c>
      <c r="G1135">
        <v>28829.27</v>
      </c>
      <c r="H1135">
        <v>29016.21</v>
      </c>
      <c r="I1135">
        <v>29066.52</v>
      </c>
      <c r="J1135">
        <v>28838.51</v>
      </c>
      <c r="K1135">
        <v>28818.51</v>
      </c>
      <c r="L1135">
        <v>29034.97</v>
      </c>
      <c r="M1135" s="31"/>
      <c r="N1135" s="31"/>
      <c r="O1135" s="31"/>
      <c r="P1135" s="31"/>
      <c r="Q1135" s="31"/>
      <c r="R1135" s="32"/>
      <c r="S1135" s="33"/>
      <c r="Z1135" s="46"/>
      <c r="AA1135" s="46"/>
    </row>
    <row r="1136" spans="1:27" ht="13.5" thickBot="1">
      <c r="A1136" s="98"/>
      <c r="B1136" s="98"/>
      <c r="C1136" s="34" t="s">
        <v>129</v>
      </c>
      <c r="D1136" s="35">
        <f t="shared" ref="D1136:L1136" si="574">IF(((D1134="")*AND(D1135="")),"",(D1134-D1135)*3)</f>
        <v>349.70999999999913</v>
      </c>
      <c r="E1136" s="35">
        <f t="shared" si="574"/>
        <v>303.93000000000393</v>
      </c>
      <c r="F1136" s="35">
        <f t="shared" si="574"/>
        <v>207.09000000000742</v>
      </c>
      <c r="G1136" s="35">
        <f t="shared" si="574"/>
        <v>243.95999999999913</v>
      </c>
      <c r="H1136" s="35">
        <f t="shared" si="574"/>
        <v>318.62999999999738</v>
      </c>
      <c r="I1136" s="35">
        <f t="shared" si="574"/>
        <v>-54.030000000006112</v>
      </c>
      <c r="J1136" s="35">
        <f t="shared" si="574"/>
        <v>188.67000000000917</v>
      </c>
      <c r="K1136" s="35">
        <f t="shared" si="574"/>
        <v>296.58000000000175</v>
      </c>
      <c r="L1136" s="35">
        <f t="shared" si="574"/>
        <v>-3.4500000000043656</v>
      </c>
      <c r="M1136" s="36"/>
      <c r="N1136" s="36"/>
      <c r="O1136" s="36"/>
      <c r="P1136" s="36"/>
      <c r="Q1136" s="36"/>
      <c r="R1136" s="37"/>
      <c r="S1136" s="38"/>
      <c r="Z1136" s="46"/>
      <c r="AA1136" s="46"/>
    </row>
    <row r="1137" spans="1:27" ht="15.75">
      <c r="A1137" s="39">
        <v>44125</v>
      </c>
      <c r="B1137" s="115" t="s">
        <v>499</v>
      </c>
      <c r="C1137" s="26" t="s">
        <v>126</v>
      </c>
      <c r="D1137">
        <v>29122.92</v>
      </c>
      <c r="E1137">
        <v>28896.89</v>
      </c>
      <c r="F1137">
        <v>28852.16</v>
      </c>
      <c r="G1137">
        <v>28881.439999999999</v>
      </c>
      <c r="H1137">
        <v>29054.12</v>
      </c>
      <c r="I1137">
        <v>29017.95</v>
      </c>
      <c r="J1137">
        <v>28868.18</v>
      </c>
      <c r="K1137">
        <v>28890.54</v>
      </c>
      <c r="L1137">
        <v>29072.16</v>
      </c>
      <c r="M1137" s="27">
        <f t="shared" ref="M1137" si="575">IF((L1138=""),"",MAX(D1139:L1139))</f>
        <v>5204.03999999999</v>
      </c>
      <c r="N1137" s="27">
        <f t="shared" ref="N1137" si="576">IF(L1138="","",MIN(D1139:L1139))</f>
        <v>4498.2599999999948</v>
      </c>
      <c r="O1137" s="27">
        <f t="shared" ref="O1137" si="577">IF((L1139=""),"",AVERAGE(D1139:L1139))</f>
        <v>4850.826666666665</v>
      </c>
      <c r="P1137" s="27">
        <f t="shared" ref="P1137" si="578">IF((L1138=""),"",STDEV(D1139:L1139))</f>
        <v>214.66971333889578</v>
      </c>
      <c r="Q1137" s="168">
        <f>IF((L1138=""),"",((M1137-N1137)/(M1137+P1137))*100)</f>
        <v>13.024871922233118</v>
      </c>
      <c r="R1137" s="28" t="str">
        <f t="shared" ref="R1137" si="579">IF(L1138="","",IF(Q1137&lt;Z1137,IF(N1137&gt;V1137,IF(M1137&lt;W1137,"Pass","Fail"),"Fail"),"Fail"))</f>
        <v>Fail</v>
      </c>
      <c r="S1137" s="29">
        <v>102</v>
      </c>
      <c r="T1137" s="116"/>
      <c r="U1137" s="48" t="s">
        <v>551</v>
      </c>
      <c r="V1137" s="53">
        <v>10000</v>
      </c>
      <c r="W1137" s="22">
        <v>15600</v>
      </c>
      <c r="X1137" s="40">
        <v>8090</v>
      </c>
      <c r="Y1137" s="40">
        <v>12070</v>
      </c>
      <c r="Z1137" s="49">
        <v>15</v>
      </c>
      <c r="AA1137" s="49">
        <v>6</v>
      </c>
    </row>
    <row r="1138" spans="1:27" ht="15.75">
      <c r="A1138" s="96"/>
      <c r="B1138" s="96"/>
      <c r="C1138" s="30" t="s">
        <v>128</v>
      </c>
      <c r="D1138">
        <v>27388.240000000002</v>
      </c>
      <c r="E1138">
        <v>27230.13</v>
      </c>
      <c r="F1138">
        <v>27291.71</v>
      </c>
      <c r="G1138">
        <v>27319.14</v>
      </c>
      <c r="H1138">
        <v>27554.7</v>
      </c>
      <c r="I1138">
        <v>27398.959999999999</v>
      </c>
      <c r="J1138">
        <v>27258.880000000001</v>
      </c>
      <c r="K1138">
        <v>27274.48</v>
      </c>
      <c r="L1138">
        <v>27387.64</v>
      </c>
      <c r="M1138" s="31"/>
      <c r="N1138" s="31"/>
      <c r="O1138" s="31"/>
      <c r="P1138" s="31"/>
      <c r="Q1138" s="31"/>
      <c r="R1138" s="32"/>
      <c r="S1138" s="33"/>
      <c r="Z1138" s="46"/>
      <c r="AA1138" s="46"/>
    </row>
    <row r="1139" spans="1:27" ht="13.5" thickBot="1">
      <c r="A1139" s="98"/>
      <c r="B1139" s="98"/>
      <c r="C1139" s="34" t="s">
        <v>129</v>
      </c>
      <c r="D1139" s="35">
        <f t="shared" ref="D1139:L1139" si="580">IF(((D1137="")*AND(D1138="")),"",(D1137-D1138)*3)</f>
        <v>5204.03999999999</v>
      </c>
      <c r="E1139" s="35">
        <f t="shared" si="580"/>
        <v>5000.2799999999952</v>
      </c>
      <c r="F1139" s="35">
        <f t="shared" si="580"/>
        <v>4681.3500000000022</v>
      </c>
      <c r="G1139" s="35">
        <f t="shared" si="580"/>
        <v>4686.8999999999978</v>
      </c>
      <c r="H1139" s="35">
        <f t="shared" si="580"/>
        <v>4498.2599999999948</v>
      </c>
      <c r="I1139" s="35">
        <f t="shared" si="580"/>
        <v>4856.9700000000048</v>
      </c>
      <c r="J1139" s="35">
        <f t="shared" si="580"/>
        <v>4827.8999999999978</v>
      </c>
      <c r="K1139" s="35">
        <f t="shared" si="580"/>
        <v>4848.1800000000039</v>
      </c>
      <c r="L1139" s="35">
        <f t="shared" si="580"/>
        <v>5053.5600000000013</v>
      </c>
      <c r="M1139" s="36"/>
      <c r="N1139" s="36"/>
      <c r="O1139" s="36"/>
      <c r="P1139" s="36"/>
      <c r="Q1139" s="36"/>
      <c r="R1139" s="37"/>
      <c r="S1139" s="38"/>
      <c r="Z1139" s="46"/>
      <c r="AA1139" s="46"/>
    </row>
    <row r="1140" spans="1:27" ht="15.75">
      <c r="A1140" s="39">
        <v>44125</v>
      </c>
      <c r="B1140" s="115" t="s">
        <v>499</v>
      </c>
      <c r="C1140" s="26" t="s">
        <v>126</v>
      </c>
      <c r="D1140">
        <v>29146.19</v>
      </c>
      <c r="E1140">
        <v>28933.84</v>
      </c>
      <c r="F1140">
        <v>28929.7</v>
      </c>
      <c r="G1140">
        <v>28930.89</v>
      </c>
      <c r="H1140">
        <v>29108.959999999999</v>
      </c>
      <c r="I1140">
        <v>29152.560000000001</v>
      </c>
      <c r="J1140">
        <v>28936.59</v>
      </c>
      <c r="K1140">
        <v>28923.96</v>
      </c>
      <c r="L1140">
        <v>29092.91</v>
      </c>
      <c r="M1140" s="27">
        <f t="shared" ref="M1140" si="581">IF((L1141=""),"",MAX(D1142:L1142))</f>
        <v>7642.9199999999983</v>
      </c>
      <c r="N1140" s="27">
        <f t="shared" ref="N1140" si="582">IF(L1141="","",MIN(D1142:L1142))</f>
        <v>6912.75</v>
      </c>
      <c r="O1140" s="27">
        <f t="shared" ref="O1140" si="583">IF((L1142=""),"",AVERAGE(D1142:L1142))</f>
        <v>7306.63</v>
      </c>
      <c r="P1140" s="27">
        <f t="shared" ref="P1140" si="584">IF((L1141=""),"",STDEV(D1142:L1142))</f>
        <v>225.26778264992569</v>
      </c>
      <c r="Q1140" s="168">
        <f>IF((L1141=""),"",((M1140-N1140)/(M1140+P1140))*100)</f>
        <v>9.2800276273284954</v>
      </c>
      <c r="R1140" s="28" t="str">
        <f t="shared" ref="R1140" si="585">IF(L1141="","",IF(Q1140&lt;Z1140,IF(N1140&gt;V1140,IF(M1140&lt;W1140,"Pass","Fail"),"Fail"),"Fail"))</f>
        <v>Fail</v>
      </c>
      <c r="S1140" s="29">
        <v>102</v>
      </c>
      <c r="T1140" s="116"/>
      <c r="U1140" s="48" t="s">
        <v>552</v>
      </c>
      <c r="V1140" s="53">
        <v>10000</v>
      </c>
      <c r="W1140" s="22">
        <v>15600</v>
      </c>
      <c r="X1140" s="40">
        <v>8090</v>
      </c>
      <c r="Y1140" s="40">
        <v>12070</v>
      </c>
      <c r="Z1140" s="49">
        <v>15</v>
      </c>
      <c r="AA1140" s="49">
        <v>6</v>
      </c>
    </row>
    <row r="1141" spans="1:27" ht="15.75">
      <c r="A1141" s="96"/>
      <c r="B1141" s="96"/>
      <c r="C1141" s="30" t="s">
        <v>128</v>
      </c>
      <c r="D1141">
        <v>26598.55</v>
      </c>
      <c r="E1141">
        <v>26438.95</v>
      </c>
      <c r="F1141">
        <v>26567.8</v>
      </c>
      <c r="G1141">
        <v>26545.82</v>
      </c>
      <c r="H1141">
        <v>26804.71</v>
      </c>
      <c r="I1141">
        <v>26676.79</v>
      </c>
      <c r="J1141">
        <v>26486.78</v>
      </c>
      <c r="K1141">
        <v>26501.56</v>
      </c>
      <c r="L1141">
        <v>26614.75</v>
      </c>
      <c r="M1141" s="31"/>
      <c r="N1141" s="31"/>
      <c r="O1141" s="31"/>
      <c r="P1141" s="31"/>
      <c r="Q1141" s="31"/>
      <c r="R1141" s="32"/>
      <c r="S1141" s="33"/>
      <c r="Z1141" s="46"/>
      <c r="AA1141" s="46"/>
    </row>
    <row r="1142" spans="1:27" ht="13.5" thickBot="1">
      <c r="A1142" s="98"/>
      <c r="B1142" s="98"/>
      <c r="C1142" s="34" t="s">
        <v>129</v>
      </c>
      <c r="D1142" s="35">
        <f t="shared" ref="D1142:L1142" si="586">IF(((D1140="")*AND(D1141="")),"",(D1140-D1141)*3)</f>
        <v>7642.9199999999983</v>
      </c>
      <c r="E1142" s="35">
        <f t="shared" si="586"/>
        <v>7484.6699999999983</v>
      </c>
      <c r="F1142" s="35">
        <f t="shared" si="586"/>
        <v>7085.7000000000044</v>
      </c>
      <c r="G1142" s="35">
        <f t="shared" si="586"/>
        <v>7155.2099999999991</v>
      </c>
      <c r="H1142" s="35">
        <f t="shared" si="586"/>
        <v>6912.75</v>
      </c>
      <c r="I1142" s="35">
        <f t="shared" si="586"/>
        <v>7427.3100000000013</v>
      </c>
      <c r="J1142" s="35">
        <f t="shared" si="586"/>
        <v>7349.4300000000039</v>
      </c>
      <c r="K1142" s="35">
        <f t="shared" si="586"/>
        <v>7267.1999999999935</v>
      </c>
      <c r="L1142" s="35">
        <f t="shared" si="586"/>
        <v>7434.48</v>
      </c>
      <c r="M1142" s="36"/>
      <c r="N1142" s="36"/>
      <c r="O1142" s="36"/>
      <c r="P1142" s="36"/>
      <c r="Q1142" s="36"/>
      <c r="R1142" s="37"/>
      <c r="S1142" s="38"/>
      <c r="Z1142" s="46"/>
      <c r="AA1142" s="46"/>
    </row>
    <row r="1143" spans="1:27" ht="15.75">
      <c r="A1143" s="39">
        <v>44126</v>
      </c>
      <c r="B1143" s="115" t="s">
        <v>499</v>
      </c>
      <c r="C1143" s="26" t="s">
        <v>126</v>
      </c>
      <c r="D1143">
        <v>29159</v>
      </c>
      <c r="E1143">
        <v>29127.66</v>
      </c>
      <c r="F1143">
        <v>29113.94</v>
      </c>
      <c r="G1143">
        <v>29124.49</v>
      </c>
      <c r="H1143">
        <v>29218.97</v>
      </c>
      <c r="I1143">
        <v>29264.639999999999</v>
      </c>
      <c r="J1143">
        <v>29116.959999999999</v>
      </c>
      <c r="K1143">
        <v>29117.35</v>
      </c>
      <c r="L1143">
        <v>29194.91</v>
      </c>
      <c r="M1143" s="27">
        <f t="shared" ref="M1143" si="587">IF((L1144=""),"",MAX(D1145:L1145))</f>
        <v>9222.6600000000035</v>
      </c>
      <c r="N1143" s="27">
        <f t="shared" ref="N1143" si="588">IF(L1144="","",MIN(D1145:L1145))</f>
        <v>8829.5400000000009</v>
      </c>
      <c r="O1143" s="27">
        <f t="shared" ref="O1143" si="589">IF((L1145=""),"",AVERAGE(D1145:L1145))</f>
        <v>9057.7666666666682</v>
      </c>
      <c r="P1143" s="27">
        <f t="shared" ref="P1143" si="590">IF((L1144=""),"",STDEV(D1145:L1145))</f>
        <v>121.17051724737559</v>
      </c>
      <c r="Q1143" s="168">
        <f>IF((L1144=""),"",((M1143-N1143)/(M1143+P1143))*100)</f>
        <v>4.2072680928272312</v>
      </c>
      <c r="R1143" s="28" t="str">
        <f t="shared" ref="R1143" si="591">IF(L1144="","",IF(Q1143&lt;Z1143,IF(N1143&gt;V1143,IF(M1143&lt;W1143,"Pass","Fail"),"Fail"),"Fail"))</f>
        <v>Fail</v>
      </c>
      <c r="S1143" s="29">
        <v>102</v>
      </c>
      <c r="T1143" s="116"/>
      <c r="U1143" s="48" t="s">
        <v>552</v>
      </c>
      <c r="V1143" s="53">
        <v>10000</v>
      </c>
      <c r="W1143" s="22">
        <v>15600</v>
      </c>
      <c r="X1143" s="40">
        <v>8090</v>
      </c>
      <c r="Y1143" s="40">
        <v>12070</v>
      </c>
      <c r="Z1143" s="49">
        <v>15</v>
      </c>
      <c r="AA1143" s="49">
        <v>6</v>
      </c>
    </row>
    <row r="1144" spans="1:27" ht="15.75">
      <c r="A1144" s="96"/>
      <c r="B1144" s="96"/>
      <c r="C1144" s="30" t="s">
        <v>128</v>
      </c>
      <c r="D1144">
        <v>26139.23</v>
      </c>
      <c r="E1144">
        <v>26053.439999999999</v>
      </c>
      <c r="F1144">
        <v>26124.57</v>
      </c>
      <c r="G1144">
        <v>26133.02</v>
      </c>
      <c r="H1144">
        <v>26275.79</v>
      </c>
      <c r="I1144">
        <v>26210.81</v>
      </c>
      <c r="J1144">
        <v>26089.42</v>
      </c>
      <c r="K1144">
        <v>26098.91</v>
      </c>
      <c r="L1144">
        <v>26139.43</v>
      </c>
      <c r="M1144" s="31"/>
      <c r="N1144" s="31"/>
      <c r="O1144" s="31"/>
      <c r="P1144" s="31"/>
      <c r="Q1144" s="31"/>
      <c r="R1144" s="32"/>
      <c r="S1144" s="33"/>
      <c r="Z1144" s="46"/>
      <c r="AA1144" s="46"/>
    </row>
    <row r="1145" spans="1:27" ht="13.5" thickBot="1">
      <c r="A1145" s="98"/>
      <c r="B1145" s="98"/>
      <c r="C1145" s="34" t="s">
        <v>129</v>
      </c>
      <c r="D1145" s="35">
        <f t="shared" ref="D1145:L1145" si="592">IF(((D1143="")*AND(D1144="")),"",(D1143-D1144)*3)</f>
        <v>9059.3100000000013</v>
      </c>
      <c r="E1145" s="35">
        <f t="shared" si="592"/>
        <v>9222.6600000000035</v>
      </c>
      <c r="F1145" s="35">
        <f t="shared" si="592"/>
        <v>8968.1099999999969</v>
      </c>
      <c r="G1145" s="35">
        <f t="shared" si="592"/>
        <v>8974.4100000000035</v>
      </c>
      <c r="H1145" s="35">
        <f t="shared" si="592"/>
        <v>8829.5400000000009</v>
      </c>
      <c r="I1145" s="35">
        <f t="shared" si="592"/>
        <v>9161.4899999999943</v>
      </c>
      <c r="J1145" s="35">
        <f t="shared" si="592"/>
        <v>9082.6200000000026</v>
      </c>
      <c r="K1145" s="35">
        <f t="shared" si="592"/>
        <v>9055.3199999999961</v>
      </c>
      <c r="L1145" s="35">
        <f t="shared" si="592"/>
        <v>9166.4399999999987</v>
      </c>
      <c r="M1145" s="36"/>
      <c r="N1145" s="36"/>
      <c r="O1145" s="36"/>
      <c r="P1145" s="36"/>
      <c r="Q1145" s="36"/>
      <c r="R1145" s="37"/>
      <c r="S1145" s="38"/>
      <c r="Z1145" s="46"/>
      <c r="AA1145" s="46"/>
    </row>
    <row r="1146" spans="1:27" ht="15.75">
      <c r="A1146" s="39">
        <v>44137</v>
      </c>
      <c r="B1146" s="115" t="s">
        <v>499</v>
      </c>
      <c r="C1146" s="26" t="s">
        <v>126</v>
      </c>
      <c r="D1146">
        <v>28984.880000000001</v>
      </c>
      <c r="E1146">
        <v>28831.27</v>
      </c>
      <c r="F1146">
        <v>28782.01</v>
      </c>
      <c r="G1146">
        <v>28802.36</v>
      </c>
      <c r="H1146">
        <v>28915.1</v>
      </c>
      <c r="I1146">
        <v>28861.65</v>
      </c>
      <c r="J1146">
        <v>28789.759999999998</v>
      </c>
      <c r="K1146">
        <v>28824.38</v>
      </c>
      <c r="L1146">
        <v>28970.84</v>
      </c>
      <c r="M1146" s="27">
        <f t="shared" ref="M1146" si="593">IF((L1147=""),"",MAX(D1148:L1148))</f>
        <v>11221.680000000004</v>
      </c>
      <c r="N1146" s="27">
        <f t="shared" ref="N1146" si="594">IF(L1147="","",MIN(D1148:L1148))</f>
        <v>10581.419999999998</v>
      </c>
      <c r="O1146" s="27">
        <f t="shared" ref="O1146" si="595">IF((L1148=""),"",AVERAGE(D1148:L1148))</f>
        <v>10868.500000000004</v>
      </c>
      <c r="P1146" s="27">
        <f t="shared" ref="P1146" si="596">IF((L1147=""),"",STDEV(D1148:L1148))</f>
        <v>198.76950753309197</v>
      </c>
      <c r="Q1146" s="168">
        <f>IF((L1147=""),"",((M1146-N1146)/(M1146+P1146))*100)</f>
        <v>5.6062591895150957</v>
      </c>
      <c r="R1146" s="28" t="str">
        <f t="shared" ref="R1146" si="597">IF(L1147="","",IF(Q1146&lt;Z1146,IF(N1146&gt;V1146,IF(M1146&lt;W1146,"Pass","Fail"),"Fail"),"Fail"))</f>
        <v>Pass</v>
      </c>
      <c r="S1146" s="29" t="s">
        <v>556</v>
      </c>
      <c r="T1146" s="116" t="s">
        <v>558</v>
      </c>
      <c r="U1146" s="48" t="s">
        <v>601</v>
      </c>
      <c r="V1146" s="53">
        <v>10000</v>
      </c>
      <c r="W1146" s="22">
        <v>15600</v>
      </c>
      <c r="X1146" s="40">
        <v>8090</v>
      </c>
      <c r="Y1146" s="40">
        <v>12070</v>
      </c>
      <c r="Z1146" s="49">
        <v>15</v>
      </c>
      <c r="AA1146" s="49">
        <v>6</v>
      </c>
    </row>
    <row r="1147" spans="1:27" ht="15.75">
      <c r="A1147" s="96"/>
      <c r="B1147" s="96"/>
      <c r="C1147" s="30" t="s">
        <v>128</v>
      </c>
      <c r="D1147">
        <v>25244.32</v>
      </c>
      <c r="E1147">
        <v>25168.99</v>
      </c>
      <c r="F1147">
        <v>25254.87</v>
      </c>
      <c r="G1147">
        <v>25222.799999999999</v>
      </c>
      <c r="H1147">
        <v>25344.67</v>
      </c>
      <c r="I1147">
        <v>25257.599999999999</v>
      </c>
      <c r="J1147">
        <v>25186.16</v>
      </c>
      <c r="K1147">
        <v>25201.48</v>
      </c>
      <c r="L1147">
        <v>25275.86</v>
      </c>
      <c r="M1147" s="31"/>
      <c r="N1147" s="31"/>
      <c r="O1147" s="31"/>
      <c r="P1147" s="31"/>
      <c r="Q1147" s="31"/>
      <c r="R1147" s="32"/>
      <c r="S1147" s="33"/>
    </row>
    <row r="1148" spans="1:27" ht="13.5" thickBot="1">
      <c r="A1148" s="98"/>
      <c r="B1148" s="98"/>
      <c r="C1148" s="34" t="s">
        <v>129</v>
      </c>
      <c r="D1148" s="35">
        <f t="shared" ref="D1148:L1148" si="598">IF(((D1146="")*AND(D1147="")),"",(D1146-D1147)*3)</f>
        <v>11221.680000000004</v>
      </c>
      <c r="E1148" s="35">
        <f t="shared" si="598"/>
        <v>10986.839999999997</v>
      </c>
      <c r="F1148" s="35">
        <f t="shared" si="598"/>
        <v>10581.419999999998</v>
      </c>
      <c r="G1148" s="35">
        <f t="shared" si="598"/>
        <v>10738.680000000004</v>
      </c>
      <c r="H1148" s="35">
        <f t="shared" si="598"/>
        <v>10711.29</v>
      </c>
      <c r="I1148" s="35">
        <f t="shared" si="598"/>
        <v>10812.150000000009</v>
      </c>
      <c r="J1148" s="35">
        <f t="shared" si="598"/>
        <v>10810.799999999996</v>
      </c>
      <c r="K1148" s="35">
        <f t="shared" si="598"/>
        <v>10868.700000000004</v>
      </c>
      <c r="L1148" s="35">
        <f t="shared" si="598"/>
        <v>11084.939999999999</v>
      </c>
      <c r="M1148" s="36"/>
      <c r="N1148" s="36"/>
      <c r="O1148" s="36"/>
      <c r="P1148" s="36"/>
      <c r="Q1148" s="36"/>
      <c r="R1148" s="37"/>
      <c r="S1148" s="38"/>
    </row>
    <row r="1149" spans="1:27" ht="15.75">
      <c r="A1149" s="39">
        <v>44144</v>
      </c>
      <c r="B1149" s="115" t="s">
        <v>499</v>
      </c>
      <c r="C1149" s="26" t="s">
        <v>126</v>
      </c>
      <c r="D1149" s="102">
        <v>28976.52</v>
      </c>
      <c r="E1149" s="102">
        <v>28821.82</v>
      </c>
      <c r="F1149" s="102">
        <v>28783.8</v>
      </c>
      <c r="G1149" s="102">
        <v>28810.19</v>
      </c>
      <c r="H1149" s="102">
        <v>28922.09</v>
      </c>
      <c r="I1149" s="102">
        <v>28925.88</v>
      </c>
      <c r="J1149" s="102">
        <v>28806.89</v>
      </c>
      <c r="K1149" s="102">
        <v>28808.14</v>
      </c>
      <c r="L1149" s="102">
        <v>28941.45</v>
      </c>
      <c r="M1149" s="27">
        <f t="shared" ref="M1149" si="599">IF((L1150=""),"",MAX(D1151:L1151))</f>
        <v>11698.799999999996</v>
      </c>
      <c r="N1149" s="27">
        <f t="shared" ref="N1149" si="600">IF(L1150="","",MIN(D1151:L1151))</f>
        <v>10918.080000000002</v>
      </c>
      <c r="O1149" s="27">
        <f t="shared" ref="O1149" si="601">IF((L1151=""),"",AVERAGE(D1151:L1151))</f>
        <v>11218.246666666666</v>
      </c>
      <c r="P1149" s="27">
        <f t="shared" ref="P1149" si="602">IF((L1150=""),"",STDEV(D1151:L1151))</f>
        <v>242.37531191314943</v>
      </c>
      <c r="Q1149" s="168">
        <f>IF((L1150=""),"",((M1149-N1149)/(M1149+P1149))*100)</f>
        <v>6.5380498954831241</v>
      </c>
      <c r="R1149" s="28" t="str">
        <f t="shared" ref="R1149" si="603">IF(L1150="","",IF(Q1149&lt;Z1149,IF(N1149&gt;V1149,IF(M1149&lt;W1149,"Pass","Fail"),"Fail"),"Fail"))</f>
        <v>Pass</v>
      </c>
      <c r="S1149" s="29">
        <v>1428</v>
      </c>
      <c r="T1149" s="116" t="s">
        <v>569</v>
      </c>
      <c r="V1149" s="53">
        <v>10000</v>
      </c>
      <c r="W1149" s="22">
        <v>15600</v>
      </c>
      <c r="X1149" s="40">
        <v>8090</v>
      </c>
      <c r="Y1149" s="40">
        <v>12070</v>
      </c>
      <c r="Z1149" s="49">
        <v>15</v>
      </c>
      <c r="AA1149" s="49">
        <v>6</v>
      </c>
    </row>
    <row r="1150" spans="1:27" ht="15.75">
      <c r="A1150" s="96"/>
      <c r="B1150" s="96"/>
      <c r="C1150" s="30" t="s">
        <v>128</v>
      </c>
      <c r="D1150" s="102">
        <v>25326.38</v>
      </c>
      <c r="E1150" s="102">
        <v>25128.92</v>
      </c>
      <c r="F1150" s="102">
        <v>25144.44</v>
      </c>
      <c r="G1150" s="102">
        <v>25020.37</v>
      </c>
      <c r="H1150" s="102">
        <v>25022.49</v>
      </c>
      <c r="I1150" s="102">
        <v>25155.759999999998</v>
      </c>
      <c r="J1150" s="102">
        <v>25113.34</v>
      </c>
      <c r="K1150" s="102">
        <v>25050.82</v>
      </c>
      <c r="L1150" s="102">
        <v>25179.52</v>
      </c>
      <c r="M1150" s="31"/>
      <c r="N1150" s="31"/>
      <c r="O1150" s="31"/>
      <c r="P1150" s="31"/>
      <c r="Q1150" s="31"/>
      <c r="R1150" s="32"/>
      <c r="S1150" s="33"/>
    </row>
    <row r="1151" spans="1:27" ht="13.5" thickBot="1">
      <c r="A1151" s="98"/>
      <c r="B1151" s="98"/>
      <c r="C1151" s="34" t="s">
        <v>129</v>
      </c>
      <c r="D1151" s="35">
        <f t="shared" ref="D1151:L1151" si="604">IF(((D1149="")*AND(D1150="")),"",(D1149-D1150)*3)</f>
        <v>10950.419999999998</v>
      </c>
      <c r="E1151" s="35">
        <f t="shared" si="604"/>
        <v>11078.700000000004</v>
      </c>
      <c r="F1151" s="35">
        <f t="shared" si="604"/>
        <v>10918.080000000002</v>
      </c>
      <c r="G1151" s="35">
        <f t="shared" si="604"/>
        <v>11369.46</v>
      </c>
      <c r="H1151" s="35">
        <f t="shared" si="604"/>
        <v>11698.799999999996</v>
      </c>
      <c r="I1151" s="35">
        <f t="shared" si="604"/>
        <v>11310.360000000008</v>
      </c>
      <c r="J1151" s="35">
        <f t="shared" si="604"/>
        <v>11080.649999999998</v>
      </c>
      <c r="K1151" s="35">
        <f t="shared" si="604"/>
        <v>11271.96</v>
      </c>
      <c r="L1151" s="35">
        <f t="shared" si="604"/>
        <v>11285.79</v>
      </c>
      <c r="M1151" s="36"/>
      <c r="N1151" s="36"/>
      <c r="O1151" s="36"/>
      <c r="P1151" s="36"/>
      <c r="Q1151" s="36"/>
      <c r="R1151" s="37"/>
      <c r="S1151" s="38"/>
    </row>
    <row r="1152" spans="1:27" ht="15.75">
      <c r="A1152" s="39">
        <v>44151</v>
      </c>
      <c r="B1152" s="115" t="s">
        <v>499</v>
      </c>
      <c r="C1152" s="26" t="s">
        <v>126</v>
      </c>
      <c r="D1152">
        <v>28921.5</v>
      </c>
      <c r="E1152">
        <v>28756.45</v>
      </c>
      <c r="F1152">
        <v>28707.15</v>
      </c>
      <c r="G1152">
        <v>28738.19</v>
      </c>
      <c r="H1152">
        <v>28849.65</v>
      </c>
      <c r="I1152">
        <v>28814.75</v>
      </c>
      <c r="J1152">
        <v>28729.01</v>
      </c>
      <c r="K1152">
        <v>28754.54</v>
      </c>
      <c r="L1152">
        <v>28908.79</v>
      </c>
      <c r="M1152" s="27">
        <f t="shared" ref="M1152" si="605">IF((L1153=""),"",MAX(D1154:L1154))</f>
        <v>11792.430000000004</v>
      </c>
      <c r="N1152" s="27">
        <f t="shared" ref="N1152" si="606">IF(L1153="","",MIN(D1154:L1154))</f>
        <v>10818.390000000003</v>
      </c>
      <c r="O1152" s="27">
        <f t="shared" ref="O1152" si="607">IF((L1154=""),"",AVERAGE(D1154:L1154))</f>
        <v>11220.166666666664</v>
      </c>
      <c r="P1152" s="27">
        <f t="shared" ref="P1152" si="608">IF((L1153=""),"",STDEV(D1154:L1154))</f>
        <v>302.99645905532481</v>
      </c>
      <c r="Q1152" s="168">
        <f>IF((L1153=""),"",((M1152-N1152)/(M1152+P1152))*100)</f>
        <v>8.0529612022962507</v>
      </c>
      <c r="R1152" s="28" t="str">
        <f t="shared" ref="R1152" si="609">IF(L1153="","",IF(Q1152&lt;Z1152,IF(N1152&gt;V1152,IF(M1152&lt;W1152,"Pass","Fail"),"Fail"),"Fail"))</f>
        <v>Pass</v>
      </c>
      <c r="S1152" s="29">
        <v>1340</v>
      </c>
      <c r="T1152" s="116" t="s">
        <v>571</v>
      </c>
      <c r="V1152" s="53">
        <v>10000</v>
      </c>
      <c r="W1152" s="22">
        <v>15600</v>
      </c>
      <c r="X1152" s="40">
        <v>8090</v>
      </c>
      <c r="Y1152" s="40">
        <v>12070</v>
      </c>
      <c r="Z1152" s="49">
        <v>15</v>
      </c>
      <c r="AA1152" s="49">
        <v>6</v>
      </c>
    </row>
    <row r="1153" spans="1:27" ht="15.75">
      <c r="A1153" s="96"/>
      <c r="B1153" s="96"/>
      <c r="C1153" s="30" t="s">
        <v>128</v>
      </c>
      <c r="D1153">
        <v>24990.69</v>
      </c>
      <c r="E1153">
        <v>24946.58</v>
      </c>
      <c r="F1153">
        <v>25078.79</v>
      </c>
      <c r="G1153">
        <v>25065.67</v>
      </c>
      <c r="H1153">
        <v>25243.52</v>
      </c>
      <c r="I1153">
        <v>25081.45</v>
      </c>
      <c r="J1153">
        <v>25003.040000000001</v>
      </c>
      <c r="K1153">
        <v>25012.639999999999</v>
      </c>
      <c r="L1153">
        <v>25097.15</v>
      </c>
      <c r="M1153" s="31"/>
      <c r="N1153" s="31"/>
      <c r="O1153" s="31"/>
      <c r="P1153" s="31"/>
      <c r="Q1153" s="31"/>
      <c r="R1153" s="32"/>
      <c r="S1153" s="33"/>
    </row>
    <row r="1154" spans="1:27" ht="13.5" thickBot="1">
      <c r="A1154" s="98"/>
      <c r="B1154" s="98"/>
      <c r="C1154" s="34" t="s">
        <v>129</v>
      </c>
      <c r="D1154" s="35">
        <f t="shared" ref="D1154:L1154" si="610">IF(((D1152="")*AND(D1153="")),"",(D1152-D1153)*3)</f>
        <v>11792.430000000004</v>
      </c>
      <c r="E1154" s="35">
        <f t="shared" si="610"/>
        <v>11429.609999999997</v>
      </c>
      <c r="F1154" s="35">
        <f t="shared" si="610"/>
        <v>10885.080000000002</v>
      </c>
      <c r="G1154" s="35">
        <f t="shared" si="610"/>
        <v>11017.560000000001</v>
      </c>
      <c r="H1154" s="35">
        <f t="shared" si="610"/>
        <v>10818.390000000003</v>
      </c>
      <c r="I1154" s="35">
        <f t="shared" si="610"/>
        <v>11199.899999999998</v>
      </c>
      <c r="J1154" s="35">
        <f t="shared" si="610"/>
        <v>11177.909999999993</v>
      </c>
      <c r="K1154" s="35">
        <f t="shared" si="610"/>
        <v>11225.700000000004</v>
      </c>
      <c r="L1154" s="35">
        <f t="shared" si="610"/>
        <v>11434.919999999998</v>
      </c>
      <c r="M1154" s="36"/>
      <c r="N1154" s="36"/>
      <c r="O1154" s="36"/>
      <c r="P1154" s="36"/>
      <c r="Q1154" s="36"/>
      <c r="R1154" s="37"/>
      <c r="S1154" s="38"/>
    </row>
    <row r="1155" spans="1:27" ht="15.75">
      <c r="A1155" s="39">
        <v>44155</v>
      </c>
      <c r="B1155" s="115" t="s">
        <v>499</v>
      </c>
      <c r="C1155" s="26" t="s">
        <v>126</v>
      </c>
      <c r="D1155">
        <v>29239.17</v>
      </c>
      <c r="E1155">
        <v>29111.52</v>
      </c>
      <c r="F1155">
        <v>29093.88</v>
      </c>
      <c r="G1155">
        <v>29097.46</v>
      </c>
      <c r="H1155">
        <v>29226.9</v>
      </c>
      <c r="I1155">
        <v>29183.96</v>
      </c>
      <c r="J1155">
        <v>29109.55</v>
      </c>
      <c r="K1155">
        <v>29109.1</v>
      </c>
      <c r="L1155">
        <v>29300.06</v>
      </c>
      <c r="M1155" s="27">
        <f t="shared" ref="M1155" si="611">IF((L1156=""),"",MAX(D1157:L1157))</f>
        <v>12330.180000000004</v>
      </c>
      <c r="N1155" s="27">
        <f t="shared" ref="N1155" si="612">IF(L1156="","",MIN(D1157:L1157))</f>
        <v>11722.409999999993</v>
      </c>
      <c r="O1155" s="27">
        <f t="shared" ref="O1155" si="613">IF((L1157=""),"",AVERAGE(D1157:L1157))</f>
        <v>11998.75</v>
      </c>
      <c r="P1155" s="27">
        <f t="shared" ref="P1155" si="614">IF((L1156=""),"",STDEV(D1157:L1157))</f>
        <v>193.69869101248963</v>
      </c>
      <c r="Q1155" s="168">
        <f>IF((L1156=""),"",((M1155-N1155)/(M1155+P1155))*100)</f>
        <v>4.8528895479973402</v>
      </c>
      <c r="R1155" s="28" t="str">
        <f t="shared" ref="R1155" si="615">IF(L1156="","",IF(Q1155&lt;Z1155,IF(N1155&gt;V1155,IF(M1155&lt;W1155,"Pass","Fail"),"Fail"),"Fail"))</f>
        <v>Pass</v>
      </c>
      <c r="S1155" s="29">
        <v>1340</v>
      </c>
      <c r="T1155" s="116" t="s">
        <v>573</v>
      </c>
      <c r="V1155" s="53">
        <v>10000</v>
      </c>
      <c r="W1155" s="22">
        <v>15600</v>
      </c>
      <c r="X1155" s="40">
        <v>8090</v>
      </c>
      <c r="Y1155" s="40">
        <v>12070</v>
      </c>
      <c r="Z1155" s="49">
        <v>15</v>
      </c>
      <c r="AA1155" s="49">
        <v>6</v>
      </c>
    </row>
    <row r="1156" spans="1:27" ht="15.75">
      <c r="A1156" s="96"/>
      <c r="B1156" s="96"/>
      <c r="C1156" s="30" t="s">
        <v>128</v>
      </c>
      <c r="D1156">
        <v>25331.7</v>
      </c>
      <c r="E1156">
        <v>25157.33</v>
      </c>
      <c r="F1156">
        <v>25170.41</v>
      </c>
      <c r="G1156">
        <v>25050.28</v>
      </c>
      <c r="H1156">
        <v>25116.84</v>
      </c>
      <c r="I1156">
        <v>25147.71</v>
      </c>
      <c r="J1156">
        <v>25127.83</v>
      </c>
      <c r="K1156">
        <v>25081.08</v>
      </c>
      <c r="L1156">
        <v>25292.17</v>
      </c>
      <c r="M1156" s="31"/>
      <c r="N1156" s="31"/>
      <c r="O1156" s="31"/>
      <c r="P1156" s="31"/>
      <c r="Q1156" s="31"/>
      <c r="R1156" s="32"/>
      <c r="S1156" s="33"/>
    </row>
    <row r="1157" spans="1:27" ht="13.5" thickBot="1">
      <c r="A1157" s="98"/>
      <c r="B1157" s="98"/>
      <c r="C1157" s="34" t="s">
        <v>129</v>
      </c>
      <c r="D1157" s="35">
        <f t="shared" ref="D1157:L1157" si="616">IF(((D1155="")*AND(D1156="")),"",(D1155-D1156)*3)</f>
        <v>11722.409999999993</v>
      </c>
      <c r="E1157" s="35">
        <f t="shared" si="616"/>
        <v>11862.569999999996</v>
      </c>
      <c r="F1157" s="35">
        <f t="shared" si="616"/>
        <v>11770.410000000003</v>
      </c>
      <c r="G1157" s="35">
        <f t="shared" si="616"/>
        <v>12141.54</v>
      </c>
      <c r="H1157" s="35">
        <f t="shared" si="616"/>
        <v>12330.180000000004</v>
      </c>
      <c r="I1157" s="35">
        <f t="shared" si="616"/>
        <v>12108.75</v>
      </c>
      <c r="J1157" s="35">
        <f t="shared" si="616"/>
        <v>11945.159999999993</v>
      </c>
      <c r="K1157" s="35">
        <f t="shared" si="616"/>
        <v>12084.05999999999</v>
      </c>
      <c r="L1157" s="35">
        <f t="shared" si="616"/>
        <v>12023.670000000009</v>
      </c>
      <c r="M1157" s="36"/>
      <c r="N1157" s="36"/>
      <c r="O1157" s="36"/>
      <c r="P1157" s="36"/>
      <c r="Q1157" s="36"/>
      <c r="R1157" s="37"/>
      <c r="S1157" s="38"/>
    </row>
    <row r="1158" spans="1:27" ht="15.75">
      <c r="A1158" s="39">
        <v>44159</v>
      </c>
      <c r="B1158" s="115" t="s">
        <v>499</v>
      </c>
      <c r="C1158" s="26" t="s">
        <v>126</v>
      </c>
      <c r="D1158">
        <v>29527.25</v>
      </c>
      <c r="E1158">
        <v>29348.42</v>
      </c>
      <c r="F1158">
        <v>29326.9</v>
      </c>
      <c r="G1158">
        <v>29324.73</v>
      </c>
      <c r="H1158">
        <v>29450.98</v>
      </c>
      <c r="I1158">
        <v>29459.3</v>
      </c>
      <c r="J1158">
        <v>29333.88</v>
      </c>
      <c r="K1158">
        <v>29340.98</v>
      </c>
      <c r="L1158">
        <v>29514.75</v>
      </c>
      <c r="M1158" s="27">
        <f t="shared" ref="M1158" si="617">IF((L1159=""),"",MAX(D1160:L1160))</f>
        <v>13220.189999999999</v>
      </c>
      <c r="N1158" s="27">
        <f t="shared" ref="N1158" si="618">IF(L1159="","",MIN(D1160:L1160))</f>
        <v>12164.850000000002</v>
      </c>
      <c r="O1158" s="27">
        <f t="shared" ref="O1158" si="619">IF((L1160=""),"",AVERAGE(D1160:L1160))</f>
        <v>12584.063333333334</v>
      </c>
      <c r="P1158" s="27">
        <f t="shared" ref="P1158" si="620">IF((L1159=""),"",STDEV(D1160:L1160))</f>
        <v>352.84105302528968</v>
      </c>
      <c r="Q1158" s="168">
        <f>IF((L1159=""),"",((M1158-N1158)/(M1158+P1158))*100)</f>
        <v>7.7752713883666544</v>
      </c>
      <c r="R1158" s="28" t="str">
        <f t="shared" ref="R1158" si="621">IF(L1159="","",IF(Q1158&lt;Z1158,IF(N1158&gt;V1158,IF(M1158&lt;W1158,"Pass","Fail"),"Fail"),"Fail"))</f>
        <v>Pass</v>
      </c>
      <c r="S1158" s="29">
        <v>1159</v>
      </c>
      <c r="T1158" s="116" t="s">
        <v>576</v>
      </c>
      <c r="V1158" s="53">
        <v>10000</v>
      </c>
      <c r="W1158" s="22">
        <v>15600</v>
      </c>
      <c r="X1158" s="40">
        <v>8090</v>
      </c>
      <c r="Y1158" s="40">
        <v>12070</v>
      </c>
      <c r="Z1158" s="49">
        <v>15</v>
      </c>
      <c r="AA1158" s="49">
        <v>6</v>
      </c>
    </row>
    <row r="1159" spans="1:27" ht="15.75">
      <c r="A1159" s="96"/>
      <c r="B1159" s="96"/>
      <c r="C1159" s="30" t="s">
        <v>128</v>
      </c>
      <c r="D1159">
        <v>25120.52</v>
      </c>
      <c r="E1159">
        <v>25104.95</v>
      </c>
      <c r="F1159">
        <v>25245.41</v>
      </c>
      <c r="G1159">
        <v>25222.98</v>
      </c>
      <c r="H1159">
        <v>25396.03</v>
      </c>
      <c r="I1159">
        <v>25280.49</v>
      </c>
      <c r="J1159">
        <v>25188.99</v>
      </c>
      <c r="K1159">
        <v>25135.17</v>
      </c>
      <c r="L1159">
        <v>25180.46</v>
      </c>
      <c r="M1159" s="31"/>
      <c r="N1159" s="31"/>
      <c r="O1159" s="31"/>
      <c r="P1159" s="31"/>
      <c r="Q1159" s="31"/>
      <c r="R1159" s="32"/>
      <c r="S1159" s="33"/>
    </row>
    <row r="1160" spans="1:27" ht="13.5" thickBot="1">
      <c r="A1160" s="98"/>
      <c r="B1160" s="98"/>
      <c r="C1160" s="34" t="s">
        <v>129</v>
      </c>
      <c r="D1160" s="35">
        <f t="shared" ref="D1160:L1160" si="622">IF(((D1158="")*AND(D1159="")),"",(D1158-D1159)*3)</f>
        <v>13220.189999999999</v>
      </c>
      <c r="E1160" s="35">
        <f t="shared" si="622"/>
        <v>12730.409999999993</v>
      </c>
      <c r="F1160" s="35">
        <f t="shared" si="622"/>
        <v>12244.470000000005</v>
      </c>
      <c r="G1160" s="35">
        <f t="shared" si="622"/>
        <v>12305.25</v>
      </c>
      <c r="H1160" s="35">
        <f t="shared" si="622"/>
        <v>12164.850000000002</v>
      </c>
      <c r="I1160" s="35">
        <f t="shared" si="622"/>
        <v>12536.429999999993</v>
      </c>
      <c r="J1160" s="35">
        <f t="shared" si="622"/>
        <v>12434.669999999998</v>
      </c>
      <c r="K1160" s="35">
        <f t="shared" si="622"/>
        <v>12617.430000000004</v>
      </c>
      <c r="L1160" s="35">
        <f t="shared" si="622"/>
        <v>13002.870000000003</v>
      </c>
      <c r="M1160" s="36"/>
      <c r="N1160" s="36"/>
      <c r="O1160" s="36"/>
      <c r="P1160" s="36"/>
      <c r="Q1160" s="36"/>
      <c r="R1160" s="37"/>
      <c r="S1160" s="38"/>
    </row>
    <row r="1161" spans="1:27" ht="15.75">
      <c r="A1161" s="39">
        <v>44162</v>
      </c>
      <c r="B1161" s="115" t="s">
        <v>499</v>
      </c>
      <c r="C1161" s="26" t="s">
        <v>126</v>
      </c>
      <c r="D1161">
        <v>29118.92</v>
      </c>
      <c r="E1161">
        <v>28985.42</v>
      </c>
      <c r="F1161">
        <v>28967.360000000001</v>
      </c>
      <c r="G1161">
        <v>28989.22</v>
      </c>
      <c r="H1161">
        <v>29101.03</v>
      </c>
      <c r="I1161">
        <v>29059.9</v>
      </c>
      <c r="J1161">
        <v>28967.119999999999</v>
      </c>
      <c r="K1161">
        <v>28995.95</v>
      </c>
      <c r="L1161">
        <v>29118.02</v>
      </c>
      <c r="M1161" s="27">
        <f t="shared" ref="M1161" si="623">IF((L1162=""),"",MAX(D1163:L1163))</f>
        <v>12973.98</v>
      </c>
      <c r="N1161" s="27">
        <f t="shared" ref="N1161" si="624">IF(L1162="","",MIN(D1163:L1163))</f>
        <v>12204.179999999993</v>
      </c>
      <c r="O1161" s="27">
        <f t="shared" ref="O1161" si="625">IF((L1163=""),"",AVERAGE(D1163:L1163))</f>
        <v>12512.123333333331</v>
      </c>
      <c r="P1161" s="27">
        <f t="shared" ref="P1161" si="626">IF((L1162=""),"",STDEV(D1163:L1163))</f>
        <v>279.00489704494242</v>
      </c>
      <c r="Q1161" s="168">
        <f>IF((L1162=""),"",((M1161-N1161)/(M1161+P1161))*100)</f>
        <v>5.8085028088400765</v>
      </c>
      <c r="R1161" s="28" t="str">
        <f t="shared" ref="R1161" si="627">IF(L1162="","",IF(Q1161&lt;Z1161,IF(N1161&gt;V1161,IF(M1161&lt;W1161,"Pass","Fail"),"Fail"),"Fail"))</f>
        <v>Pass</v>
      </c>
      <c r="S1161" s="29">
        <v>121</v>
      </c>
      <c r="T1161" s="116"/>
      <c r="V1161" s="53">
        <v>10000</v>
      </c>
      <c r="W1161" s="22">
        <v>15600</v>
      </c>
      <c r="X1161" s="40">
        <v>8090</v>
      </c>
      <c r="Y1161" s="40">
        <v>12070</v>
      </c>
      <c r="Z1161" s="49">
        <v>15</v>
      </c>
      <c r="AA1161" s="49">
        <v>6</v>
      </c>
    </row>
    <row r="1162" spans="1:27" ht="15.75">
      <c r="A1162" s="96"/>
      <c r="B1162" s="96"/>
      <c r="C1162" s="30" t="s">
        <v>128</v>
      </c>
      <c r="D1162">
        <v>24836.73</v>
      </c>
      <c r="E1162">
        <v>24754.76</v>
      </c>
      <c r="F1162">
        <v>24885.03</v>
      </c>
      <c r="G1162">
        <v>24875.39</v>
      </c>
      <c r="H1162">
        <v>25032.97</v>
      </c>
      <c r="I1162">
        <v>24966.06</v>
      </c>
      <c r="J1162">
        <v>24828.18</v>
      </c>
      <c r="K1162">
        <v>24794.09</v>
      </c>
      <c r="L1162">
        <v>24793.360000000001</v>
      </c>
      <c r="M1162" s="31"/>
      <c r="N1162" s="31"/>
      <c r="O1162" s="31"/>
      <c r="P1162" s="31"/>
      <c r="Q1162" s="31"/>
      <c r="R1162" s="32"/>
      <c r="S1162" s="33"/>
    </row>
    <row r="1163" spans="1:27" ht="13.5" thickBot="1">
      <c r="A1163" s="98"/>
      <c r="B1163" s="98"/>
      <c r="C1163" s="34" t="s">
        <v>129</v>
      </c>
      <c r="D1163" s="35">
        <f t="shared" ref="D1163:L1163" si="628">IF(((D1161="")*AND(D1162="")),"",(D1161-D1162)*3)</f>
        <v>12846.569999999996</v>
      </c>
      <c r="E1163" s="35">
        <f t="shared" si="628"/>
        <v>12691.98</v>
      </c>
      <c r="F1163" s="35">
        <f t="shared" si="628"/>
        <v>12246.990000000005</v>
      </c>
      <c r="G1163" s="35">
        <f t="shared" si="628"/>
        <v>12341.490000000005</v>
      </c>
      <c r="H1163" s="35">
        <f t="shared" si="628"/>
        <v>12204.179999999993</v>
      </c>
      <c r="I1163" s="35">
        <f t="shared" si="628"/>
        <v>12281.52</v>
      </c>
      <c r="J1163" s="35">
        <f t="shared" si="628"/>
        <v>12416.819999999996</v>
      </c>
      <c r="K1163" s="35">
        <f t="shared" si="628"/>
        <v>12605.580000000002</v>
      </c>
      <c r="L1163" s="35">
        <f t="shared" si="628"/>
        <v>12973.98</v>
      </c>
      <c r="M1163" s="36"/>
      <c r="N1163" s="36"/>
      <c r="O1163" s="36"/>
      <c r="P1163" s="36"/>
      <c r="Q1163" s="36"/>
      <c r="R1163" s="37"/>
      <c r="S1163" s="38"/>
    </row>
    <row r="1164" spans="1:27" ht="15.75">
      <c r="A1164" s="39">
        <v>44162</v>
      </c>
      <c r="B1164" s="115" t="s">
        <v>499</v>
      </c>
      <c r="C1164" s="26" t="s">
        <v>126</v>
      </c>
      <c r="D1164">
        <v>29180.1</v>
      </c>
      <c r="E1164">
        <v>29028.1</v>
      </c>
      <c r="F1164">
        <v>29035.64</v>
      </c>
      <c r="G1164">
        <v>29013.040000000001</v>
      </c>
      <c r="H1164">
        <v>29115.62</v>
      </c>
      <c r="I1164">
        <v>29127.15</v>
      </c>
      <c r="J1164">
        <v>29006.6</v>
      </c>
      <c r="K1164">
        <v>29032.62</v>
      </c>
      <c r="L1164">
        <v>29168.98</v>
      </c>
      <c r="M1164" s="27">
        <f t="shared" ref="M1164" si="629">IF((L1165=""),"",MAX(D1166:L1166))</f>
        <v>12738.239999999994</v>
      </c>
      <c r="N1164" s="27">
        <f t="shared" ref="N1164" si="630">IF(L1165="","",MIN(D1166:L1166))</f>
        <v>11996.159999999993</v>
      </c>
      <c r="O1164" s="27">
        <f t="shared" ref="O1164" si="631">IF((L1166=""),"",AVERAGE(D1166:L1166))</f>
        <v>12331.676666666663</v>
      </c>
      <c r="P1164" s="27">
        <f t="shared" ref="P1164" si="632">IF((L1165=""),"",STDEV(D1166:L1166))</f>
        <v>227.32717226510377</v>
      </c>
      <c r="Q1164" s="168">
        <f>IF((L1165=""),"",((M1164-N1164)/(M1164+P1164))*100)</f>
        <v>5.7234673203298021</v>
      </c>
      <c r="R1164" s="28" t="str">
        <f t="shared" ref="R1164" si="633">IF(L1165="","",IF(Q1164&lt;Z1164,IF(N1164&gt;V1164,IF(M1164&lt;W1164,"Pass","Fail"),"Fail"),"Fail"))</f>
        <v>Pass</v>
      </c>
      <c r="S1164" s="29">
        <v>1335</v>
      </c>
      <c r="T1164" s="116" t="s">
        <v>579</v>
      </c>
      <c r="V1164" s="53">
        <v>10000</v>
      </c>
      <c r="W1164" s="22">
        <v>15600</v>
      </c>
      <c r="X1164" s="40">
        <v>8090</v>
      </c>
      <c r="Y1164" s="40">
        <v>12070</v>
      </c>
      <c r="Z1164" s="49">
        <v>15</v>
      </c>
      <c r="AA1164" s="49">
        <v>6</v>
      </c>
    </row>
    <row r="1165" spans="1:27" ht="15.75">
      <c r="A1165" s="96"/>
      <c r="B1165" s="96"/>
      <c r="C1165" s="30" t="s">
        <v>128</v>
      </c>
      <c r="D1165">
        <v>25181.38</v>
      </c>
      <c r="E1165">
        <v>24953.61</v>
      </c>
      <c r="F1165">
        <v>24992.05</v>
      </c>
      <c r="G1165">
        <v>24849.62</v>
      </c>
      <c r="H1165">
        <v>24869.54</v>
      </c>
      <c r="I1165">
        <v>25019.78</v>
      </c>
      <c r="J1165">
        <v>24949.65</v>
      </c>
      <c r="K1165">
        <v>24872.39</v>
      </c>
      <c r="L1165">
        <v>25024.799999999999</v>
      </c>
      <c r="M1165" s="31"/>
      <c r="N1165" s="31"/>
      <c r="O1165" s="31"/>
      <c r="P1165" s="31"/>
      <c r="Q1165" s="31"/>
      <c r="R1165" s="32"/>
      <c r="S1165" s="33"/>
    </row>
    <row r="1166" spans="1:27" ht="13.5" thickBot="1">
      <c r="A1166" s="98"/>
      <c r="B1166" s="98"/>
      <c r="C1166" s="34" t="s">
        <v>129</v>
      </c>
      <c r="D1166" s="35">
        <f t="shared" ref="D1166:L1166" si="634">IF(((D1164="")*AND(D1165="")),"",(D1164-D1165)*3)</f>
        <v>11996.159999999993</v>
      </c>
      <c r="E1166" s="35">
        <f t="shared" si="634"/>
        <v>12223.469999999994</v>
      </c>
      <c r="F1166" s="35">
        <f t="shared" si="634"/>
        <v>12130.77</v>
      </c>
      <c r="G1166" s="35">
        <f t="shared" si="634"/>
        <v>12490.260000000006</v>
      </c>
      <c r="H1166" s="35">
        <f t="shared" si="634"/>
        <v>12738.239999999994</v>
      </c>
      <c r="I1166" s="35">
        <f t="shared" si="634"/>
        <v>12322.110000000008</v>
      </c>
      <c r="J1166" s="35">
        <f t="shared" si="634"/>
        <v>12170.849999999991</v>
      </c>
      <c r="K1166" s="35">
        <f t="shared" si="634"/>
        <v>12480.689999999999</v>
      </c>
      <c r="L1166" s="35">
        <f t="shared" si="634"/>
        <v>12432.54</v>
      </c>
      <c r="M1166" s="36"/>
      <c r="N1166" s="36"/>
      <c r="O1166" s="36"/>
      <c r="P1166" s="36"/>
      <c r="Q1166" s="36"/>
      <c r="R1166" s="37"/>
      <c r="S1166" s="38"/>
    </row>
    <row r="1167" spans="1:27" ht="15.75">
      <c r="A1167" s="39">
        <v>44166</v>
      </c>
      <c r="B1167" s="115" t="s">
        <v>429</v>
      </c>
      <c r="C1167" s="26" t="s">
        <v>126</v>
      </c>
      <c r="D1167" s="102">
        <v>29121.39</v>
      </c>
      <c r="E1167" s="102">
        <v>28961.56</v>
      </c>
      <c r="F1167" s="102">
        <v>28924.47</v>
      </c>
      <c r="G1167" s="102">
        <v>28943.67</v>
      </c>
      <c r="H1167" s="102">
        <v>29050.94</v>
      </c>
      <c r="I1167" s="102">
        <v>29013.72</v>
      </c>
      <c r="J1167" s="102">
        <v>28918.69</v>
      </c>
      <c r="K1167" s="102">
        <v>28962.45</v>
      </c>
      <c r="L1167" s="102">
        <v>29102.240000000002</v>
      </c>
      <c r="M1167" s="27">
        <f t="shared" ref="M1167" si="635">IF((L1168=""),"",MAX(D1169:L1169))</f>
        <v>15484.23</v>
      </c>
      <c r="N1167" s="27">
        <f t="shared" ref="N1167" si="636">IF(L1168="","",MIN(D1169:L1169))</f>
        <v>13361.30999999999</v>
      </c>
      <c r="O1167" s="27">
        <f t="shared" ref="O1167" si="637">IF((L1169=""),"",AVERAGE(D1169:L1169))</f>
        <v>14549.193333333331</v>
      </c>
      <c r="P1167" s="27">
        <f t="shared" ref="P1167" si="638">IF((L1168=""),"",STDEV(D1169:L1169))</f>
        <v>738.04597195906933</v>
      </c>
      <c r="Q1167" s="168">
        <f>IF((L1168=""),"",((M1167-N1167)/(M1167+P1167))*100)</f>
        <v>13.086449790828189</v>
      </c>
      <c r="R1167" s="28" t="str">
        <f t="shared" ref="R1167" si="639">IF(L1168="","",IF(Q1167&lt;Z1167,IF(N1167&gt;V1167,IF(M1167&lt;W1167,"Pass","Fail"),"Fail"),"Fail"))</f>
        <v>Pass</v>
      </c>
      <c r="S1167" s="29">
        <v>1428</v>
      </c>
      <c r="T1167" s="116" t="s">
        <v>585</v>
      </c>
      <c r="V1167" s="53">
        <v>10000</v>
      </c>
      <c r="W1167" s="22">
        <v>15600</v>
      </c>
      <c r="X1167" s="40">
        <v>8090</v>
      </c>
      <c r="Y1167" s="40">
        <v>12070</v>
      </c>
      <c r="Z1167" s="49">
        <v>15</v>
      </c>
      <c r="AA1167" s="49">
        <v>6</v>
      </c>
    </row>
    <row r="1168" spans="1:27" ht="15.75">
      <c r="A1168" s="96"/>
      <c r="B1168" s="96"/>
      <c r="C1168" s="30" t="s">
        <v>128</v>
      </c>
      <c r="D1168">
        <v>24489.58</v>
      </c>
      <c r="E1168">
        <v>24028.69</v>
      </c>
      <c r="F1168">
        <v>23933.34</v>
      </c>
      <c r="G1168">
        <v>24489.9</v>
      </c>
      <c r="H1168">
        <v>24343.4</v>
      </c>
      <c r="I1168">
        <v>24343.09</v>
      </c>
      <c r="J1168">
        <v>23978.99</v>
      </c>
      <c r="K1168">
        <v>23801.040000000001</v>
      </c>
      <c r="L1168">
        <v>23943.52</v>
      </c>
      <c r="M1168" s="31"/>
      <c r="N1168" s="31"/>
      <c r="O1168" s="31"/>
      <c r="P1168" s="31"/>
      <c r="Q1168" s="31"/>
      <c r="R1168" s="32"/>
      <c r="S1168" s="33"/>
    </row>
    <row r="1169" spans="1:27" ht="13.5" thickBot="1">
      <c r="A1169" s="98"/>
      <c r="B1169" s="98"/>
      <c r="C1169" s="34" t="s">
        <v>129</v>
      </c>
      <c r="D1169" s="35">
        <f t="shared" ref="D1169:L1169" si="640">IF(((D1167="")*AND(D1168="")),"",(D1167-D1168)*3)</f>
        <v>13895.429999999993</v>
      </c>
      <c r="E1169" s="35">
        <f t="shared" si="640"/>
        <v>14798.610000000008</v>
      </c>
      <c r="F1169" s="35">
        <f t="shared" si="640"/>
        <v>14973.390000000003</v>
      </c>
      <c r="G1169" s="35">
        <f t="shared" si="640"/>
        <v>13361.30999999999</v>
      </c>
      <c r="H1169" s="35">
        <f t="shared" si="640"/>
        <v>14122.619999999992</v>
      </c>
      <c r="I1169" s="35">
        <f t="shared" si="640"/>
        <v>14011.890000000003</v>
      </c>
      <c r="J1169" s="35">
        <f t="shared" si="640"/>
        <v>14819.099999999991</v>
      </c>
      <c r="K1169" s="35">
        <f t="shared" si="640"/>
        <v>15484.23</v>
      </c>
      <c r="L1169" s="35">
        <f t="shared" si="640"/>
        <v>15476.160000000003</v>
      </c>
      <c r="M1169" s="36"/>
      <c r="N1169" s="36"/>
      <c r="O1169" s="36"/>
      <c r="P1169" s="36"/>
      <c r="Q1169" s="36"/>
      <c r="R1169" s="37"/>
      <c r="S1169" s="38"/>
    </row>
    <row r="1170" spans="1:27" ht="15.75">
      <c r="A1170" s="39">
        <v>44171</v>
      </c>
      <c r="B1170" s="115" t="s">
        <v>429</v>
      </c>
      <c r="C1170" s="26" t="s">
        <v>126</v>
      </c>
      <c r="D1170">
        <v>29088.43</v>
      </c>
      <c r="E1170">
        <v>28946.92</v>
      </c>
      <c r="F1170">
        <v>28931.46</v>
      </c>
      <c r="G1170">
        <v>28940.959999999999</v>
      </c>
      <c r="H1170">
        <v>29052.62</v>
      </c>
      <c r="I1170">
        <v>29011.03</v>
      </c>
      <c r="J1170">
        <v>28923.040000000001</v>
      </c>
      <c r="K1170">
        <v>28930.59</v>
      </c>
      <c r="L1170">
        <v>29079.06</v>
      </c>
      <c r="M1170" s="27">
        <f t="shared" ref="M1170" si="641">IF((L1171=""),"",MAX(D1172:L1172))</f>
        <v>11192.009999999995</v>
      </c>
      <c r="N1170" s="27">
        <f t="shared" ref="N1170" si="642">IF(L1171="","",MIN(D1172:L1172))</f>
        <v>10541.04</v>
      </c>
      <c r="O1170" s="27">
        <f t="shared" ref="O1170" si="643">IF((L1172=""),"",AVERAGE(D1172:L1172))</f>
        <v>10834.373333333333</v>
      </c>
      <c r="P1170" s="27">
        <f t="shared" ref="P1170" si="644">IF((L1171=""),"",STDEV(D1172:L1172))</f>
        <v>199.91770844520943</v>
      </c>
      <c r="Q1170" s="168">
        <f>IF((L1171=""),"",((M1170-N1170)/(M1170+P1170))*100)</f>
        <v>5.7143094361229902</v>
      </c>
      <c r="R1170" s="28" t="str">
        <f t="shared" ref="R1170" si="645">IF(L1171="","",IF(Q1170&lt;Z1170,IF(N1170&gt;V1170,IF(M1170&lt;W1170,"Pass","Fail"),"Fail"),"Fail"))</f>
        <v>Pass</v>
      </c>
      <c r="S1170" s="29">
        <v>1335</v>
      </c>
      <c r="T1170" s="116" t="s">
        <v>588</v>
      </c>
      <c r="V1170" s="53">
        <v>10000</v>
      </c>
      <c r="W1170" s="22">
        <v>15600</v>
      </c>
      <c r="X1170" s="40">
        <v>8090</v>
      </c>
      <c r="Y1170" s="40">
        <v>12070</v>
      </c>
      <c r="Z1170" s="49">
        <v>15</v>
      </c>
      <c r="AA1170" s="49">
        <v>6</v>
      </c>
    </row>
    <row r="1171" spans="1:27" ht="15.75">
      <c r="A1171" s="96"/>
      <c r="B1171" s="96"/>
      <c r="C1171" s="30" t="s">
        <v>128</v>
      </c>
      <c r="D1171">
        <v>25574.75</v>
      </c>
      <c r="E1171">
        <v>25380.46</v>
      </c>
      <c r="F1171">
        <v>25387.97</v>
      </c>
      <c r="G1171">
        <v>25288.37</v>
      </c>
      <c r="H1171">
        <v>25321.95</v>
      </c>
      <c r="I1171">
        <v>25377.35</v>
      </c>
      <c r="J1171">
        <v>25343.22</v>
      </c>
      <c r="K1171">
        <v>25281.03</v>
      </c>
      <c r="L1171">
        <v>25445.89</v>
      </c>
      <c r="M1171" s="31"/>
      <c r="N1171" s="31"/>
      <c r="O1171" s="31"/>
      <c r="P1171" s="31"/>
      <c r="Q1171" s="31"/>
      <c r="R1171" s="32"/>
      <c r="S1171" s="33"/>
    </row>
    <row r="1172" spans="1:27" ht="13.5" thickBot="1">
      <c r="A1172" s="98"/>
      <c r="B1172" s="98"/>
      <c r="C1172" s="34" t="s">
        <v>129</v>
      </c>
      <c r="D1172" s="35">
        <f t="shared" ref="D1172:L1172" si="646">IF(((D1170="")*AND(D1171="")),"",(D1170-D1171)*3)</f>
        <v>10541.04</v>
      </c>
      <c r="E1172" s="35">
        <f t="shared" si="646"/>
        <v>10699.379999999997</v>
      </c>
      <c r="F1172" s="35">
        <f t="shared" si="646"/>
        <v>10630.469999999994</v>
      </c>
      <c r="G1172" s="35">
        <f t="shared" si="646"/>
        <v>10957.77</v>
      </c>
      <c r="H1172" s="35">
        <f t="shared" si="646"/>
        <v>11192.009999999995</v>
      </c>
      <c r="I1172" s="35">
        <f t="shared" si="646"/>
        <v>10901.04</v>
      </c>
      <c r="J1172" s="35">
        <f t="shared" si="646"/>
        <v>10739.46</v>
      </c>
      <c r="K1172" s="35">
        <f t="shared" si="646"/>
        <v>10948.680000000004</v>
      </c>
      <c r="L1172" s="35">
        <f t="shared" si="646"/>
        <v>10899.510000000006</v>
      </c>
      <c r="M1172" s="36"/>
      <c r="N1172" s="36"/>
      <c r="O1172" s="36"/>
      <c r="P1172" s="36"/>
      <c r="Q1172" s="36"/>
      <c r="R1172" s="37"/>
      <c r="S1172" s="38"/>
    </row>
    <row r="1173" spans="1:27" ht="15.75">
      <c r="A1173" s="39">
        <v>44175</v>
      </c>
      <c r="B1173" s="115" t="s">
        <v>429</v>
      </c>
      <c r="C1173" s="26" t="s">
        <v>126</v>
      </c>
      <c r="D1173" s="102">
        <v>29127.77</v>
      </c>
      <c r="E1173" s="102">
        <v>28977.97</v>
      </c>
      <c r="F1173" s="102">
        <v>28986.29</v>
      </c>
      <c r="G1173" s="102">
        <v>28982.37</v>
      </c>
      <c r="H1173" s="102">
        <v>29050.2</v>
      </c>
      <c r="I1173" s="102">
        <v>29083.35</v>
      </c>
      <c r="J1173" s="102">
        <v>28981.43</v>
      </c>
      <c r="K1173" s="102">
        <v>28972</v>
      </c>
      <c r="L1173" s="102">
        <v>29106.26</v>
      </c>
      <c r="M1173" s="27">
        <f t="shared" ref="M1173" si="647">IF((L1174=""),"",MAX(D1175:L1175))</f>
        <v>12599.310000000001</v>
      </c>
      <c r="N1173" s="27">
        <f t="shared" ref="N1173" si="648">IF(L1174="","",MIN(D1175:L1175))</f>
        <v>11674.110000000008</v>
      </c>
      <c r="O1173" s="27">
        <f t="shared" ref="O1173" si="649">IF((L1175=""),"",AVERAGE(D1175:L1175))</f>
        <v>11984.353333333334</v>
      </c>
      <c r="P1173" s="27">
        <f t="shared" ref="P1173" si="650">IF((L1174=""),"",STDEV(D1175:L1175))</f>
        <v>279.33373270147547</v>
      </c>
      <c r="Q1173" s="168">
        <f>IF((L1174=""),"",((M1173-N1173)/(M1173+P1173))*100)</f>
        <v>7.1839862892605977</v>
      </c>
      <c r="R1173" s="28" t="str">
        <f t="shared" ref="R1173" si="651">IF(L1174="","",IF(Q1173&lt;Z1173,IF(N1173&gt;V1173,IF(M1173&lt;W1173,"Pass","Fail"),"Fail"),"Fail"))</f>
        <v>Pass</v>
      </c>
      <c r="S1173" s="29">
        <v>1428</v>
      </c>
      <c r="T1173" s="116" t="s">
        <v>590</v>
      </c>
      <c r="V1173" s="53">
        <v>10000</v>
      </c>
      <c r="W1173" s="22">
        <v>15600</v>
      </c>
      <c r="X1173" s="40">
        <v>8090</v>
      </c>
      <c r="Y1173" s="40">
        <v>12070</v>
      </c>
      <c r="Z1173" s="49">
        <v>15</v>
      </c>
      <c r="AA1173" s="49">
        <v>6</v>
      </c>
    </row>
    <row r="1174" spans="1:27" ht="15.75">
      <c r="A1174" s="96"/>
      <c r="B1174" s="96"/>
      <c r="C1174" s="30" t="s">
        <v>128</v>
      </c>
      <c r="D1174" s="102">
        <v>24928</v>
      </c>
      <c r="E1174" s="102">
        <v>24934.06</v>
      </c>
      <c r="F1174" s="102">
        <v>25094.92</v>
      </c>
      <c r="G1174" s="102">
        <v>25047.33</v>
      </c>
      <c r="H1174" s="102">
        <v>25138.57</v>
      </c>
      <c r="I1174" s="102">
        <v>25087.119999999999</v>
      </c>
      <c r="J1174" s="102">
        <v>24994.97</v>
      </c>
      <c r="K1174" s="102">
        <v>25020.54</v>
      </c>
      <c r="L1174" s="102">
        <v>25069.07</v>
      </c>
      <c r="M1174" s="31"/>
      <c r="N1174" s="31"/>
      <c r="O1174" s="31"/>
      <c r="P1174" s="31"/>
      <c r="Q1174" s="31"/>
      <c r="R1174" s="32"/>
      <c r="S1174" s="33"/>
    </row>
    <row r="1175" spans="1:27" ht="13.5" thickBot="1">
      <c r="A1175" s="98"/>
      <c r="B1175" s="98"/>
      <c r="C1175" s="34" t="s">
        <v>129</v>
      </c>
      <c r="D1175" s="35">
        <f t="shared" ref="D1175:L1175" si="652">IF(((D1173="")*AND(D1174="")),"",(D1173-D1174)*3)</f>
        <v>12599.310000000001</v>
      </c>
      <c r="E1175" s="35">
        <f t="shared" si="652"/>
        <v>12131.73</v>
      </c>
      <c r="F1175" s="35">
        <f t="shared" si="652"/>
        <v>11674.110000000008</v>
      </c>
      <c r="G1175" s="35">
        <f t="shared" si="652"/>
        <v>11805.119999999992</v>
      </c>
      <c r="H1175" s="35">
        <f t="shared" si="652"/>
        <v>11734.890000000003</v>
      </c>
      <c r="I1175" s="35">
        <f t="shared" si="652"/>
        <v>11988.689999999999</v>
      </c>
      <c r="J1175" s="35">
        <f t="shared" si="652"/>
        <v>11959.379999999997</v>
      </c>
      <c r="K1175" s="35">
        <f t="shared" si="652"/>
        <v>11854.379999999997</v>
      </c>
      <c r="L1175" s="35">
        <f t="shared" si="652"/>
        <v>12111.569999999996</v>
      </c>
      <c r="M1175" s="36"/>
      <c r="N1175" s="36"/>
      <c r="O1175" s="36"/>
      <c r="P1175" s="36"/>
      <c r="Q1175" s="36"/>
      <c r="R1175" s="37"/>
      <c r="S1175" s="38"/>
    </row>
    <row r="1176" spans="1:27" ht="15.75">
      <c r="A1176" s="39">
        <v>44179</v>
      </c>
      <c r="B1176" s="115" t="s">
        <v>429</v>
      </c>
      <c r="C1176" s="26" t="s">
        <v>126</v>
      </c>
      <c r="D1176" s="102">
        <v>29081</v>
      </c>
      <c r="E1176" s="102">
        <v>28882</v>
      </c>
      <c r="F1176" s="102">
        <v>28849</v>
      </c>
      <c r="G1176" s="102">
        <v>28880</v>
      </c>
      <c r="H1176" s="102">
        <v>29049</v>
      </c>
      <c r="I1176" s="102">
        <v>29062</v>
      </c>
      <c r="J1176" s="102">
        <v>28890</v>
      </c>
      <c r="K1176" s="102">
        <v>28879</v>
      </c>
      <c r="L1176" s="102">
        <v>29058</v>
      </c>
      <c r="M1176" s="27">
        <f t="shared" ref="M1176" si="653">IF((L1177=""),"",MAX(D1178:L1178))</f>
        <v>11199</v>
      </c>
      <c r="N1176" s="27">
        <f t="shared" ref="N1176" si="654">IF(L1177="","",MIN(D1178:L1178))</f>
        <v>10584</v>
      </c>
      <c r="O1176" s="27">
        <f t="shared" ref="O1176" si="655">IF((L1178=""),"",AVERAGE(D1178:L1178))</f>
        <v>10875.666666666666</v>
      </c>
      <c r="P1176" s="27">
        <f t="shared" ref="P1176" si="656">IF((L1177=""),"",STDEV(D1178:L1178))</f>
        <v>220.49376408415728</v>
      </c>
      <c r="Q1176" s="168">
        <f>IF((L1177=""),"",((M1176-N1176)/(M1176+P1176))*100)</f>
        <v>5.3855277011863487</v>
      </c>
      <c r="R1176" s="28" t="str">
        <f t="shared" ref="R1176" si="657">IF(L1177="","",IF(Q1176&lt;Z1176,IF(N1176&gt;V1176,IF(M1176&lt;W1176,"Pass","Fail"),"Fail"),"Fail"))</f>
        <v>Pass</v>
      </c>
      <c r="S1176" s="29">
        <v>1340</v>
      </c>
      <c r="T1176" s="116" t="s">
        <v>593</v>
      </c>
      <c r="V1176" s="53">
        <v>10000</v>
      </c>
      <c r="W1176" s="22">
        <v>15600</v>
      </c>
      <c r="X1176" s="40">
        <v>8090</v>
      </c>
      <c r="Y1176" s="40">
        <v>12070</v>
      </c>
      <c r="Z1176" s="49">
        <v>15</v>
      </c>
      <c r="AA1176" s="49">
        <v>6</v>
      </c>
    </row>
    <row r="1177" spans="1:27" ht="15.75">
      <c r="A1177" s="96"/>
      <c r="B1177" s="96"/>
      <c r="C1177" s="30" t="s">
        <v>128</v>
      </c>
      <c r="D1177" s="102">
        <v>25348</v>
      </c>
      <c r="E1177" s="102">
        <v>25211</v>
      </c>
      <c r="F1177" s="102">
        <v>25319</v>
      </c>
      <c r="G1177" s="102">
        <v>25293</v>
      </c>
      <c r="H1177" s="102">
        <v>25521</v>
      </c>
      <c r="I1177" s="102">
        <v>25440</v>
      </c>
      <c r="J1177" s="102">
        <v>25262</v>
      </c>
      <c r="K1177" s="102">
        <v>25272</v>
      </c>
      <c r="L1177" s="102">
        <v>25337</v>
      </c>
      <c r="M1177" s="31"/>
      <c r="N1177" s="31"/>
      <c r="O1177" s="31"/>
      <c r="P1177" s="31"/>
      <c r="Q1177" s="31"/>
      <c r="R1177" s="32"/>
      <c r="S1177" s="33"/>
    </row>
    <row r="1178" spans="1:27" ht="13.5" thickBot="1">
      <c r="A1178" s="98"/>
      <c r="B1178" s="98"/>
      <c r="C1178" s="34" t="s">
        <v>129</v>
      </c>
      <c r="D1178" s="35">
        <f t="shared" ref="D1178:L1178" si="658">IF(((D1176="")*AND(D1177="")),"",(D1176-D1177)*3)</f>
        <v>11199</v>
      </c>
      <c r="E1178" s="35">
        <f t="shared" si="658"/>
        <v>11013</v>
      </c>
      <c r="F1178" s="35">
        <f t="shared" si="658"/>
        <v>10590</v>
      </c>
      <c r="G1178" s="35">
        <f t="shared" si="658"/>
        <v>10761</v>
      </c>
      <c r="H1178" s="35">
        <f t="shared" si="658"/>
        <v>10584</v>
      </c>
      <c r="I1178" s="35">
        <f t="shared" si="658"/>
        <v>10866</v>
      </c>
      <c r="J1178" s="35">
        <f t="shared" si="658"/>
        <v>10884</v>
      </c>
      <c r="K1178" s="35">
        <f t="shared" si="658"/>
        <v>10821</v>
      </c>
      <c r="L1178" s="35">
        <f t="shared" si="658"/>
        <v>11163</v>
      </c>
      <c r="M1178" s="36"/>
      <c r="N1178" s="36"/>
      <c r="O1178" s="36"/>
      <c r="P1178" s="36"/>
      <c r="Q1178" s="36"/>
      <c r="R1178" s="37"/>
      <c r="S1178" s="38"/>
    </row>
    <row r="1179" spans="1:27" ht="15.75">
      <c r="A1179" s="39">
        <v>44183</v>
      </c>
      <c r="B1179" s="115" t="s">
        <v>429</v>
      </c>
      <c r="C1179" s="26" t="s">
        <v>126</v>
      </c>
      <c r="D1179" s="102">
        <v>29061</v>
      </c>
      <c r="E1179" s="102">
        <v>28880</v>
      </c>
      <c r="F1179" s="102">
        <v>28843</v>
      </c>
      <c r="G1179" s="102">
        <v>28879</v>
      </c>
      <c r="H1179" s="102">
        <v>29072</v>
      </c>
      <c r="I1179" s="102">
        <v>29063</v>
      </c>
      <c r="J1179" s="102">
        <v>28885</v>
      </c>
      <c r="K1179" s="102">
        <v>28877</v>
      </c>
      <c r="L1179" s="102">
        <v>29058</v>
      </c>
      <c r="M1179" s="27">
        <f t="shared" ref="M1179" si="659">IF((L1180=""),"",MAX(D1181:L1181))</f>
        <v>11538</v>
      </c>
      <c r="N1179" s="27">
        <f t="shared" ref="N1179" si="660">IF(L1180="","",MIN(D1181:L1181))</f>
        <v>10884</v>
      </c>
      <c r="O1179" s="27">
        <f t="shared" ref="O1179" si="661">IF((L1181=""),"",AVERAGE(D1181:L1181))</f>
        <v>11183.666666666666</v>
      </c>
      <c r="P1179" s="27">
        <f t="shared" ref="P1179" si="662">IF((L1180=""),"",STDEV(D1181:L1181))</f>
        <v>193.95553614166315</v>
      </c>
      <c r="Q1179" s="168">
        <f>IF((L1180=""),"",((M1179-N1179)/(M1179+P1179))*100)</f>
        <v>5.5745182291671362</v>
      </c>
      <c r="R1179" s="28" t="str">
        <f t="shared" ref="R1179" si="663">IF(L1180="","",IF(Q1179&lt;Z1179,IF(N1179&gt;V1179,IF(M1179&lt;W1179,"Pass","Fail"),"Fail"),"Fail"))</f>
        <v>Pass</v>
      </c>
      <c r="S1179" s="29">
        <v>1340</v>
      </c>
      <c r="T1179" s="116" t="s">
        <v>594</v>
      </c>
      <c r="V1179" s="53">
        <v>10000</v>
      </c>
      <c r="W1179" s="22">
        <v>15600</v>
      </c>
      <c r="X1179" s="40">
        <v>8090</v>
      </c>
      <c r="Y1179" s="40">
        <v>12070</v>
      </c>
      <c r="Z1179" s="49">
        <v>15</v>
      </c>
      <c r="AA1179" s="49">
        <v>6</v>
      </c>
    </row>
    <row r="1180" spans="1:27" ht="15.75">
      <c r="A1180" s="96"/>
      <c r="B1180" s="96"/>
      <c r="C1180" s="30" t="s">
        <v>128</v>
      </c>
      <c r="D1180" s="102">
        <v>25301</v>
      </c>
      <c r="E1180" s="102">
        <v>25147</v>
      </c>
      <c r="F1180" s="102">
        <v>25215</v>
      </c>
      <c r="G1180" s="102">
        <v>25126</v>
      </c>
      <c r="H1180" s="102">
        <v>25226</v>
      </c>
      <c r="I1180" s="102">
        <v>25393</v>
      </c>
      <c r="J1180" s="102">
        <v>25205</v>
      </c>
      <c r="K1180" s="102">
        <v>25167</v>
      </c>
      <c r="L1180" s="102">
        <v>25287</v>
      </c>
      <c r="M1180" s="31"/>
      <c r="N1180" s="31"/>
      <c r="O1180" s="31"/>
      <c r="P1180" s="31"/>
      <c r="Q1180" s="31"/>
      <c r="R1180" s="32"/>
      <c r="S1180" s="33"/>
    </row>
    <row r="1181" spans="1:27" ht="13.5" thickBot="1">
      <c r="A1181" s="98"/>
      <c r="B1181" s="98"/>
      <c r="C1181" s="34" t="s">
        <v>129</v>
      </c>
      <c r="D1181" s="35">
        <f t="shared" ref="D1181:L1181" si="664">IF(((D1179="")*AND(D1180="")),"",(D1179-D1180)*3)</f>
        <v>11280</v>
      </c>
      <c r="E1181" s="35">
        <f t="shared" si="664"/>
        <v>11199</v>
      </c>
      <c r="F1181" s="35">
        <f t="shared" si="664"/>
        <v>10884</v>
      </c>
      <c r="G1181" s="35">
        <f t="shared" si="664"/>
        <v>11259</v>
      </c>
      <c r="H1181" s="35">
        <f t="shared" si="664"/>
        <v>11538</v>
      </c>
      <c r="I1181" s="35">
        <f t="shared" si="664"/>
        <v>11010</v>
      </c>
      <c r="J1181" s="35">
        <f t="shared" si="664"/>
        <v>11040</v>
      </c>
      <c r="K1181" s="35">
        <f t="shared" si="664"/>
        <v>11130</v>
      </c>
      <c r="L1181" s="35">
        <f t="shared" si="664"/>
        <v>11313</v>
      </c>
      <c r="M1181" s="36"/>
      <c r="N1181" s="36"/>
      <c r="O1181" s="36"/>
      <c r="P1181" s="36"/>
      <c r="Q1181" s="36"/>
      <c r="R1181" s="37"/>
      <c r="S1181" s="38"/>
    </row>
    <row r="1182" spans="1:27" ht="15.75">
      <c r="A1182" s="39">
        <v>44187</v>
      </c>
      <c r="B1182" s="115" t="s">
        <v>429</v>
      </c>
      <c r="C1182" s="26" t="s">
        <v>126</v>
      </c>
      <c r="D1182">
        <v>28994.73</v>
      </c>
      <c r="E1182">
        <v>28844.07</v>
      </c>
      <c r="F1182">
        <v>28846.639999999999</v>
      </c>
      <c r="G1182">
        <v>28843.37</v>
      </c>
      <c r="H1182">
        <v>28939.599999999999</v>
      </c>
      <c r="I1182">
        <v>28931.119999999999</v>
      </c>
      <c r="J1182">
        <v>28835.02</v>
      </c>
      <c r="K1182">
        <v>28850.92</v>
      </c>
      <c r="L1182">
        <v>28964.11</v>
      </c>
      <c r="M1182" s="27">
        <f t="shared" ref="M1182" si="665">IF((L1183=""),"",MAX(D1184:L1184))</f>
        <v>13124.189999999999</v>
      </c>
      <c r="N1182" s="27">
        <f t="shared" ref="N1182" si="666">IF(L1183="","",MIN(D1184:L1184))</f>
        <v>12471.54</v>
      </c>
      <c r="O1182" s="27">
        <f t="shared" ref="O1182" si="667">IF((L1184=""),"",AVERAGE(D1184:L1184))</f>
        <v>12860.363333333333</v>
      </c>
      <c r="P1182" s="27">
        <f t="shared" ref="P1182" si="668">IF((L1183=""),"",STDEV(D1184:L1184))</f>
        <v>198.68205241042745</v>
      </c>
      <c r="Q1182" s="168">
        <f>IF((L1183=""),"",((M1182-N1182)/(M1182+N1182))*100)</f>
        <v>2.549839367738282</v>
      </c>
      <c r="R1182" s="28" t="str">
        <f>IF(L1183="","",IF(Q1182&lt;AA1182,IF(N1182&gt;X1182,IF(M1182&lt;Y1182,"Pass","Fail"),"Fail"),"Fail"))</f>
        <v>Pass</v>
      </c>
      <c r="S1182" s="29">
        <v>1159</v>
      </c>
      <c r="T1182" s="116" t="s">
        <v>596</v>
      </c>
      <c r="U1182" s="48" t="s">
        <v>602</v>
      </c>
      <c r="V1182" s="53">
        <v>10000</v>
      </c>
      <c r="W1182" s="22">
        <v>15600</v>
      </c>
      <c r="X1182" s="40">
        <v>10000</v>
      </c>
      <c r="Y1182" s="40">
        <v>15600</v>
      </c>
      <c r="Z1182" s="49">
        <v>15</v>
      </c>
      <c r="AA1182" s="49">
        <v>10</v>
      </c>
    </row>
    <row r="1183" spans="1:27" ht="15.75">
      <c r="A1183" s="96"/>
      <c r="B1183" s="96"/>
      <c r="C1183" s="30" t="s">
        <v>128</v>
      </c>
      <c r="D1183">
        <v>24837.55</v>
      </c>
      <c r="E1183">
        <v>24580.28</v>
      </c>
      <c r="F1183">
        <v>24609.51</v>
      </c>
      <c r="G1183">
        <v>24487.38</v>
      </c>
      <c r="H1183">
        <v>24564.87</v>
      </c>
      <c r="I1183">
        <v>24640.06</v>
      </c>
      <c r="J1183">
        <v>24571.21</v>
      </c>
      <c r="K1183">
        <v>24522.48</v>
      </c>
      <c r="L1183">
        <v>24655.15</v>
      </c>
      <c r="M1183" s="31"/>
      <c r="N1183" s="31"/>
      <c r="O1183" s="31"/>
      <c r="P1183" s="31"/>
      <c r="Q1183" s="31"/>
      <c r="R1183" s="32"/>
      <c r="S1183" s="33"/>
    </row>
    <row r="1184" spans="1:27" ht="13.5" thickBot="1">
      <c r="A1184" s="98"/>
      <c r="B1184" s="98"/>
      <c r="C1184" s="34" t="s">
        <v>129</v>
      </c>
      <c r="D1184" s="35">
        <f t="shared" ref="D1184:L1184" si="669">IF(((D1182="")*AND(D1183="")),"",(D1182-D1183)*3)</f>
        <v>12471.54</v>
      </c>
      <c r="E1184" s="35">
        <f t="shared" si="669"/>
        <v>12791.370000000003</v>
      </c>
      <c r="F1184" s="35">
        <f t="shared" si="669"/>
        <v>12711.390000000003</v>
      </c>
      <c r="G1184" s="35">
        <f t="shared" si="669"/>
        <v>13067.969999999994</v>
      </c>
      <c r="H1184" s="35">
        <f t="shared" si="669"/>
        <v>13124.189999999999</v>
      </c>
      <c r="I1184" s="35">
        <f t="shared" si="669"/>
        <v>12873.179999999993</v>
      </c>
      <c r="J1184" s="35">
        <f t="shared" si="669"/>
        <v>12791.430000000004</v>
      </c>
      <c r="K1184" s="35">
        <f t="shared" si="669"/>
        <v>12985.319999999996</v>
      </c>
      <c r="L1184" s="35">
        <f t="shared" si="669"/>
        <v>12926.879999999997</v>
      </c>
      <c r="M1184" s="36"/>
      <c r="N1184" s="36"/>
      <c r="O1184" s="36"/>
      <c r="P1184" s="36"/>
      <c r="Q1184" s="36"/>
      <c r="R1184" s="37"/>
      <c r="S1184" s="38"/>
    </row>
    <row r="1185" spans="1:27" ht="15.75">
      <c r="A1185" s="39">
        <v>44193</v>
      </c>
      <c r="B1185" s="115" t="s">
        <v>499</v>
      </c>
      <c r="C1185" s="26" t="s">
        <v>126</v>
      </c>
      <c r="D1185">
        <v>29005</v>
      </c>
      <c r="E1185">
        <v>28827</v>
      </c>
      <c r="F1185">
        <v>28838</v>
      </c>
      <c r="G1185">
        <v>28853</v>
      </c>
      <c r="H1185">
        <v>28998</v>
      </c>
      <c r="I1185">
        <v>29051</v>
      </c>
      <c r="J1185">
        <v>28853</v>
      </c>
      <c r="K1185">
        <v>28842</v>
      </c>
      <c r="L1185">
        <v>29010</v>
      </c>
      <c r="M1185" s="27">
        <f t="shared" ref="M1185" si="670">IF((L1186=""),"",MAX(D1187:L1187))</f>
        <v>11253</v>
      </c>
      <c r="N1185" s="27">
        <f t="shared" ref="N1185" si="671">IF(L1186="","",MIN(D1187:L1187))</f>
        <v>10650</v>
      </c>
      <c r="O1185" s="27">
        <f t="shared" ref="O1185" si="672">IF((L1187=""),"",AVERAGE(D1187:L1187))</f>
        <v>10910.666666666666</v>
      </c>
      <c r="P1185" s="27">
        <f t="shared" ref="P1185" si="673">IF((L1186=""),"",STDEV(D1187:L1187))</f>
        <v>203.69891997750014</v>
      </c>
      <c r="Q1185" s="168">
        <f>IF((L1186=""),"",((M1185-N1185)/(M1185+N1185))*100)</f>
        <v>2.7530475277359265</v>
      </c>
      <c r="R1185" s="28" t="str">
        <f>IF(L1186="","",IF(Q1185&lt;AA1185,IF(N1185&gt;X1185,IF(M1185&lt;Y1185,"Pass","Fail"),"Fail"),"Fail"))</f>
        <v>Pass</v>
      </c>
      <c r="S1185" s="29">
        <v>1428</v>
      </c>
      <c r="T1185" s="116" t="s">
        <v>604</v>
      </c>
      <c r="V1185" s="53">
        <v>10000</v>
      </c>
      <c r="W1185" s="22">
        <v>15600</v>
      </c>
      <c r="X1185" s="40">
        <v>10000</v>
      </c>
      <c r="Y1185" s="40">
        <v>15600</v>
      </c>
      <c r="Z1185" s="49">
        <v>15</v>
      </c>
      <c r="AA1185" s="49">
        <v>10</v>
      </c>
    </row>
    <row r="1186" spans="1:27" ht="15.75">
      <c r="A1186" s="96"/>
      <c r="B1186" s="96"/>
      <c r="C1186" s="30" t="s">
        <v>128</v>
      </c>
      <c r="D1186">
        <v>25254</v>
      </c>
      <c r="E1186">
        <v>25144</v>
      </c>
      <c r="F1186">
        <v>25288</v>
      </c>
      <c r="G1186">
        <v>25240</v>
      </c>
      <c r="H1186">
        <v>25447</v>
      </c>
      <c r="I1186">
        <v>25437</v>
      </c>
      <c r="J1186">
        <v>25216</v>
      </c>
      <c r="K1186">
        <v>25220</v>
      </c>
      <c r="L1186">
        <v>25299</v>
      </c>
      <c r="M1186" s="31"/>
      <c r="N1186" s="31"/>
      <c r="O1186" s="31"/>
      <c r="P1186" s="31"/>
      <c r="Q1186" s="31"/>
      <c r="R1186" s="32"/>
      <c r="S1186" s="33"/>
    </row>
    <row r="1187" spans="1:27" ht="13.5" thickBot="1">
      <c r="A1187" s="98"/>
      <c r="B1187" s="98"/>
      <c r="C1187" s="34" t="s">
        <v>129</v>
      </c>
      <c r="D1187" s="35">
        <f t="shared" ref="D1187:L1187" si="674">IF(((D1185="")*AND(D1186="")),"",(D1185-D1186)*3)</f>
        <v>11253</v>
      </c>
      <c r="E1187" s="35">
        <f t="shared" si="674"/>
        <v>11049</v>
      </c>
      <c r="F1187" s="35">
        <f t="shared" si="674"/>
        <v>10650</v>
      </c>
      <c r="G1187" s="35">
        <f t="shared" si="674"/>
        <v>10839</v>
      </c>
      <c r="H1187" s="35">
        <f t="shared" si="674"/>
        <v>10653</v>
      </c>
      <c r="I1187" s="35">
        <f t="shared" si="674"/>
        <v>10842</v>
      </c>
      <c r="J1187" s="35">
        <f t="shared" si="674"/>
        <v>10911</v>
      </c>
      <c r="K1187" s="35">
        <f t="shared" si="674"/>
        <v>10866</v>
      </c>
      <c r="L1187" s="35">
        <f t="shared" si="674"/>
        <v>11133</v>
      </c>
      <c r="M1187" s="36"/>
      <c r="N1187" s="36"/>
      <c r="O1187" s="36"/>
      <c r="P1187" s="36"/>
      <c r="Q1187" s="36"/>
      <c r="R1187" s="37"/>
      <c r="S1187" s="38"/>
    </row>
    <row r="1188" spans="1:27" ht="15.75">
      <c r="A1188" s="39">
        <v>44198</v>
      </c>
      <c r="B1188" s="115" t="s">
        <v>429</v>
      </c>
      <c r="C1188" s="26" t="s">
        <v>126</v>
      </c>
      <c r="D1188">
        <v>28822</v>
      </c>
      <c r="E1188">
        <v>28760</v>
      </c>
      <c r="F1188">
        <v>28762</v>
      </c>
      <c r="G1188">
        <v>28781</v>
      </c>
      <c r="H1188">
        <v>28847</v>
      </c>
      <c r="I1188">
        <v>28889</v>
      </c>
      <c r="J1188">
        <v>28772</v>
      </c>
      <c r="K1188">
        <v>28764</v>
      </c>
      <c r="L1188">
        <v>28893</v>
      </c>
      <c r="M1188" s="27">
        <f t="shared" ref="M1188" si="675">IF((L1189=""),"",MAX(D1190:L1190))</f>
        <v>12009</v>
      </c>
      <c r="N1188" s="27">
        <f t="shared" ref="N1188" si="676">IF(L1189="","",MIN(D1190:L1190))</f>
        <v>11070</v>
      </c>
      <c r="O1188" s="27">
        <f t="shared" ref="O1188" si="677">IF((L1190=""),"",AVERAGE(D1190:L1190))</f>
        <v>11358.666666666666</v>
      </c>
      <c r="P1188" s="27">
        <f t="shared" ref="P1188" si="678">IF((L1189=""),"",STDEV(D1190:L1190))</f>
        <v>296.92339079297881</v>
      </c>
      <c r="Q1188" s="168">
        <f>IF((L1189=""),"",((M1188-N1188)/(M1188+N1188))*100)</f>
        <v>4.0686338229559338</v>
      </c>
      <c r="R1188" s="28" t="str">
        <f>IF(L1189="","",IF(Q1188&lt;AA1188,IF(N1188&gt;X1188,IF(M1188&lt;Y1188,"Pass","Fail"),"Fail"),"Fail"))</f>
        <v>Pass</v>
      </c>
      <c r="S1188" s="29">
        <v>1159</v>
      </c>
      <c r="T1188" s="116" t="s">
        <v>606</v>
      </c>
      <c r="U1188" s="48" t="s">
        <v>607</v>
      </c>
      <c r="V1188" s="53">
        <v>10000</v>
      </c>
      <c r="W1188" s="22">
        <v>15600</v>
      </c>
      <c r="X1188" s="40">
        <v>10000</v>
      </c>
      <c r="Y1188" s="40">
        <v>15600</v>
      </c>
      <c r="Z1188" s="49">
        <v>15</v>
      </c>
      <c r="AA1188" s="49">
        <v>10</v>
      </c>
    </row>
    <row r="1189" spans="1:27" ht="15.75">
      <c r="A1189" s="96"/>
      <c r="B1189" s="96"/>
      <c r="C1189" s="30" t="s">
        <v>128</v>
      </c>
      <c r="D1189">
        <v>25100</v>
      </c>
      <c r="E1189">
        <v>25029</v>
      </c>
      <c r="F1189">
        <v>25072</v>
      </c>
      <c r="G1189">
        <v>24931</v>
      </c>
      <c r="H1189">
        <v>24844</v>
      </c>
      <c r="I1189">
        <v>25185</v>
      </c>
      <c r="J1189">
        <v>25031</v>
      </c>
      <c r="K1189">
        <v>24954</v>
      </c>
      <c r="L1189">
        <v>25068</v>
      </c>
      <c r="M1189" s="31"/>
      <c r="N1189" s="31"/>
      <c r="O1189" s="31"/>
      <c r="P1189" s="31"/>
      <c r="Q1189" s="31"/>
      <c r="R1189" s="32"/>
      <c r="S1189" s="33"/>
    </row>
    <row r="1190" spans="1:27" ht="13.5" thickBot="1">
      <c r="A1190" s="98"/>
      <c r="B1190" s="98"/>
      <c r="C1190" s="34" t="s">
        <v>129</v>
      </c>
      <c r="D1190" s="35">
        <f t="shared" ref="D1190:L1190" si="679">IF(((D1188="")*AND(D1189="")),"",(D1188-D1189)*3)</f>
        <v>11166</v>
      </c>
      <c r="E1190" s="35">
        <f t="shared" si="679"/>
        <v>11193</v>
      </c>
      <c r="F1190" s="35">
        <f t="shared" si="679"/>
        <v>11070</v>
      </c>
      <c r="G1190" s="35">
        <f t="shared" si="679"/>
        <v>11550</v>
      </c>
      <c r="H1190" s="35">
        <f t="shared" si="679"/>
        <v>12009</v>
      </c>
      <c r="I1190" s="35">
        <f t="shared" si="679"/>
        <v>11112</v>
      </c>
      <c r="J1190" s="35">
        <f t="shared" si="679"/>
        <v>11223</v>
      </c>
      <c r="K1190" s="35">
        <f t="shared" si="679"/>
        <v>11430</v>
      </c>
      <c r="L1190" s="35">
        <f t="shared" si="679"/>
        <v>11475</v>
      </c>
      <c r="M1190" s="36"/>
      <c r="N1190" s="36"/>
      <c r="O1190" s="36"/>
      <c r="P1190" s="36"/>
      <c r="Q1190" s="36"/>
      <c r="R1190" s="37"/>
      <c r="S1190" s="38"/>
    </row>
    <row r="1191" spans="1:27" ht="15.75">
      <c r="A1191" s="39">
        <v>44202</v>
      </c>
      <c r="B1191" s="115" t="s">
        <v>499</v>
      </c>
      <c r="C1191" s="26" t="s">
        <v>126</v>
      </c>
      <c r="D1191">
        <v>28994</v>
      </c>
      <c r="E1191">
        <v>28791</v>
      </c>
      <c r="F1191">
        <v>28741</v>
      </c>
      <c r="G1191">
        <v>28788</v>
      </c>
      <c r="H1191">
        <v>28981</v>
      </c>
      <c r="I1191">
        <v>28951</v>
      </c>
      <c r="J1191">
        <v>28782</v>
      </c>
      <c r="K1191">
        <v>28781</v>
      </c>
      <c r="L1191">
        <v>28943</v>
      </c>
      <c r="M1191" s="27">
        <f t="shared" ref="M1191" si="680">IF((L1192=""),"",MAX(D1193:L1193))</f>
        <v>12387</v>
      </c>
      <c r="N1191" s="27">
        <f t="shared" ref="N1191" si="681">IF(L1192="","",MIN(D1193:L1193))</f>
        <v>11364</v>
      </c>
      <c r="O1191" s="27">
        <f t="shared" ref="O1191" si="682">IF((L1193=""),"",AVERAGE(D1193:L1193))</f>
        <v>11733.666666666666</v>
      </c>
      <c r="P1191" s="27">
        <f t="shared" ref="P1191" si="683">IF((L1192=""),"",STDEV(D1193:L1193))</f>
        <v>318.54709227993277</v>
      </c>
      <c r="Q1191" s="168">
        <f>IF((L1192=""),"",((M1191-N1191)/(M1191+N1191))*100)</f>
        <v>4.3071870658077556</v>
      </c>
      <c r="R1191" s="28" t="str">
        <f>IF(L1192="","",IF(Q1191&lt;AA1191,IF(N1191&gt;X1191,IF(M1191&lt;Y1191,"Pass","Fail"),"Fail"),"Fail"))</f>
        <v>Pass</v>
      </c>
      <c r="S1191" s="29">
        <v>1159</v>
      </c>
      <c r="T1191" s="116" t="s">
        <v>609</v>
      </c>
      <c r="V1191" s="53">
        <v>10000</v>
      </c>
      <c r="W1191" s="22">
        <v>15600</v>
      </c>
      <c r="X1191" s="40">
        <v>10000</v>
      </c>
      <c r="Y1191" s="40">
        <v>15600</v>
      </c>
      <c r="Z1191" s="49">
        <v>15</v>
      </c>
      <c r="AA1191" s="49">
        <v>10</v>
      </c>
    </row>
    <row r="1192" spans="1:27" ht="15.75">
      <c r="A1192" s="96"/>
      <c r="B1192" s="96"/>
      <c r="C1192" s="30" t="s">
        <v>128</v>
      </c>
      <c r="D1192">
        <v>25075</v>
      </c>
      <c r="E1192">
        <v>24828</v>
      </c>
      <c r="F1192">
        <v>24920</v>
      </c>
      <c r="G1192">
        <v>24921</v>
      </c>
      <c r="H1192">
        <v>25193</v>
      </c>
      <c r="I1192">
        <v>25132</v>
      </c>
      <c r="J1192">
        <v>24877</v>
      </c>
      <c r="K1192">
        <v>24791</v>
      </c>
      <c r="L1192">
        <v>24814</v>
      </c>
      <c r="M1192" s="31"/>
      <c r="N1192" s="31"/>
      <c r="O1192" s="31"/>
      <c r="P1192" s="31"/>
      <c r="Q1192" s="31"/>
      <c r="R1192" s="32"/>
      <c r="S1192" s="33"/>
    </row>
    <row r="1193" spans="1:27" ht="13.5" thickBot="1">
      <c r="A1193" s="98"/>
      <c r="B1193" s="98"/>
      <c r="C1193" s="34" t="s">
        <v>129</v>
      </c>
      <c r="D1193" s="35">
        <f t="shared" ref="D1193:L1193" si="684">IF(((D1191="")*AND(D1192="")),"",(D1191-D1192)*3)</f>
        <v>11757</v>
      </c>
      <c r="E1193" s="35">
        <f t="shared" si="684"/>
        <v>11889</v>
      </c>
      <c r="F1193" s="35">
        <f t="shared" si="684"/>
        <v>11463</v>
      </c>
      <c r="G1193" s="35">
        <f t="shared" si="684"/>
        <v>11601</v>
      </c>
      <c r="H1193" s="35">
        <f t="shared" si="684"/>
        <v>11364</v>
      </c>
      <c r="I1193" s="35">
        <f t="shared" si="684"/>
        <v>11457</v>
      </c>
      <c r="J1193" s="35">
        <f t="shared" si="684"/>
        <v>11715</v>
      </c>
      <c r="K1193" s="35">
        <f t="shared" si="684"/>
        <v>11970</v>
      </c>
      <c r="L1193" s="35">
        <f t="shared" si="684"/>
        <v>12387</v>
      </c>
      <c r="M1193" s="36"/>
      <c r="N1193" s="36"/>
      <c r="O1193" s="36"/>
      <c r="P1193" s="36"/>
      <c r="Q1193" s="36"/>
      <c r="R1193" s="37"/>
      <c r="S1193" s="38"/>
    </row>
    <row r="1194" spans="1:27" ht="15.75">
      <c r="A1194" s="39">
        <v>44207</v>
      </c>
      <c r="B1194" s="115" t="s">
        <v>499</v>
      </c>
      <c r="C1194" s="26" t="s">
        <v>126</v>
      </c>
      <c r="D1194">
        <v>29026.880000000001</v>
      </c>
      <c r="E1194">
        <v>28953.56</v>
      </c>
      <c r="F1194">
        <v>28945.31</v>
      </c>
      <c r="G1194">
        <v>28924.09</v>
      </c>
      <c r="H1194">
        <v>29049.11</v>
      </c>
      <c r="I1194">
        <v>29056.74</v>
      </c>
      <c r="J1194">
        <v>28904.28</v>
      </c>
      <c r="K1194">
        <v>28873.49</v>
      </c>
      <c r="L1194">
        <v>29021.93</v>
      </c>
      <c r="M1194" s="27">
        <f t="shared" ref="M1194" si="685">IF((L1195=""),"",MAX(D1196:L1196))</f>
        <v>12090.510000000006</v>
      </c>
      <c r="N1194" s="27">
        <f t="shared" ref="N1194" si="686">IF(L1195="","",MIN(D1196:L1196))</f>
        <v>11296.71</v>
      </c>
      <c r="O1194" s="27">
        <f t="shared" ref="O1194" si="687">IF((L1196=""),"",AVERAGE(D1196:L1196))</f>
        <v>11662.133333333335</v>
      </c>
      <c r="P1194" s="27">
        <f t="shared" ref="P1194" si="688">IF((L1195=""),"",STDEV(D1196:L1196))</f>
        <v>289.54105231381908</v>
      </c>
      <c r="Q1194" s="168">
        <f>IF((L1195=""),"",((M1194-N1194)/(M1194+N1194))*100)</f>
        <v>3.3941614266253382</v>
      </c>
      <c r="R1194" s="28" t="str">
        <f>IF(L1195="","",IF(Q1194&lt;AA1194,IF(N1194&gt;X1194,IF(M1194&lt;Y1194,"Pass","Fail"),"Fail"),"Fail"))</f>
        <v>Pass</v>
      </c>
      <c r="S1194" s="29">
        <v>121</v>
      </c>
      <c r="T1194" s="116" t="s">
        <v>611</v>
      </c>
      <c r="V1194" s="53">
        <v>10000</v>
      </c>
      <c r="W1194" s="22">
        <v>15600</v>
      </c>
      <c r="X1194" s="40">
        <v>10000</v>
      </c>
      <c r="Y1194" s="40">
        <v>15600</v>
      </c>
      <c r="Z1194" s="49">
        <v>15</v>
      </c>
      <c r="AA1194" s="49">
        <v>10</v>
      </c>
    </row>
    <row r="1195" spans="1:27" ht="15.75">
      <c r="A1195" s="96"/>
      <c r="B1195" s="96"/>
      <c r="C1195" s="30" t="s">
        <v>128</v>
      </c>
      <c r="D1195">
        <v>24996.71</v>
      </c>
      <c r="E1195">
        <v>24927.82</v>
      </c>
      <c r="F1195">
        <v>25157.22</v>
      </c>
      <c r="G1195">
        <v>25066.42</v>
      </c>
      <c r="H1195">
        <v>25283.54</v>
      </c>
      <c r="I1195">
        <v>25105.29</v>
      </c>
      <c r="J1195">
        <v>25014.12</v>
      </c>
      <c r="K1195">
        <v>25017.83</v>
      </c>
      <c r="L1195">
        <v>25200.04</v>
      </c>
      <c r="M1195" s="31"/>
      <c r="N1195" s="31"/>
      <c r="O1195" s="31"/>
      <c r="P1195" s="31"/>
      <c r="Q1195" s="31"/>
      <c r="R1195" s="32"/>
      <c r="S1195" s="33"/>
    </row>
    <row r="1196" spans="1:27" ht="13.5" thickBot="1">
      <c r="A1196" s="98"/>
      <c r="B1196" s="98"/>
      <c r="C1196" s="34" t="s">
        <v>129</v>
      </c>
      <c r="D1196" s="35">
        <f t="shared" ref="D1196:L1196" si="689">IF(((D1194="")*AND(D1195="")),"",(D1194-D1195)*3)</f>
        <v>12090.510000000006</v>
      </c>
      <c r="E1196" s="35">
        <f t="shared" si="689"/>
        <v>12077.220000000005</v>
      </c>
      <c r="F1196" s="35">
        <f t="shared" si="689"/>
        <v>11364.27</v>
      </c>
      <c r="G1196" s="35">
        <f t="shared" si="689"/>
        <v>11573.010000000006</v>
      </c>
      <c r="H1196" s="35">
        <f t="shared" si="689"/>
        <v>11296.71</v>
      </c>
      <c r="I1196" s="35">
        <f t="shared" si="689"/>
        <v>11854.350000000002</v>
      </c>
      <c r="J1196" s="35">
        <f t="shared" si="689"/>
        <v>11670.48</v>
      </c>
      <c r="K1196" s="35">
        <f t="shared" si="689"/>
        <v>11566.98</v>
      </c>
      <c r="L1196" s="35">
        <f t="shared" si="689"/>
        <v>11465.669999999998</v>
      </c>
      <c r="M1196" s="36"/>
      <c r="N1196" s="36"/>
      <c r="O1196" s="36"/>
      <c r="P1196" s="36"/>
      <c r="Q1196" s="36"/>
      <c r="R1196" s="37"/>
      <c r="S1196" s="38"/>
    </row>
    <row r="1197" spans="1:27" ht="15.75">
      <c r="A1197" s="39">
        <v>44211</v>
      </c>
      <c r="B1197" s="115" t="s">
        <v>499</v>
      </c>
      <c r="C1197" s="26" t="s">
        <v>126</v>
      </c>
      <c r="D1197">
        <v>28972.25</v>
      </c>
      <c r="E1197">
        <v>28768.53</v>
      </c>
      <c r="F1197">
        <v>28765.09</v>
      </c>
      <c r="G1197">
        <v>28761.29</v>
      </c>
      <c r="H1197">
        <v>28980.55</v>
      </c>
      <c r="I1197">
        <v>28914.22</v>
      </c>
      <c r="J1197">
        <v>28763.21</v>
      </c>
      <c r="K1197">
        <v>28764.82</v>
      </c>
      <c r="L1197">
        <v>28995.35</v>
      </c>
      <c r="M1197" s="27">
        <f t="shared" ref="M1197" si="690">IF((L1198=""),"",MAX(D1199:L1199))</f>
        <v>11732.910000000003</v>
      </c>
      <c r="N1197" s="27">
        <f t="shared" ref="N1197" si="691">IF(L1198="","",MIN(D1199:L1199))</f>
        <v>10939.5</v>
      </c>
      <c r="O1197" s="27">
        <f t="shared" ref="O1197" si="692">IF((L1199=""),"",AVERAGE(D1199:L1199))</f>
        <v>11333.013333333336</v>
      </c>
      <c r="P1197" s="27">
        <f t="shared" ref="P1197" si="693">IF((L1198=""),"",STDEV(D1199:L1199))</f>
        <v>244.71646757002847</v>
      </c>
      <c r="Q1197" s="168">
        <f>IF((L1198=""),"",((M1197-N1197)/(M1197+N1197))*100)</f>
        <v>3.4994515360299294</v>
      </c>
      <c r="R1197" s="28" t="str">
        <f>IF(L1198="","",IF(Q1197&lt;AA1197,IF(N1197&gt;X1197,IF(M1197&lt;Y1197,"Pass","Fail"),"Fail"),"Fail"))</f>
        <v>Pass</v>
      </c>
      <c r="S1197" s="29">
        <v>74</v>
      </c>
      <c r="T1197" s="116" t="s">
        <v>613</v>
      </c>
      <c r="V1197" s="53">
        <v>10000</v>
      </c>
      <c r="W1197" s="22">
        <v>15600</v>
      </c>
      <c r="X1197" s="40">
        <v>10000</v>
      </c>
      <c r="Y1197" s="40">
        <v>15600</v>
      </c>
      <c r="Z1197" s="49">
        <v>15</v>
      </c>
      <c r="AA1197" s="49">
        <v>10</v>
      </c>
    </row>
    <row r="1198" spans="1:27" ht="15.75">
      <c r="A1198" s="96"/>
      <c r="B1198" s="96"/>
      <c r="C1198" s="30" t="s">
        <v>128</v>
      </c>
      <c r="D1198">
        <v>25061.279999999999</v>
      </c>
      <c r="E1198">
        <v>24909.17</v>
      </c>
      <c r="F1198">
        <v>25073.360000000001</v>
      </c>
      <c r="G1198">
        <v>25023.17</v>
      </c>
      <c r="H1198">
        <v>25334.05</v>
      </c>
      <c r="I1198">
        <v>25150.23</v>
      </c>
      <c r="J1198">
        <v>24961.67</v>
      </c>
      <c r="K1198">
        <v>24997.69</v>
      </c>
      <c r="L1198">
        <v>25175.65</v>
      </c>
      <c r="M1198" s="31"/>
      <c r="N1198" s="31"/>
      <c r="O1198" s="31"/>
      <c r="P1198" s="31"/>
      <c r="Q1198" s="31"/>
      <c r="R1198" s="32"/>
      <c r="S1198" s="33"/>
    </row>
    <row r="1199" spans="1:27" ht="13.5" thickBot="1">
      <c r="A1199" s="98"/>
      <c r="B1199" s="98"/>
      <c r="C1199" s="34" t="s">
        <v>129</v>
      </c>
      <c r="D1199" s="35">
        <f t="shared" ref="D1199:L1199" si="694">IF(((D1197="")*AND(D1198="")),"",(D1197-D1198)*3)</f>
        <v>11732.910000000003</v>
      </c>
      <c r="E1199" s="35">
        <f t="shared" si="694"/>
        <v>11578.080000000002</v>
      </c>
      <c r="F1199" s="35">
        <f t="shared" si="694"/>
        <v>11075.189999999999</v>
      </c>
      <c r="G1199" s="35">
        <f t="shared" si="694"/>
        <v>11214.360000000008</v>
      </c>
      <c r="H1199" s="35">
        <f t="shared" si="694"/>
        <v>10939.5</v>
      </c>
      <c r="I1199" s="35">
        <f t="shared" si="694"/>
        <v>11291.970000000005</v>
      </c>
      <c r="J1199" s="35">
        <f t="shared" si="694"/>
        <v>11404.620000000003</v>
      </c>
      <c r="K1199" s="35">
        <f t="shared" si="694"/>
        <v>11301.390000000003</v>
      </c>
      <c r="L1199" s="35">
        <f t="shared" si="694"/>
        <v>11459.099999999991</v>
      </c>
      <c r="M1199" s="36"/>
      <c r="N1199" s="36"/>
      <c r="O1199" s="36"/>
      <c r="P1199" s="36"/>
      <c r="Q1199" s="36"/>
      <c r="R1199" s="37"/>
      <c r="S1199" s="38"/>
    </row>
    <row r="1200" spans="1:27" ht="15.75">
      <c r="A1200" s="39">
        <v>44215</v>
      </c>
      <c r="B1200" s="115" t="s">
        <v>499</v>
      </c>
      <c r="C1200" s="26" t="s">
        <v>126</v>
      </c>
      <c r="D1200">
        <v>29198.13</v>
      </c>
      <c r="E1200">
        <v>29005.49</v>
      </c>
      <c r="F1200">
        <v>28962.67</v>
      </c>
      <c r="G1200">
        <v>28957.69</v>
      </c>
      <c r="H1200">
        <v>29115.24</v>
      </c>
      <c r="I1200">
        <v>29166.47</v>
      </c>
      <c r="J1200">
        <v>28997.99</v>
      </c>
      <c r="K1200">
        <v>28968.89</v>
      </c>
      <c r="L1200">
        <v>29188.42</v>
      </c>
      <c r="M1200" s="27">
        <f t="shared" ref="M1200" si="695">IF((L1201=""),"",MAX(D1202:L1202))</f>
        <v>11973.360000000008</v>
      </c>
      <c r="N1200" s="27">
        <f t="shared" ref="N1200" si="696">IF(L1201="","",MIN(D1202:L1202))</f>
        <v>11090.910000000003</v>
      </c>
      <c r="O1200" s="27">
        <f t="shared" ref="O1200" si="697">IF((L1202=""),"",AVERAGE(D1202:L1202))</f>
        <v>11488.050000000001</v>
      </c>
      <c r="P1200" s="27">
        <f t="shared" ref="P1200" si="698">IF((L1201=""),"",STDEV(D1202:L1202))</f>
        <v>281.81668749385511</v>
      </c>
      <c r="Q1200" s="168">
        <f>IF((L1201=""),"",((M1200-N1200)/(M1200+N1200))*100)</f>
        <v>3.8260478220208309</v>
      </c>
      <c r="R1200" s="28" t="str">
        <f>IF(L1201="","",IF(Q1200&lt;AA1200,IF(N1200&gt;X1200,IF(M1200&lt;Y1200,"Pass","Fail"),"Fail"),"Fail"))</f>
        <v>Pass</v>
      </c>
      <c r="S1200" s="29">
        <v>1428</v>
      </c>
      <c r="T1200" s="116" t="s">
        <v>614</v>
      </c>
      <c r="V1200" s="53">
        <v>10000</v>
      </c>
      <c r="W1200" s="22">
        <v>15600</v>
      </c>
      <c r="X1200" s="40">
        <v>10000</v>
      </c>
      <c r="Y1200" s="40">
        <v>15600</v>
      </c>
      <c r="Z1200" s="49">
        <v>15</v>
      </c>
      <c r="AA1200" s="49">
        <v>10</v>
      </c>
    </row>
    <row r="1201" spans="1:27" ht="15.75">
      <c r="A1201" s="96"/>
      <c r="B1201" s="96"/>
      <c r="C1201" s="30" t="s">
        <v>128</v>
      </c>
      <c r="D1201">
        <v>25207.01</v>
      </c>
      <c r="E1201">
        <v>25053.65</v>
      </c>
      <c r="F1201">
        <v>25213.16</v>
      </c>
      <c r="G1201">
        <v>25179.05</v>
      </c>
      <c r="H1201">
        <v>25418.27</v>
      </c>
      <c r="I1201">
        <v>25381.51</v>
      </c>
      <c r="J1201">
        <v>25147.8</v>
      </c>
      <c r="K1201">
        <v>25154.94</v>
      </c>
      <c r="L1201">
        <v>25341.45</v>
      </c>
      <c r="M1201" s="31"/>
      <c r="N1201" s="31"/>
      <c r="O1201" s="31"/>
      <c r="P1201" s="31"/>
      <c r="Q1201" s="31"/>
      <c r="R1201" s="32"/>
      <c r="S1201" s="33"/>
    </row>
    <row r="1202" spans="1:27" ht="13.5" thickBot="1">
      <c r="A1202" s="98"/>
      <c r="B1202" s="98"/>
      <c r="C1202" s="34" t="s">
        <v>129</v>
      </c>
      <c r="D1202" s="35">
        <f t="shared" ref="D1202:L1202" si="699">IF(((D1200="")*AND(D1201="")),"",(D1200-D1201)*3)</f>
        <v>11973.360000000008</v>
      </c>
      <c r="E1202" s="35">
        <f t="shared" si="699"/>
        <v>11855.52</v>
      </c>
      <c r="F1202" s="35">
        <f t="shared" si="699"/>
        <v>11248.529999999995</v>
      </c>
      <c r="G1202" s="35">
        <f t="shared" si="699"/>
        <v>11335.919999999998</v>
      </c>
      <c r="H1202" s="35">
        <f t="shared" si="699"/>
        <v>11090.910000000003</v>
      </c>
      <c r="I1202" s="35">
        <f t="shared" si="699"/>
        <v>11354.880000000008</v>
      </c>
      <c r="J1202" s="35">
        <f t="shared" si="699"/>
        <v>11550.570000000007</v>
      </c>
      <c r="K1202" s="35">
        <f t="shared" si="699"/>
        <v>11441.850000000002</v>
      </c>
      <c r="L1202" s="35">
        <f t="shared" si="699"/>
        <v>11540.909999999993</v>
      </c>
      <c r="M1202" s="36"/>
      <c r="N1202" s="36"/>
      <c r="O1202" s="36"/>
      <c r="P1202" s="36"/>
      <c r="Q1202" s="36"/>
      <c r="R1202" s="37"/>
      <c r="S1202" s="38"/>
    </row>
    <row r="1203" spans="1:27" ht="16.5" customHeight="1">
      <c r="A1203" s="39">
        <v>44218</v>
      </c>
      <c r="B1203" s="115" t="s">
        <v>499</v>
      </c>
      <c r="C1203" s="26" t="s">
        <v>126</v>
      </c>
      <c r="D1203">
        <v>28860.52</v>
      </c>
      <c r="E1203">
        <v>28716.54</v>
      </c>
      <c r="F1203">
        <v>28668.01</v>
      </c>
      <c r="G1203">
        <v>28707.74</v>
      </c>
      <c r="H1203">
        <v>28818.14</v>
      </c>
      <c r="I1203">
        <v>28820.76</v>
      </c>
      <c r="J1203">
        <v>28700.400000000001</v>
      </c>
      <c r="K1203">
        <v>28691.01</v>
      </c>
      <c r="L1203">
        <v>28833.61</v>
      </c>
      <c r="M1203" s="27">
        <f t="shared" ref="M1203" si="700">IF((L1204=""),"",MAX(D1205:L1205))</f>
        <v>14692.63</v>
      </c>
      <c r="N1203" s="27">
        <f t="shared" ref="N1203" si="701">IF(L1204="","",MIN(D1205:L1205))</f>
        <v>12695.99</v>
      </c>
      <c r="O1203" s="27">
        <f t="shared" ref="O1203" si="702">IF((L1205=""),"",AVERAGE(D1205:L1205))</f>
        <v>13912.776666666667</v>
      </c>
      <c r="P1203" s="27">
        <f t="shared" ref="P1203" si="703">IF((L1204=""),"",STDEV(D1205:L1205))</f>
        <v>576.92438438669342</v>
      </c>
      <c r="Q1203" s="168">
        <f>IF((L1204=""),"",((M1203-N1203)/(M1203+N1203))*100)</f>
        <v>7.2900350583563522</v>
      </c>
      <c r="R1203" s="28" t="str">
        <f>IF(L1204="","",IF(Q1203&lt;AA1203,IF(N1203&gt;X1203,IF(M1203&lt;Y1203,"Pass","Fail"),"Fail"),"Fail"))</f>
        <v>Pass</v>
      </c>
      <c r="S1203" s="171" t="s">
        <v>617</v>
      </c>
      <c r="T1203" s="116"/>
      <c r="U1203" s="170" t="s">
        <v>618</v>
      </c>
      <c r="V1203" s="53">
        <v>10000</v>
      </c>
      <c r="W1203" s="22">
        <v>15600</v>
      </c>
      <c r="X1203" s="40">
        <v>10000</v>
      </c>
      <c r="Y1203" s="40">
        <v>15600</v>
      </c>
      <c r="Z1203" s="49">
        <v>15</v>
      </c>
      <c r="AA1203" s="49">
        <v>10</v>
      </c>
    </row>
    <row r="1204" spans="1:27" ht="15.75">
      <c r="A1204" s="96"/>
      <c r="B1204" s="96"/>
      <c r="C1204" s="30" t="s">
        <v>128</v>
      </c>
      <c r="D1204">
        <v>16164.53</v>
      </c>
      <c r="E1204">
        <v>15079.15</v>
      </c>
      <c r="F1204">
        <v>14701.37</v>
      </c>
      <c r="G1204">
        <v>14171.64</v>
      </c>
      <c r="H1204">
        <v>14125.51</v>
      </c>
      <c r="I1204">
        <v>14822.14</v>
      </c>
      <c r="J1204">
        <v>14564.93</v>
      </c>
      <c r="K1204">
        <v>14836.24</v>
      </c>
      <c r="L1204">
        <v>15136.23</v>
      </c>
      <c r="M1204" s="31"/>
      <c r="N1204" s="31"/>
      <c r="O1204" s="31"/>
      <c r="P1204" s="31"/>
      <c r="Q1204" s="31"/>
      <c r="R1204" s="32"/>
      <c r="S1204" s="33"/>
    </row>
    <row r="1205" spans="1:27" ht="15.75" customHeight="1" thickBot="1">
      <c r="A1205" s="98"/>
      <c r="B1205" s="98"/>
      <c r="C1205" s="34" t="s">
        <v>129</v>
      </c>
      <c r="D1205" s="35">
        <f>IF(((D1203="")*AND(D1204="")),"",(D1203-D1204))</f>
        <v>12695.99</v>
      </c>
      <c r="E1205" s="35">
        <f t="shared" ref="E1205:L1205" si="704">IF(((E1203="")*AND(E1204="")),"",(E1203-E1204))</f>
        <v>13637.390000000001</v>
      </c>
      <c r="F1205" s="35">
        <f t="shared" si="704"/>
        <v>13966.639999999998</v>
      </c>
      <c r="G1205" s="35">
        <f t="shared" si="704"/>
        <v>14536.100000000002</v>
      </c>
      <c r="H1205" s="35">
        <f t="shared" si="704"/>
        <v>14692.63</v>
      </c>
      <c r="I1205" s="35">
        <f t="shared" si="704"/>
        <v>13998.619999999999</v>
      </c>
      <c r="J1205" s="35">
        <f t="shared" si="704"/>
        <v>14135.470000000001</v>
      </c>
      <c r="K1205" s="35">
        <f t="shared" si="704"/>
        <v>13854.769999999999</v>
      </c>
      <c r="L1205" s="35">
        <f t="shared" si="704"/>
        <v>13697.380000000001</v>
      </c>
      <c r="M1205" s="36"/>
      <c r="N1205" s="36"/>
      <c r="O1205" s="36"/>
      <c r="P1205" s="36"/>
      <c r="Q1205" s="36"/>
      <c r="R1205" s="37"/>
      <c r="S1205" s="38"/>
    </row>
    <row r="1206" spans="1:27" ht="15.75">
      <c r="A1206" s="39">
        <v>44218</v>
      </c>
      <c r="B1206" s="115" t="s">
        <v>499</v>
      </c>
      <c r="C1206" s="26" t="s">
        <v>126</v>
      </c>
      <c r="D1206">
        <v>28922.31</v>
      </c>
      <c r="E1206">
        <v>28767.22</v>
      </c>
      <c r="F1206">
        <v>28775.77</v>
      </c>
      <c r="G1206">
        <v>28752.17</v>
      </c>
      <c r="H1206">
        <v>28836.77</v>
      </c>
      <c r="I1206">
        <v>28878.1</v>
      </c>
      <c r="J1206">
        <v>28751.919999999998</v>
      </c>
      <c r="K1206">
        <v>28755.09</v>
      </c>
      <c r="L1206">
        <v>28879.42</v>
      </c>
      <c r="M1206" s="27">
        <f t="shared" ref="M1206" si="705">IF((L1207=""),"",MAX(D1208:L1208))</f>
        <v>9707.9299999999967</v>
      </c>
      <c r="N1206" s="27">
        <f t="shared" ref="N1206" si="706">IF(L1207="","",MIN(D1208:L1208))</f>
        <v>8335</v>
      </c>
      <c r="O1206" s="27">
        <f t="shared" ref="O1206" si="707">IF((L1208=""),"",AVERAGE(D1208:L1208))</f>
        <v>9171.3599999999988</v>
      </c>
      <c r="P1206" s="27">
        <f t="shared" ref="P1206" si="708">IF((L1207=""),"",STDEV(D1208:L1208))</f>
        <v>407.27594745454775</v>
      </c>
      <c r="Q1206" s="168">
        <f>IF((L1207=""),"",((M1206-N1206)/(M1206+N1206))*100)</f>
        <v>7.6092408494629034</v>
      </c>
      <c r="R1206" s="28"/>
      <c r="S1206" s="29">
        <v>121</v>
      </c>
      <c r="T1206" s="116"/>
      <c r="U1206" s="170" t="s">
        <v>619</v>
      </c>
      <c r="V1206" s="53">
        <v>10000</v>
      </c>
      <c r="W1206" s="22">
        <v>15600</v>
      </c>
      <c r="X1206" s="40">
        <v>10000</v>
      </c>
      <c r="Y1206" s="40">
        <v>15600</v>
      </c>
      <c r="Z1206" s="49">
        <v>15</v>
      </c>
      <c r="AA1206" s="49">
        <v>10</v>
      </c>
    </row>
    <row r="1207" spans="1:27" ht="15.75">
      <c r="A1207" s="96"/>
      <c r="B1207" s="96"/>
      <c r="C1207" s="30" t="s">
        <v>128</v>
      </c>
      <c r="D1207">
        <v>20587.310000000001</v>
      </c>
      <c r="E1207">
        <v>19655.25</v>
      </c>
      <c r="F1207">
        <v>19363.3</v>
      </c>
      <c r="G1207">
        <v>19044.240000000002</v>
      </c>
      <c r="H1207">
        <v>19411.48</v>
      </c>
      <c r="I1207">
        <v>19846.62</v>
      </c>
      <c r="J1207">
        <v>19367.52</v>
      </c>
      <c r="K1207">
        <v>19436.599999999999</v>
      </c>
      <c r="L1207">
        <v>20064.21</v>
      </c>
      <c r="M1207" s="31"/>
      <c r="N1207" s="31"/>
      <c r="O1207" s="31"/>
      <c r="P1207" s="31"/>
      <c r="Q1207" s="31"/>
      <c r="R1207" s="32"/>
      <c r="S1207" s="33"/>
    </row>
    <row r="1208" spans="1:27" ht="15.75" customHeight="1" thickBot="1">
      <c r="A1208" s="98"/>
      <c r="B1208" s="98"/>
      <c r="C1208" s="34" t="s">
        <v>129</v>
      </c>
      <c r="D1208" s="35">
        <f>IF(((D1206="")*AND(D1207="")),"",(D1206-D1207))</f>
        <v>8335</v>
      </c>
      <c r="E1208" s="35">
        <f t="shared" ref="E1208" si="709">IF(((E1206="")*AND(E1207="")),"",(E1206-E1207))</f>
        <v>9111.9700000000012</v>
      </c>
      <c r="F1208" s="35">
        <f t="shared" ref="F1208" si="710">IF(((F1206="")*AND(F1207="")),"",(F1206-F1207))</f>
        <v>9412.4700000000012</v>
      </c>
      <c r="G1208" s="35">
        <f t="shared" ref="G1208" si="711">IF(((G1206="")*AND(G1207="")),"",(G1206-G1207))</f>
        <v>9707.9299999999967</v>
      </c>
      <c r="H1208" s="35">
        <f t="shared" ref="H1208" si="712">IF(((H1206="")*AND(H1207="")),"",(H1206-H1207))</f>
        <v>9425.2900000000009</v>
      </c>
      <c r="I1208" s="35">
        <f t="shared" ref="I1208" si="713">IF(((I1206="")*AND(I1207="")),"",(I1206-I1207))</f>
        <v>9031.48</v>
      </c>
      <c r="J1208" s="35">
        <f t="shared" ref="J1208" si="714">IF(((J1206="")*AND(J1207="")),"",(J1206-J1207))</f>
        <v>9384.3999999999978</v>
      </c>
      <c r="K1208" s="35">
        <f t="shared" ref="K1208" si="715">IF(((K1206="")*AND(K1207="")),"",(K1206-K1207))</f>
        <v>9318.4900000000016</v>
      </c>
      <c r="L1208" s="35">
        <f t="shared" ref="L1208" si="716">IF(((L1206="")*AND(L1207="")),"",(L1206-L1207))</f>
        <v>8815.2099999999991</v>
      </c>
      <c r="M1208" s="36"/>
      <c r="N1208" s="36"/>
      <c r="O1208" s="36"/>
      <c r="P1208" s="36"/>
      <c r="Q1208" s="36"/>
      <c r="R1208" s="37"/>
      <c r="S1208" s="38"/>
    </row>
  </sheetData>
  <autoFilter ref="A11:Z1184">
    <filterColumn colId="0"/>
    <filterColumn colId="1"/>
    <filterColumn colId="2"/>
    <filterColumn colId="22"/>
  </autoFilter>
  <mergeCells count="1">
    <mergeCell ref="D8:L8"/>
  </mergeCells>
  <conditionalFormatting sqref="Q928:Q929 Q919:Q920 Q922:Q923 Q925:Q926 R12:R1136 Q931:Q932 Q934:Q935 Q937:Q938 Q940:Q941 Q943:Q944 Q946:Q947 Q949:Q950 Q952:Q953 Q955:Q956 Q958:Q959 Q961:Q962 Q964:Q965 Q967:Q968 Q970:Q971 Q973:Q974 Q976:Q977 Q979:Q980 Q982:Q983 Q985:Q986 Q988:Q989 Q991:Q992 Q994:Q995 Q997:Q998 Q1000:Q1001 Q1003:Q1004 Q1006:Q1007 Q1009:Q1010 Q1012:Q1013 Q1015:Q1016 Q1018:Q1019 Q1021:Q1022 Q1024:Q1025 Q1027:Q1028 Q1030:Q1031 Q1033:Q1034 Q1036:Q1037 Q1039:Q1040 Q1042:Q1043 Q1045:Q1046 Q1048:Q1049 Q1051:Q1052 Q1054:Q1055 Q1057:Q1058 Q1060:Q1061 Q1063:Q1064 Q1066:Q1067 Q1069:Q1070 Q1072:Q1073 Q1075:Q1076 Q1078:Q1079 Q1081:Q1082 Q1084:Q1085 Q1087:Q1088 Q1090:Q1091 Q1093:Q1094 Q1096:Q1097 Q1099:Q1100 Q1102:Q1103 Q1105:Q1106 Q1108:Q1109 Q1111:Q1112 Q1114:Q1115 Q1117:Q1118 Q1120:Q1121 Q1123:Q1124 Q1126:Q1127 Q1129:Q1130 Q1132:Q1133 Q1135:Q1136">
    <cfRule type="cellIs" dxfId="59" priority="2617" stopIfTrue="1" operator="equal">
      <formula>"Fail"</formula>
    </cfRule>
    <cfRule type="cellIs" dxfId="58" priority="2618" stopIfTrue="1" operator="equal">
      <formula>"Pass"</formula>
    </cfRule>
  </conditionalFormatting>
  <conditionalFormatting sqref="R1137:R1139 Q1138:Q1139">
    <cfRule type="cellIs" dxfId="57" priority="47" stopIfTrue="1" operator="equal">
      <formula>"Fail"</formula>
    </cfRule>
    <cfRule type="cellIs" dxfId="56" priority="48" stopIfTrue="1" operator="equal">
      <formula>"Pass"</formula>
    </cfRule>
  </conditionalFormatting>
  <conditionalFormatting sqref="R1140:R1142 Q1141:Q1142">
    <cfRule type="cellIs" dxfId="55" priority="45" stopIfTrue="1" operator="equal">
      <formula>"Fail"</formula>
    </cfRule>
    <cfRule type="cellIs" dxfId="54" priority="46" stopIfTrue="1" operator="equal">
      <formula>"Pass"</formula>
    </cfRule>
  </conditionalFormatting>
  <conditionalFormatting sqref="R1143:R1145 Q1144:Q1145">
    <cfRule type="cellIs" dxfId="53" priority="43" stopIfTrue="1" operator="equal">
      <formula>"Fail"</formula>
    </cfRule>
    <cfRule type="cellIs" dxfId="52" priority="44" stopIfTrue="1" operator="equal">
      <formula>"Pass"</formula>
    </cfRule>
  </conditionalFormatting>
  <conditionalFormatting sqref="R1146:R1148 Q1147:Q1148">
    <cfRule type="cellIs" dxfId="51" priority="41" stopIfTrue="1" operator="equal">
      <formula>"Fail"</formula>
    </cfRule>
    <cfRule type="cellIs" dxfId="50" priority="42" stopIfTrue="1" operator="equal">
      <formula>"Pass"</formula>
    </cfRule>
  </conditionalFormatting>
  <conditionalFormatting sqref="R1149:R1151 Q1150:Q1151">
    <cfRule type="cellIs" dxfId="49" priority="39" stopIfTrue="1" operator="equal">
      <formula>"Fail"</formula>
    </cfRule>
    <cfRule type="cellIs" dxfId="48" priority="40" stopIfTrue="1" operator="equal">
      <formula>"Pass"</formula>
    </cfRule>
  </conditionalFormatting>
  <conditionalFormatting sqref="R1152:R1154 Q1153:Q1154">
    <cfRule type="cellIs" dxfId="47" priority="37" stopIfTrue="1" operator="equal">
      <formula>"Fail"</formula>
    </cfRule>
    <cfRule type="cellIs" dxfId="46" priority="38" stopIfTrue="1" operator="equal">
      <formula>"Pass"</formula>
    </cfRule>
  </conditionalFormatting>
  <conditionalFormatting sqref="R1155:R1157 Q1156:Q1157">
    <cfRule type="cellIs" dxfId="45" priority="35" stopIfTrue="1" operator="equal">
      <formula>"Fail"</formula>
    </cfRule>
    <cfRule type="cellIs" dxfId="44" priority="36" stopIfTrue="1" operator="equal">
      <formula>"Pass"</formula>
    </cfRule>
  </conditionalFormatting>
  <conditionalFormatting sqref="R1158:R1160 Q1159:Q1160">
    <cfRule type="cellIs" dxfId="43" priority="33" stopIfTrue="1" operator="equal">
      <formula>"Fail"</formula>
    </cfRule>
    <cfRule type="cellIs" dxfId="42" priority="34" stopIfTrue="1" operator="equal">
      <formula>"Pass"</formula>
    </cfRule>
  </conditionalFormatting>
  <conditionalFormatting sqref="R1161:R1163 Q1162:Q1163">
    <cfRule type="cellIs" dxfId="41" priority="31" stopIfTrue="1" operator="equal">
      <formula>"Fail"</formula>
    </cfRule>
    <cfRule type="cellIs" dxfId="40" priority="32" stopIfTrue="1" operator="equal">
      <formula>"Pass"</formula>
    </cfRule>
  </conditionalFormatting>
  <conditionalFormatting sqref="R1164:R1166 Q1165:Q1166">
    <cfRule type="cellIs" dxfId="39" priority="29" stopIfTrue="1" operator="equal">
      <formula>"Fail"</formula>
    </cfRule>
    <cfRule type="cellIs" dxfId="38" priority="30" stopIfTrue="1" operator="equal">
      <formula>"Pass"</formula>
    </cfRule>
  </conditionalFormatting>
  <conditionalFormatting sqref="R1167:R1169 Q1168:Q1169">
    <cfRule type="cellIs" dxfId="37" priority="27" stopIfTrue="1" operator="equal">
      <formula>"Fail"</formula>
    </cfRule>
    <cfRule type="cellIs" dxfId="36" priority="28" stopIfTrue="1" operator="equal">
      <formula>"Pass"</formula>
    </cfRule>
  </conditionalFormatting>
  <conditionalFormatting sqref="R1170:R1172 Q1171:Q1172">
    <cfRule type="cellIs" dxfId="35" priority="25" stopIfTrue="1" operator="equal">
      <formula>"Fail"</formula>
    </cfRule>
    <cfRule type="cellIs" dxfId="34" priority="26" stopIfTrue="1" operator="equal">
      <formula>"Pass"</formula>
    </cfRule>
  </conditionalFormatting>
  <conditionalFormatting sqref="R1173:R1175 Q1174:Q1175">
    <cfRule type="cellIs" dxfId="33" priority="23" stopIfTrue="1" operator="equal">
      <formula>"Fail"</formula>
    </cfRule>
    <cfRule type="cellIs" dxfId="32" priority="24" stopIfTrue="1" operator="equal">
      <formula>"Pass"</formula>
    </cfRule>
  </conditionalFormatting>
  <conditionalFormatting sqref="R1176:R1178 Q1177:Q1178">
    <cfRule type="cellIs" dxfId="31" priority="21" stopIfTrue="1" operator="equal">
      <formula>"Fail"</formula>
    </cfRule>
    <cfRule type="cellIs" dxfId="30" priority="22" stopIfTrue="1" operator="equal">
      <formula>"Pass"</formula>
    </cfRule>
  </conditionalFormatting>
  <conditionalFormatting sqref="R1179:R1181 Q1180:Q1181">
    <cfRule type="cellIs" dxfId="29" priority="19" stopIfTrue="1" operator="equal">
      <formula>"Fail"</formula>
    </cfRule>
    <cfRule type="cellIs" dxfId="28" priority="20" stopIfTrue="1" operator="equal">
      <formula>"Pass"</formula>
    </cfRule>
  </conditionalFormatting>
  <conditionalFormatting sqref="R1182:R1184 Q1183:Q1184">
    <cfRule type="cellIs" dxfId="27" priority="17" stopIfTrue="1" operator="equal">
      <formula>"Fail"</formula>
    </cfRule>
    <cfRule type="cellIs" dxfId="26" priority="18" stopIfTrue="1" operator="equal">
      <formula>"Pass"</formula>
    </cfRule>
  </conditionalFormatting>
  <conditionalFormatting sqref="R1185:R1187 Q1186:Q1187">
    <cfRule type="cellIs" dxfId="25" priority="15" stopIfTrue="1" operator="equal">
      <formula>"Fail"</formula>
    </cfRule>
    <cfRule type="cellIs" dxfId="24" priority="16" stopIfTrue="1" operator="equal">
      <formula>"Pass"</formula>
    </cfRule>
  </conditionalFormatting>
  <conditionalFormatting sqref="R1188:R1190 Q1189:Q1190">
    <cfRule type="cellIs" dxfId="23" priority="13" stopIfTrue="1" operator="equal">
      <formula>"Fail"</formula>
    </cfRule>
    <cfRule type="cellIs" dxfId="22" priority="14" stopIfTrue="1" operator="equal">
      <formula>"Pass"</formula>
    </cfRule>
  </conditionalFormatting>
  <conditionalFormatting sqref="R1191:R1193 Q1192:Q1193">
    <cfRule type="cellIs" dxfId="21" priority="11" stopIfTrue="1" operator="equal">
      <formula>"Fail"</formula>
    </cfRule>
    <cfRule type="cellIs" dxfId="20" priority="12" stopIfTrue="1" operator="equal">
      <formula>"Pass"</formula>
    </cfRule>
  </conditionalFormatting>
  <conditionalFormatting sqref="R1194:R1196 Q1195:Q1196">
    <cfRule type="cellIs" dxfId="19" priority="9" stopIfTrue="1" operator="equal">
      <formula>"Fail"</formula>
    </cfRule>
    <cfRule type="cellIs" dxfId="18" priority="10" stopIfTrue="1" operator="equal">
      <formula>"Pass"</formula>
    </cfRule>
  </conditionalFormatting>
  <conditionalFormatting sqref="R1197:R1199 Q1198:Q1199">
    <cfRule type="cellIs" dxfId="17" priority="7" stopIfTrue="1" operator="equal">
      <formula>"Fail"</formula>
    </cfRule>
    <cfRule type="cellIs" dxfId="16" priority="8" stopIfTrue="1" operator="equal">
      <formula>"Pass"</formula>
    </cfRule>
  </conditionalFormatting>
  <conditionalFormatting sqref="R1200:R1202 Q1201:Q1202">
    <cfRule type="cellIs" dxfId="15" priority="5" stopIfTrue="1" operator="equal">
      <formula>"Fail"</formula>
    </cfRule>
    <cfRule type="cellIs" dxfId="14" priority="6" stopIfTrue="1" operator="equal">
      <formula>"Pass"</formula>
    </cfRule>
  </conditionalFormatting>
  <conditionalFormatting sqref="R1203:R1205 Q1204:Q1205">
    <cfRule type="cellIs" dxfId="13" priority="3" stopIfTrue="1" operator="equal">
      <formula>"Fail"</formula>
    </cfRule>
    <cfRule type="cellIs" dxfId="12" priority="4" stopIfTrue="1" operator="equal">
      <formula>"Pass"</formula>
    </cfRule>
  </conditionalFormatting>
  <conditionalFormatting sqref="R1206:R1208 Q1207:Q1208">
    <cfRule type="cellIs" dxfId="11" priority="1" stopIfTrue="1" operator="equal">
      <formula>"Fail"</formula>
    </cfRule>
    <cfRule type="cellIs" dxfId="1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D19" sqref="D19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K8" sqref="K8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J10" sqref="J1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C2:V93"/>
  <sheetViews>
    <sheetView topLeftCell="F72" workbookViewId="0">
      <selection activeCell="U90" sqref="U90:U92"/>
    </sheetView>
  </sheetViews>
  <sheetFormatPr defaultRowHeight="15.75"/>
  <cols>
    <col min="9" max="9" width="10.25" bestFit="1" customWidth="1"/>
    <col min="19" max="19" width="8.5" customWidth="1"/>
  </cols>
  <sheetData>
    <row r="2" spans="3:8">
      <c r="F2" t="s">
        <v>421</v>
      </c>
    </row>
    <row r="3" spans="3:8">
      <c r="C3" s="73">
        <v>29</v>
      </c>
      <c r="D3" s="73">
        <v>28</v>
      </c>
      <c r="E3" s="73">
        <f t="shared" ref="E3" si="0">IF(((C3="")*AND(D3="")),"",(D3-C3))</f>
        <v>-1</v>
      </c>
      <c r="F3" s="73">
        <v>-1</v>
      </c>
      <c r="H3" s="73">
        <v>-1</v>
      </c>
    </row>
    <row r="4" spans="3:8">
      <c r="C4" s="73">
        <v>18</v>
      </c>
      <c r="D4" s="73">
        <v>34</v>
      </c>
      <c r="E4" s="73">
        <f>IF(((C4="")*AND(D4="")),"",(D4-C4))</f>
        <v>16</v>
      </c>
      <c r="F4" s="73">
        <v>16</v>
      </c>
      <c r="H4" s="73">
        <v>16</v>
      </c>
    </row>
    <row r="5" spans="3:8">
      <c r="C5" s="73">
        <v>12</v>
      </c>
      <c r="D5" s="73">
        <v>50</v>
      </c>
      <c r="E5" s="73">
        <f t="shared" ref="E5:E66" si="1">IF(((C5="")*AND(D5="")),"",(D5-C5))</f>
        <v>38</v>
      </c>
      <c r="F5" s="73">
        <v>16</v>
      </c>
      <c r="H5" s="73">
        <v>16</v>
      </c>
    </row>
    <row r="6" spans="3:8">
      <c r="C6" s="73">
        <v>11</v>
      </c>
      <c r="D6" s="73">
        <v>27</v>
      </c>
      <c r="E6" s="73">
        <f t="shared" si="1"/>
        <v>16</v>
      </c>
      <c r="F6" s="73">
        <v>10</v>
      </c>
      <c r="H6" s="73">
        <v>10</v>
      </c>
    </row>
    <row r="7" spans="3:8">
      <c r="C7" s="73">
        <v>12</v>
      </c>
      <c r="D7" s="73">
        <v>22</v>
      </c>
      <c r="E7" s="73">
        <f t="shared" si="1"/>
        <v>10</v>
      </c>
      <c r="F7" s="73">
        <v>3</v>
      </c>
      <c r="H7" s="73">
        <v>3</v>
      </c>
    </row>
    <row r="8" spans="3:8">
      <c r="C8" s="73">
        <v>9</v>
      </c>
      <c r="D8" s="73">
        <v>12</v>
      </c>
      <c r="E8" s="73">
        <f t="shared" si="1"/>
        <v>3</v>
      </c>
      <c r="F8" s="73">
        <v>6</v>
      </c>
      <c r="H8" s="73">
        <v>6</v>
      </c>
    </row>
    <row r="9" spans="3:8">
      <c r="C9" s="73">
        <v>34</v>
      </c>
      <c r="D9" s="73">
        <v>40</v>
      </c>
      <c r="E9" s="73">
        <f t="shared" si="1"/>
        <v>6</v>
      </c>
      <c r="F9" s="73">
        <v>10</v>
      </c>
      <c r="H9" s="73">
        <v>10</v>
      </c>
    </row>
    <row r="10" spans="3:8">
      <c r="C10" s="73">
        <v>38</v>
      </c>
      <c r="D10" s="73">
        <v>48</v>
      </c>
      <c r="E10" s="73">
        <f t="shared" si="1"/>
        <v>10</v>
      </c>
      <c r="F10" s="73">
        <v>19</v>
      </c>
      <c r="H10" s="73">
        <v>19</v>
      </c>
    </row>
    <row r="11" spans="3:8">
      <c r="C11" s="73">
        <v>33</v>
      </c>
      <c r="D11" s="73">
        <v>52</v>
      </c>
      <c r="E11" s="73">
        <f t="shared" si="1"/>
        <v>19</v>
      </c>
      <c r="F11" s="73">
        <v>9</v>
      </c>
      <c r="H11" s="73">
        <v>9</v>
      </c>
    </row>
    <row r="12" spans="3:8">
      <c r="C12" s="73">
        <v>24</v>
      </c>
      <c r="D12" s="73">
        <v>55</v>
      </c>
      <c r="E12" s="73">
        <f t="shared" si="1"/>
        <v>31</v>
      </c>
      <c r="F12" s="73">
        <v>10</v>
      </c>
      <c r="H12" s="73">
        <v>10</v>
      </c>
    </row>
    <row r="13" spans="3:8">
      <c r="C13" s="73">
        <v>23</v>
      </c>
      <c r="D13" s="73">
        <v>32</v>
      </c>
      <c r="E13" s="73">
        <f t="shared" si="1"/>
        <v>9</v>
      </c>
      <c r="F13" s="73">
        <v>30</v>
      </c>
      <c r="H13" s="73">
        <v>30</v>
      </c>
    </row>
    <row r="14" spans="3:8">
      <c r="C14" s="73">
        <v>14</v>
      </c>
      <c r="D14" s="73">
        <v>24</v>
      </c>
      <c r="E14" s="73">
        <f t="shared" si="1"/>
        <v>10</v>
      </c>
      <c r="F14" s="73">
        <v>16</v>
      </c>
      <c r="H14" s="73">
        <v>16</v>
      </c>
    </row>
    <row r="15" spans="3:8" hidden="1">
      <c r="C15" s="73">
        <v>27</v>
      </c>
      <c r="D15" s="73">
        <v>57</v>
      </c>
      <c r="E15" s="73">
        <f t="shared" si="1"/>
        <v>30</v>
      </c>
      <c r="F15" s="73">
        <v>-9</v>
      </c>
      <c r="H15" s="73">
        <v>-4</v>
      </c>
    </row>
    <row r="16" spans="3:8">
      <c r="C16" s="73">
        <v>37</v>
      </c>
      <c r="D16" s="73">
        <v>53</v>
      </c>
      <c r="E16" s="73">
        <f t="shared" si="1"/>
        <v>16</v>
      </c>
      <c r="F16" s="73">
        <v>-4</v>
      </c>
      <c r="H16" s="73">
        <v>10</v>
      </c>
    </row>
    <row r="17" spans="3:8">
      <c r="C17" s="73">
        <v>50</v>
      </c>
      <c r="D17" s="73">
        <v>41</v>
      </c>
      <c r="E17" s="73">
        <f t="shared" si="1"/>
        <v>-9</v>
      </c>
      <c r="F17" s="73">
        <v>10</v>
      </c>
      <c r="H17" s="73">
        <v>7</v>
      </c>
    </row>
    <row r="18" spans="3:8">
      <c r="C18" s="73">
        <v>29</v>
      </c>
      <c r="D18" s="73">
        <v>25</v>
      </c>
      <c r="E18" s="73">
        <f t="shared" si="1"/>
        <v>-4</v>
      </c>
      <c r="F18" s="73">
        <v>7</v>
      </c>
      <c r="H18" s="73">
        <v>5</v>
      </c>
    </row>
    <row r="19" spans="3:8">
      <c r="C19" s="73">
        <v>25</v>
      </c>
      <c r="D19" s="73">
        <v>35</v>
      </c>
      <c r="E19" s="73">
        <f t="shared" si="1"/>
        <v>10</v>
      </c>
      <c r="F19" s="73">
        <v>5</v>
      </c>
      <c r="H19" s="73">
        <v>-4</v>
      </c>
    </row>
    <row r="20" spans="3:8">
      <c r="C20" s="73">
        <v>19</v>
      </c>
      <c r="D20" s="73">
        <v>26</v>
      </c>
      <c r="E20" s="73">
        <f t="shared" si="1"/>
        <v>7</v>
      </c>
      <c r="F20" s="73">
        <v>-4</v>
      </c>
      <c r="H20" s="73">
        <v>0</v>
      </c>
    </row>
    <row r="21" spans="3:8">
      <c r="C21" s="73">
        <v>40</v>
      </c>
      <c r="D21" s="73">
        <v>45</v>
      </c>
      <c r="E21" s="73">
        <f t="shared" si="1"/>
        <v>5</v>
      </c>
      <c r="F21" s="73">
        <v>0</v>
      </c>
      <c r="H21" s="73">
        <v>0</v>
      </c>
    </row>
    <row r="22" spans="3:8">
      <c r="C22" s="73">
        <v>35</v>
      </c>
      <c r="D22" s="73">
        <v>31</v>
      </c>
      <c r="E22" s="73">
        <f t="shared" si="1"/>
        <v>-4</v>
      </c>
      <c r="F22" s="73">
        <v>0</v>
      </c>
      <c r="H22" s="73">
        <v>0</v>
      </c>
    </row>
    <row r="23" spans="3:8">
      <c r="C23" s="73">
        <v>13</v>
      </c>
      <c r="D23" s="73">
        <v>13</v>
      </c>
      <c r="E23" s="73">
        <f t="shared" si="1"/>
        <v>0</v>
      </c>
      <c r="F23" s="73">
        <v>0</v>
      </c>
      <c r="H23" s="73">
        <v>1</v>
      </c>
    </row>
    <row r="24" spans="3:8">
      <c r="C24" s="73">
        <v>36</v>
      </c>
      <c r="D24" s="73">
        <v>36</v>
      </c>
      <c r="E24" s="73">
        <f t="shared" si="1"/>
        <v>0</v>
      </c>
      <c r="F24" s="73">
        <v>1</v>
      </c>
      <c r="H24" s="73">
        <v>0</v>
      </c>
    </row>
    <row r="25" spans="3:8">
      <c r="C25" s="73">
        <v>14</v>
      </c>
      <c r="D25" s="73">
        <v>14</v>
      </c>
      <c r="E25" s="73">
        <f t="shared" si="1"/>
        <v>0</v>
      </c>
      <c r="F25" s="73">
        <v>0</v>
      </c>
      <c r="H25" s="73">
        <v>3</v>
      </c>
    </row>
    <row r="26" spans="3:8">
      <c r="C26" s="73">
        <v>17</v>
      </c>
      <c r="D26" s="73">
        <v>18</v>
      </c>
      <c r="E26" s="73">
        <f t="shared" si="1"/>
        <v>1</v>
      </c>
      <c r="F26" s="73">
        <v>3</v>
      </c>
      <c r="H26" s="73">
        <v>1</v>
      </c>
    </row>
    <row r="27" spans="3:8">
      <c r="C27" s="73">
        <v>7</v>
      </c>
      <c r="D27" s="73">
        <v>7</v>
      </c>
      <c r="E27" s="73">
        <f t="shared" si="1"/>
        <v>0</v>
      </c>
      <c r="F27" s="73">
        <v>1</v>
      </c>
      <c r="H27" s="73">
        <v>1</v>
      </c>
    </row>
    <row r="28" spans="3:8">
      <c r="C28" s="73">
        <v>22</v>
      </c>
      <c r="D28" s="73">
        <v>25</v>
      </c>
      <c r="E28" s="73">
        <f t="shared" si="1"/>
        <v>3</v>
      </c>
      <c r="F28" s="73">
        <v>1</v>
      </c>
      <c r="H28" s="73">
        <v>1</v>
      </c>
    </row>
    <row r="29" spans="3:8" hidden="1">
      <c r="C29" s="73">
        <v>9</v>
      </c>
      <c r="D29" s="73">
        <v>10</v>
      </c>
      <c r="E29" s="73">
        <f t="shared" si="1"/>
        <v>1</v>
      </c>
      <c r="F29" s="73">
        <v>-6</v>
      </c>
      <c r="H29" s="73">
        <v>-1</v>
      </c>
    </row>
    <row r="30" spans="3:8">
      <c r="C30" s="73">
        <v>20</v>
      </c>
      <c r="D30" s="73">
        <v>21</v>
      </c>
      <c r="E30" s="73">
        <f t="shared" si="1"/>
        <v>1</v>
      </c>
      <c r="F30" s="73">
        <v>1</v>
      </c>
      <c r="H30" s="73">
        <v>1</v>
      </c>
    </row>
    <row r="31" spans="3:8">
      <c r="C31" s="73">
        <v>44</v>
      </c>
      <c r="D31" s="73">
        <v>38</v>
      </c>
      <c r="E31" s="73">
        <f t="shared" si="1"/>
        <v>-6</v>
      </c>
      <c r="F31" s="73">
        <v>-1</v>
      </c>
      <c r="H31" s="73">
        <v>22</v>
      </c>
    </row>
    <row r="32" spans="3:8">
      <c r="C32" s="73">
        <v>42</v>
      </c>
      <c r="D32" s="73">
        <v>43</v>
      </c>
      <c r="E32" s="73">
        <f t="shared" si="1"/>
        <v>1</v>
      </c>
      <c r="F32" s="73">
        <v>1</v>
      </c>
      <c r="H32" s="73">
        <v>30</v>
      </c>
    </row>
    <row r="33" spans="3:8">
      <c r="C33" s="73">
        <v>6</v>
      </c>
      <c r="D33" s="73">
        <v>5</v>
      </c>
      <c r="E33" s="73">
        <f t="shared" si="1"/>
        <v>-1</v>
      </c>
      <c r="F33" s="73">
        <v>22</v>
      </c>
      <c r="H33" s="73">
        <v>7</v>
      </c>
    </row>
    <row r="34" spans="3:8" hidden="1">
      <c r="C34" s="73">
        <v>14</v>
      </c>
      <c r="D34" s="73">
        <v>15</v>
      </c>
      <c r="E34" s="73">
        <f t="shared" si="1"/>
        <v>1</v>
      </c>
      <c r="F34" s="73">
        <v>-9</v>
      </c>
      <c r="H34" s="73">
        <v>8</v>
      </c>
    </row>
    <row r="35" spans="3:8" hidden="1">
      <c r="C35" s="73">
        <v>26</v>
      </c>
      <c r="D35" s="73">
        <v>48</v>
      </c>
      <c r="E35" s="73">
        <f t="shared" si="1"/>
        <v>22</v>
      </c>
      <c r="F35" s="73">
        <v>-12</v>
      </c>
      <c r="H35" s="73">
        <v>9</v>
      </c>
    </row>
    <row r="36" spans="3:8">
      <c r="C36" s="73">
        <v>29</v>
      </c>
      <c r="D36" s="73">
        <v>20</v>
      </c>
      <c r="E36" s="73">
        <f t="shared" si="1"/>
        <v>-9</v>
      </c>
      <c r="F36" s="73">
        <v>30</v>
      </c>
      <c r="H36" s="73">
        <v>23</v>
      </c>
    </row>
    <row r="37" spans="3:8" hidden="1">
      <c r="C37" s="73">
        <v>58</v>
      </c>
      <c r="D37" s="73">
        <v>46</v>
      </c>
      <c r="E37" s="73">
        <f t="shared" si="1"/>
        <v>-12</v>
      </c>
      <c r="F37" s="73">
        <v>-7</v>
      </c>
      <c r="H37" s="73">
        <v>3</v>
      </c>
    </row>
    <row r="38" spans="3:8">
      <c r="C38" s="73">
        <v>38</v>
      </c>
      <c r="D38" s="73">
        <v>68</v>
      </c>
      <c r="E38" s="73">
        <f t="shared" si="1"/>
        <v>30</v>
      </c>
      <c r="F38" s="73">
        <v>7</v>
      </c>
      <c r="H38" s="73">
        <v>0</v>
      </c>
    </row>
    <row r="39" spans="3:8">
      <c r="C39" s="73">
        <v>26</v>
      </c>
      <c r="D39" s="73">
        <v>19</v>
      </c>
      <c r="E39" s="73">
        <f t="shared" si="1"/>
        <v>-7</v>
      </c>
      <c r="F39" s="73">
        <v>8</v>
      </c>
      <c r="H39" s="73">
        <v>3</v>
      </c>
    </row>
    <row r="40" spans="3:8">
      <c r="C40" s="73">
        <v>24</v>
      </c>
      <c r="D40" s="73">
        <v>31</v>
      </c>
      <c r="E40" s="73">
        <f t="shared" si="1"/>
        <v>7</v>
      </c>
      <c r="F40" s="73">
        <v>9</v>
      </c>
      <c r="H40" s="73">
        <v>1</v>
      </c>
    </row>
    <row r="41" spans="3:8">
      <c r="C41" s="73">
        <v>28</v>
      </c>
      <c r="D41" s="73">
        <v>36</v>
      </c>
      <c r="E41" s="73">
        <f t="shared" si="1"/>
        <v>8</v>
      </c>
      <c r="F41" s="73">
        <v>23</v>
      </c>
      <c r="H41" s="73">
        <v>3</v>
      </c>
    </row>
    <row r="42" spans="3:8" hidden="1">
      <c r="C42" s="73">
        <v>42</v>
      </c>
      <c r="D42" s="73">
        <v>51</v>
      </c>
      <c r="E42" s="73">
        <f t="shared" si="1"/>
        <v>9</v>
      </c>
      <c r="F42" s="73">
        <v>-9</v>
      </c>
      <c r="H42" s="73">
        <v>1</v>
      </c>
    </row>
    <row r="43" spans="3:8">
      <c r="C43" s="73">
        <v>29</v>
      </c>
      <c r="D43" s="73">
        <v>52</v>
      </c>
      <c r="E43" s="73">
        <f t="shared" si="1"/>
        <v>23</v>
      </c>
      <c r="F43" s="73">
        <v>3</v>
      </c>
      <c r="H43" s="73">
        <v>0</v>
      </c>
    </row>
    <row r="44" spans="3:8">
      <c r="C44" s="73">
        <v>19</v>
      </c>
      <c r="D44" s="73">
        <v>10</v>
      </c>
      <c r="E44" s="73">
        <f t="shared" si="1"/>
        <v>-9</v>
      </c>
      <c r="F44" s="73">
        <v>0</v>
      </c>
      <c r="H44" s="73">
        <v>-5</v>
      </c>
    </row>
    <row r="45" spans="3:8">
      <c r="C45" s="73">
        <v>3</v>
      </c>
      <c r="D45" s="73">
        <v>6</v>
      </c>
      <c r="E45" s="73">
        <f t="shared" si="1"/>
        <v>3</v>
      </c>
      <c r="F45" s="73">
        <v>3</v>
      </c>
      <c r="H45" s="73">
        <v>-1</v>
      </c>
    </row>
    <row r="46" spans="3:8" hidden="1">
      <c r="C46" s="73">
        <v>13</v>
      </c>
      <c r="D46" s="73">
        <v>49</v>
      </c>
      <c r="E46" s="73">
        <f t="shared" si="1"/>
        <v>36</v>
      </c>
      <c r="F46" s="73">
        <v>-9</v>
      </c>
      <c r="H46" s="73">
        <v>0</v>
      </c>
    </row>
    <row r="47" spans="3:8">
      <c r="C47" s="73">
        <v>14</v>
      </c>
      <c r="D47" s="73">
        <v>14</v>
      </c>
      <c r="E47" s="73">
        <f t="shared" si="1"/>
        <v>0</v>
      </c>
      <c r="F47" s="73">
        <v>1</v>
      </c>
      <c r="H47" s="73">
        <v>2</v>
      </c>
    </row>
    <row r="48" spans="3:8">
      <c r="C48" s="73">
        <v>23</v>
      </c>
      <c r="D48" s="73">
        <v>26</v>
      </c>
      <c r="E48" s="73">
        <f t="shared" si="1"/>
        <v>3</v>
      </c>
      <c r="F48" s="73">
        <v>3</v>
      </c>
      <c r="H48" s="73">
        <v>10</v>
      </c>
    </row>
    <row r="49" spans="3:12">
      <c r="C49" s="73">
        <v>29</v>
      </c>
      <c r="D49" s="73">
        <v>20</v>
      </c>
      <c r="E49" s="73">
        <f t="shared" si="1"/>
        <v>-9</v>
      </c>
      <c r="F49" s="73">
        <v>1</v>
      </c>
      <c r="H49" s="73">
        <v>7</v>
      </c>
    </row>
    <row r="50" spans="3:12">
      <c r="C50" s="73">
        <v>34</v>
      </c>
      <c r="D50" s="73">
        <v>35</v>
      </c>
      <c r="E50" s="73">
        <f t="shared" si="1"/>
        <v>1</v>
      </c>
      <c r="F50" s="73">
        <v>0</v>
      </c>
      <c r="H50" s="73">
        <v>5</v>
      </c>
    </row>
    <row r="51" spans="3:12">
      <c r="C51" s="73">
        <v>39</v>
      </c>
      <c r="D51" s="73">
        <v>42</v>
      </c>
      <c r="E51" s="73">
        <f t="shared" si="1"/>
        <v>3</v>
      </c>
      <c r="F51" s="73">
        <v>-5</v>
      </c>
      <c r="H51" s="73">
        <v>1</v>
      </c>
    </row>
    <row r="52" spans="3:12">
      <c r="C52" s="73">
        <v>9</v>
      </c>
      <c r="D52" s="73">
        <v>10</v>
      </c>
      <c r="E52" s="73">
        <f t="shared" si="1"/>
        <v>1</v>
      </c>
      <c r="F52" s="73">
        <v>-1</v>
      </c>
      <c r="H52" s="73">
        <v>18</v>
      </c>
    </row>
    <row r="53" spans="3:12">
      <c r="C53" s="73">
        <v>16</v>
      </c>
      <c r="D53" s="73">
        <v>16</v>
      </c>
      <c r="E53" s="73">
        <f t="shared" si="1"/>
        <v>0</v>
      </c>
      <c r="F53" s="73">
        <v>0</v>
      </c>
      <c r="H53" s="73">
        <v>9</v>
      </c>
    </row>
    <row r="54" spans="3:12">
      <c r="C54" s="73">
        <v>5</v>
      </c>
      <c r="D54" s="73"/>
      <c r="E54" s="73">
        <f t="shared" si="1"/>
        <v>-5</v>
      </c>
      <c r="F54" s="73">
        <v>2</v>
      </c>
      <c r="H54" s="73">
        <v>8</v>
      </c>
      <c r="L54" s="135">
        <v>29133.5</v>
      </c>
    </row>
    <row r="55" spans="3:12">
      <c r="C55" s="73">
        <v>20</v>
      </c>
      <c r="D55" s="73">
        <v>19</v>
      </c>
      <c r="E55" s="73">
        <f t="shared" si="1"/>
        <v>-1</v>
      </c>
      <c r="F55" s="73">
        <v>10</v>
      </c>
      <c r="H55" s="73">
        <v>2</v>
      </c>
      <c r="L55" s="135">
        <v>28922.45</v>
      </c>
    </row>
    <row r="56" spans="3:12">
      <c r="C56" s="73">
        <v>22</v>
      </c>
      <c r="D56" s="73">
        <v>22</v>
      </c>
      <c r="E56" s="73">
        <f t="shared" si="1"/>
        <v>0</v>
      </c>
      <c r="F56" s="73">
        <v>7</v>
      </c>
      <c r="H56" s="73">
        <v>8</v>
      </c>
      <c r="L56" s="135">
        <v>28863.99</v>
      </c>
    </row>
    <row r="57" spans="3:12">
      <c r="C57" s="73">
        <v>24</v>
      </c>
      <c r="D57" s="73">
        <v>26</v>
      </c>
      <c r="E57" s="73">
        <f t="shared" si="1"/>
        <v>2</v>
      </c>
      <c r="F57" s="73">
        <v>5</v>
      </c>
      <c r="H57" s="73">
        <v>16</v>
      </c>
      <c r="L57" s="135">
        <v>28914.21</v>
      </c>
    </row>
    <row r="58" spans="3:12">
      <c r="C58" s="73">
        <v>6</v>
      </c>
      <c r="D58" s="73">
        <v>16</v>
      </c>
      <c r="E58" s="73">
        <f t="shared" si="1"/>
        <v>10</v>
      </c>
      <c r="F58" s="73">
        <v>1</v>
      </c>
      <c r="H58" s="73">
        <v>2</v>
      </c>
      <c r="L58" s="135">
        <v>29088.57</v>
      </c>
    </row>
    <row r="59" spans="3:12" hidden="1">
      <c r="C59" s="73">
        <v>6</v>
      </c>
      <c r="D59" s="73">
        <v>13</v>
      </c>
      <c r="E59" s="73">
        <f t="shared" si="1"/>
        <v>7</v>
      </c>
      <c r="F59" s="73">
        <v>-8</v>
      </c>
      <c r="H59" s="73">
        <v>6</v>
      </c>
      <c r="L59" s="135">
        <v>29065.08</v>
      </c>
    </row>
    <row r="60" spans="3:12">
      <c r="C60" s="73">
        <v>5</v>
      </c>
      <c r="D60" s="73">
        <v>10</v>
      </c>
      <c r="E60" s="73">
        <f t="shared" si="1"/>
        <v>5</v>
      </c>
      <c r="F60" s="73">
        <v>18</v>
      </c>
      <c r="H60" s="73">
        <v>4</v>
      </c>
      <c r="L60" s="135">
        <v>28908.54</v>
      </c>
    </row>
    <row r="61" spans="3:12">
      <c r="C61" s="73">
        <v>13</v>
      </c>
      <c r="D61" s="73">
        <v>14</v>
      </c>
      <c r="E61" s="73">
        <f t="shared" si="1"/>
        <v>1</v>
      </c>
      <c r="F61" s="73">
        <v>9</v>
      </c>
      <c r="H61" s="73">
        <v>13</v>
      </c>
      <c r="L61" s="135">
        <v>28907.52</v>
      </c>
    </row>
    <row r="62" spans="3:12" hidden="1">
      <c r="C62" s="73">
        <v>13</v>
      </c>
      <c r="D62" s="73">
        <v>5</v>
      </c>
      <c r="E62" s="73">
        <f t="shared" si="1"/>
        <v>-8</v>
      </c>
      <c r="F62" s="73">
        <v>-7</v>
      </c>
      <c r="H62" s="73">
        <v>-2</v>
      </c>
      <c r="L62" s="135">
        <v>29083.14</v>
      </c>
    </row>
    <row r="63" spans="3:12">
      <c r="C63" s="73">
        <v>41</v>
      </c>
      <c r="D63" s="73">
        <v>59</v>
      </c>
      <c r="E63" s="73">
        <f t="shared" si="1"/>
        <v>18</v>
      </c>
      <c r="F63" s="73">
        <v>8</v>
      </c>
      <c r="H63" s="73">
        <v>-2</v>
      </c>
    </row>
    <row r="64" spans="3:12">
      <c r="C64" s="73">
        <v>45</v>
      </c>
      <c r="D64" s="73">
        <v>54</v>
      </c>
      <c r="E64" s="73">
        <f t="shared" si="1"/>
        <v>9</v>
      </c>
      <c r="F64" s="73">
        <v>2</v>
      </c>
      <c r="H64" s="73">
        <v>-4</v>
      </c>
    </row>
    <row r="65" spans="3:22">
      <c r="C65" s="73">
        <v>24</v>
      </c>
      <c r="D65" s="73">
        <v>17</v>
      </c>
      <c r="E65" s="73">
        <f t="shared" si="1"/>
        <v>-7</v>
      </c>
      <c r="F65" s="73">
        <v>8</v>
      </c>
      <c r="H65" s="73">
        <v>9</v>
      </c>
      <c r="L65" s="137">
        <v>29082.31</v>
      </c>
    </row>
    <row r="66" spans="3:22">
      <c r="C66" s="73">
        <v>20</v>
      </c>
      <c r="D66" s="73">
        <v>28</v>
      </c>
      <c r="E66" s="73">
        <f t="shared" si="1"/>
        <v>8</v>
      </c>
      <c r="F66" s="73">
        <v>16</v>
      </c>
      <c r="H66" s="73">
        <v>24</v>
      </c>
      <c r="L66" s="137">
        <v>28864.37</v>
      </c>
    </row>
    <row r="67" spans="3:22">
      <c r="C67" s="73">
        <v>18</v>
      </c>
      <c r="D67" s="73">
        <v>20</v>
      </c>
      <c r="E67" s="73">
        <f t="shared" ref="E67:E84" si="2">IF(((C67="")*AND(D67="")),"",(D67-C67))</f>
        <v>2</v>
      </c>
      <c r="F67" s="73">
        <v>2</v>
      </c>
      <c r="H67" s="73">
        <v>-3</v>
      </c>
      <c r="L67" s="137">
        <v>28806.959999999999</v>
      </c>
    </row>
    <row r="68" spans="3:22">
      <c r="C68" s="73">
        <v>31</v>
      </c>
      <c r="D68" s="73">
        <v>39</v>
      </c>
      <c r="E68" s="73">
        <f t="shared" si="2"/>
        <v>8</v>
      </c>
      <c r="F68" s="73">
        <v>6</v>
      </c>
      <c r="H68" s="73">
        <v>20</v>
      </c>
      <c r="L68" s="137">
        <v>28846.79</v>
      </c>
    </row>
    <row r="69" spans="3:22">
      <c r="C69" s="73">
        <v>2</v>
      </c>
      <c r="D69" s="73">
        <v>18</v>
      </c>
      <c r="E69" s="73">
        <f t="shared" si="2"/>
        <v>16</v>
      </c>
      <c r="F69" s="73">
        <v>4</v>
      </c>
      <c r="H69" s="73">
        <v>1</v>
      </c>
      <c r="L69" s="137">
        <v>29032.07</v>
      </c>
    </row>
    <row r="70" spans="3:22">
      <c r="C70" s="73">
        <v>1</v>
      </c>
      <c r="D70" s="73">
        <v>3</v>
      </c>
      <c r="E70" s="73">
        <f t="shared" si="2"/>
        <v>2</v>
      </c>
      <c r="F70" s="73">
        <v>13</v>
      </c>
      <c r="H70" s="73">
        <v>6</v>
      </c>
      <c r="L70" s="137">
        <v>29014.97</v>
      </c>
    </row>
    <row r="71" spans="3:22">
      <c r="C71" s="73">
        <v>5</v>
      </c>
      <c r="D71" s="73">
        <v>11</v>
      </c>
      <c r="E71" s="73">
        <f t="shared" si="2"/>
        <v>6</v>
      </c>
      <c r="F71" s="73">
        <v>-2</v>
      </c>
      <c r="H71" s="73">
        <v>23</v>
      </c>
      <c r="L71" s="137">
        <v>28854.73</v>
      </c>
    </row>
    <row r="72" spans="3:22">
      <c r="C72" s="73">
        <v>11</v>
      </c>
      <c r="D72" s="73">
        <v>15</v>
      </c>
      <c r="E72" s="73">
        <f t="shared" si="2"/>
        <v>4</v>
      </c>
      <c r="F72" s="73">
        <v>-2</v>
      </c>
      <c r="H72" s="106">
        <f>PERCENTILE(H3:H71,0.95)</f>
        <v>23</v>
      </c>
      <c r="L72" s="137">
        <v>28845.8</v>
      </c>
    </row>
    <row r="73" spans="3:22">
      <c r="C73" s="73">
        <v>15</v>
      </c>
      <c r="D73" s="73">
        <v>28</v>
      </c>
      <c r="E73" s="73">
        <f t="shared" si="2"/>
        <v>13</v>
      </c>
      <c r="F73" s="73">
        <v>-4</v>
      </c>
      <c r="L73" s="137">
        <v>29025.63</v>
      </c>
    </row>
    <row r="74" spans="3:22">
      <c r="C74" s="73">
        <v>3</v>
      </c>
      <c r="D74" s="73">
        <v>1</v>
      </c>
      <c r="E74" s="73">
        <f t="shared" si="2"/>
        <v>-2</v>
      </c>
      <c r="F74" s="73">
        <v>9</v>
      </c>
    </row>
    <row r="75" spans="3:22" ht="16.5" thickBot="1">
      <c r="C75" s="73">
        <v>18</v>
      </c>
      <c r="D75" s="73">
        <v>16</v>
      </c>
      <c r="E75" s="73">
        <f t="shared" si="2"/>
        <v>-2</v>
      </c>
      <c r="F75" s="73">
        <v>24</v>
      </c>
    </row>
    <row r="76" spans="3:22" ht="17.25" thickTop="1" thickBot="1">
      <c r="C76" s="73">
        <v>20</v>
      </c>
      <c r="D76" s="73">
        <v>16</v>
      </c>
      <c r="E76" s="73">
        <f t="shared" si="2"/>
        <v>-4</v>
      </c>
      <c r="F76" s="73">
        <v>-3</v>
      </c>
      <c r="I76" s="235" t="s">
        <v>616</v>
      </c>
      <c r="J76" s="236"/>
      <c r="K76" s="236"/>
      <c r="L76" s="236"/>
      <c r="M76" s="236"/>
      <c r="N76" s="236"/>
      <c r="O76" s="236"/>
      <c r="P76" s="236"/>
      <c r="Q76" s="236"/>
      <c r="R76" s="236"/>
      <c r="S76" s="236"/>
      <c r="T76" s="236"/>
      <c r="U76" s="236"/>
      <c r="V76" s="237"/>
    </row>
    <row r="77" spans="3:22" ht="17.25" thickTop="1" thickBot="1">
      <c r="C77" s="73">
        <v>57</v>
      </c>
      <c r="D77" s="73">
        <v>66</v>
      </c>
      <c r="E77" s="73">
        <f t="shared" si="2"/>
        <v>9</v>
      </c>
      <c r="F77" s="73">
        <v>20</v>
      </c>
      <c r="I77" s="138" t="s">
        <v>301</v>
      </c>
      <c r="J77" s="139">
        <v>1</v>
      </c>
      <c r="K77" s="140">
        <v>2</v>
      </c>
      <c r="L77" s="140">
        <v>3</v>
      </c>
      <c r="M77" s="140">
        <v>4</v>
      </c>
      <c r="N77" s="140">
        <v>5</v>
      </c>
      <c r="O77" s="140">
        <v>6</v>
      </c>
      <c r="P77" s="140">
        <v>7</v>
      </c>
      <c r="Q77" s="140">
        <v>8</v>
      </c>
      <c r="R77" s="141">
        <v>9</v>
      </c>
      <c r="S77" s="142" t="s">
        <v>562</v>
      </c>
      <c r="T77" s="143" t="s">
        <v>564</v>
      </c>
      <c r="U77" s="142" t="s">
        <v>563</v>
      </c>
      <c r="V77" s="144" t="s">
        <v>565</v>
      </c>
    </row>
    <row r="78" spans="3:22">
      <c r="C78" s="73">
        <v>33</v>
      </c>
      <c r="D78" s="73">
        <v>57</v>
      </c>
      <c r="E78" s="73">
        <f t="shared" si="2"/>
        <v>24</v>
      </c>
      <c r="F78" s="73">
        <v>1</v>
      </c>
      <c r="I78" s="145" t="s">
        <v>559</v>
      </c>
      <c r="J78" s="146">
        <v>29117</v>
      </c>
      <c r="K78" s="147">
        <v>28888</v>
      </c>
      <c r="L78" s="147">
        <v>28890</v>
      </c>
      <c r="M78" s="147">
        <v>28895</v>
      </c>
      <c r="N78" s="147">
        <v>29092</v>
      </c>
      <c r="O78" s="147">
        <v>29106</v>
      </c>
      <c r="P78" s="147">
        <v>28900</v>
      </c>
      <c r="Q78" s="147">
        <v>28887</v>
      </c>
      <c r="R78" s="148">
        <v>29054</v>
      </c>
      <c r="S78" s="241">
        <f>MIN(J80:R80)</f>
        <v>16470</v>
      </c>
      <c r="T78" s="241">
        <f>MAX(J80:R80)</f>
        <v>19932</v>
      </c>
      <c r="U78" s="247">
        <f>AVERAGE(J80:R80)</f>
        <v>17752.666666666668</v>
      </c>
      <c r="V78" s="244">
        <f>(U78-S78)/(U78+S78)*100</f>
        <v>3.7480032726847732</v>
      </c>
    </row>
    <row r="79" spans="3:22">
      <c r="C79" s="73">
        <v>33</v>
      </c>
      <c r="D79" s="73">
        <v>30</v>
      </c>
      <c r="E79" s="73">
        <f t="shared" si="2"/>
        <v>-3</v>
      </c>
      <c r="F79" s="73">
        <v>6</v>
      </c>
      <c r="I79" s="149" t="s">
        <v>560</v>
      </c>
      <c r="J79" s="150">
        <v>9185</v>
      </c>
      <c r="K79" s="151">
        <v>11428</v>
      </c>
      <c r="L79" s="151">
        <v>12420</v>
      </c>
      <c r="M79" s="151">
        <v>12147</v>
      </c>
      <c r="N79" s="151">
        <v>11067</v>
      </c>
      <c r="O79" s="151">
        <v>10629</v>
      </c>
      <c r="P79" s="151">
        <v>12067</v>
      </c>
      <c r="Q79" s="151">
        <v>11958</v>
      </c>
      <c r="R79" s="152">
        <v>10154</v>
      </c>
      <c r="S79" s="242"/>
      <c r="T79" s="242"/>
      <c r="U79" s="248"/>
      <c r="V79" s="245"/>
    </row>
    <row r="80" spans="3:22" ht="16.5" thickBot="1">
      <c r="C80" s="73">
        <v>4</v>
      </c>
      <c r="D80" s="73">
        <v>24</v>
      </c>
      <c r="E80" s="73">
        <f t="shared" si="2"/>
        <v>20</v>
      </c>
      <c r="F80" s="73">
        <v>23</v>
      </c>
      <c r="I80" s="153" t="s">
        <v>561</v>
      </c>
      <c r="J80" s="154">
        <f>J78-J79</f>
        <v>19932</v>
      </c>
      <c r="K80" s="155">
        <f t="shared" ref="K80:R80" si="3">K78-K79</f>
        <v>17460</v>
      </c>
      <c r="L80" s="155">
        <f t="shared" si="3"/>
        <v>16470</v>
      </c>
      <c r="M80" s="155">
        <f t="shared" si="3"/>
        <v>16748</v>
      </c>
      <c r="N80" s="155">
        <f t="shared" si="3"/>
        <v>18025</v>
      </c>
      <c r="O80" s="155">
        <f t="shared" si="3"/>
        <v>18477</v>
      </c>
      <c r="P80" s="155">
        <f t="shared" si="3"/>
        <v>16833</v>
      </c>
      <c r="Q80" s="155">
        <f t="shared" si="3"/>
        <v>16929</v>
      </c>
      <c r="R80" s="156">
        <f t="shared" si="3"/>
        <v>18900</v>
      </c>
      <c r="S80" s="243"/>
      <c r="T80" s="243"/>
      <c r="U80" s="249"/>
      <c r="V80" s="246"/>
    </row>
    <row r="81" spans="3:22" ht="17.25" thickTop="1" thickBot="1">
      <c r="C81" s="73">
        <v>22</v>
      </c>
      <c r="D81" s="73">
        <v>23</v>
      </c>
      <c r="E81" s="73">
        <f t="shared" si="2"/>
        <v>1</v>
      </c>
      <c r="F81" s="106">
        <f>PERCENTILE(F3:F80,0.95)</f>
        <v>23</v>
      </c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</row>
    <row r="82" spans="3:22" ht="17.25" thickTop="1" thickBot="1">
      <c r="C82" s="73">
        <v>23</v>
      </c>
      <c r="D82" s="73">
        <v>29</v>
      </c>
      <c r="E82" s="73">
        <f t="shared" si="2"/>
        <v>6</v>
      </c>
      <c r="F82" s="73"/>
      <c r="I82" s="235" t="s">
        <v>566</v>
      </c>
      <c r="J82" s="236"/>
      <c r="K82" s="236"/>
      <c r="L82" s="236"/>
      <c r="M82" s="236"/>
      <c r="N82" s="236"/>
      <c r="O82" s="236"/>
      <c r="P82" s="236"/>
      <c r="Q82" s="236"/>
      <c r="R82" s="236"/>
      <c r="S82" s="236"/>
      <c r="T82" s="236"/>
      <c r="U82" s="236"/>
      <c r="V82" s="237"/>
    </row>
    <row r="83" spans="3:22" ht="17.25" thickTop="1" thickBot="1">
      <c r="C83" s="73">
        <v>2</v>
      </c>
      <c r="D83" s="73">
        <v>40</v>
      </c>
      <c r="E83" s="73">
        <f t="shared" si="2"/>
        <v>38</v>
      </c>
      <c r="F83" s="73"/>
      <c r="I83" s="138" t="s">
        <v>301</v>
      </c>
      <c r="J83" s="139">
        <v>1</v>
      </c>
      <c r="K83" s="140">
        <v>2</v>
      </c>
      <c r="L83" s="140">
        <v>3</v>
      </c>
      <c r="M83" s="140">
        <v>4</v>
      </c>
      <c r="N83" s="140">
        <v>5</v>
      </c>
      <c r="O83" s="140">
        <v>6</v>
      </c>
      <c r="P83" s="140">
        <v>7</v>
      </c>
      <c r="Q83" s="140">
        <v>8</v>
      </c>
      <c r="R83" s="158">
        <v>9</v>
      </c>
      <c r="S83" s="138" t="s">
        <v>562</v>
      </c>
      <c r="T83" s="143" t="s">
        <v>564</v>
      </c>
      <c r="U83" s="142" t="s">
        <v>563</v>
      </c>
      <c r="V83" s="144" t="s">
        <v>565</v>
      </c>
    </row>
    <row r="84" spans="3:22">
      <c r="C84" s="73">
        <v>2</v>
      </c>
      <c r="D84" s="73">
        <v>25</v>
      </c>
      <c r="E84" s="73">
        <f t="shared" si="2"/>
        <v>23</v>
      </c>
      <c r="F84" s="73"/>
      <c r="I84" s="145" t="s">
        <v>559</v>
      </c>
      <c r="J84" s="146">
        <v>29352</v>
      </c>
      <c r="K84" s="147">
        <v>29177</v>
      </c>
      <c r="L84" s="147">
        <v>29206</v>
      </c>
      <c r="M84" s="147">
        <v>29184</v>
      </c>
      <c r="N84" s="147">
        <v>29380</v>
      </c>
      <c r="O84" s="147">
        <v>29454</v>
      </c>
      <c r="P84" s="147">
        <v>29185</v>
      </c>
      <c r="Q84" s="147">
        <v>29179</v>
      </c>
      <c r="R84" s="160">
        <v>29412</v>
      </c>
      <c r="S84" s="238">
        <f>MIN(J86:R86)</f>
        <v>22299</v>
      </c>
      <c r="T84" s="241">
        <f>MAX(J86:R86)</f>
        <v>29082</v>
      </c>
      <c r="U84" s="244">
        <f>AVERAGE(J86:R86)</f>
        <v>25385</v>
      </c>
      <c r="V84" s="244">
        <f>(U84-S84)/(U84+S84)*100</f>
        <v>6.4717725023068535</v>
      </c>
    </row>
    <row r="85" spans="3:22">
      <c r="E85" s="106">
        <f>PERCENTILE(E3:E84,0.95)</f>
        <v>30</v>
      </c>
      <c r="F85" s="73"/>
      <c r="I85" s="149" t="s">
        <v>560</v>
      </c>
      <c r="J85" s="150">
        <v>326</v>
      </c>
      <c r="K85" s="151">
        <v>5715</v>
      </c>
      <c r="L85" s="151">
        <v>6907</v>
      </c>
      <c r="M85" s="151">
        <v>6546</v>
      </c>
      <c r="N85" s="151">
        <v>1736</v>
      </c>
      <c r="O85" s="151">
        <v>746</v>
      </c>
      <c r="P85" s="151">
        <v>6588</v>
      </c>
      <c r="Q85" s="151">
        <v>6170</v>
      </c>
      <c r="R85" s="161">
        <v>330</v>
      </c>
      <c r="S85" s="239"/>
      <c r="T85" s="242"/>
      <c r="U85" s="245"/>
      <c r="V85" s="245"/>
    </row>
    <row r="86" spans="3:22" ht="16.5" thickBot="1">
      <c r="I86" s="153" t="s">
        <v>561</v>
      </c>
      <c r="J86" s="154">
        <f>J84-J85</f>
        <v>29026</v>
      </c>
      <c r="K86" s="155">
        <f t="shared" ref="K86" si="4">K84-K85</f>
        <v>23462</v>
      </c>
      <c r="L86" s="155">
        <f t="shared" ref="L86" si="5">L84-L85</f>
        <v>22299</v>
      </c>
      <c r="M86" s="155">
        <f t="shared" ref="M86" si="6">M84-M85</f>
        <v>22638</v>
      </c>
      <c r="N86" s="155">
        <f t="shared" ref="N86" si="7">N84-N85</f>
        <v>27644</v>
      </c>
      <c r="O86" s="155">
        <f t="shared" ref="O86" si="8">O84-O85</f>
        <v>28708</v>
      </c>
      <c r="P86" s="155">
        <f t="shared" ref="P86" si="9">P84-P85</f>
        <v>22597</v>
      </c>
      <c r="Q86" s="155">
        <f t="shared" ref="Q86" si="10">Q84-Q85</f>
        <v>23009</v>
      </c>
      <c r="R86" s="162">
        <f t="shared" ref="R86" si="11">R84-R85</f>
        <v>29082</v>
      </c>
      <c r="S86" s="240"/>
      <c r="T86" s="243"/>
      <c r="U86" s="246"/>
      <c r="V86" s="246"/>
    </row>
    <row r="87" spans="3:22" ht="17.25" thickTop="1" thickBot="1"/>
    <row r="88" spans="3:22" ht="17.25" thickTop="1" thickBot="1">
      <c r="I88" s="235" t="s">
        <v>567</v>
      </c>
      <c r="J88" s="236"/>
      <c r="K88" s="236"/>
      <c r="L88" s="236"/>
      <c r="M88" s="236"/>
      <c r="N88" s="236"/>
      <c r="O88" s="236"/>
      <c r="P88" s="236"/>
      <c r="Q88" s="236"/>
      <c r="R88" s="236"/>
      <c r="S88" s="236"/>
      <c r="T88" s="236"/>
      <c r="U88" s="236"/>
      <c r="V88" s="237"/>
    </row>
    <row r="89" spans="3:22" ht="17.25" thickTop="1" thickBot="1">
      <c r="I89" s="138" t="s">
        <v>301</v>
      </c>
      <c r="J89" s="139">
        <v>1</v>
      </c>
      <c r="K89" s="140">
        <v>2</v>
      </c>
      <c r="L89" s="140">
        <v>3</v>
      </c>
      <c r="M89" s="140">
        <v>4</v>
      </c>
      <c r="N89" s="140">
        <v>5</v>
      </c>
      <c r="O89" s="140">
        <v>6</v>
      </c>
      <c r="P89" s="140">
        <v>7</v>
      </c>
      <c r="Q89" s="140">
        <v>8</v>
      </c>
      <c r="R89" s="158">
        <v>9</v>
      </c>
      <c r="S89" s="138" t="s">
        <v>562</v>
      </c>
      <c r="T89" s="143" t="s">
        <v>564</v>
      </c>
      <c r="U89" s="142" t="s">
        <v>563</v>
      </c>
      <c r="V89" s="144" t="s">
        <v>565</v>
      </c>
    </row>
    <row r="90" spans="3:22">
      <c r="I90" s="145" t="s">
        <v>559</v>
      </c>
      <c r="J90" s="146">
        <v>29051</v>
      </c>
      <c r="K90" s="147">
        <v>28839</v>
      </c>
      <c r="L90" s="147">
        <v>28834</v>
      </c>
      <c r="M90" s="147">
        <v>28828</v>
      </c>
      <c r="N90" s="147">
        <v>29069</v>
      </c>
      <c r="O90" s="147">
        <v>29099</v>
      </c>
      <c r="P90" s="147">
        <v>28837</v>
      </c>
      <c r="Q90" s="159">
        <v>26604</v>
      </c>
      <c r="R90" s="160">
        <v>29003</v>
      </c>
      <c r="S90" s="238">
        <f>MIN(J92:R92)</f>
        <v>18773</v>
      </c>
      <c r="T90" s="241">
        <f>MAX(J92:R92)</f>
        <v>27358</v>
      </c>
      <c r="U90" s="244">
        <f>AVERAGE(J92:R92)</f>
        <v>22490.111111111109</v>
      </c>
      <c r="V90" s="244">
        <f>(U90-S90)/(U90+S90)*100</f>
        <v>9.0083152021714277</v>
      </c>
    </row>
    <row r="91" spans="3:22">
      <c r="I91" s="149" t="s">
        <v>560</v>
      </c>
      <c r="J91" s="150">
        <v>1693</v>
      </c>
      <c r="K91" s="151">
        <v>7331</v>
      </c>
      <c r="L91" s="151">
        <v>8389</v>
      </c>
      <c r="M91" s="151">
        <v>8103</v>
      </c>
      <c r="N91" s="151">
        <v>5404</v>
      </c>
      <c r="O91" s="151">
        <v>4758</v>
      </c>
      <c r="P91" s="151">
        <v>8124</v>
      </c>
      <c r="Q91" s="151">
        <v>7831</v>
      </c>
      <c r="R91" s="161">
        <v>4120</v>
      </c>
      <c r="S91" s="239"/>
      <c r="T91" s="242"/>
      <c r="U91" s="245"/>
      <c r="V91" s="245"/>
    </row>
    <row r="92" spans="3:22" ht="16.5" thickBot="1">
      <c r="I92" s="153" t="s">
        <v>561</v>
      </c>
      <c r="J92" s="154">
        <f>J90-J91</f>
        <v>27358</v>
      </c>
      <c r="K92" s="155">
        <f t="shared" ref="K92" si="12">K90-K91</f>
        <v>21508</v>
      </c>
      <c r="L92" s="155">
        <f t="shared" ref="L92" si="13">L90-L91</f>
        <v>20445</v>
      </c>
      <c r="M92" s="155">
        <f t="shared" ref="M92" si="14">M90-M91</f>
        <v>20725</v>
      </c>
      <c r="N92" s="155">
        <f t="shared" ref="N92" si="15">N90-N91</f>
        <v>23665</v>
      </c>
      <c r="O92" s="155">
        <f t="shared" ref="O92" si="16">O90-O91</f>
        <v>24341</v>
      </c>
      <c r="P92" s="155">
        <f t="shared" ref="P92" si="17">P90-P91</f>
        <v>20713</v>
      </c>
      <c r="Q92" s="155">
        <f t="shared" ref="Q92" si="18">Q90-Q91</f>
        <v>18773</v>
      </c>
      <c r="R92" s="162">
        <f t="shared" ref="R92" si="19">R90-R91</f>
        <v>24883</v>
      </c>
      <c r="S92" s="240"/>
      <c r="T92" s="243"/>
      <c r="U92" s="246"/>
      <c r="V92" s="246"/>
    </row>
    <row r="93" spans="3:22" ht="16.5" thickTop="1"/>
  </sheetData>
  <autoFilter ref="C2:F86">
    <filterColumn colId="3">
      <filters blank="1">
        <filter val="0"/>
        <filter val="1"/>
        <filter val="-1"/>
        <filter val="10"/>
        <filter val="13"/>
        <filter val="16"/>
        <filter val="18"/>
        <filter val="19"/>
        <filter val="2"/>
        <filter val="-2"/>
        <filter val="20"/>
        <filter val="22"/>
        <filter val="23"/>
        <filter val="24"/>
        <filter val="3"/>
        <filter val="-3"/>
        <filter val="30"/>
        <filter val="4"/>
        <filter val="-4"/>
        <filter val="5"/>
        <filter val="-5"/>
        <filter val="6"/>
        <filter val="7"/>
        <filter val="8"/>
        <filter val="9"/>
      </filters>
    </filterColumn>
  </autoFilter>
  <mergeCells count="15">
    <mergeCell ref="V90:V92"/>
    <mergeCell ref="V84:V86"/>
    <mergeCell ref="S78:S80"/>
    <mergeCell ref="T78:T80"/>
    <mergeCell ref="U78:U80"/>
    <mergeCell ref="S90:S92"/>
    <mergeCell ref="T90:T92"/>
    <mergeCell ref="U90:U92"/>
    <mergeCell ref="I82:V82"/>
    <mergeCell ref="I88:V88"/>
    <mergeCell ref="I76:V76"/>
    <mergeCell ref="S84:S86"/>
    <mergeCell ref="T84:T86"/>
    <mergeCell ref="U84:U86"/>
    <mergeCell ref="V78:V8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B1:S54"/>
  <sheetViews>
    <sheetView topLeftCell="J1" workbookViewId="0">
      <selection activeCell="J15" sqref="J15:AB20"/>
    </sheetView>
  </sheetViews>
  <sheetFormatPr defaultRowHeight="15.75"/>
  <cols>
    <col min="17" max="17" width="7" customWidth="1"/>
    <col min="18" max="18" width="11.5" bestFit="1" customWidth="1"/>
    <col min="28" max="28" width="9" customWidth="1"/>
  </cols>
  <sheetData>
    <row r="1" spans="2:19" ht="16.5" thickBot="1"/>
    <row r="2" spans="2:19" ht="16.5" thickBot="1">
      <c r="B2" s="27"/>
      <c r="D2" s="27">
        <v>10662</v>
      </c>
      <c r="H2" s="27">
        <v>12543</v>
      </c>
      <c r="S2" s="168">
        <v>5.08</v>
      </c>
    </row>
    <row r="3" spans="2:19" ht="16.5" thickBot="1">
      <c r="B3" s="27"/>
      <c r="D3" s="27">
        <v>10656</v>
      </c>
      <c r="H3" s="27">
        <v>11925</v>
      </c>
      <c r="S3" s="168">
        <v>9.8088453540609528</v>
      </c>
    </row>
    <row r="4" spans="2:19" ht="16.5" thickBot="1">
      <c r="D4" s="27">
        <v>10221</v>
      </c>
      <c r="H4" s="27">
        <v>11442</v>
      </c>
      <c r="S4" s="168">
        <v>10.250480022194724</v>
      </c>
    </row>
    <row r="5" spans="2:19" ht="16.5" thickBot="1">
      <c r="D5" s="27">
        <v>10711.860000000008</v>
      </c>
      <c r="H5" s="27">
        <v>11487</v>
      </c>
      <c r="S5" s="168">
        <v>6.7240118255321262</v>
      </c>
    </row>
    <row r="6" spans="2:19" ht="16.5" thickBot="1">
      <c r="D6" s="27">
        <v>11060.159999999993</v>
      </c>
      <c r="H6" s="27">
        <v>11907.48</v>
      </c>
      <c r="S6" s="168">
        <v>10.673826729481068</v>
      </c>
    </row>
    <row r="7" spans="2:19" ht="16.5" thickBot="1">
      <c r="D7" s="27">
        <v>10735.410000000003</v>
      </c>
      <c r="H7" s="27">
        <v>11570.399999999998</v>
      </c>
      <c r="S7" s="168">
        <v>9.7459352595570543</v>
      </c>
    </row>
    <row r="8" spans="2:19" ht="16.5" thickBot="1">
      <c r="D8" s="27">
        <v>10873.589999999997</v>
      </c>
      <c r="H8" s="27">
        <v>11319.629999999997</v>
      </c>
      <c r="S8" s="168">
        <v>4.3470157891179113</v>
      </c>
    </row>
    <row r="9" spans="2:19" ht="16.5" thickBot="1">
      <c r="D9" s="27">
        <v>11675.639999999992</v>
      </c>
      <c r="H9" s="27">
        <v>11625.569999999996</v>
      </c>
      <c r="S9" s="168">
        <v>6.345088925980666</v>
      </c>
    </row>
    <row r="10" spans="2:19" ht="16.5" thickBot="1">
      <c r="D10" s="27">
        <v>11581.560000000001</v>
      </c>
      <c r="H10" s="27">
        <v>12212.760000000006</v>
      </c>
      <c r="S10" s="168">
        <v>4.3349372944761022</v>
      </c>
    </row>
    <row r="11" spans="2:19" ht="16.5" thickBot="1">
      <c r="D11" s="27">
        <v>10003.860000000008</v>
      </c>
      <c r="H11" s="27">
        <v>12035.099999999991</v>
      </c>
      <c r="S11" s="168">
        <v>3.7202714432053323</v>
      </c>
    </row>
    <row r="12" spans="2:19" ht="16.5" thickBot="1">
      <c r="D12" s="27">
        <v>11990.879999999997</v>
      </c>
      <c r="H12" s="27">
        <v>10658.669999999998</v>
      </c>
      <c r="S12" s="168">
        <v>6.0147808814464332</v>
      </c>
    </row>
    <row r="13" spans="2:19" ht="16.5" thickBot="1">
      <c r="D13" s="27">
        <v>10501.590000000007</v>
      </c>
      <c r="H13" s="27">
        <v>12610.319999999996</v>
      </c>
      <c r="S13" s="168">
        <v>4.8317698919977667</v>
      </c>
    </row>
    <row r="14" spans="2:19" ht="16.5" thickBot="1">
      <c r="D14" s="27">
        <v>11001</v>
      </c>
      <c r="H14" s="27">
        <v>11301.390000000003</v>
      </c>
      <c r="S14" s="168">
        <v>6.9261461460754692</v>
      </c>
    </row>
    <row r="15" spans="2:19" ht="16.5" thickBot="1">
      <c r="D15" s="27">
        <v>11675.52</v>
      </c>
      <c r="H15" s="27">
        <v>11664</v>
      </c>
      <c r="S15" s="168">
        <v>5.5842453222285089</v>
      </c>
    </row>
    <row r="16" spans="2:19" ht="16.5" thickBot="1">
      <c r="D16" s="27">
        <v>11642.970000000005</v>
      </c>
      <c r="H16" s="27">
        <v>12491.910000000003</v>
      </c>
      <c r="S16" s="168">
        <v>6.3878827514864778</v>
      </c>
    </row>
    <row r="17" spans="4:19" ht="16.5" thickBot="1">
      <c r="D17" s="27">
        <v>11849.549999999996</v>
      </c>
      <c r="H17" s="27">
        <v>12029.160000000003</v>
      </c>
      <c r="S17" s="168">
        <v>3.1800013272707748</v>
      </c>
    </row>
    <row r="18" spans="4:19" ht="16.5" thickBot="1">
      <c r="D18" s="27">
        <v>11894.939999999999</v>
      </c>
      <c r="H18" s="27">
        <v>12500.79</v>
      </c>
      <c r="S18" s="168">
        <v>5.122914670466975</v>
      </c>
    </row>
    <row r="19" spans="4:19" ht="16.5" thickBot="1">
      <c r="D19" s="27">
        <v>10181.399999999998</v>
      </c>
      <c r="H19" s="27">
        <v>12597.419999999998</v>
      </c>
      <c r="S19" s="168">
        <v>5.4885475795971175</v>
      </c>
    </row>
    <row r="20" spans="4:19" ht="16.5" thickBot="1">
      <c r="D20" s="27">
        <v>12343.109999999997</v>
      </c>
      <c r="H20" s="27">
        <v>10884.54</v>
      </c>
      <c r="S20" s="168">
        <v>6.3364312471773525</v>
      </c>
    </row>
    <row r="21" spans="4:19" ht="16.5" thickBot="1">
      <c r="D21" s="27">
        <v>10756.5</v>
      </c>
      <c r="H21" s="27">
        <v>13157.46</v>
      </c>
      <c r="S21" s="168">
        <v>6.0682726625099912</v>
      </c>
    </row>
    <row r="22" spans="4:19" ht="16.5" thickBot="1">
      <c r="D22" s="27">
        <v>10914</v>
      </c>
      <c r="H22" s="27">
        <v>11661.510000000006</v>
      </c>
      <c r="S22" s="168">
        <v>7.5674851917971795</v>
      </c>
    </row>
    <row r="23" spans="4:19" ht="16.5" thickBot="1">
      <c r="D23" s="27">
        <v>11246.25</v>
      </c>
      <c r="H23" s="27">
        <v>11856</v>
      </c>
      <c r="S23" s="168">
        <v>7.7440138208294762</v>
      </c>
    </row>
    <row r="24" spans="4:19" ht="16.5" thickBot="1">
      <c r="D24" s="27">
        <v>11130.599999999991</v>
      </c>
      <c r="H24" s="27">
        <v>12260.910000000003</v>
      </c>
      <c r="S24" s="168">
        <v>8.0915748476971743</v>
      </c>
    </row>
    <row r="25" spans="4:19" ht="16.5" thickBot="1">
      <c r="D25" s="27">
        <v>10930.98</v>
      </c>
      <c r="H25" s="27">
        <v>12002.79</v>
      </c>
      <c r="S25" s="168">
        <v>7.1083009388201015</v>
      </c>
    </row>
    <row r="26" spans="4:19" ht="16.5" thickBot="1">
      <c r="D26" s="27">
        <v>11031.48</v>
      </c>
      <c r="H26" s="27">
        <v>11883.149999999998</v>
      </c>
      <c r="S26" s="168">
        <v>7.8315959593487614</v>
      </c>
    </row>
    <row r="27" spans="4:19" ht="16.5" thickBot="1">
      <c r="D27" s="27">
        <v>12017.819999999996</v>
      </c>
      <c r="H27" s="27">
        <v>12043.379999999997</v>
      </c>
      <c r="S27" s="168">
        <v>8.1755230926264169</v>
      </c>
    </row>
    <row r="28" spans="4:19" ht="16.5" thickBot="1">
      <c r="D28" s="27">
        <v>11216.970000000005</v>
      </c>
      <c r="H28" s="27">
        <v>13324.739999999994</v>
      </c>
      <c r="S28" s="168">
        <v>9.5447296386212042</v>
      </c>
    </row>
    <row r="29" spans="4:19" ht="16.5" thickBot="1">
      <c r="D29" s="27">
        <v>12536.010000000006</v>
      </c>
      <c r="H29" s="27">
        <v>12165.75</v>
      </c>
      <c r="S29" s="168">
        <v>7.613788433303065</v>
      </c>
    </row>
    <row r="30" spans="4:19" ht="16.5" thickBot="1">
      <c r="D30" s="27">
        <v>10351.589999999997</v>
      </c>
      <c r="H30" s="27">
        <v>11449.77</v>
      </c>
      <c r="S30" s="168">
        <v>9.3276154454697462</v>
      </c>
    </row>
    <row r="31" spans="4:19" ht="16.5" thickBot="1">
      <c r="D31" s="27">
        <v>10008.239999999994</v>
      </c>
      <c r="H31" s="27">
        <v>10281.810000000001</v>
      </c>
      <c r="S31" s="168">
        <v>2.6374837903743074</v>
      </c>
    </row>
    <row r="32" spans="4:19" ht="16.5" thickBot="1">
      <c r="D32" s="27">
        <v>12914.880000000008</v>
      </c>
      <c r="H32" s="27">
        <v>13690.889999999992</v>
      </c>
      <c r="S32" s="168">
        <v>5.5588737170765246</v>
      </c>
    </row>
    <row r="33" spans="4:19" ht="16.5" thickBot="1">
      <c r="D33" s="27">
        <v>12366.96</v>
      </c>
      <c r="H33" s="27">
        <v>13257.630000000008</v>
      </c>
      <c r="S33" s="168">
        <v>6.5855994661047728</v>
      </c>
    </row>
    <row r="34" spans="4:19" ht="16.5" thickBot="1">
      <c r="D34" s="27">
        <v>10317.330000000002</v>
      </c>
      <c r="H34" s="27">
        <v>10806.75</v>
      </c>
      <c r="S34" s="168">
        <v>4.4518608655981202</v>
      </c>
    </row>
    <row r="35" spans="4:19" ht="16.5" thickBot="1">
      <c r="D35" s="27">
        <v>10970.399999999998</v>
      </c>
      <c r="H35" s="27">
        <v>11292.810000000001</v>
      </c>
      <c r="S35" s="168">
        <v>2.8267831546133642</v>
      </c>
    </row>
    <row r="36" spans="4:19" ht="16.5" thickBot="1">
      <c r="D36" s="27">
        <v>10777.23</v>
      </c>
      <c r="H36" s="27">
        <v>11250.419999999998</v>
      </c>
      <c r="S36" s="168">
        <v>4.1558361314856018</v>
      </c>
    </row>
    <row r="37" spans="4:19" ht="16.5" thickBot="1">
      <c r="D37" s="27">
        <v>10423.049999999996</v>
      </c>
      <c r="H37" s="27">
        <v>11155.589999999997</v>
      </c>
      <c r="S37" s="168">
        <v>6.4178656764300204</v>
      </c>
    </row>
    <row r="38" spans="4:19" ht="16.5" thickBot="1">
      <c r="D38" s="27">
        <v>11024.549999999996</v>
      </c>
      <c r="H38" s="27">
        <v>11754.509999999995</v>
      </c>
      <c r="S38" s="168">
        <v>6.0962136638250781</v>
      </c>
    </row>
    <row r="39" spans="4:19" ht="16.5" thickBot="1">
      <c r="D39" s="27">
        <v>10581.419999999998</v>
      </c>
      <c r="H39" s="27">
        <v>11221.680000000004</v>
      </c>
      <c r="S39" s="168">
        <v>5.6062591895150957</v>
      </c>
    </row>
    <row r="40" spans="4:19" ht="16.5" thickBot="1">
      <c r="D40" s="27">
        <v>10918.080000000002</v>
      </c>
      <c r="H40" s="27">
        <v>11698.799999999996</v>
      </c>
      <c r="S40" s="168">
        <v>6.5380498954831241</v>
      </c>
    </row>
    <row r="41" spans="4:19" ht="16.5" thickBot="1">
      <c r="D41" s="27">
        <v>10818.390000000003</v>
      </c>
      <c r="H41" s="27">
        <v>11792.430000000004</v>
      </c>
      <c r="S41" s="168">
        <v>8.0529612022962507</v>
      </c>
    </row>
    <row r="42" spans="4:19" ht="16.5" thickBot="1">
      <c r="D42" s="27">
        <v>11722.409999999993</v>
      </c>
      <c r="H42" s="27">
        <v>12330.180000000004</v>
      </c>
      <c r="S42" s="168">
        <v>4.8528895479973402</v>
      </c>
    </row>
    <row r="43" spans="4:19" ht="16.5" thickBot="1">
      <c r="D43" s="27">
        <v>12164.850000000002</v>
      </c>
      <c r="H43" s="27">
        <v>13220.189999999999</v>
      </c>
      <c r="S43" s="168">
        <v>7.7752713883666544</v>
      </c>
    </row>
    <row r="44" spans="4:19" ht="16.5" thickBot="1">
      <c r="D44" s="27">
        <v>12204.179999999993</v>
      </c>
      <c r="H44" s="27">
        <v>12973.98</v>
      </c>
      <c r="S44" s="168">
        <v>5.8085028088400765</v>
      </c>
    </row>
    <row r="45" spans="4:19" ht="16.5" thickBot="1">
      <c r="D45" s="27">
        <v>11996.159999999993</v>
      </c>
      <c r="H45" s="27">
        <v>12738.239999999994</v>
      </c>
      <c r="S45" s="168">
        <v>5.7234673203298021</v>
      </c>
    </row>
    <row r="46" spans="4:19" ht="16.5" thickBot="1">
      <c r="D46" s="27">
        <v>13361.30999999999</v>
      </c>
      <c r="H46" s="27">
        <v>15484.23</v>
      </c>
      <c r="S46" s="168">
        <v>13.086449790828189</v>
      </c>
    </row>
    <row r="47" spans="4:19" ht="16.5" thickBot="1">
      <c r="D47" s="27">
        <v>10541.04</v>
      </c>
      <c r="H47" s="27">
        <v>11192.009999999995</v>
      </c>
      <c r="S47" s="168">
        <v>5.7143094361229902</v>
      </c>
    </row>
    <row r="48" spans="4:19" ht="16.5" thickBot="1">
      <c r="D48" s="27">
        <v>11674.110000000008</v>
      </c>
      <c r="H48" s="27">
        <v>12599.310000000001</v>
      </c>
      <c r="S48" s="168">
        <v>7.1839862892605977</v>
      </c>
    </row>
    <row r="49" spans="3:19" ht="16.5" thickBot="1">
      <c r="D49" s="27">
        <v>10584</v>
      </c>
      <c r="H49" s="27">
        <v>11199</v>
      </c>
      <c r="S49" s="168">
        <v>5.3855277011863487</v>
      </c>
    </row>
    <row r="50" spans="3:19" ht="16.5" thickBot="1">
      <c r="D50" s="27">
        <v>10884</v>
      </c>
      <c r="H50" s="27">
        <v>11538</v>
      </c>
      <c r="S50" s="168">
        <v>5.5745182291671362</v>
      </c>
    </row>
    <row r="51" spans="3:19">
      <c r="D51" s="27">
        <v>12471.54</v>
      </c>
      <c r="H51" s="27">
        <v>13124.189999999999</v>
      </c>
      <c r="S51" s="168">
        <v>2.549839367738282</v>
      </c>
    </row>
    <row r="53" spans="3:19">
      <c r="C53" t="s">
        <v>599</v>
      </c>
      <c r="D53">
        <f>PERCENTILE(D2:D51,0.05)</f>
        <v>10199.219999999999</v>
      </c>
      <c r="G53" t="s">
        <v>597</v>
      </c>
      <c r="H53">
        <f>PERCENTILE(H2:H51,0.95)</f>
        <v>13294.540500000001</v>
      </c>
      <c r="R53" t="s">
        <v>597</v>
      </c>
      <c r="S53">
        <f>PERCENTILE(S2:S51,0.95)</f>
        <v>10.051744421534526</v>
      </c>
    </row>
    <row r="54" spans="3:19">
      <c r="C54" t="s">
        <v>600</v>
      </c>
      <c r="D54">
        <f>PERCENTILE(D3:D52,0.01)</f>
        <v>10005.962400000002</v>
      </c>
      <c r="G54" t="s">
        <v>598</v>
      </c>
      <c r="H54">
        <f>PERCENTILE(H3:H52,0.99)</f>
        <v>14623.426799999988</v>
      </c>
      <c r="R54" t="s">
        <v>598</v>
      </c>
      <c r="S54">
        <f>PERCENTILE(S3:S52,0.99)</f>
        <v>11.928390721381561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B6:Q61"/>
  <sheetViews>
    <sheetView topLeftCell="A31" zoomScale="85" zoomScaleNormal="85" workbookViewId="0">
      <selection activeCell="D45" sqref="D45"/>
    </sheetView>
  </sheetViews>
  <sheetFormatPr defaultRowHeight="15.75"/>
  <cols>
    <col min="1" max="1" width="5.75" customWidth="1"/>
    <col min="2" max="2" width="16.625" customWidth="1"/>
    <col min="3" max="11" width="9.125" customWidth="1"/>
    <col min="12" max="14" width="10.125" bestFit="1" customWidth="1"/>
    <col min="15" max="15" width="10.5" bestFit="1" customWidth="1"/>
    <col min="17" max="17" width="60.25" bestFit="1" customWidth="1"/>
  </cols>
  <sheetData>
    <row r="6" spans="2:17" ht="16.5" thickBot="1"/>
    <row r="7" spans="2:17" ht="26.25" thickBot="1">
      <c r="B7" s="172" t="s">
        <v>301</v>
      </c>
      <c r="C7" s="80">
        <v>1</v>
      </c>
      <c r="D7" s="80">
        <v>2</v>
      </c>
      <c r="E7" s="80">
        <v>3</v>
      </c>
      <c r="F7" s="80">
        <v>4</v>
      </c>
      <c r="G7" s="80">
        <v>5</v>
      </c>
      <c r="H7" s="80">
        <v>6</v>
      </c>
      <c r="I7" s="80">
        <v>7</v>
      </c>
      <c r="J7" s="80">
        <v>8</v>
      </c>
      <c r="K7" s="80">
        <v>9</v>
      </c>
      <c r="L7" s="80" t="s">
        <v>121</v>
      </c>
      <c r="M7" s="80" t="s">
        <v>122</v>
      </c>
      <c r="N7" s="80" t="s">
        <v>250</v>
      </c>
      <c r="O7" s="80" t="s">
        <v>123</v>
      </c>
      <c r="P7" s="163" t="s">
        <v>255</v>
      </c>
      <c r="Q7" s="122" t="s">
        <v>17</v>
      </c>
    </row>
    <row r="8" spans="2:17">
      <c r="B8" s="173" t="s">
        <v>126</v>
      </c>
      <c r="C8" s="187">
        <v>28860.52</v>
      </c>
      <c r="D8" s="188">
        <v>28716.54</v>
      </c>
      <c r="E8" s="188">
        <v>28668.01</v>
      </c>
      <c r="F8" s="188">
        <v>28707.74</v>
      </c>
      <c r="G8" s="188">
        <v>28818.14</v>
      </c>
      <c r="H8" s="188">
        <v>28820.76</v>
      </c>
      <c r="I8" s="188">
        <v>28700.400000000001</v>
      </c>
      <c r="J8" s="188">
        <v>28691.01</v>
      </c>
      <c r="K8" s="189">
        <v>28833.61</v>
      </c>
      <c r="L8" s="27">
        <f>MAX(C10:K10)</f>
        <v>14692.63</v>
      </c>
      <c r="M8" s="27">
        <f>MIN(C10:K10)</f>
        <v>12695.99</v>
      </c>
      <c r="N8" s="27">
        <f>AVERAGE(C10:K10)</f>
        <v>13912.776666666667</v>
      </c>
      <c r="O8" s="27">
        <f>STDEV(C10:K10)</f>
        <v>576.92438438669342</v>
      </c>
      <c r="P8" s="168">
        <f>(L8-M8)/(L8+M8)*100</f>
        <v>7.2900350583563522</v>
      </c>
      <c r="Q8" s="174" t="s">
        <v>635</v>
      </c>
    </row>
    <row r="9" spans="2:17">
      <c r="B9" s="175" t="s">
        <v>128</v>
      </c>
      <c r="C9" s="190">
        <v>16164.53</v>
      </c>
      <c r="D9" s="191">
        <v>15079.15</v>
      </c>
      <c r="E9" s="191">
        <v>14701.37</v>
      </c>
      <c r="F9" s="191">
        <v>14171.64</v>
      </c>
      <c r="G9" s="191">
        <v>14125.51</v>
      </c>
      <c r="H9" s="191">
        <v>14822.14</v>
      </c>
      <c r="I9" s="191">
        <v>14564.93</v>
      </c>
      <c r="J9" s="191">
        <v>14836.24</v>
      </c>
      <c r="K9" s="192">
        <v>15136.23</v>
      </c>
      <c r="L9" s="31"/>
      <c r="M9" s="31"/>
      <c r="N9" s="31"/>
      <c r="O9" s="31"/>
      <c r="P9" s="31"/>
      <c r="Q9" s="176"/>
    </row>
    <row r="10" spans="2:17" ht="16.5" thickBot="1">
      <c r="B10" s="177" t="s">
        <v>129</v>
      </c>
      <c r="C10" s="35">
        <f>(C8-C9)</f>
        <v>12695.99</v>
      </c>
      <c r="D10" s="35">
        <f t="shared" ref="D10:K10" si="0">(D8-D9)</f>
        <v>13637.390000000001</v>
      </c>
      <c r="E10" s="35">
        <f t="shared" si="0"/>
        <v>13966.639999999998</v>
      </c>
      <c r="F10" s="35">
        <f t="shared" si="0"/>
        <v>14536.100000000002</v>
      </c>
      <c r="G10" s="35">
        <f t="shared" si="0"/>
        <v>14692.63</v>
      </c>
      <c r="H10" s="35">
        <f t="shared" si="0"/>
        <v>13998.619999999999</v>
      </c>
      <c r="I10" s="35">
        <f t="shared" si="0"/>
        <v>14135.470000000001</v>
      </c>
      <c r="J10" s="35">
        <f t="shared" si="0"/>
        <v>13854.769999999999</v>
      </c>
      <c r="K10" s="35">
        <f t="shared" si="0"/>
        <v>13697.380000000001</v>
      </c>
      <c r="L10" s="36"/>
      <c r="M10" s="36"/>
      <c r="N10" s="36"/>
      <c r="O10" s="36"/>
      <c r="P10" s="36"/>
      <c r="Q10" s="178"/>
    </row>
    <row r="11" spans="2:17" ht="16.5" thickBot="1">
      <c r="B11" s="182"/>
      <c r="C11" s="183"/>
      <c r="D11" s="184"/>
      <c r="E11" s="184"/>
      <c r="F11" s="184"/>
      <c r="G11" s="184"/>
      <c r="H11" s="184"/>
      <c r="I11" s="184"/>
      <c r="J11" s="184"/>
      <c r="K11" s="185"/>
      <c r="L11" s="31"/>
      <c r="M11" s="31"/>
      <c r="N11" s="31"/>
      <c r="O11" s="31"/>
      <c r="P11" s="31"/>
      <c r="Q11" s="176"/>
    </row>
    <row r="12" spans="2:17">
      <c r="B12" s="173" t="s">
        <v>126</v>
      </c>
      <c r="C12" s="187">
        <v>28922.31</v>
      </c>
      <c r="D12" s="188">
        <v>28767.22</v>
      </c>
      <c r="E12" s="188">
        <v>28775.77</v>
      </c>
      <c r="F12" s="188">
        <v>28752.17</v>
      </c>
      <c r="G12" s="188">
        <v>28836.77</v>
      </c>
      <c r="H12" s="188">
        <v>28878.1</v>
      </c>
      <c r="I12" s="188">
        <v>28751.919999999998</v>
      </c>
      <c r="J12" s="188">
        <v>28755.09</v>
      </c>
      <c r="K12" s="189">
        <v>28879.42</v>
      </c>
      <c r="L12" s="27">
        <f>MAX(C14:K14)</f>
        <v>9707.9299999999967</v>
      </c>
      <c r="M12" s="27">
        <f>MIN(C14:K14)</f>
        <v>8335</v>
      </c>
      <c r="N12" s="27">
        <f>AVERAGE(C14:K14)</f>
        <v>9171.3599999999988</v>
      </c>
      <c r="O12" s="27">
        <f>STDEV(C14:K14)</f>
        <v>407.27594745454775</v>
      </c>
      <c r="P12" s="186">
        <f>(L12-M12)/(L12+M12)*100</f>
        <v>7.6092408494629034</v>
      </c>
      <c r="Q12" s="179" t="s">
        <v>621</v>
      </c>
    </row>
    <row r="13" spans="2:17">
      <c r="B13" s="175" t="s">
        <v>128</v>
      </c>
      <c r="C13" s="190">
        <v>20587.310000000001</v>
      </c>
      <c r="D13" s="191">
        <v>19655.25</v>
      </c>
      <c r="E13" s="191">
        <v>19363.3</v>
      </c>
      <c r="F13" s="191">
        <v>19044.240000000002</v>
      </c>
      <c r="G13" s="191">
        <v>19411.48</v>
      </c>
      <c r="H13" s="191">
        <v>19846.62</v>
      </c>
      <c r="I13" s="191">
        <v>19367.52</v>
      </c>
      <c r="J13" s="191">
        <v>19436.599999999999</v>
      </c>
      <c r="K13" s="192">
        <v>20064.21</v>
      </c>
      <c r="L13" s="31"/>
      <c r="M13" s="31"/>
      <c r="N13" s="31"/>
      <c r="O13" s="31"/>
      <c r="P13" s="31"/>
      <c r="Q13" s="180"/>
    </row>
    <row r="14" spans="2:17" ht="16.5" thickBot="1">
      <c r="B14" s="177" t="s">
        <v>129</v>
      </c>
      <c r="C14" s="35">
        <f>(C12-C13)</f>
        <v>8335</v>
      </c>
      <c r="D14" s="35">
        <f t="shared" ref="D14:K14" si="1">(D12-D13)</f>
        <v>9111.9700000000012</v>
      </c>
      <c r="E14" s="35">
        <f t="shared" si="1"/>
        <v>9412.4700000000012</v>
      </c>
      <c r="F14" s="35">
        <f t="shared" si="1"/>
        <v>9707.9299999999967</v>
      </c>
      <c r="G14" s="35">
        <f t="shared" si="1"/>
        <v>9425.2900000000009</v>
      </c>
      <c r="H14" s="35">
        <f t="shared" si="1"/>
        <v>9031.48</v>
      </c>
      <c r="I14" s="35">
        <f t="shared" si="1"/>
        <v>9384.3999999999978</v>
      </c>
      <c r="J14" s="35">
        <f t="shared" si="1"/>
        <v>9318.4900000000016</v>
      </c>
      <c r="K14" s="35">
        <f t="shared" si="1"/>
        <v>8815.2099999999991</v>
      </c>
      <c r="L14" s="36"/>
      <c r="M14" s="36"/>
      <c r="N14" s="36"/>
      <c r="O14" s="36"/>
      <c r="P14" s="36"/>
      <c r="Q14" s="181"/>
    </row>
    <row r="15" spans="2:17" ht="16.5" thickBot="1">
      <c r="B15" s="182"/>
      <c r="C15" s="183"/>
      <c r="D15" s="184"/>
      <c r="E15" s="184"/>
      <c r="F15" s="184"/>
      <c r="G15" s="184"/>
      <c r="H15" s="184"/>
      <c r="I15" s="184"/>
      <c r="J15" s="184"/>
      <c r="K15" s="185"/>
      <c r="L15" s="31"/>
      <c r="M15" s="31"/>
      <c r="N15" s="31"/>
      <c r="O15" s="31"/>
      <c r="P15" s="31"/>
      <c r="Q15" s="176"/>
    </row>
    <row r="16" spans="2:17">
      <c r="B16" s="173" t="s">
        <v>126</v>
      </c>
      <c r="C16" s="187">
        <v>28863.123333333333</v>
      </c>
      <c r="D16" s="188">
        <v>28726.35666666667</v>
      </c>
      <c r="E16" s="188">
        <v>28704.496666666662</v>
      </c>
      <c r="F16" s="188">
        <v>28722.433333333334</v>
      </c>
      <c r="G16" s="188">
        <v>28830.513333333336</v>
      </c>
      <c r="H16" s="188">
        <v>28836.89</v>
      </c>
      <c r="I16" s="188">
        <v>28717.553333333333</v>
      </c>
      <c r="J16" s="188">
        <v>28711.67</v>
      </c>
      <c r="K16" s="189">
        <v>28843.773333333334</v>
      </c>
      <c r="L16" s="27">
        <f>MAX(C18:K18)</f>
        <v>10240.698333333336</v>
      </c>
      <c r="M16" s="27">
        <f>MIN(C18:K18)</f>
        <v>8102.9566666666678</v>
      </c>
      <c r="N16" s="27">
        <f>AVERAGE(C18:K18)</f>
        <v>9420.3272222222222</v>
      </c>
      <c r="O16" s="27">
        <f>STDEV(C18:K18)</f>
        <v>655.31619839045311</v>
      </c>
      <c r="P16" s="186">
        <f>(L16-M16)/(L16+M16)*100</f>
        <v>11.653847974499451</v>
      </c>
      <c r="Q16" s="179" t="s">
        <v>620</v>
      </c>
    </row>
    <row r="17" spans="2:17">
      <c r="B17" s="175" t="s">
        <v>128</v>
      </c>
      <c r="C17" s="16">
        <v>8785.7900000000009</v>
      </c>
      <c r="D17" s="16">
        <v>8244.9599999999991</v>
      </c>
      <c r="E17" s="16">
        <v>9035.94</v>
      </c>
      <c r="F17" s="16">
        <v>10314.219999999999</v>
      </c>
      <c r="G17" s="16">
        <v>12624.6</v>
      </c>
      <c r="H17" s="16">
        <v>10949.95</v>
      </c>
      <c r="I17" s="16">
        <v>9489.58</v>
      </c>
      <c r="J17" s="16">
        <v>9339.35</v>
      </c>
      <c r="K17" s="16">
        <v>10606.53</v>
      </c>
      <c r="L17" s="31"/>
      <c r="M17" s="31"/>
      <c r="N17" s="31"/>
      <c r="O17" s="31"/>
      <c r="P17" s="31"/>
      <c r="Q17" s="180"/>
    </row>
    <row r="18" spans="2:17" ht="16.5" thickBot="1">
      <c r="B18" s="177" t="s">
        <v>129</v>
      </c>
      <c r="C18" s="35">
        <f>(C16-C17)/2</f>
        <v>10038.666666666666</v>
      </c>
      <c r="D18" s="35">
        <f t="shared" ref="D18:K18" si="2">(D16-D17)/2</f>
        <v>10240.698333333336</v>
      </c>
      <c r="E18" s="35">
        <f t="shared" si="2"/>
        <v>9834.2783333333318</v>
      </c>
      <c r="F18" s="35">
        <f t="shared" si="2"/>
        <v>9204.1066666666666</v>
      </c>
      <c r="G18" s="35">
        <f t="shared" si="2"/>
        <v>8102.9566666666678</v>
      </c>
      <c r="H18" s="35">
        <f t="shared" si="2"/>
        <v>8943.4699999999993</v>
      </c>
      <c r="I18" s="35">
        <f t="shared" si="2"/>
        <v>9613.9866666666676</v>
      </c>
      <c r="J18" s="35">
        <f t="shared" si="2"/>
        <v>9686.16</v>
      </c>
      <c r="K18" s="35">
        <f t="shared" si="2"/>
        <v>9118.621666666666</v>
      </c>
      <c r="L18" s="36"/>
      <c r="M18" s="36"/>
      <c r="N18" s="36"/>
      <c r="O18" s="36"/>
      <c r="P18" s="36"/>
      <c r="Q18" s="181"/>
    </row>
    <row r="19" spans="2:17" ht="16.5" thickBot="1">
      <c r="B19" s="182"/>
      <c r="C19" s="183"/>
      <c r="D19" s="184"/>
      <c r="E19" s="184"/>
      <c r="F19" s="184"/>
      <c r="G19" s="184"/>
      <c r="H19" s="184"/>
      <c r="I19" s="184"/>
      <c r="J19" s="184"/>
      <c r="K19" s="185"/>
      <c r="L19" s="31"/>
      <c r="M19" s="31"/>
      <c r="N19" s="31"/>
      <c r="O19" s="31"/>
      <c r="P19" s="31"/>
      <c r="Q19" s="176"/>
    </row>
    <row r="20" spans="2:17">
      <c r="B20" s="173" t="s">
        <v>126</v>
      </c>
      <c r="C20" s="193">
        <v>28806.54</v>
      </c>
      <c r="D20" s="193">
        <v>28695.31</v>
      </c>
      <c r="E20" s="193">
        <v>28669.71</v>
      </c>
      <c r="F20" s="193">
        <v>28707.39</v>
      </c>
      <c r="G20" s="193">
        <v>28836.63</v>
      </c>
      <c r="H20" s="193">
        <v>28811.81</v>
      </c>
      <c r="I20" s="193">
        <v>28700.34</v>
      </c>
      <c r="J20" s="193">
        <v>28688.91</v>
      </c>
      <c r="K20" s="194">
        <v>28818.29</v>
      </c>
      <c r="L20" s="27">
        <f>MAX(C22:K22)</f>
        <v>9968.8199999999961</v>
      </c>
      <c r="M20" s="27">
        <f>MIN(C22:K22)</f>
        <v>9265.0800000000017</v>
      </c>
      <c r="N20" s="27">
        <f>AVERAGE(C22:K22)</f>
        <v>9687.7733333333344</v>
      </c>
      <c r="O20" s="27">
        <f>STDEV(C22:K22)</f>
        <v>274.13507988771624</v>
      </c>
      <c r="P20" s="186">
        <f>(L20-M20)/(L20+M20)*100</f>
        <v>3.6588523388392078</v>
      </c>
      <c r="Q20" s="179" t="s">
        <v>622</v>
      </c>
    </row>
    <row r="21" spans="2:17">
      <c r="B21" s="175" t="s">
        <v>128</v>
      </c>
      <c r="C21" s="48">
        <v>25717.16</v>
      </c>
      <c r="D21" s="48">
        <v>25473.98</v>
      </c>
      <c r="E21" s="48">
        <v>25476.71</v>
      </c>
      <c r="F21" s="48">
        <v>25384.45</v>
      </c>
      <c r="G21" s="48">
        <v>25514.07</v>
      </c>
      <c r="H21" s="48">
        <v>25508.93</v>
      </c>
      <c r="I21" s="48">
        <v>25416.19</v>
      </c>
      <c r="J21" s="48">
        <v>25450.19</v>
      </c>
      <c r="K21" s="49">
        <v>25729.93</v>
      </c>
      <c r="L21" s="31"/>
      <c r="M21" s="31"/>
      <c r="N21" s="31"/>
      <c r="O21" s="31"/>
      <c r="P21" s="31"/>
      <c r="Q21" s="180"/>
    </row>
    <row r="22" spans="2:17" ht="16.5" thickBot="1">
      <c r="B22" s="177" t="s">
        <v>129</v>
      </c>
      <c r="C22" s="35">
        <f>(C20-C21)*3</f>
        <v>9268.1400000000031</v>
      </c>
      <c r="D22" s="35">
        <f t="shared" ref="D22:K22" si="3">(D20-D21)*3</f>
        <v>9663.9900000000052</v>
      </c>
      <c r="E22" s="35">
        <f t="shared" si="3"/>
        <v>9579</v>
      </c>
      <c r="F22" s="35">
        <f t="shared" si="3"/>
        <v>9968.8199999999961</v>
      </c>
      <c r="G22" s="35">
        <f t="shared" si="3"/>
        <v>9967.6800000000039</v>
      </c>
      <c r="H22" s="35">
        <f t="shared" si="3"/>
        <v>9908.6400000000031</v>
      </c>
      <c r="I22" s="35">
        <f t="shared" si="3"/>
        <v>9852.4500000000044</v>
      </c>
      <c r="J22" s="35">
        <f t="shared" si="3"/>
        <v>9716.1600000000035</v>
      </c>
      <c r="K22" s="35">
        <f t="shared" si="3"/>
        <v>9265.0800000000017</v>
      </c>
      <c r="L22" s="36"/>
      <c r="M22" s="36"/>
      <c r="N22" s="36"/>
      <c r="O22" s="36"/>
      <c r="P22" s="36"/>
      <c r="Q22" s="181"/>
    </row>
    <row r="24" spans="2:17" ht="16.5" thickBot="1">
      <c r="C24" s="219"/>
      <c r="D24" s="219"/>
      <c r="E24" s="219"/>
      <c r="F24" s="219"/>
      <c r="G24" s="219"/>
      <c r="H24" s="219"/>
      <c r="I24" s="219"/>
      <c r="J24" s="219"/>
      <c r="K24" s="219"/>
    </row>
    <row r="25" spans="2:17" ht="26.25" thickBot="1">
      <c r="B25" s="172" t="s">
        <v>301</v>
      </c>
      <c r="C25" s="80">
        <v>1</v>
      </c>
      <c r="D25" s="80">
        <v>2</v>
      </c>
      <c r="E25" s="80">
        <v>3</v>
      </c>
      <c r="F25" s="80">
        <v>4</v>
      </c>
      <c r="G25" s="80">
        <v>5</v>
      </c>
      <c r="H25" s="80">
        <v>6</v>
      </c>
      <c r="I25" s="80">
        <v>7</v>
      </c>
      <c r="J25" s="80">
        <v>8</v>
      </c>
      <c r="K25" s="80">
        <v>9</v>
      </c>
      <c r="L25" s="80" t="s">
        <v>121</v>
      </c>
      <c r="M25" s="80" t="s">
        <v>122</v>
      </c>
      <c r="N25" s="80" t="s">
        <v>250</v>
      </c>
      <c r="O25" s="80" t="s">
        <v>123</v>
      </c>
      <c r="P25" s="163" t="s">
        <v>255</v>
      </c>
      <c r="Q25" s="122" t="s">
        <v>17</v>
      </c>
    </row>
    <row r="26" spans="2:17">
      <c r="B26" s="173" t="s">
        <v>126</v>
      </c>
      <c r="C26">
        <v>28843.38</v>
      </c>
      <c r="D26">
        <v>28706.42</v>
      </c>
      <c r="E26">
        <v>28668.16</v>
      </c>
      <c r="F26">
        <v>28685.79</v>
      </c>
      <c r="G26">
        <v>28814.74</v>
      </c>
      <c r="H26">
        <v>28779.759999999998</v>
      </c>
      <c r="I26">
        <v>28674.21</v>
      </c>
      <c r="J26">
        <v>28673</v>
      </c>
      <c r="K26">
        <v>28813.96</v>
      </c>
      <c r="L26" s="27">
        <f>MAX(C28:K28)</f>
        <v>17182.21</v>
      </c>
      <c r="M26" s="27">
        <f>MIN(C28:K28)</f>
        <v>14496.54</v>
      </c>
      <c r="N26" s="27">
        <f>AVERAGE(C28:K28)</f>
        <v>15929.196666666669</v>
      </c>
      <c r="O26" s="27">
        <f>STDEV(C28:K28)</f>
        <v>767.06024323379881</v>
      </c>
      <c r="P26" s="168">
        <f>(L26-M26)/(L26+M26)*100</f>
        <v>8.4778281971352989</v>
      </c>
      <c r="Q26" s="174" t="s">
        <v>624</v>
      </c>
    </row>
    <row r="27" spans="2:17">
      <c r="B27" s="175" t="s">
        <v>128</v>
      </c>
      <c r="C27">
        <v>14346.84</v>
      </c>
      <c r="D27">
        <v>13203.82</v>
      </c>
      <c r="E27">
        <v>12795.64</v>
      </c>
      <c r="F27">
        <v>12101.5</v>
      </c>
      <c r="G27">
        <v>11632.53</v>
      </c>
      <c r="H27">
        <v>13324.93</v>
      </c>
      <c r="I27">
        <v>12738.5</v>
      </c>
      <c r="J27">
        <v>12762.83</v>
      </c>
      <c r="K27">
        <v>12390.06</v>
      </c>
      <c r="L27" s="31"/>
      <c r="M27" s="31"/>
      <c r="N27" s="31"/>
      <c r="O27" s="31"/>
      <c r="P27" s="31"/>
      <c r="Q27" s="176"/>
    </row>
    <row r="28" spans="2:17" ht="16.5" thickBot="1">
      <c r="B28" s="177" t="s">
        <v>129</v>
      </c>
      <c r="C28" s="35">
        <f>(C26-C27)</f>
        <v>14496.54</v>
      </c>
      <c r="D28" s="35">
        <f t="shared" ref="D28:K28" si="4">(D26-D27)</f>
        <v>15502.599999999999</v>
      </c>
      <c r="E28" s="35">
        <f t="shared" si="4"/>
        <v>15872.52</v>
      </c>
      <c r="F28" s="35">
        <f t="shared" si="4"/>
        <v>16584.29</v>
      </c>
      <c r="G28" s="35">
        <f t="shared" si="4"/>
        <v>17182.21</v>
      </c>
      <c r="H28" s="35">
        <f t="shared" si="4"/>
        <v>15454.829999999998</v>
      </c>
      <c r="I28" s="35">
        <f t="shared" si="4"/>
        <v>15935.71</v>
      </c>
      <c r="J28" s="35">
        <f t="shared" si="4"/>
        <v>15910.17</v>
      </c>
      <c r="K28" s="35">
        <f t="shared" si="4"/>
        <v>16423.900000000001</v>
      </c>
      <c r="L28" s="36"/>
      <c r="M28" s="36"/>
      <c r="N28" s="36"/>
      <c r="O28" s="36"/>
      <c r="P28" s="36"/>
      <c r="Q28" s="178"/>
    </row>
    <row r="29" spans="2:17" ht="16.5" thickBot="1">
      <c r="B29" s="182"/>
      <c r="C29" s="183"/>
      <c r="D29" s="184"/>
      <c r="E29" s="184"/>
      <c r="F29" s="184"/>
      <c r="G29" s="184"/>
      <c r="H29" s="184"/>
      <c r="I29" s="184"/>
      <c r="J29" s="184"/>
      <c r="K29" s="185"/>
      <c r="L29" s="31"/>
      <c r="M29" s="31"/>
      <c r="N29" s="31"/>
      <c r="O29" s="31"/>
      <c r="P29" s="31"/>
      <c r="Q29" s="176"/>
    </row>
    <row r="30" spans="2:17">
      <c r="B30" s="173" t="s">
        <v>126</v>
      </c>
      <c r="C30" s="220">
        <v>28892.73</v>
      </c>
      <c r="D30" s="220">
        <v>28761.26</v>
      </c>
      <c r="E30" s="220">
        <v>28772.16</v>
      </c>
      <c r="F30" s="220">
        <v>28758.93</v>
      </c>
      <c r="G30" s="220">
        <v>28884.13</v>
      </c>
      <c r="H30" s="220">
        <v>28827.65</v>
      </c>
      <c r="I30" s="220">
        <v>28750.22</v>
      </c>
      <c r="J30" s="220">
        <v>28748.35</v>
      </c>
      <c r="K30" s="220">
        <v>28939.18</v>
      </c>
      <c r="L30" s="27">
        <f>MAX(C32:K32)</f>
        <v>14438.34</v>
      </c>
      <c r="M30" s="27">
        <f>MIN(C32:K32)</f>
        <v>14339.154999999999</v>
      </c>
      <c r="N30" s="27">
        <f>AVERAGE(C32:K32)</f>
        <v>14376.294444444444</v>
      </c>
      <c r="O30" s="27">
        <f>STDEV(C32:K32)</f>
        <v>36.496833634126482</v>
      </c>
      <c r="P30" s="186">
        <f>(L30-M30)/(L30+M30)*100</f>
        <v>0.34466168789187979</v>
      </c>
      <c r="Q30" s="179" t="s">
        <v>623</v>
      </c>
    </row>
    <row r="31" spans="2:17">
      <c r="B31" s="175" t="s">
        <v>128</v>
      </c>
      <c r="C31" s="200">
        <v>61.27</v>
      </c>
      <c r="D31" s="200">
        <v>57.75</v>
      </c>
      <c r="E31" s="200">
        <v>59.82</v>
      </c>
      <c r="F31" s="200">
        <v>61.06</v>
      </c>
      <c r="G31" s="200">
        <v>65.489999999999995</v>
      </c>
      <c r="H31" s="200">
        <v>62.87</v>
      </c>
      <c r="I31" s="200">
        <v>60.51</v>
      </c>
      <c r="J31" s="200">
        <v>70.040000000000006</v>
      </c>
      <c r="K31" s="200">
        <v>62.5</v>
      </c>
      <c r="L31" s="31"/>
      <c r="M31" s="31"/>
      <c r="N31" s="31"/>
      <c r="O31" s="31"/>
      <c r="P31" s="31"/>
      <c r="Q31" s="180" t="s">
        <v>634</v>
      </c>
    </row>
    <row r="32" spans="2:17" ht="16.5" thickBot="1">
      <c r="B32" s="177" t="s">
        <v>129</v>
      </c>
      <c r="C32" s="35">
        <f>(C30-C31)/2</f>
        <v>14415.73</v>
      </c>
      <c r="D32" s="35">
        <f t="shared" ref="D32:K32" si="5">(D30-D31)/2</f>
        <v>14351.754999999999</v>
      </c>
      <c r="E32" s="35">
        <f t="shared" si="5"/>
        <v>14356.17</v>
      </c>
      <c r="F32" s="35">
        <f t="shared" si="5"/>
        <v>14348.934999999999</v>
      </c>
      <c r="G32" s="35">
        <f t="shared" si="5"/>
        <v>14409.32</v>
      </c>
      <c r="H32" s="35">
        <f t="shared" si="5"/>
        <v>14382.390000000001</v>
      </c>
      <c r="I32" s="35">
        <f t="shared" si="5"/>
        <v>14344.855000000001</v>
      </c>
      <c r="J32" s="35">
        <f t="shared" si="5"/>
        <v>14339.154999999999</v>
      </c>
      <c r="K32" s="35">
        <f t="shared" si="5"/>
        <v>14438.34</v>
      </c>
      <c r="L32" s="36"/>
      <c r="M32" s="36"/>
      <c r="N32" s="36"/>
      <c r="O32" s="36"/>
      <c r="P32" s="36"/>
      <c r="Q32" s="181"/>
    </row>
    <row r="33" spans="2:17" ht="16.5" thickBot="1"/>
    <row r="34" spans="2:17" ht="27" thickTop="1" thickBot="1">
      <c r="B34" s="195" t="s">
        <v>301</v>
      </c>
      <c r="C34" s="196">
        <v>1</v>
      </c>
      <c r="D34" s="196">
        <v>2</v>
      </c>
      <c r="E34" s="196">
        <v>3</v>
      </c>
      <c r="F34" s="196">
        <v>4</v>
      </c>
      <c r="G34" s="196">
        <v>5</v>
      </c>
      <c r="H34" s="196">
        <v>6</v>
      </c>
      <c r="I34" s="196">
        <v>7</v>
      </c>
      <c r="J34" s="196">
        <v>8</v>
      </c>
      <c r="K34" s="196">
        <v>9</v>
      </c>
      <c r="L34" s="196" t="s">
        <v>121</v>
      </c>
      <c r="M34" s="196" t="s">
        <v>122</v>
      </c>
      <c r="N34" s="196" t="s">
        <v>250</v>
      </c>
      <c r="O34" s="196" t="s">
        <v>123</v>
      </c>
      <c r="P34" s="197" t="s">
        <v>255</v>
      </c>
      <c r="Q34" s="198" t="s">
        <v>17</v>
      </c>
    </row>
    <row r="35" spans="2:17">
      <c r="B35" s="199" t="s">
        <v>126</v>
      </c>
      <c r="C35" s="200">
        <v>58321.27</v>
      </c>
      <c r="D35" s="200">
        <v>61855.99</v>
      </c>
      <c r="E35" s="200">
        <v>59224.99</v>
      </c>
      <c r="F35" s="200">
        <v>61623.81</v>
      </c>
      <c r="G35" s="200">
        <v>57963.62</v>
      </c>
      <c r="H35" s="200">
        <v>58073.9</v>
      </c>
      <c r="I35" s="200">
        <v>61658.76</v>
      </c>
      <c r="J35" s="200">
        <v>61605.66</v>
      </c>
      <c r="K35" s="200">
        <v>57873.73</v>
      </c>
      <c r="L35" s="27">
        <f>MAX(C37:K37)</f>
        <v>16159.225263157894</v>
      </c>
      <c r="M35" s="27">
        <f>MIN(C37:K37)</f>
        <v>11646.183157894737</v>
      </c>
      <c r="N35" s="27">
        <f>AVERAGE(C37:K37)</f>
        <v>14424.789473684208</v>
      </c>
      <c r="O35" s="27">
        <f>STDEV(C37:K37)</f>
        <v>1438.8816590709935</v>
      </c>
      <c r="P35" s="168">
        <f>(L35-M35)/(L35+M35)*100</f>
        <v>16.23080674422371</v>
      </c>
      <c r="Q35" s="201" t="s">
        <v>625</v>
      </c>
    </row>
    <row r="36" spans="2:17">
      <c r="B36" s="202" t="s">
        <v>628</v>
      </c>
      <c r="C36" s="200">
        <v>21441.69</v>
      </c>
      <c r="D36" s="200">
        <v>17161.009999999998</v>
      </c>
      <c r="E36" s="200">
        <v>11284.2</v>
      </c>
      <c r="F36" s="200">
        <v>10452.93</v>
      </c>
      <c r="G36" s="200">
        <v>9508.2000000000007</v>
      </c>
      <c r="H36" s="200">
        <v>18195.830000000002</v>
      </c>
      <c r="I36" s="200">
        <v>15049.54</v>
      </c>
      <c r="J36" s="200">
        <v>12943.3</v>
      </c>
      <c r="K36" s="200">
        <v>11058.53</v>
      </c>
      <c r="L36" s="31"/>
      <c r="M36" s="31"/>
      <c r="N36" s="31"/>
      <c r="O36" s="31"/>
      <c r="P36" s="31"/>
      <c r="Q36" s="203"/>
    </row>
    <row r="37" spans="2:17" ht="16.5" thickBot="1">
      <c r="B37" s="204" t="s">
        <v>630</v>
      </c>
      <c r="C37" s="35">
        <f>(C35-C36)/190*60</f>
        <v>11646.183157894737</v>
      </c>
      <c r="D37" s="35">
        <f t="shared" ref="D37:K37" si="6">(D35-D36)/190*60</f>
        <v>14114.204210526315</v>
      </c>
      <c r="E37" s="35">
        <f t="shared" si="6"/>
        <v>15139.196842105262</v>
      </c>
      <c r="F37" s="35">
        <f t="shared" si="6"/>
        <v>16159.225263157894</v>
      </c>
      <c r="G37" s="35">
        <f t="shared" si="6"/>
        <v>15301.711578947368</v>
      </c>
      <c r="H37" s="35">
        <f t="shared" si="6"/>
        <v>12593.074736842105</v>
      </c>
      <c r="I37" s="35">
        <f t="shared" si="6"/>
        <v>14718.701052631579</v>
      </c>
      <c r="J37" s="35">
        <f t="shared" si="6"/>
        <v>15367.061052631578</v>
      </c>
      <c r="K37" s="35">
        <f t="shared" si="6"/>
        <v>14783.747368421054</v>
      </c>
      <c r="L37" s="36"/>
      <c r="M37" s="36"/>
      <c r="N37" s="36"/>
      <c r="O37" s="36"/>
      <c r="P37" s="36"/>
      <c r="Q37" s="205"/>
    </row>
    <row r="38" spans="2:17">
      <c r="B38" s="202" t="s">
        <v>629</v>
      </c>
      <c r="C38" s="190">
        <v>21355</v>
      </c>
      <c r="D38" s="191">
        <v>17728</v>
      </c>
      <c r="E38" s="191">
        <v>11216</v>
      </c>
      <c r="F38" s="191">
        <v>10270</v>
      </c>
      <c r="G38" s="191">
        <v>8393</v>
      </c>
      <c r="H38" s="191">
        <v>18200</v>
      </c>
      <c r="I38" s="191">
        <v>15506</v>
      </c>
      <c r="J38" s="191">
        <v>12996</v>
      </c>
      <c r="K38" s="192">
        <v>10428</v>
      </c>
      <c r="L38" s="27">
        <f>MAX(C39:K39)</f>
        <v>16216.992631578945</v>
      </c>
      <c r="M38" s="27">
        <f>MIN(C39:K39)</f>
        <v>11673.558947368419</v>
      </c>
      <c r="N38" s="27">
        <f>AVERAGE(C39:K39)</f>
        <v>14459.990526315793</v>
      </c>
      <c r="O38" s="27">
        <f>STDEV(C39:K39)</f>
        <v>1483.7789097008447</v>
      </c>
      <c r="P38" s="168">
        <f>(L38-M38)/(L38+M38)*100</f>
        <v>16.290225280593042</v>
      </c>
      <c r="Q38" s="201" t="s">
        <v>625</v>
      </c>
    </row>
    <row r="39" spans="2:17" ht="16.5" thickBot="1">
      <c r="B39" s="206" t="s">
        <v>631</v>
      </c>
      <c r="C39" s="207">
        <f>(C35-C38)/190*60</f>
        <v>11673.558947368419</v>
      </c>
      <c r="D39" s="207">
        <f t="shared" ref="D39:K39" si="7">(D35-D38)/190*60</f>
        <v>13935.154736842105</v>
      </c>
      <c r="E39" s="207">
        <f t="shared" si="7"/>
        <v>15160.733684210525</v>
      </c>
      <c r="F39" s="207">
        <f t="shared" si="7"/>
        <v>16216.992631578945</v>
      </c>
      <c r="G39" s="207">
        <f t="shared" si="7"/>
        <v>15653.880000000001</v>
      </c>
      <c r="H39" s="207">
        <f t="shared" si="7"/>
        <v>12591.757894736842</v>
      </c>
      <c r="I39" s="207">
        <f t="shared" si="7"/>
        <v>14574.555789473685</v>
      </c>
      <c r="J39" s="207">
        <f t="shared" si="7"/>
        <v>15350.418947368422</v>
      </c>
      <c r="K39" s="207">
        <f t="shared" si="7"/>
        <v>14982.862105263159</v>
      </c>
      <c r="L39" s="208"/>
      <c r="M39" s="208"/>
      <c r="N39" s="208"/>
      <c r="O39" s="208"/>
      <c r="P39" s="208"/>
      <c r="Q39" s="209"/>
    </row>
    <row r="40" spans="2:17" ht="17.25" thickTop="1" thickBot="1">
      <c r="B40" s="218"/>
      <c r="C40" s="183"/>
      <c r="D40" s="184"/>
      <c r="E40" s="184"/>
      <c r="F40" s="184"/>
      <c r="G40" s="184"/>
      <c r="H40" s="184"/>
      <c r="I40" s="184"/>
      <c r="J40" s="184"/>
      <c r="K40" s="185"/>
      <c r="L40" s="31"/>
      <c r="M40" s="31"/>
      <c r="N40" s="31"/>
      <c r="O40" s="31"/>
      <c r="P40" s="31"/>
      <c r="Q40" s="203"/>
    </row>
    <row r="41" spans="2:17" ht="16.5" thickTop="1">
      <c r="B41" s="210" t="s">
        <v>126</v>
      </c>
      <c r="C41" s="211">
        <v>57882</v>
      </c>
      <c r="D41" s="211">
        <v>61594.62</v>
      </c>
      <c r="E41" s="211">
        <v>60685.38</v>
      </c>
      <c r="F41" s="211">
        <v>61746.8</v>
      </c>
      <c r="G41" s="211">
        <v>60386.71</v>
      </c>
      <c r="H41" s="211">
        <v>60781.93</v>
      </c>
      <c r="I41" s="211">
        <v>61715.96</v>
      </c>
      <c r="J41" s="211">
        <v>61605.93</v>
      </c>
      <c r="K41" s="211">
        <v>60430</v>
      </c>
      <c r="L41" s="212">
        <f>MAX(C43:K43)</f>
        <v>19487.936842105264</v>
      </c>
      <c r="M41" s="212">
        <f>MIN(C43:K43)</f>
        <v>18268.105263157893</v>
      </c>
      <c r="N41" s="212">
        <f>AVERAGE(C43:K43)</f>
        <v>19176.467719298245</v>
      </c>
      <c r="O41" s="212">
        <f>STDEV(C43:K43)</f>
        <v>383.86564717735371</v>
      </c>
      <c r="P41" s="213">
        <f>(L41-M41)/(L41+M41)*100</f>
        <v>3.2308248188369499</v>
      </c>
      <c r="Q41" s="214" t="s">
        <v>627</v>
      </c>
    </row>
    <row r="42" spans="2:17">
      <c r="B42" s="202" t="s">
        <v>629</v>
      </c>
      <c r="C42" s="190">
        <v>33</v>
      </c>
      <c r="D42" s="191">
        <v>35</v>
      </c>
      <c r="E42" s="191">
        <v>34</v>
      </c>
      <c r="F42" s="191">
        <v>35</v>
      </c>
      <c r="G42" s="191">
        <v>32</v>
      </c>
      <c r="H42" s="191">
        <v>33</v>
      </c>
      <c r="I42" s="191">
        <v>35</v>
      </c>
      <c r="J42" s="191">
        <v>34</v>
      </c>
      <c r="K42" s="192">
        <v>29</v>
      </c>
      <c r="L42" s="31"/>
      <c r="M42" s="31"/>
      <c r="N42" s="31"/>
      <c r="O42" s="31"/>
      <c r="P42" s="31"/>
      <c r="Q42" s="215" t="s">
        <v>632</v>
      </c>
    </row>
    <row r="43" spans="2:17" ht="16.5" thickBot="1">
      <c r="B43" s="206" t="s">
        <v>631</v>
      </c>
      <c r="C43" s="207">
        <f>(C41-C42)/190*60</f>
        <v>18268.105263157893</v>
      </c>
      <c r="D43" s="207">
        <f t="shared" ref="D43:K43" si="8">(D41-D42)/190*60</f>
        <v>19439.88</v>
      </c>
      <c r="E43" s="207">
        <f t="shared" si="8"/>
        <v>19153.067368421052</v>
      </c>
      <c r="F43" s="207">
        <f t="shared" si="8"/>
        <v>19487.936842105264</v>
      </c>
      <c r="G43" s="207">
        <f t="shared" si="8"/>
        <v>19059.382105263157</v>
      </c>
      <c r="H43" s="207">
        <f t="shared" si="8"/>
        <v>19183.87263157895</v>
      </c>
      <c r="I43" s="207">
        <f t="shared" si="8"/>
        <v>19478.197894736841</v>
      </c>
      <c r="J43" s="207">
        <f t="shared" si="8"/>
        <v>19443.767368421053</v>
      </c>
      <c r="K43" s="207">
        <f t="shared" si="8"/>
        <v>19074</v>
      </c>
      <c r="L43" s="208"/>
      <c r="M43" s="208"/>
      <c r="N43" s="208"/>
      <c r="O43" s="208"/>
      <c r="P43" s="208"/>
      <c r="Q43" s="216"/>
    </row>
    <row r="44" spans="2:17" ht="17.25" thickTop="1" thickBot="1">
      <c r="B44" s="218"/>
      <c r="C44" s="183"/>
      <c r="D44" s="184"/>
      <c r="E44" s="184"/>
      <c r="F44" s="184"/>
      <c r="G44" s="184"/>
      <c r="H44" s="184"/>
      <c r="I44" s="184"/>
      <c r="J44" s="184"/>
      <c r="K44" s="185"/>
      <c r="L44" s="31"/>
      <c r="M44" s="31"/>
      <c r="N44" s="31"/>
      <c r="O44" s="31"/>
      <c r="P44" s="31"/>
      <c r="Q44" s="203"/>
    </row>
    <row r="45" spans="2:17" ht="16.5" thickTop="1">
      <c r="B45" s="210" t="s">
        <v>126</v>
      </c>
      <c r="C45" s="211">
        <v>91303.08</v>
      </c>
      <c r="D45" s="211">
        <v>98443.47</v>
      </c>
      <c r="E45" s="211">
        <v>88027.07</v>
      </c>
      <c r="F45" s="211">
        <v>93000.8</v>
      </c>
      <c r="G45" s="211">
        <v>89802.49</v>
      </c>
      <c r="H45" s="211">
        <v>89715.96</v>
      </c>
      <c r="I45" s="211">
        <v>92870.85</v>
      </c>
      <c r="J45" s="211">
        <v>92975.59</v>
      </c>
      <c r="K45" s="211">
        <v>88475.199999999997</v>
      </c>
      <c r="L45" s="212">
        <f>MAX(C47:K47)</f>
        <v>28117.209473684212</v>
      </c>
      <c r="M45" s="212">
        <f>MIN(C47:K47)</f>
        <v>24174.606315789479</v>
      </c>
      <c r="N45" s="212">
        <f>AVERAGE(C47:K47)</f>
        <v>25381.427017543861</v>
      </c>
      <c r="O45" s="212">
        <f>STDEV(C47:K47)</f>
        <v>1405.9815188746727</v>
      </c>
      <c r="P45" s="213">
        <f>(L45-M45)/(L45+M45)*100</f>
        <v>7.5396180040249741</v>
      </c>
      <c r="Q45" s="214" t="s">
        <v>626</v>
      </c>
    </row>
    <row r="46" spans="2:17">
      <c r="B46" s="202" t="s">
        <v>628</v>
      </c>
      <c r="C46" s="200">
        <v>13852.47</v>
      </c>
      <c r="D46" s="200">
        <v>20541.830000000002</v>
      </c>
      <c r="E46" s="200">
        <v>11474.15</v>
      </c>
      <c r="F46" s="200">
        <v>12687.78</v>
      </c>
      <c r="G46" s="200">
        <v>764.66</v>
      </c>
      <c r="H46" s="200">
        <v>10631.65</v>
      </c>
      <c r="I46" s="200">
        <v>14056.28</v>
      </c>
      <c r="J46" s="200">
        <v>15566.06</v>
      </c>
      <c r="K46" s="200">
        <v>1668.96</v>
      </c>
      <c r="L46" s="31"/>
      <c r="M46" s="31"/>
      <c r="N46" s="31"/>
      <c r="O46" s="31"/>
      <c r="P46" s="31"/>
      <c r="Q46" s="203"/>
    </row>
    <row r="47" spans="2:17" ht="16.5" thickBot="1">
      <c r="B47" s="204" t="s">
        <v>630</v>
      </c>
      <c r="C47" s="35">
        <f>(C45-C46)/190*60</f>
        <v>24458.087368421053</v>
      </c>
      <c r="D47" s="35">
        <f t="shared" ref="D47" si="9">IF(((D45="")*AND(D46="")),"",(D45-D46)/190*60)</f>
        <v>24600.51789473684</v>
      </c>
      <c r="E47" s="35">
        <f t="shared" ref="E47" si="10">IF(((E45="")*AND(E46="")),"",(E45-E46)/190*60)</f>
        <v>24174.606315789479</v>
      </c>
      <c r="F47" s="35">
        <f t="shared" ref="F47" si="11">IF(((F45="")*AND(F46="")),"",(F45-F46)/190*60)</f>
        <v>25362.006315789477</v>
      </c>
      <c r="G47" s="35">
        <f t="shared" ref="G47" si="12">IF(((G45="")*AND(G46="")),"",(G45-G46)/190*60)</f>
        <v>28117.209473684212</v>
      </c>
      <c r="H47" s="35">
        <f t="shared" ref="H47" si="13">IF(((H45="")*AND(H46="")),"",(H45-H46)/190*60)</f>
        <v>24973.992631578953</v>
      </c>
      <c r="I47" s="35">
        <f t="shared" ref="I47" si="14">IF(((I45="")*AND(I46="")),"",(I45-I46)/190*60)</f>
        <v>24888.81157894737</v>
      </c>
      <c r="J47" s="35">
        <f t="shared" ref="J47" si="15">IF(((J45="")*AND(J46="")),"",(J45-J46)/190*60)</f>
        <v>24445.114736842104</v>
      </c>
      <c r="K47" s="35">
        <f t="shared" ref="K47" si="16">IF(((K45="")*AND(K46="")),"",(K45-K46)/190*60)</f>
        <v>27412.496842105258</v>
      </c>
      <c r="L47" s="36"/>
      <c r="M47" s="36"/>
      <c r="N47" s="36"/>
      <c r="O47" s="36"/>
      <c r="P47" s="36"/>
      <c r="Q47" s="205"/>
    </row>
    <row r="48" spans="2:17">
      <c r="B48" s="202" t="s">
        <v>629</v>
      </c>
      <c r="C48" s="190">
        <v>7284</v>
      </c>
      <c r="D48" s="191">
        <v>16200</v>
      </c>
      <c r="E48" s="191">
        <v>11083</v>
      </c>
      <c r="F48" s="191">
        <v>12257</v>
      </c>
      <c r="G48" s="191">
        <v>33</v>
      </c>
      <c r="H48" s="191">
        <v>34</v>
      </c>
      <c r="I48" s="191">
        <v>14036</v>
      </c>
      <c r="J48" s="191">
        <v>15582</v>
      </c>
      <c r="K48" s="192">
        <v>35</v>
      </c>
      <c r="L48" s="27">
        <f>MAX(C49:K49)</f>
        <v>28348.260000000002</v>
      </c>
      <c r="M48" s="27">
        <f>MIN(C49:K49)</f>
        <v>24298.127368421054</v>
      </c>
      <c r="N48" s="27">
        <f>AVERAGE(C49:K49)</f>
        <v>26248.088070175443</v>
      </c>
      <c r="O48" s="27">
        <f>STDEV(C49:K49)</f>
        <v>1626.0050437837729</v>
      </c>
      <c r="P48" s="168">
        <f>(L48-M48)/(L48+M48)*100</f>
        <v>7.6930874729086236</v>
      </c>
      <c r="Q48" s="217" t="s">
        <v>626</v>
      </c>
    </row>
    <row r="49" spans="2:17" ht="16.5" thickBot="1">
      <c r="B49" s="206" t="s">
        <v>631</v>
      </c>
      <c r="C49" s="207">
        <f>(C45-C48)/190*60</f>
        <v>26532.341052631578</v>
      </c>
      <c r="D49" s="207">
        <f t="shared" ref="D49" si="17">(D45-D48)/190*60</f>
        <v>25971.622105263155</v>
      </c>
      <c r="E49" s="207">
        <f t="shared" ref="E49" si="18">(E45-E48)/190*60</f>
        <v>24298.127368421054</v>
      </c>
      <c r="F49" s="207">
        <f t="shared" ref="F49" si="19">(F45-F48)/190*60</f>
        <v>25498.042105263157</v>
      </c>
      <c r="G49" s="207">
        <f t="shared" ref="G49" si="20">(G45-G48)/190*60</f>
        <v>28348.260000000002</v>
      </c>
      <c r="H49" s="207">
        <f t="shared" ref="H49" si="21">(H45-H48)/190*60</f>
        <v>28320.618947368424</v>
      </c>
      <c r="I49" s="207">
        <f t="shared" ref="I49" si="22">(I45-I48)/190*60</f>
        <v>24895.215789473688</v>
      </c>
      <c r="J49" s="207">
        <f t="shared" ref="J49" si="23">(J45-J48)/190*60</f>
        <v>24440.081052631576</v>
      </c>
      <c r="K49" s="207">
        <f t="shared" ref="K49" si="24">(K45-K48)/190*60</f>
        <v>27928.484210526316</v>
      </c>
      <c r="L49" s="208"/>
      <c r="M49" s="208"/>
      <c r="N49" s="208"/>
      <c r="O49" s="208"/>
      <c r="P49" s="208"/>
      <c r="Q49" s="216" t="s">
        <v>633</v>
      </c>
    </row>
    <row r="50" spans="2:17" ht="16.5" thickTop="1"/>
    <row r="51" spans="2:17" ht="16.5" thickBot="1"/>
    <row r="52" spans="2:17" ht="26.25" thickBot="1">
      <c r="B52" s="172" t="s">
        <v>301</v>
      </c>
      <c r="C52" s="80">
        <v>1</v>
      </c>
      <c r="D52" s="80">
        <v>2</v>
      </c>
      <c r="E52" s="80">
        <v>3</v>
      </c>
      <c r="F52" s="80">
        <v>4</v>
      </c>
      <c r="G52" s="80">
        <v>5</v>
      </c>
      <c r="H52" s="80">
        <v>6</v>
      </c>
      <c r="I52" s="80">
        <v>7</v>
      </c>
      <c r="J52" s="80">
        <v>8</v>
      </c>
      <c r="K52" s="80">
        <v>9</v>
      </c>
      <c r="L52" s="80" t="s">
        <v>121</v>
      </c>
      <c r="M52" s="80" t="s">
        <v>122</v>
      </c>
      <c r="N52" s="80" t="s">
        <v>250</v>
      </c>
      <c r="O52" s="80" t="s">
        <v>123</v>
      </c>
      <c r="P52" s="163" t="s">
        <v>255</v>
      </c>
      <c r="Q52" s="122" t="s">
        <v>17</v>
      </c>
    </row>
    <row r="53" spans="2:17">
      <c r="B53" s="173" t="s">
        <v>126</v>
      </c>
      <c r="C53">
        <v>26174.33</v>
      </c>
      <c r="D53">
        <v>26327.16</v>
      </c>
      <c r="E53">
        <v>26375.59</v>
      </c>
      <c r="F53">
        <v>26312.34</v>
      </c>
      <c r="G53">
        <v>26105.8</v>
      </c>
      <c r="H53">
        <v>26005.01</v>
      </c>
      <c r="I53">
        <v>26287.94</v>
      </c>
      <c r="J53">
        <v>26315.5</v>
      </c>
      <c r="K53">
        <v>26113.599999999999</v>
      </c>
      <c r="L53" s="27">
        <f t="shared" ref="L53" si="25">MAX(C55:K55)</f>
        <v>10602.684999999999</v>
      </c>
      <c r="M53" s="27">
        <f t="shared" ref="M53" si="26">MIN(C55:K55)</f>
        <v>8733.0500000000011</v>
      </c>
      <c r="N53" s="27">
        <f t="shared" ref="N53" si="27">AVERAGE(C55:K55)</f>
        <v>9859.8361111111099</v>
      </c>
      <c r="O53" s="27">
        <f t="shared" ref="O53" si="28">STDEV(C55:K55)</f>
        <v>544.94584096597987</v>
      </c>
      <c r="P53" s="186">
        <f t="shared" ref="P53" si="29">(L53-M53)/(L53+M53)*100</f>
        <v>9.669324698543905</v>
      </c>
      <c r="Q53" s="179" t="s">
        <v>637</v>
      </c>
    </row>
    <row r="54" spans="2:17">
      <c r="B54" s="175" t="s">
        <v>128</v>
      </c>
      <c r="C54">
        <v>8708.23</v>
      </c>
      <c r="D54">
        <v>6888.28</v>
      </c>
      <c r="E54">
        <v>5948.34</v>
      </c>
      <c r="F54">
        <v>5106.97</v>
      </c>
      <c r="G54">
        <v>5624.33</v>
      </c>
      <c r="H54">
        <v>6823.04</v>
      </c>
      <c r="I54">
        <v>6090</v>
      </c>
      <c r="J54">
        <v>6289.61</v>
      </c>
      <c r="K54">
        <v>7061.42</v>
      </c>
      <c r="L54" s="31"/>
      <c r="M54" s="31"/>
      <c r="N54" s="31"/>
      <c r="O54" s="31"/>
      <c r="P54" s="31"/>
      <c r="Q54" s="180"/>
    </row>
    <row r="55" spans="2:17" ht="16.5" thickBot="1">
      <c r="B55" s="177" t="s">
        <v>129</v>
      </c>
      <c r="C55" s="35">
        <f t="shared" ref="C55:K55" si="30">(C53-C54)/2</f>
        <v>8733.0500000000011</v>
      </c>
      <c r="D55" s="35">
        <f t="shared" si="30"/>
        <v>9719.44</v>
      </c>
      <c r="E55" s="35">
        <f t="shared" si="30"/>
        <v>10213.625</v>
      </c>
      <c r="F55" s="35">
        <f t="shared" si="30"/>
        <v>10602.684999999999</v>
      </c>
      <c r="G55" s="35">
        <f t="shared" si="30"/>
        <v>10240.735000000001</v>
      </c>
      <c r="H55" s="35">
        <f t="shared" si="30"/>
        <v>9590.9849999999988</v>
      </c>
      <c r="I55" s="35">
        <f t="shared" si="30"/>
        <v>10098.969999999999</v>
      </c>
      <c r="J55" s="35">
        <f t="shared" si="30"/>
        <v>10012.945</v>
      </c>
      <c r="K55" s="35">
        <f t="shared" si="30"/>
        <v>9526.09</v>
      </c>
      <c r="L55" s="36"/>
      <c r="M55" s="36"/>
      <c r="N55" s="36"/>
      <c r="O55" s="36"/>
      <c r="P55" s="36"/>
      <c r="Q55" s="181"/>
    </row>
    <row r="56" spans="2:17">
      <c r="B56" s="173" t="s">
        <v>126</v>
      </c>
      <c r="C56">
        <v>57791.48</v>
      </c>
      <c r="D56">
        <v>61588.73</v>
      </c>
      <c r="E56">
        <v>58526.23</v>
      </c>
      <c r="F56">
        <v>61792.71</v>
      </c>
      <c r="G56">
        <v>58312.56</v>
      </c>
      <c r="H56">
        <v>58418.84</v>
      </c>
      <c r="I56">
        <v>61738.9</v>
      </c>
      <c r="J56">
        <v>61711.32</v>
      </c>
      <c r="K56">
        <v>58198.31</v>
      </c>
      <c r="L56" s="27">
        <f t="shared" ref="L56" si="31">MAX(C58:K58)</f>
        <v>21348.564999999999</v>
      </c>
      <c r="M56" s="27">
        <f t="shared" ref="M56" si="32">MIN(C58:K58)</f>
        <v>18385.795000000002</v>
      </c>
      <c r="N56" s="27">
        <f t="shared" ref="N56" si="33">AVERAGE(C58:K58)</f>
        <v>20192.066111111111</v>
      </c>
      <c r="O56" s="27">
        <f t="shared" ref="O56" si="34">STDEV(C58:K58)</f>
        <v>892.13748183353903</v>
      </c>
      <c r="P56" s="186">
        <f t="shared" ref="P56" si="35">(L56-M56)/(L56+M56)*100</f>
        <v>7.4564432395538685</v>
      </c>
      <c r="Q56" s="179" t="s">
        <v>636</v>
      </c>
    </row>
    <row r="57" spans="2:17">
      <c r="B57" s="175" t="s">
        <v>128</v>
      </c>
      <c r="C57">
        <v>21019.89</v>
      </c>
      <c r="D57">
        <v>21047.9</v>
      </c>
      <c r="E57">
        <v>19262.419999999998</v>
      </c>
      <c r="F57">
        <v>19095.580000000002</v>
      </c>
      <c r="G57">
        <v>16456.37</v>
      </c>
      <c r="H57">
        <v>18895.5</v>
      </c>
      <c r="I57">
        <v>19834.18</v>
      </c>
      <c r="J57">
        <v>20732.25</v>
      </c>
      <c r="K57">
        <v>18277.8</v>
      </c>
      <c r="L57" s="31"/>
      <c r="M57" s="31"/>
      <c r="N57" s="31"/>
      <c r="O57" s="31"/>
      <c r="P57" s="31"/>
      <c r="Q57" s="180"/>
    </row>
    <row r="58" spans="2:17" ht="16.5" thickBot="1">
      <c r="B58" s="177" t="s">
        <v>129</v>
      </c>
      <c r="C58" s="35">
        <f t="shared" ref="C58:K58" si="36">(C56-C57)/2</f>
        <v>18385.795000000002</v>
      </c>
      <c r="D58" s="35">
        <f t="shared" si="36"/>
        <v>20270.415000000001</v>
      </c>
      <c r="E58" s="35">
        <f t="shared" si="36"/>
        <v>19631.905000000002</v>
      </c>
      <c r="F58" s="35">
        <f t="shared" si="36"/>
        <v>21348.564999999999</v>
      </c>
      <c r="G58" s="35">
        <f t="shared" si="36"/>
        <v>20928.095000000001</v>
      </c>
      <c r="H58" s="35">
        <f t="shared" si="36"/>
        <v>19761.669999999998</v>
      </c>
      <c r="I58" s="35">
        <f t="shared" si="36"/>
        <v>20952.36</v>
      </c>
      <c r="J58" s="35">
        <f t="shared" si="36"/>
        <v>20489.535</v>
      </c>
      <c r="K58" s="35">
        <f t="shared" si="36"/>
        <v>19960.254999999997</v>
      </c>
      <c r="L58" s="36"/>
      <c r="M58" s="36"/>
      <c r="N58" s="36"/>
      <c r="O58" s="36"/>
      <c r="P58" s="36"/>
      <c r="Q58" s="181"/>
    </row>
    <row r="59" spans="2:17">
      <c r="B59" s="173" t="s">
        <v>126</v>
      </c>
      <c r="C59">
        <v>56638.75</v>
      </c>
      <c r="D59">
        <v>59146.63</v>
      </c>
      <c r="E59">
        <v>56363.21</v>
      </c>
      <c r="F59">
        <v>59080.45</v>
      </c>
      <c r="G59">
        <v>57889.22</v>
      </c>
      <c r="H59">
        <v>59585.26</v>
      </c>
      <c r="I59">
        <v>59039.6</v>
      </c>
      <c r="J59">
        <v>61141.36</v>
      </c>
      <c r="K59">
        <v>56994.32</v>
      </c>
      <c r="L59" s="27">
        <f t="shared" ref="L59" si="37">MAX(C61:K61)</f>
        <v>23303.18</v>
      </c>
      <c r="M59" s="27">
        <f t="shared" ref="M59" si="38">MIN(C61:K61)</f>
        <v>20281.82</v>
      </c>
      <c r="N59" s="27">
        <f t="shared" ref="N59" si="39">AVERAGE(C61:K61)</f>
        <v>21810.064999999999</v>
      </c>
      <c r="O59" s="27">
        <f t="shared" ref="O59" si="40">STDEV(C61:K61)</f>
        <v>936.5604371616148</v>
      </c>
      <c r="P59" s="186">
        <f t="shared" ref="P59" si="41">(L59-M59)/(L59+M59)*100</f>
        <v>6.9321096707582894</v>
      </c>
      <c r="Q59" s="179" t="s">
        <v>623</v>
      </c>
    </row>
    <row r="60" spans="2:17">
      <c r="B60" s="175" t="s">
        <v>128</v>
      </c>
      <c r="C60">
        <v>16075.11</v>
      </c>
      <c r="D60">
        <v>17255.53</v>
      </c>
      <c r="E60">
        <v>13973.41</v>
      </c>
      <c r="F60">
        <v>15103.82</v>
      </c>
      <c r="G60">
        <v>11282.86</v>
      </c>
      <c r="H60">
        <v>15267.54</v>
      </c>
      <c r="I60">
        <v>16125.93</v>
      </c>
      <c r="J60">
        <v>16726.29</v>
      </c>
      <c r="K60">
        <v>11487.14</v>
      </c>
      <c r="L60" s="31"/>
      <c r="M60" s="31"/>
      <c r="N60" s="31"/>
      <c r="O60" s="31"/>
      <c r="P60" s="31"/>
      <c r="Q60" s="180"/>
    </row>
    <row r="61" spans="2:17" ht="16.5" thickBot="1">
      <c r="B61" s="177" t="s">
        <v>129</v>
      </c>
      <c r="C61" s="35">
        <f t="shared" ref="C61:K61" si="42">(C59-C60)/2</f>
        <v>20281.82</v>
      </c>
      <c r="D61" s="35">
        <f t="shared" si="42"/>
        <v>20945.55</v>
      </c>
      <c r="E61" s="35">
        <f t="shared" si="42"/>
        <v>21194.9</v>
      </c>
      <c r="F61" s="35">
        <f t="shared" si="42"/>
        <v>21988.314999999999</v>
      </c>
      <c r="G61" s="35">
        <f t="shared" si="42"/>
        <v>23303.18</v>
      </c>
      <c r="H61" s="35">
        <f t="shared" si="42"/>
        <v>22158.86</v>
      </c>
      <c r="I61" s="35">
        <f t="shared" si="42"/>
        <v>21456.834999999999</v>
      </c>
      <c r="J61" s="35">
        <f t="shared" si="42"/>
        <v>22207.535</v>
      </c>
      <c r="K61" s="35">
        <f t="shared" si="42"/>
        <v>22753.59</v>
      </c>
      <c r="L61" s="36"/>
      <c r="M61" s="36"/>
      <c r="N61" s="36"/>
      <c r="O61" s="36"/>
      <c r="P61" s="36"/>
      <c r="Q61" s="181"/>
    </row>
  </sheetData>
  <conditionalFormatting sqref="P27:P29 P9:P11 P13:P15 P17:P19 P21:P22">
    <cfRule type="cellIs" dxfId="9" priority="15" stopIfTrue="1" operator="equal">
      <formula>"Fail"</formula>
    </cfRule>
    <cfRule type="cellIs" dxfId="8" priority="16" stopIfTrue="1" operator="equal">
      <formula>"Pass"</formula>
    </cfRule>
  </conditionalFormatting>
  <conditionalFormatting sqref="P31:P32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P42:P44 P39:P40 P36:P37 P49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P46:P4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P54:P55 P57:P58 P60:P61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R22"/>
  <sheetViews>
    <sheetView tabSelected="1" workbookViewId="0">
      <selection activeCell="Q14" sqref="Q14"/>
    </sheetView>
  </sheetViews>
  <sheetFormatPr defaultRowHeight="15.75"/>
  <cols>
    <col min="4" max="4" width="5.875" bestFit="1" customWidth="1"/>
    <col min="6" max="6" width="5.875" bestFit="1" customWidth="1"/>
    <col min="8" max="8" width="5.875" bestFit="1" customWidth="1"/>
    <col min="9" max="9" width="8.5" bestFit="1" customWidth="1"/>
    <col min="10" max="10" width="5.875" bestFit="1" customWidth="1"/>
    <col min="12" max="12" width="7.875" bestFit="1" customWidth="1"/>
    <col min="14" max="14" width="5.875" bestFit="1" customWidth="1"/>
    <col min="17" max="17" width="11.125" customWidth="1"/>
  </cols>
  <sheetData>
    <row r="1" spans="1:18" ht="16.5" thickBot="1"/>
    <row r="2" spans="1:18" ht="16.5" customHeight="1" thickBot="1">
      <c r="D2" s="254" t="s">
        <v>647</v>
      </c>
      <c r="E2" s="255"/>
      <c r="F2" s="255"/>
      <c r="G2" s="255"/>
      <c r="H2" s="256"/>
      <c r="I2" s="287" t="s">
        <v>652</v>
      </c>
      <c r="J2" s="254" t="s">
        <v>646</v>
      </c>
      <c r="K2" s="255"/>
      <c r="L2" s="255"/>
      <c r="M2" s="255"/>
      <c r="N2" s="256"/>
    </row>
    <row r="3" spans="1:18" ht="24" customHeight="1" thickBot="1">
      <c r="D3" s="283"/>
      <c r="E3" s="284"/>
      <c r="F3" s="284"/>
      <c r="G3" s="289" t="s">
        <v>642</v>
      </c>
      <c r="H3" s="290"/>
      <c r="I3" s="299"/>
      <c r="J3" s="291" t="s">
        <v>642</v>
      </c>
      <c r="K3" s="289"/>
      <c r="L3" s="284"/>
      <c r="M3" s="284"/>
      <c r="N3" s="285"/>
    </row>
    <row r="4" spans="1:18" ht="16.5" thickBot="1">
      <c r="D4" s="292" t="s">
        <v>645</v>
      </c>
      <c r="E4" s="293"/>
      <c r="F4" s="294" t="s">
        <v>644</v>
      </c>
      <c r="G4" s="293"/>
      <c r="H4" s="295" t="s">
        <v>643</v>
      </c>
      <c r="I4" s="288"/>
      <c r="J4" s="296" t="s">
        <v>643</v>
      </c>
      <c r="K4" s="297"/>
      <c r="L4" s="294" t="s">
        <v>644</v>
      </c>
      <c r="M4" s="297"/>
      <c r="N4" s="298" t="s">
        <v>645</v>
      </c>
    </row>
    <row r="5" spans="1:18">
      <c r="A5" s="250"/>
      <c r="B5" s="250"/>
      <c r="C5" s="250"/>
      <c r="D5" s="269"/>
      <c r="E5" s="270"/>
      <c r="F5" s="271">
        <v>12000</v>
      </c>
      <c r="G5" s="270"/>
      <c r="H5" s="280" t="s">
        <v>648</v>
      </c>
      <c r="I5" s="277" t="s">
        <v>639</v>
      </c>
      <c r="J5" s="258">
        <v>9687.7733333333344</v>
      </c>
      <c r="K5" s="259"/>
      <c r="L5" s="259"/>
      <c r="M5" s="259"/>
      <c r="N5" s="260"/>
      <c r="O5" s="250"/>
      <c r="P5" s="250"/>
    </row>
    <row r="6" spans="1:18">
      <c r="A6" s="250"/>
      <c r="B6" s="250"/>
      <c r="C6" s="250"/>
      <c r="D6" s="269"/>
      <c r="E6" s="270"/>
      <c r="F6" s="270"/>
      <c r="G6" s="270"/>
      <c r="H6" s="272"/>
      <c r="I6" s="278"/>
      <c r="J6" s="261"/>
      <c r="K6" s="259"/>
      <c r="L6" s="259"/>
      <c r="M6" s="259"/>
      <c r="N6" s="260"/>
      <c r="O6" s="250"/>
      <c r="P6" s="250"/>
    </row>
    <row r="7" spans="1:18">
      <c r="A7" s="250"/>
      <c r="B7" s="250"/>
      <c r="C7" s="250"/>
      <c r="D7" s="269"/>
      <c r="E7" s="270"/>
      <c r="F7" s="270"/>
      <c r="G7" s="270"/>
      <c r="H7" s="272"/>
      <c r="I7" s="278"/>
      <c r="J7" s="261"/>
      <c r="K7" s="259"/>
      <c r="L7" s="259"/>
      <c r="M7" s="259"/>
      <c r="N7" s="260"/>
      <c r="O7" s="250"/>
      <c r="P7" s="250"/>
    </row>
    <row r="8" spans="1:18">
      <c r="A8" s="250"/>
      <c r="B8" s="250"/>
      <c r="C8" s="250"/>
      <c r="D8" s="269"/>
      <c r="E8" s="270"/>
      <c r="F8" s="270"/>
      <c r="G8" s="270"/>
      <c r="H8" s="272"/>
      <c r="I8" s="278"/>
      <c r="J8" s="261"/>
      <c r="K8" s="259"/>
      <c r="L8" s="259"/>
      <c r="M8" s="259"/>
      <c r="N8" s="260"/>
      <c r="O8" s="250"/>
      <c r="P8" s="250"/>
    </row>
    <row r="9" spans="1:18">
      <c r="A9" s="250"/>
      <c r="B9" s="250"/>
      <c r="C9" s="250"/>
      <c r="D9" s="273">
        <v>22490.111111111109</v>
      </c>
      <c r="E9" s="270"/>
      <c r="F9" s="271">
        <v>25385</v>
      </c>
      <c r="G9" s="270"/>
      <c r="H9" s="274">
        <v>17752.666666666668</v>
      </c>
      <c r="I9" s="277" t="s">
        <v>638</v>
      </c>
      <c r="J9" s="258">
        <v>9171.3599999999988</v>
      </c>
      <c r="K9" s="259"/>
      <c r="L9" s="262">
        <v>13912.776666666667</v>
      </c>
      <c r="M9" s="259"/>
      <c r="N9" s="263">
        <v>15929.196666666669</v>
      </c>
      <c r="O9" s="250"/>
      <c r="P9" s="250"/>
      <c r="R9" s="286"/>
    </row>
    <row r="10" spans="1:18">
      <c r="A10" s="250"/>
      <c r="B10" s="250"/>
      <c r="C10" s="250"/>
      <c r="D10" s="269"/>
      <c r="E10" s="270"/>
      <c r="F10" s="270"/>
      <c r="G10" s="270"/>
      <c r="H10" s="272"/>
      <c r="I10" s="278"/>
      <c r="J10" s="261"/>
      <c r="K10" s="259"/>
      <c r="L10" s="259"/>
      <c r="M10" s="259"/>
      <c r="N10" s="260"/>
      <c r="O10" s="250"/>
      <c r="P10" s="250"/>
    </row>
    <row r="11" spans="1:18">
      <c r="A11" s="250"/>
      <c r="B11" s="250"/>
      <c r="C11" s="250"/>
      <c r="D11" s="269"/>
      <c r="E11" s="270"/>
      <c r="F11" s="270"/>
      <c r="G11" s="270"/>
      <c r="H11" s="272"/>
      <c r="I11" s="278"/>
      <c r="J11" s="261"/>
      <c r="K11" s="259"/>
      <c r="L11" s="259"/>
      <c r="M11" s="259"/>
      <c r="N11" s="260"/>
      <c r="O11" s="250"/>
      <c r="P11" s="250"/>
    </row>
    <row r="12" spans="1:18">
      <c r="A12" s="250"/>
      <c r="B12" s="250"/>
      <c r="C12" s="250"/>
      <c r="D12" s="269"/>
      <c r="E12" s="270"/>
      <c r="F12" s="270"/>
      <c r="G12" s="270"/>
      <c r="H12" s="272"/>
      <c r="I12" s="278"/>
      <c r="J12" s="261"/>
      <c r="K12" s="259"/>
      <c r="L12" s="259"/>
      <c r="M12" s="259"/>
      <c r="N12" s="260"/>
      <c r="O12" s="250"/>
      <c r="P12" s="250"/>
    </row>
    <row r="13" spans="1:18">
      <c r="A13" s="250"/>
      <c r="B13" s="250"/>
      <c r="C13" s="250"/>
      <c r="D13" s="269"/>
      <c r="E13" s="270"/>
      <c r="F13" s="270"/>
      <c r="G13" s="270"/>
      <c r="H13" s="272"/>
      <c r="I13" s="277" t="s">
        <v>640</v>
      </c>
      <c r="J13" s="258">
        <v>9420.3272222222222</v>
      </c>
      <c r="K13" s="259"/>
      <c r="L13" s="262">
        <v>20192.066111111111</v>
      </c>
      <c r="M13" s="259"/>
      <c r="N13" s="263">
        <v>21810.064999999999</v>
      </c>
      <c r="O13" s="250"/>
      <c r="P13" s="250"/>
    </row>
    <row r="14" spans="1:18">
      <c r="A14" s="250"/>
      <c r="B14" s="250"/>
      <c r="C14" s="250"/>
      <c r="D14" s="269"/>
      <c r="E14" s="270"/>
      <c r="F14" s="270"/>
      <c r="G14" s="270"/>
      <c r="H14" s="272"/>
      <c r="I14" s="278"/>
      <c r="J14" s="258">
        <v>9859.8361111111099</v>
      </c>
      <c r="K14" s="264" t="s">
        <v>92</v>
      </c>
      <c r="L14" s="264"/>
      <c r="M14" s="259"/>
      <c r="N14" s="260"/>
      <c r="O14" s="250"/>
      <c r="P14" s="250"/>
    </row>
    <row r="15" spans="1:18">
      <c r="A15" s="250"/>
      <c r="B15" s="250"/>
      <c r="C15" s="250"/>
      <c r="D15" s="269"/>
      <c r="E15" s="270"/>
      <c r="F15" s="270"/>
      <c r="G15" s="270"/>
      <c r="H15" s="272"/>
      <c r="I15" s="278"/>
      <c r="J15" s="261"/>
      <c r="K15" s="265"/>
      <c r="L15" s="265"/>
      <c r="M15" s="259"/>
      <c r="N15" s="260"/>
      <c r="O15" s="250"/>
      <c r="P15" s="250"/>
    </row>
    <row r="16" spans="1:18">
      <c r="A16" s="250"/>
      <c r="B16" s="250"/>
      <c r="C16" s="250"/>
      <c r="D16" s="269"/>
      <c r="E16" s="270"/>
      <c r="F16" s="270"/>
      <c r="G16" s="270"/>
      <c r="H16" s="272"/>
      <c r="I16" s="278"/>
      <c r="J16" s="261"/>
      <c r="K16" s="259"/>
      <c r="L16" s="259"/>
      <c r="M16" s="259"/>
      <c r="N16" s="260"/>
      <c r="O16" s="250"/>
      <c r="P16" s="250"/>
    </row>
    <row r="17" spans="1:18">
      <c r="A17" s="250"/>
      <c r="B17" s="250"/>
      <c r="C17" s="250"/>
      <c r="D17" s="269"/>
      <c r="E17" s="270"/>
      <c r="F17" s="270"/>
      <c r="G17" s="270"/>
      <c r="H17" s="272"/>
      <c r="I17" s="278"/>
      <c r="J17" s="261"/>
      <c r="K17" s="259"/>
      <c r="L17" s="259"/>
      <c r="M17" s="259"/>
      <c r="N17" s="260"/>
      <c r="O17" s="250"/>
      <c r="P17" s="250"/>
    </row>
    <row r="18" spans="1:18">
      <c r="A18" s="250"/>
      <c r="B18" s="250"/>
      <c r="C18" s="250"/>
      <c r="D18" s="269"/>
      <c r="E18" s="270"/>
      <c r="F18" s="270"/>
      <c r="G18" s="270"/>
      <c r="H18" s="272"/>
      <c r="I18" s="277" t="s">
        <v>641</v>
      </c>
      <c r="J18" s="258">
        <v>14459.990526315793</v>
      </c>
      <c r="K18" s="259"/>
      <c r="L18" s="262" t="s">
        <v>649</v>
      </c>
      <c r="M18" s="259"/>
      <c r="N18" s="257">
        <v>26248.088070175443</v>
      </c>
      <c r="O18" s="282" t="s">
        <v>650</v>
      </c>
      <c r="P18" s="265"/>
      <c r="Q18" s="265"/>
      <c r="R18" s="252"/>
    </row>
    <row r="19" spans="1:18" ht="16.5" thickBot="1">
      <c r="D19" s="275"/>
      <c r="E19" s="219"/>
      <c r="F19" s="219"/>
      <c r="G19" s="219"/>
      <c r="H19" s="276"/>
      <c r="I19" s="279"/>
      <c r="J19" s="266">
        <v>14424.789473684208</v>
      </c>
      <c r="K19" s="267"/>
      <c r="L19" s="267"/>
      <c r="M19" s="267"/>
      <c r="N19" s="268">
        <v>25381.427017543861</v>
      </c>
      <c r="O19" s="281" t="s">
        <v>651</v>
      </c>
      <c r="P19" s="251"/>
      <c r="Q19" s="252"/>
      <c r="R19" s="252"/>
    </row>
    <row r="22" spans="1:18">
      <c r="K22" s="253"/>
    </row>
  </sheetData>
  <mergeCells count="6">
    <mergeCell ref="J2:N2"/>
    <mergeCell ref="D2:H2"/>
    <mergeCell ref="J3:K3"/>
    <mergeCell ref="G3:H3"/>
    <mergeCell ref="I2:I4"/>
    <mergeCell ref="K14:L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ASFE1-CP</vt:lpstr>
      <vt:lpstr>_xlwings.conf</vt:lpstr>
      <vt:lpstr>ASFE1-ER</vt:lpstr>
      <vt:lpstr>CP Plot</vt:lpstr>
      <vt:lpstr>ER Plot</vt:lpstr>
      <vt:lpstr>RUN_code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abhishekm</cp:lastModifiedBy>
  <dcterms:created xsi:type="dcterms:W3CDTF">2015-01-25T11:31:25Z</dcterms:created>
  <dcterms:modified xsi:type="dcterms:W3CDTF">2021-01-25T11:39:14Z</dcterms:modified>
</cp:coreProperties>
</file>