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examples\dry_etch\ASH09_QC_LOG_BOOK\"/>
    </mc:Choice>
  </mc:AlternateContent>
  <xr:revisionPtr revIDLastSave="0" documentId="13_ncr:1_{AA7A3857-2E39-4CBD-A249-31387709A9F3}" xr6:coauthVersionLast="45" xr6:coauthVersionMax="45" xr10:uidLastSave="{00000000-0000-0000-0000-000000000000}"/>
  <bookViews>
    <workbookView xWindow="-108" yWindow="-108" windowWidth="23256" windowHeight="12576" tabRatio="530" activeTab="5" xr2:uid="{00000000-000D-0000-FFFF-FFFF00000000}"/>
  </bookViews>
  <sheets>
    <sheet name="ASFE1-CP" sheetId="1" r:id="rId1"/>
    <sheet name="ASFE1-ER" sheetId="4" r:id="rId2"/>
    <sheet name="_xlwings.conf" sheetId="2" state="hidden" r:id="rId3"/>
    <sheet name="CP Plot" sheetId="5" state="hidden" r:id="rId4"/>
    <sheet name="ER Plot" sheetId="6" state="hidden" r:id="rId5"/>
    <sheet name="RUN_code" sheetId="3" r:id="rId6"/>
    <sheet name="Sheet1" sheetId="7" r:id="rId7"/>
  </sheets>
  <functionGroups builtInGroupCount="19"/>
  <definedNames>
    <definedName name="_xlnm._FilterDatabase" localSheetId="0" hidden="1">'ASFE1-CP'!$A$10:$J$323</definedName>
    <definedName name="_xlnm._FilterDatabase" localSheetId="1" hidden="1">'ASFE1-ER'!$A$11:$Z$941</definedName>
    <definedName name="_xlnm._FilterDatabase" localSheetId="6" hidden="1">Sheet1!$C$2:$F$86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941" i="4" l="1"/>
  <c r="K941" i="4"/>
  <c r="J941" i="4"/>
  <c r="I941" i="4"/>
  <c r="H941" i="4"/>
  <c r="G941" i="4"/>
  <c r="F941" i="4"/>
  <c r="E941" i="4"/>
  <c r="D941" i="4"/>
  <c r="D257" i="1"/>
  <c r="E257" i="1" s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P939" i="4" l="1"/>
  <c r="M939" i="4"/>
  <c r="O939" i="4"/>
  <c r="N939" i="4"/>
  <c r="H72" i="7"/>
  <c r="F81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Q939" i="4" l="1"/>
  <c r="R939" i="4" s="1"/>
  <c r="E85" i="7"/>
  <c r="D256" i="1"/>
  <c r="E256" i="1" s="1"/>
  <c r="L938" i="4"/>
  <c r="K938" i="4"/>
  <c r="J938" i="4"/>
  <c r="I938" i="4"/>
  <c r="H938" i="4"/>
  <c r="G938" i="4"/>
  <c r="F938" i="4"/>
  <c r="E938" i="4"/>
  <c r="D938" i="4"/>
  <c r="L935" i="4"/>
  <c r="K935" i="4"/>
  <c r="J935" i="4"/>
  <c r="I935" i="4"/>
  <c r="H935" i="4"/>
  <c r="G935" i="4"/>
  <c r="F935" i="4"/>
  <c r="E935" i="4"/>
  <c r="D935" i="4"/>
  <c r="D255" i="1"/>
  <c r="E255" i="1" s="1"/>
  <c r="D254" i="1"/>
  <c r="E254" i="1" s="1"/>
  <c r="D253" i="1"/>
  <c r="E253" i="1" s="1"/>
  <c r="L932" i="4"/>
  <c r="K932" i="4"/>
  <c r="J932" i="4"/>
  <c r="I932" i="4"/>
  <c r="H932" i="4"/>
  <c r="G932" i="4"/>
  <c r="F932" i="4"/>
  <c r="E932" i="4"/>
  <c r="D932" i="4"/>
  <c r="L929" i="4"/>
  <c r="K929" i="4"/>
  <c r="J929" i="4"/>
  <c r="I929" i="4"/>
  <c r="H929" i="4"/>
  <c r="G929" i="4"/>
  <c r="F929" i="4"/>
  <c r="E929" i="4"/>
  <c r="D929" i="4"/>
  <c r="D252" i="1"/>
  <c r="E252" i="1" s="1"/>
  <c r="L926" i="4"/>
  <c r="K926" i="4"/>
  <c r="J926" i="4"/>
  <c r="I926" i="4"/>
  <c r="H926" i="4"/>
  <c r="G926" i="4"/>
  <c r="F926" i="4"/>
  <c r="E926" i="4"/>
  <c r="D926" i="4"/>
  <c r="D251" i="1"/>
  <c r="E251" i="1" s="1"/>
  <c r="L923" i="4"/>
  <c r="K923" i="4"/>
  <c r="J923" i="4"/>
  <c r="I923" i="4"/>
  <c r="H923" i="4"/>
  <c r="G923" i="4"/>
  <c r="F923" i="4"/>
  <c r="E923" i="4"/>
  <c r="D923" i="4"/>
  <c r="D250" i="1"/>
  <c r="E250" i="1" s="1"/>
  <c r="L920" i="4"/>
  <c r="K920" i="4"/>
  <c r="J920" i="4"/>
  <c r="I920" i="4"/>
  <c r="H920" i="4"/>
  <c r="G920" i="4"/>
  <c r="F920" i="4"/>
  <c r="E920" i="4"/>
  <c r="D920" i="4"/>
  <c r="D249" i="1"/>
  <c r="E249" i="1" s="1"/>
  <c r="L917" i="4"/>
  <c r="K917" i="4"/>
  <c r="J917" i="4"/>
  <c r="I917" i="4"/>
  <c r="H917" i="4"/>
  <c r="G917" i="4"/>
  <c r="F917" i="4"/>
  <c r="E917" i="4"/>
  <c r="D917" i="4"/>
  <c r="D248" i="1"/>
  <c r="E248" i="1" s="1"/>
  <c r="D247" i="1"/>
  <c r="E247" i="1" s="1"/>
  <c r="L914" i="4"/>
  <c r="K914" i="4"/>
  <c r="J914" i="4"/>
  <c r="I914" i="4"/>
  <c r="H914" i="4"/>
  <c r="G914" i="4"/>
  <c r="F914" i="4"/>
  <c r="E914" i="4"/>
  <c r="D914" i="4"/>
  <c r="D246" i="1"/>
  <c r="E246" i="1" s="1"/>
  <c r="D245" i="1"/>
  <c r="E245" i="1" s="1"/>
  <c r="L911" i="4"/>
  <c r="K911" i="4"/>
  <c r="J911" i="4"/>
  <c r="I911" i="4"/>
  <c r="H911" i="4"/>
  <c r="G911" i="4"/>
  <c r="F911" i="4"/>
  <c r="E911" i="4"/>
  <c r="D911" i="4"/>
  <c r="D244" i="1"/>
  <c r="E244" i="1" s="1"/>
  <c r="D231" i="1"/>
  <c r="E231" i="1" s="1"/>
  <c r="D243" i="1"/>
  <c r="E243" i="1" s="1"/>
  <c r="L908" i="4"/>
  <c r="K908" i="4"/>
  <c r="J908" i="4"/>
  <c r="I908" i="4"/>
  <c r="H908" i="4"/>
  <c r="G908" i="4"/>
  <c r="F908" i="4"/>
  <c r="E908" i="4"/>
  <c r="D908" i="4"/>
  <c r="L905" i="4"/>
  <c r="K905" i="4"/>
  <c r="J905" i="4"/>
  <c r="I905" i="4"/>
  <c r="H905" i="4"/>
  <c r="G905" i="4"/>
  <c r="F905" i="4"/>
  <c r="E905" i="4"/>
  <c r="D905" i="4"/>
  <c r="D242" i="1"/>
  <c r="E242" i="1" s="1"/>
  <c r="L902" i="4"/>
  <c r="K902" i="4"/>
  <c r="J902" i="4"/>
  <c r="I902" i="4"/>
  <c r="H902" i="4"/>
  <c r="G902" i="4"/>
  <c r="F902" i="4"/>
  <c r="D902" i="4"/>
  <c r="L899" i="4"/>
  <c r="K899" i="4"/>
  <c r="J899" i="4"/>
  <c r="I899" i="4"/>
  <c r="H899" i="4"/>
  <c r="G899" i="4"/>
  <c r="F899" i="4"/>
  <c r="E899" i="4"/>
  <c r="D899" i="4"/>
  <c r="D241" i="1"/>
  <c r="E241" i="1" s="1"/>
  <c r="L896" i="4"/>
  <c r="K896" i="4"/>
  <c r="J896" i="4"/>
  <c r="I896" i="4"/>
  <c r="H896" i="4"/>
  <c r="G896" i="4"/>
  <c r="F896" i="4"/>
  <c r="E896" i="4"/>
  <c r="D896" i="4"/>
  <c r="D240" i="1"/>
  <c r="E240" i="1" s="1"/>
  <c r="D239" i="1"/>
  <c r="E239" i="1" s="1"/>
  <c r="L893" i="4"/>
  <c r="K893" i="4"/>
  <c r="J893" i="4"/>
  <c r="I893" i="4"/>
  <c r="H893" i="4"/>
  <c r="G893" i="4"/>
  <c r="F893" i="4"/>
  <c r="E893" i="4"/>
  <c r="D893" i="4"/>
  <c r="D238" i="1"/>
  <c r="E238" i="1" s="1"/>
  <c r="D237" i="1"/>
  <c r="E237" i="1" s="1"/>
  <c r="L887" i="4"/>
  <c r="K887" i="4"/>
  <c r="J887" i="4"/>
  <c r="I887" i="4"/>
  <c r="H887" i="4"/>
  <c r="G887" i="4"/>
  <c r="F887" i="4"/>
  <c r="E887" i="4"/>
  <c r="D887" i="4"/>
  <c r="L890" i="4"/>
  <c r="K890" i="4"/>
  <c r="J890" i="4"/>
  <c r="I890" i="4"/>
  <c r="H890" i="4"/>
  <c r="G890" i="4"/>
  <c r="F890" i="4"/>
  <c r="E890" i="4"/>
  <c r="D890" i="4"/>
  <c r="D236" i="1"/>
  <c r="E236" i="1" s="1"/>
  <c r="D884" i="4"/>
  <c r="D235" i="1"/>
  <c r="E235" i="1" s="1"/>
  <c r="L884" i="4"/>
  <c r="K884" i="4"/>
  <c r="J884" i="4"/>
  <c r="I884" i="4"/>
  <c r="H884" i="4"/>
  <c r="G884" i="4"/>
  <c r="F884" i="4"/>
  <c r="E884" i="4"/>
  <c r="D234" i="1"/>
  <c r="E234" i="1" s="1"/>
  <c r="L881" i="4"/>
  <c r="K881" i="4"/>
  <c r="J881" i="4"/>
  <c r="I881" i="4"/>
  <c r="H881" i="4"/>
  <c r="G881" i="4"/>
  <c r="F881" i="4"/>
  <c r="E881" i="4"/>
  <c r="D881" i="4"/>
  <c r="L878" i="4"/>
  <c r="K878" i="4"/>
  <c r="J878" i="4"/>
  <c r="I878" i="4"/>
  <c r="H878" i="4"/>
  <c r="G878" i="4"/>
  <c r="F878" i="4"/>
  <c r="E878" i="4"/>
  <c r="D878" i="4"/>
  <c r="L875" i="4"/>
  <c r="K875" i="4"/>
  <c r="J875" i="4"/>
  <c r="I875" i="4"/>
  <c r="H875" i="4"/>
  <c r="G875" i="4"/>
  <c r="F875" i="4"/>
  <c r="E875" i="4"/>
  <c r="D875" i="4"/>
  <c r="D233" i="1"/>
  <c r="E233" i="1" s="1"/>
  <c r="L872" i="4"/>
  <c r="K872" i="4"/>
  <c r="J872" i="4"/>
  <c r="I872" i="4"/>
  <c r="H872" i="4"/>
  <c r="G872" i="4"/>
  <c r="F872" i="4"/>
  <c r="E872" i="4"/>
  <c r="D872" i="4"/>
  <c r="D232" i="1"/>
  <c r="E232" i="1" s="1"/>
  <c r="D230" i="1"/>
  <c r="E230" i="1" s="1"/>
  <c r="L869" i="4"/>
  <c r="K869" i="4"/>
  <c r="J869" i="4"/>
  <c r="I869" i="4"/>
  <c r="H869" i="4"/>
  <c r="G869" i="4"/>
  <c r="F869" i="4"/>
  <c r="E869" i="4"/>
  <c r="D869" i="4"/>
  <c r="D229" i="1"/>
  <c r="E229" i="1" s="1"/>
  <c r="D228" i="1"/>
  <c r="E228" i="1" s="1"/>
  <c r="L866" i="4"/>
  <c r="K866" i="4"/>
  <c r="J866" i="4"/>
  <c r="I866" i="4"/>
  <c r="H866" i="4"/>
  <c r="G866" i="4"/>
  <c r="F866" i="4"/>
  <c r="E866" i="4"/>
  <c r="D866" i="4"/>
  <c r="L863" i="4"/>
  <c r="K863" i="4"/>
  <c r="J863" i="4"/>
  <c r="I863" i="4"/>
  <c r="H863" i="4"/>
  <c r="G863" i="4"/>
  <c r="F863" i="4"/>
  <c r="E863" i="4"/>
  <c r="D863" i="4"/>
  <c r="D227" i="1"/>
  <c r="E227" i="1" s="1"/>
  <c r="L860" i="4"/>
  <c r="K860" i="4"/>
  <c r="J860" i="4"/>
  <c r="I860" i="4"/>
  <c r="H860" i="4"/>
  <c r="G860" i="4"/>
  <c r="F860" i="4"/>
  <c r="E860" i="4"/>
  <c r="D860" i="4"/>
  <c r="L857" i="4"/>
  <c r="K857" i="4"/>
  <c r="J857" i="4"/>
  <c r="I857" i="4"/>
  <c r="H857" i="4"/>
  <c r="G857" i="4"/>
  <c r="O855" i="4" s="1"/>
  <c r="F857" i="4"/>
  <c r="E857" i="4"/>
  <c r="D857" i="4"/>
  <c r="D226" i="1"/>
  <c r="E226" i="1" s="1"/>
  <c r="L854" i="4"/>
  <c r="K854" i="4"/>
  <c r="J854" i="4"/>
  <c r="I854" i="4"/>
  <c r="H854" i="4"/>
  <c r="G854" i="4"/>
  <c r="F854" i="4"/>
  <c r="E854" i="4"/>
  <c r="D854" i="4"/>
  <c r="D225" i="1"/>
  <c r="E225" i="1" s="1"/>
  <c r="D224" i="1"/>
  <c r="E224" i="1" s="1"/>
  <c r="D223" i="1"/>
  <c r="E223" i="1" s="1"/>
  <c r="D222" i="1"/>
  <c r="E222" i="1" s="1"/>
  <c r="D221" i="1"/>
  <c r="E221" i="1" s="1"/>
  <c r="D220" i="1"/>
  <c r="E220" i="1" s="1"/>
  <c r="D219" i="1"/>
  <c r="E219" i="1" s="1"/>
  <c r="D218" i="1"/>
  <c r="E218" i="1" s="1"/>
  <c r="D216" i="1"/>
  <c r="E216" i="1" s="1"/>
  <c r="D217" i="1"/>
  <c r="E217" i="1" s="1"/>
  <c r="D215" i="1"/>
  <c r="E215" i="1" s="1"/>
  <c r="D214" i="1"/>
  <c r="E214" i="1" s="1"/>
  <c r="D213" i="1"/>
  <c r="E213" i="1" s="1"/>
  <c r="D212" i="1"/>
  <c r="E212" i="1" s="1"/>
  <c r="D211" i="1"/>
  <c r="E211" i="1" s="1"/>
  <c r="D210" i="1"/>
  <c r="E210" i="1" s="1"/>
  <c r="D209" i="1"/>
  <c r="E209" i="1" s="1"/>
  <c r="D208" i="1"/>
  <c r="E208" i="1" s="1"/>
  <c r="D207" i="1"/>
  <c r="E207" i="1" s="1"/>
  <c r="L797" i="4"/>
  <c r="K797" i="4"/>
  <c r="J797" i="4"/>
  <c r="I797" i="4"/>
  <c r="H797" i="4"/>
  <c r="G797" i="4"/>
  <c r="F797" i="4"/>
  <c r="E797" i="4"/>
  <c r="D797" i="4"/>
  <c r="D206" i="1"/>
  <c r="E206" i="1" s="1"/>
  <c r="L851" i="4"/>
  <c r="K851" i="4"/>
  <c r="J851" i="4"/>
  <c r="I851" i="4"/>
  <c r="H851" i="4"/>
  <c r="G851" i="4"/>
  <c r="F851" i="4"/>
  <c r="E851" i="4"/>
  <c r="D851" i="4"/>
  <c r="L848" i="4"/>
  <c r="K848" i="4"/>
  <c r="J848" i="4"/>
  <c r="I848" i="4"/>
  <c r="H848" i="4"/>
  <c r="G848" i="4"/>
  <c r="F848" i="4"/>
  <c r="E848" i="4"/>
  <c r="D848" i="4"/>
  <c r="L845" i="4"/>
  <c r="K845" i="4"/>
  <c r="J845" i="4"/>
  <c r="I845" i="4"/>
  <c r="H845" i="4"/>
  <c r="G845" i="4"/>
  <c r="F845" i="4"/>
  <c r="E845" i="4"/>
  <c r="D845" i="4"/>
  <c r="L842" i="4"/>
  <c r="K842" i="4"/>
  <c r="J842" i="4"/>
  <c r="I842" i="4"/>
  <c r="H842" i="4"/>
  <c r="G842" i="4"/>
  <c r="F842" i="4"/>
  <c r="E842" i="4"/>
  <c r="D842" i="4"/>
  <c r="L839" i="4"/>
  <c r="K839" i="4"/>
  <c r="J839" i="4"/>
  <c r="I839" i="4"/>
  <c r="H839" i="4"/>
  <c r="G839" i="4"/>
  <c r="F839" i="4"/>
  <c r="E839" i="4"/>
  <c r="D839" i="4"/>
  <c r="L836" i="4"/>
  <c r="K836" i="4"/>
  <c r="J836" i="4"/>
  <c r="I836" i="4"/>
  <c r="H836" i="4"/>
  <c r="G836" i="4"/>
  <c r="F836" i="4"/>
  <c r="E836" i="4"/>
  <c r="D836" i="4"/>
  <c r="L833" i="4"/>
  <c r="K833" i="4"/>
  <c r="J833" i="4"/>
  <c r="I833" i="4"/>
  <c r="H833" i="4"/>
  <c r="G833" i="4"/>
  <c r="F833" i="4"/>
  <c r="E833" i="4"/>
  <c r="D833" i="4"/>
  <c r="L830" i="4"/>
  <c r="K830" i="4"/>
  <c r="J830" i="4"/>
  <c r="I830" i="4"/>
  <c r="H830" i="4"/>
  <c r="G830" i="4"/>
  <c r="F830" i="4"/>
  <c r="E830" i="4"/>
  <c r="D830" i="4"/>
  <c r="L827" i="4"/>
  <c r="K827" i="4"/>
  <c r="J827" i="4"/>
  <c r="I827" i="4"/>
  <c r="H827" i="4"/>
  <c r="G827" i="4"/>
  <c r="F827" i="4"/>
  <c r="E827" i="4"/>
  <c r="D827" i="4"/>
  <c r="L824" i="4"/>
  <c r="K824" i="4"/>
  <c r="J824" i="4"/>
  <c r="I824" i="4"/>
  <c r="H824" i="4"/>
  <c r="G824" i="4"/>
  <c r="F824" i="4"/>
  <c r="E824" i="4"/>
  <c r="D824" i="4"/>
  <c r="L821" i="4"/>
  <c r="K821" i="4"/>
  <c r="J821" i="4"/>
  <c r="I821" i="4"/>
  <c r="H821" i="4"/>
  <c r="G821" i="4"/>
  <c r="F821" i="4"/>
  <c r="E821" i="4"/>
  <c r="D821" i="4"/>
  <c r="L818" i="4"/>
  <c r="K818" i="4"/>
  <c r="J818" i="4"/>
  <c r="I818" i="4"/>
  <c r="H818" i="4"/>
  <c r="G818" i="4"/>
  <c r="F818" i="4"/>
  <c r="E818" i="4"/>
  <c r="D818" i="4"/>
  <c r="L815" i="4"/>
  <c r="K815" i="4"/>
  <c r="J815" i="4"/>
  <c r="I815" i="4"/>
  <c r="H815" i="4"/>
  <c r="G815" i="4"/>
  <c r="F815" i="4"/>
  <c r="E815" i="4"/>
  <c r="D815" i="4"/>
  <c r="L812" i="4"/>
  <c r="K812" i="4"/>
  <c r="J812" i="4"/>
  <c r="I812" i="4"/>
  <c r="H812" i="4"/>
  <c r="G812" i="4"/>
  <c r="F812" i="4"/>
  <c r="E812" i="4"/>
  <c r="D812" i="4"/>
  <c r="L809" i="4"/>
  <c r="K809" i="4"/>
  <c r="J809" i="4"/>
  <c r="I809" i="4"/>
  <c r="H809" i="4"/>
  <c r="G809" i="4"/>
  <c r="F809" i="4"/>
  <c r="E809" i="4"/>
  <c r="D809" i="4"/>
  <c r="L806" i="4"/>
  <c r="K806" i="4"/>
  <c r="J806" i="4"/>
  <c r="I806" i="4"/>
  <c r="H806" i="4"/>
  <c r="G806" i="4"/>
  <c r="F806" i="4"/>
  <c r="E806" i="4"/>
  <c r="D806" i="4"/>
  <c r="L803" i="4"/>
  <c r="K803" i="4"/>
  <c r="J803" i="4"/>
  <c r="I803" i="4"/>
  <c r="H803" i="4"/>
  <c r="G803" i="4"/>
  <c r="F803" i="4"/>
  <c r="E803" i="4"/>
  <c r="D803" i="4"/>
  <c r="L800" i="4"/>
  <c r="K800" i="4"/>
  <c r="J800" i="4"/>
  <c r="I800" i="4"/>
  <c r="H800" i="4"/>
  <c r="G800" i="4"/>
  <c r="F800" i="4"/>
  <c r="E800" i="4"/>
  <c r="D800" i="4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L794" i="4"/>
  <c r="K794" i="4"/>
  <c r="J794" i="4"/>
  <c r="I794" i="4"/>
  <c r="H794" i="4"/>
  <c r="G794" i="4"/>
  <c r="F794" i="4"/>
  <c r="E794" i="4"/>
  <c r="D794" i="4"/>
  <c r="L791" i="4"/>
  <c r="K791" i="4"/>
  <c r="J791" i="4"/>
  <c r="I791" i="4"/>
  <c r="H791" i="4"/>
  <c r="G791" i="4"/>
  <c r="F791" i="4"/>
  <c r="E791" i="4"/>
  <c r="D791" i="4"/>
  <c r="L788" i="4"/>
  <c r="K788" i="4"/>
  <c r="J788" i="4"/>
  <c r="I788" i="4"/>
  <c r="H788" i="4"/>
  <c r="G788" i="4"/>
  <c r="F788" i="4"/>
  <c r="E788" i="4"/>
  <c r="D788" i="4"/>
  <c r="L785" i="4"/>
  <c r="K785" i="4"/>
  <c r="J785" i="4"/>
  <c r="I785" i="4"/>
  <c r="H785" i="4"/>
  <c r="G785" i="4"/>
  <c r="F785" i="4"/>
  <c r="E785" i="4"/>
  <c r="D785" i="4"/>
  <c r="L782" i="4"/>
  <c r="K782" i="4"/>
  <c r="J782" i="4"/>
  <c r="I782" i="4"/>
  <c r="H782" i="4"/>
  <c r="G782" i="4"/>
  <c r="F782" i="4"/>
  <c r="E782" i="4"/>
  <c r="D782" i="4"/>
  <c r="L779" i="4"/>
  <c r="K779" i="4"/>
  <c r="J779" i="4"/>
  <c r="I779" i="4"/>
  <c r="H779" i="4"/>
  <c r="G779" i="4"/>
  <c r="F779" i="4"/>
  <c r="E779" i="4"/>
  <c r="D779" i="4"/>
  <c r="L776" i="4"/>
  <c r="K776" i="4"/>
  <c r="J776" i="4"/>
  <c r="I776" i="4"/>
  <c r="H776" i="4"/>
  <c r="G776" i="4"/>
  <c r="F776" i="4"/>
  <c r="E776" i="4"/>
  <c r="D776" i="4"/>
  <c r="L773" i="4"/>
  <c r="K773" i="4"/>
  <c r="J773" i="4"/>
  <c r="I773" i="4"/>
  <c r="H773" i="4"/>
  <c r="G773" i="4"/>
  <c r="F773" i="4"/>
  <c r="E773" i="4"/>
  <c r="D773" i="4"/>
  <c r="L770" i="4"/>
  <c r="K770" i="4"/>
  <c r="J770" i="4"/>
  <c r="I770" i="4"/>
  <c r="H770" i="4"/>
  <c r="G770" i="4"/>
  <c r="F770" i="4"/>
  <c r="E770" i="4"/>
  <c r="D770" i="4"/>
  <c r="L767" i="4"/>
  <c r="K767" i="4"/>
  <c r="J767" i="4"/>
  <c r="I767" i="4"/>
  <c r="H767" i="4"/>
  <c r="G767" i="4"/>
  <c r="F767" i="4"/>
  <c r="E767" i="4"/>
  <c r="D767" i="4"/>
  <c r="L764" i="4"/>
  <c r="K764" i="4"/>
  <c r="J764" i="4"/>
  <c r="I764" i="4"/>
  <c r="H764" i="4"/>
  <c r="G764" i="4"/>
  <c r="F764" i="4"/>
  <c r="E764" i="4"/>
  <c r="D764" i="4"/>
  <c r="L761" i="4"/>
  <c r="K761" i="4"/>
  <c r="J761" i="4"/>
  <c r="I761" i="4"/>
  <c r="H761" i="4"/>
  <c r="G761" i="4"/>
  <c r="F761" i="4"/>
  <c r="E761" i="4"/>
  <c r="D761" i="4"/>
  <c r="L758" i="4"/>
  <c r="K758" i="4"/>
  <c r="J758" i="4"/>
  <c r="I758" i="4"/>
  <c r="H758" i="4"/>
  <c r="G758" i="4"/>
  <c r="F758" i="4"/>
  <c r="E758" i="4"/>
  <c r="D758" i="4"/>
  <c r="L755" i="4"/>
  <c r="K755" i="4"/>
  <c r="J755" i="4"/>
  <c r="I755" i="4"/>
  <c r="H755" i="4"/>
  <c r="G755" i="4"/>
  <c r="F755" i="4"/>
  <c r="E755" i="4"/>
  <c r="D755" i="4"/>
  <c r="L752" i="4"/>
  <c r="K752" i="4"/>
  <c r="J752" i="4"/>
  <c r="I752" i="4"/>
  <c r="H752" i="4"/>
  <c r="G752" i="4"/>
  <c r="F752" i="4"/>
  <c r="E752" i="4"/>
  <c r="D752" i="4"/>
  <c r="L749" i="4"/>
  <c r="K749" i="4"/>
  <c r="J749" i="4"/>
  <c r="I749" i="4"/>
  <c r="H749" i="4"/>
  <c r="G749" i="4"/>
  <c r="F749" i="4"/>
  <c r="E749" i="4"/>
  <c r="D749" i="4"/>
  <c r="L746" i="4"/>
  <c r="K746" i="4"/>
  <c r="J746" i="4"/>
  <c r="I746" i="4"/>
  <c r="H746" i="4"/>
  <c r="G746" i="4"/>
  <c r="F746" i="4"/>
  <c r="E746" i="4"/>
  <c r="D746" i="4"/>
  <c r="L743" i="4"/>
  <c r="K743" i="4"/>
  <c r="J743" i="4"/>
  <c r="I743" i="4"/>
  <c r="H743" i="4"/>
  <c r="G743" i="4"/>
  <c r="F743" i="4"/>
  <c r="E743" i="4"/>
  <c r="D743" i="4"/>
  <c r="L740" i="4"/>
  <c r="K740" i="4"/>
  <c r="J740" i="4"/>
  <c r="I740" i="4"/>
  <c r="H740" i="4"/>
  <c r="G740" i="4"/>
  <c r="F740" i="4"/>
  <c r="E740" i="4"/>
  <c r="D740" i="4"/>
  <c r="L737" i="4"/>
  <c r="K737" i="4"/>
  <c r="J737" i="4"/>
  <c r="I737" i="4"/>
  <c r="H737" i="4"/>
  <c r="G737" i="4"/>
  <c r="F737" i="4"/>
  <c r="E737" i="4"/>
  <c r="D737" i="4"/>
  <c r="L734" i="4"/>
  <c r="K734" i="4"/>
  <c r="J734" i="4"/>
  <c r="I734" i="4"/>
  <c r="H734" i="4"/>
  <c r="G734" i="4"/>
  <c r="F734" i="4"/>
  <c r="E734" i="4"/>
  <c r="D734" i="4"/>
  <c r="L731" i="4"/>
  <c r="K731" i="4"/>
  <c r="J731" i="4"/>
  <c r="I731" i="4"/>
  <c r="H731" i="4"/>
  <c r="G731" i="4"/>
  <c r="F731" i="4"/>
  <c r="E731" i="4"/>
  <c r="D731" i="4"/>
  <c r="L728" i="4"/>
  <c r="K728" i="4"/>
  <c r="J728" i="4"/>
  <c r="I728" i="4"/>
  <c r="H728" i="4"/>
  <c r="G728" i="4"/>
  <c r="F728" i="4"/>
  <c r="E728" i="4"/>
  <c r="D728" i="4"/>
  <c r="L725" i="4"/>
  <c r="K725" i="4"/>
  <c r="J725" i="4"/>
  <c r="I725" i="4"/>
  <c r="H725" i="4"/>
  <c r="G725" i="4"/>
  <c r="F725" i="4"/>
  <c r="E725" i="4"/>
  <c r="D725" i="4"/>
  <c r="L722" i="4"/>
  <c r="K722" i="4"/>
  <c r="J722" i="4"/>
  <c r="I722" i="4"/>
  <c r="H722" i="4"/>
  <c r="G722" i="4"/>
  <c r="F722" i="4"/>
  <c r="E722" i="4"/>
  <c r="D722" i="4"/>
  <c r="L719" i="4"/>
  <c r="K719" i="4"/>
  <c r="J719" i="4"/>
  <c r="I719" i="4"/>
  <c r="H719" i="4"/>
  <c r="G719" i="4"/>
  <c r="F719" i="4"/>
  <c r="E719" i="4"/>
  <c r="D719" i="4"/>
  <c r="L716" i="4"/>
  <c r="K716" i="4"/>
  <c r="J716" i="4"/>
  <c r="I716" i="4"/>
  <c r="H716" i="4"/>
  <c r="G716" i="4"/>
  <c r="F716" i="4"/>
  <c r="E716" i="4"/>
  <c r="D716" i="4"/>
  <c r="L713" i="4"/>
  <c r="K713" i="4"/>
  <c r="J713" i="4"/>
  <c r="I713" i="4"/>
  <c r="H713" i="4"/>
  <c r="G713" i="4"/>
  <c r="F713" i="4"/>
  <c r="E713" i="4"/>
  <c r="D713" i="4"/>
  <c r="L710" i="4"/>
  <c r="K710" i="4"/>
  <c r="J710" i="4"/>
  <c r="I710" i="4"/>
  <c r="H710" i="4"/>
  <c r="G710" i="4"/>
  <c r="F710" i="4"/>
  <c r="E710" i="4"/>
  <c r="D710" i="4"/>
  <c r="L707" i="4"/>
  <c r="K707" i="4"/>
  <c r="J707" i="4"/>
  <c r="I707" i="4"/>
  <c r="H707" i="4"/>
  <c r="G707" i="4"/>
  <c r="F707" i="4"/>
  <c r="E707" i="4"/>
  <c r="D707" i="4"/>
  <c r="L704" i="4"/>
  <c r="K704" i="4"/>
  <c r="J704" i="4"/>
  <c r="I704" i="4"/>
  <c r="H704" i="4"/>
  <c r="G704" i="4"/>
  <c r="F704" i="4"/>
  <c r="E704" i="4"/>
  <c r="D704" i="4"/>
  <c r="L701" i="4"/>
  <c r="K701" i="4"/>
  <c r="J701" i="4"/>
  <c r="I701" i="4"/>
  <c r="H701" i="4"/>
  <c r="G701" i="4"/>
  <c r="F701" i="4"/>
  <c r="E701" i="4"/>
  <c r="D701" i="4"/>
  <c r="L698" i="4"/>
  <c r="K698" i="4"/>
  <c r="J698" i="4"/>
  <c r="I698" i="4"/>
  <c r="H698" i="4"/>
  <c r="G698" i="4"/>
  <c r="F698" i="4"/>
  <c r="E698" i="4"/>
  <c r="D698" i="4"/>
  <c r="L695" i="4"/>
  <c r="K695" i="4"/>
  <c r="J695" i="4"/>
  <c r="I695" i="4"/>
  <c r="H695" i="4"/>
  <c r="G695" i="4"/>
  <c r="F695" i="4"/>
  <c r="E695" i="4"/>
  <c r="D695" i="4"/>
  <c r="L692" i="4"/>
  <c r="K692" i="4"/>
  <c r="J692" i="4"/>
  <c r="I692" i="4"/>
  <c r="H692" i="4"/>
  <c r="G692" i="4"/>
  <c r="F692" i="4"/>
  <c r="E692" i="4"/>
  <c r="D692" i="4"/>
  <c r="L689" i="4"/>
  <c r="K689" i="4"/>
  <c r="J689" i="4"/>
  <c r="I689" i="4"/>
  <c r="H689" i="4"/>
  <c r="G689" i="4"/>
  <c r="F689" i="4"/>
  <c r="E689" i="4"/>
  <c r="D689" i="4"/>
  <c r="L686" i="4"/>
  <c r="K686" i="4"/>
  <c r="J686" i="4"/>
  <c r="I686" i="4"/>
  <c r="H686" i="4"/>
  <c r="G686" i="4"/>
  <c r="F686" i="4"/>
  <c r="E686" i="4"/>
  <c r="D686" i="4"/>
  <c r="D198" i="1"/>
  <c r="E198" i="1" s="1"/>
  <c r="D197" i="1"/>
  <c r="E197" i="1" s="1"/>
  <c r="D196" i="1"/>
  <c r="E196" i="1" s="1"/>
  <c r="D195" i="1"/>
  <c r="E195" i="1" s="1"/>
  <c r="D194" i="1"/>
  <c r="E194" i="1" s="1"/>
  <c r="D193" i="1"/>
  <c r="E193" i="1" s="1"/>
  <c r="D192" i="1"/>
  <c r="E192" i="1" s="1"/>
  <c r="D191" i="1"/>
  <c r="E191" i="1" s="1"/>
  <c r="D190" i="1"/>
  <c r="E190" i="1" s="1"/>
  <c r="D189" i="1"/>
  <c r="E189" i="1" s="1"/>
  <c r="D188" i="1"/>
  <c r="E188" i="1" s="1"/>
  <c r="D187" i="1"/>
  <c r="E187" i="1" s="1"/>
  <c r="D186" i="1"/>
  <c r="E186" i="1" s="1"/>
  <c r="D185" i="1"/>
  <c r="E185" i="1" s="1"/>
  <c r="D184" i="1"/>
  <c r="E184" i="1" s="1"/>
  <c r="D183" i="1"/>
  <c r="E183" i="1" s="1"/>
  <c r="D182" i="1"/>
  <c r="E182" i="1" s="1"/>
  <c r="D181" i="1"/>
  <c r="E181" i="1" s="1"/>
  <c r="D180" i="1"/>
  <c r="E180" i="1" s="1"/>
  <c r="D179" i="1"/>
  <c r="E179" i="1" s="1"/>
  <c r="D178" i="1"/>
  <c r="E178" i="1" s="1"/>
  <c r="D177" i="1"/>
  <c r="E177" i="1" s="1"/>
  <c r="D176" i="1"/>
  <c r="E176" i="1" s="1"/>
  <c r="D175" i="1"/>
  <c r="E175" i="1" s="1"/>
  <c r="D174" i="1"/>
  <c r="E174" i="1" s="1"/>
  <c r="D173" i="1"/>
  <c r="E173" i="1" s="1"/>
  <c r="D172" i="1"/>
  <c r="E172" i="1" s="1"/>
  <c r="D171" i="1"/>
  <c r="E171" i="1" s="1"/>
  <c r="D170" i="1"/>
  <c r="E170" i="1" s="1"/>
  <c r="D169" i="1"/>
  <c r="E169" i="1" s="1"/>
  <c r="D168" i="1"/>
  <c r="E168" i="1" s="1"/>
  <c r="L683" i="4"/>
  <c r="K683" i="4"/>
  <c r="J683" i="4"/>
  <c r="I683" i="4"/>
  <c r="H683" i="4"/>
  <c r="G683" i="4"/>
  <c r="F683" i="4"/>
  <c r="E683" i="4"/>
  <c r="D683" i="4"/>
  <c r="L680" i="4"/>
  <c r="K680" i="4"/>
  <c r="J680" i="4"/>
  <c r="I680" i="4"/>
  <c r="H680" i="4"/>
  <c r="G680" i="4"/>
  <c r="F680" i="4"/>
  <c r="E680" i="4"/>
  <c r="D680" i="4"/>
  <c r="L677" i="4"/>
  <c r="K677" i="4"/>
  <c r="J677" i="4"/>
  <c r="I677" i="4"/>
  <c r="H677" i="4"/>
  <c r="G677" i="4"/>
  <c r="F677" i="4"/>
  <c r="E677" i="4"/>
  <c r="D677" i="4"/>
  <c r="L674" i="4"/>
  <c r="K674" i="4"/>
  <c r="J674" i="4"/>
  <c r="I674" i="4"/>
  <c r="H674" i="4"/>
  <c r="G674" i="4"/>
  <c r="F674" i="4"/>
  <c r="E674" i="4"/>
  <c r="D674" i="4"/>
  <c r="L671" i="4"/>
  <c r="K671" i="4"/>
  <c r="J671" i="4"/>
  <c r="I671" i="4"/>
  <c r="H671" i="4"/>
  <c r="G671" i="4"/>
  <c r="F671" i="4"/>
  <c r="E671" i="4"/>
  <c r="D671" i="4"/>
  <c r="L668" i="4"/>
  <c r="K668" i="4"/>
  <c r="J668" i="4"/>
  <c r="I668" i="4"/>
  <c r="H668" i="4"/>
  <c r="G668" i="4"/>
  <c r="F668" i="4"/>
  <c r="E668" i="4"/>
  <c r="D668" i="4"/>
  <c r="L665" i="4"/>
  <c r="K665" i="4"/>
  <c r="J665" i="4"/>
  <c r="I665" i="4"/>
  <c r="H665" i="4"/>
  <c r="G665" i="4"/>
  <c r="F665" i="4"/>
  <c r="E665" i="4"/>
  <c r="D665" i="4"/>
  <c r="L662" i="4"/>
  <c r="K662" i="4"/>
  <c r="J662" i="4"/>
  <c r="I662" i="4"/>
  <c r="H662" i="4"/>
  <c r="G662" i="4"/>
  <c r="F662" i="4"/>
  <c r="E662" i="4"/>
  <c r="D662" i="4"/>
  <c r="L659" i="4"/>
  <c r="K659" i="4"/>
  <c r="J659" i="4"/>
  <c r="I659" i="4"/>
  <c r="H659" i="4"/>
  <c r="G659" i="4"/>
  <c r="F659" i="4"/>
  <c r="E659" i="4"/>
  <c r="D659" i="4"/>
  <c r="L656" i="4"/>
  <c r="K656" i="4"/>
  <c r="J656" i="4"/>
  <c r="I656" i="4"/>
  <c r="H656" i="4"/>
  <c r="G656" i="4"/>
  <c r="F656" i="4"/>
  <c r="E656" i="4"/>
  <c r="D656" i="4"/>
  <c r="L653" i="4"/>
  <c r="K653" i="4"/>
  <c r="J653" i="4"/>
  <c r="I653" i="4"/>
  <c r="H653" i="4"/>
  <c r="G653" i="4"/>
  <c r="F653" i="4"/>
  <c r="E653" i="4"/>
  <c r="D653" i="4"/>
  <c r="L650" i="4"/>
  <c r="K650" i="4"/>
  <c r="J650" i="4"/>
  <c r="I650" i="4"/>
  <c r="H650" i="4"/>
  <c r="G650" i="4"/>
  <c r="F650" i="4"/>
  <c r="E650" i="4"/>
  <c r="D650" i="4"/>
  <c r="L647" i="4"/>
  <c r="K647" i="4"/>
  <c r="J647" i="4"/>
  <c r="I647" i="4"/>
  <c r="H647" i="4"/>
  <c r="G647" i="4"/>
  <c r="F647" i="4"/>
  <c r="E647" i="4"/>
  <c r="D647" i="4"/>
  <c r="L644" i="4"/>
  <c r="K644" i="4"/>
  <c r="J644" i="4"/>
  <c r="I644" i="4"/>
  <c r="H644" i="4"/>
  <c r="G644" i="4"/>
  <c r="F644" i="4"/>
  <c r="E644" i="4"/>
  <c r="D644" i="4"/>
  <c r="L641" i="4"/>
  <c r="K641" i="4"/>
  <c r="J641" i="4"/>
  <c r="I641" i="4"/>
  <c r="H641" i="4"/>
  <c r="G641" i="4"/>
  <c r="F641" i="4"/>
  <c r="E641" i="4"/>
  <c r="D641" i="4"/>
  <c r="L638" i="4"/>
  <c r="K638" i="4"/>
  <c r="J638" i="4"/>
  <c r="I638" i="4"/>
  <c r="H638" i="4"/>
  <c r="G638" i="4"/>
  <c r="F638" i="4"/>
  <c r="E638" i="4"/>
  <c r="D638" i="4"/>
  <c r="L635" i="4"/>
  <c r="K635" i="4"/>
  <c r="J635" i="4"/>
  <c r="I635" i="4"/>
  <c r="H635" i="4"/>
  <c r="G635" i="4"/>
  <c r="F635" i="4"/>
  <c r="E635" i="4"/>
  <c r="D635" i="4"/>
  <c r="L632" i="4"/>
  <c r="K632" i="4"/>
  <c r="J632" i="4"/>
  <c r="I632" i="4"/>
  <c r="H632" i="4"/>
  <c r="G632" i="4"/>
  <c r="F632" i="4"/>
  <c r="E632" i="4"/>
  <c r="D632" i="4"/>
  <c r="L629" i="4"/>
  <c r="K629" i="4"/>
  <c r="J629" i="4"/>
  <c r="I629" i="4"/>
  <c r="H629" i="4"/>
  <c r="G629" i="4"/>
  <c r="F629" i="4"/>
  <c r="E629" i="4"/>
  <c r="D629" i="4"/>
  <c r="L626" i="4"/>
  <c r="K626" i="4"/>
  <c r="J626" i="4"/>
  <c r="I626" i="4"/>
  <c r="H626" i="4"/>
  <c r="G626" i="4"/>
  <c r="F626" i="4"/>
  <c r="E626" i="4"/>
  <c r="D626" i="4"/>
  <c r="L623" i="4"/>
  <c r="K623" i="4"/>
  <c r="J623" i="4"/>
  <c r="I623" i="4"/>
  <c r="H623" i="4"/>
  <c r="G623" i="4"/>
  <c r="F623" i="4"/>
  <c r="E623" i="4"/>
  <c r="D623" i="4"/>
  <c r="L620" i="4"/>
  <c r="K620" i="4"/>
  <c r="J620" i="4"/>
  <c r="I620" i="4"/>
  <c r="H620" i="4"/>
  <c r="G620" i="4"/>
  <c r="F620" i="4"/>
  <c r="E620" i="4"/>
  <c r="D620" i="4"/>
  <c r="L617" i="4"/>
  <c r="K617" i="4"/>
  <c r="J617" i="4"/>
  <c r="I617" i="4"/>
  <c r="H617" i="4"/>
  <c r="G617" i="4"/>
  <c r="F617" i="4"/>
  <c r="E617" i="4"/>
  <c r="D617" i="4"/>
  <c r="L614" i="4"/>
  <c r="K614" i="4"/>
  <c r="J614" i="4"/>
  <c r="I614" i="4"/>
  <c r="H614" i="4"/>
  <c r="G614" i="4"/>
  <c r="F614" i="4"/>
  <c r="E614" i="4"/>
  <c r="D614" i="4"/>
  <c r="L611" i="4"/>
  <c r="K611" i="4"/>
  <c r="J611" i="4"/>
  <c r="I611" i="4"/>
  <c r="H611" i="4"/>
  <c r="G611" i="4"/>
  <c r="F611" i="4"/>
  <c r="E611" i="4"/>
  <c r="D611" i="4"/>
  <c r="L608" i="4"/>
  <c r="K608" i="4"/>
  <c r="J608" i="4"/>
  <c r="I608" i="4"/>
  <c r="H608" i="4"/>
  <c r="G608" i="4"/>
  <c r="F608" i="4"/>
  <c r="E608" i="4"/>
  <c r="D608" i="4"/>
  <c r="L605" i="4"/>
  <c r="K605" i="4"/>
  <c r="J605" i="4"/>
  <c r="I605" i="4"/>
  <c r="H605" i="4"/>
  <c r="G605" i="4"/>
  <c r="F605" i="4"/>
  <c r="E605" i="4"/>
  <c r="D605" i="4"/>
  <c r="L602" i="4"/>
  <c r="K602" i="4"/>
  <c r="J602" i="4"/>
  <c r="I602" i="4"/>
  <c r="H602" i="4"/>
  <c r="G602" i="4"/>
  <c r="F602" i="4"/>
  <c r="E602" i="4"/>
  <c r="D602" i="4"/>
  <c r="L599" i="4"/>
  <c r="K599" i="4"/>
  <c r="J599" i="4"/>
  <c r="I599" i="4"/>
  <c r="H599" i="4"/>
  <c r="G599" i="4"/>
  <c r="F599" i="4"/>
  <c r="E599" i="4"/>
  <c r="D599" i="4"/>
  <c r="L596" i="4"/>
  <c r="K596" i="4"/>
  <c r="J596" i="4"/>
  <c r="I596" i="4"/>
  <c r="H596" i="4"/>
  <c r="G596" i="4"/>
  <c r="F596" i="4"/>
  <c r="E596" i="4"/>
  <c r="D596" i="4"/>
  <c r="L593" i="4"/>
  <c r="K593" i="4"/>
  <c r="J593" i="4"/>
  <c r="I593" i="4"/>
  <c r="H593" i="4"/>
  <c r="G593" i="4"/>
  <c r="F593" i="4"/>
  <c r="E593" i="4"/>
  <c r="D593" i="4"/>
  <c r="L590" i="4"/>
  <c r="K590" i="4"/>
  <c r="J590" i="4"/>
  <c r="I590" i="4"/>
  <c r="H590" i="4"/>
  <c r="G590" i="4"/>
  <c r="F590" i="4"/>
  <c r="E590" i="4"/>
  <c r="D590" i="4"/>
  <c r="L587" i="4"/>
  <c r="K587" i="4"/>
  <c r="J587" i="4"/>
  <c r="I587" i="4"/>
  <c r="H587" i="4"/>
  <c r="G587" i="4"/>
  <c r="F587" i="4"/>
  <c r="E587" i="4"/>
  <c r="D587" i="4"/>
  <c r="L584" i="4"/>
  <c r="K584" i="4"/>
  <c r="J584" i="4"/>
  <c r="I584" i="4"/>
  <c r="H584" i="4"/>
  <c r="G584" i="4"/>
  <c r="F584" i="4"/>
  <c r="E584" i="4"/>
  <c r="D584" i="4"/>
  <c r="L581" i="4"/>
  <c r="K581" i="4"/>
  <c r="J581" i="4"/>
  <c r="I581" i="4"/>
  <c r="H581" i="4"/>
  <c r="G581" i="4"/>
  <c r="F581" i="4"/>
  <c r="E581" i="4"/>
  <c r="D581" i="4"/>
  <c r="L578" i="4"/>
  <c r="K578" i="4"/>
  <c r="J578" i="4"/>
  <c r="I578" i="4"/>
  <c r="H578" i="4"/>
  <c r="G578" i="4"/>
  <c r="F578" i="4"/>
  <c r="E578" i="4"/>
  <c r="D578" i="4"/>
  <c r="L575" i="4"/>
  <c r="K575" i="4"/>
  <c r="J575" i="4"/>
  <c r="I575" i="4"/>
  <c r="H575" i="4"/>
  <c r="G575" i="4"/>
  <c r="F575" i="4"/>
  <c r="E575" i="4"/>
  <c r="D575" i="4"/>
  <c r="L572" i="4"/>
  <c r="K572" i="4"/>
  <c r="J572" i="4"/>
  <c r="I572" i="4"/>
  <c r="H572" i="4"/>
  <c r="G572" i="4"/>
  <c r="F572" i="4"/>
  <c r="E572" i="4"/>
  <c r="D572" i="4"/>
  <c r="L569" i="4"/>
  <c r="K569" i="4"/>
  <c r="J569" i="4"/>
  <c r="I569" i="4"/>
  <c r="H569" i="4"/>
  <c r="G569" i="4"/>
  <c r="F569" i="4"/>
  <c r="E569" i="4"/>
  <c r="L566" i="4"/>
  <c r="K566" i="4"/>
  <c r="J566" i="4"/>
  <c r="I566" i="4"/>
  <c r="H566" i="4"/>
  <c r="G566" i="4"/>
  <c r="F566" i="4"/>
  <c r="E566" i="4"/>
  <c r="D566" i="4"/>
  <c r="L563" i="4"/>
  <c r="K563" i="4"/>
  <c r="J563" i="4"/>
  <c r="I563" i="4"/>
  <c r="H563" i="4"/>
  <c r="G563" i="4"/>
  <c r="F563" i="4"/>
  <c r="E563" i="4"/>
  <c r="D563" i="4"/>
  <c r="L560" i="4"/>
  <c r="K560" i="4"/>
  <c r="J560" i="4"/>
  <c r="I560" i="4"/>
  <c r="H560" i="4"/>
  <c r="G560" i="4"/>
  <c r="F560" i="4"/>
  <c r="E560" i="4"/>
  <c r="D560" i="4"/>
  <c r="L557" i="4"/>
  <c r="K557" i="4"/>
  <c r="J557" i="4"/>
  <c r="I557" i="4"/>
  <c r="H557" i="4"/>
  <c r="G557" i="4"/>
  <c r="F557" i="4"/>
  <c r="E557" i="4"/>
  <c r="D557" i="4"/>
  <c r="L554" i="4"/>
  <c r="K554" i="4"/>
  <c r="J554" i="4"/>
  <c r="I554" i="4"/>
  <c r="H554" i="4"/>
  <c r="G554" i="4"/>
  <c r="F554" i="4"/>
  <c r="E554" i="4"/>
  <c r="D554" i="4"/>
  <c r="L551" i="4"/>
  <c r="K551" i="4"/>
  <c r="J551" i="4"/>
  <c r="I551" i="4"/>
  <c r="H551" i="4"/>
  <c r="G551" i="4"/>
  <c r="F551" i="4"/>
  <c r="E551" i="4"/>
  <c r="D551" i="4"/>
  <c r="L548" i="4"/>
  <c r="K548" i="4"/>
  <c r="J548" i="4"/>
  <c r="I548" i="4"/>
  <c r="H548" i="4"/>
  <c r="G548" i="4"/>
  <c r="F548" i="4"/>
  <c r="E548" i="4"/>
  <c r="D548" i="4"/>
  <c r="L545" i="4"/>
  <c r="K545" i="4"/>
  <c r="J545" i="4"/>
  <c r="I545" i="4"/>
  <c r="H545" i="4"/>
  <c r="G545" i="4"/>
  <c r="F545" i="4"/>
  <c r="E545" i="4"/>
  <c r="D545" i="4"/>
  <c r="L542" i="4"/>
  <c r="K542" i="4"/>
  <c r="J542" i="4"/>
  <c r="I542" i="4"/>
  <c r="H542" i="4"/>
  <c r="G542" i="4"/>
  <c r="F542" i="4"/>
  <c r="E542" i="4"/>
  <c r="D542" i="4"/>
  <c r="L539" i="4"/>
  <c r="K539" i="4"/>
  <c r="J539" i="4"/>
  <c r="I539" i="4"/>
  <c r="H539" i="4"/>
  <c r="G539" i="4"/>
  <c r="F539" i="4"/>
  <c r="E539" i="4"/>
  <c r="D539" i="4"/>
  <c r="L536" i="4"/>
  <c r="K536" i="4"/>
  <c r="J536" i="4"/>
  <c r="I536" i="4"/>
  <c r="H536" i="4"/>
  <c r="G536" i="4"/>
  <c r="F536" i="4"/>
  <c r="E536" i="4"/>
  <c r="D536" i="4"/>
  <c r="L533" i="4"/>
  <c r="K533" i="4"/>
  <c r="J533" i="4"/>
  <c r="I533" i="4"/>
  <c r="H533" i="4"/>
  <c r="G533" i="4"/>
  <c r="F533" i="4"/>
  <c r="E533" i="4"/>
  <c r="D533" i="4"/>
  <c r="L530" i="4"/>
  <c r="K530" i="4"/>
  <c r="J530" i="4"/>
  <c r="I530" i="4"/>
  <c r="H530" i="4"/>
  <c r="G530" i="4"/>
  <c r="F530" i="4"/>
  <c r="E530" i="4"/>
  <c r="D530" i="4"/>
  <c r="L527" i="4"/>
  <c r="K527" i="4"/>
  <c r="J527" i="4"/>
  <c r="I527" i="4"/>
  <c r="H527" i="4"/>
  <c r="G527" i="4"/>
  <c r="F527" i="4"/>
  <c r="E527" i="4"/>
  <c r="D527" i="4"/>
  <c r="L524" i="4"/>
  <c r="K524" i="4"/>
  <c r="J524" i="4"/>
  <c r="I524" i="4"/>
  <c r="H524" i="4"/>
  <c r="G524" i="4"/>
  <c r="F524" i="4"/>
  <c r="E524" i="4"/>
  <c r="D524" i="4"/>
  <c r="L521" i="4"/>
  <c r="K521" i="4"/>
  <c r="J521" i="4"/>
  <c r="I521" i="4"/>
  <c r="H521" i="4"/>
  <c r="G521" i="4"/>
  <c r="F521" i="4"/>
  <c r="E521" i="4"/>
  <c r="D521" i="4"/>
  <c r="L518" i="4"/>
  <c r="K518" i="4"/>
  <c r="J518" i="4"/>
  <c r="I518" i="4"/>
  <c r="H518" i="4"/>
  <c r="G518" i="4"/>
  <c r="F518" i="4"/>
  <c r="E518" i="4"/>
  <c r="D518" i="4"/>
  <c r="L515" i="4"/>
  <c r="K515" i="4"/>
  <c r="J515" i="4"/>
  <c r="I515" i="4"/>
  <c r="H515" i="4"/>
  <c r="G515" i="4"/>
  <c r="F515" i="4"/>
  <c r="E515" i="4"/>
  <c r="D515" i="4"/>
  <c r="L512" i="4"/>
  <c r="K512" i="4"/>
  <c r="J512" i="4"/>
  <c r="I512" i="4"/>
  <c r="H512" i="4"/>
  <c r="G512" i="4"/>
  <c r="F512" i="4"/>
  <c r="E512" i="4"/>
  <c r="D512" i="4"/>
  <c r="L509" i="4"/>
  <c r="K509" i="4"/>
  <c r="J509" i="4"/>
  <c r="I509" i="4"/>
  <c r="H509" i="4"/>
  <c r="G509" i="4"/>
  <c r="F509" i="4"/>
  <c r="E509" i="4"/>
  <c r="D509" i="4"/>
  <c r="L506" i="4"/>
  <c r="K506" i="4"/>
  <c r="J506" i="4"/>
  <c r="I506" i="4"/>
  <c r="H506" i="4"/>
  <c r="G506" i="4"/>
  <c r="F506" i="4"/>
  <c r="E506" i="4"/>
  <c r="D506" i="4"/>
  <c r="L503" i="4"/>
  <c r="K503" i="4"/>
  <c r="J503" i="4"/>
  <c r="I503" i="4"/>
  <c r="H503" i="4"/>
  <c r="G503" i="4"/>
  <c r="F503" i="4"/>
  <c r="E503" i="4"/>
  <c r="D503" i="4"/>
  <c r="L500" i="4"/>
  <c r="K500" i="4"/>
  <c r="J500" i="4"/>
  <c r="I500" i="4"/>
  <c r="H500" i="4"/>
  <c r="G500" i="4"/>
  <c r="F500" i="4"/>
  <c r="E500" i="4"/>
  <c r="D500" i="4"/>
  <c r="L497" i="4"/>
  <c r="K497" i="4"/>
  <c r="J497" i="4"/>
  <c r="I497" i="4"/>
  <c r="H497" i="4"/>
  <c r="G497" i="4"/>
  <c r="F497" i="4"/>
  <c r="E497" i="4"/>
  <c r="D497" i="4"/>
  <c r="L494" i="4"/>
  <c r="K494" i="4"/>
  <c r="J494" i="4"/>
  <c r="I494" i="4"/>
  <c r="H494" i="4"/>
  <c r="G494" i="4"/>
  <c r="F494" i="4"/>
  <c r="E494" i="4"/>
  <c r="D494" i="4"/>
  <c r="L491" i="4"/>
  <c r="K491" i="4"/>
  <c r="J491" i="4"/>
  <c r="I491" i="4"/>
  <c r="H491" i="4"/>
  <c r="G491" i="4"/>
  <c r="F491" i="4"/>
  <c r="E491" i="4"/>
  <c r="D491" i="4"/>
  <c r="L488" i="4"/>
  <c r="K488" i="4"/>
  <c r="J488" i="4"/>
  <c r="I488" i="4"/>
  <c r="H488" i="4"/>
  <c r="G488" i="4"/>
  <c r="F488" i="4"/>
  <c r="E488" i="4"/>
  <c r="D488" i="4"/>
  <c r="L485" i="4"/>
  <c r="K485" i="4"/>
  <c r="J485" i="4"/>
  <c r="I485" i="4"/>
  <c r="H485" i="4"/>
  <c r="G485" i="4"/>
  <c r="F485" i="4"/>
  <c r="E485" i="4"/>
  <c r="D485" i="4"/>
  <c r="L482" i="4"/>
  <c r="K482" i="4"/>
  <c r="J482" i="4"/>
  <c r="I482" i="4"/>
  <c r="H482" i="4"/>
  <c r="G482" i="4"/>
  <c r="F482" i="4"/>
  <c r="E482" i="4"/>
  <c r="D482" i="4"/>
  <c r="L479" i="4"/>
  <c r="K479" i="4"/>
  <c r="J479" i="4"/>
  <c r="I479" i="4"/>
  <c r="H479" i="4"/>
  <c r="G479" i="4"/>
  <c r="F479" i="4"/>
  <c r="E479" i="4"/>
  <c r="D479" i="4"/>
  <c r="L476" i="4"/>
  <c r="K476" i="4"/>
  <c r="J476" i="4"/>
  <c r="I476" i="4"/>
  <c r="H476" i="4"/>
  <c r="G476" i="4"/>
  <c r="F476" i="4"/>
  <c r="E476" i="4"/>
  <c r="D476" i="4"/>
  <c r="L473" i="4"/>
  <c r="K473" i="4"/>
  <c r="J473" i="4"/>
  <c r="I473" i="4"/>
  <c r="H473" i="4"/>
  <c r="G473" i="4"/>
  <c r="F473" i="4"/>
  <c r="E473" i="4"/>
  <c r="D473" i="4"/>
  <c r="L470" i="4"/>
  <c r="K470" i="4"/>
  <c r="J470" i="4"/>
  <c r="I470" i="4"/>
  <c r="H470" i="4"/>
  <c r="G470" i="4"/>
  <c r="F470" i="4"/>
  <c r="E470" i="4"/>
  <c r="D470" i="4"/>
  <c r="L467" i="4"/>
  <c r="K467" i="4"/>
  <c r="J467" i="4"/>
  <c r="I467" i="4"/>
  <c r="H467" i="4"/>
  <c r="G467" i="4"/>
  <c r="F467" i="4"/>
  <c r="E467" i="4"/>
  <c r="D467" i="4"/>
  <c r="L464" i="4"/>
  <c r="K464" i="4"/>
  <c r="J464" i="4"/>
  <c r="I464" i="4"/>
  <c r="H464" i="4"/>
  <c r="G464" i="4"/>
  <c r="F464" i="4"/>
  <c r="E464" i="4"/>
  <c r="D464" i="4"/>
  <c r="L461" i="4"/>
  <c r="K461" i="4"/>
  <c r="J461" i="4"/>
  <c r="I461" i="4"/>
  <c r="H461" i="4"/>
  <c r="G461" i="4"/>
  <c r="F461" i="4"/>
  <c r="E461" i="4"/>
  <c r="D461" i="4"/>
  <c r="L458" i="4"/>
  <c r="K458" i="4"/>
  <c r="J458" i="4"/>
  <c r="I458" i="4"/>
  <c r="H458" i="4"/>
  <c r="G458" i="4"/>
  <c r="F458" i="4"/>
  <c r="E458" i="4"/>
  <c r="D458" i="4"/>
  <c r="L455" i="4"/>
  <c r="K455" i="4"/>
  <c r="J455" i="4"/>
  <c r="I455" i="4"/>
  <c r="H455" i="4"/>
  <c r="G455" i="4"/>
  <c r="F455" i="4"/>
  <c r="E455" i="4"/>
  <c r="D455" i="4"/>
  <c r="L452" i="4"/>
  <c r="K452" i="4"/>
  <c r="J452" i="4"/>
  <c r="I452" i="4"/>
  <c r="H452" i="4"/>
  <c r="G452" i="4"/>
  <c r="F452" i="4"/>
  <c r="E452" i="4"/>
  <c r="D452" i="4"/>
  <c r="L449" i="4"/>
  <c r="K449" i="4"/>
  <c r="J449" i="4"/>
  <c r="I449" i="4"/>
  <c r="H449" i="4"/>
  <c r="G449" i="4"/>
  <c r="F449" i="4"/>
  <c r="E449" i="4"/>
  <c r="D449" i="4"/>
  <c r="L446" i="4"/>
  <c r="K446" i="4"/>
  <c r="J446" i="4"/>
  <c r="I446" i="4"/>
  <c r="H446" i="4"/>
  <c r="G446" i="4"/>
  <c r="F446" i="4"/>
  <c r="E446" i="4"/>
  <c r="D446" i="4"/>
  <c r="L443" i="4"/>
  <c r="K443" i="4"/>
  <c r="J443" i="4"/>
  <c r="I443" i="4"/>
  <c r="H443" i="4"/>
  <c r="G443" i="4"/>
  <c r="F443" i="4"/>
  <c r="E443" i="4"/>
  <c r="D443" i="4"/>
  <c r="L440" i="4"/>
  <c r="K440" i="4"/>
  <c r="J440" i="4"/>
  <c r="I440" i="4"/>
  <c r="H440" i="4"/>
  <c r="G440" i="4"/>
  <c r="F440" i="4"/>
  <c r="E440" i="4"/>
  <c r="D440" i="4"/>
  <c r="L437" i="4"/>
  <c r="K437" i="4"/>
  <c r="J437" i="4"/>
  <c r="I437" i="4"/>
  <c r="H437" i="4"/>
  <c r="G437" i="4"/>
  <c r="F437" i="4"/>
  <c r="E437" i="4"/>
  <c r="D437" i="4"/>
  <c r="L434" i="4"/>
  <c r="K434" i="4"/>
  <c r="J434" i="4"/>
  <c r="I434" i="4"/>
  <c r="H434" i="4"/>
  <c r="G434" i="4"/>
  <c r="F434" i="4"/>
  <c r="E434" i="4"/>
  <c r="D434" i="4"/>
  <c r="L431" i="4"/>
  <c r="K431" i="4"/>
  <c r="J431" i="4"/>
  <c r="I431" i="4"/>
  <c r="H431" i="4"/>
  <c r="G431" i="4"/>
  <c r="F431" i="4"/>
  <c r="E431" i="4"/>
  <c r="D431" i="4"/>
  <c r="L428" i="4"/>
  <c r="K428" i="4"/>
  <c r="J428" i="4"/>
  <c r="I428" i="4"/>
  <c r="H428" i="4"/>
  <c r="G428" i="4"/>
  <c r="F428" i="4"/>
  <c r="E428" i="4"/>
  <c r="D428" i="4"/>
  <c r="L425" i="4"/>
  <c r="K425" i="4"/>
  <c r="J425" i="4"/>
  <c r="I425" i="4"/>
  <c r="H425" i="4"/>
  <c r="G425" i="4"/>
  <c r="F425" i="4"/>
  <c r="E425" i="4"/>
  <c r="D425" i="4"/>
  <c r="L422" i="4"/>
  <c r="K422" i="4"/>
  <c r="J422" i="4"/>
  <c r="I422" i="4"/>
  <c r="H422" i="4"/>
  <c r="G422" i="4"/>
  <c r="F422" i="4"/>
  <c r="E422" i="4"/>
  <c r="D422" i="4"/>
  <c r="L419" i="4"/>
  <c r="K419" i="4"/>
  <c r="J419" i="4"/>
  <c r="I419" i="4"/>
  <c r="H419" i="4"/>
  <c r="G419" i="4"/>
  <c r="F419" i="4"/>
  <c r="E419" i="4"/>
  <c r="D419" i="4"/>
  <c r="L416" i="4"/>
  <c r="K416" i="4"/>
  <c r="J416" i="4"/>
  <c r="I416" i="4"/>
  <c r="H416" i="4"/>
  <c r="G416" i="4"/>
  <c r="F416" i="4"/>
  <c r="E416" i="4"/>
  <c r="D416" i="4"/>
  <c r="L413" i="4"/>
  <c r="K413" i="4"/>
  <c r="J413" i="4"/>
  <c r="I413" i="4"/>
  <c r="H413" i="4"/>
  <c r="G413" i="4"/>
  <c r="F413" i="4"/>
  <c r="E413" i="4"/>
  <c r="D413" i="4"/>
  <c r="L410" i="4"/>
  <c r="K410" i="4"/>
  <c r="J410" i="4"/>
  <c r="I410" i="4"/>
  <c r="H410" i="4"/>
  <c r="G410" i="4"/>
  <c r="F410" i="4"/>
  <c r="E410" i="4"/>
  <c r="D410" i="4"/>
  <c r="L407" i="4"/>
  <c r="K407" i="4"/>
  <c r="J407" i="4"/>
  <c r="I407" i="4"/>
  <c r="H407" i="4"/>
  <c r="G407" i="4"/>
  <c r="F407" i="4"/>
  <c r="E407" i="4"/>
  <c r="D407" i="4"/>
  <c r="L404" i="4"/>
  <c r="K404" i="4"/>
  <c r="J404" i="4"/>
  <c r="I404" i="4"/>
  <c r="H404" i="4"/>
  <c r="G404" i="4"/>
  <c r="F404" i="4"/>
  <c r="E404" i="4"/>
  <c r="D404" i="4"/>
  <c r="L401" i="4"/>
  <c r="K401" i="4"/>
  <c r="J401" i="4"/>
  <c r="I401" i="4"/>
  <c r="H401" i="4"/>
  <c r="G401" i="4"/>
  <c r="F401" i="4"/>
  <c r="E401" i="4"/>
  <c r="D401" i="4"/>
  <c r="L398" i="4"/>
  <c r="K398" i="4"/>
  <c r="J398" i="4"/>
  <c r="I398" i="4"/>
  <c r="H398" i="4"/>
  <c r="G398" i="4"/>
  <c r="F398" i="4"/>
  <c r="E398" i="4"/>
  <c r="D398" i="4"/>
  <c r="L395" i="4"/>
  <c r="K395" i="4"/>
  <c r="J395" i="4"/>
  <c r="I395" i="4"/>
  <c r="H395" i="4"/>
  <c r="G395" i="4"/>
  <c r="F395" i="4"/>
  <c r="E395" i="4"/>
  <c r="D395" i="4"/>
  <c r="L392" i="4"/>
  <c r="K392" i="4"/>
  <c r="J392" i="4"/>
  <c r="I392" i="4"/>
  <c r="H392" i="4"/>
  <c r="G392" i="4"/>
  <c r="F392" i="4"/>
  <c r="E392" i="4"/>
  <c r="D392" i="4"/>
  <c r="L389" i="4"/>
  <c r="K389" i="4"/>
  <c r="J389" i="4"/>
  <c r="I389" i="4"/>
  <c r="H389" i="4"/>
  <c r="G389" i="4"/>
  <c r="F389" i="4"/>
  <c r="E389" i="4"/>
  <c r="D389" i="4"/>
  <c r="L386" i="4"/>
  <c r="K386" i="4"/>
  <c r="J386" i="4"/>
  <c r="I386" i="4"/>
  <c r="H386" i="4"/>
  <c r="G386" i="4"/>
  <c r="F386" i="4"/>
  <c r="E386" i="4"/>
  <c r="D386" i="4"/>
  <c r="L383" i="4"/>
  <c r="K383" i="4"/>
  <c r="J383" i="4"/>
  <c r="I383" i="4"/>
  <c r="H383" i="4"/>
  <c r="G383" i="4"/>
  <c r="F383" i="4"/>
  <c r="E383" i="4"/>
  <c r="D383" i="4"/>
  <c r="L380" i="4"/>
  <c r="K380" i="4"/>
  <c r="J380" i="4"/>
  <c r="I380" i="4"/>
  <c r="H380" i="4"/>
  <c r="G380" i="4"/>
  <c r="F380" i="4"/>
  <c r="E380" i="4"/>
  <c r="D380" i="4"/>
  <c r="L377" i="4"/>
  <c r="K377" i="4"/>
  <c r="J377" i="4"/>
  <c r="I377" i="4"/>
  <c r="H377" i="4"/>
  <c r="G377" i="4"/>
  <c r="F377" i="4"/>
  <c r="E377" i="4"/>
  <c r="D377" i="4"/>
  <c r="L374" i="4"/>
  <c r="K374" i="4"/>
  <c r="J374" i="4"/>
  <c r="I374" i="4"/>
  <c r="H374" i="4"/>
  <c r="G374" i="4"/>
  <c r="F374" i="4"/>
  <c r="E374" i="4"/>
  <c r="D374" i="4"/>
  <c r="L371" i="4"/>
  <c r="K371" i="4"/>
  <c r="J371" i="4"/>
  <c r="I371" i="4"/>
  <c r="H371" i="4"/>
  <c r="G371" i="4"/>
  <c r="F371" i="4"/>
  <c r="E371" i="4"/>
  <c r="D371" i="4"/>
  <c r="L368" i="4"/>
  <c r="K368" i="4"/>
  <c r="J368" i="4"/>
  <c r="I368" i="4"/>
  <c r="H368" i="4"/>
  <c r="G368" i="4"/>
  <c r="F368" i="4"/>
  <c r="E368" i="4"/>
  <c r="D368" i="4"/>
  <c r="L365" i="4"/>
  <c r="K365" i="4"/>
  <c r="J365" i="4"/>
  <c r="I365" i="4"/>
  <c r="H365" i="4"/>
  <c r="G365" i="4"/>
  <c r="F365" i="4"/>
  <c r="E365" i="4"/>
  <c r="D365" i="4"/>
  <c r="L362" i="4"/>
  <c r="K362" i="4"/>
  <c r="J362" i="4"/>
  <c r="I362" i="4"/>
  <c r="H362" i="4"/>
  <c r="G362" i="4"/>
  <c r="F362" i="4"/>
  <c r="E362" i="4"/>
  <c r="D362" i="4"/>
  <c r="L359" i="4"/>
  <c r="K359" i="4"/>
  <c r="J359" i="4"/>
  <c r="I359" i="4"/>
  <c r="H359" i="4"/>
  <c r="G359" i="4"/>
  <c r="F359" i="4"/>
  <c r="E359" i="4"/>
  <c r="D359" i="4"/>
  <c r="L356" i="4"/>
  <c r="K356" i="4"/>
  <c r="J356" i="4"/>
  <c r="I356" i="4"/>
  <c r="H356" i="4"/>
  <c r="G356" i="4"/>
  <c r="F356" i="4"/>
  <c r="E356" i="4"/>
  <c r="D356" i="4"/>
  <c r="L353" i="4"/>
  <c r="K353" i="4"/>
  <c r="J353" i="4"/>
  <c r="I353" i="4"/>
  <c r="H353" i="4"/>
  <c r="G353" i="4"/>
  <c r="F353" i="4"/>
  <c r="E353" i="4"/>
  <c r="D353" i="4"/>
  <c r="L350" i="4"/>
  <c r="K350" i="4"/>
  <c r="J350" i="4"/>
  <c r="I350" i="4"/>
  <c r="H350" i="4"/>
  <c r="G350" i="4"/>
  <c r="F350" i="4"/>
  <c r="E350" i="4"/>
  <c r="D350" i="4"/>
  <c r="L347" i="4"/>
  <c r="K347" i="4"/>
  <c r="J347" i="4"/>
  <c r="I347" i="4"/>
  <c r="H347" i="4"/>
  <c r="G347" i="4"/>
  <c r="F347" i="4"/>
  <c r="E347" i="4"/>
  <c r="D347" i="4"/>
  <c r="L344" i="4"/>
  <c r="K344" i="4"/>
  <c r="J344" i="4"/>
  <c r="I344" i="4"/>
  <c r="H344" i="4"/>
  <c r="G344" i="4"/>
  <c r="F344" i="4"/>
  <c r="E344" i="4"/>
  <c r="D344" i="4"/>
  <c r="L341" i="4"/>
  <c r="K341" i="4"/>
  <c r="J341" i="4"/>
  <c r="I341" i="4"/>
  <c r="H341" i="4"/>
  <c r="G341" i="4"/>
  <c r="F341" i="4"/>
  <c r="E341" i="4"/>
  <c r="D341" i="4"/>
  <c r="L338" i="4"/>
  <c r="K338" i="4"/>
  <c r="J338" i="4"/>
  <c r="I338" i="4"/>
  <c r="H338" i="4"/>
  <c r="G338" i="4"/>
  <c r="F338" i="4"/>
  <c r="E338" i="4"/>
  <c r="D338" i="4"/>
  <c r="L335" i="4"/>
  <c r="K335" i="4"/>
  <c r="J335" i="4"/>
  <c r="I335" i="4"/>
  <c r="H335" i="4"/>
  <c r="G335" i="4"/>
  <c r="F335" i="4"/>
  <c r="E335" i="4"/>
  <c r="D335" i="4"/>
  <c r="L332" i="4"/>
  <c r="K332" i="4"/>
  <c r="J332" i="4"/>
  <c r="I332" i="4"/>
  <c r="H332" i="4"/>
  <c r="G332" i="4"/>
  <c r="F332" i="4"/>
  <c r="E332" i="4"/>
  <c r="D332" i="4"/>
  <c r="L329" i="4"/>
  <c r="K329" i="4"/>
  <c r="J329" i="4"/>
  <c r="I329" i="4"/>
  <c r="H329" i="4"/>
  <c r="G329" i="4"/>
  <c r="F329" i="4"/>
  <c r="E329" i="4"/>
  <c r="D329" i="4"/>
  <c r="L326" i="4"/>
  <c r="K326" i="4"/>
  <c r="J326" i="4"/>
  <c r="I326" i="4"/>
  <c r="H326" i="4"/>
  <c r="G326" i="4"/>
  <c r="F326" i="4"/>
  <c r="E326" i="4"/>
  <c r="D326" i="4"/>
  <c r="L323" i="4"/>
  <c r="K323" i="4"/>
  <c r="J323" i="4"/>
  <c r="I323" i="4"/>
  <c r="H323" i="4"/>
  <c r="G323" i="4"/>
  <c r="F323" i="4"/>
  <c r="E323" i="4"/>
  <c r="D323" i="4"/>
  <c r="L320" i="4"/>
  <c r="K320" i="4"/>
  <c r="J320" i="4"/>
  <c r="I320" i="4"/>
  <c r="H320" i="4"/>
  <c r="G320" i="4"/>
  <c r="F320" i="4"/>
  <c r="E320" i="4"/>
  <c r="D320" i="4"/>
  <c r="L317" i="4"/>
  <c r="K317" i="4"/>
  <c r="J317" i="4"/>
  <c r="I317" i="4"/>
  <c r="H317" i="4"/>
  <c r="G317" i="4"/>
  <c r="F317" i="4"/>
  <c r="E317" i="4"/>
  <c r="D317" i="4"/>
  <c r="L314" i="4"/>
  <c r="K314" i="4"/>
  <c r="J314" i="4"/>
  <c r="I314" i="4"/>
  <c r="H314" i="4"/>
  <c r="G314" i="4"/>
  <c r="F314" i="4"/>
  <c r="E314" i="4"/>
  <c r="D314" i="4"/>
  <c r="L311" i="4"/>
  <c r="K311" i="4"/>
  <c r="J311" i="4"/>
  <c r="I311" i="4"/>
  <c r="H311" i="4"/>
  <c r="G311" i="4"/>
  <c r="F311" i="4"/>
  <c r="E311" i="4"/>
  <c r="D311" i="4"/>
  <c r="L308" i="4"/>
  <c r="K308" i="4"/>
  <c r="J308" i="4"/>
  <c r="I308" i="4"/>
  <c r="H308" i="4"/>
  <c r="G308" i="4"/>
  <c r="F308" i="4"/>
  <c r="E308" i="4"/>
  <c r="D308" i="4"/>
  <c r="L305" i="4"/>
  <c r="K305" i="4"/>
  <c r="J305" i="4"/>
  <c r="I305" i="4"/>
  <c r="H305" i="4"/>
  <c r="G305" i="4"/>
  <c r="F305" i="4"/>
  <c r="E305" i="4"/>
  <c r="D305" i="4"/>
  <c r="L302" i="4"/>
  <c r="K302" i="4"/>
  <c r="J302" i="4"/>
  <c r="I302" i="4"/>
  <c r="H302" i="4"/>
  <c r="G302" i="4"/>
  <c r="F302" i="4"/>
  <c r="E302" i="4"/>
  <c r="D302" i="4"/>
  <c r="L299" i="4"/>
  <c r="K299" i="4"/>
  <c r="J299" i="4"/>
  <c r="I299" i="4"/>
  <c r="H299" i="4"/>
  <c r="G299" i="4"/>
  <c r="F299" i="4"/>
  <c r="E299" i="4"/>
  <c r="D299" i="4"/>
  <c r="L296" i="4"/>
  <c r="K296" i="4"/>
  <c r="J296" i="4"/>
  <c r="I296" i="4"/>
  <c r="H296" i="4"/>
  <c r="G296" i="4"/>
  <c r="F296" i="4"/>
  <c r="E296" i="4"/>
  <c r="D296" i="4"/>
  <c r="L293" i="4"/>
  <c r="K293" i="4"/>
  <c r="J293" i="4"/>
  <c r="I293" i="4"/>
  <c r="H293" i="4"/>
  <c r="G293" i="4"/>
  <c r="F293" i="4"/>
  <c r="E293" i="4"/>
  <c r="D293" i="4"/>
  <c r="L290" i="4"/>
  <c r="K290" i="4"/>
  <c r="J290" i="4"/>
  <c r="I290" i="4"/>
  <c r="H290" i="4"/>
  <c r="G290" i="4"/>
  <c r="F290" i="4"/>
  <c r="E290" i="4"/>
  <c r="D290" i="4"/>
  <c r="L287" i="4"/>
  <c r="K287" i="4"/>
  <c r="J287" i="4"/>
  <c r="I287" i="4"/>
  <c r="H287" i="4"/>
  <c r="G287" i="4"/>
  <c r="F287" i="4"/>
  <c r="E287" i="4"/>
  <c r="D287" i="4"/>
  <c r="L284" i="4"/>
  <c r="K284" i="4"/>
  <c r="J284" i="4"/>
  <c r="I284" i="4"/>
  <c r="H284" i="4"/>
  <c r="G284" i="4"/>
  <c r="F284" i="4"/>
  <c r="E284" i="4"/>
  <c r="D284" i="4"/>
  <c r="L281" i="4"/>
  <c r="K281" i="4"/>
  <c r="J281" i="4"/>
  <c r="I281" i="4"/>
  <c r="H281" i="4"/>
  <c r="G281" i="4"/>
  <c r="F281" i="4"/>
  <c r="E281" i="4"/>
  <c r="D281" i="4"/>
  <c r="L278" i="4"/>
  <c r="K278" i="4"/>
  <c r="J278" i="4"/>
  <c r="I278" i="4"/>
  <c r="H278" i="4"/>
  <c r="G278" i="4"/>
  <c r="F278" i="4"/>
  <c r="E278" i="4"/>
  <c r="D278" i="4"/>
  <c r="L275" i="4"/>
  <c r="K275" i="4"/>
  <c r="J275" i="4"/>
  <c r="I275" i="4"/>
  <c r="H275" i="4"/>
  <c r="G275" i="4"/>
  <c r="F275" i="4"/>
  <c r="E275" i="4"/>
  <c r="D275" i="4"/>
  <c r="L272" i="4"/>
  <c r="K272" i="4"/>
  <c r="J272" i="4"/>
  <c r="I272" i="4"/>
  <c r="H272" i="4"/>
  <c r="G272" i="4"/>
  <c r="F272" i="4"/>
  <c r="E272" i="4"/>
  <c r="D272" i="4"/>
  <c r="L269" i="4"/>
  <c r="K269" i="4"/>
  <c r="J269" i="4"/>
  <c r="I269" i="4"/>
  <c r="H269" i="4"/>
  <c r="G269" i="4"/>
  <c r="F269" i="4"/>
  <c r="E269" i="4"/>
  <c r="D269" i="4"/>
  <c r="L266" i="4"/>
  <c r="K266" i="4"/>
  <c r="J266" i="4"/>
  <c r="I266" i="4"/>
  <c r="H266" i="4"/>
  <c r="G266" i="4"/>
  <c r="F266" i="4"/>
  <c r="E266" i="4"/>
  <c r="D266" i="4"/>
  <c r="L263" i="4"/>
  <c r="K263" i="4"/>
  <c r="J263" i="4"/>
  <c r="I263" i="4"/>
  <c r="H263" i="4"/>
  <c r="G263" i="4"/>
  <c r="F263" i="4"/>
  <c r="E263" i="4"/>
  <c r="D263" i="4"/>
  <c r="L260" i="4"/>
  <c r="K260" i="4"/>
  <c r="J260" i="4"/>
  <c r="I260" i="4"/>
  <c r="H260" i="4"/>
  <c r="G260" i="4"/>
  <c r="F260" i="4"/>
  <c r="E260" i="4"/>
  <c r="D260" i="4"/>
  <c r="L257" i="4"/>
  <c r="K257" i="4"/>
  <c r="J257" i="4"/>
  <c r="I257" i="4"/>
  <c r="H257" i="4"/>
  <c r="G257" i="4"/>
  <c r="F257" i="4"/>
  <c r="E257" i="4"/>
  <c r="D257" i="4"/>
  <c r="L254" i="4"/>
  <c r="K254" i="4"/>
  <c r="J254" i="4"/>
  <c r="I254" i="4"/>
  <c r="H254" i="4"/>
  <c r="G254" i="4"/>
  <c r="F254" i="4"/>
  <c r="E254" i="4"/>
  <c r="D254" i="4"/>
  <c r="L251" i="4"/>
  <c r="K251" i="4"/>
  <c r="J251" i="4"/>
  <c r="I251" i="4"/>
  <c r="H251" i="4"/>
  <c r="G251" i="4"/>
  <c r="F251" i="4"/>
  <c r="E251" i="4"/>
  <c r="D251" i="4"/>
  <c r="L248" i="4"/>
  <c r="K248" i="4"/>
  <c r="J248" i="4"/>
  <c r="I248" i="4"/>
  <c r="H248" i="4"/>
  <c r="G248" i="4"/>
  <c r="F248" i="4"/>
  <c r="E248" i="4"/>
  <c r="D248" i="4"/>
  <c r="L245" i="4"/>
  <c r="K245" i="4"/>
  <c r="J245" i="4"/>
  <c r="I245" i="4"/>
  <c r="H245" i="4"/>
  <c r="G245" i="4"/>
  <c r="F245" i="4"/>
  <c r="E245" i="4"/>
  <c r="D245" i="4"/>
  <c r="L242" i="4"/>
  <c r="K242" i="4"/>
  <c r="J242" i="4"/>
  <c r="I242" i="4"/>
  <c r="H242" i="4"/>
  <c r="G242" i="4"/>
  <c r="F242" i="4"/>
  <c r="E242" i="4"/>
  <c r="D242" i="4"/>
  <c r="L239" i="4"/>
  <c r="K239" i="4"/>
  <c r="J239" i="4"/>
  <c r="I239" i="4"/>
  <c r="H239" i="4"/>
  <c r="G239" i="4"/>
  <c r="F239" i="4"/>
  <c r="E239" i="4"/>
  <c r="D239" i="4"/>
  <c r="L236" i="4"/>
  <c r="K236" i="4"/>
  <c r="J236" i="4"/>
  <c r="I236" i="4"/>
  <c r="H236" i="4"/>
  <c r="G236" i="4"/>
  <c r="F236" i="4"/>
  <c r="E236" i="4"/>
  <c r="D236" i="4"/>
  <c r="L233" i="4"/>
  <c r="K233" i="4"/>
  <c r="J233" i="4"/>
  <c r="I233" i="4"/>
  <c r="H233" i="4"/>
  <c r="G233" i="4"/>
  <c r="F233" i="4"/>
  <c r="E233" i="4"/>
  <c r="D233" i="4"/>
  <c r="L230" i="4"/>
  <c r="K230" i="4"/>
  <c r="J230" i="4"/>
  <c r="I230" i="4"/>
  <c r="H230" i="4"/>
  <c r="G230" i="4"/>
  <c r="F230" i="4"/>
  <c r="E230" i="4"/>
  <c r="D230" i="4"/>
  <c r="L227" i="4"/>
  <c r="K227" i="4"/>
  <c r="J227" i="4"/>
  <c r="I227" i="4"/>
  <c r="H227" i="4"/>
  <c r="G227" i="4"/>
  <c r="F227" i="4"/>
  <c r="E227" i="4"/>
  <c r="D227" i="4"/>
  <c r="L224" i="4"/>
  <c r="K224" i="4"/>
  <c r="J224" i="4"/>
  <c r="I224" i="4"/>
  <c r="H224" i="4"/>
  <c r="G224" i="4"/>
  <c r="F224" i="4"/>
  <c r="E224" i="4"/>
  <c r="D224" i="4"/>
  <c r="L221" i="4"/>
  <c r="K221" i="4"/>
  <c r="J221" i="4"/>
  <c r="I221" i="4"/>
  <c r="H221" i="4"/>
  <c r="G221" i="4"/>
  <c r="F221" i="4"/>
  <c r="E221" i="4"/>
  <c r="D221" i="4"/>
  <c r="L218" i="4"/>
  <c r="K218" i="4"/>
  <c r="J218" i="4"/>
  <c r="I218" i="4"/>
  <c r="H218" i="4"/>
  <c r="G218" i="4"/>
  <c r="F218" i="4"/>
  <c r="E218" i="4"/>
  <c r="D218" i="4"/>
  <c r="L215" i="4"/>
  <c r="K215" i="4"/>
  <c r="J215" i="4"/>
  <c r="I215" i="4"/>
  <c r="H215" i="4"/>
  <c r="G215" i="4"/>
  <c r="F215" i="4"/>
  <c r="E215" i="4"/>
  <c r="D215" i="4"/>
  <c r="L212" i="4"/>
  <c r="K212" i="4"/>
  <c r="J212" i="4"/>
  <c r="I212" i="4"/>
  <c r="H212" i="4"/>
  <c r="G212" i="4"/>
  <c r="F212" i="4"/>
  <c r="E212" i="4"/>
  <c r="D212" i="4"/>
  <c r="L209" i="4"/>
  <c r="K209" i="4"/>
  <c r="J209" i="4"/>
  <c r="I209" i="4"/>
  <c r="H209" i="4"/>
  <c r="G209" i="4"/>
  <c r="F209" i="4"/>
  <c r="E209" i="4"/>
  <c r="D209" i="4"/>
  <c r="L206" i="4"/>
  <c r="K206" i="4"/>
  <c r="J206" i="4"/>
  <c r="I206" i="4"/>
  <c r="H206" i="4"/>
  <c r="G206" i="4"/>
  <c r="F206" i="4"/>
  <c r="E206" i="4"/>
  <c r="D206" i="4"/>
  <c r="L203" i="4"/>
  <c r="K203" i="4"/>
  <c r="J203" i="4"/>
  <c r="I203" i="4"/>
  <c r="H203" i="4"/>
  <c r="G203" i="4"/>
  <c r="F203" i="4"/>
  <c r="E203" i="4"/>
  <c r="D203" i="4"/>
  <c r="L200" i="4"/>
  <c r="K200" i="4"/>
  <c r="J200" i="4"/>
  <c r="I200" i="4"/>
  <c r="H200" i="4"/>
  <c r="G200" i="4"/>
  <c r="F200" i="4"/>
  <c r="E200" i="4"/>
  <c r="D200" i="4"/>
  <c r="L197" i="4"/>
  <c r="K197" i="4"/>
  <c r="J197" i="4"/>
  <c r="I197" i="4"/>
  <c r="H197" i="4"/>
  <c r="G197" i="4"/>
  <c r="F197" i="4"/>
  <c r="E197" i="4"/>
  <c r="D197" i="4"/>
  <c r="L194" i="4"/>
  <c r="K194" i="4"/>
  <c r="J194" i="4"/>
  <c r="I194" i="4"/>
  <c r="H194" i="4"/>
  <c r="G194" i="4"/>
  <c r="F194" i="4"/>
  <c r="E194" i="4"/>
  <c r="D194" i="4"/>
  <c r="L191" i="4"/>
  <c r="K191" i="4"/>
  <c r="J191" i="4"/>
  <c r="I191" i="4"/>
  <c r="H191" i="4"/>
  <c r="G191" i="4"/>
  <c r="F191" i="4"/>
  <c r="E191" i="4"/>
  <c r="D191" i="4"/>
  <c r="L188" i="4"/>
  <c r="K188" i="4"/>
  <c r="J188" i="4"/>
  <c r="I188" i="4"/>
  <c r="H188" i="4"/>
  <c r="G188" i="4"/>
  <c r="F188" i="4"/>
  <c r="E188" i="4"/>
  <c r="D188" i="4"/>
  <c r="L185" i="4"/>
  <c r="K185" i="4"/>
  <c r="J185" i="4"/>
  <c r="I185" i="4"/>
  <c r="H185" i="4"/>
  <c r="G185" i="4"/>
  <c r="F185" i="4"/>
  <c r="E185" i="4"/>
  <c r="D185" i="4"/>
  <c r="L182" i="4"/>
  <c r="K182" i="4"/>
  <c r="J182" i="4"/>
  <c r="I182" i="4"/>
  <c r="H182" i="4"/>
  <c r="G182" i="4"/>
  <c r="F182" i="4"/>
  <c r="E182" i="4"/>
  <c r="D182" i="4"/>
  <c r="L179" i="4"/>
  <c r="K179" i="4"/>
  <c r="J179" i="4"/>
  <c r="I179" i="4"/>
  <c r="H179" i="4"/>
  <c r="G179" i="4"/>
  <c r="F179" i="4"/>
  <c r="E179" i="4"/>
  <c r="D179" i="4"/>
  <c r="L176" i="4"/>
  <c r="K176" i="4"/>
  <c r="J176" i="4"/>
  <c r="I176" i="4"/>
  <c r="H176" i="4"/>
  <c r="G176" i="4"/>
  <c r="F176" i="4"/>
  <c r="E176" i="4"/>
  <c r="D176" i="4"/>
  <c r="L173" i="4"/>
  <c r="K173" i="4"/>
  <c r="J173" i="4"/>
  <c r="I173" i="4"/>
  <c r="H173" i="4"/>
  <c r="G173" i="4"/>
  <c r="F173" i="4"/>
  <c r="E173" i="4"/>
  <c r="D173" i="4"/>
  <c r="L170" i="4"/>
  <c r="K170" i="4"/>
  <c r="J170" i="4"/>
  <c r="I170" i="4"/>
  <c r="H170" i="4"/>
  <c r="G170" i="4"/>
  <c r="F170" i="4"/>
  <c r="E170" i="4"/>
  <c r="D170" i="4"/>
  <c r="L167" i="4"/>
  <c r="K167" i="4"/>
  <c r="J167" i="4"/>
  <c r="I167" i="4"/>
  <c r="H167" i="4"/>
  <c r="G167" i="4"/>
  <c r="F167" i="4"/>
  <c r="E167" i="4"/>
  <c r="D167" i="4"/>
  <c r="L164" i="4"/>
  <c r="K164" i="4"/>
  <c r="J164" i="4"/>
  <c r="I164" i="4"/>
  <c r="H164" i="4"/>
  <c r="G164" i="4"/>
  <c r="F164" i="4"/>
  <c r="E164" i="4"/>
  <c r="D164" i="4"/>
  <c r="L161" i="4"/>
  <c r="K161" i="4"/>
  <c r="J161" i="4"/>
  <c r="I161" i="4"/>
  <c r="H161" i="4"/>
  <c r="G161" i="4"/>
  <c r="F161" i="4"/>
  <c r="E161" i="4"/>
  <c r="D161" i="4"/>
  <c r="L158" i="4"/>
  <c r="K158" i="4"/>
  <c r="J158" i="4"/>
  <c r="I158" i="4"/>
  <c r="H158" i="4"/>
  <c r="G158" i="4"/>
  <c r="F158" i="4"/>
  <c r="E158" i="4"/>
  <c r="D158" i="4"/>
  <c r="L155" i="4"/>
  <c r="K155" i="4"/>
  <c r="J155" i="4"/>
  <c r="I155" i="4"/>
  <c r="H155" i="4"/>
  <c r="G155" i="4"/>
  <c r="F155" i="4"/>
  <c r="E155" i="4"/>
  <c r="D155" i="4"/>
  <c r="L152" i="4"/>
  <c r="K152" i="4"/>
  <c r="J152" i="4"/>
  <c r="I152" i="4"/>
  <c r="H152" i="4"/>
  <c r="G152" i="4"/>
  <c r="F152" i="4"/>
  <c r="E152" i="4"/>
  <c r="D152" i="4"/>
  <c r="L149" i="4"/>
  <c r="K149" i="4"/>
  <c r="J149" i="4"/>
  <c r="I149" i="4"/>
  <c r="H149" i="4"/>
  <c r="G149" i="4"/>
  <c r="F149" i="4"/>
  <c r="E149" i="4"/>
  <c r="D149" i="4"/>
  <c r="L146" i="4"/>
  <c r="K146" i="4"/>
  <c r="J146" i="4"/>
  <c r="I146" i="4"/>
  <c r="H146" i="4"/>
  <c r="G146" i="4"/>
  <c r="F146" i="4"/>
  <c r="E146" i="4"/>
  <c r="D146" i="4"/>
  <c r="L143" i="4"/>
  <c r="K143" i="4"/>
  <c r="J143" i="4"/>
  <c r="I143" i="4"/>
  <c r="H143" i="4"/>
  <c r="G143" i="4"/>
  <c r="F143" i="4"/>
  <c r="E143" i="4"/>
  <c r="D143" i="4"/>
  <c r="L140" i="4"/>
  <c r="K140" i="4"/>
  <c r="J140" i="4"/>
  <c r="I140" i="4"/>
  <c r="H140" i="4"/>
  <c r="G140" i="4"/>
  <c r="F140" i="4"/>
  <c r="E140" i="4"/>
  <c r="D140" i="4"/>
  <c r="L137" i="4"/>
  <c r="K137" i="4"/>
  <c r="J137" i="4"/>
  <c r="I137" i="4"/>
  <c r="H137" i="4"/>
  <c r="G137" i="4"/>
  <c r="F137" i="4"/>
  <c r="E137" i="4"/>
  <c r="D137" i="4"/>
  <c r="L134" i="4"/>
  <c r="K134" i="4"/>
  <c r="J134" i="4"/>
  <c r="I134" i="4"/>
  <c r="H134" i="4"/>
  <c r="G134" i="4"/>
  <c r="F134" i="4"/>
  <c r="E134" i="4"/>
  <c r="D134" i="4"/>
  <c r="L131" i="4"/>
  <c r="K131" i="4"/>
  <c r="J131" i="4"/>
  <c r="I131" i="4"/>
  <c r="H131" i="4"/>
  <c r="G131" i="4"/>
  <c r="F131" i="4"/>
  <c r="E131" i="4"/>
  <c r="D131" i="4"/>
  <c r="L128" i="4"/>
  <c r="K128" i="4"/>
  <c r="J128" i="4"/>
  <c r="I128" i="4"/>
  <c r="H128" i="4"/>
  <c r="G128" i="4"/>
  <c r="F128" i="4"/>
  <c r="E128" i="4"/>
  <c r="D128" i="4"/>
  <c r="L125" i="4"/>
  <c r="K125" i="4"/>
  <c r="J125" i="4"/>
  <c r="I125" i="4"/>
  <c r="H125" i="4"/>
  <c r="G125" i="4"/>
  <c r="F125" i="4"/>
  <c r="E125" i="4"/>
  <c r="D125" i="4"/>
  <c r="L122" i="4"/>
  <c r="K122" i="4"/>
  <c r="J122" i="4"/>
  <c r="I122" i="4"/>
  <c r="H122" i="4"/>
  <c r="G122" i="4"/>
  <c r="F122" i="4"/>
  <c r="E122" i="4"/>
  <c r="D122" i="4"/>
  <c r="L119" i="4"/>
  <c r="K119" i="4"/>
  <c r="J119" i="4"/>
  <c r="I119" i="4"/>
  <c r="H119" i="4"/>
  <c r="G119" i="4"/>
  <c r="F119" i="4"/>
  <c r="E119" i="4"/>
  <c r="D119" i="4"/>
  <c r="L116" i="4"/>
  <c r="K116" i="4"/>
  <c r="J116" i="4"/>
  <c r="I116" i="4"/>
  <c r="H116" i="4"/>
  <c r="G116" i="4"/>
  <c r="F116" i="4"/>
  <c r="E116" i="4"/>
  <c r="D116" i="4"/>
  <c r="L113" i="4"/>
  <c r="K113" i="4"/>
  <c r="J113" i="4"/>
  <c r="I113" i="4"/>
  <c r="H113" i="4"/>
  <c r="G113" i="4"/>
  <c r="F113" i="4"/>
  <c r="E113" i="4"/>
  <c r="D113" i="4"/>
  <c r="L110" i="4"/>
  <c r="K110" i="4"/>
  <c r="J110" i="4"/>
  <c r="I110" i="4"/>
  <c r="H110" i="4"/>
  <c r="G110" i="4"/>
  <c r="F110" i="4"/>
  <c r="E110" i="4"/>
  <c r="D110" i="4"/>
  <c r="L107" i="4"/>
  <c r="K107" i="4"/>
  <c r="J107" i="4"/>
  <c r="I107" i="4"/>
  <c r="H107" i="4"/>
  <c r="G107" i="4"/>
  <c r="F107" i="4"/>
  <c r="E107" i="4"/>
  <c r="D107" i="4"/>
  <c r="L104" i="4"/>
  <c r="K104" i="4"/>
  <c r="J104" i="4"/>
  <c r="I104" i="4"/>
  <c r="H104" i="4"/>
  <c r="G104" i="4"/>
  <c r="F104" i="4"/>
  <c r="E104" i="4"/>
  <c r="D104" i="4"/>
  <c r="L101" i="4"/>
  <c r="K101" i="4"/>
  <c r="J101" i="4"/>
  <c r="I101" i="4"/>
  <c r="H101" i="4"/>
  <c r="G101" i="4"/>
  <c r="F101" i="4"/>
  <c r="E101" i="4"/>
  <c r="D101" i="4"/>
  <c r="L98" i="4"/>
  <c r="O96" i="4" s="1"/>
  <c r="K98" i="4"/>
  <c r="J98" i="4"/>
  <c r="I98" i="4"/>
  <c r="H98" i="4"/>
  <c r="G98" i="4"/>
  <c r="F98" i="4"/>
  <c r="E98" i="4"/>
  <c r="D98" i="4"/>
  <c r="R96" i="4"/>
  <c r="Q96" i="4"/>
  <c r="P96" i="4"/>
  <c r="N96" i="4"/>
  <c r="M96" i="4"/>
  <c r="L95" i="4"/>
  <c r="K95" i="4"/>
  <c r="J95" i="4"/>
  <c r="I95" i="4"/>
  <c r="H95" i="4"/>
  <c r="G95" i="4"/>
  <c r="F95" i="4"/>
  <c r="E95" i="4"/>
  <c r="D95" i="4"/>
  <c r="L92" i="4"/>
  <c r="K92" i="4"/>
  <c r="J92" i="4"/>
  <c r="I92" i="4"/>
  <c r="H92" i="4"/>
  <c r="G92" i="4"/>
  <c r="F92" i="4"/>
  <c r="E92" i="4"/>
  <c r="D92" i="4"/>
  <c r="L89" i="4"/>
  <c r="K89" i="4"/>
  <c r="J89" i="4"/>
  <c r="I89" i="4"/>
  <c r="H89" i="4"/>
  <c r="G89" i="4"/>
  <c r="F89" i="4"/>
  <c r="E89" i="4"/>
  <c r="D89" i="4"/>
  <c r="L86" i="4"/>
  <c r="K86" i="4"/>
  <c r="J86" i="4"/>
  <c r="I86" i="4"/>
  <c r="H86" i="4"/>
  <c r="G86" i="4"/>
  <c r="F86" i="4"/>
  <c r="E86" i="4"/>
  <c r="D86" i="4"/>
  <c r="L83" i="4"/>
  <c r="K83" i="4"/>
  <c r="J83" i="4"/>
  <c r="I83" i="4"/>
  <c r="H83" i="4"/>
  <c r="G83" i="4"/>
  <c r="F83" i="4"/>
  <c r="E83" i="4"/>
  <c r="D83" i="4"/>
  <c r="L80" i="4"/>
  <c r="K80" i="4"/>
  <c r="J80" i="4"/>
  <c r="I80" i="4"/>
  <c r="H80" i="4"/>
  <c r="G80" i="4"/>
  <c r="F80" i="4"/>
  <c r="E80" i="4"/>
  <c r="D80" i="4"/>
  <c r="L77" i="4"/>
  <c r="K77" i="4"/>
  <c r="J77" i="4"/>
  <c r="I77" i="4"/>
  <c r="H77" i="4"/>
  <c r="G77" i="4"/>
  <c r="F77" i="4"/>
  <c r="E77" i="4"/>
  <c r="D77" i="4"/>
  <c r="L74" i="4"/>
  <c r="K74" i="4"/>
  <c r="J74" i="4"/>
  <c r="I74" i="4"/>
  <c r="H74" i="4"/>
  <c r="G74" i="4"/>
  <c r="F74" i="4"/>
  <c r="E74" i="4"/>
  <c r="D74" i="4"/>
  <c r="L71" i="4"/>
  <c r="K71" i="4"/>
  <c r="J71" i="4"/>
  <c r="I71" i="4"/>
  <c r="H71" i="4"/>
  <c r="G71" i="4"/>
  <c r="F71" i="4"/>
  <c r="E71" i="4"/>
  <c r="D71" i="4"/>
  <c r="L68" i="4"/>
  <c r="K68" i="4"/>
  <c r="J68" i="4"/>
  <c r="I68" i="4"/>
  <c r="H68" i="4"/>
  <c r="G68" i="4"/>
  <c r="F68" i="4"/>
  <c r="E68" i="4"/>
  <c r="D68" i="4"/>
  <c r="L65" i="4"/>
  <c r="K65" i="4"/>
  <c r="J65" i="4"/>
  <c r="I65" i="4"/>
  <c r="H65" i="4"/>
  <c r="G65" i="4"/>
  <c r="F65" i="4"/>
  <c r="E65" i="4"/>
  <c r="D65" i="4"/>
  <c r="L62" i="4"/>
  <c r="K62" i="4"/>
  <c r="J62" i="4"/>
  <c r="I62" i="4"/>
  <c r="H62" i="4"/>
  <c r="G62" i="4"/>
  <c r="F62" i="4"/>
  <c r="E62" i="4"/>
  <c r="D62" i="4"/>
  <c r="L59" i="4"/>
  <c r="K59" i="4"/>
  <c r="J59" i="4"/>
  <c r="I59" i="4"/>
  <c r="H59" i="4"/>
  <c r="G59" i="4"/>
  <c r="F59" i="4"/>
  <c r="E59" i="4"/>
  <c r="D59" i="4"/>
  <c r="L56" i="4"/>
  <c r="K56" i="4"/>
  <c r="J56" i="4"/>
  <c r="I56" i="4"/>
  <c r="H56" i="4"/>
  <c r="G56" i="4"/>
  <c r="F56" i="4"/>
  <c r="E56" i="4"/>
  <c r="D56" i="4"/>
  <c r="L53" i="4"/>
  <c r="K53" i="4"/>
  <c r="J53" i="4"/>
  <c r="I53" i="4"/>
  <c r="H53" i="4"/>
  <c r="G53" i="4"/>
  <c r="F53" i="4"/>
  <c r="E53" i="4"/>
  <c r="D53" i="4"/>
  <c r="L50" i="4"/>
  <c r="K50" i="4"/>
  <c r="J50" i="4"/>
  <c r="I50" i="4"/>
  <c r="H50" i="4"/>
  <c r="G50" i="4"/>
  <c r="F50" i="4"/>
  <c r="E50" i="4"/>
  <c r="D50" i="4"/>
  <c r="L47" i="4"/>
  <c r="K47" i="4"/>
  <c r="J47" i="4"/>
  <c r="I47" i="4"/>
  <c r="H47" i="4"/>
  <c r="G47" i="4"/>
  <c r="F47" i="4"/>
  <c r="E47" i="4"/>
  <c r="D47" i="4"/>
  <c r="L44" i="4"/>
  <c r="K44" i="4"/>
  <c r="J44" i="4"/>
  <c r="I44" i="4"/>
  <c r="H44" i="4"/>
  <c r="G44" i="4"/>
  <c r="F44" i="4"/>
  <c r="E44" i="4"/>
  <c r="D44" i="4"/>
  <c r="L41" i="4"/>
  <c r="K41" i="4"/>
  <c r="J41" i="4"/>
  <c r="I41" i="4"/>
  <c r="H41" i="4"/>
  <c r="G41" i="4"/>
  <c r="F41" i="4"/>
  <c r="E41" i="4"/>
  <c r="D41" i="4"/>
  <c r="L38" i="4"/>
  <c r="K38" i="4"/>
  <c r="J38" i="4"/>
  <c r="I38" i="4"/>
  <c r="H38" i="4"/>
  <c r="G38" i="4"/>
  <c r="F38" i="4"/>
  <c r="E38" i="4"/>
  <c r="D38" i="4"/>
  <c r="L35" i="4"/>
  <c r="K35" i="4"/>
  <c r="J35" i="4"/>
  <c r="I35" i="4"/>
  <c r="H35" i="4"/>
  <c r="G35" i="4"/>
  <c r="F35" i="4"/>
  <c r="E35" i="4"/>
  <c r="D35" i="4"/>
  <c r="L32" i="4"/>
  <c r="K32" i="4"/>
  <c r="J32" i="4"/>
  <c r="I32" i="4"/>
  <c r="H32" i="4"/>
  <c r="G32" i="4"/>
  <c r="F32" i="4"/>
  <c r="E32" i="4"/>
  <c r="D32" i="4"/>
  <c r="L29" i="4"/>
  <c r="K29" i="4"/>
  <c r="J29" i="4"/>
  <c r="I29" i="4"/>
  <c r="H29" i="4"/>
  <c r="G29" i="4"/>
  <c r="F29" i="4"/>
  <c r="E29" i="4"/>
  <c r="D29" i="4"/>
  <c r="L26" i="4"/>
  <c r="K26" i="4"/>
  <c r="J26" i="4"/>
  <c r="I26" i="4"/>
  <c r="H26" i="4"/>
  <c r="G26" i="4"/>
  <c r="F26" i="4"/>
  <c r="E26" i="4"/>
  <c r="D26" i="4"/>
  <c r="L23" i="4"/>
  <c r="K23" i="4"/>
  <c r="J23" i="4"/>
  <c r="I23" i="4"/>
  <c r="H23" i="4"/>
  <c r="G23" i="4"/>
  <c r="F23" i="4"/>
  <c r="E23" i="4"/>
  <c r="D23" i="4"/>
  <c r="L20" i="4"/>
  <c r="K20" i="4"/>
  <c r="J20" i="4"/>
  <c r="I20" i="4"/>
  <c r="H20" i="4"/>
  <c r="G20" i="4"/>
  <c r="F20" i="4"/>
  <c r="E20" i="4"/>
  <c r="D20" i="4"/>
  <c r="L17" i="4"/>
  <c r="K17" i="4"/>
  <c r="J17" i="4"/>
  <c r="I17" i="4"/>
  <c r="H17" i="4"/>
  <c r="G17" i="4"/>
  <c r="F17" i="4"/>
  <c r="E17" i="4"/>
  <c r="D17" i="4"/>
  <c r="L14" i="4"/>
  <c r="K14" i="4"/>
  <c r="J14" i="4"/>
  <c r="I14" i="4"/>
  <c r="H14" i="4"/>
  <c r="G14" i="4"/>
  <c r="F14" i="4"/>
  <c r="E14" i="4"/>
  <c r="D14" i="4"/>
  <c r="D117" i="1"/>
  <c r="E117" i="1" s="1"/>
  <c r="D167" i="1"/>
  <c r="E167" i="1" s="1"/>
  <c r="D166" i="1"/>
  <c r="E166" i="1" s="1"/>
  <c r="D165" i="1"/>
  <c r="E165" i="1" s="1"/>
  <c r="D164" i="1"/>
  <c r="E164" i="1" s="1"/>
  <c r="D163" i="1"/>
  <c r="E163" i="1" s="1"/>
  <c r="D162" i="1"/>
  <c r="E162" i="1" s="1"/>
  <c r="D161" i="1"/>
  <c r="E161" i="1" s="1"/>
  <c r="D160" i="1"/>
  <c r="E160" i="1" s="1"/>
  <c r="D159" i="1"/>
  <c r="E159" i="1" s="1"/>
  <c r="D158" i="1"/>
  <c r="E158" i="1" s="1"/>
  <c r="D157" i="1"/>
  <c r="E157" i="1" s="1"/>
  <c r="D156" i="1"/>
  <c r="E156" i="1" s="1"/>
  <c r="D155" i="1"/>
  <c r="E155" i="1" s="1"/>
  <c r="D154" i="1"/>
  <c r="E154" i="1" s="1"/>
  <c r="D153" i="1"/>
  <c r="E153" i="1" s="1"/>
  <c r="D152" i="1"/>
  <c r="E152" i="1" s="1"/>
  <c r="D151" i="1"/>
  <c r="E151" i="1" s="1"/>
  <c r="D150" i="1"/>
  <c r="E150" i="1" s="1"/>
  <c r="D149" i="1"/>
  <c r="E149" i="1" s="1"/>
  <c r="D148" i="1"/>
  <c r="E148" i="1" s="1"/>
  <c r="D147" i="1"/>
  <c r="E147" i="1" s="1"/>
  <c r="D146" i="1"/>
  <c r="E146" i="1" s="1"/>
  <c r="D145" i="1"/>
  <c r="E145" i="1" s="1"/>
  <c r="D144" i="1"/>
  <c r="E144" i="1" s="1"/>
  <c r="D143" i="1"/>
  <c r="E143" i="1" s="1"/>
  <c r="D142" i="1"/>
  <c r="E142" i="1" s="1"/>
  <c r="D141" i="1"/>
  <c r="E141" i="1" s="1"/>
  <c r="D140" i="1"/>
  <c r="E140" i="1" s="1"/>
  <c r="D139" i="1"/>
  <c r="E139" i="1" s="1"/>
  <c r="D138" i="1"/>
  <c r="E138" i="1" s="1"/>
  <c r="D137" i="1"/>
  <c r="E137" i="1" s="1"/>
  <c r="D136" i="1"/>
  <c r="E136" i="1" s="1"/>
  <c r="D135" i="1"/>
  <c r="E135" i="1" s="1"/>
  <c r="D134" i="1"/>
  <c r="E134" i="1" s="1"/>
  <c r="D133" i="1"/>
  <c r="E133" i="1" s="1"/>
  <c r="D132" i="1"/>
  <c r="E132" i="1" s="1"/>
  <c r="D131" i="1"/>
  <c r="E131" i="1" s="1"/>
  <c r="D130" i="1"/>
  <c r="E130" i="1" s="1"/>
  <c r="D129" i="1"/>
  <c r="E129" i="1" s="1"/>
  <c r="D128" i="1"/>
  <c r="E128" i="1" s="1"/>
  <c r="D127" i="1"/>
  <c r="E127" i="1" s="1"/>
  <c r="D126" i="1"/>
  <c r="E126" i="1" s="1"/>
  <c r="D125" i="1"/>
  <c r="E125" i="1" s="1"/>
  <c r="D124" i="1"/>
  <c r="E124" i="1" s="1"/>
  <c r="D123" i="1"/>
  <c r="E123" i="1" s="1"/>
  <c r="D122" i="1"/>
  <c r="E122" i="1" s="1"/>
  <c r="D121" i="1"/>
  <c r="E121" i="1" s="1"/>
  <c r="D120" i="1"/>
  <c r="E120" i="1" s="1"/>
  <c r="D119" i="1"/>
  <c r="E119" i="1" s="1"/>
  <c r="D118" i="1"/>
  <c r="E118" i="1" s="1"/>
  <c r="D116" i="1"/>
  <c r="E116" i="1" s="1"/>
  <c r="D115" i="1"/>
  <c r="E115" i="1" s="1"/>
  <c r="D114" i="1"/>
  <c r="E114" i="1" s="1"/>
  <c r="D113" i="1"/>
  <c r="E113" i="1" s="1"/>
  <c r="D112" i="1"/>
  <c r="E112" i="1" s="1"/>
  <c r="D111" i="1"/>
  <c r="E111" i="1" s="1"/>
  <c r="D110" i="1"/>
  <c r="E110" i="1" s="1"/>
  <c r="D109" i="1"/>
  <c r="E109" i="1" s="1"/>
  <c r="D108" i="1"/>
  <c r="E108" i="1" s="1"/>
  <c r="D107" i="1"/>
  <c r="E107" i="1" s="1"/>
  <c r="D106" i="1"/>
  <c r="E106" i="1" s="1"/>
  <c r="D105" i="1"/>
  <c r="E105" i="1" s="1"/>
  <c r="D104" i="1"/>
  <c r="E104" i="1" s="1"/>
  <c r="D103" i="1"/>
  <c r="E103" i="1" s="1"/>
  <c r="D102" i="1"/>
  <c r="E102" i="1" s="1"/>
  <c r="D101" i="1"/>
  <c r="E101" i="1" s="1"/>
  <c r="D100" i="1"/>
  <c r="E100" i="1" s="1"/>
  <c r="D99" i="1"/>
  <c r="E99" i="1" s="1"/>
  <c r="D98" i="1"/>
  <c r="E98" i="1" s="1"/>
  <c r="D97" i="1"/>
  <c r="E97" i="1" s="1"/>
  <c r="D96" i="1"/>
  <c r="E96" i="1" s="1"/>
  <c r="D95" i="1"/>
  <c r="E95" i="1" s="1"/>
  <c r="D94" i="1"/>
  <c r="E94" i="1" s="1"/>
  <c r="D93" i="1"/>
  <c r="E93" i="1" s="1"/>
  <c r="D92" i="1"/>
  <c r="E92" i="1" s="1"/>
  <c r="D91" i="1"/>
  <c r="E91" i="1" s="1"/>
  <c r="D90" i="1"/>
  <c r="E90" i="1" s="1"/>
  <c r="D89" i="1"/>
  <c r="E89" i="1" s="1"/>
  <c r="D88" i="1"/>
  <c r="E88" i="1" s="1"/>
  <c r="D87" i="1"/>
  <c r="E87" i="1" s="1"/>
  <c r="D86" i="1"/>
  <c r="E86" i="1" s="1"/>
  <c r="D85" i="1"/>
  <c r="E85" i="1" s="1"/>
  <c r="D84" i="1"/>
  <c r="E84" i="1" s="1"/>
  <c r="D83" i="1"/>
  <c r="E83" i="1" s="1"/>
  <c r="D82" i="1"/>
  <c r="E82" i="1" s="1"/>
  <c r="D81" i="1"/>
  <c r="E81" i="1" s="1"/>
  <c r="D80" i="1"/>
  <c r="E80" i="1" s="1"/>
  <c r="D79" i="1"/>
  <c r="E79" i="1" s="1"/>
  <c r="D78" i="1"/>
  <c r="E78" i="1" s="1"/>
  <c r="D77" i="1"/>
  <c r="E77" i="1" s="1"/>
  <c r="D76" i="1"/>
  <c r="E76" i="1" s="1"/>
  <c r="D75" i="1"/>
  <c r="E75" i="1" s="1"/>
  <c r="D74" i="1"/>
  <c r="E74" i="1" s="1"/>
  <c r="D73" i="1"/>
  <c r="E73" i="1" s="1"/>
  <c r="D72" i="1"/>
  <c r="E72" i="1" s="1"/>
  <c r="D71" i="1"/>
  <c r="E71" i="1" s="1"/>
  <c r="D70" i="1"/>
  <c r="E70" i="1" s="1"/>
  <c r="D69" i="1"/>
  <c r="E69" i="1" s="1"/>
  <c r="D68" i="1"/>
  <c r="E68" i="1" s="1"/>
  <c r="D67" i="1"/>
  <c r="E67" i="1" s="1"/>
  <c r="D66" i="1"/>
  <c r="E66" i="1" s="1"/>
  <c r="D65" i="1"/>
  <c r="E65" i="1" s="1"/>
  <c r="D64" i="1"/>
  <c r="E64" i="1" s="1"/>
  <c r="D63" i="1"/>
  <c r="E63" i="1" s="1"/>
  <c r="D62" i="1"/>
  <c r="E62" i="1" s="1"/>
  <c r="D61" i="1"/>
  <c r="E61" i="1" s="1"/>
  <c r="D60" i="1"/>
  <c r="E60" i="1" s="1"/>
  <c r="D59" i="1"/>
  <c r="E59" i="1" s="1"/>
  <c r="D58" i="1"/>
  <c r="E58" i="1" s="1"/>
  <c r="D57" i="1"/>
  <c r="E57" i="1" s="1"/>
  <c r="D56" i="1"/>
  <c r="E56" i="1" s="1"/>
  <c r="D55" i="1"/>
  <c r="E55" i="1" s="1"/>
  <c r="D54" i="1"/>
  <c r="E54" i="1" s="1"/>
  <c r="D53" i="1"/>
  <c r="E53" i="1" s="1"/>
  <c r="D52" i="1"/>
  <c r="E52" i="1" s="1"/>
  <c r="D51" i="1"/>
  <c r="E51" i="1" s="1"/>
  <c r="D50" i="1"/>
  <c r="E50" i="1" s="1"/>
  <c r="D49" i="1"/>
  <c r="E49" i="1" s="1"/>
  <c r="D48" i="1"/>
  <c r="E48" i="1" s="1"/>
  <c r="D47" i="1"/>
  <c r="E47" i="1" s="1"/>
  <c r="D46" i="1"/>
  <c r="E46" i="1" s="1"/>
  <c r="D45" i="1"/>
  <c r="E45" i="1" s="1"/>
  <c r="D44" i="1"/>
  <c r="E44" i="1" s="1"/>
  <c r="D43" i="1"/>
  <c r="E43" i="1" s="1"/>
  <c r="D42" i="1"/>
  <c r="E42" i="1" s="1"/>
  <c r="D41" i="1"/>
  <c r="E41" i="1" s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 s="1"/>
  <c r="D33" i="1"/>
  <c r="E33" i="1" s="1"/>
  <c r="D32" i="1"/>
  <c r="E32" i="1" s="1"/>
  <c r="D31" i="1"/>
  <c r="E31" i="1" s="1"/>
  <c r="D30" i="1"/>
  <c r="E30" i="1" s="1"/>
  <c r="D29" i="1"/>
  <c r="E29" i="1" s="1"/>
  <c r="D28" i="1"/>
  <c r="E28" i="1" s="1"/>
  <c r="D27" i="1"/>
  <c r="E27" i="1" s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20" i="1"/>
  <c r="E20" i="1" s="1"/>
  <c r="D19" i="1"/>
  <c r="E19" i="1" s="1"/>
  <c r="D18" i="1"/>
  <c r="E18" i="1" s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M306" i="4" l="1"/>
  <c r="M375" i="4"/>
  <c r="M483" i="4"/>
  <c r="M639" i="4"/>
  <c r="P663" i="4"/>
  <c r="N699" i="4"/>
  <c r="P774" i="4"/>
  <c r="O831" i="4"/>
  <c r="O858" i="4"/>
  <c r="M870" i="4"/>
  <c r="M882" i="4"/>
  <c r="N108" i="4"/>
  <c r="O873" i="4"/>
  <c r="O876" i="4"/>
  <c r="M183" i="4"/>
  <c r="P195" i="4"/>
  <c r="Q195" i="4" s="1"/>
  <c r="N234" i="4"/>
  <c r="N423" i="4"/>
  <c r="M516" i="4"/>
  <c r="N567" i="4"/>
  <c r="O618" i="4"/>
  <c r="N714" i="4"/>
  <c r="N750" i="4"/>
  <c r="P762" i="4"/>
  <c r="Q762" i="4" s="1"/>
  <c r="P807" i="4"/>
  <c r="N810" i="4"/>
  <c r="O834" i="4"/>
  <c r="P843" i="4"/>
  <c r="P858" i="4"/>
  <c r="Q858" i="4" s="1"/>
  <c r="N879" i="4"/>
  <c r="M165" i="4"/>
  <c r="P180" i="4"/>
  <c r="P237" i="4"/>
  <c r="O345" i="4"/>
  <c r="O369" i="4"/>
  <c r="P429" i="4"/>
  <c r="P456" i="4"/>
  <c r="P459" i="4"/>
  <c r="O507" i="4"/>
  <c r="P582" i="4"/>
  <c r="O633" i="4"/>
  <c r="N660" i="4"/>
  <c r="P720" i="4"/>
  <c r="P735" i="4"/>
  <c r="P759" i="4"/>
  <c r="N798" i="4"/>
  <c r="O804" i="4"/>
  <c r="N861" i="4"/>
  <c r="M864" i="4"/>
  <c r="M762" i="4"/>
  <c r="N933" i="4"/>
  <c r="N204" i="4"/>
  <c r="M219" i="4"/>
  <c r="P228" i="4"/>
  <c r="P240" i="4"/>
  <c r="P276" i="4"/>
  <c r="O282" i="4"/>
  <c r="P288" i="4"/>
  <c r="M297" i="4"/>
  <c r="O306" i="4"/>
  <c r="M309" i="4"/>
  <c r="O315" i="4"/>
  <c r="P324" i="4"/>
  <c r="O330" i="4"/>
  <c r="O333" i="4"/>
  <c r="M336" i="4"/>
  <c r="P360" i="4"/>
  <c r="M372" i="4"/>
  <c r="N381" i="4"/>
  <c r="M384" i="4"/>
  <c r="M393" i="4"/>
  <c r="M396" i="4"/>
  <c r="P399" i="4"/>
  <c r="O405" i="4"/>
  <c r="P408" i="4"/>
  <c r="O417" i="4"/>
  <c r="P435" i="4"/>
  <c r="N441" i="4"/>
  <c r="N444" i="4"/>
  <c r="P468" i="4"/>
  <c r="M471" i="4"/>
  <c r="P480" i="4"/>
  <c r="P489" i="4"/>
  <c r="M492" i="4"/>
  <c r="P495" i="4"/>
  <c r="M504" i="4"/>
  <c r="O510" i="4"/>
  <c r="N519" i="4"/>
  <c r="N522" i="4"/>
  <c r="N528" i="4"/>
  <c r="M531" i="4"/>
  <c r="P537" i="4"/>
  <c r="M552" i="4"/>
  <c r="N558" i="4"/>
  <c r="N564" i="4"/>
  <c r="N573" i="4"/>
  <c r="P591" i="4"/>
  <c r="N594" i="4"/>
  <c r="M603" i="4"/>
  <c r="N606" i="4"/>
  <c r="P621" i="4"/>
  <c r="O624" i="4"/>
  <c r="M627" i="4"/>
  <c r="N633" i="4"/>
  <c r="M642" i="4"/>
  <c r="O648" i="4"/>
  <c r="M651" i="4"/>
  <c r="N657" i="4"/>
  <c r="M675" i="4"/>
  <c r="P684" i="4"/>
  <c r="O687" i="4"/>
  <c r="P696" i="4"/>
  <c r="N702" i="4"/>
  <c r="O705" i="4"/>
  <c r="P708" i="4"/>
  <c r="P711" i="4"/>
  <c r="Q711" i="4" s="1"/>
  <c r="P714" i="4"/>
  <c r="N723" i="4"/>
  <c r="P726" i="4"/>
  <c r="M729" i="4"/>
  <c r="O732" i="4"/>
  <c r="N738" i="4"/>
  <c r="O747" i="4"/>
  <c r="P753" i="4"/>
  <c r="N759" i="4"/>
  <c r="N768" i="4"/>
  <c r="N783" i="4"/>
  <c r="N792" i="4"/>
  <c r="M798" i="4"/>
  <c r="P930" i="4"/>
  <c r="O936" i="4"/>
  <c r="N936" i="4"/>
  <c r="M936" i="4"/>
  <c r="P936" i="4"/>
  <c r="M933" i="4"/>
  <c r="P933" i="4"/>
  <c r="O933" i="4"/>
  <c r="M150" i="4"/>
  <c r="O162" i="4"/>
  <c r="M222" i="4"/>
  <c r="M234" i="4"/>
  <c r="M267" i="4"/>
  <c r="N390" i="4"/>
  <c r="P423" i="4"/>
  <c r="N510" i="4"/>
  <c r="P618" i="4"/>
  <c r="P654" i="4"/>
  <c r="P681" i="4"/>
  <c r="P693" i="4"/>
  <c r="O708" i="4"/>
  <c r="P804" i="4"/>
  <c r="Q804" i="4" s="1"/>
  <c r="M813" i="4"/>
  <c r="O816" i="4"/>
  <c r="N819" i="4"/>
  <c r="O822" i="4"/>
  <c r="N840" i="4"/>
  <c r="N849" i="4"/>
  <c r="P927" i="4"/>
  <c r="N927" i="4"/>
  <c r="M927" i="4"/>
  <c r="O927" i="4"/>
  <c r="N930" i="4"/>
  <c r="M930" i="4"/>
  <c r="O930" i="4"/>
  <c r="P57" i="4"/>
  <c r="P60" i="4"/>
  <c r="P72" i="4"/>
  <c r="P81" i="4"/>
  <c r="M114" i="4"/>
  <c r="N45" i="4"/>
  <c r="N63" i="4"/>
  <c r="O90" i="4"/>
  <c r="M108" i="4"/>
  <c r="O123" i="4"/>
  <c r="P165" i="4"/>
  <c r="M747" i="4"/>
  <c r="M693" i="4"/>
  <c r="P333" i="4"/>
  <c r="O759" i="4"/>
  <c r="N726" i="4"/>
  <c r="N627" i="4"/>
  <c r="N552" i="4"/>
  <c r="O537" i="4"/>
  <c r="N480" i="4"/>
  <c r="O27" i="4"/>
  <c r="P750" i="4"/>
  <c r="N762" i="4"/>
  <c r="O765" i="4"/>
  <c r="P768" i="4"/>
  <c r="N774" i="4"/>
  <c r="M777" i="4"/>
  <c r="M780" i="4"/>
  <c r="O783" i="4"/>
  <c r="M786" i="4"/>
  <c r="O798" i="4"/>
  <c r="M804" i="4"/>
  <c r="O810" i="4"/>
  <c r="M816" i="4"/>
  <c r="M822" i="4"/>
  <c r="N825" i="4"/>
  <c r="N828" i="4"/>
  <c r="M834" i="4"/>
  <c r="O837" i="4"/>
  <c r="M840" i="4"/>
  <c r="O846" i="4"/>
  <c r="M849" i="4"/>
  <c r="N858" i="4"/>
  <c r="O861" i="4"/>
  <c r="M867" i="4"/>
  <c r="P870" i="4"/>
  <c r="P873" i="4"/>
  <c r="N876" i="4"/>
  <c r="P879" i="4"/>
  <c r="N882" i="4"/>
  <c r="O132" i="4"/>
  <c r="O156" i="4"/>
  <c r="O336" i="4"/>
  <c r="O384" i="4"/>
  <c r="O444" i="4"/>
  <c r="O456" i="4"/>
  <c r="Q456" i="4" s="1"/>
  <c r="O492" i="4"/>
  <c r="O528" i="4"/>
  <c r="O564" i="4"/>
  <c r="O591" i="4"/>
  <c r="O603" i="4"/>
  <c r="O627" i="4"/>
  <c r="O651" i="4"/>
  <c r="O663" i="4"/>
  <c r="Q663" i="4" s="1"/>
  <c r="O702" i="4"/>
  <c r="O738" i="4"/>
  <c r="O762" i="4"/>
  <c r="O786" i="4"/>
  <c r="O828" i="4"/>
  <c r="O840" i="4"/>
  <c r="P33" i="4"/>
  <c r="N54" i="4"/>
  <c r="P66" i="4"/>
  <c r="N84" i="4"/>
  <c r="O111" i="4"/>
  <c r="O129" i="4"/>
  <c r="P138" i="4"/>
  <c r="N141" i="4"/>
  <c r="P162" i="4"/>
  <c r="O177" i="4"/>
  <c r="N186" i="4"/>
  <c r="M189" i="4"/>
  <c r="O195" i="4"/>
  <c r="N225" i="4"/>
  <c r="M231" i="4"/>
  <c r="M249" i="4"/>
  <c r="P297" i="4"/>
  <c r="P321" i="4"/>
  <c r="P327" i="4"/>
  <c r="P342" i="4"/>
  <c r="P345" i="4"/>
  <c r="P351" i="4"/>
  <c r="N366" i="4"/>
  <c r="N369" i="4"/>
  <c r="P378" i="4"/>
  <c r="N414" i="4"/>
  <c r="N417" i="4"/>
  <c r="O423" i="4"/>
  <c r="M429" i="4"/>
  <c r="N438" i="4"/>
  <c r="M447" i="4"/>
  <c r="M459" i="4"/>
  <c r="M465" i="4"/>
  <c r="M474" i="4"/>
  <c r="N486" i="4"/>
  <c r="O489" i="4"/>
  <c r="M498" i="4"/>
  <c r="P507" i="4"/>
  <c r="M534" i="4"/>
  <c r="N537" i="4"/>
  <c r="N543" i="4"/>
  <c r="O549" i="4"/>
  <c r="P558" i="4"/>
  <c r="M582" i="4"/>
  <c r="O597" i="4"/>
  <c r="N618" i="4"/>
  <c r="N624" i="4"/>
  <c r="P633" i="4"/>
  <c r="P642" i="4"/>
  <c r="M645" i="4"/>
  <c r="N648" i="4"/>
  <c r="M657" i="4"/>
  <c r="P666" i="4"/>
  <c r="M669" i="4"/>
  <c r="N672" i="4"/>
  <c r="N681" i="4"/>
  <c r="O684" i="4"/>
  <c r="N687" i="4"/>
  <c r="N693" i="4"/>
  <c r="P699" i="4"/>
  <c r="O699" i="4"/>
  <c r="M708" i="4"/>
  <c r="M711" i="4"/>
  <c r="O711" i="4"/>
  <c r="N720" i="4"/>
  <c r="M723" i="4"/>
  <c r="O723" i="4"/>
  <c r="P729" i="4"/>
  <c r="M732" i="4"/>
  <c r="M735" i="4"/>
  <c r="O735" i="4"/>
  <c r="O741" i="4"/>
  <c r="M744" i="4"/>
  <c r="N747" i="4"/>
  <c r="N753" i="4"/>
  <c r="O756" i="4"/>
  <c r="M765" i="4"/>
  <c r="O768" i="4"/>
  <c r="Q768" i="4" s="1"/>
  <c r="M771" i="4"/>
  <c r="O771" i="4"/>
  <c r="P780" i="4"/>
  <c r="M783" i="4"/>
  <c r="O789" i="4"/>
  <c r="P792" i="4"/>
  <c r="N801" i="4"/>
  <c r="O801" i="4"/>
  <c r="N807" i="4"/>
  <c r="P810" i="4"/>
  <c r="O813" i="4"/>
  <c r="N822" i="4"/>
  <c r="M825" i="4"/>
  <c r="N834" i="4"/>
  <c r="N837" i="4"/>
  <c r="O843" i="4"/>
  <c r="Q843" i="4" s="1"/>
  <c r="N846" i="4"/>
  <c r="P849" i="4"/>
  <c r="O849" i="4"/>
  <c r="P852" i="4"/>
  <c r="M855" i="4"/>
  <c r="P864" i="4"/>
  <c r="P867" i="4"/>
  <c r="N870" i="4"/>
  <c r="P876" i="4"/>
  <c r="M879" i="4"/>
  <c r="O882" i="4"/>
  <c r="Q684" i="4"/>
  <c r="P786" i="4"/>
  <c r="N816" i="4"/>
  <c r="M774" i="4"/>
  <c r="P882" i="4"/>
  <c r="Q882" i="4" s="1"/>
  <c r="N684" i="4"/>
  <c r="P837" i="4"/>
  <c r="M738" i="4"/>
  <c r="P702" i="4"/>
  <c r="Q702" i="4" s="1"/>
  <c r="P777" i="4"/>
  <c r="M330" i="4"/>
  <c r="P606" i="4"/>
  <c r="N360" i="4"/>
  <c r="O870" i="4"/>
  <c r="M876" i="4"/>
  <c r="O879" i="4"/>
  <c r="O744" i="4"/>
  <c r="M699" i="4"/>
  <c r="N786" i="4"/>
  <c r="M846" i="4"/>
  <c r="M828" i="4"/>
  <c r="M810" i="4"/>
  <c r="M801" i="4"/>
  <c r="O792" i="4"/>
  <c r="N780" i="4"/>
  <c r="M768" i="4"/>
  <c r="N756" i="4"/>
  <c r="P738" i="4"/>
  <c r="O720" i="4"/>
  <c r="N708" i="4"/>
  <c r="N582" i="4"/>
  <c r="N843" i="4"/>
  <c r="N276" i="4"/>
  <c r="M528" i="4"/>
  <c r="O543" i="4"/>
  <c r="O729" i="4"/>
  <c r="O366" i="4"/>
  <c r="M564" i="4"/>
  <c r="M240" i="4"/>
  <c r="O534" i="4"/>
  <c r="N789" i="4"/>
  <c r="M225" i="4"/>
  <c r="N855" i="4"/>
  <c r="O852" i="4"/>
  <c r="P855" i="4"/>
  <c r="Q855" i="4" s="1"/>
  <c r="P822" i="4"/>
  <c r="P828" i="4"/>
  <c r="M276" i="4"/>
  <c r="M756" i="4"/>
  <c r="P369" i="4"/>
  <c r="P801" i="4"/>
  <c r="P756" i="4"/>
  <c r="M423" i="4"/>
  <c r="N852" i="4"/>
  <c r="M843" i="4"/>
  <c r="M255" i="4"/>
  <c r="O276" i="4"/>
  <c r="Q276" i="4" s="1"/>
  <c r="R276" i="4" s="1"/>
  <c r="N288" i="4"/>
  <c r="N300" i="4"/>
  <c r="P309" i="4"/>
  <c r="M312" i="4"/>
  <c r="O321" i="4"/>
  <c r="M333" i="4"/>
  <c r="P348" i="4"/>
  <c r="P357" i="4"/>
  <c r="P363" i="4"/>
  <c r="M369" i="4"/>
  <c r="M399" i="4"/>
  <c r="P417" i="4"/>
  <c r="Q417" i="4" s="1"/>
  <c r="P441" i="4"/>
  <c r="M456" i="4"/>
  <c r="N471" i="4"/>
  <c r="O480" i="4"/>
  <c r="P528" i="4"/>
  <c r="M606" i="4"/>
  <c r="P636" i="4"/>
  <c r="O909" i="4"/>
  <c r="P21" i="4"/>
  <c r="P12" i="4"/>
  <c r="O18" i="4"/>
  <c r="N30" i="4"/>
  <c r="N33" i="4"/>
  <c r="N39" i="4"/>
  <c r="P42" i="4"/>
  <c r="M57" i="4"/>
  <c r="M60" i="4"/>
  <c r="P63" i="4"/>
  <c r="M66" i="4"/>
  <c r="M69" i="4"/>
  <c r="P75" i="4"/>
  <c r="N78" i="4"/>
  <c r="P108" i="4"/>
  <c r="N114" i="4"/>
  <c r="M120" i="4"/>
  <c r="N126" i="4"/>
  <c r="M141" i="4"/>
  <c r="M144" i="4"/>
  <c r="N150" i="4"/>
  <c r="N153" i="4"/>
  <c r="M156" i="4"/>
  <c r="N159" i="4"/>
  <c r="N165" i="4"/>
  <c r="P168" i="4"/>
  <c r="N177" i="4"/>
  <c r="P186" i="4"/>
  <c r="P198" i="4"/>
  <c r="N201" i="4"/>
  <c r="M204" i="4"/>
  <c r="N210" i="4"/>
  <c r="M213" i="4"/>
  <c r="P219" i="4"/>
  <c r="P234" i="4"/>
  <c r="O237" i="4"/>
  <c r="N240" i="4"/>
  <c r="O243" i="4"/>
  <c r="M246" i="4"/>
  <c r="Q876" i="4"/>
  <c r="N81" i="4"/>
  <c r="M84" i="4"/>
  <c r="P90" i="4"/>
  <c r="M93" i="4"/>
  <c r="M99" i="4"/>
  <c r="O102" i="4"/>
  <c r="O126" i="4"/>
  <c r="O150" i="4"/>
  <c r="O174" i="4"/>
  <c r="O198" i="4"/>
  <c r="O210" i="4"/>
  <c r="O246" i="4"/>
  <c r="O249" i="4"/>
  <c r="P252" i="4"/>
  <c r="M258" i="4"/>
  <c r="O258" i="4"/>
  <c r="N264" i="4"/>
  <c r="O267" i="4"/>
  <c r="M270" i="4"/>
  <c r="P279" i="4"/>
  <c r="N282" i="4"/>
  <c r="M288" i="4"/>
  <c r="M294" i="4"/>
  <c r="O294" i="4"/>
  <c r="P306" i="4"/>
  <c r="N315" i="4"/>
  <c r="N318" i="4"/>
  <c r="O318" i="4"/>
  <c r="N324" i="4"/>
  <c r="P354" i="4"/>
  <c r="P366" i="4"/>
  <c r="O378" i="4"/>
  <c r="Q378" i="4" s="1"/>
  <c r="M390" i="4"/>
  <c r="M402" i="4"/>
  <c r="M414" i="4"/>
  <c r="O414" i="4"/>
  <c r="O438" i="4"/>
  <c r="N450" i="4"/>
  <c r="P462" i="4"/>
  <c r="O474" i="4"/>
  <c r="P486" i="4"/>
  <c r="O486" i="4"/>
  <c r="M489" i="4"/>
  <c r="N498" i="4"/>
  <c r="P510" i="4"/>
  <c r="O516" i="4"/>
  <c r="M522" i="4"/>
  <c r="M525" i="4"/>
  <c r="N534" i="4"/>
  <c r="N546" i="4"/>
  <c r="O546" i="4"/>
  <c r="P552" i="4"/>
  <c r="M558" i="4"/>
  <c r="M561" i="4"/>
  <c r="O573" i="4"/>
  <c r="M576" i="4"/>
  <c r="P585" i="4"/>
  <c r="N588" i="4"/>
  <c r="M591" i="4"/>
  <c r="O594" i="4"/>
  <c r="M597" i="4"/>
  <c r="O600" i="4"/>
  <c r="O609" i="4"/>
  <c r="M618" i="4"/>
  <c r="P624" i="4"/>
  <c r="N630" i="4"/>
  <c r="M633" i="4"/>
  <c r="M636" i="4"/>
  <c r="N642" i="4"/>
  <c r="P657" i="4"/>
  <c r="M666" i="4"/>
  <c r="N669" i="4"/>
  <c r="M672" i="4"/>
  <c r="N675" i="4"/>
  <c r="M678" i="4"/>
  <c r="M681" i="4"/>
  <c r="O681" i="4"/>
  <c r="M684" i="4"/>
  <c r="P687" i="4"/>
  <c r="P717" i="4"/>
  <c r="M720" i="4"/>
  <c r="P723" i="4"/>
  <c r="N729" i="4"/>
  <c r="N732" i="4"/>
  <c r="N735" i="4"/>
  <c r="P744" i="4"/>
  <c r="P747" i="4"/>
  <c r="M759" i="4"/>
  <c r="P771" i="4"/>
  <c r="O774" i="4"/>
  <c r="P783" i="4"/>
  <c r="Q783" i="4" s="1"/>
  <c r="M792" i="4"/>
  <c r="P798" i="4"/>
  <c r="N804" i="4"/>
  <c r="P816" i="4"/>
  <c r="Q816" i="4" s="1"/>
  <c r="P834" i="4"/>
  <c r="Q834" i="4" s="1"/>
  <c r="M837" i="4"/>
  <c r="P840" i="4"/>
  <c r="P846" i="4"/>
  <c r="Q846" i="4" s="1"/>
  <c r="M852" i="4"/>
  <c r="M858" i="4"/>
  <c r="N867" i="4"/>
  <c r="M888" i="4"/>
  <c r="P903" i="4"/>
  <c r="N912" i="4"/>
  <c r="O12" i="4"/>
  <c r="O15" i="4"/>
  <c r="P30" i="4"/>
  <c r="O30" i="4"/>
  <c r="M42" i="4"/>
  <c r="P51" i="4"/>
  <c r="O63" i="4"/>
  <c r="Q63" i="4" s="1"/>
  <c r="O66" i="4"/>
  <c r="O72" i="4"/>
  <c r="M78" i="4"/>
  <c r="O78" i="4"/>
  <c r="O84" i="4"/>
  <c r="O99" i="4"/>
  <c r="M132" i="4"/>
  <c r="O135" i="4"/>
  <c r="O147" i="4"/>
  <c r="N156" i="4"/>
  <c r="N180" i="4"/>
  <c r="O183" i="4"/>
  <c r="P189" i="4"/>
  <c r="P201" i="4"/>
  <c r="P213" i="4"/>
  <c r="O231" i="4"/>
  <c r="O291" i="4"/>
  <c r="O375" i="4"/>
  <c r="O411" i="4"/>
  <c r="O447" i="4"/>
  <c r="O471" i="4"/>
  <c r="O495" i="4"/>
  <c r="Q495" i="4" s="1"/>
  <c r="O570" i="4"/>
  <c r="P87" i="4"/>
  <c r="M87" i="4"/>
  <c r="M147" i="4"/>
  <c r="N147" i="4"/>
  <c r="M159" i="4"/>
  <c r="P159" i="4"/>
  <c r="N183" i="4"/>
  <c r="P183" i="4"/>
  <c r="M192" i="4"/>
  <c r="P192" i="4"/>
  <c r="O192" i="4"/>
  <c r="N207" i="4"/>
  <c r="P207" i="4"/>
  <c r="N216" i="4"/>
  <c r="O216" i="4"/>
  <c r="M216" i="4"/>
  <c r="P243" i="4"/>
  <c r="Q243" i="4" s="1"/>
  <c r="M243" i="4"/>
  <c r="N243" i="4"/>
  <c r="M264" i="4"/>
  <c r="O264" i="4"/>
  <c r="P264" i="4"/>
  <c r="M291" i="4"/>
  <c r="P291" i="4"/>
  <c r="P336" i="4"/>
  <c r="N336" i="4"/>
  <c r="P372" i="4"/>
  <c r="N372" i="4"/>
  <c r="O372" i="4"/>
  <c r="N384" i="4"/>
  <c r="P384" i="4"/>
  <c r="Q384" i="4" s="1"/>
  <c r="N387" i="4"/>
  <c r="P387" i="4"/>
  <c r="M387" i="4"/>
  <c r="P396" i="4"/>
  <c r="O396" i="4"/>
  <c r="N405" i="4"/>
  <c r="M405" i="4"/>
  <c r="O408" i="4"/>
  <c r="N408" i="4"/>
  <c r="N420" i="4"/>
  <c r="P420" i="4"/>
  <c r="O420" i="4"/>
  <c r="M435" i="4"/>
  <c r="N435" i="4"/>
  <c r="M444" i="4"/>
  <c r="P444" i="4"/>
  <c r="P453" i="4"/>
  <c r="O453" i="4"/>
  <c r="M453" i="4"/>
  <c r="N453" i="4"/>
  <c r="P465" i="4"/>
  <c r="O465" i="4"/>
  <c r="N468" i="4"/>
  <c r="M468" i="4"/>
  <c r="O468" i="4"/>
  <c r="P477" i="4"/>
  <c r="O477" i="4"/>
  <c r="M477" i="4"/>
  <c r="N483" i="4"/>
  <c r="P483" i="4"/>
  <c r="N492" i="4"/>
  <c r="P492" i="4"/>
  <c r="P501" i="4"/>
  <c r="O501" i="4"/>
  <c r="N504" i="4"/>
  <c r="P504" i="4"/>
  <c r="P513" i="4"/>
  <c r="O513" i="4"/>
  <c r="P516" i="4"/>
  <c r="N516" i="4"/>
  <c r="P531" i="4"/>
  <c r="N531" i="4"/>
  <c r="M540" i="4"/>
  <c r="O540" i="4"/>
  <c r="N540" i="4"/>
  <c r="P543" i="4"/>
  <c r="M543" i="4"/>
  <c r="N549" i="4"/>
  <c r="M549" i="4"/>
  <c r="P549" i="4"/>
  <c r="P555" i="4"/>
  <c r="N555" i="4"/>
  <c r="M555" i="4"/>
  <c r="N561" i="4"/>
  <c r="P561" i="4"/>
  <c r="M567" i="4"/>
  <c r="P567" i="4"/>
  <c r="O567" i="4"/>
  <c r="N570" i="4"/>
  <c r="P570" i="4"/>
  <c r="O576" i="4"/>
  <c r="P576" i="4"/>
  <c r="O579" i="4"/>
  <c r="P579" i="4"/>
  <c r="M579" i="4"/>
  <c r="N579" i="4"/>
  <c r="P588" i="4"/>
  <c r="O588" i="4"/>
  <c r="P594" i="4"/>
  <c r="M594" i="4"/>
  <c r="M612" i="4"/>
  <c r="O612" i="4"/>
  <c r="P612" i="4"/>
  <c r="N612" i="4"/>
  <c r="M615" i="4"/>
  <c r="P615" i="4"/>
  <c r="O615" i="4"/>
  <c r="N615" i="4"/>
  <c r="P630" i="4"/>
  <c r="M630" i="4"/>
  <c r="P639" i="4"/>
  <c r="N639" i="4"/>
  <c r="O639" i="4"/>
  <c r="M648" i="4"/>
  <c r="P648" i="4"/>
  <c r="Q648" i="4" s="1"/>
  <c r="N651" i="4"/>
  <c r="P651" i="4"/>
  <c r="N654" i="4"/>
  <c r="M654" i="4"/>
  <c r="P660" i="4"/>
  <c r="M660" i="4"/>
  <c r="O660" i="4"/>
  <c r="M663" i="4"/>
  <c r="N663" i="4"/>
  <c r="M690" i="4"/>
  <c r="P690" i="4"/>
  <c r="O690" i="4"/>
  <c r="N690" i="4"/>
  <c r="M705" i="4"/>
  <c r="P705" i="4"/>
  <c r="N705" i="4"/>
  <c r="M714" i="4"/>
  <c r="O714" i="4"/>
  <c r="O33" i="4"/>
  <c r="O69" i="4"/>
  <c r="O81" i="4"/>
  <c r="O93" i="4"/>
  <c r="O114" i="4"/>
  <c r="N57" i="4"/>
  <c r="P177" i="4"/>
  <c r="N219" i="4"/>
  <c r="P93" i="4"/>
  <c r="N120" i="4"/>
  <c r="P120" i="4"/>
  <c r="O54" i="4"/>
  <c r="N75" i="4"/>
  <c r="M105" i="4"/>
  <c r="O120" i="4"/>
  <c r="N135" i="4"/>
  <c r="M171" i="4"/>
  <c r="M177" i="4"/>
  <c r="O219" i="4"/>
  <c r="Q219" i="4" s="1"/>
  <c r="O255" i="4"/>
  <c r="M273" i="4"/>
  <c r="M279" i="4"/>
  <c r="N297" i="4"/>
  <c r="M315" i="4"/>
  <c r="O324" i="4"/>
  <c r="O339" i="4"/>
  <c r="M351" i="4"/>
  <c r="O363" i="4"/>
  <c r="O387" i="4"/>
  <c r="N393" i="4"/>
  <c r="O399" i="4"/>
  <c r="N429" i="4"/>
  <c r="N432" i="4"/>
  <c r="O435" i="4"/>
  <c r="P447" i="4"/>
  <c r="Q447" i="4" s="1"/>
  <c r="N459" i="4"/>
  <c r="O459" i="4"/>
  <c r="Q459" i="4" s="1"/>
  <c r="O483" i="4"/>
  <c r="N489" i="4"/>
  <c r="N495" i="4"/>
  <c r="N507" i="4"/>
  <c r="M519" i="4"/>
  <c r="O519" i="4"/>
  <c r="O525" i="4"/>
  <c r="O531" i="4"/>
  <c r="M537" i="4"/>
  <c r="O552" i="4"/>
  <c r="O555" i="4"/>
  <c r="P564" i="4"/>
  <c r="O582" i="4"/>
  <c r="N591" i="4"/>
  <c r="P600" i="4"/>
  <c r="P603" i="4"/>
  <c r="O606" i="4"/>
  <c r="P627" i="4"/>
  <c r="O630" i="4"/>
  <c r="O654" i="4"/>
  <c r="O666" i="4"/>
  <c r="P675" i="4"/>
  <c r="P678" i="4"/>
  <c r="M687" i="4"/>
  <c r="O693" i="4"/>
  <c r="M702" i="4"/>
  <c r="N711" i="4"/>
  <c r="M717" i="4"/>
  <c r="O717" i="4"/>
  <c r="M162" i="4"/>
  <c r="N162" i="4"/>
  <c r="P24" i="4"/>
  <c r="O24" i="4"/>
  <c r="P36" i="4"/>
  <c r="O36" i="4"/>
  <c r="P99" i="4"/>
  <c r="Q99" i="4" s="1"/>
  <c r="R99" i="4" s="1"/>
  <c r="N99" i="4"/>
  <c r="O117" i="4"/>
  <c r="P117" i="4"/>
  <c r="N117" i="4"/>
  <c r="M117" i="4"/>
  <c r="N144" i="4"/>
  <c r="O144" i="4"/>
  <c r="M168" i="4"/>
  <c r="N168" i="4"/>
  <c r="O228" i="4"/>
  <c r="N228" i="4"/>
  <c r="M228" i="4"/>
  <c r="N249" i="4"/>
  <c r="P249" i="4"/>
  <c r="O252" i="4"/>
  <c r="N252" i="4"/>
  <c r="P285" i="4"/>
  <c r="N285" i="4"/>
  <c r="M285" i="4"/>
  <c r="M303" i="4"/>
  <c r="P303" i="4"/>
  <c r="N327" i="4"/>
  <c r="M327" i="4"/>
  <c r="N345" i="4"/>
  <c r="M345" i="4"/>
  <c r="P381" i="4"/>
  <c r="O381" i="4"/>
  <c r="M381" i="4"/>
  <c r="P411" i="4"/>
  <c r="N411" i="4"/>
  <c r="M411" i="4"/>
  <c r="O21" i="4"/>
  <c r="Q21" i="4" s="1"/>
  <c r="P114" i="4"/>
  <c r="M33" i="4"/>
  <c r="N48" i="4"/>
  <c r="N66" i="4"/>
  <c r="M111" i="4"/>
  <c r="P153" i="4"/>
  <c r="O171" i="4"/>
  <c r="N195" i="4"/>
  <c r="P204" i="4"/>
  <c r="O207" i="4"/>
  <c r="O240" i="4"/>
  <c r="O279" i="4"/>
  <c r="N339" i="4"/>
  <c r="O360" i="4"/>
  <c r="P393" i="4"/>
  <c r="N273" i="4"/>
  <c r="O189" i="4"/>
  <c r="N87" i="4"/>
  <c r="N15" i="4"/>
  <c r="M417" i="4"/>
  <c r="N213" i="4"/>
  <c r="P105" i="4"/>
  <c r="M420" i="4"/>
  <c r="O168" i="4"/>
  <c r="N132" i="4"/>
  <c r="P84" i="4"/>
  <c r="P669" i="4"/>
  <c r="M501" i="4"/>
  <c r="M186" i="4"/>
  <c r="P273" i="4"/>
  <c r="N456" i="4"/>
  <c r="O429" i="4"/>
  <c r="M24" i="4"/>
  <c r="N192" i="4"/>
  <c r="N477" i="4"/>
  <c r="P672" i="4"/>
  <c r="O642" i="4"/>
  <c r="M153" i="4"/>
  <c r="P132" i="4"/>
  <c r="M513" i="4"/>
  <c r="M12" i="4"/>
  <c r="M450" i="4"/>
  <c r="O636" i="4"/>
  <c r="O678" i="4"/>
  <c r="M624" i="4"/>
  <c r="N576" i="4"/>
  <c r="O561" i="4"/>
  <c r="M546" i="4"/>
  <c r="P390" i="4"/>
  <c r="M363" i="4"/>
  <c r="N351" i="4"/>
  <c r="P339" i="4"/>
  <c r="P270" i="4"/>
  <c r="P255" i="4"/>
  <c r="P246" i="4"/>
  <c r="O201" i="4"/>
  <c r="Q201" i="4" s="1"/>
  <c r="P171" i="4"/>
  <c r="P69" i="4"/>
  <c r="N36" i="4"/>
  <c r="N279" i="4"/>
  <c r="N717" i="4"/>
  <c r="O672" i="4"/>
  <c r="N636" i="4"/>
  <c r="N600" i="4"/>
  <c r="N525" i="4"/>
  <c r="N501" i="4"/>
  <c r="P471" i="4"/>
  <c r="Q471" i="4" s="1"/>
  <c r="M441" i="4"/>
  <c r="M432" i="4"/>
  <c r="N399" i="4"/>
  <c r="N333" i="4"/>
  <c r="N291" i="4"/>
  <c r="P282" i="4"/>
  <c r="M207" i="4"/>
  <c r="N189" i="4"/>
  <c r="P147" i="4"/>
  <c r="M126" i="4"/>
  <c r="P522" i="4"/>
  <c r="P450" i="4"/>
  <c r="P540" i="4"/>
  <c r="Q540" i="4" s="1"/>
  <c r="P414" i="4"/>
  <c r="P732" i="4"/>
  <c r="N678" i="4"/>
  <c r="M570" i="4"/>
  <c r="N396" i="4"/>
  <c r="M195" i="4"/>
  <c r="N666" i="4"/>
  <c r="N603" i="4"/>
  <c r="N513" i="4"/>
  <c r="M366" i="4"/>
  <c r="M252" i="4"/>
  <c r="N744" i="4"/>
  <c r="O675" i="4"/>
  <c r="N363" i="4"/>
  <c r="N246" i="4"/>
  <c r="O153" i="4"/>
  <c r="M45" i="4"/>
  <c r="P45" i="4"/>
  <c r="M102" i="4"/>
  <c r="P102" i="4"/>
  <c r="Q102" i="4" s="1"/>
  <c r="M138" i="4"/>
  <c r="N138" i="4"/>
  <c r="N222" i="4"/>
  <c r="P222" i="4"/>
  <c r="P39" i="4"/>
  <c r="M39" i="4"/>
  <c r="P54" i="4"/>
  <c r="M54" i="4"/>
  <c r="M72" i="4"/>
  <c r="N72" i="4"/>
  <c r="P123" i="4"/>
  <c r="M123" i="4"/>
  <c r="N123" i="4"/>
  <c r="M129" i="4"/>
  <c r="P129" i="4"/>
  <c r="O141" i="4"/>
  <c r="P141" i="4"/>
  <c r="M180" i="4"/>
  <c r="O180" i="4"/>
  <c r="O225" i="4"/>
  <c r="P225" i="4"/>
  <c r="N237" i="4"/>
  <c r="M237" i="4"/>
  <c r="P261" i="4"/>
  <c r="O261" i="4"/>
  <c r="M261" i="4"/>
  <c r="N261" i="4"/>
  <c r="P267" i="4"/>
  <c r="Q267" i="4" s="1"/>
  <c r="N267" i="4"/>
  <c r="N309" i="4"/>
  <c r="O309" i="4"/>
  <c r="O312" i="4"/>
  <c r="N312" i="4"/>
  <c r="M321" i="4"/>
  <c r="N321" i="4"/>
  <c r="O348" i="4"/>
  <c r="M348" i="4"/>
  <c r="N348" i="4"/>
  <c r="N894" i="4"/>
  <c r="O894" i="4"/>
  <c r="N306" i="4"/>
  <c r="P18" i="4"/>
  <c r="N27" i="4"/>
  <c r="N51" i="4"/>
  <c r="M63" i="4"/>
  <c r="P78" i="4"/>
  <c r="N90" i="4"/>
  <c r="O108" i="4"/>
  <c r="O159" i="4"/>
  <c r="O165" i="4"/>
  <c r="P231" i="4"/>
  <c r="O288" i="4"/>
  <c r="Q288" i="4" s="1"/>
  <c r="R288" i="4" s="1"/>
  <c r="O300" i="4"/>
  <c r="O303" i="4"/>
  <c r="O327" i="4"/>
  <c r="O351" i="4"/>
  <c r="M357" i="4"/>
  <c r="P375" i="4"/>
  <c r="O393" i="4"/>
  <c r="O357" i="4"/>
  <c r="O273" i="4"/>
  <c r="O213" i="4"/>
  <c r="O105" i="4"/>
  <c r="O51" i="4"/>
  <c r="P27" i="4"/>
  <c r="N105" i="4"/>
  <c r="P432" i="4"/>
  <c r="M360" i="4"/>
  <c r="M300" i="4"/>
  <c r="O204" i="4"/>
  <c r="P144" i="4"/>
  <c r="M90" i="4"/>
  <c r="M480" i="4"/>
  <c r="M18" i="4"/>
  <c r="N111" i="4"/>
  <c r="P216" i="4"/>
  <c r="P156" i="4"/>
  <c r="P111" i="4"/>
  <c r="Q111" i="4" s="1"/>
  <c r="P126" i="4"/>
  <c r="M324" i="4"/>
  <c r="P405" i="4"/>
  <c r="M15" i="4"/>
  <c r="M282" i="4"/>
  <c r="N357" i="4"/>
  <c r="N375" i="4"/>
  <c r="M600" i="4"/>
  <c r="P300" i="4"/>
  <c r="M507" i="4"/>
  <c r="M510" i="4"/>
  <c r="P135" i="4"/>
  <c r="P546" i="4"/>
  <c r="M495" i="4"/>
  <c r="N447" i="4"/>
  <c r="M339" i="4"/>
  <c r="N270" i="4"/>
  <c r="N255" i="4"/>
  <c r="N231" i="4"/>
  <c r="M201" i="4"/>
  <c r="N171" i="4"/>
  <c r="M135" i="4"/>
  <c r="N69" i="4"/>
  <c r="M36" i="4"/>
  <c r="N24" i="4"/>
  <c r="O48" i="4"/>
  <c r="P525" i="4"/>
  <c r="O504" i="4"/>
  <c r="O441" i="4"/>
  <c r="Q441" i="4" s="1"/>
  <c r="O432" i="4"/>
  <c r="N303" i="4"/>
  <c r="O285" i="4"/>
  <c r="N102" i="4"/>
  <c r="O87" i="4"/>
  <c r="M486" i="4"/>
  <c r="P498" i="4"/>
  <c r="N465" i="4"/>
  <c r="M48" i="4"/>
  <c r="M408" i="4"/>
  <c r="P315" i="4"/>
  <c r="N93" i="4"/>
  <c r="P519" i="4"/>
  <c r="P312" i="4"/>
  <c r="N771" i="4"/>
  <c r="M588" i="4"/>
  <c r="P534" i="4"/>
  <c r="P150" i="4"/>
  <c r="O297" i="4"/>
  <c r="Q297" i="4" s="1"/>
  <c r="N129" i="4"/>
  <c r="M174" i="4"/>
  <c r="P174" i="4"/>
  <c r="N174" i="4"/>
  <c r="N198" i="4"/>
  <c r="M198" i="4"/>
  <c r="M210" i="4"/>
  <c r="P210" i="4"/>
  <c r="N258" i="4"/>
  <c r="P258" i="4"/>
  <c r="P294" i="4"/>
  <c r="N294" i="4"/>
  <c r="P318" i="4"/>
  <c r="M318" i="4"/>
  <c r="N330" i="4"/>
  <c r="P330" i="4"/>
  <c r="M342" i="4"/>
  <c r="N342" i="4"/>
  <c r="N354" i="4"/>
  <c r="M354" i="4"/>
  <c r="M378" i="4"/>
  <c r="N378" i="4"/>
  <c r="P402" i="4"/>
  <c r="N402" i="4"/>
  <c r="M426" i="4"/>
  <c r="N426" i="4"/>
  <c r="P426" i="4"/>
  <c r="M438" i="4"/>
  <c r="P438" i="4"/>
  <c r="Q438" i="4" s="1"/>
  <c r="N462" i="4"/>
  <c r="M462" i="4"/>
  <c r="P474" i="4"/>
  <c r="N474" i="4"/>
  <c r="M573" i="4"/>
  <c r="P573" i="4"/>
  <c r="N585" i="4"/>
  <c r="M585" i="4"/>
  <c r="N597" i="4"/>
  <c r="P597" i="4"/>
  <c r="M609" i="4"/>
  <c r="P609" i="4"/>
  <c r="N609" i="4"/>
  <c r="N621" i="4"/>
  <c r="M621" i="4"/>
  <c r="N645" i="4"/>
  <c r="P645" i="4"/>
  <c r="N696" i="4"/>
  <c r="M696" i="4"/>
  <c r="O726" i="4"/>
  <c r="M726" i="4"/>
  <c r="P741" i="4"/>
  <c r="N741" i="4"/>
  <c r="M741" i="4"/>
  <c r="O750" i="4"/>
  <c r="Q750" i="4" s="1"/>
  <c r="M750" i="4"/>
  <c r="M753" i="4"/>
  <c r="O753" i="4"/>
  <c r="N765" i="4"/>
  <c r="P765" i="4"/>
  <c r="O777" i="4"/>
  <c r="N777" i="4"/>
  <c r="P789" i="4"/>
  <c r="Q789" i="4" s="1"/>
  <c r="M789" i="4"/>
  <c r="O807" i="4"/>
  <c r="M807" i="4"/>
  <c r="N813" i="4"/>
  <c r="P813" i="4"/>
  <c r="O819" i="4"/>
  <c r="P819" i="4"/>
  <c r="M819" i="4"/>
  <c r="O825" i="4"/>
  <c r="P825" i="4"/>
  <c r="P831" i="4"/>
  <c r="N831" i="4"/>
  <c r="M831" i="4"/>
  <c r="M795" i="4"/>
  <c r="N795" i="4"/>
  <c r="P795" i="4"/>
  <c r="O795" i="4"/>
  <c r="M861" i="4"/>
  <c r="P861" i="4"/>
  <c r="N864" i="4"/>
  <c r="O864" i="4"/>
  <c r="M873" i="4"/>
  <c r="N873" i="4"/>
  <c r="O57" i="4"/>
  <c r="O138" i="4"/>
  <c r="O186" i="4"/>
  <c r="O222" i="4"/>
  <c r="O234" i="4"/>
  <c r="O270" i="4"/>
  <c r="O342" i="4"/>
  <c r="O354" i="4"/>
  <c r="O390" i="4"/>
  <c r="O402" i="4"/>
  <c r="O426" i="4"/>
  <c r="O450" i="4"/>
  <c r="O462" i="4"/>
  <c r="O498" i="4"/>
  <c r="O522" i="4"/>
  <c r="O558" i="4"/>
  <c r="O585" i="4"/>
  <c r="O621" i="4"/>
  <c r="O645" i="4"/>
  <c r="O657" i="4"/>
  <c r="O669" i="4"/>
  <c r="O696" i="4"/>
  <c r="O780" i="4"/>
  <c r="Q780" i="4" s="1"/>
  <c r="O867" i="4"/>
  <c r="P885" i="4"/>
  <c r="M897" i="4"/>
  <c r="N12" i="4"/>
  <c r="P15" i="4"/>
  <c r="N18" i="4"/>
  <c r="N21" i="4"/>
  <c r="M27" i="4"/>
  <c r="M30" i="4"/>
  <c r="N42" i="4"/>
  <c r="O45" i="4"/>
  <c r="P48" i="4"/>
  <c r="M51" i="4"/>
  <c r="O60" i="4"/>
  <c r="M75" i="4"/>
  <c r="M81" i="4"/>
  <c r="N891" i="4"/>
  <c r="P906" i="4"/>
  <c r="N918" i="4"/>
  <c r="M921" i="4"/>
  <c r="N885" i="4"/>
  <c r="O885" i="4"/>
  <c r="Q885" i="4" s="1"/>
  <c r="M894" i="4"/>
  <c r="P897" i="4"/>
  <c r="P900" i="4"/>
  <c r="P909" i="4"/>
  <c r="O39" i="4"/>
  <c r="O900" i="4"/>
  <c r="N888" i="4"/>
  <c r="O888" i="4"/>
  <c r="N897" i="4"/>
  <c r="O897" i="4"/>
  <c r="Q897" i="4" s="1"/>
  <c r="N924" i="4"/>
  <c r="O906" i="4"/>
  <c r="N909" i="4"/>
  <c r="M21" i="4"/>
  <c r="N60" i="4"/>
  <c r="M885" i="4"/>
  <c r="P891" i="4"/>
  <c r="O891" i="4"/>
  <c r="P894" i="4"/>
  <c r="N900" i="4"/>
  <c r="M903" i="4"/>
  <c r="O903" i="4"/>
  <c r="M912" i="4"/>
  <c r="O912" i="4"/>
  <c r="N915" i="4"/>
  <c r="O75" i="4"/>
  <c r="Q75" i="4" s="1"/>
  <c r="P888" i="4"/>
  <c r="N903" i="4"/>
  <c r="M900" i="4"/>
  <c r="M891" i="4"/>
  <c r="M906" i="4"/>
  <c r="M909" i="4"/>
  <c r="O42" i="4"/>
  <c r="N906" i="4"/>
  <c r="P912" i="4"/>
  <c r="M924" i="4"/>
  <c r="M918" i="4"/>
  <c r="P924" i="4"/>
  <c r="O924" i="4"/>
  <c r="P921" i="4"/>
  <c r="N921" i="4"/>
  <c r="O921" i="4"/>
  <c r="P918" i="4"/>
  <c r="O918" i="4"/>
  <c r="P915" i="4"/>
  <c r="M915" i="4"/>
  <c r="O915" i="4"/>
  <c r="Q774" i="4" l="1"/>
  <c r="Q867" i="4"/>
  <c r="R867" i="4" s="1"/>
  <c r="Q657" i="4"/>
  <c r="R657" i="4" s="1"/>
  <c r="Q354" i="4"/>
  <c r="R354" i="4" s="1"/>
  <c r="Q132" i="4"/>
  <c r="Q252" i="4"/>
  <c r="Q600" i="4"/>
  <c r="Q651" i="4"/>
  <c r="R651" i="4" s="1"/>
  <c r="Q861" i="4"/>
  <c r="R861" i="4" s="1"/>
  <c r="Q831" i="4"/>
  <c r="Q753" i="4"/>
  <c r="R753" i="4" s="1"/>
  <c r="Q180" i="4"/>
  <c r="R180" i="4" s="1"/>
  <c r="Q681" i="4"/>
  <c r="Q306" i="4"/>
  <c r="R306" i="4" s="1"/>
  <c r="Q84" i="4"/>
  <c r="R84" i="4" s="1"/>
  <c r="Q537" i="4"/>
  <c r="Q81" i="4"/>
  <c r="Q45" i="4"/>
  <c r="R45" i="4" s="1"/>
  <c r="Q696" i="4"/>
  <c r="R696" i="4" s="1"/>
  <c r="Q813" i="4"/>
  <c r="R813" i="4" s="1"/>
  <c r="Q765" i="4"/>
  <c r="Q597" i="4"/>
  <c r="R597" i="4" s="1"/>
  <c r="Q174" i="4"/>
  <c r="R174" i="4" s="1"/>
  <c r="Q525" i="4"/>
  <c r="R525" i="4" s="1"/>
  <c r="Q642" i="4"/>
  <c r="Q189" i="4"/>
  <c r="R189" i="4" s="1"/>
  <c r="Q666" i="4"/>
  <c r="R666" i="4" s="1"/>
  <c r="Q606" i="4"/>
  <c r="R606" i="4" s="1"/>
  <c r="Q582" i="4"/>
  <c r="R519" i="4"/>
  <c r="Q468" i="4"/>
  <c r="R468" i="4" s="1"/>
  <c r="R846" i="4"/>
  <c r="Q90" i="4"/>
  <c r="Q837" i="4"/>
  <c r="R837" i="4" s="1"/>
  <c r="Q849" i="4"/>
  <c r="R849" i="4" s="1"/>
  <c r="Q423" i="4"/>
  <c r="R423" i="4" s="1"/>
  <c r="Q60" i="4"/>
  <c r="R60" i="4" s="1"/>
  <c r="Q936" i="4"/>
  <c r="R936" i="4" s="1"/>
  <c r="Q345" i="4"/>
  <c r="R345" i="4" s="1"/>
  <c r="Q330" i="4"/>
  <c r="R330" i="4" s="1"/>
  <c r="Q249" i="4"/>
  <c r="Q585" i="4"/>
  <c r="R585" i="4" s="1"/>
  <c r="Q534" i="4"/>
  <c r="R534" i="4" s="1"/>
  <c r="Q147" i="4"/>
  <c r="R147" i="4" s="1"/>
  <c r="Q429" i="4"/>
  <c r="Q168" i="4"/>
  <c r="R168" i="4" s="1"/>
  <c r="Q564" i="4"/>
  <c r="R564" i="4" s="1"/>
  <c r="Q93" i="4"/>
  <c r="R93" i="4" s="1"/>
  <c r="Q33" i="4"/>
  <c r="Q444" i="4"/>
  <c r="Q12" i="4"/>
  <c r="R12" i="4" s="1"/>
  <c r="Q735" i="4"/>
  <c r="R735" i="4" s="1"/>
  <c r="Q591" i="4"/>
  <c r="Q357" i="4"/>
  <c r="R357" i="4" s="1"/>
  <c r="Q351" i="4"/>
  <c r="R351" i="4" s="1"/>
  <c r="Q282" i="4"/>
  <c r="R282" i="4" s="1"/>
  <c r="Q693" i="4"/>
  <c r="R693" i="4" s="1"/>
  <c r="Q435" i="4"/>
  <c r="R435" i="4" s="1"/>
  <c r="Q237" i="4"/>
  <c r="R237" i="4" s="1"/>
  <c r="Q138" i="4"/>
  <c r="R138" i="4" s="1"/>
  <c r="Q27" i="4"/>
  <c r="Q732" i="4"/>
  <c r="R732" i="4" s="1"/>
  <c r="Q399" i="4"/>
  <c r="R399" i="4" s="1"/>
  <c r="Q336" i="4"/>
  <c r="R336" i="4" s="1"/>
  <c r="Q810" i="4"/>
  <c r="Q633" i="4"/>
  <c r="R633" i="4" s="1"/>
  <c r="Q528" i="4"/>
  <c r="R528" i="4" s="1"/>
  <c r="Q873" i="4"/>
  <c r="Q759" i="4"/>
  <c r="R759" i="4" s="1"/>
  <c r="Q162" i="4"/>
  <c r="R162" i="4" s="1"/>
  <c r="Q708" i="4"/>
  <c r="R708" i="4" s="1"/>
  <c r="Q909" i="4"/>
  <c r="Q462" i="4"/>
  <c r="R462" i="4" s="1"/>
  <c r="Q57" i="4"/>
  <c r="R57" i="4" s="1"/>
  <c r="R642" i="4"/>
  <c r="Q333" i="4"/>
  <c r="Q618" i="4"/>
  <c r="R618" i="4" s="1"/>
  <c r="Q621" i="4"/>
  <c r="R621" i="4" s="1"/>
  <c r="Q42" i="4"/>
  <c r="R42" i="4" s="1"/>
  <c r="Q807" i="4"/>
  <c r="R807" i="4" s="1"/>
  <c r="Q777" i="4"/>
  <c r="R777" i="4" s="1"/>
  <c r="Q363" i="4"/>
  <c r="R363" i="4" s="1"/>
  <c r="Q714" i="4"/>
  <c r="R714" i="4" s="1"/>
  <c r="Q852" i="4"/>
  <c r="R852" i="4" s="1"/>
  <c r="Q879" i="4"/>
  <c r="R879" i="4" s="1"/>
  <c r="Q234" i="4"/>
  <c r="R234" i="4" s="1"/>
  <c r="Q258" i="4"/>
  <c r="R258" i="4" s="1"/>
  <c r="Q216" i="4"/>
  <c r="R216" i="4" s="1"/>
  <c r="Q108" i="4"/>
  <c r="R108" i="4" s="1"/>
  <c r="Q414" i="4"/>
  <c r="R414" i="4" s="1"/>
  <c r="Q717" i="4"/>
  <c r="R717" i="4" s="1"/>
  <c r="R582" i="4"/>
  <c r="Q594" i="4"/>
  <c r="R594" i="4" s="1"/>
  <c r="Q15" i="4"/>
  <c r="R15" i="4" s="1"/>
  <c r="Q771" i="4"/>
  <c r="Q756" i="4"/>
  <c r="Q729" i="4"/>
  <c r="R729" i="4" s="1"/>
  <c r="Q738" i="4"/>
  <c r="R738" i="4" s="1"/>
  <c r="Q792" i="4"/>
  <c r="R792" i="4" s="1"/>
  <c r="Q864" i="4"/>
  <c r="R864" i="4" s="1"/>
  <c r="Q741" i="4"/>
  <c r="R741" i="4" s="1"/>
  <c r="Q294" i="4"/>
  <c r="R294" i="4" s="1"/>
  <c r="Q150" i="4"/>
  <c r="R150" i="4" s="1"/>
  <c r="Q312" i="4"/>
  <c r="R312" i="4" s="1"/>
  <c r="Q360" i="4"/>
  <c r="R360" i="4" s="1"/>
  <c r="Q627" i="4"/>
  <c r="R627" i="4" s="1"/>
  <c r="Q552" i="4"/>
  <c r="R552" i="4" s="1"/>
  <c r="Q543" i="4"/>
  <c r="R543" i="4" s="1"/>
  <c r="Q840" i="4"/>
  <c r="R840" i="4" s="1"/>
  <c r="R876" i="4"/>
  <c r="R855" i="4"/>
  <c r="Q720" i="4"/>
  <c r="Q507" i="4"/>
  <c r="R507" i="4" s="1"/>
  <c r="R75" i="4"/>
  <c r="Q342" i="4"/>
  <c r="R342" i="4" s="1"/>
  <c r="Q375" i="4"/>
  <c r="R375" i="4" s="1"/>
  <c r="Q18" i="4"/>
  <c r="R18" i="4" s="1"/>
  <c r="R816" i="4"/>
  <c r="R783" i="4"/>
  <c r="Q747" i="4"/>
  <c r="R747" i="4" s="1"/>
  <c r="Q687" i="4"/>
  <c r="Q369" i="4"/>
  <c r="R369" i="4" s="1"/>
  <c r="Q39" i="4"/>
  <c r="R39" i="4" s="1"/>
  <c r="Q405" i="4"/>
  <c r="R405" i="4" s="1"/>
  <c r="Q228" i="4"/>
  <c r="R228" i="4" s="1"/>
  <c r="R834" i="4"/>
  <c r="Q480" i="4"/>
  <c r="R480" i="4" s="1"/>
  <c r="R780" i="4"/>
  <c r="Q186" i="4"/>
  <c r="R186" i="4" s="1"/>
  <c r="Q474" i="4"/>
  <c r="R474" i="4" s="1"/>
  <c r="Q210" i="4"/>
  <c r="R210" i="4" s="1"/>
  <c r="R297" i="4"/>
  <c r="Q315" i="4"/>
  <c r="R315" i="4" s="1"/>
  <c r="Q135" i="4"/>
  <c r="R135" i="4" s="1"/>
  <c r="Q165" i="4"/>
  <c r="R165" i="4" s="1"/>
  <c r="Q78" i="4"/>
  <c r="R78" i="4" s="1"/>
  <c r="Q309" i="4"/>
  <c r="R309" i="4" s="1"/>
  <c r="Q129" i="4"/>
  <c r="R129" i="4" s="1"/>
  <c r="Q123" i="4"/>
  <c r="R123" i="4" s="1"/>
  <c r="R471" i="4"/>
  <c r="Q246" i="4"/>
  <c r="R246" i="4" s="1"/>
  <c r="Q636" i="4"/>
  <c r="R636" i="4" s="1"/>
  <c r="Q240" i="4"/>
  <c r="R240" i="4" s="1"/>
  <c r="Q66" i="4"/>
  <c r="R66" i="4" s="1"/>
  <c r="Q798" i="4"/>
  <c r="R798" i="4" s="1"/>
  <c r="Q624" i="4"/>
  <c r="R624" i="4" s="1"/>
  <c r="Q510" i="4"/>
  <c r="R510" i="4" s="1"/>
  <c r="Q321" i="4"/>
  <c r="R321" i="4" s="1"/>
  <c r="Q822" i="4"/>
  <c r="R822" i="4" s="1"/>
  <c r="Q870" i="4"/>
  <c r="R870" i="4" s="1"/>
  <c r="Q786" i="4"/>
  <c r="R786" i="4" s="1"/>
  <c r="Q489" i="4"/>
  <c r="R489" i="4" s="1"/>
  <c r="Q930" i="4"/>
  <c r="R930" i="4" s="1"/>
  <c r="Q933" i="4"/>
  <c r="R933" i="4" s="1"/>
  <c r="Q573" i="4"/>
  <c r="R573" i="4" s="1"/>
  <c r="Q156" i="4"/>
  <c r="R156" i="4" s="1"/>
  <c r="Q177" i="4"/>
  <c r="R177" i="4" s="1"/>
  <c r="Q549" i="4"/>
  <c r="R549" i="4" s="1"/>
  <c r="R882" i="4"/>
  <c r="Q903" i="4"/>
  <c r="R903" i="4" s="1"/>
  <c r="Q558" i="4"/>
  <c r="R558" i="4" s="1"/>
  <c r="Q726" i="4"/>
  <c r="R726" i="4" s="1"/>
  <c r="Q609" i="4"/>
  <c r="R609" i="4" s="1"/>
  <c r="R438" i="4"/>
  <c r="Q318" i="4"/>
  <c r="R318" i="4" s="1"/>
  <c r="R441" i="4"/>
  <c r="Q546" i="4"/>
  <c r="R546" i="4" s="1"/>
  <c r="Q126" i="4"/>
  <c r="R126" i="4" s="1"/>
  <c r="Q327" i="4"/>
  <c r="R327" i="4" s="1"/>
  <c r="Q231" i="4"/>
  <c r="R231" i="4" s="1"/>
  <c r="Q348" i="4"/>
  <c r="R348" i="4" s="1"/>
  <c r="R267" i="4"/>
  <c r="R540" i="4"/>
  <c r="Q279" i="4"/>
  <c r="R279" i="4" s="1"/>
  <c r="Q654" i="4"/>
  <c r="R654" i="4" s="1"/>
  <c r="Q603" i="4"/>
  <c r="R603" i="4" s="1"/>
  <c r="Q324" i="4"/>
  <c r="R324" i="4" s="1"/>
  <c r="R33" i="4"/>
  <c r="Q705" i="4"/>
  <c r="R705" i="4" s="1"/>
  <c r="Q492" i="4"/>
  <c r="R492" i="4" s="1"/>
  <c r="R444" i="4"/>
  <c r="Q408" i="4"/>
  <c r="R408" i="4" s="1"/>
  <c r="Q72" i="4"/>
  <c r="R72" i="4" s="1"/>
  <c r="R804" i="4"/>
  <c r="R774" i="4"/>
  <c r="Q744" i="4"/>
  <c r="R744" i="4" s="1"/>
  <c r="Q723" i="4"/>
  <c r="R723" i="4" s="1"/>
  <c r="Q198" i="4"/>
  <c r="R198" i="4" s="1"/>
  <c r="R762" i="4"/>
  <c r="R765" i="4"/>
  <c r="Q48" i="4"/>
  <c r="R48" i="4" s="1"/>
  <c r="R681" i="4"/>
  <c r="Q828" i="4"/>
  <c r="R828" i="4" s="1"/>
  <c r="Q927" i="4"/>
  <c r="R927" i="4" s="1"/>
  <c r="R249" i="4"/>
  <c r="R897" i="4"/>
  <c r="R132" i="4"/>
  <c r="R219" i="4"/>
  <c r="R843" i="4"/>
  <c r="Q801" i="4"/>
  <c r="R801" i="4" s="1"/>
  <c r="R429" i="4"/>
  <c r="Q24" i="4"/>
  <c r="R24" i="4" s="1"/>
  <c r="R459" i="4"/>
  <c r="R648" i="4"/>
  <c r="Q171" i="4"/>
  <c r="R171" i="4" s="1"/>
  <c r="Q114" i="4"/>
  <c r="R114" i="4" s="1"/>
  <c r="R909" i="4"/>
  <c r="R885" i="4"/>
  <c r="R789" i="4"/>
  <c r="R750" i="4"/>
  <c r="R81" i="4"/>
  <c r="Q660" i="4"/>
  <c r="R660" i="4" s="1"/>
  <c r="Q477" i="4"/>
  <c r="R477" i="4" s="1"/>
  <c r="R243" i="4"/>
  <c r="R63" i="4"/>
  <c r="R378" i="4"/>
  <c r="R711" i="4"/>
  <c r="R537" i="4"/>
  <c r="R810" i="4"/>
  <c r="Q699" i="4"/>
  <c r="R699" i="4" s="1"/>
  <c r="R858" i="4"/>
  <c r="R27" i="4"/>
  <c r="R447" i="4"/>
  <c r="R771" i="4"/>
  <c r="Q891" i="4"/>
  <c r="R891" i="4" s="1"/>
  <c r="R111" i="4"/>
  <c r="R252" i="4"/>
  <c r="R600" i="4"/>
  <c r="R384" i="4"/>
  <c r="R495" i="4"/>
  <c r="R333" i="4"/>
  <c r="R663" i="4"/>
  <c r="R873" i="4"/>
  <c r="R756" i="4"/>
  <c r="R684" i="4"/>
  <c r="R768" i="4"/>
  <c r="R831" i="4"/>
  <c r="R102" i="4"/>
  <c r="R201" i="4"/>
  <c r="R21" i="4"/>
  <c r="R591" i="4"/>
  <c r="R687" i="4"/>
  <c r="R90" i="4"/>
  <c r="R195" i="4"/>
  <c r="R417" i="4"/>
  <c r="R720" i="4"/>
  <c r="R702" i="4"/>
  <c r="R456" i="4"/>
  <c r="Q30" i="4"/>
  <c r="R30" i="4" s="1"/>
  <c r="Q900" i="4"/>
  <c r="R900" i="4" s="1"/>
  <c r="Q579" i="4"/>
  <c r="R579" i="4" s="1"/>
  <c r="Q366" i="4"/>
  <c r="R366" i="4" s="1"/>
  <c r="Q339" i="4"/>
  <c r="R339" i="4" s="1"/>
  <c r="Q639" i="4"/>
  <c r="R639" i="4" s="1"/>
  <c r="Q291" i="4"/>
  <c r="R291" i="4" s="1"/>
  <c r="Q486" i="4"/>
  <c r="R486" i="4" s="1"/>
  <c r="Q213" i="4"/>
  <c r="R213" i="4" s="1"/>
  <c r="Q576" i="4"/>
  <c r="R576" i="4" s="1"/>
  <c r="Q912" i="4"/>
  <c r="R912" i="4" s="1"/>
  <c r="Q300" i="4"/>
  <c r="R300" i="4" s="1"/>
  <c r="Q144" i="4"/>
  <c r="R144" i="4" s="1"/>
  <c r="Q69" i="4"/>
  <c r="R69" i="4" s="1"/>
  <c r="Q255" i="4"/>
  <c r="R255" i="4" s="1"/>
  <c r="Q411" i="4"/>
  <c r="R411" i="4" s="1"/>
  <c r="Q516" i="4"/>
  <c r="R516" i="4" s="1"/>
  <c r="Q894" i="4"/>
  <c r="R894" i="4" s="1"/>
  <c r="Q51" i="4"/>
  <c r="R51" i="4" s="1"/>
  <c r="Q54" i="4"/>
  <c r="R54" i="4" s="1"/>
  <c r="Q381" i="4"/>
  <c r="R381" i="4" s="1"/>
  <c r="Q36" i="4"/>
  <c r="R36" i="4" s="1"/>
  <c r="Q570" i="4"/>
  <c r="R570" i="4" s="1"/>
  <c r="Q396" i="4"/>
  <c r="R396" i="4" s="1"/>
  <c r="Q906" i="4"/>
  <c r="R906" i="4" s="1"/>
  <c r="Q819" i="4"/>
  <c r="R819" i="4" s="1"/>
  <c r="Q264" i="4"/>
  <c r="R264" i="4" s="1"/>
  <c r="Q192" i="4"/>
  <c r="R192" i="4" s="1"/>
  <c r="Q261" i="4"/>
  <c r="R261" i="4" s="1"/>
  <c r="Q612" i="4"/>
  <c r="R612" i="4" s="1"/>
  <c r="Q513" i="4"/>
  <c r="R513" i="4" s="1"/>
  <c r="Q465" i="4"/>
  <c r="R465" i="4" s="1"/>
  <c r="Q453" i="4"/>
  <c r="R453" i="4" s="1"/>
  <c r="Q183" i="4"/>
  <c r="R183" i="4" s="1"/>
  <c r="Q825" i="4"/>
  <c r="R825" i="4" s="1"/>
  <c r="Q498" i="4"/>
  <c r="R498" i="4" s="1"/>
  <c r="Q225" i="4"/>
  <c r="R225" i="4" s="1"/>
  <c r="Q141" i="4"/>
  <c r="R141" i="4" s="1"/>
  <c r="Q270" i="4"/>
  <c r="R270" i="4" s="1"/>
  <c r="Q390" i="4"/>
  <c r="R390" i="4" s="1"/>
  <c r="Q303" i="4"/>
  <c r="R303" i="4" s="1"/>
  <c r="Q285" i="4"/>
  <c r="R285" i="4" s="1"/>
  <c r="Q630" i="4"/>
  <c r="R630" i="4" s="1"/>
  <c r="Q588" i="4"/>
  <c r="R588" i="4" s="1"/>
  <c r="Q561" i="4"/>
  <c r="R561" i="4" s="1"/>
  <c r="Q555" i="4"/>
  <c r="R555" i="4" s="1"/>
  <c r="Q420" i="4"/>
  <c r="R420" i="4" s="1"/>
  <c r="Q159" i="4"/>
  <c r="R159" i="4" s="1"/>
  <c r="Q432" i="4"/>
  <c r="R432" i="4" s="1"/>
  <c r="Q522" i="4"/>
  <c r="R522" i="4" s="1"/>
  <c r="Q273" i="4"/>
  <c r="R273" i="4" s="1"/>
  <c r="Q105" i="4"/>
  <c r="R105" i="4" s="1"/>
  <c r="Q204" i="4"/>
  <c r="R204" i="4" s="1"/>
  <c r="Q675" i="4"/>
  <c r="R675" i="4" s="1"/>
  <c r="Q120" i="4"/>
  <c r="R120" i="4" s="1"/>
  <c r="Q690" i="4"/>
  <c r="R690" i="4" s="1"/>
  <c r="Q615" i="4"/>
  <c r="R615" i="4" s="1"/>
  <c r="Q504" i="4"/>
  <c r="R504" i="4" s="1"/>
  <c r="Q372" i="4"/>
  <c r="R372" i="4" s="1"/>
  <c r="Q888" i="4"/>
  <c r="R888" i="4" s="1"/>
  <c r="Q795" i="4"/>
  <c r="R795" i="4" s="1"/>
  <c r="Q645" i="4"/>
  <c r="R645" i="4" s="1"/>
  <c r="Q450" i="4"/>
  <c r="R450" i="4" s="1"/>
  <c r="Q669" i="4"/>
  <c r="R669" i="4" s="1"/>
  <c r="Q393" i="4"/>
  <c r="R393" i="4" s="1"/>
  <c r="Q153" i="4"/>
  <c r="R153" i="4" s="1"/>
  <c r="Q117" i="4"/>
  <c r="R117" i="4" s="1"/>
  <c r="Q678" i="4"/>
  <c r="R678" i="4" s="1"/>
  <c r="Q567" i="4"/>
  <c r="R567" i="4" s="1"/>
  <c r="Q531" i="4"/>
  <c r="R531" i="4" s="1"/>
  <c r="Q426" i="4"/>
  <c r="R426" i="4" s="1"/>
  <c r="Q402" i="4"/>
  <c r="R402" i="4" s="1"/>
  <c r="Q222" i="4"/>
  <c r="R222" i="4" s="1"/>
  <c r="Q672" i="4"/>
  <c r="R672" i="4" s="1"/>
  <c r="Q501" i="4"/>
  <c r="R501" i="4" s="1"/>
  <c r="Q483" i="4"/>
  <c r="R483" i="4" s="1"/>
  <c r="Q387" i="4"/>
  <c r="R387" i="4" s="1"/>
  <c r="Q207" i="4"/>
  <c r="R207" i="4" s="1"/>
  <c r="Q87" i="4"/>
  <c r="R87" i="4" s="1"/>
  <c r="Q918" i="4"/>
  <c r="R918" i="4" s="1"/>
  <c r="Q915" i="4"/>
  <c r="R915" i="4" s="1"/>
  <c r="Q924" i="4"/>
  <c r="R924" i="4" s="1"/>
  <c r="Q921" i="4"/>
  <c r="R921" i="4" s="1"/>
</calcChain>
</file>

<file path=xl/sharedStrings.xml><?xml version="1.0" encoding="utf-8"?>
<sst xmlns="http://schemas.openxmlformats.org/spreadsheetml/2006/main" count="1755" uniqueCount="432">
  <si>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</si>
  <si>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</si>
  <si>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</si>
  <si>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</si>
  <si>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</si>
  <si>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</si>
  <si>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</si>
  <si>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</si>
  <si>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</si>
  <si>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</si>
  <si>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</si>
  <si>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</si>
  <si>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</si>
  <si>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</si>
  <si>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</si>
  <si>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</si>
  <si>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</si>
  <si>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</si>
  <si>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</si>
  <si>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</si>
  <si>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</si>
  <si>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</si>
  <si>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</si>
  <si>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</si>
  <si>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</si>
  <si>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</si>
  <si>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</si>
  <si>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</si>
  <si>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</si>
  <si>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</si>
  <si>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</si>
  <si>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</si>
  <si>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</si>
  <si>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</si>
  <si>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</si>
  <si>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</si>
  <si>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</si>
  <si>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</si>
  <si>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</si>
  <si>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</si>
  <si>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</si>
  <si>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</si>
  <si>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</si>
  <si>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</si>
  <si>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</si>
  <si>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</si>
  <si>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</si>
  <si>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</si>
  <si>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</si>
  <si>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</si>
  <si>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</si>
  <si>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</si>
  <si>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</si>
  <si>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</si>
  <si>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</si>
  <si>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</si>
  <si>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</si>
  <si>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</si>
  <si>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</si>
  <si>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</si>
  <si>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</si>
  <si>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</si>
  <si>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</si>
  <si>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</si>
  <si>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</si>
  <si>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</si>
  <si>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</si>
  <si>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</si>
  <si>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</si>
  <si>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</si>
  <si>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</si>
  <si>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</si>
  <si>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</si>
  <si>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</si>
  <si>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</si>
  <si>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</si>
  <si>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</si>
  <si>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</si>
  <si>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</si>
  <si>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</si>
  <si>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</si>
  <si>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</si>
  <si>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</si>
  <si>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</si>
  <si>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</si>
  <si>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</si>
  <si>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</si>
  <si>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</si>
  <si>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</si>
  <si>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</si>
  <si>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</si>
  <si>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</si>
  <si>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</si>
  <si>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</si>
  <si>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</si>
  <si>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</si>
  <si>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</si>
  <si>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</si>
  <si>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</si>
  <si>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</si>
  <si>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</si>
  <si>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</si>
  <si>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</si>
  <si>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</si>
  <si>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</si>
  <si>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</si>
  <si>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</si>
  <si>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</si>
  <si>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</si>
  <si>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</si>
  <si>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</si>
  <si>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</si>
  <si>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</si>
  <si>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</si>
  <si>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</si>
  <si>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</si>
  <si>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</si>
  <si>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</si>
  <si>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</si>
  <si>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</si>
  <si>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</si>
  <si>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</si>
  <si>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</si>
  <si>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</si>
  <si>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</si>
  <si>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</si>
  <si>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</si>
  <si>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</si>
  <si>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</si>
  <si>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</si>
  <si>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</si>
  <si>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</si>
  <si>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</si>
  <si>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</si>
  <si>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</si>
  <si>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</si>
  <si>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</si>
  <si>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</si>
  <si>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</si>
  <si>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</si>
  <si>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</si>
  <si>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</si>
  <si>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</si>
  <si>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</si>
  <si>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</si>
  <si>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</si>
  <si>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</si>
  <si>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</si>
  <si>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</si>
  <si>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</si>
  <si>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</si>
  <si>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</si>
  <si>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</si>
  <si>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</si>
  <si>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</si>
  <si>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</si>
  <si>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</si>
  <si>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</si>
  <si>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</si>
  <si>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</si>
  <si>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</si>
  <si>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</si>
  <si>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</si>
  <si>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</si>
  <si>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</si>
  <si>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</si>
  <si>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</si>
  <si>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</si>
  <si>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</si>
  <si>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</si>
  <si>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</si>
  <si>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</si>
  <si>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</si>
  <si>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</si>
  <si>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</si>
  <si>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</si>
  <si>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</si>
  <si>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</si>
  <si>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</si>
  <si>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</si>
  <si>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</si>
  <si>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</si>
  <si>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</si>
  <si>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</si>
  <si>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</si>
  <si>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</si>
  <si>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</si>
  <si>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</si>
  <si>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</si>
  <si>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</si>
  <si>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</si>
  <si>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</si>
  <si>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</si>
  <si>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</si>
  <si>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</si>
  <si>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</si>
  <si>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</si>
  <si>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</si>
  <si>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</si>
  <si>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</si>
  <si>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</si>
  <si>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</si>
  <si>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</si>
  <si>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</si>
  <si>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</si>
  <si>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</si>
  <si>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</si>
  <si>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</si>
  <si>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</si>
  <si>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</si>
  <si>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</si>
  <si>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</si>
  <si>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</si>
  <si>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</si>
  <si>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</si>
  <si>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</si>
  <si>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</si>
  <si>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</si>
  <si>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</si>
  <si>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</si>
  <si>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</si>
  <si>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</si>
  <si>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</si>
  <si>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</si>
  <si>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</si>
  <si>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</si>
  <si>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</si>
  <si>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</si>
  <si>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</si>
  <si>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</si>
  <si>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</si>
  <si>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</si>
  <si>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</si>
  <si>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</si>
  <si>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</si>
  <si>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</si>
  <si>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</si>
  <si>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</si>
  <si>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</si>
  <si>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</si>
  <si>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</si>
  <si>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</si>
  <si>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</si>
  <si>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</si>
  <si>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</si>
  <si>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</si>
  <si>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</si>
  <si>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</si>
  <si>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</si>
  <si>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</si>
  <si>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</si>
  <si>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</si>
  <si>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</si>
  <si>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</si>
  <si>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</si>
  <si>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</si>
  <si>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</si>
  <si>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</si>
  <si>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</si>
  <si>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</si>
  <si>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</si>
  <si>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</si>
  <si>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</si>
  <si>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</si>
  <si>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</si>
  <si>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</si>
  <si>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</si>
  <si>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</si>
  <si>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</si>
  <si>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</si>
  <si>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</si>
  <si>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</si>
  <si>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</si>
  <si>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</si>
  <si>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</si>
  <si>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</si>
  <si>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</si>
  <si>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</si>
  <si>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</si>
  <si>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</si>
  <si>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</si>
  <si>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</si>
  <si>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</si>
  <si>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</si>
  <si>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</si>
  <si>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</si>
  <si>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</si>
  <si>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</si>
  <si>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</si>
  <si>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</si>
  <si>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</si>
  <si>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</si>
  <si>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</si>
  <si>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</si>
  <si>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</si>
  <si>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</si>
  <si>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</si>
  <si>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</si>
  <si>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</si>
  <si>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</si>
  <si>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</si>
  <si>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</si>
  <si>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</si>
  <si>
    <t>Site</t>
  </si>
  <si>
    <t>Thickness  (Å)</t>
  </si>
  <si>
    <t>YEDR1 (LPDN pre 22, post 23</t>
  </si>
  <si>
    <t>YEDR1 (LPDN pre 11, post 26)</t>
  </si>
  <si>
    <t>Q19020020.F1</t>
  </si>
  <si>
    <t>Q19030064.F1</t>
  </si>
  <si>
    <t>Q19040028.F1</t>
  </si>
  <si>
    <t>Q19050015.F1</t>
  </si>
  <si>
    <t>Q19050099.F1</t>
  </si>
  <si>
    <t>Q19060052.F1</t>
  </si>
  <si>
    <t>Q19070062.F1</t>
  </si>
  <si>
    <t>Q19080018.F1</t>
  </si>
  <si>
    <t>Q19080116.F1</t>
  </si>
  <si>
    <t>1335/1159</t>
  </si>
  <si>
    <t>Q19090027.F1</t>
  </si>
  <si>
    <t>121/1335</t>
  </si>
  <si>
    <t>Q19090086.F1</t>
  </si>
  <si>
    <t>Q19100017.F1</t>
  </si>
  <si>
    <t>Q19110108.F1</t>
  </si>
  <si>
    <t>Q19140021.F1</t>
  </si>
  <si>
    <t>Q19150002.F1</t>
  </si>
  <si>
    <t>Q19150109.F1</t>
  </si>
  <si>
    <t>Q19160028.F1</t>
  </si>
  <si>
    <t>Q19170017.F1</t>
  </si>
  <si>
    <t>Q191700132.F1</t>
  </si>
  <si>
    <t>Q19180057.F1</t>
  </si>
  <si>
    <t>Q19210020.F1</t>
  </si>
  <si>
    <t>Q19210111.F1</t>
  </si>
  <si>
    <t>YEDR1 (LPDN pre 37, post 36)</t>
  </si>
  <si>
    <t>YEDR1 (LPDN pre 22, post 22)</t>
  </si>
  <si>
    <t>YEDR1 (LPDN pre 20, post 23)</t>
  </si>
  <si>
    <t>Q19220109.F1</t>
  </si>
  <si>
    <t>Q19230065.F1</t>
  </si>
  <si>
    <t>YEDR1 (LPDN pre 22 ,post 21)</t>
  </si>
  <si>
    <t>Q19240019.F1</t>
  </si>
  <si>
    <t>Q19240107.F1</t>
  </si>
  <si>
    <t>YEDR1 (LPDN pre 28 ,post 21)</t>
  </si>
  <si>
    <t>YEDR1 (LPDN pre 35 ,post 37)</t>
  </si>
  <si>
    <t>Q19260001.F1</t>
  </si>
  <si>
    <t>YEDR1 (LPDN pre 63 ,post 57)</t>
  </si>
  <si>
    <t>Q19260098.F1</t>
  </si>
  <si>
    <t>YEDR1 (LPDN pre 10 ,post 11)</t>
  </si>
  <si>
    <t>Q19270021.F1</t>
  </si>
  <si>
    <t>YEDR1 (LPDN pre 23 ,post 04)</t>
  </si>
  <si>
    <t>Q19270111.F1</t>
  </si>
  <si>
    <t>YEDR1 (LPDN pre 08 ,post 07)</t>
  </si>
  <si>
    <t>Q19280056.F1</t>
  </si>
  <si>
    <t>YEDR1 (LPDN pre 05 ,post 06)</t>
  </si>
  <si>
    <t>Q19290025.F1</t>
  </si>
  <si>
    <t>YEDR1 (LPDN pre 08 ,post 05)</t>
  </si>
  <si>
    <t>YEDR1 (LPDN pre 17 ,post 08)</t>
  </si>
  <si>
    <t>Q19300048.F1</t>
  </si>
  <si>
    <t>YEDR1 (LPDN pre 18 ,post 23)</t>
  </si>
  <si>
    <t>Q19300108.F1</t>
  </si>
  <si>
    <t>Q19310072.F1</t>
  </si>
  <si>
    <t>YEDR1 (LPDN pre 10 ,post 05)</t>
  </si>
  <si>
    <t>YEDR1 (LPDN pre 23 ,post 17)</t>
  </si>
  <si>
    <t>Q19320004.F1</t>
  </si>
  <si>
    <t>YEDR1 (LPDN pre 14 ,post 15)</t>
  </si>
  <si>
    <t>1340/1335</t>
  </si>
  <si>
    <t>YEDR1 (LPDN pre 15 ,post 22)</t>
  </si>
  <si>
    <t>Q19320113.F1</t>
  </si>
  <si>
    <t>YEDR1 (LPDN pre 56,post 60)</t>
  </si>
  <si>
    <t>Q19330052.F1</t>
  </si>
  <si>
    <t>YEDR1 (LPDN pre 72,post 70</t>
  </si>
  <si>
    <t>YEDR1 (LPDN pre 60,post 61</t>
  </si>
  <si>
    <t>Q19340102.F1</t>
  </si>
  <si>
    <t>YEDR1 (LPDN pre 61,post 60)</t>
  </si>
  <si>
    <t>Q19350054.F1</t>
  </si>
  <si>
    <t>YEDR1 (LPDN pre 7,post 4)</t>
  </si>
  <si>
    <t>Q19350126.F1</t>
  </si>
  <si>
    <t>YEDR1 (LPDN pre 6,post 8)</t>
  </si>
  <si>
    <t>YEDR1 (LPDN pre 9,post 5)</t>
  </si>
  <si>
    <t>Q19360105.F1</t>
  </si>
  <si>
    <t>YEDR1 (LPDN pre 4,post 1)</t>
  </si>
  <si>
    <t>Q19370032.F1</t>
  </si>
  <si>
    <t>YEDR1 (LPDN pre 03,post 7)</t>
  </si>
  <si>
    <t>Q19370103.F1</t>
  </si>
  <si>
    <t>YEDR1 (LPDN pre 16,post 37)</t>
  </si>
  <si>
    <t>Q19380115.F1</t>
  </si>
  <si>
    <t>YEDR1 (LPDN pre 67,post 2)</t>
  </si>
  <si>
    <t>YEDR1 (LPDN pre 177,post176 )</t>
  </si>
  <si>
    <t>YEDR1 (LPDN pre 15,post9 )   ( WF ISSUE)</t>
  </si>
  <si>
    <t xml:space="preserve"> Q19390084.F1</t>
  </si>
  <si>
    <t>YEDR1 (LPDN pre 175,post 174)</t>
  </si>
  <si>
    <t>Q19400018.F1</t>
  </si>
  <si>
    <t>YEDR1 (LPDN pre 188,post 184)</t>
  </si>
  <si>
    <t>Q19400086.F1</t>
  </si>
  <si>
    <t>YEDR1 (LPDN pre 185,post 176)</t>
  </si>
  <si>
    <t>Q19410035.F1</t>
  </si>
  <si>
    <t>YEDR1 (LPDN pre 176,post 185)</t>
  </si>
  <si>
    <t>Q19420012.F1</t>
  </si>
  <si>
    <t>YEDR1 (LPDN pre 19,post 8</t>
  </si>
  <si>
    <t>Q19420098.F1</t>
  </si>
  <si>
    <t>YEDR1 (LPDN pre 14,post 10)</t>
  </si>
  <si>
    <t>Pass Criteria for % STDEV: LSL=0 USL=5.5,LCL=0 UCL= 5</t>
  </si>
  <si>
    <t>YEDR1 (LPDN pre 14,post 8)</t>
  </si>
  <si>
    <t>Q19430062.F1</t>
  </si>
  <si>
    <t>Q19440045.F1</t>
  </si>
  <si>
    <t xml:space="preserve">Q19440118.F1 </t>
  </si>
  <si>
    <t>Q19450024.F1</t>
  </si>
  <si>
    <t>YEDR1 (LPDN pre 3, post 4)</t>
  </si>
  <si>
    <t>YEDR1 (LPDN pre 05,post 05)</t>
  </si>
  <si>
    <t>Q19460008.F1</t>
  </si>
  <si>
    <t>Q19460009.F1</t>
  </si>
  <si>
    <t>YEDR1 (LPDN pre 75,post 81)</t>
  </si>
  <si>
    <t>Q19460083.F1</t>
  </si>
  <si>
    <t>After RF PM, more seasoning needed</t>
  </si>
  <si>
    <t>QC after RF PM, 1 time used wf as no bare Si wf available</t>
  </si>
  <si>
    <t>RF hrs close to 200, more seasoning needed</t>
  </si>
  <si>
    <t>% Uni USL</t>
  </si>
  <si>
    <t>Q19470055.F1</t>
  </si>
  <si>
    <t>YEDR1 (LPDN pre 77, post 79)</t>
  </si>
  <si>
    <t>YEDR1 (LPDN pre 44, post 46)</t>
  </si>
  <si>
    <t>Q19470121.F1</t>
  </si>
  <si>
    <t>YEDR1 (LPDN pre 31, post 48)</t>
  </si>
  <si>
    <t>YEDR1 (LPDN pre , post 7)</t>
  </si>
  <si>
    <t>Q19480076.F1</t>
  </si>
  <si>
    <t>YEDR1 (LPDN pre 2, post 6)</t>
  </si>
  <si>
    <t>Q19490043.F1</t>
  </si>
  <si>
    <t>DELTA</t>
  </si>
  <si>
    <t>HERE ONWARDS NEW GRITEK WFS WILL BE USED</t>
  </si>
  <si>
    <t>CONTROL LIMIT CHANGED CONSIDERING PASS VALUES FROM 1/JAN/19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</si>
  <si>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UCL=23 (Since 2019)</t>
    </r>
  </si>
  <si>
    <t>YEDR1 (LPDN pre 4, post 6)</t>
  </si>
  <si>
    <t>x</t>
  </si>
  <si>
    <t>y</t>
  </si>
  <si>
    <t>Measurement tool</t>
  </si>
  <si>
    <t>MTOP1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</si>
</sst>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1" fillId="0" borderId="0"/>
  </cellStyleXfs>
  <cellXfs count="126">
    <xf numFmtId="0" fontId="0" fillId="0" borderId="0" xfId="0"/>
    <xf numFmtId="0" fontId="3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4" fillId="2" borderId="6" xfId="0" applyFont="1" applyFill="1" applyBorder="1" applyAlignment="1"/>
    <xf numFmtId="0" fontId="4" fillId="2" borderId="7" xfId="0" applyFont="1" applyFill="1" applyBorder="1" applyAlignment="1"/>
    <xf numFmtId="0" fontId="4" fillId="2" borderId="0" xfId="0" applyFont="1" applyFill="1" applyAlignment="1">
      <alignment horizontal="center"/>
    </xf>
    <xf numFmtId="0" fontId="4" fillId="2" borderId="0" xfId="0" applyFont="1" applyFill="1" applyAlignment="1"/>
    <xf numFmtId="0" fontId="4" fillId="2" borderId="0" xfId="0" applyFont="1" applyFill="1" applyBorder="1" applyAlignment="1"/>
    <xf numFmtId="0" fontId="6" fillId="2" borderId="0" xfId="0" applyFont="1" applyFill="1" applyBorder="1"/>
    <xf numFmtId="0" fontId="6" fillId="2" borderId="8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4" fillId="2" borderId="8" xfId="0" applyFont="1" applyFill="1" applyBorder="1" applyAlignment="1">
      <alignment horizontal="right"/>
    </xf>
    <xf numFmtId="0" fontId="7" fillId="0" borderId="0" xfId="0" applyFont="1" applyAlignment="1">
      <alignment horizontal="center"/>
    </xf>
    <xf numFmtId="0" fontId="7" fillId="0" borderId="0" xfId="0" applyFont="1"/>
    <xf numFmtId="164" fontId="4" fillId="2" borderId="3" xfId="0" applyNumberFormat="1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8" xfId="0" applyFont="1" applyFill="1" applyBorder="1"/>
    <xf numFmtId="0" fontId="5" fillId="2" borderId="8" xfId="0" applyFont="1" applyFill="1" applyBorder="1" applyAlignment="1"/>
    <xf numFmtId="0" fontId="7" fillId="0" borderId="0" xfId="0" applyFont="1" applyBorder="1" applyAlignment="1"/>
    <xf numFmtId="0" fontId="8" fillId="2" borderId="0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4" xfId="0" applyFont="1" applyBorder="1" applyAlignment="1">
      <alignment vertical="top" wrapText="1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7" fillId="0" borderId="15" xfId="0" applyFont="1" applyBorder="1" applyAlignment="1">
      <alignment vertical="top" wrapText="1"/>
    </xf>
    <xf numFmtId="0" fontId="6" fillId="0" borderId="10" xfId="0" applyFont="1" applyBorder="1" applyAlignment="1">
      <alignment vertical="top" wrapText="1"/>
    </xf>
    <xf numFmtId="0" fontId="6" fillId="0" borderId="10" xfId="0" applyFont="1" applyBorder="1" applyAlignment="1">
      <alignment horizontal="center" wrapText="1"/>
    </xf>
    <xf numFmtId="0" fontId="6" fillId="0" borderId="13" xfId="0" applyFont="1" applyBorder="1" applyAlignment="1">
      <alignment vertical="top" wrapText="1"/>
    </xf>
    <xf numFmtId="0" fontId="6" fillId="0" borderId="13" xfId="0" applyFont="1" applyBorder="1" applyAlignment="1">
      <alignment vertical="top"/>
    </xf>
    <xf numFmtId="0" fontId="7" fillId="0" borderId="16" xfId="0" applyFont="1" applyBorder="1" applyAlignment="1">
      <alignment vertical="top" wrapText="1"/>
    </xf>
    <xf numFmtId="164" fontId="7" fillId="0" borderId="1" xfId="0" applyNumberFormat="1" applyFont="1" applyBorder="1" applyAlignment="1">
      <alignment horizontal="left"/>
    </xf>
    <xf numFmtId="0" fontId="7" fillId="0" borderId="6" xfId="0" applyFont="1" applyBorder="1"/>
    <xf numFmtId="164" fontId="7" fillId="0" borderId="4" xfId="0" applyNumberFormat="1" applyFont="1" applyBorder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 vertical="top"/>
    </xf>
    <xf numFmtId="0" fontId="6" fillId="0" borderId="20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7" fillId="0" borderId="21" xfId="0" applyFont="1" applyBorder="1" applyAlignment="1">
      <alignment vertical="top" wrapText="1"/>
    </xf>
    <xf numFmtId="0" fontId="7" fillId="0" borderId="7" xfId="0" applyFont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8" xfId="0" applyFont="1" applyBorder="1"/>
    <xf numFmtId="0" fontId="7" fillId="0" borderId="17" xfId="0" applyFont="1" applyBorder="1" applyAlignment="1">
      <alignment horizontal="center"/>
    </xf>
    <xf numFmtId="0" fontId="7" fillId="0" borderId="17" xfId="0" applyFont="1" applyBorder="1"/>
    <xf numFmtId="0" fontId="7" fillId="0" borderId="18" xfId="0" applyFont="1" applyBorder="1"/>
    <xf numFmtId="0" fontId="7" fillId="0" borderId="6" xfId="0" applyFont="1" applyBorder="1" applyAlignment="1"/>
    <xf numFmtId="0" fontId="7" fillId="0" borderId="2" xfId="0" applyFont="1" applyBorder="1"/>
    <xf numFmtId="0" fontId="7" fillId="0" borderId="12" xfId="0" applyFont="1" applyBorder="1"/>
    <xf numFmtId="0" fontId="7" fillId="0" borderId="4" xfId="0" applyFont="1" applyBorder="1"/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/>
    <xf numFmtId="0" fontId="5" fillId="2" borderId="1" xfId="0" applyFont="1" applyFill="1" applyBorder="1" applyAlignment="1"/>
    <xf numFmtId="0" fontId="6" fillId="2" borderId="1" xfId="0" applyFont="1" applyFill="1" applyBorder="1"/>
    <xf numFmtId="0" fontId="4" fillId="2" borderId="1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/>
    <xf numFmtId="0" fontId="5" fillId="2" borderId="0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6" fillId="0" borderId="1" xfId="0" applyFont="1" applyFill="1" applyBorder="1" applyAlignment="1">
      <alignment horizontal="center" vertical="top"/>
    </xf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0" fontId="6" fillId="0" borderId="4" xfId="0" applyFont="1" applyFill="1" applyBorder="1" applyAlignment="1">
      <alignment horizontal="center" vertical="top"/>
    </xf>
    <xf numFmtId="0" fontId="7" fillId="0" borderId="4" xfId="0" applyFont="1" applyBorder="1" applyAlignment="1">
      <alignment horizontal="center" vertical="center"/>
    </xf>
    <xf numFmtId="164" fontId="5" fillId="0" borderId="22" xfId="0" applyNumberFormat="1" applyFont="1" applyBorder="1" applyAlignment="1">
      <alignment horizontal="center" vertical="top" wrapText="1"/>
    </xf>
    <xf numFmtId="0" fontId="5" fillId="0" borderId="23" xfId="0" applyFont="1" applyBorder="1" applyAlignment="1">
      <alignment horizontal="center" vertical="top" wrapText="1"/>
    </xf>
    <xf numFmtId="0" fontId="5" fillId="0" borderId="23" xfId="0" applyFont="1" applyBorder="1" applyAlignment="1">
      <alignment horizontal="center" vertical="top"/>
    </xf>
    <xf numFmtId="0" fontId="9" fillId="0" borderId="23" xfId="0" applyFont="1" applyBorder="1" applyAlignment="1">
      <alignment horizontal="center" vertical="top"/>
    </xf>
    <xf numFmtId="0" fontId="9" fillId="0" borderId="24" xfId="0" applyFont="1" applyBorder="1" applyAlignment="1">
      <alignment horizontal="center" vertical="top"/>
    </xf>
    <xf numFmtId="0" fontId="7" fillId="3" borderId="1" xfId="0" applyFont="1" applyFill="1" applyBorder="1"/>
    <xf numFmtId="0" fontId="7" fillId="0" borderId="0" xfId="0" applyFont="1" applyBorder="1" applyAlignment="1">
      <alignment horizontal="left" vertical="center"/>
    </xf>
    <xf numFmtId="0" fontId="7" fillId="0" borderId="2" xfId="0" applyFont="1" applyBorder="1" applyAlignment="1"/>
    <xf numFmtId="0" fontId="5" fillId="0" borderId="23" xfId="0" applyFont="1" applyBorder="1" applyAlignment="1">
      <alignment vertical="top" wrapText="1"/>
    </xf>
    <xf numFmtId="0" fontId="6" fillId="0" borderId="4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1" fillId="0" borderId="0" xfId="2"/>
    <xf numFmtId="0" fontId="1" fillId="0" borderId="0" xfId="3"/>
    <xf numFmtId="164" fontId="5" fillId="2" borderId="3" xfId="0" applyNumberFormat="1" applyFont="1" applyFill="1" applyBorder="1" applyAlignment="1">
      <alignment horizontal="center"/>
    </xf>
    <xf numFmtId="164" fontId="7" fillId="0" borderId="8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7" fillId="0" borderId="19" xfId="0" applyNumberFormat="1" applyFont="1" applyBorder="1" applyAlignment="1">
      <alignment horizontal="center" vertical="top"/>
    </xf>
    <xf numFmtId="0" fontId="7" fillId="0" borderId="8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164" fontId="7" fillId="0" borderId="1" xfId="0" applyNumberFormat="1" applyFont="1" applyBorder="1" applyAlignment="1">
      <alignment horizontal="center"/>
    </xf>
    <xf numFmtId="164" fontId="7" fillId="0" borderId="0" xfId="0" applyNumberFormat="1" applyFont="1" applyAlignment="1">
      <alignment horizontal="center"/>
    </xf>
    <xf numFmtId="164" fontId="4" fillId="2" borderId="5" xfId="0" applyNumberFormat="1" applyFont="1" applyFill="1" applyBorder="1" applyAlignment="1">
      <alignment horizontal="left"/>
    </xf>
    <xf numFmtId="164" fontId="5" fillId="2" borderId="3" xfId="0" applyNumberFormat="1" applyFont="1" applyFill="1" applyBorder="1" applyAlignment="1">
      <alignment horizontal="left"/>
    </xf>
    <xf numFmtId="0" fontId="0" fillId="0" borderId="0" xfId="0" applyProtection="1">
      <protection locked="0"/>
    </xf>
    <xf numFmtId="0" fontId="7" fillId="0" borderId="2" xfId="0" applyFont="1" applyBorder="1" applyAlignment="1">
      <alignment vertical="top"/>
    </xf>
    <xf numFmtId="0" fontId="7" fillId="0" borderId="1" xfId="0" applyFont="1" applyBorder="1" applyAlignment="1">
      <alignment horizontal="right"/>
    </xf>
    <xf numFmtId="164" fontId="5" fillId="2" borderId="0" xfId="0" applyNumberFormat="1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6" fillId="0" borderId="2" xfId="0" applyFont="1" applyBorder="1" applyAlignment="1">
      <alignment vertical="top" wrapText="1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7" fillId="0" borderId="4" xfId="0" applyNumberFormat="1" applyFont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 vertical="top"/>
    </xf>
    <xf numFmtId="164" fontId="5" fillId="0" borderId="19" xfId="0" applyNumberFormat="1" applyFont="1" applyBorder="1" applyAlignment="1">
      <alignment horizontal="center" vertical="top" wrapText="1"/>
    </xf>
    <xf numFmtId="164" fontId="7" fillId="0" borderId="1" xfId="0" applyNumberFormat="1" applyFont="1" applyBorder="1" applyAlignment="1">
      <alignment horizontal="center" vertical="top"/>
    </xf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7" xfId="0" applyFont="1" applyBorder="1" applyAlignment="1">
      <alignment horizontal="center" vertical="top" wrapText="1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Normal 7" xfId="1" xr:uid="{00000000-0005-0000-0000-000003000000}"/>
  </cellStyles>
  <dxfs count="6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</xdr:row>
          <xdr:rowOff>15240</xdr:rowOff>
        </xdr:from>
        <xdr:to>
          <xdr:col>5</xdr:col>
          <xdr:colOff>327660</xdr:colOff>
          <xdr:row>6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920"/>
  <sheetViews>
    <sheetView zoomScaleNormal="100" workbookViewId="0">
      <pane ySplit="10" topLeftCell="A249" activePane="bottomLeft" state="frozen"/>
      <selection pane="bottomLeft" activeCell="B259" sqref="B259"/>
    </sheetView>
  </sheetViews>
  <sheetFormatPr defaultColWidth="11" defaultRowHeight="13.8" x14ac:dyDescent="0.3"/>
  <cols>
    <col min="1" max="1" width="13.69921875" style="39" customWidth="1"/>
    <col min="2" max="6" width="11" style="76"/>
    <col min="7" max="7" width="47.8984375" style="76" customWidth="1"/>
    <col min="8" max="8" width="36.3984375" style="49" customWidth="1"/>
    <col min="9" max="9" width="11" style="67"/>
    <col min="10" max="10" width="11" style="68"/>
    <col min="11" max="16384" width="11" style="16"/>
  </cols>
  <sheetData>
    <row r="1" spans="1:10" s="8" customFormat="1" x14ac:dyDescent="0.3">
      <c r="A1" s="118" t="s">
        <v>11</v>
      </c>
      <c r="B1" s="118"/>
      <c r="C1" s="118"/>
      <c r="D1" s="118"/>
      <c r="E1" s="118"/>
      <c r="F1" s="118"/>
      <c r="G1" s="118"/>
      <c r="H1" s="58"/>
      <c r="I1" s="59"/>
      <c r="J1" s="60"/>
    </row>
    <row r="2" spans="1:10" x14ac:dyDescent="0.3">
      <c r="A2" s="61" t="s">
        <v>258</v>
      </c>
      <c r="B2" s="62"/>
      <c r="C2" s="62"/>
      <c r="D2" s="62"/>
      <c r="E2" s="63"/>
      <c r="F2" s="64"/>
      <c r="G2" s="65" t="s">
        <v>259</v>
      </c>
      <c r="H2" s="66"/>
    </row>
    <row r="3" spans="1:10" x14ac:dyDescent="0.3">
      <c r="A3" s="61" t="s">
        <v>271</v>
      </c>
      <c r="B3" s="62"/>
      <c r="C3" s="62"/>
      <c r="D3" s="62"/>
      <c r="E3" s="63"/>
      <c r="F3" s="69"/>
      <c r="G3" s="65"/>
      <c r="H3" s="66"/>
    </row>
    <row r="4" spans="1:10" x14ac:dyDescent="0.3">
      <c r="A4" s="61" t="s">
        <v>272</v>
      </c>
      <c r="B4" s="63"/>
      <c r="C4" s="63"/>
      <c r="D4" s="63"/>
      <c r="E4" s="119" t="s">
        <v>12</v>
      </c>
      <c r="F4" s="119"/>
      <c r="G4" s="119"/>
      <c r="H4" s="70"/>
    </row>
    <row r="5" spans="1:10" x14ac:dyDescent="0.3">
      <c r="A5" s="61" t="s">
        <v>273</v>
      </c>
      <c r="B5" s="63"/>
      <c r="C5" s="63"/>
      <c r="D5" s="63"/>
      <c r="E5" s="71"/>
      <c r="F5" s="71"/>
      <c r="G5" s="71"/>
      <c r="H5" s="72"/>
    </row>
    <row r="6" spans="1:10" x14ac:dyDescent="0.3">
      <c r="A6" s="61" t="s">
        <v>274</v>
      </c>
      <c r="B6" s="63"/>
      <c r="C6" s="63"/>
      <c r="D6" s="63"/>
      <c r="E6" s="63"/>
      <c r="F6" s="63"/>
      <c r="G6" s="63"/>
      <c r="H6" s="13"/>
    </row>
    <row r="7" spans="1:10" x14ac:dyDescent="0.3">
      <c r="A7" s="61" t="s">
        <v>426</v>
      </c>
      <c r="B7" s="63"/>
      <c r="C7" s="63"/>
      <c r="D7" s="63"/>
      <c r="E7" s="63"/>
      <c r="F7" s="63"/>
      <c r="G7" s="63"/>
      <c r="H7" s="13"/>
    </row>
    <row r="8" spans="1:10" x14ac:dyDescent="0.3">
      <c r="A8" s="120"/>
      <c r="B8" s="120"/>
      <c r="C8" s="120"/>
      <c r="D8" s="120"/>
      <c r="E8" s="120"/>
      <c r="F8" s="120"/>
      <c r="G8" s="120"/>
      <c r="H8" s="73"/>
    </row>
    <row r="9" spans="1:10" s="42" customFormat="1" ht="29.25" customHeight="1" thickBot="1" x14ac:dyDescent="0.35">
      <c r="B9" s="121" t="s">
        <v>13</v>
      </c>
      <c r="C9" s="122"/>
    </row>
    <row r="10" spans="1:10" s="43" customFormat="1" ht="39" customHeight="1" thickBot="1" x14ac:dyDescent="0.35">
      <c r="A10" s="81" t="s">
        <v>270</v>
      </c>
      <c r="B10" s="82" t="s">
        <v>20</v>
      </c>
      <c r="C10" s="82" t="s">
        <v>21</v>
      </c>
      <c r="D10" s="83" t="s">
        <v>250</v>
      </c>
      <c r="E10" s="83" t="s">
        <v>14</v>
      </c>
      <c r="F10" s="82" t="s">
        <v>15</v>
      </c>
      <c r="G10" s="83" t="s">
        <v>16</v>
      </c>
      <c r="H10" s="83" t="s">
        <v>17</v>
      </c>
      <c r="I10" s="84" t="s">
        <v>18</v>
      </c>
      <c r="J10" s="85" t="s">
        <v>19</v>
      </c>
    </row>
    <row r="11" spans="1:10" x14ac:dyDescent="0.3">
      <c r="A11" s="41">
        <v>42736</v>
      </c>
      <c r="B11" s="78">
        <v>9</v>
      </c>
      <c r="C11" s="78">
        <v>9</v>
      </c>
      <c r="D11" s="78">
        <f t="shared" ref="D11:D74" si="0">IF(((B11="")*AND(C11="")),"",(C11-B11))</f>
        <v>0</v>
      </c>
      <c r="E11" s="79" t="str">
        <f>IF((D11=""),"",IF(D11&lt;=50,"Pass","Fail"))</f>
        <v>Pass</v>
      </c>
      <c r="F11" s="78">
        <v>1400</v>
      </c>
      <c r="G11" s="57" t="s">
        <v>22</v>
      </c>
      <c r="H11" s="57"/>
      <c r="I11" s="80">
        <v>100</v>
      </c>
      <c r="J11" s="80">
        <v>50</v>
      </c>
    </row>
    <row r="12" spans="1:10" x14ac:dyDescent="0.3">
      <c r="A12" s="39">
        <v>42741</v>
      </c>
      <c r="B12" s="74">
        <v>4</v>
      </c>
      <c r="C12" s="74">
        <v>13</v>
      </c>
      <c r="D12" s="74">
        <f t="shared" si="0"/>
        <v>9</v>
      </c>
      <c r="E12" s="75" t="str">
        <f t="shared" ref="E12:E75" si="1">IF((D12=""),"",IF(D12&lt;=50,"Pass","Fail"))</f>
        <v>Pass</v>
      </c>
      <c r="F12" s="74">
        <v>1335</v>
      </c>
      <c r="G12" s="76" t="s">
        <v>23</v>
      </c>
      <c r="H12" s="76"/>
      <c r="I12" s="77">
        <v>100</v>
      </c>
      <c r="J12" s="77">
        <v>50</v>
      </c>
    </row>
    <row r="13" spans="1:10" x14ac:dyDescent="0.3">
      <c r="A13" s="39">
        <v>42745</v>
      </c>
      <c r="B13" s="74">
        <v>10</v>
      </c>
      <c r="C13" s="74">
        <v>12</v>
      </c>
      <c r="D13" s="74">
        <f t="shared" si="0"/>
        <v>2</v>
      </c>
      <c r="E13" s="75" t="str">
        <f t="shared" si="1"/>
        <v>Pass</v>
      </c>
      <c r="F13" s="74">
        <v>1159</v>
      </c>
      <c r="G13" s="76" t="s">
        <v>24</v>
      </c>
      <c r="H13" s="76"/>
      <c r="I13" s="77">
        <v>100</v>
      </c>
      <c r="J13" s="77">
        <v>50</v>
      </c>
    </row>
    <row r="14" spans="1:10" x14ac:dyDescent="0.3">
      <c r="A14" s="39">
        <v>42759</v>
      </c>
      <c r="B14" s="74">
        <v>19</v>
      </c>
      <c r="C14" s="74">
        <v>79</v>
      </c>
      <c r="D14" s="74">
        <f t="shared" si="0"/>
        <v>60</v>
      </c>
      <c r="E14" s="75" t="str">
        <f t="shared" si="1"/>
        <v>Fail</v>
      </c>
      <c r="F14" s="74">
        <v>1159</v>
      </c>
      <c r="G14" s="76" t="s">
        <v>254</v>
      </c>
      <c r="H14" s="76" t="s">
        <v>255</v>
      </c>
      <c r="I14" s="77">
        <v>100</v>
      </c>
      <c r="J14" s="77">
        <v>50</v>
      </c>
    </row>
    <row r="15" spans="1:10" x14ac:dyDescent="0.3">
      <c r="A15" s="39">
        <v>42764</v>
      </c>
      <c r="B15" s="74">
        <v>35</v>
      </c>
      <c r="C15" s="74">
        <v>38</v>
      </c>
      <c r="D15" s="74">
        <f t="shared" si="0"/>
        <v>3</v>
      </c>
      <c r="E15" s="75" t="str">
        <f t="shared" si="1"/>
        <v>Pass</v>
      </c>
      <c r="F15" s="74">
        <v>1400</v>
      </c>
      <c r="G15" s="76" t="s">
        <v>23</v>
      </c>
      <c r="H15" s="76"/>
      <c r="I15" s="77">
        <v>100</v>
      </c>
      <c r="J15" s="77">
        <v>50</v>
      </c>
    </row>
    <row r="16" spans="1:10" x14ac:dyDescent="0.3">
      <c r="A16" s="39">
        <v>42768</v>
      </c>
      <c r="B16" s="74">
        <v>14</v>
      </c>
      <c r="C16" s="74">
        <v>20</v>
      </c>
      <c r="D16" s="74">
        <f t="shared" si="0"/>
        <v>6</v>
      </c>
      <c r="E16" s="75" t="str">
        <f t="shared" si="1"/>
        <v>Pass</v>
      </c>
      <c r="F16" s="74">
        <v>1159</v>
      </c>
      <c r="G16" s="76" t="s">
        <v>25</v>
      </c>
      <c r="H16" s="76"/>
      <c r="I16" s="77">
        <v>100</v>
      </c>
      <c r="J16" s="77">
        <v>50</v>
      </c>
    </row>
    <row r="17" spans="1:10" x14ac:dyDescent="0.3">
      <c r="A17" s="39">
        <v>42772</v>
      </c>
      <c r="B17" s="74">
        <v>20</v>
      </c>
      <c r="C17" s="74">
        <v>35</v>
      </c>
      <c r="D17" s="74">
        <f t="shared" si="0"/>
        <v>15</v>
      </c>
      <c r="E17" s="75" t="str">
        <f t="shared" si="1"/>
        <v>Pass</v>
      </c>
      <c r="F17" s="74">
        <v>1400</v>
      </c>
      <c r="G17" s="76" t="s">
        <v>26</v>
      </c>
      <c r="H17" s="76"/>
      <c r="I17" s="77">
        <v>100</v>
      </c>
      <c r="J17" s="77">
        <v>50</v>
      </c>
    </row>
    <row r="18" spans="1:10" x14ac:dyDescent="0.3">
      <c r="A18" s="39">
        <v>42779</v>
      </c>
      <c r="B18" s="74">
        <v>6</v>
      </c>
      <c r="C18" s="74">
        <v>40</v>
      </c>
      <c r="D18" s="74">
        <f t="shared" si="0"/>
        <v>34</v>
      </c>
      <c r="E18" s="75" t="str">
        <f t="shared" si="1"/>
        <v>Pass</v>
      </c>
      <c r="F18" s="74">
        <v>1335</v>
      </c>
      <c r="G18" s="76" t="s">
        <v>23</v>
      </c>
      <c r="H18" s="76"/>
      <c r="I18" s="77">
        <v>100</v>
      </c>
      <c r="J18" s="77">
        <v>50</v>
      </c>
    </row>
    <row r="19" spans="1:10" x14ac:dyDescent="0.3">
      <c r="A19" s="39">
        <v>42788</v>
      </c>
      <c r="B19" s="74">
        <v>13</v>
      </c>
      <c r="C19" s="74">
        <v>18</v>
      </c>
      <c r="D19" s="74">
        <f t="shared" si="0"/>
        <v>5</v>
      </c>
      <c r="E19" s="75" t="str">
        <f t="shared" si="1"/>
        <v>Pass</v>
      </c>
      <c r="F19" s="74">
        <v>1400</v>
      </c>
      <c r="G19" s="76" t="s">
        <v>27</v>
      </c>
      <c r="H19" s="76"/>
      <c r="I19" s="77">
        <v>100</v>
      </c>
      <c r="J19" s="77">
        <v>50</v>
      </c>
    </row>
    <row r="20" spans="1:10" x14ac:dyDescent="0.3">
      <c r="A20" s="39">
        <v>42793</v>
      </c>
      <c r="B20" s="74">
        <v>20</v>
      </c>
      <c r="C20" s="74">
        <v>21</v>
      </c>
      <c r="D20" s="74">
        <f t="shared" si="0"/>
        <v>1</v>
      </c>
      <c r="E20" s="75" t="str">
        <f t="shared" si="1"/>
        <v>Pass</v>
      </c>
      <c r="F20" s="74">
        <v>1400</v>
      </c>
      <c r="G20" s="76" t="s">
        <v>251</v>
      </c>
      <c r="H20" s="76"/>
      <c r="I20" s="77">
        <v>100</v>
      </c>
      <c r="J20" s="77">
        <v>50</v>
      </c>
    </row>
    <row r="21" spans="1:10" x14ac:dyDescent="0.3">
      <c r="A21" s="39">
        <v>42800</v>
      </c>
      <c r="B21" s="74">
        <v>21</v>
      </c>
      <c r="C21" s="74">
        <v>31</v>
      </c>
      <c r="D21" s="74">
        <f t="shared" si="0"/>
        <v>10</v>
      </c>
      <c r="E21" s="75" t="str">
        <f t="shared" si="1"/>
        <v>Pass</v>
      </c>
      <c r="F21" s="74">
        <v>1400</v>
      </c>
      <c r="G21" s="76" t="s">
        <v>28</v>
      </c>
      <c r="H21" s="76"/>
      <c r="I21" s="77">
        <v>100</v>
      </c>
      <c r="J21" s="77">
        <v>50</v>
      </c>
    </row>
    <row r="22" spans="1:10" x14ac:dyDescent="0.3">
      <c r="A22" s="39">
        <v>42804</v>
      </c>
      <c r="B22" s="74">
        <v>32</v>
      </c>
      <c r="C22" s="74">
        <v>36</v>
      </c>
      <c r="D22" s="74">
        <f t="shared" si="0"/>
        <v>4</v>
      </c>
      <c r="E22" s="75" t="str">
        <f t="shared" si="1"/>
        <v>Pass</v>
      </c>
      <c r="F22" s="74">
        <v>1400</v>
      </c>
      <c r="G22" s="76" t="s">
        <v>29</v>
      </c>
      <c r="H22" s="76"/>
      <c r="I22" s="77">
        <v>100</v>
      </c>
      <c r="J22" s="77">
        <v>50</v>
      </c>
    </row>
    <row r="23" spans="1:10" x14ac:dyDescent="0.3">
      <c r="A23" s="39">
        <v>42814</v>
      </c>
      <c r="B23" s="74">
        <v>47</v>
      </c>
      <c r="C23" s="74">
        <v>69</v>
      </c>
      <c r="D23" s="74">
        <f t="shared" si="0"/>
        <v>22</v>
      </c>
      <c r="E23" s="75" t="str">
        <f t="shared" si="1"/>
        <v>Pass</v>
      </c>
      <c r="F23" s="74">
        <v>1428</v>
      </c>
      <c r="H23" s="76"/>
      <c r="I23" s="77">
        <v>100</v>
      </c>
      <c r="J23" s="77">
        <v>50</v>
      </c>
    </row>
    <row r="24" spans="1:10" x14ac:dyDescent="0.3">
      <c r="A24" s="39">
        <v>42830</v>
      </c>
      <c r="B24" s="74">
        <v>50</v>
      </c>
      <c r="C24" s="74">
        <v>58</v>
      </c>
      <c r="D24" s="74">
        <f t="shared" si="0"/>
        <v>8</v>
      </c>
      <c r="E24" s="75" t="str">
        <f t="shared" si="1"/>
        <v>Pass</v>
      </c>
      <c r="F24" s="74">
        <v>1335</v>
      </c>
      <c r="G24" s="76" t="s">
        <v>30</v>
      </c>
      <c r="H24" s="76"/>
      <c r="I24" s="77">
        <v>100</v>
      </c>
      <c r="J24" s="77">
        <v>50</v>
      </c>
    </row>
    <row r="25" spans="1:10" x14ac:dyDescent="0.3">
      <c r="A25" s="39">
        <v>42835</v>
      </c>
      <c r="B25" s="74">
        <v>48</v>
      </c>
      <c r="C25" s="74">
        <v>55</v>
      </c>
      <c r="D25" s="74">
        <f t="shared" si="0"/>
        <v>7</v>
      </c>
      <c r="E25" s="75" t="str">
        <f t="shared" si="1"/>
        <v>Pass</v>
      </c>
      <c r="F25" s="74">
        <v>1400</v>
      </c>
      <c r="G25" s="76" t="s">
        <v>31</v>
      </c>
      <c r="H25" s="76"/>
      <c r="I25" s="77">
        <v>100</v>
      </c>
      <c r="J25" s="77">
        <v>50</v>
      </c>
    </row>
    <row r="26" spans="1:10" x14ac:dyDescent="0.3">
      <c r="A26" s="39">
        <v>42838</v>
      </c>
      <c r="B26" s="74">
        <v>48</v>
      </c>
      <c r="C26" s="74">
        <v>57</v>
      </c>
      <c r="D26" s="74">
        <f t="shared" si="0"/>
        <v>9</v>
      </c>
      <c r="E26" s="75" t="str">
        <f t="shared" si="1"/>
        <v>Pass</v>
      </c>
      <c r="F26" s="74">
        <v>1428</v>
      </c>
      <c r="G26" s="76" t="s">
        <v>32</v>
      </c>
      <c r="H26" s="76"/>
      <c r="I26" s="77">
        <v>100</v>
      </c>
      <c r="J26" s="77">
        <v>50</v>
      </c>
    </row>
    <row r="27" spans="1:10" x14ac:dyDescent="0.3">
      <c r="A27" s="39">
        <v>42838</v>
      </c>
      <c r="B27" s="74">
        <v>8</v>
      </c>
      <c r="C27" s="74">
        <v>11</v>
      </c>
      <c r="D27" s="74">
        <f t="shared" si="0"/>
        <v>3</v>
      </c>
      <c r="E27" s="75" t="str">
        <f>IF((D27=""),"",IF(D27&lt;=50,"Pass","Fail"))</f>
        <v>Pass</v>
      </c>
      <c r="F27" s="74">
        <v>1159</v>
      </c>
      <c r="G27" s="76" t="s">
        <v>33</v>
      </c>
      <c r="H27" s="76"/>
      <c r="I27" s="77">
        <v>100</v>
      </c>
      <c r="J27" s="77">
        <v>50</v>
      </c>
    </row>
    <row r="28" spans="1:10" x14ac:dyDescent="0.3">
      <c r="A28" s="39">
        <v>42843</v>
      </c>
      <c r="B28" s="74">
        <v>1</v>
      </c>
      <c r="C28" s="74">
        <v>16</v>
      </c>
      <c r="D28" s="74">
        <f t="shared" si="0"/>
        <v>15</v>
      </c>
      <c r="E28" s="75" t="str">
        <f t="shared" si="1"/>
        <v>Pass</v>
      </c>
      <c r="F28" s="74">
        <v>1335</v>
      </c>
      <c r="G28" s="76" t="s">
        <v>32</v>
      </c>
      <c r="H28" s="76"/>
      <c r="I28" s="77">
        <v>100</v>
      </c>
      <c r="J28" s="77">
        <v>50</v>
      </c>
    </row>
    <row r="29" spans="1:10" x14ac:dyDescent="0.3">
      <c r="A29" s="39">
        <v>42846</v>
      </c>
      <c r="B29" s="74">
        <v>19</v>
      </c>
      <c r="C29" s="74">
        <v>23</v>
      </c>
      <c r="D29" s="74">
        <f t="shared" si="0"/>
        <v>4</v>
      </c>
      <c r="E29" s="75" t="str">
        <f t="shared" si="1"/>
        <v>Pass</v>
      </c>
      <c r="F29" s="74">
        <v>1159</v>
      </c>
      <c r="G29" s="76" t="s">
        <v>32</v>
      </c>
      <c r="H29" s="76"/>
      <c r="I29" s="77">
        <v>100</v>
      </c>
      <c r="J29" s="77">
        <v>50</v>
      </c>
    </row>
    <row r="30" spans="1:10" x14ac:dyDescent="0.3">
      <c r="A30" s="39">
        <v>42850</v>
      </c>
      <c r="B30" s="74">
        <v>2</v>
      </c>
      <c r="C30" s="74">
        <v>19</v>
      </c>
      <c r="D30" s="74">
        <f t="shared" si="0"/>
        <v>17</v>
      </c>
      <c r="E30" s="75" t="str">
        <f t="shared" si="1"/>
        <v>Pass</v>
      </c>
      <c r="F30" s="74">
        <v>1335</v>
      </c>
      <c r="G30" s="76" t="s">
        <v>32</v>
      </c>
      <c r="H30" s="76"/>
      <c r="I30" s="77">
        <v>100</v>
      </c>
      <c r="J30" s="77">
        <v>50</v>
      </c>
    </row>
    <row r="31" spans="1:10" x14ac:dyDescent="0.3">
      <c r="A31" s="39">
        <v>42851</v>
      </c>
      <c r="B31" s="74">
        <v>1</v>
      </c>
      <c r="C31" s="74">
        <v>2</v>
      </c>
      <c r="D31" s="74">
        <f t="shared" si="0"/>
        <v>1</v>
      </c>
      <c r="E31" s="75" t="str">
        <f t="shared" si="1"/>
        <v>Pass</v>
      </c>
      <c r="F31" s="74">
        <v>1159</v>
      </c>
      <c r="G31" s="76" t="s">
        <v>34</v>
      </c>
      <c r="H31" s="76"/>
      <c r="I31" s="77">
        <v>100</v>
      </c>
      <c r="J31" s="77">
        <v>50</v>
      </c>
    </row>
    <row r="32" spans="1:10" x14ac:dyDescent="0.3">
      <c r="A32" s="39">
        <v>42860</v>
      </c>
      <c r="B32" s="74">
        <v>42</v>
      </c>
      <c r="C32" s="74">
        <v>56</v>
      </c>
      <c r="D32" s="74">
        <f t="shared" si="0"/>
        <v>14</v>
      </c>
      <c r="E32" s="75" t="str">
        <f t="shared" si="1"/>
        <v>Pass</v>
      </c>
      <c r="F32" s="74">
        <v>1335</v>
      </c>
      <c r="G32" s="76" t="s">
        <v>35</v>
      </c>
      <c r="H32" s="76"/>
      <c r="I32" s="77">
        <v>100</v>
      </c>
      <c r="J32" s="77">
        <v>50</v>
      </c>
    </row>
    <row r="33" spans="1:10" x14ac:dyDescent="0.3">
      <c r="A33" s="39">
        <v>42862</v>
      </c>
      <c r="B33" s="74">
        <v>16</v>
      </c>
      <c r="C33" s="74">
        <v>6</v>
      </c>
      <c r="D33" s="74">
        <f t="shared" si="0"/>
        <v>-10</v>
      </c>
      <c r="E33" s="75" t="str">
        <f>IF((D33=""),"",IF(D33&lt;=50,"Pass","Fail"))</f>
        <v>Pass</v>
      </c>
      <c r="F33" s="74">
        <v>1428</v>
      </c>
      <c r="G33" s="76" t="s">
        <v>36</v>
      </c>
      <c r="H33" s="76"/>
      <c r="I33" s="77">
        <v>100</v>
      </c>
      <c r="J33" s="77">
        <v>50</v>
      </c>
    </row>
    <row r="34" spans="1:10" x14ac:dyDescent="0.3">
      <c r="A34" s="39">
        <v>42866</v>
      </c>
      <c r="B34" s="74">
        <v>7</v>
      </c>
      <c r="C34" s="74">
        <v>8</v>
      </c>
      <c r="D34" s="74">
        <f t="shared" si="0"/>
        <v>1</v>
      </c>
      <c r="E34" s="75" t="str">
        <f t="shared" si="1"/>
        <v>Pass</v>
      </c>
      <c r="F34" s="74">
        <v>1428</v>
      </c>
      <c r="G34" s="76" t="s">
        <v>36</v>
      </c>
      <c r="H34" s="76"/>
      <c r="I34" s="77">
        <v>100</v>
      </c>
      <c r="J34" s="77">
        <v>50</v>
      </c>
    </row>
    <row r="35" spans="1:10" x14ac:dyDescent="0.3">
      <c r="A35" s="39">
        <v>42870</v>
      </c>
      <c r="B35" s="74">
        <v>5</v>
      </c>
      <c r="C35" s="74">
        <v>9</v>
      </c>
      <c r="D35" s="74">
        <f t="shared" si="0"/>
        <v>4</v>
      </c>
      <c r="E35" s="75" t="str">
        <f t="shared" si="1"/>
        <v>Pass</v>
      </c>
      <c r="F35" s="74">
        <v>1159</v>
      </c>
      <c r="G35" s="76" t="s">
        <v>37</v>
      </c>
      <c r="H35" s="76"/>
      <c r="I35" s="77">
        <v>100</v>
      </c>
      <c r="J35" s="77">
        <v>50</v>
      </c>
    </row>
    <row r="36" spans="1:10" x14ac:dyDescent="0.3">
      <c r="A36" s="39">
        <v>42875</v>
      </c>
      <c r="B36" s="74">
        <v>6</v>
      </c>
      <c r="C36" s="74">
        <v>6</v>
      </c>
      <c r="D36" s="74">
        <f t="shared" si="0"/>
        <v>0</v>
      </c>
      <c r="E36" s="75" t="str">
        <f t="shared" si="1"/>
        <v>Pass</v>
      </c>
      <c r="F36" s="74">
        <v>1428</v>
      </c>
      <c r="G36" s="76" t="s">
        <v>36</v>
      </c>
      <c r="H36" s="76"/>
      <c r="I36" s="77">
        <v>100</v>
      </c>
      <c r="J36" s="77">
        <v>50</v>
      </c>
    </row>
    <row r="37" spans="1:10" x14ac:dyDescent="0.3">
      <c r="A37" s="39">
        <v>42880</v>
      </c>
      <c r="B37" s="74">
        <v>1</v>
      </c>
      <c r="C37" s="74">
        <v>6</v>
      </c>
      <c r="D37" s="74">
        <f t="shared" si="0"/>
        <v>5</v>
      </c>
      <c r="E37" s="75" t="str">
        <f t="shared" si="1"/>
        <v>Pass</v>
      </c>
      <c r="F37" s="74">
        <v>121</v>
      </c>
      <c r="G37" s="76" t="s">
        <v>38</v>
      </c>
      <c r="H37" s="76"/>
      <c r="I37" s="77">
        <v>100</v>
      </c>
      <c r="J37" s="77">
        <v>50</v>
      </c>
    </row>
    <row r="38" spans="1:10" x14ac:dyDescent="0.3">
      <c r="A38" s="39">
        <v>42886</v>
      </c>
      <c r="B38" s="74">
        <v>1</v>
      </c>
      <c r="C38" s="74">
        <v>0</v>
      </c>
      <c r="D38" s="74">
        <f t="shared" si="0"/>
        <v>-1</v>
      </c>
      <c r="E38" s="75" t="str">
        <f t="shared" si="1"/>
        <v>Pass</v>
      </c>
      <c r="F38" s="74">
        <v>64</v>
      </c>
      <c r="G38" s="76" t="s">
        <v>39</v>
      </c>
      <c r="H38" s="76"/>
      <c r="I38" s="77">
        <v>100</v>
      </c>
      <c r="J38" s="77">
        <v>50</v>
      </c>
    </row>
    <row r="39" spans="1:10" x14ac:dyDescent="0.3">
      <c r="A39" s="39">
        <v>42887</v>
      </c>
      <c r="B39" s="74">
        <v>3</v>
      </c>
      <c r="C39" s="74">
        <v>7</v>
      </c>
      <c r="D39" s="74">
        <f t="shared" si="0"/>
        <v>4</v>
      </c>
      <c r="E39" s="75" t="str">
        <f t="shared" si="1"/>
        <v>Pass</v>
      </c>
      <c r="F39" s="74">
        <v>1159</v>
      </c>
      <c r="G39" s="76" t="s">
        <v>40</v>
      </c>
      <c r="H39" s="76"/>
      <c r="I39" s="77">
        <v>100</v>
      </c>
      <c r="J39" s="77">
        <v>50</v>
      </c>
    </row>
    <row r="40" spans="1:10" x14ac:dyDescent="0.3">
      <c r="A40" s="39">
        <v>42891</v>
      </c>
      <c r="B40" s="74">
        <v>7</v>
      </c>
      <c r="C40" s="74">
        <v>4</v>
      </c>
      <c r="D40" s="74">
        <f t="shared" si="0"/>
        <v>-3</v>
      </c>
      <c r="E40" s="75" t="str">
        <f t="shared" si="1"/>
        <v>Pass</v>
      </c>
      <c r="F40" s="74">
        <v>1335</v>
      </c>
      <c r="G40" s="76" t="s">
        <v>23</v>
      </c>
      <c r="H40" s="76"/>
      <c r="I40" s="77">
        <v>100</v>
      </c>
      <c r="J40" s="77">
        <v>50</v>
      </c>
    </row>
    <row r="41" spans="1:10" x14ac:dyDescent="0.3">
      <c r="A41" s="39">
        <v>42895</v>
      </c>
      <c r="B41" s="74">
        <v>12</v>
      </c>
      <c r="C41" s="74">
        <v>16</v>
      </c>
      <c r="D41" s="74">
        <f t="shared" si="0"/>
        <v>4</v>
      </c>
      <c r="E41" s="75" t="str">
        <f>IF((D41=""),"",IF(D41&lt;=50,"Pass","Fail"))</f>
        <v>Pass</v>
      </c>
      <c r="F41" s="74">
        <v>121</v>
      </c>
      <c r="G41" s="69" t="s">
        <v>39</v>
      </c>
      <c r="H41" s="69"/>
      <c r="I41" s="77">
        <v>100</v>
      </c>
      <c r="J41" s="77">
        <v>50</v>
      </c>
    </row>
    <row r="42" spans="1:10" x14ac:dyDescent="0.3">
      <c r="A42" s="39">
        <v>42905</v>
      </c>
      <c r="B42" s="74">
        <v>45</v>
      </c>
      <c r="C42" s="74">
        <v>43</v>
      </c>
      <c r="D42" s="74">
        <f t="shared" si="0"/>
        <v>-2</v>
      </c>
      <c r="E42" s="75" t="str">
        <f t="shared" si="1"/>
        <v>Pass</v>
      </c>
      <c r="F42" s="74">
        <v>1159</v>
      </c>
      <c r="G42" s="76" t="s">
        <v>41</v>
      </c>
      <c r="H42" s="76"/>
      <c r="I42" s="77">
        <v>100</v>
      </c>
      <c r="J42" s="77">
        <v>50</v>
      </c>
    </row>
    <row r="43" spans="1:10" x14ac:dyDescent="0.3">
      <c r="A43" s="39">
        <v>42909</v>
      </c>
      <c r="B43" s="74">
        <v>9</v>
      </c>
      <c r="C43" s="74">
        <v>10</v>
      </c>
      <c r="D43" s="74">
        <f t="shared" si="0"/>
        <v>1</v>
      </c>
      <c r="E43" s="75" t="str">
        <f t="shared" si="1"/>
        <v>Pass</v>
      </c>
      <c r="F43" s="74">
        <v>1159</v>
      </c>
      <c r="G43" s="76" t="s">
        <v>42</v>
      </c>
      <c r="H43" s="76"/>
      <c r="I43" s="77">
        <v>100</v>
      </c>
      <c r="J43" s="77">
        <v>50</v>
      </c>
    </row>
    <row r="44" spans="1:10" x14ac:dyDescent="0.3">
      <c r="A44" s="39">
        <v>42915</v>
      </c>
      <c r="B44" s="74">
        <v>12</v>
      </c>
      <c r="C44" s="74">
        <v>15</v>
      </c>
      <c r="D44" s="74">
        <f t="shared" si="0"/>
        <v>3</v>
      </c>
      <c r="E44" s="75" t="str">
        <f t="shared" si="1"/>
        <v>Pass</v>
      </c>
      <c r="F44" s="74">
        <v>1159</v>
      </c>
      <c r="G44" s="76" t="s">
        <v>39</v>
      </c>
      <c r="H44" s="76"/>
      <c r="I44" s="77">
        <v>100</v>
      </c>
      <c r="J44" s="77">
        <v>50</v>
      </c>
    </row>
    <row r="45" spans="1:10" x14ac:dyDescent="0.3">
      <c r="A45" s="39">
        <v>42920</v>
      </c>
      <c r="B45" s="74">
        <v>10</v>
      </c>
      <c r="C45" s="74">
        <v>5</v>
      </c>
      <c r="D45" s="74">
        <f t="shared" si="0"/>
        <v>-5</v>
      </c>
      <c r="E45" s="75" t="str">
        <f t="shared" si="1"/>
        <v>Pass</v>
      </c>
      <c r="F45" s="74">
        <v>102</v>
      </c>
      <c r="G45" s="76" t="s">
        <v>39</v>
      </c>
      <c r="H45" s="76"/>
      <c r="I45" s="77">
        <v>100</v>
      </c>
      <c r="J45" s="77">
        <v>50</v>
      </c>
    </row>
    <row r="46" spans="1:10" x14ac:dyDescent="0.3">
      <c r="A46" s="39">
        <v>42933</v>
      </c>
      <c r="B46" s="74">
        <v>1</v>
      </c>
      <c r="C46" s="74">
        <v>10</v>
      </c>
      <c r="D46" s="74">
        <f t="shared" si="0"/>
        <v>9</v>
      </c>
      <c r="E46" s="75" t="str">
        <f t="shared" si="1"/>
        <v>Pass</v>
      </c>
      <c r="F46" s="74">
        <v>102</v>
      </c>
      <c r="G46" s="76" t="s">
        <v>39</v>
      </c>
      <c r="H46" s="76"/>
      <c r="I46" s="77">
        <v>100</v>
      </c>
      <c r="J46" s="77">
        <v>50</v>
      </c>
    </row>
    <row r="47" spans="1:10" x14ac:dyDescent="0.3">
      <c r="A47" s="39">
        <v>42937</v>
      </c>
      <c r="B47" s="74">
        <v>10</v>
      </c>
      <c r="C47" s="74">
        <v>11</v>
      </c>
      <c r="D47" s="74">
        <f t="shared" si="0"/>
        <v>1</v>
      </c>
      <c r="E47" s="75" t="str">
        <f t="shared" si="1"/>
        <v>Pass</v>
      </c>
      <c r="F47" s="74">
        <v>1428</v>
      </c>
      <c r="G47" s="76" t="s">
        <v>23</v>
      </c>
      <c r="H47" s="76"/>
      <c r="I47" s="77">
        <v>100</v>
      </c>
      <c r="J47" s="77">
        <v>50</v>
      </c>
    </row>
    <row r="48" spans="1:10" x14ac:dyDescent="0.3">
      <c r="A48" s="39">
        <v>42940</v>
      </c>
      <c r="B48" s="74">
        <v>9</v>
      </c>
      <c r="C48" s="74">
        <v>11</v>
      </c>
      <c r="D48" s="74">
        <f t="shared" si="0"/>
        <v>2</v>
      </c>
      <c r="E48" s="75" t="str">
        <f t="shared" si="1"/>
        <v>Pass</v>
      </c>
      <c r="F48" s="74">
        <v>121</v>
      </c>
      <c r="G48" s="76" t="s">
        <v>23</v>
      </c>
      <c r="H48" s="76"/>
      <c r="I48" s="77">
        <v>100</v>
      </c>
      <c r="J48" s="77">
        <v>50</v>
      </c>
    </row>
    <row r="49" spans="1:10" x14ac:dyDescent="0.3">
      <c r="A49" s="39">
        <v>42948</v>
      </c>
      <c r="B49" s="74">
        <v>5</v>
      </c>
      <c r="C49" s="74">
        <v>2</v>
      </c>
      <c r="D49" s="74">
        <f t="shared" si="0"/>
        <v>-3</v>
      </c>
      <c r="E49" s="75" t="str">
        <f t="shared" si="1"/>
        <v>Pass</v>
      </c>
      <c r="F49" s="74">
        <v>1159</v>
      </c>
      <c r="G49" s="76" t="s">
        <v>43</v>
      </c>
      <c r="H49" s="76"/>
      <c r="I49" s="77">
        <v>100</v>
      </c>
      <c r="J49" s="77">
        <v>50</v>
      </c>
    </row>
    <row r="50" spans="1:10" x14ac:dyDescent="0.3">
      <c r="A50" s="39">
        <v>42948</v>
      </c>
      <c r="B50" s="74">
        <v>20</v>
      </c>
      <c r="C50" s="74">
        <v>21</v>
      </c>
      <c r="D50" s="74">
        <f t="shared" si="0"/>
        <v>1</v>
      </c>
      <c r="E50" s="75" t="str">
        <f t="shared" si="1"/>
        <v>Pass</v>
      </c>
      <c r="F50" s="74">
        <v>1534</v>
      </c>
      <c r="H50" s="76" t="s">
        <v>256</v>
      </c>
      <c r="I50" s="77">
        <v>100</v>
      </c>
      <c r="J50" s="77">
        <v>50</v>
      </c>
    </row>
    <row r="51" spans="1:10" x14ac:dyDescent="0.3">
      <c r="A51" s="39">
        <v>42957</v>
      </c>
      <c r="B51" s="74">
        <v>20</v>
      </c>
      <c r="C51" s="74">
        <v>45</v>
      </c>
      <c r="D51" s="74">
        <f t="shared" si="0"/>
        <v>25</v>
      </c>
      <c r="E51" s="75" t="str">
        <f t="shared" si="1"/>
        <v>Pass</v>
      </c>
      <c r="F51" s="74">
        <v>1428</v>
      </c>
      <c r="H51" s="76"/>
      <c r="I51" s="77">
        <v>100</v>
      </c>
      <c r="J51" s="77">
        <v>50</v>
      </c>
    </row>
    <row r="52" spans="1:10" x14ac:dyDescent="0.3">
      <c r="A52" s="39">
        <v>42969</v>
      </c>
      <c r="B52" s="74">
        <v>7</v>
      </c>
      <c r="C52" s="74">
        <v>7</v>
      </c>
      <c r="D52" s="74">
        <f t="shared" si="0"/>
        <v>0</v>
      </c>
      <c r="E52" s="75" t="str">
        <f t="shared" si="1"/>
        <v>Pass</v>
      </c>
      <c r="F52" s="74">
        <v>1159</v>
      </c>
      <c r="G52" s="69" t="s">
        <v>44</v>
      </c>
      <c r="H52" s="69"/>
      <c r="I52" s="77">
        <v>100</v>
      </c>
      <c r="J52" s="77">
        <v>50</v>
      </c>
    </row>
    <row r="53" spans="1:10" x14ac:dyDescent="0.3">
      <c r="A53" s="39">
        <v>42975</v>
      </c>
      <c r="B53" s="74">
        <v>12</v>
      </c>
      <c r="C53" s="74">
        <v>17</v>
      </c>
      <c r="D53" s="74">
        <f t="shared" si="0"/>
        <v>5</v>
      </c>
      <c r="E53" s="75" t="str">
        <f>IF((D53=""),"",IF(D53&lt;=50,"Pass","Fail"))</f>
        <v>Pass</v>
      </c>
      <c r="F53" s="74">
        <v>1428</v>
      </c>
      <c r="G53" s="76" t="s">
        <v>23</v>
      </c>
      <c r="H53" s="76"/>
      <c r="I53" s="77">
        <v>100</v>
      </c>
      <c r="J53" s="77">
        <v>50</v>
      </c>
    </row>
    <row r="54" spans="1:10" x14ac:dyDescent="0.3">
      <c r="A54" s="39">
        <v>42982</v>
      </c>
      <c r="B54" s="74">
        <v>13</v>
      </c>
      <c r="C54" s="74">
        <v>25</v>
      </c>
      <c r="D54" s="74">
        <f t="shared" si="0"/>
        <v>12</v>
      </c>
      <c r="E54" s="75" t="str">
        <f t="shared" si="1"/>
        <v>Pass</v>
      </c>
      <c r="F54" s="74">
        <v>1335</v>
      </c>
      <c r="G54" s="76" t="s">
        <v>23</v>
      </c>
      <c r="H54" s="76"/>
      <c r="I54" s="77">
        <v>100</v>
      </c>
      <c r="J54" s="77">
        <v>50</v>
      </c>
    </row>
    <row r="55" spans="1:10" x14ac:dyDescent="0.3">
      <c r="A55" s="39">
        <v>42989</v>
      </c>
      <c r="B55" s="74">
        <v>2</v>
      </c>
      <c r="C55" s="74">
        <v>5</v>
      </c>
      <c r="D55" s="74">
        <f t="shared" si="0"/>
        <v>3</v>
      </c>
      <c r="E55" s="75" t="str">
        <f t="shared" si="1"/>
        <v>Pass</v>
      </c>
      <c r="F55" s="74">
        <v>102</v>
      </c>
      <c r="G55" s="76" t="s">
        <v>23</v>
      </c>
      <c r="H55" s="76"/>
      <c r="I55" s="77">
        <v>100</v>
      </c>
      <c r="J55" s="77">
        <v>50</v>
      </c>
    </row>
    <row r="56" spans="1:10" x14ac:dyDescent="0.3">
      <c r="A56" s="39">
        <v>42993</v>
      </c>
      <c r="B56" s="74">
        <v>17</v>
      </c>
      <c r="C56" s="74">
        <v>16</v>
      </c>
      <c r="D56" s="74">
        <f t="shared" si="0"/>
        <v>-1</v>
      </c>
      <c r="E56" s="75" t="str">
        <f t="shared" si="1"/>
        <v>Pass</v>
      </c>
      <c r="F56" s="74">
        <v>1159</v>
      </c>
      <c r="G56" s="69" t="s">
        <v>45</v>
      </c>
      <c r="H56" s="69"/>
      <c r="I56" s="77">
        <v>100</v>
      </c>
      <c r="J56" s="77">
        <v>50</v>
      </c>
    </row>
    <row r="57" spans="1:10" x14ac:dyDescent="0.3">
      <c r="A57" s="39">
        <v>42997</v>
      </c>
      <c r="B57" s="74">
        <v>25</v>
      </c>
      <c r="C57" s="74">
        <v>51</v>
      </c>
      <c r="D57" s="74">
        <f t="shared" si="0"/>
        <v>26</v>
      </c>
      <c r="E57" s="75" t="str">
        <f t="shared" si="1"/>
        <v>Pass</v>
      </c>
      <c r="F57" s="74">
        <v>1428</v>
      </c>
      <c r="G57" s="69" t="s">
        <v>46</v>
      </c>
      <c r="H57" s="69"/>
      <c r="I57" s="77">
        <v>100</v>
      </c>
      <c r="J57" s="77">
        <v>50</v>
      </c>
    </row>
    <row r="58" spans="1:10" x14ac:dyDescent="0.3">
      <c r="A58" s="39">
        <v>42998</v>
      </c>
      <c r="B58" s="74">
        <v>47</v>
      </c>
      <c r="C58" s="74">
        <v>56</v>
      </c>
      <c r="D58" s="74">
        <f t="shared" si="0"/>
        <v>9</v>
      </c>
      <c r="E58" s="75" t="str">
        <f t="shared" si="1"/>
        <v>Pass</v>
      </c>
      <c r="F58" s="74">
        <v>64</v>
      </c>
      <c r="G58" s="69" t="s">
        <v>46</v>
      </c>
      <c r="H58" s="69"/>
      <c r="I58" s="77">
        <v>100</v>
      </c>
      <c r="J58" s="77">
        <v>50</v>
      </c>
    </row>
    <row r="59" spans="1:10" x14ac:dyDescent="0.3">
      <c r="A59" s="39">
        <v>43003</v>
      </c>
      <c r="B59" s="74">
        <v>7</v>
      </c>
      <c r="C59" s="74">
        <v>20</v>
      </c>
      <c r="D59" s="74">
        <f t="shared" si="0"/>
        <v>13</v>
      </c>
      <c r="E59" s="75" t="str">
        <f t="shared" si="1"/>
        <v>Pass</v>
      </c>
      <c r="F59" s="74" t="s">
        <v>47</v>
      </c>
      <c r="G59" s="69" t="s">
        <v>48</v>
      </c>
      <c r="H59" s="69"/>
      <c r="I59" s="77">
        <v>100</v>
      </c>
      <c r="J59" s="77">
        <v>50</v>
      </c>
    </row>
    <row r="60" spans="1:10" x14ac:dyDescent="0.3">
      <c r="A60" s="39">
        <v>43006</v>
      </c>
      <c r="B60" s="74">
        <v>57</v>
      </c>
      <c r="C60" s="74">
        <v>56</v>
      </c>
      <c r="D60" s="74">
        <f t="shared" si="0"/>
        <v>-1</v>
      </c>
      <c r="E60" s="75" t="str">
        <f t="shared" si="1"/>
        <v>Pass</v>
      </c>
      <c r="F60" s="74">
        <v>121</v>
      </c>
      <c r="G60" s="76" t="s">
        <v>49</v>
      </c>
      <c r="H60" s="76"/>
      <c r="I60" s="77">
        <v>100</v>
      </c>
      <c r="J60" s="77">
        <v>50</v>
      </c>
    </row>
    <row r="61" spans="1:10" x14ac:dyDescent="0.3">
      <c r="A61" s="39">
        <v>43007</v>
      </c>
      <c r="B61" s="74">
        <v>4</v>
      </c>
      <c r="C61" s="74">
        <v>10</v>
      </c>
      <c r="D61" s="74">
        <f t="shared" si="0"/>
        <v>6</v>
      </c>
      <c r="E61" s="75" t="str">
        <f t="shared" si="1"/>
        <v>Pass</v>
      </c>
      <c r="F61" s="74">
        <v>1534</v>
      </c>
      <c r="H61" s="76" t="s">
        <v>50</v>
      </c>
      <c r="I61" s="77">
        <v>100</v>
      </c>
      <c r="J61" s="77">
        <v>50</v>
      </c>
    </row>
    <row r="62" spans="1:10" x14ac:dyDescent="0.3">
      <c r="A62" s="39">
        <v>43010</v>
      </c>
      <c r="B62" s="74">
        <v>9</v>
      </c>
      <c r="C62" s="74">
        <v>7</v>
      </c>
      <c r="D62" s="74">
        <f t="shared" si="0"/>
        <v>-2</v>
      </c>
      <c r="E62" s="75" t="str">
        <f t="shared" si="1"/>
        <v>Pass</v>
      </c>
      <c r="F62" s="74">
        <v>1159</v>
      </c>
      <c r="G62" s="69" t="s">
        <v>51</v>
      </c>
      <c r="H62" s="69"/>
      <c r="I62" s="77">
        <v>100</v>
      </c>
      <c r="J62" s="77">
        <v>50</v>
      </c>
    </row>
    <row r="63" spans="1:10" x14ac:dyDescent="0.3">
      <c r="A63" s="39">
        <v>43010</v>
      </c>
      <c r="B63" s="74">
        <v>11</v>
      </c>
      <c r="C63" s="74">
        <v>10</v>
      </c>
      <c r="D63" s="74">
        <f t="shared" si="0"/>
        <v>-1</v>
      </c>
      <c r="E63" s="75" t="str">
        <f t="shared" si="1"/>
        <v>Pass</v>
      </c>
      <c r="F63" s="74">
        <v>1159</v>
      </c>
      <c r="G63" s="69" t="s">
        <v>52</v>
      </c>
      <c r="H63" s="69"/>
      <c r="I63" s="77">
        <v>100</v>
      </c>
      <c r="J63" s="77">
        <v>50</v>
      </c>
    </row>
    <row r="64" spans="1:10" x14ac:dyDescent="0.3">
      <c r="A64" s="39">
        <v>43012</v>
      </c>
      <c r="B64" s="74">
        <v>13</v>
      </c>
      <c r="C64" s="74">
        <v>6</v>
      </c>
      <c r="D64" s="74">
        <f t="shared" si="0"/>
        <v>-7</v>
      </c>
      <c r="E64" s="75" t="str">
        <f t="shared" si="1"/>
        <v>Pass</v>
      </c>
      <c r="F64" s="74">
        <v>121</v>
      </c>
      <c r="G64" s="69" t="s">
        <v>53</v>
      </c>
      <c r="H64" s="69"/>
      <c r="I64" s="77">
        <v>100</v>
      </c>
      <c r="J64" s="77">
        <v>50</v>
      </c>
    </row>
    <row r="65" spans="1:10" x14ac:dyDescent="0.3">
      <c r="A65" s="39">
        <v>43017</v>
      </c>
      <c r="B65" s="74">
        <v>6</v>
      </c>
      <c r="C65" s="74">
        <v>18</v>
      </c>
      <c r="D65" s="74">
        <f t="shared" si="0"/>
        <v>12</v>
      </c>
      <c r="E65" s="75" t="str">
        <f t="shared" si="1"/>
        <v>Pass</v>
      </c>
      <c r="F65" s="74">
        <v>1428</v>
      </c>
      <c r="H65" s="76"/>
      <c r="I65" s="77">
        <v>100</v>
      </c>
      <c r="J65" s="77">
        <v>50</v>
      </c>
    </row>
    <row r="66" spans="1:10" x14ac:dyDescent="0.3">
      <c r="A66" s="39">
        <v>43023</v>
      </c>
      <c r="B66" s="74">
        <v>16</v>
      </c>
      <c r="C66" s="74">
        <v>13</v>
      </c>
      <c r="D66" s="74">
        <f t="shared" si="0"/>
        <v>-3</v>
      </c>
      <c r="E66" s="75" t="str">
        <f>IF((D66=""),"",IF(D66&lt;=50,"Pass","Fail"))</f>
        <v>Pass</v>
      </c>
      <c r="F66" s="74">
        <v>121</v>
      </c>
      <c r="G66" s="69" t="s">
        <v>54</v>
      </c>
      <c r="H66" s="69"/>
      <c r="I66" s="77">
        <v>100</v>
      </c>
      <c r="J66" s="77">
        <v>50</v>
      </c>
    </row>
    <row r="67" spans="1:10" x14ac:dyDescent="0.3">
      <c r="A67" s="39">
        <v>43028</v>
      </c>
      <c r="B67" s="74">
        <v>12</v>
      </c>
      <c r="C67" s="74">
        <v>15</v>
      </c>
      <c r="D67" s="74">
        <f t="shared" si="0"/>
        <v>3</v>
      </c>
      <c r="E67" s="75" t="str">
        <f t="shared" si="1"/>
        <v>Pass</v>
      </c>
      <c r="F67" s="74">
        <v>1335</v>
      </c>
      <c r="G67" s="69" t="s">
        <v>55</v>
      </c>
      <c r="H67" s="69"/>
      <c r="I67" s="77">
        <v>100</v>
      </c>
      <c r="J67" s="77">
        <v>50</v>
      </c>
    </row>
    <row r="68" spans="1:10" x14ac:dyDescent="0.3">
      <c r="A68" s="39">
        <v>43032</v>
      </c>
      <c r="B68" s="74">
        <v>15</v>
      </c>
      <c r="C68" s="74">
        <v>13</v>
      </c>
      <c r="D68" s="74">
        <f t="shared" si="0"/>
        <v>-2</v>
      </c>
      <c r="E68" s="75" t="str">
        <f t="shared" si="1"/>
        <v>Pass</v>
      </c>
      <c r="F68" s="74">
        <v>1159</v>
      </c>
      <c r="G68" s="69" t="s">
        <v>56</v>
      </c>
      <c r="H68" s="69"/>
      <c r="I68" s="77">
        <v>100</v>
      </c>
      <c r="J68" s="77">
        <v>50</v>
      </c>
    </row>
    <row r="69" spans="1:10" x14ac:dyDescent="0.3">
      <c r="A69" s="39">
        <v>43038</v>
      </c>
      <c r="B69" s="74">
        <v>6</v>
      </c>
      <c r="C69" s="74">
        <v>5</v>
      </c>
      <c r="D69" s="74">
        <f t="shared" si="0"/>
        <v>-1</v>
      </c>
      <c r="E69" s="75" t="str">
        <f t="shared" si="1"/>
        <v>Pass</v>
      </c>
      <c r="F69" s="74">
        <v>64</v>
      </c>
      <c r="G69" s="69" t="s">
        <v>23</v>
      </c>
      <c r="H69" s="76"/>
      <c r="I69" s="77">
        <v>100</v>
      </c>
      <c r="J69" s="77">
        <v>50</v>
      </c>
    </row>
    <row r="70" spans="1:10" x14ac:dyDescent="0.3">
      <c r="A70" s="39">
        <v>43042</v>
      </c>
      <c r="B70" s="74">
        <v>7</v>
      </c>
      <c r="C70" s="74">
        <v>18</v>
      </c>
      <c r="D70" s="74">
        <f t="shared" si="0"/>
        <v>11</v>
      </c>
      <c r="E70" s="75" t="str">
        <f t="shared" si="1"/>
        <v>Pass</v>
      </c>
      <c r="F70" s="74">
        <v>121</v>
      </c>
      <c r="G70" s="69" t="s">
        <v>57</v>
      </c>
      <c r="H70" s="76"/>
      <c r="I70" s="77">
        <v>100</v>
      </c>
      <c r="J70" s="77">
        <v>50</v>
      </c>
    </row>
    <row r="71" spans="1:10" x14ac:dyDescent="0.3">
      <c r="A71" s="39">
        <v>43042</v>
      </c>
      <c r="B71" s="74">
        <v>12</v>
      </c>
      <c r="C71" s="74">
        <v>15</v>
      </c>
      <c r="D71" s="74">
        <f t="shared" si="0"/>
        <v>3</v>
      </c>
      <c r="E71" s="75" t="str">
        <f t="shared" si="1"/>
        <v>Pass</v>
      </c>
      <c r="F71" s="74">
        <v>1335</v>
      </c>
      <c r="H71" s="76" t="s">
        <v>50</v>
      </c>
      <c r="I71" s="77">
        <v>100</v>
      </c>
      <c r="J71" s="77">
        <v>50</v>
      </c>
    </row>
    <row r="72" spans="1:10" x14ac:dyDescent="0.3">
      <c r="A72" s="39">
        <v>43046</v>
      </c>
      <c r="B72" s="74">
        <v>11</v>
      </c>
      <c r="C72" s="74">
        <v>6</v>
      </c>
      <c r="D72" s="74">
        <f t="shared" si="0"/>
        <v>-5</v>
      </c>
      <c r="E72" s="75" t="str">
        <f t="shared" si="1"/>
        <v>Pass</v>
      </c>
      <c r="F72" s="74">
        <v>1335</v>
      </c>
      <c r="G72" s="69" t="s">
        <v>23</v>
      </c>
      <c r="H72" s="76"/>
      <c r="I72" s="77">
        <v>100</v>
      </c>
      <c r="J72" s="77">
        <v>50</v>
      </c>
    </row>
    <row r="73" spans="1:10" x14ac:dyDescent="0.3">
      <c r="A73" s="39">
        <v>43052</v>
      </c>
      <c r="B73" s="74">
        <v>2</v>
      </c>
      <c r="C73" s="74">
        <v>12</v>
      </c>
      <c r="D73" s="74">
        <f t="shared" si="0"/>
        <v>10</v>
      </c>
      <c r="E73" s="75" t="str">
        <f t="shared" si="1"/>
        <v>Pass</v>
      </c>
      <c r="F73" s="74">
        <v>102</v>
      </c>
      <c r="G73" s="69" t="s">
        <v>58</v>
      </c>
      <c r="H73" s="76"/>
      <c r="I73" s="77">
        <v>100</v>
      </c>
      <c r="J73" s="77">
        <v>50</v>
      </c>
    </row>
    <row r="74" spans="1:10" x14ac:dyDescent="0.3">
      <c r="A74" s="39">
        <v>43056</v>
      </c>
      <c r="B74" s="74">
        <v>11</v>
      </c>
      <c r="C74" s="74">
        <v>9</v>
      </c>
      <c r="D74" s="74">
        <f t="shared" si="0"/>
        <v>-2</v>
      </c>
      <c r="E74" s="75" t="str">
        <f t="shared" si="1"/>
        <v>Pass</v>
      </c>
      <c r="F74" s="74">
        <v>121</v>
      </c>
      <c r="G74" s="69" t="s">
        <v>59</v>
      </c>
      <c r="H74" s="76"/>
      <c r="I74" s="77">
        <v>100</v>
      </c>
      <c r="J74" s="77">
        <v>50</v>
      </c>
    </row>
    <row r="75" spans="1:10" x14ac:dyDescent="0.3">
      <c r="A75" s="39">
        <v>43060</v>
      </c>
      <c r="B75" s="74">
        <v>12</v>
      </c>
      <c r="C75" s="74">
        <v>14</v>
      </c>
      <c r="D75" s="74">
        <f t="shared" ref="D75:D99" si="2">IF(((B75="")*AND(C75="")),"",(C75-B75))</f>
        <v>2</v>
      </c>
      <c r="E75" s="75" t="str">
        <f t="shared" si="1"/>
        <v>Pass</v>
      </c>
      <c r="F75" s="74">
        <v>102</v>
      </c>
      <c r="G75" s="69" t="s">
        <v>60</v>
      </c>
      <c r="H75" s="76"/>
      <c r="I75" s="77">
        <v>100</v>
      </c>
      <c r="J75" s="77">
        <v>50</v>
      </c>
    </row>
    <row r="76" spans="1:10" x14ac:dyDescent="0.3">
      <c r="A76" s="39">
        <v>43063</v>
      </c>
      <c r="B76" s="74">
        <v>16</v>
      </c>
      <c r="C76" s="74">
        <v>23</v>
      </c>
      <c r="D76" s="74">
        <f t="shared" si="2"/>
        <v>7</v>
      </c>
      <c r="E76" s="75" t="str">
        <f t="shared" ref="E76:E81" si="3">IF((D76=""),"",IF(D76&lt;=50,"Pass","Fail"))</f>
        <v>Pass</v>
      </c>
      <c r="F76" s="74">
        <v>1428</v>
      </c>
      <c r="G76" s="69" t="s">
        <v>60</v>
      </c>
      <c r="H76" s="76"/>
      <c r="I76" s="77">
        <v>100</v>
      </c>
      <c r="J76" s="77">
        <v>50</v>
      </c>
    </row>
    <row r="77" spans="1:10" x14ac:dyDescent="0.3">
      <c r="A77" s="39">
        <v>43068</v>
      </c>
      <c r="B77" s="74">
        <v>22</v>
      </c>
      <c r="C77" s="74">
        <v>9</v>
      </c>
      <c r="D77" s="74">
        <f t="shared" si="2"/>
        <v>-13</v>
      </c>
      <c r="E77" s="75" t="str">
        <f t="shared" si="3"/>
        <v>Pass</v>
      </c>
      <c r="F77" s="74">
        <v>1335</v>
      </c>
      <c r="G77" s="69" t="s">
        <v>61</v>
      </c>
      <c r="H77" s="76"/>
      <c r="I77" s="77">
        <v>100</v>
      </c>
      <c r="J77" s="77">
        <v>50</v>
      </c>
    </row>
    <row r="78" spans="1:10" x14ac:dyDescent="0.3">
      <c r="A78" s="39">
        <v>43073</v>
      </c>
      <c r="B78" s="74">
        <v>12</v>
      </c>
      <c r="C78" s="74">
        <v>11</v>
      </c>
      <c r="D78" s="74">
        <f t="shared" si="2"/>
        <v>-1</v>
      </c>
      <c r="E78" s="75" t="str">
        <f t="shared" si="3"/>
        <v>Pass</v>
      </c>
      <c r="F78" s="74">
        <v>102</v>
      </c>
      <c r="G78" s="69" t="s">
        <v>23</v>
      </c>
      <c r="H78" s="76"/>
      <c r="I78" s="77">
        <v>100</v>
      </c>
      <c r="J78" s="77">
        <v>50</v>
      </c>
    </row>
    <row r="79" spans="1:10" x14ac:dyDescent="0.3">
      <c r="A79" s="39">
        <v>43076</v>
      </c>
      <c r="B79" s="74">
        <v>43</v>
      </c>
      <c r="C79" s="74">
        <v>43</v>
      </c>
      <c r="D79" s="74">
        <f t="shared" si="2"/>
        <v>0</v>
      </c>
      <c r="E79" s="75" t="str">
        <f t="shared" si="3"/>
        <v>Pass</v>
      </c>
      <c r="F79" s="74">
        <v>1534</v>
      </c>
      <c r="G79" s="69" t="s">
        <v>23</v>
      </c>
      <c r="H79" s="76"/>
      <c r="I79" s="77">
        <v>100</v>
      </c>
      <c r="J79" s="77">
        <v>50</v>
      </c>
    </row>
    <row r="80" spans="1:10" x14ac:dyDescent="0.3">
      <c r="A80" s="39">
        <v>43081</v>
      </c>
      <c r="B80" s="74">
        <v>7</v>
      </c>
      <c r="C80" s="74">
        <v>4</v>
      </c>
      <c r="D80" s="74">
        <f t="shared" si="2"/>
        <v>-3</v>
      </c>
      <c r="E80" s="75" t="str">
        <f t="shared" si="3"/>
        <v>Pass</v>
      </c>
      <c r="F80" s="74">
        <v>1159</v>
      </c>
      <c r="G80" s="69" t="s">
        <v>62</v>
      </c>
      <c r="H80" s="76"/>
      <c r="I80" s="77">
        <v>100</v>
      </c>
      <c r="J80" s="77">
        <v>50</v>
      </c>
    </row>
    <row r="81" spans="1:10" x14ac:dyDescent="0.3">
      <c r="A81" s="39">
        <v>43085</v>
      </c>
      <c r="B81" s="74">
        <v>3</v>
      </c>
      <c r="C81" s="74">
        <v>4</v>
      </c>
      <c r="D81" s="74">
        <f t="shared" si="2"/>
        <v>1</v>
      </c>
      <c r="E81" s="75" t="str">
        <f t="shared" si="3"/>
        <v>Pass</v>
      </c>
      <c r="F81" s="74">
        <v>121</v>
      </c>
      <c r="G81" s="69" t="s">
        <v>63</v>
      </c>
      <c r="H81" s="76"/>
      <c r="I81" s="77">
        <v>100</v>
      </c>
      <c r="J81" s="77">
        <v>50</v>
      </c>
    </row>
    <row r="82" spans="1:10" x14ac:dyDescent="0.3">
      <c r="A82" s="39">
        <v>43090</v>
      </c>
      <c r="B82" s="74">
        <v>4</v>
      </c>
      <c r="C82" s="74">
        <v>10</v>
      </c>
      <c r="D82" s="74">
        <f t="shared" si="2"/>
        <v>6</v>
      </c>
      <c r="E82" s="75" t="str">
        <f>IF((D82=""),"",IF(D82&lt;=50,"Pass","Fail"))</f>
        <v>Pass</v>
      </c>
      <c r="F82" s="74">
        <v>1335</v>
      </c>
      <c r="G82" s="69" t="s">
        <v>63</v>
      </c>
      <c r="H82" s="76"/>
      <c r="I82" s="77">
        <v>100</v>
      </c>
      <c r="J82" s="77">
        <v>50</v>
      </c>
    </row>
    <row r="83" spans="1:10" x14ac:dyDescent="0.3">
      <c r="A83" s="39">
        <v>43095</v>
      </c>
      <c r="B83" s="74">
        <v>3</v>
      </c>
      <c r="C83" s="74">
        <v>3</v>
      </c>
      <c r="D83" s="74">
        <f t="shared" si="2"/>
        <v>0</v>
      </c>
      <c r="E83" s="75" t="str">
        <f t="shared" ref="E83:E145" si="4">IF((D83=""),"",IF(D83&lt;=50,"Pass","Fail"))</f>
        <v>Pass</v>
      </c>
      <c r="F83" s="74">
        <v>64</v>
      </c>
      <c r="G83" s="69" t="s">
        <v>63</v>
      </c>
      <c r="H83" s="76"/>
      <c r="I83" s="77">
        <v>100</v>
      </c>
      <c r="J83" s="77">
        <v>50</v>
      </c>
    </row>
    <row r="84" spans="1:10" x14ac:dyDescent="0.3">
      <c r="A84" s="39">
        <v>43097</v>
      </c>
      <c r="B84" s="74">
        <v>4</v>
      </c>
      <c r="C84" s="74">
        <v>11</v>
      </c>
      <c r="D84" s="74">
        <f t="shared" si="2"/>
        <v>7</v>
      </c>
      <c r="E84" s="75" t="str">
        <f t="shared" si="4"/>
        <v>Pass</v>
      </c>
      <c r="F84" s="74">
        <v>64</v>
      </c>
      <c r="G84" s="69" t="s">
        <v>63</v>
      </c>
      <c r="H84" s="76"/>
      <c r="I84" s="77">
        <v>100</v>
      </c>
      <c r="J84" s="77">
        <v>50</v>
      </c>
    </row>
    <row r="85" spans="1:10" x14ac:dyDescent="0.3">
      <c r="A85" s="39">
        <v>43106</v>
      </c>
      <c r="B85" s="74">
        <v>19</v>
      </c>
      <c r="C85" s="74">
        <v>37</v>
      </c>
      <c r="D85" s="74">
        <f t="shared" si="2"/>
        <v>18</v>
      </c>
      <c r="E85" s="75" t="str">
        <f t="shared" si="4"/>
        <v>Pass</v>
      </c>
      <c r="F85" s="74">
        <v>102</v>
      </c>
      <c r="G85" s="69" t="s">
        <v>64</v>
      </c>
      <c r="H85" s="76"/>
      <c r="I85" s="77">
        <v>100</v>
      </c>
      <c r="J85" s="77">
        <v>50</v>
      </c>
    </row>
    <row r="86" spans="1:10" x14ac:dyDescent="0.3">
      <c r="A86" s="39">
        <v>43110</v>
      </c>
      <c r="B86" s="74">
        <v>21</v>
      </c>
      <c r="C86" s="74">
        <v>22</v>
      </c>
      <c r="D86" s="74">
        <f t="shared" si="2"/>
        <v>1</v>
      </c>
      <c r="E86" s="75" t="str">
        <f t="shared" si="4"/>
        <v>Pass</v>
      </c>
      <c r="F86" s="74">
        <v>121</v>
      </c>
      <c r="G86" s="69" t="s">
        <v>63</v>
      </c>
      <c r="H86" s="76"/>
      <c r="I86" s="77">
        <v>100</v>
      </c>
      <c r="J86" s="77">
        <v>50</v>
      </c>
    </row>
    <row r="87" spans="1:10" x14ac:dyDescent="0.3">
      <c r="A87" s="39">
        <v>43115</v>
      </c>
      <c r="B87" s="74">
        <v>11</v>
      </c>
      <c r="C87" s="74">
        <v>15</v>
      </c>
      <c r="D87" s="74">
        <f t="shared" si="2"/>
        <v>4</v>
      </c>
      <c r="E87" s="75" t="str">
        <f t="shared" si="4"/>
        <v>Pass</v>
      </c>
      <c r="F87" s="74">
        <v>1159</v>
      </c>
      <c r="G87" s="69" t="s">
        <v>23</v>
      </c>
      <c r="H87" s="76"/>
      <c r="I87" s="77">
        <v>100</v>
      </c>
      <c r="J87" s="77">
        <v>50</v>
      </c>
    </row>
    <row r="88" spans="1:10" x14ac:dyDescent="0.3">
      <c r="A88" s="39">
        <v>43115</v>
      </c>
      <c r="B88" s="74">
        <v>2</v>
      </c>
      <c r="C88" s="74">
        <v>5</v>
      </c>
      <c r="D88" s="74">
        <f t="shared" si="2"/>
        <v>3</v>
      </c>
      <c r="E88" s="75" t="str">
        <f t="shared" si="4"/>
        <v>Pass</v>
      </c>
      <c r="F88" s="74">
        <v>1159</v>
      </c>
      <c r="G88" s="69" t="s">
        <v>65</v>
      </c>
      <c r="H88" s="76"/>
      <c r="I88" s="77">
        <v>100</v>
      </c>
      <c r="J88" s="77">
        <v>50</v>
      </c>
    </row>
    <row r="89" spans="1:10" x14ac:dyDescent="0.3">
      <c r="A89" s="39">
        <v>43121</v>
      </c>
      <c r="B89" s="74">
        <v>2</v>
      </c>
      <c r="C89" s="74">
        <v>5</v>
      </c>
      <c r="D89" s="74">
        <f t="shared" si="2"/>
        <v>3</v>
      </c>
      <c r="E89" s="75" t="str">
        <f t="shared" si="4"/>
        <v>Pass</v>
      </c>
      <c r="F89" s="74">
        <v>1428</v>
      </c>
      <c r="G89" s="69" t="s">
        <v>66</v>
      </c>
      <c r="H89" s="76"/>
      <c r="I89" s="77">
        <v>100</v>
      </c>
      <c r="J89" s="77">
        <v>50</v>
      </c>
    </row>
    <row r="90" spans="1:10" x14ac:dyDescent="0.3">
      <c r="A90" s="39">
        <v>43125</v>
      </c>
      <c r="B90" s="74">
        <v>5</v>
      </c>
      <c r="C90" s="74">
        <v>6</v>
      </c>
      <c r="D90" s="74">
        <f t="shared" si="2"/>
        <v>1</v>
      </c>
      <c r="E90" s="75" t="str">
        <f t="shared" si="4"/>
        <v>Pass</v>
      </c>
      <c r="F90" s="74">
        <v>102</v>
      </c>
      <c r="G90" s="69" t="s">
        <v>63</v>
      </c>
      <c r="H90" s="76"/>
      <c r="I90" s="77">
        <v>100</v>
      </c>
      <c r="J90" s="77">
        <v>50</v>
      </c>
    </row>
    <row r="91" spans="1:10" x14ac:dyDescent="0.3">
      <c r="A91" s="39">
        <v>43129</v>
      </c>
      <c r="B91" s="74">
        <v>3</v>
      </c>
      <c r="C91" s="74">
        <v>5</v>
      </c>
      <c r="D91" s="74">
        <f t="shared" si="2"/>
        <v>2</v>
      </c>
      <c r="E91" s="75" t="str">
        <f t="shared" si="4"/>
        <v>Pass</v>
      </c>
      <c r="F91" s="74" t="s">
        <v>67</v>
      </c>
      <c r="H91" s="76"/>
      <c r="I91" s="77">
        <v>100</v>
      </c>
      <c r="J91" s="77">
        <v>50</v>
      </c>
    </row>
    <row r="92" spans="1:10" x14ac:dyDescent="0.3">
      <c r="A92" s="39">
        <v>43133</v>
      </c>
      <c r="B92" s="74">
        <v>3</v>
      </c>
      <c r="C92" s="74">
        <v>5</v>
      </c>
      <c r="D92" s="74">
        <f t="shared" si="2"/>
        <v>2</v>
      </c>
      <c r="E92" s="75" t="str">
        <f t="shared" si="4"/>
        <v>Pass</v>
      </c>
      <c r="F92" s="74">
        <v>1335</v>
      </c>
      <c r="G92" s="69" t="s">
        <v>32</v>
      </c>
      <c r="H92" s="76"/>
      <c r="I92" s="77">
        <v>100</v>
      </c>
      <c r="J92" s="77">
        <v>50</v>
      </c>
    </row>
    <row r="93" spans="1:10" x14ac:dyDescent="0.3">
      <c r="A93" s="39">
        <v>43137</v>
      </c>
      <c r="B93" s="74">
        <v>34</v>
      </c>
      <c r="C93" s="74">
        <v>92</v>
      </c>
      <c r="D93" s="74">
        <f t="shared" si="2"/>
        <v>58</v>
      </c>
      <c r="E93" s="75" t="str">
        <f t="shared" si="4"/>
        <v>Fail</v>
      </c>
      <c r="F93" s="74">
        <v>1519</v>
      </c>
      <c r="G93" s="69" t="s">
        <v>32</v>
      </c>
      <c r="H93" s="76"/>
      <c r="I93" s="77">
        <v>100</v>
      </c>
      <c r="J93" s="77">
        <v>50</v>
      </c>
    </row>
    <row r="94" spans="1:10" x14ac:dyDescent="0.3">
      <c r="A94" s="39">
        <v>43141</v>
      </c>
      <c r="B94" s="74">
        <v>5</v>
      </c>
      <c r="C94" s="74">
        <v>22</v>
      </c>
      <c r="D94" s="74">
        <f t="shared" si="2"/>
        <v>17</v>
      </c>
      <c r="E94" s="75" t="str">
        <f t="shared" si="4"/>
        <v>Pass</v>
      </c>
      <c r="F94" s="74">
        <v>102</v>
      </c>
      <c r="G94" s="69" t="s">
        <v>58</v>
      </c>
      <c r="H94" s="76"/>
      <c r="I94" s="77">
        <v>100</v>
      </c>
      <c r="J94" s="77">
        <v>50</v>
      </c>
    </row>
    <row r="95" spans="1:10" x14ac:dyDescent="0.3">
      <c r="A95" s="39">
        <v>43146</v>
      </c>
      <c r="B95" s="74">
        <v>17</v>
      </c>
      <c r="C95" s="74">
        <v>29</v>
      </c>
      <c r="D95" s="74">
        <f t="shared" si="2"/>
        <v>12</v>
      </c>
      <c r="E95" s="75" t="str">
        <f t="shared" si="4"/>
        <v>Pass</v>
      </c>
      <c r="F95" s="74">
        <v>1428</v>
      </c>
      <c r="G95" s="69" t="s">
        <v>32</v>
      </c>
      <c r="H95" s="76"/>
      <c r="I95" s="77">
        <v>100</v>
      </c>
      <c r="J95" s="77">
        <v>50</v>
      </c>
    </row>
    <row r="96" spans="1:10" x14ac:dyDescent="0.3">
      <c r="A96" s="39">
        <v>43151</v>
      </c>
      <c r="B96" s="74">
        <v>53</v>
      </c>
      <c r="C96" s="74">
        <v>222</v>
      </c>
      <c r="D96" s="74">
        <f t="shared" si="2"/>
        <v>169</v>
      </c>
      <c r="E96" s="75" t="str">
        <f t="shared" si="4"/>
        <v>Fail</v>
      </c>
      <c r="F96" s="74">
        <v>121</v>
      </c>
      <c r="G96" s="69" t="s">
        <v>68</v>
      </c>
      <c r="H96" s="76"/>
      <c r="I96" s="77">
        <v>100</v>
      </c>
      <c r="J96" s="77">
        <v>50</v>
      </c>
    </row>
    <row r="97" spans="1:10" x14ac:dyDescent="0.3">
      <c r="A97" s="39">
        <v>43151</v>
      </c>
      <c r="B97" s="74">
        <v>26</v>
      </c>
      <c r="C97" s="74">
        <v>66</v>
      </c>
      <c r="D97" s="74">
        <f t="shared" si="2"/>
        <v>40</v>
      </c>
      <c r="E97" s="75" t="str">
        <f t="shared" si="4"/>
        <v>Pass</v>
      </c>
      <c r="F97" s="74">
        <v>1159</v>
      </c>
      <c r="G97" s="69" t="s">
        <v>69</v>
      </c>
      <c r="H97" s="76"/>
      <c r="I97" s="77">
        <v>100</v>
      </c>
      <c r="J97" s="77">
        <v>50</v>
      </c>
    </row>
    <row r="98" spans="1:10" x14ac:dyDescent="0.3">
      <c r="A98" s="39">
        <v>43159</v>
      </c>
      <c r="B98" s="74">
        <v>7</v>
      </c>
      <c r="C98" s="74">
        <v>15</v>
      </c>
      <c r="D98" s="74">
        <f t="shared" si="2"/>
        <v>8</v>
      </c>
      <c r="E98" s="75" t="str">
        <f t="shared" si="4"/>
        <v>Pass</v>
      </c>
      <c r="F98" s="74">
        <v>1159</v>
      </c>
      <c r="G98" s="69" t="s">
        <v>70</v>
      </c>
      <c r="H98" s="76"/>
      <c r="I98" s="77">
        <v>100</v>
      </c>
      <c r="J98" s="77">
        <v>50</v>
      </c>
    </row>
    <row r="99" spans="1:10" x14ac:dyDescent="0.3">
      <c r="A99" s="39">
        <v>43167</v>
      </c>
      <c r="B99" s="74">
        <v>5</v>
      </c>
      <c r="C99" s="74">
        <v>8</v>
      </c>
      <c r="D99" s="74">
        <f t="shared" si="2"/>
        <v>3</v>
      </c>
      <c r="E99" s="75" t="str">
        <f t="shared" si="4"/>
        <v>Pass</v>
      </c>
      <c r="F99" s="74">
        <v>102</v>
      </c>
      <c r="G99" s="69" t="s">
        <v>58</v>
      </c>
      <c r="H99" s="76"/>
      <c r="I99" s="77">
        <v>100</v>
      </c>
      <c r="J99" s="77">
        <v>50</v>
      </c>
    </row>
    <row r="100" spans="1:10" x14ac:dyDescent="0.3">
      <c r="A100" s="39">
        <v>43178</v>
      </c>
      <c r="B100" s="74">
        <v>7</v>
      </c>
      <c r="C100" s="74">
        <v>39</v>
      </c>
      <c r="D100" s="74">
        <f t="shared" ref="D100:D163" si="5">IF(((B100="")*AND(C100="")),"",(C100-B100))</f>
        <v>32</v>
      </c>
      <c r="E100" s="75" t="str">
        <f t="shared" si="4"/>
        <v>Pass</v>
      </c>
      <c r="F100" s="74">
        <v>1159</v>
      </c>
      <c r="G100" s="69" t="s">
        <v>71</v>
      </c>
      <c r="H100" s="76"/>
      <c r="I100" s="77">
        <v>100</v>
      </c>
      <c r="J100" s="77">
        <v>50</v>
      </c>
    </row>
    <row r="101" spans="1:10" x14ac:dyDescent="0.3">
      <c r="A101" s="39">
        <v>43182</v>
      </c>
      <c r="B101" s="74">
        <v>6</v>
      </c>
      <c r="C101" s="74">
        <v>11</v>
      </c>
      <c r="D101" s="74">
        <f t="shared" si="5"/>
        <v>5</v>
      </c>
      <c r="E101" s="75" t="str">
        <f t="shared" si="4"/>
        <v>Pass</v>
      </c>
      <c r="F101" s="74">
        <v>1159</v>
      </c>
      <c r="G101" s="69" t="s">
        <v>72</v>
      </c>
      <c r="H101" s="76"/>
      <c r="I101" s="77">
        <v>100</v>
      </c>
      <c r="J101" s="77">
        <v>50</v>
      </c>
    </row>
    <row r="102" spans="1:10" x14ac:dyDescent="0.3">
      <c r="A102" s="39">
        <v>43187</v>
      </c>
      <c r="B102" s="74">
        <v>11</v>
      </c>
      <c r="C102" s="74">
        <v>28</v>
      </c>
      <c r="D102" s="74">
        <f t="shared" si="5"/>
        <v>17</v>
      </c>
      <c r="E102" s="75" t="str">
        <f t="shared" si="4"/>
        <v>Pass</v>
      </c>
      <c r="F102" s="74">
        <v>1159</v>
      </c>
      <c r="G102" s="69" t="s">
        <v>73</v>
      </c>
      <c r="H102" s="76"/>
      <c r="I102" s="77">
        <v>100</v>
      </c>
      <c r="J102" s="77">
        <v>50</v>
      </c>
    </row>
    <row r="103" spans="1:10" x14ac:dyDescent="0.3">
      <c r="A103" s="39">
        <v>43192</v>
      </c>
      <c r="B103" s="74">
        <v>50</v>
      </c>
      <c r="C103" s="74">
        <v>222</v>
      </c>
      <c r="D103" s="74">
        <f t="shared" si="5"/>
        <v>172</v>
      </c>
      <c r="E103" s="75" t="str">
        <f t="shared" si="4"/>
        <v>Fail</v>
      </c>
      <c r="F103" s="74">
        <v>121</v>
      </c>
      <c r="G103" s="69" t="s">
        <v>74</v>
      </c>
      <c r="H103" s="76"/>
      <c r="I103" s="77">
        <v>100</v>
      </c>
      <c r="J103" s="77">
        <v>50</v>
      </c>
    </row>
    <row r="104" spans="1:10" x14ac:dyDescent="0.3">
      <c r="A104" s="39">
        <v>43192</v>
      </c>
      <c r="B104" s="74">
        <v>12</v>
      </c>
      <c r="C104" s="74">
        <v>68</v>
      </c>
      <c r="D104" s="74">
        <f t="shared" si="5"/>
        <v>56</v>
      </c>
      <c r="E104" s="75" t="str">
        <f t="shared" si="4"/>
        <v>Fail</v>
      </c>
      <c r="F104" s="74">
        <v>121</v>
      </c>
      <c r="G104" s="69" t="s">
        <v>75</v>
      </c>
      <c r="H104" s="76"/>
      <c r="I104" s="77">
        <v>100</v>
      </c>
      <c r="J104" s="77">
        <v>50</v>
      </c>
    </row>
    <row r="105" spans="1:10" x14ac:dyDescent="0.3">
      <c r="A105" s="39">
        <v>43199</v>
      </c>
      <c r="B105" s="74">
        <v>10</v>
      </c>
      <c r="C105" s="74">
        <v>26</v>
      </c>
      <c r="D105" s="74">
        <f t="shared" si="5"/>
        <v>16</v>
      </c>
      <c r="E105" s="75" t="str">
        <f t="shared" si="4"/>
        <v>Pass</v>
      </c>
      <c r="F105" s="74">
        <v>1159</v>
      </c>
      <c r="G105" s="69" t="s">
        <v>76</v>
      </c>
      <c r="H105" s="76"/>
      <c r="I105" s="77">
        <v>100</v>
      </c>
      <c r="J105" s="77">
        <v>50</v>
      </c>
    </row>
    <row r="106" spans="1:10" x14ac:dyDescent="0.3">
      <c r="A106" s="39">
        <v>43203</v>
      </c>
      <c r="B106" s="74">
        <v>7</v>
      </c>
      <c r="C106" s="74">
        <v>25</v>
      </c>
      <c r="D106" s="74">
        <f t="shared" si="5"/>
        <v>18</v>
      </c>
      <c r="E106" s="75" t="str">
        <f t="shared" si="4"/>
        <v>Pass</v>
      </c>
      <c r="F106" s="74">
        <v>102</v>
      </c>
      <c r="G106" s="69" t="s">
        <v>77</v>
      </c>
      <c r="H106" s="76"/>
      <c r="I106" s="77">
        <v>100</v>
      </c>
      <c r="J106" s="77">
        <v>50</v>
      </c>
    </row>
    <row r="107" spans="1:10" x14ac:dyDescent="0.3">
      <c r="A107" s="39">
        <v>43209</v>
      </c>
      <c r="B107" s="74">
        <v>45</v>
      </c>
      <c r="C107" s="74">
        <v>37</v>
      </c>
      <c r="D107" s="74">
        <f t="shared" si="5"/>
        <v>-8</v>
      </c>
      <c r="E107" s="75" t="str">
        <f t="shared" si="4"/>
        <v>Pass</v>
      </c>
      <c r="F107" s="74">
        <v>1335</v>
      </c>
      <c r="G107" s="69" t="s">
        <v>78</v>
      </c>
      <c r="H107" s="76"/>
      <c r="I107" s="77">
        <v>100</v>
      </c>
      <c r="J107" s="77">
        <v>50</v>
      </c>
    </row>
    <row r="108" spans="1:10" x14ac:dyDescent="0.3">
      <c r="A108" s="39">
        <v>43214</v>
      </c>
      <c r="B108" s="74">
        <v>67</v>
      </c>
      <c r="C108" s="74">
        <v>108</v>
      </c>
      <c r="D108" s="74">
        <f t="shared" si="5"/>
        <v>41</v>
      </c>
      <c r="E108" s="75" t="str">
        <f t="shared" si="4"/>
        <v>Pass</v>
      </c>
      <c r="F108" s="74">
        <v>121</v>
      </c>
      <c r="G108" s="69" t="s">
        <v>79</v>
      </c>
      <c r="H108" s="76"/>
      <c r="I108" s="77">
        <v>100</v>
      </c>
      <c r="J108" s="77">
        <v>50</v>
      </c>
    </row>
    <row r="109" spans="1:10" x14ac:dyDescent="0.3">
      <c r="A109" s="39">
        <v>43219</v>
      </c>
      <c r="B109" s="74">
        <v>27</v>
      </c>
      <c r="C109" s="74">
        <v>31</v>
      </c>
      <c r="D109" s="74">
        <f t="shared" si="5"/>
        <v>4</v>
      </c>
      <c r="E109" s="75" t="str">
        <f t="shared" si="4"/>
        <v>Pass</v>
      </c>
      <c r="F109" s="74">
        <v>121</v>
      </c>
      <c r="G109" s="69" t="s">
        <v>80</v>
      </c>
      <c r="H109" s="76"/>
      <c r="I109" s="77">
        <v>100</v>
      </c>
      <c r="J109" s="77">
        <v>50</v>
      </c>
    </row>
    <row r="110" spans="1:10" x14ac:dyDescent="0.3">
      <c r="A110" s="39">
        <v>43221</v>
      </c>
      <c r="B110" s="74">
        <v>35</v>
      </c>
      <c r="C110" s="74">
        <v>33</v>
      </c>
      <c r="D110" s="74">
        <f t="shared" si="5"/>
        <v>-2</v>
      </c>
      <c r="E110" s="75" t="str">
        <f t="shared" si="4"/>
        <v>Pass</v>
      </c>
      <c r="F110" s="74">
        <v>1159</v>
      </c>
      <c r="G110" s="69" t="s">
        <v>81</v>
      </c>
      <c r="H110" s="76"/>
      <c r="I110" s="77">
        <v>100</v>
      </c>
      <c r="J110" s="77">
        <v>50</v>
      </c>
    </row>
    <row r="111" spans="1:10" x14ac:dyDescent="0.3">
      <c r="A111" s="39">
        <v>43225</v>
      </c>
      <c r="B111" s="74">
        <v>42</v>
      </c>
      <c r="C111" s="74">
        <v>44</v>
      </c>
      <c r="D111" s="74">
        <f t="shared" si="5"/>
        <v>2</v>
      </c>
      <c r="E111" s="75" t="str">
        <f t="shared" si="4"/>
        <v>Pass</v>
      </c>
      <c r="F111" s="74">
        <v>1519</v>
      </c>
      <c r="H111" s="76"/>
      <c r="I111" s="77">
        <v>100</v>
      </c>
      <c r="J111" s="77">
        <v>50</v>
      </c>
    </row>
    <row r="112" spans="1:10" x14ac:dyDescent="0.3">
      <c r="A112" s="39">
        <v>43234</v>
      </c>
      <c r="B112" s="74">
        <v>37</v>
      </c>
      <c r="C112" s="74">
        <v>80</v>
      </c>
      <c r="D112" s="74">
        <f t="shared" si="5"/>
        <v>43</v>
      </c>
      <c r="E112" s="75" t="str">
        <f t="shared" si="4"/>
        <v>Pass</v>
      </c>
      <c r="F112" s="74">
        <v>1335</v>
      </c>
      <c r="H112" s="76"/>
      <c r="I112" s="77">
        <v>100</v>
      </c>
      <c r="J112" s="77">
        <v>50</v>
      </c>
    </row>
    <row r="113" spans="1:10" x14ac:dyDescent="0.3">
      <c r="A113" s="39">
        <v>43238</v>
      </c>
      <c r="B113" s="74">
        <v>19</v>
      </c>
      <c r="C113" s="74">
        <v>17</v>
      </c>
      <c r="D113" s="74">
        <f t="shared" si="5"/>
        <v>-2</v>
      </c>
      <c r="E113" s="75" t="str">
        <f t="shared" si="4"/>
        <v>Pass</v>
      </c>
      <c r="F113" s="74">
        <v>1159</v>
      </c>
      <c r="G113" s="69" t="s">
        <v>82</v>
      </c>
      <c r="H113" s="76"/>
      <c r="I113" s="77">
        <v>100</v>
      </c>
      <c r="J113" s="77">
        <v>50</v>
      </c>
    </row>
    <row r="114" spans="1:10" x14ac:dyDescent="0.3">
      <c r="A114" s="39">
        <v>43243</v>
      </c>
      <c r="B114" s="74">
        <v>32</v>
      </c>
      <c r="C114" s="74">
        <v>34</v>
      </c>
      <c r="D114" s="74">
        <f t="shared" si="5"/>
        <v>2</v>
      </c>
      <c r="E114" s="75" t="str">
        <f t="shared" si="4"/>
        <v>Pass</v>
      </c>
      <c r="F114" s="74">
        <v>1159</v>
      </c>
      <c r="G114" s="69" t="s">
        <v>83</v>
      </c>
      <c r="H114" s="76"/>
      <c r="I114" s="77">
        <v>100</v>
      </c>
      <c r="J114" s="77">
        <v>50</v>
      </c>
    </row>
    <row r="115" spans="1:10" x14ac:dyDescent="0.3">
      <c r="A115" s="39">
        <v>43247</v>
      </c>
      <c r="B115" s="74">
        <v>51</v>
      </c>
      <c r="C115" s="74">
        <v>52</v>
      </c>
      <c r="D115" s="74">
        <f t="shared" si="5"/>
        <v>1</v>
      </c>
      <c r="E115" s="75" t="str">
        <f t="shared" si="4"/>
        <v>Pass</v>
      </c>
      <c r="F115" s="74">
        <v>121</v>
      </c>
      <c r="G115" s="69" t="s">
        <v>84</v>
      </c>
      <c r="H115" s="76" t="s">
        <v>85</v>
      </c>
      <c r="I115" s="77">
        <v>100</v>
      </c>
      <c r="J115" s="77">
        <v>50</v>
      </c>
    </row>
    <row r="116" spans="1:10" x14ac:dyDescent="0.3">
      <c r="A116" s="39">
        <v>43252</v>
      </c>
      <c r="B116" s="74">
        <v>7</v>
      </c>
      <c r="C116" s="74">
        <v>66</v>
      </c>
      <c r="D116" s="74">
        <f t="shared" si="5"/>
        <v>59</v>
      </c>
      <c r="E116" s="75" t="str">
        <f t="shared" si="4"/>
        <v>Fail</v>
      </c>
      <c r="F116" s="74">
        <v>121</v>
      </c>
      <c r="G116" s="69" t="s">
        <v>86</v>
      </c>
      <c r="H116" s="76"/>
      <c r="I116" s="77">
        <v>100</v>
      </c>
      <c r="J116" s="77">
        <v>50</v>
      </c>
    </row>
    <row r="117" spans="1:10" x14ac:dyDescent="0.3">
      <c r="A117" s="39">
        <v>43252</v>
      </c>
      <c r="B117" s="74">
        <v>4</v>
      </c>
      <c r="C117" s="74">
        <v>47</v>
      </c>
      <c r="D117" s="74">
        <f t="shared" si="5"/>
        <v>43</v>
      </c>
      <c r="E117" s="75" t="str">
        <f t="shared" si="4"/>
        <v>Pass</v>
      </c>
      <c r="F117" s="74">
        <v>121</v>
      </c>
      <c r="G117" s="69" t="s">
        <v>87</v>
      </c>
      <c r="H117" s="76"/>
      <c r="I117" s="77">
        <v>100</v>
      </c>
      <c r="J117" s="77">
        <v>50</v>
      </c>
    </row>
    <row r="118" spans="1:10" x14ac:dyDescent="0.3">
      <c r="A118" s="39">
        <v>43256</v>
      </c>
      <c r="B118" s="74">
        <v>12</v>
      </c>
      <c r="C118" s="74">
        <v>181</v>
      </c>
      <c r="D118" s="74">
        <f t="shared" si="5"/>
        <v>169</v>
      </c>
      <c r="E118" s="75" t="str">
        <f t="shared" si="4"/>
        <v>Fail</v>
      </c>
      <c r="F118" s="74">
        <v>1335</v>
      </c>
      <c r="G118" s="69" t="s">
        <v>88</v>
      </c>
      <c r="H118" s="76"/>
      <c r="I118" s="77">
        <v>100</v>
      </c>
      <c r="J118" s="77">
        <v>50</v>
      </c>
    </row>
    <row r="119" spans="1:10" x14ac:dyDescent="0.3">
      <c r="A119" s="39">
        <v>43256</v>
      </c>
      <c r="B119" s="74">
        <v>20</v>
      </c>
      <c r="C119" s="74">
        <v>36</v>
      </c>
      <c r="D119" s="74">
        <f t="shared" si="5"/>
        <v>16</v>
      </c>
      <c r="E119" s="75" t="str">
        <f t="shared" si="4"/>
        <v>Pass</v>
      </c>
      <c r="F119" s="74">
        <v>1335</v>
      </c>
      <c r="G119" s="69" t="s">
        <v>89</v>
      </c>
      <c r="H119" s="76"/>
      <c r="I119" s="77">
        <v>100</v>
      </c>
      <c r="J119" s="77">
        <v>50</v>
      </c>
    </row>
    <row r="120" spans="1:10" x14ac:dyDescent="0.3">
      <c r="A120" s="39">
        <v>43260</v>
      </c>
      <c r="B120" s="74">
        <v>6</v>
      </c>
      <c r="C120" s="74">
        <v>37</v>
      </c>
      <c r="D120" s="74">
        <f t="shared" si="5"/>
        <v>31</v>
      </c>
      <c r="E120" s="75" t="str">
        <f t="shared" si="4"/>
        <v>Pass</v>
      </c>
      <c r="F120" s="74">
        <v>121</v>
      </c>
      <c r="G120" s="69" t="s">
        <v>90</v>
      </c>
      <c r="H120" s="76"/>
      <c r="I120" s="77">
        <v>100</v>
      </c>
      <c r="J120" s="77">
        <v>50</v>
      </c>
    </row>
    <row r="121" spans="1:10" x14ac:dyDescent="0.3">
      <c r="A121" s="39">
        <v>43265</v>
      </c>
      <c r="B121" s="74">
        <v>39</v>
      </c>
      <c r="C121" s="74">
        <v>366</v>
      </c>
      <c r="D121" s="74">
        <f t="shared" si="5"/>
        <v>327</v>
      </c>
      <c r="E121" s="75" t="str">
        <f t="shared" si="4"/>
        <v>Fail</v>
      </c>
      <c r="F121" s="74">
        <v>1159</v>
      </c>
      <c r="G121" s="69" t="s">
        <v>91</v>
      </c>
      <c r="H121" s="76" t="s">
        <v>92</v>
      </c>
      <c r="I121" s="77">
        <v>100</v>
      </c>
      <c r="J121" s="77">
        <v>50</v>
      </c>
    </row>
    <row r="122" spans="1:10" x14ac:dyDescent="0.3">
      <c r="A122" s="39">
        <v>43265</v>
      </c>
      <c r="B122" s="74">
        <v>2</v>
      </c>
      <c r="C122" s="74">
        <v>47</v>
      </c>
      <c r="D122" s="74">
        <f t="shared" si="5"/>
        <v>45</v>
      </c>
      <c r="E122" s="75" t="str">
        <f t="shared" si="4"/>
        <v>Pass</v>
      </c>
      <c r="F122" s="74">
        <v>1340</v>
      </c>
      <c r="G122" s="69" t="s">
        <v>93</v>
      </c>
      <c r="H122" s="76"/>
      <c r="I122" s="77">
        <v>100</v>
      </c>
      <c r="J122" s="77">
        <v>50</v>
      </c>
    </row>
    <row r="123" spans="1:10" x14ac:dyDescent="0.3">
      <c r="A123" s="39">
        <v>43276</v>
      </c>
      <c r="B123" s="74">
        <v>10</v>
      </c>
      <c r="C123" s="74">
        <v>15</v>
      </c>
      <c r="D123" s="74">
        <f t="shared" si="5"/>
        <v>5</v>
      </c>
      <c r="E123" s="75" t="str">
        <f t="shared" si="4"/>
        <v>Pass</v>
      </c>
      <c r="F123" s="74">
        <v>1335</v>
      </c>
      <c r="G123" s="69" t="s">
        <v>94</v>
      </c>
      <c r="H123" s="76"/>
      <c r="I123" s="77">
        <v>100</v>
      </c>
      <c r="J123" s="77">
        <v>50</v>
      </c>
    </row>
    <row r="124" spans="1:10" x14ac:dyDescent="0.3">
      <c r="A124" s="39">
        <v>43276</v>
      </c>
      <c r="B124" s="74">
        <v>38</v>
      </c>
      <c r="C124" s="74">
        <v>43</v>
      </c>
      <c r="D124" s="74">
        <f t="shared" si="5"/>
        <v>5</v>
      </c>
      <c r="E124" s="75" t="str">
        <f t="shared" si="4"/>
        <v>Pass</v>
      </c>
      <c r="F124" s="74">
        <v>1335</v>
      </c>
      <c r="G124" s="69" t="s">
        <v>95</v>
      </c>
      <c r="H124" s="76" t="s">
        <v>96</v>
      </c>
      <c r="I124" s="77">
        <v>100</v>
      </c>
      <c r="J124" s="77">
        <v>50</v>
      </c>
    </row>
    <row r="125" spans="1:10" x14ac:dyDescent="0.3">
      <c r="A125" s="39">
        <v>43280</v>
      </c>
      <c r="B125" s="74">
        <v>41</v>
      </c>
      <c r="C125" s="74">
        <v>69</v>
      </c>
      <c r="D125" s="74">
        <f t="shared" si="5"/>
        <v>28</v>
      </c>
      <c r="E125" s="75" t="str">
        <f t="shared" si="4"/>
        <v>Pass</v>
      </c>
      <c r="F125" s="74">
        <v>121</v>
      </c>
      <c r="H125" s="76"/>
      <c r="I125" s="77">
        <v>100</v>
      </c>
      <c r="J125" s="77">
        <v>50</v>
      </c>
    </row>
    <row r="126" spans="1:10" x14ac:dyDescent="0.3">
      <c r="A126" s="39">
        <v>43284</v>
      </c>
      <c r="B126" s="74">
        <v>24</v>
      </c>
      <c r="C126" s="74">
        <v>42</v>
      </c>
      <c r="D126" s="74">
        <f t="shared" si="5"/>
        <v>18</v>
      </c>
      <c r="E126" s="75" t="str">
        <f t="shared" si="4"/>
        <v>Pass</v>
      </c>
      <c r="F126" s="74">
        <v>1159</v>
      </c>
      <c r="G126" s="69" t="s">
        <v>97</v>
      </c>
      <c r="H126" s="69" t="s">
        <v>98</v>
      </c>
      <c r="I126" s="77">
        <v>100</v>
      </c>
      <c r="J126" s="77">
        <v>50</v>
      </c>
    </row>
    <row r="127" spans="1:10" x14ac:dyDescent="0.3">
      <c r="A127" s="39">
        <v>43288</v>
      </c>
      <c r="B127" s="74">
        <v>3</v>
      </c>
      <c r="C127" s="74">
        <v>12</v>
      </c>
      <c r="D127" s="74">
        <f t="shared" si="5"/>
        <v>9</v>
      </c>
      <c r="E127" s="75" t="str">
        <f t="shared" si="4"/>
        <v>Pass</v>
      </c>
      <c r="F127" s="74">
        <v>1428</v>
      </c>
      <c r="G127" s="76" t="s">
        <v>23</v>
      </c>
      <c r="H127" s="76"/>
      <c r="I127" s="77">
        <v>100</v>
      </c>
      <c r="J127" s="77">
        <v>50</v>
      </c>
    </row>
    <row r="128" spans="1:10" x14ac:dyDescent="0.3">
      <c r="A128" s="39">
        <v>43293</v>
      </c>
      <c r="B128" s="74">
        <v>13</v>
      </c>
      <c r="C128" s="74">
        <v>11</v>
      </c>
      <c r="D128" s="74">
        <f t="shared" si="5"/>
        <v>-2</v>
      </c>
      <c r="E128" s="75" t="str">
        <f t="shared" si="4"/>
        <v>Pass</v>
      </c>
      <c r="F128" s="74">
        <v>121</v>
      </c>
      <c r="G128" s="69" t="s">
        <v>99</v>
      </c>
      <c r="H128" s="76"/>
      <c r="I128" s="77">
        <v>100</v>
      </c>
      <c r="J128" s="77">
        <v>50</v>
      </c>
    </row>
    <row r="129" spans="1:10" x14ac:dyDescent="0.3">
      <c r="A129" s="39">
        <v>43297</v>
      </c>
      <c r="B129" s="74">
        <v>38</v>
      </c>
      <c r="C129" s="74">
        <v>39</v>
      </c>
      <c r="D129" s="74">
        <f t="shared" si="5"/>
        <v>1</v>
      </c>
      <c r="E129" s="75" t="str">
        <f t="shared" si="4"/>
        <v>Pass</v>
      </c>
      <c r="F129" s="74">
        <v>121</v>
      </c>
      <c r="G129" s="69" t="s">
        <v>100</v>
      </c>
      <c r="H129" s="76"/>
      <c r="I129" s="77">
        <v>100</v>
      </c>
      <c r="J129" s="77">
        <v>50</v>
      </c>
    </row>
    <row r="130" spans="1:10" x14ac:dyDescent="0.3">
      <c r="A130" s="39">
        <v>43301</v>
      </c>
      <c r="B130" s="74">
        <v>28</v>
      </c>
      <c r="C130" s="74">
        <v>23</v>
      </c>
      <c r="D130" s="74">
        <f t="shared" si="5"/>
        <v>-5</v>
      </c>
      <c r="E130" s="75" t="str">
        <f t="shared" si="4"/>
        <v>Pass</v>
      </c>
      <c r="F130" s="74">
        <v>1340</v>
      </c>
      <c r="G130" s="69" t="s">
        <v>101</v>
      </c>
      <c r="H130" s="76"/>
      <c r="I130" s="77">
        <v>100</v>
      </c>
      <c r="J130" s="77">
        <v>50</v>
      </c>
    </row>
    <row r="131" spans="1:10" x14ac:dyDescent="0.3">
      <c r="A131" s="39">
        <v>43304</v>
      </c>
      <c r="B131" s="74">
        <v>38</v>
      </c>
      <c r="C131" s="74">
        <v>27</v>
      </c>
      <c r="D131" s="74">
        <f t="shared" si="5"/>
        <v>-11</v>
      </c>
      <c r="E131" s="75" t="str">
        <f t="shared" si="4"/>
        <v>Pass</v>
      </c>
      <c r="F131" s="74">
        <v>1340</v>
      </c>
      <c r="G131" s="69" t="s">
        <v>102</v>
      </c>
      <c r="H131" s="76"/>
      <c r="I131" s="77">
        <v>100</v>
      </c>
      <c r="J131" s="77">
        <v>50</v>
      </c>
    </row>
    <row r="132" spans="1:10" x14ac:dyDescent="0.3">
      <c r="A132" s="39">
        <v>43308</v>
      </c>
      <c r="B132" s="74">
        <v>28</v>
      </c>
      <c r="C132" s="74">
        <v>16</v>
      </c>
      <c r="D132" s="74">
        <f t="shared" si="5"/>
        <v>-12</v>
      </c>
      <c r="E132" s="75" t="str">
        <f t="shared" si="4"/>
        <v>Pass</v>
      </c>
      <c r="F132" s="74">
        <v>121</v>
      </c>
      <c r="G132" s="69" t="s">
        <v>103</v>
      </c>
      <c r="H132" s="76"/>
      <c r="I132" s="77">
        <v>100</v>
      </c>
      <c r="J132" s="77">
        <v>50</v>
      </c>
    </row>
    <row r="133" spans="1:10" x14ac:dyDescent="0.3">
      <c r="A133" s="39">
        <v>43312</v>
      </c>
      <c r="B133" s="74">
        <v>13</v>
      </c>
      <c r="C133" s="74">
        <v>22</v>
      </c>
      <c r="D133" s="74">
        <f t="shared" si="5"/>
        <v>9</v>
      </c>
      <c r="E133" s="75" t="str">
        <f t="shared" si="4"/>
        <v>Pass</v>
      </c>
      <c r="F133" s="74">
        <v>1428</v>
      </c>
      <c r="G133" s="69" t="s">
        <v>23</v>
      </c>
      <c r="H133" s="76"/>
      <c r="I133" s="77">
        <v>100</v>
      </c>
      <c r="J133" s="77">
        <v>50</v>
      </c>
    </row>
    <row r="134" spans="1:10" x14ac:dyDescent="0.3">
      <c r="A134" s="39">
        <v>43317</v>
      </c>
      <c r="B134" s="74">
        <v>13</v>
      </c>
      <c r="C134" s="74">
        <v>39</v>
      </c>
      <c r="D134" s="74">
        <f t="shared" si="5"/>
        <v>26</v>
      </c>
      <c r="E134" s="75" t="str">
        <f t="shared" si="4"/>
        <v>Pass</v>
      </c>
      <c r="F134" s="74">
        <v>1340</v>
      </c>
      <c r="G134" s="69" t="s">
        <v>23</v>
      </c>
      <c r="H134" s="76"/>
      <c r="I134" s="77">
        <v>100</v>
      </c>
      <c r="J134" s="77">
        <v>50</v>
      </c>
    </row>
    <row r="135" spans="1:10" x14ac:dyDescent="0.3">
      <c r="A135" s="39">
        <v>43321</v>
      </c>
      <c r="B135" s="74">
        <v>4</v>
      </c>
      <c r="C135" s="74">
        <v>17</v>
      </c>
      <c r="D135" s="74">
        <f t="shared" si="5"/>
        <v>13</v>
      </c>
      <c r="E135" s="75" t="str">
        <f t="shared" si="4"/>
        <v>Pass</v>
      </c>
      <c r="F135" s="74">
        <v>74</v>
      </c>
      <c r="G135" s="69" t="s">
        <v>23</v>
      </c>
      <c r="H135" s="76"/>
      <c r="I135" s="77">
        <v>100</v>
      </c>
      <c r="J135" s="77">
        <v>50</v>
      </c>
    </row>
    <row r="136" spans="1:10" x14ac:dyDescent="0.3">
      <c r="A136" s="39">
        <v>43326</v>
      </c>
      <c r="B136" s="74">
        <v>4</v>
      </c>
      <c r="C136" s="74">
        <v>18</v>
      </c>
      <c r="D136" s="74">
        <f t="shared" si="5"/>
        <v>14</v>
      </c>
      <c r="E136" s="75" t="str">
        <f t="shared" si="4"/>
        <v>Pass</v>
      </c>
      <c r="F136" s="74">
        <v>1159</v>
      </c>
      <c r="G136" s="69" t="s">
        <v>104</v>
      </c>
      <c r="H136" s="76"/>
      <c r="I136" s="77">
        <v>100</v>
      </c>
      <c r="J136" s="77">
        <v>50</v>
      </c>
    </row>
    <row r="137" spans="1:10" x14ac:dyDescent="0.3">
      <c r="A137" s="39">
        <v>43332</v>
      </c>
      <c r="B137" s="74">
        <v>2</v>
      </c>
      <c r="C137" s="74">
        <v>7</v>
      </c>
      <c r="D137" s="74">
        <f t="shared" si="5"/>
        <v>5</v>
      </c>
      <c r="E137" s="75" t="str">
        <f t="shared" si="4"/>
        <v>Pass</v>
      </c>
      <c r="F137" s="74">
        <v>1340</v>
      </c>
      <c r="G137" s="69" t="s">
        <v>105</v>
      </c>
      <c r="H137" s="76"/>
      <c r="I137" s="77">
        <v>100</v>
      </c>
      <c r="J137" s="77">
        <v>50</v>
      </c>
    </row>
    <row r="138" spans="1:10" x14ac:dyDescent="0.3">
      <c r="A138" s="39">
        <v>43336</v>
      </c>
      <c r="B138" s="74">
        <v>7</v>
      </c>
      <c r="C138" s="74">
        <v>23</v>
      </c>
      <c r="D138" s="74">
        <f t="shared" si="5"/>
        <v>16</v>
      </c>
      <c r="E138" s="75" t="str">
        <f t="shared" si="4"/>
        <v>Pass</v>
      </c>
      <c r="F138" s="74" t="s">
        <v>106</v>
      </c>
      <c r="G138" s="69" t="s">
        <v>107</v>
      </c>
      <c r="H138" s="76"/>
      <c r="I138" s="77">
        <v>100</v>
      </c>
      <c r="J138" s="77">
        <v>50</v>
      </c>
    </row>
    <row r="139" spans="1:10" x14ac:dyDescent="0.3">
      <c r="A139" s="39">
        <v>43339</v>
      </c>
      <c r="B139" s="74">
        <v>44</v>
      </c>
      <c r="C139" s="74">
        <v>45</v>
      </c>
      <c r="D139" s="74">
        <f t="shared" si="5"/>
        <v>1</v>
      </c>
      <c r="E139" s="75" t="str">
        <f t="shared" si="4"/>
        <v>Pass</v>
      </c>
      <c r="F139" s="74" t="s">
        <v>108</v>
      </c>
      <c r="G139" s="69" t="s">
        <v>109</v>
      </c>
      <c r="H139" s="76"/>
      <c r="I139" s="77">
        <v>100</v>
      </c>
      <c r="J139" s="77">
        <v>50</v>
      </c>
    </row>
    <row r="140" spans="1:10" x14ac:dyDescent="0.3">
      <c r="A140" s="39">
        <v>43344</v>
      </c>
      <c r="B140" s="74">
        <v>41</v>
      </c>
      <c r="C140" s="74">
        <v>50</v>
      </c>
      <c r="D140" s="74">
        <f t="shared" si="5"/>
        <v>9</v>
      </c>
      <c r="E140" s="75" t="str">
        <f t="shared" si="4"/>
        <v>Pass</v>
      </c>
      <c r="F140" s="74">
        <v>1335</v>
      </c>
      <c r="G140" s="69" t="s">
        <v>23</v>
      </c>
      <c r="H140" s="76"/>
      <c r="I140" s="77">
        <v>100</v>
      </c>
      <c r="J140" s="77">
        <v>50</v>
      </c>
    </row>
    <row r="141" spans="1:10" x14ac:dyDescent="0.3">
      <c r="A141" s="39">
        <v>43348</v>
      </c>
      <c r="B141" s="74">
        <v>62</v>
      </c>
      <c r="C141" s="74">
        <v>79</v>
      </c>
      <c r="D141" s="74">
        <f t="shared" si="5"/>
        <v>17</v>
      </c>
      <c r="E141" s="75" t="str">
        <f t="shared" si="4"/>
        <v>Pass</v>
      </c>
      <c r="F141" s="74">
        <v>1428</v>
      </c>
      <c r="H141" s="76"/>
      <c r="I141" s="77">
        <v>100</v>
      </c>
      <c r="J141" s="77">
        <v>50</v>
      </c>
    </row>
    <row r="142" spans="1:10" x14ac:dyDescent="0.3">
      <c r="A142" s="39">
        <v>43352</v>
      </c>
      <c r="B142" s="74">
        <v>19</v>
      </c>
      <c r="C142" s="74">
        <v>17</v>
      </c>
      <c r="D142" s="74">
        <f t="shared" si="5"/>
        <v>-2</v>
      </c>
      <c r="E142" s="75" t="str">
        <f t="shared" si="4"/>
        <v>Pass</v>
      </c>
      <c r="F142" s="74">
        <v>74</v>
      </c>
      <c r="H142" s="76"/>
      <c r="I142" s="77">
        <v>100</v>
      </c>
      <c r="J142" s="77">
        <v>50</v>
      </c>
    </row>
    <row r="143" spans="1:10" x14ac:dyDescent="0.3">
      <c r="A143" s="39">
        <v>43356</v>
      </c>
      <c r="B143" s="74">
        <v>14</v>
      </c>
      <c r="C143" s="74">
        <v>35</v>
      </c>
      <c r="D143" s="74">
        <f t="shared" si="5"/>
        <v>21</v>
      </c>
      <c r="E143" s="75" t="str">
        <f t="shared" si="4"/>
        <v>Pass</v>
      </c>
      <c r="F143" s="74">
        <v>121</v>
      </c>
      <c r="H143" s="76"/>
      <c r="I143" s="77">
        <v>100</v>
      </c>
      <c r="J143" s="77">
        <v>50</v>
      </c>
    </row>
    <row r="144" spans="1:10" x14ac:dyDescent="0.3">
      <c r="A144" s="39">
        <v>43360</v>
      </c>
      <c r="B144" s="74">
        <v>21</v>
      </c>
      <c r="C144" s="74">
        <v>29</v>
      </c>
      <c r="D144" s="74">
        <f t="shared" si="5"/>
        <v>8</v>
      </c>
      <c r="E144" s="75" t="str">
        <f t="shared" si="4"/>
        <v>Pass</v>
      </c>
      <c r="F144" s="74">
        <v>1340</v>
      </c>
      <c r="G144" s="69" t="s">
        <v>23</v>
      </c>
      <c r="H144" s="76"/>
      <c r="I144" s="77">
        <v>100</v>
      </c>
      <c r="J144" s="77">
        <v>50</v>
      </c>
    </row>
    <row r="145" spans="1:10" x14ac:dyDescent="0.3">
      <c r="A145" s="39">
        <v>43364</v>
      </c>
      <c r="B145" s="74">
        <v>66</v>
      </c>
      <c r="C145" s="74">
        <v>99</v>
      </c>
      <c r="D145" s="74">
        <f t="shared" si="5"/>
        <v>33</v>
      </c>
      <c r="E145" s="75" t="str">
        <f t="shared" si="4"/>
        <v>Pass</v>
      </c>
      <c r="F145" s="74">
        <v>102</v>
      </c>
      <c r="G145" s="76" t="s">
        <v>110</v>
      </c>
      <c r="H145" s="76"/>
      <c r="I145" s="77">
        <v>100</v>
      </c>
      <c r="J145" s="77">
        <v>50</v>
      </c>
    </row>
    <row r="146" spans="1:10" x14ac:dyDescent="0.3">
      <c r="A146" s="39">
        <v>43368</v>
      </c>
      <c r="B146" s="74">
        <v>19</v>
      </c>
      <c r="C146" s="74">
        <v>23</v>
      </c>
      <c r="D146" s="74">
        <f t="shared" si="5"/>
        <v>4</v>
      </c>
      <c r="E146" s="75" t="str">
        <f t="shared" ref="E146:E165" si="6">IF((D146=""),"",IF(D146&lt;=50,"Pass","Fail"))</f>
        <v>Pass</v>
      </c>
      <c r="F146" s="74">
        <v>1340</v>
      </c>
      <c r="H146" s="76"/>
      <c r="I146" s="77">
        <v>100</v>
      </c>
      <c r="J146" s="77">
        <v>50</v>
      </c>
    </row>
    <row r="147" spans="1:10" x14ac:dyDescent="0.3">
      <c r="A147" s="39">
        <v>43372</v>
      </c>
      <c r="B147" s="74">
        <v>1</v>
      </c>
      <c r="C147" s="74">
        <v>17</v>
      </c>
      <c r="D147" s="74">
        <f t="shared" si="5"/>
        <v>16</v>
      </c>
      <c r="E147" s="75" t="str">
        <f t="shared" si="6"/>
        <v>Pass</v>
      </c>
      <c r="F147" s="74">
        <v>1335</v>
      </c>
      <c r="H147" s="76"/>
      <c r="I147" s="77">
        <v>100</v>
      </c>
      <c r="J147" s="77">
        <v>50</v>
      </c>
    </row>
    <row r="148" spans="1:10" x14ac:dyDescent="0.3">
      <c r="A148" s="39">
        <v>43376</v>
      </c>
      <c r="B148" s="74">
        <v>11</v>
      </c>
      <c r="C148" s="74">
        <v>241</v>
      </c>
      <c r="D148" s="74">
        <f t="shared" si="5"/>
        <v>230</v>
      </c>
      <c r="E148" s="75" t="str">
        <f t="shared" si="6"/>
        <v>Fail</v>
      </c>
      <c r="F148" s="74">
        <v>74</v>
      </c>
      <c r="H148" s="76"/>
      <c r="I148" s="77">
        <v>100</v>
      </c>
      <c r="J148" s="77">
        <v>50</v>
      </c>
    </row>
    <row r="149" spans="1:10" x14ac:dyDescent="0.3">
      <c r="A149" s="39">
        <v>43376</v>
      </c>
      <c r="B149" s="74">
        <v>33</v>
      </c>
      <c r="C149" s="74">
        <v>49</v>
      </c>
      <c r="D149" s="74">
        <f t="shared" si="5"/>
        <v>16</v>
      </c>
      <c r="E149" s="75" t="str">
        <f>IF((D149=""),"",IF(D149&lt;=50,"Pass","Fail"))</f>
        <v>Pass</v>
      </c>
      <c r="F149" s="74">
        <v>74</v>
      </c>
      <c r="H149" s="76"/>
      <c r="I149" s="77">
        <v>100</v>
      </c>
      <c r="J149" s="77">
        <v>50</v>
      </c>
    </row>
    <row r="150" spans="1:10" x14ac:dyDescent="0.3">
      <c r="A150" s="39">
        <v>43381</v>
      </c>
      <c r="B150" s="74">
        <v>20</v>
      </c>
      <c r="C150" s="74">
        <v>21</v>
      </c>
      <c r="D150" s="74">
        <f t="shared" si="5"/>
        <v>1</v>
      </c>
      <c r="E150" s="75" t="str">
        <f t="shared" si="6"/>
        <v>Pass</v>
      </c>
      <c r="F150" s="74">
        <v>1335</v>
      </c>
      <c r="H150" s="76"/>
      <c r="I150" s="77">
        <v>100</v>
      </c>
      <c r="J150" s="77">
        <v>50</v>
      </c>
    </row>
    <row r="151" spans="1:10" x14ac:dyDescent="0.3">
      <c r="A151" s="39">
        <v>43385</v>
      </c>
      <c r="B151" s="74">
        <v>22</v>
      </c>
      <c r="C151" s="74">
        <v>46</v>
      </c>
      <c r="D151" s="74">
        <f t="shared" si="5"/>
        <v>24</v>
      </c>
      <c r="E151" s="75" t="str">
        <f t="shared" si="6"/>
        <v>Pass</v>
      </c>
      <c r="F151" s="74">
        <v>1335</v>
      </c>
      <c r="H151" s="76"/>
      <c r="I151" s="77">
        <v>100</v>
      </c>
      <c r="J151" s="77">
        <v>50</v>
      </c>
    </row>
    <row r="152" spans="1:10" x14ac:dyDescent="0.3">
      <c r="A152" s="39">
        <v>43390</v>
      </c>
      <c r="B152" s="74">
        <v>118</v>
      </c>
      <c r="C152" s="74">
        <v>112</v>
      </c>
      <c r="D152" s="74">
        <f t="shared" si="5"/>
        <v>-6</v>
      </c>
      <c r="E152" s="75" t="str">
        <f t="shared" si="6"/>
        <v>Pass</v>
      </c>
      <c r="F152" s="74">
        <v>121</v>
      </c>
      <c r="G152" s="76" t="s">
        <v>111</v>
      </c>
      <c r="H152" s="76"/>
      <c r="I152" s="77">
        <v>100</v>
      </c>
      <c r="J152" s="77">
        <v>50</v>
      </c>
    </row>
    <row r="153" spans="1:10" x14ac:dyDescent="0.3">
      <c r="A153" s="39">
        <v>43390</v>
      </c>
      <c r="B153" s="74">
        <v>50</v>
      </c>
      <c r="C153" s="74">
        <v>67</v>
      </c>
      <c r="D153" s="74">
        <f t="shared" si="5"/>
        <v>17</v>
      </c>
      <c r="E153" s="75" t="str">
        <f t="shared" si="6"/>
        <v>Pass</v>
      </c>
      <c r="F153" s="74">
        <v>1335</v>
      </c>
      <c r="G153" s="76" t="s">
        <v>112</v>
      </c>
      <c r="H153" s="76"/>
      <c r="I153" s="77">
        <v>100</v>
      </c>
      <c r="J153" s="77">
        <v>50</v>
      </c>
    </row>
    <row r="154" spans="1:10" x14ac:dyDescent="0.3">
      <c r="A154" s="39">
        <v>43399</v>
      </c>
      <c r="B154" s="74">
        <v>37</v>
      </c>
      <c r="C154" s="74">
        <v>79</v>
      </c>
      <c r="D154" s="74">
        <f t="shared" si="5"/>
        <v>42</v>
      </c>
      <c r="E154" s="75" t="str">
        <f t="shared" si="6"/>
        <v>Pass</v>
      </c>
      <c r="F154" s="74">
        <v>1159</v>
      </c>
      <c r="G154" s="76" t="s">
        <v>113</v>
      </c>
      <c r="H154" s="76"/>
      <c r="I154" s="77">
        <v>100</v>
      </c>
      <c r="J154" s="77">
        <v>50</v>
      </c>
    </row>
    <row r="155" spans="1:10" x14ac:dyDescent="0.3">
      <c r="A155" s="39">
        <v>43403</v>
      </c>
      <c r="B155" s="74">
        <v>22</v>
      </c>
      <c r="C155" s="74">
        <v>71</v>
      </c>
      <c r="D155" s="74">
        <f t="shared" si="5"/>
        <v>49</v>
      </c>
      <c r="E155" s="75" t="str">
        <f t="shared" si="6"/>
        <v>Pass</v>
      </c>
      <c r="F155" s="74">
        <v>64</v>
      </c>
      <c r="H155" s="76"/>
      <c r="I155" s="77">
        <v>100</v>
      </c>
      <c r="J155" s="77">
        <v>50</v>
      </c>
    </row>
    <row r="156" spans="1:10" x14ac:dyDescent="0.3">
      <c r="A156" s="39">
        <v>43403</v>
      </c>
      <c r="B156" s="74">
        <v>48</v>
      </c>
      <c r="C156" s="74">
        <v>50</v>
      </c>
      <c r="D156" s="74">
        <f t="shared" si="5"/>
        <v>2</v>
      </c>
      <c r="E156" s="75" t="str">
        <f t="shared" si="6"/>
        <v>Pass</v>
      </c>
      <c r="F156" s="74">
        <v>1335</v>
      </c>
      <c r="G156" s="76" t="s">
        <v>114</v>
      </c>
      <c r="H156" s="76"/>
      <c r="I156" s="77">
        <v>100</v>
      </c>
      <c r="J156" s="77">
        <v>50</v>
      </c>
    </row>
    <row r="157" spans="1:10" x14ac:dyDescent="0.3">
      <c r="A157" s="39">
        <v>43413</v>
      </c>
      <c r="B157" s="74">
        <v>40</v>
      </c>
      <c r="C157" s="74">
        <v>49</v>
      </c>
      <c r="D157" s="74">
        <f t="shared" si="5"/>
        <v>9</v>
      </c>
      <c r="E157" s="75" t="str">
        <f t="shared" si="6"/>
        <v>Pass</v>
      </c>
      <c r="F157" s="74">
        <v>1159</v>
      </c>
      <c r="G157" s="76" t="s">
        <v>115</v>
      </c>
      <c r="H157" s="76"/>
      <c r="I157" s="77">
        <v>100</v>
      </c>
      <c r="J157" s="77">
        <v>50</v>
      </c>
    </row>
    <row r="158" spans="1:10" x14ac:dyDescent="0.3">
      <c r="A158" s="39">
        <v>43418</v>
      </c>
      <c r="B158" s="74">
        <v>69</v>
      </c>
      <c r="C158" s="74">
        <v>74</v>
      </c>
      <c r="D158" s="74">
        <f t="shared" si="5"/>
        <v>5</v>
      </c>
      <c r="E158" s="75" t="str">
        <f t="shared" si="6"/>
        <v>Pass</v>
      </c>
      <c r="F158" s="74">
        <v>121</v>
      </c>
      <c r="G158" s="69" t="s">
        <v>116</v>
      </c>
      <c r="H158" s="76"/>
      <c r="I158" s="77">
        <v>100</v>
      </c>
      <c r="J158" s="77">
        <v>50</v>
      </c>
    </row>
    <row r="159" spans="1:10" x14ac:dyDescent="0.3">
      <c r="A159" s="39">
        <v>43424</v>
      </c>
      <c r="B159" s="74">
        <v>36</v>
      </c>
      <c r="C159" s="74">
        <v>43</v>
      </c>
      <c r="D159" s="74">
        <f t="shared" si="5"/>
        <v>7</v>
      </c>
      <c r="E159" s="75" t="str">
        <f t="shared" si="6"/>
        <v>Pass</v>
      </c>
      <c r="F159" s="74">
        <v>1159</v>
      </c>
      <c r="G159" s="69" t="s">
        <v>117</v>
      </c>
      <c r="H159" s="76"/>
      <c r="I159" s="77">
        <v>100</v>
      </c>
      <c r="J159" s="77">
        <v>50</v>
      </c>
    </row>
    <row r="160" spans="1:10" x14ac:dyDescent="0.3">
      <c r="A160" s="39">
        <v>43428</v>
      </c>
      <c r="B160" s="74">
        <v>31</v>
      </c>
      <c r="C160" s="74">
        <v>64</v>
      </c>
      <c r="D160" s="74">
        <f t="shared" si="5"/>
        <v>33</v>
      </c>
      <c r="E160" s="75" t="str">
        <f t="shared" si="6"/>
        <v>Pass</v>
      </c>
      <c r="F160" s="74">
        <v>64</v>
      </c>
      <c r="H160" s="76"/>
      <c r="I160" s="77">
        <v>100</v>
      </c>
      <c r="J160" s="77">
        <v>50</v>
      </c>
    </row>
    <row r="161" spans="1:10" x14ac:dyDescent="0.3">
      <c r="A161" s="39">
        <v>43433</v>
      </c>
      <c r="B161" s="74">
        <v>39</v>
      </c>
      <c r="C161" s="74">
        <v>52</v>
      </c>
      <c r="D161" s="74">
        <f t="shared" si="5"/>
        <v>13</v>
      </c>
      <c r="E161" s="75" t="str">
        <f t="shared" si="6"/>
        <v>Pass</v>
      </c>
      <c r="F161" s="74">
        <v>1340</v>
      </c>
      <c r="H161" s="76"/>
      <c r="I161" s="77">
        <v>100</v>
      </c>
      <c r="J161" s="77">
        <v>50</v>
      </c>
    </row>
    <row r="162" spans="1:10" x14ac:dyDescent="0.3">
      <c r="A162" s="39">
        <v>43448</v>
      </c>
      <c r="B162" s="74">
        <v>10</v>
      </c>
      <c r="C162" s="74">
        <v>25</v>
      </c>
      <c r="D162" s="74">
        <f t="shared" si="5"/>
        <v>15</v>
      </c>
      <c r="E162" s="75" t="str">
        <f t="shared" si="6"/>
        <v>Pass</v>
      </c>
      <c r="F162" s="74">
        <v>121</v>
      </c>
      <c r="G162" s="69" t="s">
        <v>118</v>
      </c>
      <c r="H162" s="69" t="s">
        <v>119</v>
      </c>
      <c r="I162" s="77">
        <v>100</v>
      </c>
      <c r="J162" s="77">
        <v>50</v>
      </c>
    </row>
    <row r="163" spans="1:10" x14ac:dyDescent="0.3">
      <c r="A163" s="39">
        <v>43452</v>
      </c>
      <c r="B163" s="74">
        <v>16</v>
      </c>
      <c r="C163" s="74">
        <v>20</v>
      </c>
      <c r="D163" s="74">
        <f t="shared" si="5"/>
        <v>4</v>
      </c>
      <c r="E163" s="75" t="str">
        <f t="shared" si="6"/>
        <v>Pass</v>
      </c>
      <c r="F163" s="74">
        <v>1428</v>
      </c>
      <c r="H163" s="76"/>
      <c r="I163" s="77">
        <v>100</v>
      </c>
      <c r="J163" s="77">
        <v>50</v>
      </c>
    </row>
    <row r="164" spans="1:10" x14ac:dyDescent="0.3">
      <c r="A164" s="39">
        <v>43458</v>
      </c>
      <c r="B164" s="74">
        <v>14</v>
      </c>
      <c r="C164" s="74">
        <v>20</v>
      </c>
      <c r="D164" s="74">
        <f t="shared" ref="D164:D166" si="7">IF(((B164="")*AND(C164="")),"",(C164-B164))</f>
        <v>6</v>
      </c>
      <c r="E164" s="75" t="str">
        <f t="shared" si="6"/>
        <v>Pass</v>
      </c>
      <c r="F164" s="74">
        <v>1340</v>
      </c>
      <c r="H164" s="76"/>
      <c r="I164" s="77">
        <v>100</v>
      </c>
      <c r="J164" s="77">
        <v>50</v>
      </c>
    </row>
    <row r="165" spans="1:10" x14ac:dyDescent="0.3">
      <c r="A165" s="39">
        <v>43462</v>
      </c>
      <c r="B165" s="74">
        <v>25</v>
      </c>
      <c r="C165" s="74">
        <v>12</v>
      </c>
      <c r="D165" s="74">
        <f t="shared" si="7"/>
        <v>-13</v>
      </c>
      <c r="E165" s="75" t="str">
        <f t="shared" si="6"/>
        <v>Pass</v>
      </c>
      <c r="F165" s="74">
        <v>1340</v>
      </c>
      <c r="G165" s="76" t="s">
        <v>118</v>
      </c>
      <c r="H165" s="76"/>
      <c r="I165" s="77">
        <v>100</v>
      </c>
      <c r="J165" s="77">
        <v>50</v>
      </c>
    </row>
    <row r="166" spans="1:10" x14ac:dyDescent="0.3">
      <c r="A166" s="39">
        <v>43466</v>
      </c>
      <c r="B166" s="74">
        <v>29</v>
      </c>
      <c r="C166" s="74">
        <v>28</v>
      </c>
      <c r="D166" s="74">
        <f t="shared" si="7"/>
        <v>-1</v>
      </c>
      <c r="E166" s="75" t="str">
        <f>IF((D166=""),"",IF(D166&lt;=30,"Pass","Fail"))</f>
        <v>Pass</v>
      </c>
      <c r="F166" s="74">
        <v>1340</v>
      </c>
      <c r="G166" s="76" t="s">
        <v>23</v>
      </c>
      <c r="H166" s="76"/>
      <c r="I166" s="77">
        <v>100</v>
      </c>
      <c r="J166" s="77">
        <v>30</v>
      </c>
    </row>
    <row r="167" spans="1:10" x14ac:dyDescent="0.3">
      <c r="A167" s="39">
        <v>43469</v>
      </c>
      <c r="B167" s="74">
        <v>18</v>
      </c>
      <c r="C167" s="74">
        <v>34</v>
      </c>
      <c r="D167" s="74">
        <f>IF(((B167="")*AND(C167="")),"",(C167-B167))</f>
        <v>16</v>
      </c>
      <c r="E167" s="75" t="str">
        <f t="shared" ref="E167:E231" si="8">IF((D167=""),"",IF(D167&lt;=30,"Pass","Fail"))</f>
        <v>Pass</v>
      </c>
      <c r="F167" s="74">
        <v>1159</v>
      </c>
      <c r="G167" s="39" t="s">
        <v>23</v>
      </c>
      <c r="H167" s="74" t="s">
        <v>253</v>
      </c>
      <c r="I167" s="77">
        <v>100</v>
      </c>
      <c r="J167" s="77">
        <v>30</v>
      </c>
    </row>
    <row r="168" spans="1:10" x14ac:dyDescent="0.3">
      <c r="A168" s="39">
        <v>43475</v>
      </c>
      <c r="B168" s="74">
        <v>12</v>
      </c>
      <c r="C168" s="74">
        <v>50</v>
      </c>
      <c r="D168" s="74">
        <f t="shared" ref="D168:D205" si="9">IF(((B168="")*AND(C168="")),"",(C168-B168))</f>
        <v>38</v>
      </c>
      <c r="E168" s="75" t="str">
        <f t="shared" si="8"/>
        <v>Fail</v>
      </c>
      <c r="F168" s="74">
        <v>1340</v>
      </c>
      <c r="G168" s="76" t="s">
        <v>23</v>
      </c>
      <c r="H168" s="76"/>
      <c r="I168" s="77">
        <v>100</v>
      </c>
      <c r="J168" s="77">
        <v>30</v>
      </c>
    </row>
    <row r="169" spans="1:10" x14ac:dyDescent="0.3">
      <c r="A169" s="39">
        <v>43481</v>
      </c>
      <c r="B169" s="74">
        <v>7</v>
      </c>
      <c r="C169" s="74">
        <v>121</v>
      </c>
      <c r="D169" s="74">
        <f t="shared" si="9"/>
        <v>114</v>
      </c>
      <c r="E169" s="75" t="str">
        <f t="shared" si="8"/>
        <v>Fail</v>
      </c>
      <c r="F169" s="74" t="s">
        <v>275</v>
      </c>
      <c r="G169" s="69" t="s">
        <v>23</v>
      </c>
      <c r="H169" s="76"/>
      <c r="I169" s="77">
        <v>100</v>
      </c>
      <c r="J169" s="77">
        <v>30</v>
      </c>
    </row>
    <row r="170" spans="1:10" x14ac:dyDescent="0.3">
      <c r="A170" s="39">
        <v>43481</v>
      </c>
      <c r="B170" s="74">
        <v>7</v>
      </c>
      <c r="C170" s="74">
        <v>145</v>
      </c>
      <c r="D170" s="74">
        <f t="shared" si="9"/>
        <v>138</v>
      </c>
      <c r="E170" s="75" t="str">
        <f t="shared" si="8"/>
        <v>Fail</v>
      </c>
      <c r="F170" s="74" t="s">
        <v>275</v>
      </c>
      <c r="G170" s="76" t="s">
        <v>23</v>
      </c>
      <c r="H170" s="76"/>
      <c r="I170" s="77">
        <v>100</v>
      </c>
      <c r="J170" s="77">
        <v>30</v>
      </c>
    </row>
    <row r="171" spans="1:10" x14ac:dyDescent="0.3">
      <c r="A171" s="39">
        <v>43481</v>
      </c>
      <c r="B171" s="74">
        <v>11</v>
      </c>
      <c r="C171" s="74">
        <v>27</v>
      </c>
      <c r="D171" s="74">
        <f t="shared" si="9"/>
        <v>16</v>
      </c>
      <c r="E171" s="75" t="str">
        <f t="shared" si="8"/>
        <v>Pass</v>
      </c>
      <c r="F171" s="74" t="s">
        <v>275</v>
      </c>
      <c r="G171" s="69" t="s">
        <v>23</v>
      </c>
      <c r="H171" s="76"/>
      <c r="I171" s="77">
        <v>100</v>
      </c>
      <c r="J171" s="77">
        <v>30</v>
      </c>
    </row>
    <row r="172" spans="1:10" x14ac:dyDescent="0.3">
      <c r="A172" s="39">
        <v>43481</v>
      </c>
      <c r="B172" s="74">
        <v>12</v>
      </c>
      <c r="C172" s="74">
        <v>22</v>
      </c>
      <c r="D172" s="74">
        <f t="shared" si="9"/>
        <v>10</v>
      </c>
      <c r="E172" s="75" t="str">
        <f t="shared" si="8"/>
        <v>Pass</v>
      </c>
      <c r="F172" s="74" t="s">
        <v>275</v>
      </c>
      <c r="G172" s="76" t="s">
        <v>23</v>
      </c>
      <c r="H172" s="76"/>
      <c r="I172" s="77">
        <v>100</v>
      </c>
      <c r="J172" s="77">
        <v>30</v>
      </c>
    </row>
    <row r="173" spans="1:10" x14ac:dyDescent="0.3">
      <c r="A173" s="39">
        <v>43487</v>
      </c>
      <c r="B173" s="74">
        <v>9</v>
      </c>
      <c r="C173" s="74">
        <v>12</v>
      </c>
      <c r="D173" s="74">
        <f t="shared" si="9"/>
        <v>3</v>
      </c>
      <c r="E173" s="75" t="str">
        <f t="shared" si="8"/>
        <v>Pass</v>
      </c>
      <c r="F173" s="74">
        <v>1159</v>
      </c>
      <c r="G173" s="69" t="s">
        <v>276</v>
      </c>
      <c r="H173" s="76"/>
      <c r="I173" s="77">
        <v>100</v>
      </c>
      <c r="J173" s="77">
        <v>30</v>
      </c>
    </row>
    <row r="174" spans="1:10" x14ac:dyDescent="0.3">
      <c r="A174" s="39">
        <v>43493</v>
      </c>
      <c r="B174" s="74">
        <v>34</v>
      </c>
      <c r="C174" s="74">
        <v>40</v>
      </c>
      <c r="D174" s="74">
        <f t="shared" si="9"/>
        <v>6</v>
      </c>
      <c r="E174" s="75" t="str">
        <f t="shared" si="8"/>
        <v>Pass</v>
      </c>
      <c r="F174" s="74">
        <v>1159</v>
      </c>
      <c r="G174" s="69" t="s">
        <v>278</v>
      </c>
      <c r="H174" s="76"/>
      <c r="I174" s="77">
        <v>100</v>
      </c>
      <c r="J174" s="77">
        <v>30</v>
      </c>
    </row>
    <row r="175" spans="1:10" x14ac:dyDescent="0.3">
      <c r="A175" s="39">
        <v>43497</v>
      </c>
      <c r="B175" s="74">
        <v>38</v>
      </c>
      <c r="C175" s="74">
        <v>48</v>
      </c>
      <c r="D175" s="74">
        <f t="shared" si="9"/>
        <v>10</v>
      </c>
      <c r="E175" s="75" t="str">
        <f t="shared" si="8"/>
        <v>Pass</v>
      </c>
      <c r="F175" s="74">
        <v>1335</v>
      </c>
      <c r="G175" s="69" t="s">
        <v>279</v>
      </c>
      <c r="H175" s="76"/>
      <c r="I175" s="77">
        <v>100</v>
      </c>
      <c r="J175" s="77">
        <v>30</v>
      </c>
    </row>
    <row r="176" spans="1:10" x14ac:dyDescent="0.3">
      <c r="A176" s="39">
        <v>43501</v>
      </c>
      <c r="B176" s="74">
        <v>33</v>
      </c>
      <c r="C176" s="74">
        <v>52</v>
      </c>
      <c r="D176" s="74">
        <f t="shared" si="9"/>
        <v>19</v>
      </c>
      <c r="E176" s="75" t="str">
        <f t="shared" si="8"/>
        <v>Pass</v>
      </c>
      <c r="F176" s="74">
        <v>1159</v>
      </c>
      <c r="G176" s="69" t="s">
        <v>280</v>
      </c>
      <c r="H176" s="76"/>
      <c r="I176" s="77">
        <v>100</v>
      </c>
      <c r="J176" s="77">
        <v>30</v>
      </c>
    </row>
    <row r="177" spans="1:10" x14ac:dyDescent="0.3">
      <c r="A177" s="39">
        <v>43504</v>
      </c>
      <c r="B177" s="74">
        <v>24</v>
      </c>
      <c r="C177" s="74">
        <v>55</v>
      </c>
      <c r="D177" s="74">
        <f t="shared" si="9"/>
        <v>31</v>
      </c>
      <c r="E177" s="75" t="str">
        <f t="shared" si="8"/>
        <v>Fail</v>
      </c>
      <c r="F177" s="74">
        <v>1335</v>
      </c>
      <c r="H177" s="76"/>
      <c r="I177" s="77">
        <v>100</v>
      </c>
      <c r="J177" s="77">
        <v>30</v>
      </c>
    </row>
    <row r="178" spans="1:10" x14ac:dyDescent="0.3">
      <c r="A178" s="39">
        <v>43508</v>
      </c>
      <c r="B178" s="74">
        <v>23</v>
      </c>
      <c r="C178" s="74">
        <v>32</v>
      </c>
      <c r="D178" s="74">
        <f t="shared" si="9"/>
        <v>9</v>
      </c>
      <c r="E178" s="75" t="str">
        <f t="shared" si="8"/>
        <v>Pass</v>
      </c>
      <c r="F178" s="74">
        <v>121</v>
      </c>
      <c r="G178" s="69" t="s">
        <v>281</v>
      </c>
      <c r="H178" s="76"/>
      <c r="I178" s="77">
        <v>100</v>
      </c>
      <c r="J178" s="77">
        <v>30</v>
      </c>
    </row>
    <row r="179" spans="1:10" x14ac:dyDescent="0.3">
      <c r="A179" s="39">
        <v>43514</v>
      </c>
      <c r="B179" s="74">
        <v>14</v>
      </c>
      <c r="C179" s="74">
        <v>24</v>
      </c>
      <c r="D179" s="74">
        <f t="shared" si="9"/>
        <v>10</v>
      </c>
      <c r="E179" s="75" t="str">
        <f t="shared" si="8"/>
        <v>Pass</v>
      </c>
      <c r="F179" s="74">
        <v>1159</v>
      </c>
      <c r="G179" s="69" t="s">
        <v>282</v>
      </c>
      <c r="H179" s="76"/>
      <c r="I179" s="77">
        <v>100</v>
      </c>
      <c r="J179" s="77">
        <v>30</v>
      </c>
    </row>
    <row r="180" spans="1:10" x14ac:dyDescent="0.3">
      <c r="A180" s="39">
        <v>43517</v>
      </c>
      <c r="B180" s="74">
        <v>27</v>
      </c>
      <c r="C180" s="74">
        <v>57</v>
      </c>
      <c r="D180" s="74">
        <f t="shared" si="9"/>
        <v>30</v>
      </c>
      <c r="E180" s="75" t="str">
        <f t="shared" si="8"/>
        <v>Pass</v>
      </c>
      <c r="F180" s="74">
        <v>1159</v>
      </c>
      <c r="G180" s="69" t="s">
        <v>283</v>
      </c>
      <c r="H180" s="76"/>
      <c r="I180" s="77">
        <v>100</v>
      </c>
      <c r="J180" s="77">
        <v>30</v>
      </c>
    </row>
    <row r="181" spans="1:10" x14ac:dyDescent="0.3">
      <c r="A181" s="39">
        <v>43521</v>
      </c>
      <c r="B181" s="74">
        <v>37</v>
      </c>
      <c r="C181" s="74">
        <v>53</v>
      </c>
      <c r="D181" s="74">
        <f t="shared" si="9"/>
        <v>16</v>
      </c>
      <c r="E181" s="75" t="str">
        <f t="shared" si="8"/>
        <v>Pass</v>
      </c>
      <c r="F181" s="74">
        <v>1159</v>
      </c>
      <c r="G181" s="69" t="s">
        <v>284</v>
      </c>
      <c r="H181" s="76"/>
      <c r="I181" s="77">
        <v>100</v>
      </c>
      <c r="J181" s="77">
        <v>30</v>
      </c>
    </row>
    <row r="182" spans="1:10" x14ac:dyDescent="0.3">
      <c r="A182" s="39">
        <v>43524</v>
      </c>
      <c r="B182" s="74">
        <v>50</v>
      </c>
      <c r="C182" s="74">
        <v>41</v>
      </c>
      <c r="D182" s="74">
        <f t="shared" si="9"/>
        <v>-9</v>
      </c>
      <c r="E182" s="75" t="str">
        <f t="shared" si="8"/>
        <v>Pass</v>
      </c>
      <c r="F182" s="74" t="s">
        <v>285</v>
      </c>
      <c r="G182" s="76" t="s">
        <v>23</v>
      </c>
      <c r="H182" s="76"/>
      <c r="I182" s="77">
        <v>100</v>
      </c>
      <c r="J182" s="77">
        <v>30</v>
      </c>
    </row>
    <row r="183" spans="1:10" x14ac:dyDescent="0.3">
      <c r="A183" s="39">
        <v>43528</v>
      </c>
      <c r="B183" s="74">
        <v>29</v>
      </c>
      <c r="C183" s="74">
        <v>25</v>
      </c>
      <c r="D183" s="74">
        <f t="shared" si="9"/>
        <v>-4</v>
      </c>
      <c r="E183" s="75" t="str">
        <f t="shared" si="8"/>
        <v>Pass</v>
      </c>
      <c r="F183" s="74">
        <v>1159</v>
      </c>
      <c r="G183" s="69" t="s">
        <v>286</v>
      </c>
      <c r="H183" s="76"/>
      <c r="I183" s="77">
        <v>100</v>
      </c>
      <c r="J183" s="77">
        <v>30</v>
      </c>
    </row>
    <row r="184" spans="1:10" x14ac:dyDescent="0.3">
      <c r="A184" s="39">
        <v>43531</v>
      </c>
      <c r="B184" s="74">
        <v>25</v>
      </c>
      <c r="C184" s="74">
        <v>35</v>
      </c>
      <c r="D184" s="74">
        <f t="shared" si="9"/>
        <v>10</v>
      </c>
      <c r="E184" s="75" t="str">
        <f t="shared" si="8"/>
        <v>Pass</v>
      </c>
      <c r="F184" s="74" t="s">
        <v>287</v>
      </c>
      <c r="G184" s="76" t="s">
        <v>23</v>
      </c>
      <c r="H184" s="76"/>
      <c r="I184" s="77">
        <v>100</v>
      </c>
      <c r="J184" s="77">
        <v>30</v>
      </c>
    </row>
    <row r="185" spans="1:10" x14ac:dyDescent="0.3">
      <c r="A185" s="39">
        <v>43535</v>
      </c>
      <c r="B185" s="74">
        <v>19</v>
      </c>
      <c r="C185" s="74">
        <v>26</v>
      </c>
      <c r="D185" s="74">
        <f t="shared" si="9"/>
        <v>7</v>
      </c>
      <c r="E185" s="75" t="str">
        <f t="shared" si="8"/>
        <v>Pass</v>
      </c>
      <c r="F185" s="74">
        <v>74</v>
      </c>
      <c r="G185" s="76" t="s">
        <v>23</v>
      </c>
      <c r="H185" s="76"/>
      <c r="I185" s="77">
        <v>100</v>
      </c>
      <c r="J185" s="77">
        <v>30</v>
      </c>
    </row>
    <row r="186" spans="1:10" x14ac:dyDescent="0.3">
      <c r="A186" s="39">
        <v>43536</v>
      </c>
      <c r="B186" s="74">
        <v>40</v>
      </c>
      <c r="C186" s="74">
        <v>45</v>
      </c>
      <c r="D186" s="74">
        <f t="shared" si="9"/>
        <v>5</v>
      </c>
      <c r="E186" s="75" t="str">
        <f t="shared" si="8"/>
        <v>Pass</v>
      </c>
      <c r="F186" s="74">
        <v>74</v>
      </c>
      <c r="G186" s="76" t="s">
        <v>23</v>
      </c>
      <c r="H186" s="86" t="s">
        <v>288</v>
      </c>
      <c r="I186" s="77">
        <v>100</v>
      </c>
      <c r="J186" s="77">
        <v>30</v>
      </c>
    </row>
    <row r="187" spans="1:10" x14ac:dyDescent="0.3">
      <c r="A187" s="39">
        <v>43538</v>
      </c>
      <c r="B187" s="74">
        <v>35</v>
      </c>
      <c r="C187" s="74">
        <v>31</v>
      </c>
      <c r="D187" s="74">
        <f t="shared" si="9"/>
        <v>-4</v>
      </c>
      <c r="E187" s="75" t="str">
        <f t="shared" si="8"/>
        <v>Pass</v>
      </c>
      <c r="F187" s="74">
        <v>121</v>
      </c>
      <c r="G187" s="69" t="s">
        <v>289</v>
      </c>
      <c r="H187" s="76"/>
      <c r="I187" s="77">
        <v>100</v>
      </c>
      <c r="J187" s="77">
        <v>30</v>
      </c>
    </row>
    <row r="188" spans="1:10" x14ac:dyDescent="0.3">
      <c r="A188" s="39">
        <v>43542</v>
      </c>
      <c r="B188" s="74">
        <v>13</v>
      </c>
      <c r="C188" s="74">
        <v>13</v>
      </c>
      <c r="D188" s="74">
        <f t="shared" si="9"/>
        <v>0</v>
      </c>
      <c r="E188" s="75" t="str">
        <f t="shared" si="8"/>
        <v>Pass</v>
      </c>
      <c r="F188" s="74">
        <v>1340</v>
      </c>
      <c r="G188" s="76" t="s">
        <v>23</v>
      </c>
      <c r="H188" s="76"/>
      <c r="I188" s="77">
        <v>100</v>
      </c>
      <c r="J188" s="77">
        <v>30</v>
      </c>
    </row>
    <row r="189" spans="1:10" x14ac:dyDescent="0.3">
      <c r="A189" s="39">
        <v>43546</v>
      </c>
      <c r="B189" s="74">
        <v>36</v>
      </c>
      <c r="C189" s="74">
        <v>36</v>
      </c>
      <c r="D189" s="74">
        <f t="shared" si="9"/>
        <v>0</v>
      </c>
      <c r="E189" s="75" t="str">
        <f t="shared" si="8"/>
        <v>Pass</v>
      </c>
      <c r="F189" s="74">
        <v>1340</v>
      </c>
      <c r="G189" s="76" t="s">
        <v>23</v>
      </c>
      <c r="H189" s="76"/>
      <c r="I189" s="77">
        <v>100</v>
      </c>
      <c r="J189" s="77">
        <v>30</v>
      </c>
    </row>
    <row r="190" spans="1:10" x14ac:dyDescent="0.3">
      <c r="A190" s="39">
        <v>43549</v>
      </c>
      <c r="B190" s="74">
        <v>14</v>
      </c>
      <c r="C190" s="74">
        <v>14</v>
      </c>
      <c r="D190" s="74">
        <f t="shared" si="9"/>
        <v>0</v>
      </c>
      <c r="E190" s="75" t="str">
        <f t="shared" si="8"/>
        <v>Pass</v>
      </c>
      <c r="F190" s="74">
        <v>74</v>
      </c>
      <c r="G190" s="69" t="s">
        <v>290</v>
      </c>
      <c r="H190" s="76"/>
      <c r="I190" s="77">
        <v>100</v>
      </c>
      <c r="J190" s="77">
        <v>30</v>
      </c>
    </row>
    <row r="191" spans="1:10" x14ac:dyDescent="0.3">
      <c r="A191" s="39">
        <v>43552</v>
      </c>
      <c r="B191" s="74">
        <v>17</v>
      </c>
      <c r="C191" s="74">
        <v>18</v>
      </c>
      <c r="D191" s="74">
        <f t="shared" si="9"/>
        <v>1</v>
      </c>
      <c r="E191" s="75" t="str">
        <f t="shared" si="8"/>
        <v>Pass</v>
      </c>
      <c r="F191" s="74">
        <v>121</v>
      </c>
      <c r="G191" s="76" t="s">
        <v>23</v>
      </c>
      <c r="H191" s="76"/>
      <c r="I191" s="77">
        <v>100</v>
      </c>
      <c r="J191" s="77">
        <v>30</v>
      </c>
    </row>
    <row r="192" spans="1:10" x14ac:dyDescent="0.3">
      <c r="A192" s="39">
        <v>43557</v>
      </c>
      <c r="B192" s="74">
        <v>7</v>
      </c>
      <c r="C192" s="74">
        <v>7</v>
      </c>
      <c r="D192" s="74">
        <f t="shared" si="9"/>
        <v>0</v>
      </c>
      <c r="E192" s="75" t="str">
        <f t="shared" si="8"/>
        <v>Pass</v>
      </c>
      <c r="F192" s="74">
        <v>1428</v>
      </c>
      <c r="G192" s="76" t="s">
        <v>118</v>
      </c>
      <c r="H192" s="76"/>
      <c r="I192" s="77">
        <v>100</v>
      </c>
      <c r="J192" s="77">
        <v>30</v>
      </c>
    </row>
    <row r="193" spans="1:10" x14ac:dyDescent="0.3">
      <c r="A193" s="39">
        <v>43562</v>
      </c>
      <c r="B193" s="74">
        <v>22</v>
      </c>
      <c r="C193" s="74">
        <v>25</v>
      </c>
      <c r="D193" s="74">
        <f t="shared" si="9"/>
        <v>3</v>
      </c>
      <c r="E193" s="75" t="str">
        <f t="shared" si="8"/>
        <v>Pass</v>
      </c>
      <c r="F193" s="74">
        <v>1335</v>
      </c>
      <c r="G193" s="69" t="s">
        <v>291</v>
      </c>
      <c r="H193" s="76"/>
      <c r="I193" s="77">
        <v>100</v>
      </c>
      <c r="J193" s="77">
        <v>30</v>
      </c>
    </row>
    <row r="194" spans="1:10" x14ac:dyDescent="0.3">
      <c r="A194" s="39">
        <v>43566</v>
      </c>
      <c r="B194" s="74">
        <v>9</v>
      </c>
      <c r="C194" s="74">
        <v>10</v>
      </c>
      <c r="D194" s="74">
        <f t="shared" si="9"/>
        <v>1</v>
      </c>
      <c r="E194" s="75" t="str">
        <f t="shared" si="8"/>
        <v>Pass</v>
      </c>
      <c r="F194" s="74">
        <v>121</v>
      </c>
      <c r="G194" s="76" t="s">
        <v>23</v>
      </c>
      <c r="H194" s="76"/>
      <c r="I194" s="77">
        <v>100</v>
      </c>
      <c r="J194" s="77">
        <v>30</v>
      </c>
    </row>
    <row r="195" spans="1:10" x14ac:dyDescent="0.3">
      <c r="A195" s="39">
        <v>43570</v>
      </c>
      <c r="B195" s="74">
        <v>20</v>
      </c>
      <c r="C195" s="74">
        <v>21</v>
      </c>
      <c r="D195" s="74">
        <f t="shared" si="9"/>
        <v>1</v>
      </c>
      <c r="E195" s="75" t="str">
        <f t="shared" si="8"/>
        <v>Pass</v>
      </c>
      <c r="F195" s="74">
        <v>121</v>
      </c>
      <c r="G195" s="76" t="s">
        <v>23</v>
      </c>
      <c r="H195" s="76"/>
      <c r="I195" s="77">
        <v>100</v>
      </c>
      <c r="J195" s="77">
        <v>30</v>
      </c>
    </row>
    <row r="196" spans="1:10" x14ac:dyDescent="0.3">
      <c r="A196" s="39">
        <v>43577</v>
      </c>
      <c r="B196" s="74">
        <v>44</v>
      </c>
      <c r="C196" s="74">
        <v>38</v>
      </c>
      <c r="D196" s="74">
        <f t="shared" si="9"/>
        <v>-6</v>
      </c>
      <c r="E196" s="75" t="str">
        <f t="shared" si="8"/>
        <v>Pass</v>
      </c>
      <c r="F196" s="74">
        <v>74</v>
      </c>
      <c r="G196" s="76" t="s">
        <v>118</v>
      </c>
      <c r="H196" s="76"/>
      <c r="I196" s="77">
        <v>100</v>
      </c>
      <c r="J196" s="77">
        <v>30</v>
      </c>
    </row>
    <row r="197" spans="1:10" x14ac:dyDescent="0.3">
      <c r="A197" s="39">
        <v>43581</v>
      </c>
      <c r="B197" s="74">
        <v>42</v>
      </c>
      <c r="C197" s="74">
        <v>43</v>
      </c>
      <c r="D197" s="74">
        <f t="shared" si="9"/>
        <v>1</v>
      </c>
      <c r="E197" s="75" t="str">
        <f t="shared" si="8"/>
        <v>Pass</v>
      </c>
      <c r="F197" s="74">
        <v>1159</v>
      </c>
      <c r="G197" s="69" t="s">
        <v>277</v>
      </c>
      <c r="H197" s="76"/>
      <c r="I197" s="77">
        <v>100</v>
      </c>
      <c r="J197" s="77">
        <v>30</v>
      </c>
    </row>
    <row r="198" spans="1:10" x14ac:dyDescent="0.3">
      <c r="A198" s="39">
        <v>43585</v>
      </c>
      <c r="B198" s="74">
        <v>6</v>
      </c>
      <c r="C198" s="74">
        <v>5</v>
      </c>
      <c r="D198" s="74">
        <f t="shared" si="9"/>
        <v>-1</v>
      </c>
      <c r="E198" s="75" t="str">
        <f t="shared" si="8"/>
        <v>Pass</v>
      </c>
      <c r="F198" s="74">
        <v>1340</v>
      </c>
      <c r="G198" s="76" t="s">
        <v>118</v>
      </c>
      <c r="H198" s="76"/>
      <c r="I198" s="77">
        <v>100</v>
      </c>
      <c r="J198" s="77">
        <v>30</v>
      </c>
    </row>
    <row r="199" spans="1:10" x14ac:dyDescent="0.3">
      <c r="A199" s="39">
        <v>43591</v>
      </c>
      <c r="B199" s="74">
        <v>14</v>
      </c>
      <c r="C199" s="74">
        <v>15</v>
      </c>
      <c r="D199" s="74">
        <f t="shared" si="9"/>
        <v>1</v>
      </c>
      <c r="E199" s="75" t="str">
        <f t="shared" si="8"/>
        <v>Pass</v>
      </c>
      <c r="F199" s="74">
        <v>1428</v>
      </c>
      <c r="H199" s="76"/>
      <c r="I199" s="77">
        <v>100</v>
      </c>
      <c r="J199" s="77">
        <v>30</v>
      </c>
    </row>
    <row r="200" spans="1:10" x14ac:dyDescent="0.3">
      <c r="A200" s="39">
        <v>43596</v>
      </c>
      <c r="B200" s="74">
        <v>26</v>
      </c>
      <c r="C200" s="74">
        <v>48</v>
      </c>
      <c r="D200" s="74">
        <f t="shared" si="9"/>
        <v>22</v>
      </c>
      <c r="E200" s="75" t="str">
        <f t="shared" si="8"/>
        <v>Pass</v>
      </c>
      <c r="F200" s="74">
        <v>1534</v>
      </c>
      <c r="H200" s="76"/>
      <c r="I200" s="77">
        <v>100</v>
      </c>
      <c r="J200" s="77">
        <v>30</v>
      </c>
    </row>
    <row r="201" spans="1:10" x14ac:dyDescent="0.3">
      <c r="A201" s="39">
        <v>43600</v>
      </c>
      <c r="B201" s="74">
        <v>29</v>
      </c>
      <c r="C201" s="74">
        <v>20</v>
      </c>
      <c r="D201" s="74">
        <f t="shared" si="9"/>
        <v>-9</v>
      </c>
      <c r="E201" s="75" t="str">
        <f t="shared" si="8"/>
        <v>Pass</v>
      </c>
      <c r="F201" s="74">
        <v>1340</v>
      </c>
      <c r="G201" s="76" t="s">
        <v>305</v>
      </c>
      <c r="H201" s="76"/>
      <c r="I201" s="77">
        <v>100</v>
      </c>
      <c r="J201" s="77">
        <v>30</v>
      </c>
    </row>
    <row r="202" spans="1:10" x14ac:dyDescent="0.3">
      <c r="A202" s="39">
        <v>43605</v>
      </c>
      <c r="B202" s="74">
        <v>58</v>
      </c>
      <c r="C202" s="74">
        <v>46</v>
      </c>
      <c r="D202" s="74">
        <f t="shared" si="9"/>
        <v>-12</v>
      </c>
      <c r="E202" s="75" t="str">
        <f t="shared" si="8"/>
        <v>Pass</v>
      </c>
      <c r="F202" s="74">
        <v>1335</v>
      </c>
      <c r="G202" s="76" t="s">
        <v>306</v>
      </c>
      <c r="H202" s="76"/>
      <c r="I202" s="77">
        <v>100</v>
      </c>
      <c r="J202" s="77">
        <v>30</v>
      </c>
    </row>
    <row r="203" spans="1:10" x14ac:dyDescent="0.3">
      <c r="A203" s="39">
        <v>43609</v>
      </c>
      <c r="B203" s="74">
        <v>38</v>
      </c>
      <c r="C203" s="74">
        <v>68</v>
      </c>
      <c r="D203" s="74">
        <f t="shared" si="9"/>
        <v>30</v>
      </c>
      <c r="E203" s="75" t="str">
        <f t="shared" si="8"/>
        <v>Pass</v>
      </c>
      <c r="F203" s="74">
        <v>1340</v>
      </c>
      <c r="G203" s="76" t="s">
        <v>331</v>
      </c>
      <c r="H203" s="76"/>
      <c r="I203" s="77">
        <v>100</v>
      </c>
      <c r="J203" s="77">
        <v>30</v>
      </c>
    </row>
    <row r="204" spans="1:10" x14ac:dyDescent="0.3">
      <c r="A204" s="39">
        <v>43613</v>
      </c>
      <c r="B204" s="74">
        <v>26</v>
      </c>
      <c r="C204" s="74">
        <v>19</v>
      </c>
      <c r="D204" s="74">
        <f t="shared" si="9"/>
        <v>-7</v>
      </c>
      <c r="E204" s="75" t="str">
        <f t="shared" si="8"/>
        <v>Pass</v>
      </c>
      <c r="F204" s="74">
        <v>1340</v>
      </c>
      <c r="G204" s="76" t="s">
        <v>332</v>
      </c>
      <c r="H204" s="76"/>
      <c r="I204" s="77">
        <v>100</v>
      </c>
      <c r="J204" s="77">
        <v>30</v>
      </c>
    </row>
    <row r="205" spans="1:10" x14ac:dyDescent="0.3">
      <c r="A205" s="39">
        <v>43617</v>
      </c>
      <c r="B205" s="74">
        <v>24</v>
      </c>
      <c r="C205" s="74">
        <v>31</v>
      </c>
      <c r="D205" s="74">
        <f t="shared" si="9"/>
        <v>7</v>
      </c>
      <c r="E205" s="75" t="str">
        <f t="shared" si="8"/>
        <v>Pass</v>
      </c>
      <c r="F205" s="74">
        <v>121</v>
      </c>
      <c r="G205" s="76" t="s">
        <v>333</v>
      </c>
      <c r="H205" s="76"/>
      <c r="I205" s="77">
        <v>100</v>
      </c>
      <c r="J205" s="77">
        <v>30</v>
      </c>
    </row>
    <row r="206" spans="1:10" x14ac:dyDescent="0.3">
      <c r="A206" s="39">
        <v>43622</v>
      </c>
      <c r="B206" s="74">
        <v>28</v>
      </c>
      <c r="C206" s="74">
        <v>36</v>
      </c>
      <c r="D206" s="74">
        <f t="shared" ref="D206:D209" si="10">IF(((B206="")*AND(C206="")),"",(C206-B206))</f>
        <v>8</v>
      </c>
      <c r="E206" s="75" t="str">
        <f t="shared" si="8"/>
        <v>Pass</v>
      </c>
      <c r="F206" s="74">
        <v>64</v>
      </c>
      <c r="G206" s="76" t="s">
        <v>333</v>
      </c>
      <c r="H206" s="76"/>
      <c r="I206" s="77">
        <v>100</v>
      </c>
      <c r="J206" s="77">
        <v>30</v>
      </c>
    </row>
    <row r="207" spans="1:10" x14ac:dyDescent="0.3">
      <c r="A207" s="39">
        <v>43626</v>
      </c>
      <c r="B207" s="74">
        <v>42</v>
      </c>
      <c r="C207" s="74">
        <v>51</v>
      </c>
      <c r="D207" s="74">
        <f t="shared" si="10"/>
        <v>9</v>
      </c>
      <c r="E207" s="75" t="str">
        <f t="shared" si="8"/>
        <v>Pass</v>
      </c>
      <c r="F207" s="74">
        <v>1428</v>
      </c>
      <c r="G207" s="76" t="s">
        <v>336</v>
      </c>
      <c r="H207" s="76"/>
      <c r="I207" s="77">
        <v>100</v>
      </c>
      <c r="J207" s="77">
        <v>30</v>
      </c>
    </row>
    <row r="208" spans="1:10" x14ac:dyDescent="0.3">
      <c r="A208" s="39">
        <v>43630</v>
      </c>
      <c r="B208" s="74">
        <v>29</v>
      </c>
      <c r="C208" s="74">
        <v>52</v>
      </c>
      <c r="D208" s="74">
        <f t="shared" si="10"/>
        <v>23</v>
      </c>
      <c r="E208" s="75" t="str">
        <f t="shared" si="8"/>
        <v>Pass</v>
      </c>
      <c r="F208" s="74">
        <v>1428</v>
      </c>
      <c r="H208" s="76"/>
      <c r="I208" s="77">
        <v>100</v>
      </c>
      <c r="J208" s="77">
        <v>30</v>
      </c>
    </row>
    <row r="209" spans="1:10" x14ac:dyDescent="0.3">
      <c r="A209" s="39">
        <v>43634</v>
      </c>
      <c r="B209" s="74">
        <v>19</v>
      </c>
      <c r="C209" s="74">
        <v>10</v>
      </c>
      <c r="D209" s="74">
        <f t="shared" si="10"/>
        <v>-9</v>
      </c>
      <c r="E209" s="75" t="str">
        <f t="shared" si="8"/>
        <v>Pass</v>
      </c>
      <c r="F209" s="74">
        <v>1335</v>
      </c>
      <c r="G209" s="76" t="s">
        <v>339</v>
      </c>
      <c r="H209" s="76"/>
      <c r="I209" s="77">
        <v>100</v>
      </c>
      <c r="J209" s="77">
        <v>30</v>
      </c>
    </row>
    <row r="210" spans="1:10" x14ac:dyDescent="0.3">
      <c r="A210" s="39">
        <v>43639</v>
      </c>
      <c r="B210" s="74">
        <v>3</v>
      </c>
      <c r="C210" s="74">
        <v>6</v>
      </c>
      <c r="D210" s="74">
        <f t="shared" ref="D210:D211" si="11">IF(((B210="")*AND(C210="")),"",(C210-B210))</f>
        <v>3</v>
      </c>
      <c r="E210" s="75" t="str">
        <f t="shared" si="8"/>
        <v>Pass</v>
      </c>
      <c r="F210" s="74">
        <v>74</v>
      </c>
      <c r="G210" s="76" t="s">
        <v>340</v>
      </c>
      <c r="H210" s="76"/>
      <c r="I210" s="77">
        <v>100</v>
      </c>
      <c r="J210" s="77">
        <v>30</v>
      </c>
    </row>
    <row r="211" spans="1:10" x14ac:dyDescent="0.3">
      <c r="A211" s="39">
        <v>43643</v>
      </c>
      <c r="B211" s="74">
        <v>13</v>
      </c>
      <c r="C211" s="74">
        <v>49</v>
      </c>
      <c r="D211" s="74">
        <f t="shared" si="11"/>
        <v>36</v>
      </c>
      <c r="E211" s="75" t="str">
        <f t="shared" si="8"/>
        <v>Fail</v>
      </c>
      <c r="F211" s="74">
        <v>1340</v>
      </c>
      <c r="G211" s="76" t="s">
        <v>342</v>
      </c>
      <c r="H211" s="76"/>
      <c r="I211" s="77">
        <v>100</v>
      </c>
      <c r="J211" s="77">
        <v>30</v>
      </c>
    </row>
    <row r="212" spans="1:10" x14ac:dyDescent="0.3">
      <c r="A212" s="39">
        <v>43647</v>
      </c>
      <c r="B212" s="74">
        <v>14</v>
      </c>
      <c r="C212" s="74">
        <v>14</v>
      </c>
      <c r="D212" s="74">
        <f t="shared" ref="D212" si="12">IF(((B212="")*AND(C212="")),"",(C212-B212))</f>
        <v>0</v>
      </c>
      <c r="E212" s="75" t="str">
        <f t="shared" si="8"/>
        <v>Pass</v>
      </c>
      <c r="F212" s="74">
        <v>1159</v>
      </c>
      <c r="G212" s="76" t="s">
        <v>344</v>
      </c>
      <c r="H212" s="76"/>
      <c r="I212" s="77">
        <v>100</v>
      </c>
      <c r="J212" s="77">
        <v>30</v>
      </c>
    </row>
    <row r="213" spans="1:10" x14ac:dyDescent="0.3">
      <c r="A213" s="39">
        <v>43651</v>
      </c>
      <c r="B213" s="74">
        <v>23</v>
      </c>
      <c r="C213" s="74">
        <v>26</v>
      </c>
      <c r="D213" s="74">
        <f t="shared" ref="D213:D218" si="13">IF(((B213="")*AND(C213="")),"",(C213-B213))</f>
        <v>3</v>
      </c>
      <c r="E213" s="75" t="str">
        <f t="shared" si="8"/>
        <v>Pass</v>
      </c>
      <c r="F213" s="74">
        <v>1159</v>
      </c>
      <c r="G213" s="76" t="s">
        <v>346</v>
      </c>
      <c r="H213" s="76"/>
      <c r="I213" s="77">
        <v>100</v>
      </c>
      <c r="J213" s="77">
        <v>30</v>
      </c>
    </row>
    <row r="214" spans="1:10" x14ac:dyDescent="0.3">
      <c r="A214" s="39">
        <v>43655</v>
      </c>
      <c r="B214" s="74">
        <v>29</v>
      </c>
      <c r="C214" s="74">
        <v>20</v>
      </c>
      <c r="D214" s="74">
        <f t="shared" si="13"/>
        <v>-9</v>
      </c>
      <c r="E214" s="75" t="str">
        <f t="shared" si="8"/>
        <v>Pass</v>
      </c>
      <c r="F214" s="74">
        <v>1340</v>
      </c>
      <c r="G214" s="76" t="s">
        <v>348</v>
      </c>
      <c r="H214" s="76"/>
      <c r="I214" s="77">
        <v>100</v>
      </c>
      <c r="J214" s="77">
        <v>30</v>
      </c>
    </row>
    <row r="215" spans="1:10" x14ac:dyDescent="0.3">
      <c r="A215" s="39">
        <v>43661</v>
      </c>
      <c r="B215" s="74">
        <v>34</v>
      </c>
      <c r="C215" s="74">
        <v>35</v>
      </c>
      <c r="D215" s="74">
        <f t="shared" si="13"/>
        <v>1</v>
      </c>
      <c r="E215" s="75" t="str">
        <f t="shared" si="8"/>
        <v>Pass</v>
      </c>
      <c r="F215" s="74">
        <v>1335</v>
      </c>
      <c r="G215" s="76" t="s">
        <v>350</v>
      </c>
      <c r="H215" s="76"/>
      <c r="I215" s="77">
        <v>100</v>
      </c>
      <c r="J215" s="77">
        <v>30</v>
      </c>
    </row>
    <row r="216" spans="1:10" x14ac:dyDescent="0.3">
      <c r="A216" s="39">
        <v>43665</v>
      </c>
      <c r="B216" s="74">
        <v>39</v>
      </c>
      <c r="C216" s="74">
        <v>42</v>
      </c>
      <c r="D216" s="74">
        <f t="shared" si="13"/>
        <v>3</v>
      </c>
      <c r="E216" s="75" t="str">
        <f t="shared" si="8"/>
        <v>Pass</v>
      </c>
      <c r="F216" s="74">
        <v>1335</v>
      </c>
      <c r="G216" s="76" t="s">
        <v>352</v>
      </c>
      <c r="H216" s="76"/>
      <c r="I216" s="77">
        <v>100</v>
      </c>
      <c r="J216" s="77">
        <v>30</v>
      </c>
    </row>
    <row r="217" spans="1:10" x14ac:dyDescent="0.3">
      <c r="A217" s="39">
        <v>43669</v>
      </c>
      <c r="B217" s="74">
        <v>9</v>
      </c>
      <c r="C217" s="74">
        <v>10</v>
      </c>
      <c r="D217" s="74">
        <f t="shared" si="13"/>
        <v>1</v>
      </c>
      <c r="E217" s="75" t="str">
        <f t="shared" si="8"/>
        <v>Pass</v>
      </c>
      <c r="F217" s="74">
        <v>1340</v>
      </c>
      <c r="G217" s="76" t="s">
        <v>353</v>
      </c>
      <c r="H217" s="76"/>
      <c r="I217" s="77">
        <v>100</v>
      </c>
      <c r="J217" s="77">
        <v>30</v>
      </c>
    </row>
    <row r="218" spans="1:10" x14ac:dyDescent="0.3">
      <c r="A218" s="39">
        <v>43673</v>
      </c>
      <c r="B218" s="74">
        <v>16</v>
      </c>
      <c r="C218" s="74">
        <v>16</v>
      </c>
      <c r="D218" s="74">
        <f t="shared" si="13"/>
        <v>0</v>
      </c>
      <c r="E218" s="75" t="str">
        <f t="shared" si="8"/>
        <v>Pass</v>
      </c>
      <c r="F218" s="74">
        <v>1340</v>
      </c>
      <c r="G218" s="76" t="s">
        <v>355</v>
      </c>
      <c r="H218" s="76"/>
      <c r="I218" s="77">
        <v>100</v>
      </c>
      <c r="J218" s="77">
        <v>30</v>
      </c>
    </row>
    <row r="219" spans="1:10" x14ac:dyDescent="0.3">
      <c r="A219" s="39">
        <v>43677</v>
      </c>
      <c r="B219" s="74">
        <v>5</v>
      </c>
      <c r="C219" s="74"/>
      <c r="D219" s="74">
        <f t="shared" ref="D219:D222" si="14">IF(((B219="")*AND(C219="")),"",(C219-B219))</f>
        <v>-5</v>
      </c>
      <c r="E219" s="75" t="str">
        <f t="shared" si="8"/>
        <v>Pass</v>
      </c>
      <c r="F219" s="74">
        <v>1159</v>
      </c>
      <c r="G219" s="76" t="s">
        <v>358</v>
      </c>
      <c r="H219" s="76"/>
      <c r="I219" s="77">
        <v>100</v>
      </c>
      <c r="J219" s="77">
        <v>30</v>
      </c>
    </row>
    <row r="220" spans="1:10" x14ac:dyDescent="0.3">
      <c r="A220" s="39">
        <v>43681</v>
      </c>
      <c r="B220" s="74">
        <v>20</v>
      </c>
      <c r="C220" s="74">
        <v>19</v>
      </c>
      <c r="D220" s="74">
        <f t="shared" si="14"/>
        <v>-1</v>
      </c>
      <c r="E220" s="75" t="str">
        <f t="shared" si="8"/>
        <v>Pass</v>
      </c>
      <c r="F220" s="74">
        <v>74</v>
      </c>
      <c r="G220" s="76" t="s">
        <v>359</v>
      </c>
      <c r="H220" s="76"/>
      <c r="I220" s="77">
        <v>100</v>
      </c>
      <c r="J220" s="77">
        <v>30</v>
      </c>
    </row>
    <row r="221" spans="1:10" x14ac:dyDescent="0.3">
      <c r="A221" s="39">
        <v>43684</v>
      </c>
      <c r="B221" s="74">
        <v>22</v>
      </c>
      <c r="C221" s="74">
        <v>22</v>
      </c>
      <c r="D221" s="74">
        <f t="shared" si="14"/>
        <v>0</v>
      </c>
      <c r="E221" s="75" t="str">
        <f t="shared" si="8"/>
        <v>Pass</v>
      </c>
      <c r="F221" s="74">
        <v>121</v>
      </c>
      <c r="G221" s="76" t="s">
        <v>361</v>
      </c>
      <c r="H221" s="76"/>
      <c r="I221" s="77">
        <v>100</v>
      </c>
      <c r="J221" s="77">
        <v>30</v>
      </c>
    </row>
    <row r="222" spans="1:10" x14ac:dyDescent="0.3">
      <c r="A222" s="39">
        <v>43687</v>
      </c>
      <c r="B222" s="74">
        <v>24</v>
      </c>
      <c r="C222" s="74">
        <v>26</v>
      </c>
      <c r="D222" s="74">
        <f t="shared" si="14"/>
        <v>2</v>
      </c>
      <c r="E222" s="75" t="str">
        <f t="shared" si="8"/>
        <v>Pass</v>
      </c>
      <c r="F222" s="74" t="s">
        <v>362</v>
      </c>
      <c r="G222" s="76" t="s">
        <v>363</v>
      </c>
      <c r="H222" s="76"/>
      <c r="I222" s="77">
        <v>100</v>
      </c>
      <c r="J222" s="77">
        <v>30</v>
      </c>
    </row>
    <row r="223" spans="1:10" x14ac:dyDescent="0.3">
      <c r="A223" s="39">
        <v>43691</v>
      </c>
      <c r="B223" s="74">
        <v>6</v>
      </c>
      <c r="C223" s="74">
        <v>16</v>
      </c>
      <c r="D223" s="74">
        <f t="shared" ref="D223:D225" si="15">IF(((B223="")*AND(C223="")),"",(C223-B223))</f>
        <v>10</v>
      </c>
      <c r="E223" s="75" t="str">
        <f t="shared" si="8"/>
        <v>Pass</v>
      </c>
      <c r="F223" s="74">
        <v>1159</v>
      </c>
      <c r="G223" s="76" t="s">
        <v>365</v>
      </c>
      <c r="H223" s="76"/>
      <c r="I223" s="77">
        <v>100</v>
      </c>
      <c r="J223" s="77">
        <v>30</v>
      </c>
    </row>
    <row r="224" spans="1:10" x14ac:dyDescent="0.3">
      <c r="A224" s="39">
        <v>43696</v>
      </c>
      <c r="B224" s="74">
        <v>6</v>
      </c>
      <c r="C224" s="74">
        <v>13</v>
      </c>
      <c r="D224" s="74">
        <f t="shared" si="15"/>
        <v>7</v>
      </c>
      <c r="E224" s="75" t="str">
        <f t="shared" si="8"/>
        <v>Pass</v>
      </c>
      <c r="F224" s="74">
        <v>1340</v>
      </c>
      <c r="G224" s="76" t="s">
        <v>367</v>
      </c>
      <c r="H224" s="76"/>
      <c r="I224" s="77">
        <v>100</v>
      </c>
      <c r="J224" s="77">
        <v>30</v>
      </c>
    </row>
    <row r="225" spans="1:10" x14ac:dyDescent="0.3">
      <c r="A225" s="39">
        <v>43700</v>
      </c>
      <c r="B225" s="74">
        <v>5</v>
      </c>
      <c r="C225" s="74">
        <v>10</v>
      </c>
      <c r="D225" s="74">
        <f t="shared" si="15"/>
        <v>5</v>
      </c>
      <c r="E225" s="75" t="str">
        <f t="shared" si="8"/>
        <v>Pass</v>
      </c>
      <c r="F225" s="74">
        <v>1340</v>
      </c>
      <c r="G225" s="76" t="s">
        <v>368</v>
      </c>
      <c r="H225" s="76"/>
      <c r="I225" s="77">
        <v>100</v>
      </c>
      <c r="J225" s="77">
        <v>30</v>
      </c>
    </row>
    <row r="226" spans="1:10" x14ac:dyDescent="0.3">
      <c r="A226" s="39">
        <v>43704</v>
      </c>
      <c r="B226" s="74">
        <v>13</v>
      </c>
      <c r="C226" s="74">
        <v>14</v>
      </c>
      <c r="D226" s="74">
        <f t="shared" ref="D226:D229" si="16">IF(((B226="")*AND(C226="")),"",(C226-B226))</f>
        <v>1</v>
      </c>
      <c r="E226" s="75" t="str">
        <f t="shared" si="8"/>
        <v>Pass</v>
      </c>
      <c r="F226" s="74">
        <v>1159</v>
      </c>
      <c r="G226" s="76" t="s">
        <v>370</v>
      </c>
      <c r="H226" s="76"/>
      <c r="I226" s="77">
        <v>100</v>
      </c>
      <c r="J226" s="77">
        <v>30</v>
      </c>
    </row>
    <row r="227" spans="1:10" x14ac:dyDescent="0.3">
      <c r="A227" s="39">
        <v>43708</v>
      </c>
      <c r="B227" s="74">
        <v>13</v>
      </c>
      <c r="C227" s="74">
        <v>5</v>
      </c>
      <c r="D227" s="74">
        <f t="shared" si="16"/>
        <v>-8</v>
      </c>
      <c r="E227" s="75" t="str">
        <f t="shared" si="8"/>
        <v>Pass</v>
      </c>
      <c r="F227" s="74">
        <v>121</v>
      </c>
      <c r="G227" s="76" t="s">
        <v>372</v>
      </c>
      <c r="H227" s="76"/>
      <c r="I227" s="77">
        <v>100</v>
      </c>
      <c r="J227" s="77">
        <v>30</v>
      </c>
    </row>
    <row r="228" spans="1:10" x14ac:dyDescent="0.3">
      <c r="A228" s="39">
        <v>43712</v>
      </c>
      <c r="B228" s="74">
        <v>41</v>
      </c>
      <c r="C228" s="74">
        <v>59</v>
      </c>
      <c r="D228" s="74">
        <f t="shared" si="16"/>
        <v>18</v>
      </c>
      <c r="E228" s="75" t="str">
        <f t="shared" si="8"/>
        <v>Pass</v>
      </c>
      <c r="F228" s="74">
        <v>1428</v>
      </c>
      <c r="G228" s="76" t="s">
        <v>374</v>
      </c>
      <c r="H228" s="76"/>
      <c r="I228" s="77">
        <v>100</v>
      </c>
      <c r="J228" s="77">
        <v>30</v>
      </c>
    </row>
    <row r="229" spans="1:10" x14ac:dyDescent="0.3">
      <c r="A229" s="39">
        <v>43713</v>
      </c>
      <c r="B229" s="74">
        <v>45</v>
      </c>
      <c r="C229" s="74">
        <v>54</v>
      </c>
      <c r="D229" s="74">
        <f t="shared" si="16"/>
        <v>9</v>
      </c>
      <c r="E229" s="75" t="str">
        <f t="shared" si="8"/>
        <v>Pass</v>
      </c>
      <c r="F229" s="74">
        <v>1428</v>
      </c>
      <c r="G229" s="76" t="s">
        <v>375</v>
      </c>
      <c r="H229" s="76"/>
      <c r="I229" s="77">
        <v>100</v>
      </c>
      <c r="J229" s="77">
        <v>30</v>
      </c>
    </row>
    <row r="230" spans="1:10" x14ac:dyDescent="0.3">
      <c r="A230" s="39">
        <v>43713</v>
      </c>
      <c r="B230" s="74">
        <v>24</v>
      </c>
      <c r="C230" s="74">
        <v>17</v>
      </c>
      <c r="D230" s="74">
        <f t="shared" ref="D230:D231" si="17">IF(((B230="")*AND(C230="")),"",(C230-B230))</f>
        <v>-7</v>
      </c>
      <c r="E230" s="75" t="str">
        <f t="shared" si="8"/>
        <v>Pass</v>
      </c>
      <c r="F230" s="74">
        <v>74</v>
      </c>
      <c r="G230" s="76" t="s">
        <v>377</v>
      </c>
      <c r="H230" s="76"/>
      <c r="I230" s="77">
        <v>100</v>
      </c>
      <c r="J230" s="77">
        <v>30</v>
      </c>
    </row>
    <row r="231" spans="1:10" x14ac:dyDescent="0.3">
      <c r="A231" s="39">
        <v>43713</v>
      </c>
      <c r="B231" s="74">
        <v>20</v>
      </c>
      <c r="C231" s="74">
        <v>28</v>
      </c>
      <c r="D231" s="74">
        <f t="shared" si="17"/>
        <v>8</v>
      </c>
      <c r="E231" s="75" t="str">
        <f t="shared" si="8"/>
        <v>Pass</v>
      </c>
      <c r="F231" s="74">
        <v>1335</v>
      </c>
      <c r="G231" s="76" t="s">
        <v>399</v>
      </c>
      <c r="H231" s="76"/>
      <c r="I231" s="77">
        <v>100</v>
      </c>
      <c r="J231" s="77">
        <v>30</v>
      </c>
    </row>
    <row r="232" spans="1:10" x14ac:dyDescent="0.3">
      <c r="A232" s="39">
        <v>43721</v>
      </c>
      <c r="B232" s="74">
        <v>18</v>
      </c>
      <c r="C232" s="74">
        <v>20</v>
      </c>
      <c r="D232" s="74">
        <f t="shared" ref="D232:D235" si="18">IF(((B232="")*AND(C232="")),"",(C232-B232))</f>
        <v>2</v>
      </c>
      <c r="E232" s="75" t="str">
        <f t="shared" ref="E232:E242" si="19">IF((D232=""),"",IF(D232&lt;=30,"Pass","Fail"))</f>
        <v>Pass</v>
      </c>
      <c r="F232" s="74">
        <v>1159</v>
      </c>
      <c r="G232" s="76" t="s">
        <v>379</v>
      </c>
      <c r="H232" s="76"/>
      <c r="I232" s="77">
        <v>100</v>
      </c>
      <c r="J232" s="77">
        <v>30</v>
      </c>
    </row>
    <row r="233" spans="1:10" x14ac:dyDescent="0.3">
      <c r="A233" s="39">
        <v>43725</v>
      </c>
      <c r="B233" s="74">
        <v>31</v>
      </c>
      <c r="C233" s="74">
        <v>39</v>
      </c>
      <c r="D233" s="74">
        <f t="shared" si="18"/>
        <v>8</v>
      </c>
      <c r="E233" s="75" t="str">
        <f t="shared" si="19"/>
        <v>Pass</v>
      </c>
      <c r="F233" s="74">
        <v>1340</v>
      </c>
      <c r="H233" s="76"/>
      <c r="I233" s="77">
        <v>100</v>
      </c>
      <c r="J233" s="77">
        <v>30</v>
      </c>
    </row>
    <row r="234" spans="1:10" x14ac:dyDescent="0.3">
      <c r="A234" s="39">
        <v>43729</v>
      </c>
      <c r="B234" s="74">
        <v>2</v>
      </c>
      <c r="C234" s="74">
        <v>18</v>
      </c>
      <c r="D234" s="74">
        <f t="shared" si="18"/>
        <v>16</v>
      </c>
      <c r="E234" s="75" t="str">
        <f t="shared" si="19"/>
        <v>Pass</v>
      </c>
      <c r="F234" s="74">
        <v>64</v>
      </c>
      <c r="G234" s="76" t="s">
        <v>381</v>
      </c>
      <c r="H234" s="76"/>
      <c r="I234" s="77">
        <v>100</v>
      </c>
      <c r="J234" s="77">
        <v>30</v>
      </c>
    </row>
    <row r="235" spans="1:10" x14ac:dyDescent="0.3">
      <c r="A235" s="39">
        <v>43733</v>
      </c>
      <c r="B235" s="74">
        <v>52</v>
      </c>
      <c r="C235" s="74">
        <v>287</v>
      </c>
      <c r="D235" s="74">
        <f t="shared" si="18"/>
        <v>235</v>
      </c>
      <c r="E235" s="75" t="str">
        <f t="shared" si="19"/>
        <v>Fail</v>
      </c>
      <c r="F235" s="74">
        <v>1335</v>
      </c>
      <c r="G235" s="76" t="s">
        <v>383</v>
      </c>
      <c r="H235" s="76"/>
      <c r="I235" s="77">
        <v>100</v>
      </c>
      <c r="J235" s="77">
        <v>30</v>
      </c>
    </row>
    <row r="236" spans="1:10" x14ac:dyDescent="0.3">
      <c r="A236" s="39">
        <v>43734</v>
      </c>
      <c r="B236" s="74">
        <v>8</v>
      </c>
      <c r="C236" s="74">
        <v>281</v>
      </c>
      <c r="D236" s="74">
        <f t="shared" ref="D236" si="20">IF(((B236="")*AND(C236="")),"",(C236-B236))</f>
        <v>273</v>
      </c>
      <c r="E236" s="75" t="str">
        <f t="shared" si="19"/>
        <v>Fail</v>
      </c>
      <c r="F236" s="74">
        <v>1159</v>
      </c>
      <c r="G236" s="76" t="s">
        <v>385</v>
      </c>
      <c r="H236" s="76"/>
      <c r="I236" s="77">
        <v>100</v>
      </c>
      <c r="J236" s="77">
        <v>30</v>
      </c>
    </row>
    <row r="237" spans="1:10" x14ac:dyDescent="0.3">
      <c r="A237" s="39">
        <v>43734</v>
      </c>
      <c r="B237" s="74">
        <v>1</v>
      </c>
      <c r="C237" s="74">
        <v>3</v>
      </c>
      <c r="D237" s="74">
        <f t="shared" ref="D237:D242" si="21">IF(((B237="")*AND(C237="")),"",(C237-B237))</f>
        <v>2</v>
      </c>
      <c r="E237" s="75" t="str">
        <f t="shared" si="19"/>
        <v>Pass</v>
      </c>
      <c r="F237" s="74">
        <v>1159</v>
      </c>
      <c r="G237" s="76" t="s">
        <v>384</v>
      </c>
      <c r="H237" s="77"/>
      <c r="I237" s="77">
        <v>100</v>
      </c>
      <c r="J237" s="77">
        <v>30</v>
      </c>
    </row>
    <row r="238" spans="1:10" x14ac:dyDescent="0.3">
      <c r="A238" s="39">
        <v>43738</v>
      </c>
      <c r="B238" s="74">
        <v>5</v>
      </c>
      <c r="C238" s="74">
        <v>11</v>
      </c>
      <c r="D238" s="74">
        <f t="shared" si="21"/>
        <v>6</v>
      </c>
      <c r="E238" s="75" t="str">
        <f t="shared" si="19"/>
        <v>Pass</v>
      </c>
      <c r="F238" s="74">
        <v>121</v>
      </c>
      <c r="G238" s="76" t="s">
        <v>387</v>
      </c>
      <c r="H238" s="77"/>
      <c r="I238" s="77">
        <v>100</v>
      </c>
      <c r="J238" s="77">
        <v>30</v>
      </c>
    </row>
    <row r="239" spans="1:10" x14ac:dyDescent="0.3">
      <c r="A239" s="39">
        <v>43742</v>
      </c>
      <c r="B239" s="74">
        <v>11</v>
      </c>
      <c r="C239" s="74">
        <v>15</v>
      </c>
      <c r="D239" s="74">
        <f t="shared" si="21"/>
        <v>4</v>
      </c>
      <c r="E239" s="75" t="str">
        <f t="shared" si="19"/>
        <v>Pass</v>
      </c>
      <c r="F239" s="74">
        <v>121</v>
      </c>
      <c r="G239" s="76" t="s">
        <v>389</v>
      </c>
      <c r="I239" s="77">
        <v>100</v>
      </c>
      <c r="J239" s="77">
        <v>30</v>
      </c>
    </row>
    <row r="240" spans="1:10" x14ac:dyDescent="0.3">
      <c r="A240" s="39">
        <v>43747</v>
      </c>
      <c r="B240" s="74">
        <v>15</v>
      </c>
      <c r="C240" s="74">
        <v>28</v>
      </c>
      <c r="D240" s="74">
        <f t="shared" si="21"/>
        <v>13</v>
      </c>
      <c r="E240" s="75" t="str">
        <f t="shared" si="19"/>
        <v>Pass</v>
      </c>
      <c r="F240" s="74">
        <v>1335</v>
      </c>
      <c r="G240" s="76" t="s">
        <v>391</v>
      </c>
      <c r="I240" s="77">
        <v>100</v>
      </c>
      <c r="J240" s="77">
        <v>30</v>
      </c>
    </row>
    <row r="241" spans="1:10" x14ac:dyDescent="0.3">
      <c r="A241" s="39">
        <v>43752</v>
      </c>
      <c r="B241" s="74">
        <v>3</v>
      </c>
      <c r="C241" s="74">
        <v>1</v>
      </c>
      <c r="D241" s="74">
        <f t="shared" si="21"/>
        <v>-2</v>
      </c>
      <c r="E241" s="75" t="str">
        <f t="shared" si="19"/>
        <v>Pass</v>
      </c>
      <c r="F241" s="74">
        <v>1340</v>
      </c>
      <c r="G241" s="76" t="s">
        <v>393</v>
      </c>
      <c r="I241" s="77">
        <v>100</v>
      </c>
      <c r="J241" s="77">
        <v>30</v>
      </c>
    </row>
    <row r="242" spans="1:10" x14ac:dyDescent="0.3">
      <c r="A242" s="39">
        <v>43756</v>
      </c>
      <c r="B242" s="74">
        <v>18</v>
      </c>
      <c r="C242" s="74">
        <v>16</v>
      </c>
      <c r="D242" s="74">
        <f t="shared" si="21"/>
        <v>-2</v>
      </c>
      <c r="E242" s="75" t="str">
        <f t="shared" si="19"/>
        <v>Pass</v>
      </c>
      <c r="F242" s="74">
        <v>1340</v>
      </c>
      <c r="G242" s="76" t="s">
        <v>395</v>
      </c>
      <c r="I242" s="77">
        <v>100</v>
      </c>
      <c r="J242" s="77">
        <v>30</v>
      </c>
    </row>
    <row r="243" spans="1:10" x14ac:dyDescent="0.3">
      <c r="A243" s="39">
        <v>43760</v>
      </c>
      <c r="B243" s="74">
        <v>20</v>
      </c>
      <c r="C243" s="74">
        <v>16</v>
      </c>
      <c r="D243" s="74">
        <f t="shared" ref="D243" si="22">IF(((B243="")*AND(C243="")),"",(C243-B243))</f>
        <v>-4</v>
      </c>
      <c r="E243" s="75" t="str">
        <f t="shared" ref="E243" si="23">IF((D243=""),"",IF(D243&lt;=30,"Pass","Fail"))</f>
        <v>Pass</v>
      </c>
      <c r="F243" s="74">
        <v>74</v>
      </c>
      <c r="G243" s="76" t="s">
        <v>397</v>
      </c>
      <c r="I243" s="77">
        <v>100</v>
      </c>
      <c r="J243" s="77">
        <v>30</v>
      </c>
    </row>
    <row r="244" spans="1:10" x14ac:dyDescent="0.3">
      <c r="A244" s="39">
        <v>43766</v>
      </c>
      <c r="B244" s="74">
        <v>20</v>
      </c>
      <c r="C244" s="74">
        <v>362</v>
      </c>
      <c r="D244" s="74">
        <f t="shared" ref="D244:D257" si="24">IF(((B244="")*AND(C244="")),"",(C244-B244))</f>
        <v>342</v>
      </c>
      <c r="E244" s="75" t="str">
        <f t="shared" ref="E244:E256" si="25">IF((D244=""),"",IF(D244&lt;=30,"Pass","Fail"))</f>
        <v>Fail</v>
      </c>
      <c r="F244" s="74">
        <v>1428</v>
      </c>
      <c r="G244" s="106"/>
      <c r="H244" s="76" t="s">
        <v>412</v>
      </c>
      <c r="I244" s="77">
        <v>100</v>
      </c>
      <c r="J244" s="77">
        <v>30</v>
      </c>
    </row>
    <row r="245" spans="1:10" x14ac:dyDescent="0.3">
      <c r="A245" s="39">
        <v>43766</v>
      </c>
      <c r="B245" s="74">
        <v>36</v>
      </c>
      <c r="C245" s="74">
        <v>81</v>
      </c>
      <c r="D245" s="74">
        <f t="shared" si="24"/>
        <v>45</v>
      </c>
      <c r="E245" s="75" t="str">
        <f t="shared" si="25"/>
        <v>Fail</v>
      </c>
      <c r="F245" s="74">
        <v>1428</v>
      </c>
      <c r="G245" s="106"/>
      <c r="H245" s="76"/>
      <c r="I245" s="77">
        <v>100</v>
      </c>
      <c r="J245" s="77">
        <v>30</v>
      </c>
    </row>
    <row r="246" spans="1:10" x14ac:dyDescent="0.3">
      <c r="A246" s="39">
        <v>43766</v>
      </c>
      <c r="B246" s="74">
        <v>57</v>
      </c>
      <c r="C246" s="74">
        <v>66</v>
      </c>
      <c r="D246" s="74">
        <f t="shared" si="24"/>
        <v>9</v>
      </c>
      <c r="E246" s="75" t="str">
        <f t="shared" si="25"/>
        <v>Pass</v>
      </c>
      <c r="F246" s="74">
        <v>1428</v>
      </c>
      <c r="H246" s="76"/>
      <c r="I246" s="77">
        <v>100</v>
      </c>
      <c r="J246" s="77">
        <v>30</v>
      </c>
    </row>
    <row r="247" spans="1:10" x14ac:dyDescent="0.3">
      <c r="A247" s="39">
        <v>43770</v>
      </c>
      <c r="B247" s="74">
        <v>17</v>
      </c>
      <c r="C247" s="74">
        <v>344</v>
      </c>
      <c r="D247" s="74">
        <f t="shared" si="24"/>
        <v>327</v>
      </c>
      <c r="E247" s="75" t="str">
        <f t="shared" si="25"/>
        <v>Fail</v>
      </c>
      <c r="F247" s="74">
        <v>1428</v>
      </c>
      <c r="G247" s="106"/>
      <c r="H247" s="76"/>
      <c r="I247" s="77">
        <v>100</v>
      </c>
      <c r="J247" s="77">
        <v>30</v>
      </c>
    </row>
    <row r="248" spans="1:10" x14ac:dyDescent="0.3">
      <c r="A248" s="39">
        <v>43773</v>
      </c>
      <c r="B248" s="74">
        <v>33</v>
      </c>
      <c r="C248" s="74">
        <v>57</v>
      </c>
      <c r="D248" s="74">
        <f t="shared" si="24"/>
        <v>24</v>
      </c>
      <c r="E248" s="75" t="str">
        <f t="shared" si="25"/>
        <v>Pass</v>
      </c>
      <c r="F248" s="74">
        <v>121</v>
      </c>
      <c r="H248" s="76"/>
      <c r="I248" s="77">
        <v>100</v>
      </c>
      <c r="J248" s="77">
        <v>30</v>
      </c>
    </row>
    <row r="249" spans="1:10" x14ac:dyDescent="0.3">
      <c r="A249" s="39">
        <v>43779</v>
      </c>
      <c r="B249" s="74">
        <v>38</v>
      </c>
      <c r="C249" s="74">
        <v>83</v>
      </c>
      <c r="D249" s="74">
        <f t="shared" si="24"/>
        <v>45</v>
      </c>
      <c r="E249" s="75" t="str">
        <f t="shared" si="25"/>
        <v>Fail</v>
      </c>
      <c r="F249" s="74">
        <v>121</v>
      </c>
      <c r="G249" s="76" t="s">
        <v>404</v>
      </c>
      <c r="H249" s="76" t="s">
        <v>411</v>
      </c>
      <c r="I249" s="77">
        <v>100</v>
      </c>
      <c r="J249" s="77">
        <v>30</v>
      </c>
    </row>
    <row r="250" spans="1:10" x14ac:dyDescent="0.3">
      <c r="A250" s="39">
        <v>43780</v>
      </c>
      <c r="B250" s="74">
        <v>33</v>
      </c>
      <c r="C250" s="74">
        <v>30</v>
      </c>
      <c r="D250" s="74">
        <f t="shared" si="24"/>
        <v>-3</v>
      </c>
      <c r="E250" s="75" t="str">
        <f t="shared" si="25"/>
        <v>Pass</v>
      </c>
      <c r="F250" s="74">
        <v>1340</v>
      </c>
      <c r="G250" s="76" t="s">
        <v>405</v>
      </c>
      <c r="H250" s="76"/>
      <c r="I250" s="77">
        <v>100</v>
      </c>
      <c r="J250" s="77">
        <v>30</v>
      </c>
    </row>
    <row r="251" spans="1:10" x14ac:dyDescent="0.3">
      <c r="A251" s="39">
        <v>43784</v>
      </c>
      <c r="B251" s="74">
        <v>4</v>
      </c>
      <c r="C251" s="74">
        <v>24</v>
      </c>
      <c r="D251" s="74">
        <f t="shared" si="24"/>
        <v>20</v>
      </c>
      <c r="E251" s="75" t="str">
        <f t="shared" si="25"/>
        <v>Pass</v>
      </c>
      <c r="F251" s="74">
        <v>1340</v>
      </c>
      <c r="G251" s="76" t="s">
        <v>408</v>
      </c>
      <c r="H251" s="76"/>
      <c r="I251" s="77">
        <v>100</v>
      </c>
      <c r="J251" s="77">
        <v>30</v>
      </c>
    </row>
    <row r="252" spans="1:10" x14ac:dyDescent="0.3">
      <c r="A252" s="39">
        <v>43788</v>
      </c>
      <c r="B252" s="74">
        <v>22</v>
      </c>
      <c r="C252" s="74">
        <v>23</v>
      </c>
      <c r="D252" s="74">
        <f t="shared" si="24"/>
        <v>1</v>
      </c>
      <c r="E252" s="75" t="str">
        <f t="shared" si="25"/>
        <v>Pass</v>
      </c>
      <c r="F252" s="74">
        <v>74</v>
      </c>
      <c r="G252" s="76" t="s">
        <v>415</v>
      </c>
      <c r="H252" s="76"/>
      <c r="I252" s="77">
        <v>100</v>
      </c>
      <c r="J252" s="77">
        <v>30</v>
      </c>
    </row>
    <row r="253" spans="1:10" x14ac:dyDescent="0.3">
      <c r="A253" s="39">
        <v>43792</v>
      </c>
      <c r="B253" s="74">
        <v>23</v>
      </c>
      <c r="C253" s="74">
        <v>29</v>
      </c>
      <c r="D253" s="74">
        <f t="shared" si="24"/>
        <v>6</v>
      </c>
      <c r="E253" s="75" t="str">
        <f t="shared" si="25"/>
        <v>Pass</v>
      </c>
      <c r="F253" s="74">
        <v>121</v>
      </c>
      <c r="G253" s="76" t="s">
        <v>416</v>
      </c>
      <c r="H253" s="76"/>
      <c r="I253" s="77">
        <v>100</v>
      </c>
      <c r="J253" s="77">
        <v>30</v>
      </c>
    </row>
    <row r="254" spans="1:10" x14ac:dyDescent="0.3">
      <c r="A254" s="39">
        <v>43796</v>
      </c>
      <c r="B254" s="74">
        <v>20</v>
      </c>
      <c r="C254" s="74">
        <v>106</v>
      </c>
      <c r="D254" s="74">
        <f t="shared" si="24"/>
        <v>86</v>
      </c>
      <c r="E254" s="75" t="str">
        <f t="shared" si="25"/>
        <v>Fail</v>
      </c>
      <c r="F254" s="74">
        <v>1428</v>
      </c>
      <c r="G254" s="76" t="s">
        <v>418</v>
      </c>
      <c r="H254" s="76"/>
      <c r="I254" s="77">
        <v>100</v>
      </c>
      <c r="J254" s="77">
        <v>30</v>
      </c>
    </row>
    <row r="255" spans="1:10" x14ac:dyDescent="0.3">
      <c r="A255" s="39">
        <v>43796</v>
      </c>
      <c r="B255" s="74">
        <v>2</v>
      </c>
      <c r="C255" s="74">
        <v>40</v>
      </c>
      <c r="D255" s="74">
        <f t="shared" si="24"/>
        <v>38</v>
      </c>
      <c r="E255" s="75" t="str">
        <f t="shared" si="25"/>
        <v>Fail</v>
      </c>
      <c r="F255" s="74">
        <v>1428</v>
      </c>
      <c r="G255" s="76" t="s">
        <v>419</v>
      </c>
      <c r="H255" s="76"/>
      <c r="I255" s="77">
        <v>100</v>
      </c>
      <c r="J255" s="77">
        <v>30</v>
      </c>
    </row>
    <row r="256" spans="1:10" x14ac:dyDescent="0.3">
      <c r="A256" s="39">
        <v>43800</v>
      </c>
      <c r="B256" s="74">
        <v>2</v>
      </c>
      <c r="C256" s="74">
        <v>25</v>
      </c>
      <c r="D256" s="74">
        <f t="shared" si="24"/>
        <v>23</v>
      </c>
      <c r="E256" s="75" t="str">
        <f t="shared" si="25"/>
        <v>Pass</v>
      </c>
      <c r="F256" s="74">
        <v>1335</v>
      </c>
      <c r="G256" s="76" t="s">
        <v>421</v>
      </c>
      <c r="H256" s="76" t="s">
        <v>424</v>
      </c>
      <c r="I256" s="77">
        <v>100</v>
      </c>
      <c r="J256" s="77">
        <v>30</v>
      </c>
    </row>
    <row r="257" spans="1:10" x14ac:dyDescent="0.3">
      <c r="A257" s="39">
        <v>43805</v>
      </c>
      <c r="B257" s="74">
        <v>6</v>
      </c>
      <c r="C257" s="74">
        <v>36</v>
      </c>
      <c r="D257" s="74">
        <f t="shared" si="24"/>
        <v>30</v>
      </c>
      <c r="E257" s="75" t="str">
        <f>IF((D257=""),"",IF(D257&lt;=J257,"Pass","Fail"))</f>
        <v>Fail</v>
      </c>
      <c r="F257" s="74">
        <v>1335</v>
      </c>
      <c r="G257" s="76" t="s">
        <v>427</v>
      </c>
      <c r="H257" s="76" t="s">
        <v>425</v>
      </c>
      <c r="I257" s="77">
        <v>100</v>
      </c>
      <c r="J257" s="77">
        <v>23</v>
      </c>
    </row>
    <row r="258" spans="1:10" x14ac:dyDescent="0.3">
      <c r="A258" s="39">
        <v>43805</v>
      </c>
      <c r="B258" s="74"/>
      <c r="C258" s="74"/>
      <c r="D258" s="74"/>
      <c r="E258" s="75" t="str">
        <f t="shared" ref="E258:E321" si="26">IF((D258=""),"",IF(D258&lt;=J258,"Pass","Fail"))</f>
        <v/>
      </c>
      <c r="F258" s="74"/>
      <c r="H258" s="76"/>
      <c r="I258" s="77">
        <v>100</v>
      </c>
      <c r="J258" s="77">
        <v>23</v>
      </c>
    </row>
    <row r="259" spans="1:10" x14ac:dyDescent="0.3">
      <c r="B259" s="74"/>
      <c r="C259" s="74"/>
      <c r="D259" s="74"/>
      <c r="E259" s="75" t="str">
        <f t="shared" si="26"/>
        <v/>
      </c>
      <c r="F259" s="74"/>
      <c r="H259" s="76"/>
      <c r="I259" s="77">
        <v>100</v>
      </c>
      <c r="J259" s="77">
        <v>23</v>
      </c>
    </row>
    <row r="260" spans="1:10" x14ac:dyDescent="0.3">
      <c r="B260" s="74"/>
      <c r="C260" s="74"/>
      <c r="D260" s="74"/>
      <c r="E260" s="75" t="str">
        <f t="shared" si="26"/>
        <v/>
      </c>
      <c r="F260" s="74"/>
      <c r="H260" s="76"/>
      <c r="I260" s="77">
        <v>100</v>
      </c>
      <c r="J260" s="77">
        <v>23</v>
      </c>
    </row>
    <row r="261" spans="1:10" x14ac:dyDescent="0.3">
      <c r="B261" s="74"/>
      <c r="C261" s="74"/>
      <c r="D261" s="74"/>
      <c r="E261" s="75" t="str">
        <f t="shared" si="26"/>
        <v/>
      </c>
      <c r="F261" s="74"/>
      <c r="H261" s="76"/>
      <c r="I261" s="77">
        <v>100</v>
      </c>
      <c r="J261" s="77">
        <v>23</v>
      </c>
    </row>
    <row r="262" spans="1:10" x14ac:dyDescent="0.3">
      <c r="B262" s="74"/>
      <c r="C262" s="74"/>
      <c r="D262" s="74"/>
      <c r="E262" s="75" t="str">
        <f t="shared" si="26"/>
        <v/>
      </c>
      <c r="F262" s="74"/>
      <c r="H262" s="76"/>
      <c r="I262" s="77">
        <v>100</v>
      </c>
      <c r="J262" s="77">
        <v>23</v>
      </c>
    </row>
    <row r="263" spans="1:10" x14ac:dyDescent="0.3">
      <c r="B263" s="74"/>
      <c r="C263" s="74"/>
      <c r="D263" s="74"/>
      <c r="E263" s="75" t="str">
        <f t="shared" si="26"/>
        <v/>
      </c>
      <c r="F263" s="74"/>
      <c r="H263" s="76"/>
      <c r="I263" s="77">
        <v>100</v>
      </c>
      <c r="J263" s="77">
        <v>23</v>
      </c>
    </row>
    <row r="264" spans="1:10" x14ac:dyDescent="0.3">
      <c r="B264" s="74"/>
      <c r="C264" s="74"/>
      <c r="D264" s="74"/>
      <c r="E264" s="75" t="str">
        <f t="shared" si="26"/>
        <v/>
      </c>
      <c r="F264" s="74"/>
      <c r="H264" s="76"/>
      <c r="I264" s="77">
        <v>100</v>
      </c>
      <c r="J264" s="77">
        <v>23</v>
      </c>
    </row>
    <row r="265" spans="1:10" x14ac:dyDescent="0.3">
      <c r="B265" s="74"/>
      <c r="C265" s="74"/>
      <c r="D265" s="74"/>
      <c r="E265" s="75" t="str">
        <f t="shared" si="26"/>
        <v/>
      </c>
      <c r="F265" s="74"/>
      <c r="H265" s="76"/>
      <c r="I265" s="77">
        <v>100</v>
      </c>
      <c r="J265" s="77">
        <v>23</v>
      </c>
    </row>
    <row r="266" spans="1:10" x14ac:dyDescent="0.3">
      <c r="B266" s="74"/>
      <c r="C266" s="74"/>
      <c r="D266" s="74"/>
      <c r="E266" s="75" t="str">
        <f t="shared" si="26"/>
        <v/>
      </c>
      <c r="F266" s="74"/>
      <c r="H266" s="76"/>
      <c r="I266" s="77">
        <v>100</v>
      </c>
      <c r="J266" s="77">
        <v>23</v>
      </c>
    </row>
    <row r="267" spans="1:10" x14ac:dyDescent="0.3">
      <c r="B267" s="74"/>
      <c r="C267" s="74"/>
      <c r="D267" s="74"/>
      <c r="E267" s="75" t="str">
        <f t="shared" si="26"/>
        <v/>
      </c>
      <c r="F267" s="74"/>
      <c r="H267" s="76"/>
      <c r="I267" s="77">
        <v>100</v>
      </c>
      <c r="J267" s="77">
        <v>23</v>
      </c>
    </row>
    <row r="268" spans="1:10" x14ac:dyDescent="0.3">
      <c r="B268" s="74"/>
      <c r="C268" s="74"/>
      <c r="D268" s="74"/>
      <c r="E268" s="75" t="str">
        <f t="shared" si="26"/>
        <v/>
      </c>
      <c r="F268" s="74"/>
      <c r="H268" s="76"/>
      <c r="I268" s="77">
        <v>100</v>
      </c>
      <c r="J268" s="77">
        <v>23</v>
      </c>
    </row>
    <row r="269" spans="1:10" x14ac:dyDescent="0.3">
      <c r="B269" s="74"/>
      <c r="C269" s="74"/>
      <c r="D269" s="74"/>
      <c r="E269" s="75" t="str">
        <f t="shared" si="26"/>
        <v/>
      </c>
      <c r="F269" s="74"/>
      <c r="H269" s="76"/>
      <c r="I269" s="77">
        <v>100</v>
      </c>
      <c r="J269" s="77">
        <v>23</v>
      </c>
    </row>
    <row r="270" spans="1:10" x14ac:dyDescent="0.3">
      <c r="B270" s="74"/>
      <c r="C270" s="74"/>
      <c r="D270" s="74"/>
      <c r="E270" s="75" t="str">
        <f t="shared" si="26"/>
        <v/>
      </c>
      <c r="F270" s="74"/>
      <c r="H270" s="76"/>
      <c r="I270" s="77">
        <v>100</v>
      </c>
      <c r="J270" s="77">
        <v>23</v>
      </c>
    </row>
    <row r="271" spans="1:10" x14ac:dyDescent="0.3">
      <c r="B271" s="74"/>
      <c r="C271" s="74"/>
      <c r="D271" s="74"/>
      <c r="E271" s="75" t="str">
        <f t="shared" si="26"/>
        <v/>
      </c>
      <c r="F271" s="74"/>
      <c r="H271" s="76"/>
      <c r="I271" s="77">
        <v>100</v>
      </c>
      <c r="J271" s="77">
        <v>23</v>
      </c>
    </row>
    <row r="272" spans="1:10" x14ac:dyDescent="0.3">
      <c r="B272" s="74"/>
      <c r="C272" s="74"/>
      <c r="D272" s="74"/>
      <c r="E272" s="75" t="str">
        <f t="shared" si="26"/>
        <v/>
      </c>
      <c r="F272" s="74"/>
      <c r="H272" s="76"/>
      <c r="I272" s="77">
        <v>100</v>
      </c>
      <c r="J272" s="77">
        <v>23</v>
      </c>
    </row>
    <row r="273" spans="2:10" x14ac:dyDescent="0.3">
      <c r="B273" s="74"/>
      <c r="C273" s="74"/>
      <c r="D273" s="74"/>
      <c r="E273" s="75" t="str">
        <f t="shared" si="26"/>
        <v/>
      </c>
      <c r="F273" s="74"/>
      <c r="H273" s="76"/>
      <c r="I273" s="77">
        <v>100</v>
      </c>
      <c r="J273" s="77">
        <v>23</v>
      </c>
    </row>
    <row r="274" spans="2:10" x14ac:dyDescent="0.3">
      <c r="B274" s="74"/>
      <c r="C274" s="74"/>
      <c r="D274" s="74"/>
      <c r="E274" s="75" t="str">
        <f t="shared" si="26"/>
        <v/>
      </c>
      <c r="F274" s="74"/>
      <c r="H274" s="76"/>
      <c r="I274" s="77">
        <v>100</v>
      </c>
      <c r="J274" s="77">
        <v>23</v>
      </c>
    </row>
    <row r="275" spans="2:10" x14ac:dyDescent="0.3">
      <c r="B275" s="74"/>
      <c r="C275" s="74"/>
      <c r="D275" s="74"/>
      <c r="E275" s="75" t="str">
        <f t="shared" si="26"/>
        <v/>
      </c>
      <c r="F275" s="74"/>
      <c r="H275" s="76"/>
      <c r="I275" s="77">
        <v>100</v>
      </c>
      <c r="J275" s="77">
        <v>23</v>
      </c>
    </row>
    <row r="276" spans="2:10" x14ac:dyDescent="0.3">
      <c r="B276" s="74"/>
      <c r="C276" s="74"/>
      <c r="D276" s="74"/>
      <c r="E276" s="75" t="str">
        <f t="shared" si="26"/>
        <v/>
      </c>
      <c r="F276" s="74"/>
      <c r="H276" s="76"/>
      <c r="I276" s="77">
        <v>100</v>
      </c>
      <c r="J276" s="77">
        <v>23</v>
      </c>
    </row>
    <row r="277" spans="2:10" x14ac:dyDescent="0.3">
      <c r="B277" s="74"/>
      <c r="C277" s="74"/>
      <c r="D277" s="74"/>
      <c r="E277" s="75" t="str">
        <f t="shared" si="26"/>
        <v/>
      </c>
      <c r="F277" s="74"/>
      <c r="H277" s="76"/>
      <c r="I277" s="77">
        <v>100</v>
      </c>
      <c r="J277" s="77">
        <v>23</v>
      </c>
    </row>
    <row r="278" spans="2:10" x14ac:dyDescent="0.3">
      <c r="B278" s="74"/>
      <c r="C278" s="74"/>
      <c r="D278" s="74"/>
      <c r="E278" s="75" t="str">
        <f t="shared" si="26"/>
        <v/>
      </c>
      <c r="F278" s="74"/>
      <c r="H278" s="76"/>
      <c r="I278" s="77">
        <v>100</v>
      </c>
      <c r="J278" s="77">
        <v>23</v>
      </c>
    </row>
    <row r="279" spans="2:10" x14ac:dyDescent="0.3">
      <c r="B279" s="74"/>
      <c r="C279" s="74"/>
      <c r="D279" s="74"/>
      <c r="E279" s="75" t="str">
        <f t="shared" si="26"/>
        <v/>
      </c>
      <c r="F279" s="74"/>
      <c r="H279" s="76"/>
      <c r="I279" s="77">
        <v>100</v>
      </c>
      <c r="J279" s="77">
        <v>23</v>
      </c>
    </row>
    <row r="280" spans="2:10" x14ac:dyDescent="0.3">
      <c r="B280" s="74"/>
      <c r="C280" s="74"/>
      <c r="D280" s="74"/>
      <c r="E280" s="75" t="str">
        <f t="shared" si="26"/>
        <v/>
      </c>
      <c r="F280" s="74"/>
      <c r="H280" s="76"/>
      <c r="I280" s="77">
        <v>100</v>
      </c>
      <c r="J280" s="77">
        <v>23</v>
      </c>
    </row>
    <row r="281" spans="2:10" x14ac:dyDescent="0.3">
      <c r="B281" s="74"/>
      <c r="C281" s="74"/>
      <c r="D281" s="74"/>
      <c r="E281" s="75" t="str">
        <f t="shared" si="26"/>
        <v/>
      </c>
      <c r="F281" s="74"/>
      <c r="H281" s="76"/>
      <c r="I281" s="77">
        <v>100</v>
      </c>
      <c r="J281" s="77">
        <v>23</v>
      </c>
    </row>
    <row r="282" spans="2:10" x14ac:dyDescent="0.3">
      <c r="B282" s="74"/>
      <c r="C282" s="74"/>
      <c r="D282" s="74"/>
      <c r="E282" s="75" t="str">
        <f t="shared" si="26"/>
        <v/>
      </c>
      <c r="F282" s="74"/>
      <c r="H282" s="76"/>
      <c r="I282" s="77">
        <v>100</v>
      </c>
      <c r="J282" s="77">
        <v>23</v>
      </c>
    </row>
    <row r="283" spans="2:10" x14ac:dyDescent="0.3">
      <c r="B283" s="74"/>
      <c r="C283" s="74"/>
      <c r="D283" s="74"/>
      <c r="E283" s="75" t="str">
        <f t="shared" si="26"/>
        <v/>
      </c>
      <c r="F283" s="74"/>
      <c r="H283" s="76"/>
      <c r="I283" s="77">
        <v>100</v>
      </c>
      <c r="J283" s="77">
        <v>23</v>
      </c>
    </row>
    <row r="284" spans="2:10" x14ac:dyDescent="0.3">
      <c r="B284" s="74"/>
      <c r="C284" s="74"/>
      <c r="D284" s="74"/>
      <c r="E284" s="75" t="str">
        <f t="shared" si="26"/>
        <v/>
      </c>
      <c r="F284" s="74"/>
      <c r="H284" s="76"/>
      <c r="I284" s="77">
        <v>100</v>
      </c>
      <c r="J284" s="77">
        <v>23</v>
      </c>
    </row>
    <row r="285" spans="2:10" x14ac:dyDescent="0.3">
      <c r="B285" s="74"/>
      <c r="C285" s="74"/>
      <c r="D285" s="74"/>
      <c r="E285" s="75" t="str">
        <f t="shared" si="26"/>
        <v/>
      </c>
      <c r="F285" s="74"/>
      <c r="H285" s="76"/>
      <c r="I285" s="77">
        <v>100</v>
      </c>
      <c r="J285" s="77">
        <v>23</v>
      </c>
    </row>
    <row r="286" spans="2:10" x14ac:dyDescent="0.3">
      <c r="B286" s="74"/>
      <c r="C286" s="74"/>
      <c r="D286" s="74"/>
      <c r="E286" s="75" t="str">
        <f t="shared" si="26"/>
        <v/>
      </c>
      <c r="F286" s="74"/>
      <c r="H286" s="76"/>
      <c r="I286" s="77">
        <v>100</v>
      </c>
      <c r="J286" s="77">
        <v>23</v>
      </c>
    </row>
    <row r="287" spans="2:10" x14ac:dyDescent="0.3">
      <c r="B287" s="74"/>
      <c r="C287" s="74"/>
      <c r="D287" s="74"/>
      <c r="E287" s="75" t="str">
        <f t="shared" si="26"/>
        <v/>
      </c>
      <c r="F287" s="74"/>
      <c r="H287" s="76"/>
      <c r="I287" s="77">
        <v>100</v>
      </c>
      <c r="J287" s="77">
        <v>23</v>
      </c>
    </row>
    <row r="288" spans="2:10" x14ac:dyDescent="0.3">
      <c r="B288" s="74"/>
      <c r="C288" s="74"/>
      <c r="D288" s="74"/>
      <c r="E288" s="75" t="str">
        <f t="shared" si="26"/>
        <v/>
      </c>
      <c r="F288" s="74"/>
      <c r="H288" s="76"/>
      <c r="I288" s="77">
        <v>100</v>
      </c>
      <c r="J288" s="77">
        <v>23</v>
      </c>
    </row>
    <row r="289" spans="2:10" x14ac:dyDescent="0.3">
      <c r="B289" s="74"/>
      <c r="C289" s="74"/>
      <c r="D289" s="74"/>
      <c r="E289" s="75" t="str">
        <f t="shared" si="26"/>
        <v/>
      </c>
      <c r="F289" s="74"/>
      <c r="H289" s="76"/>
      <c r="I289" s="77">
        <v>100</v>
      </c>
      <c r="J289" s="77">
        <v>23</v>
      </c>
    </row>
    <row r="290" spans="2:10" x14ac:dyDescent="0.3">
      <c r="B290" s="74"/>
      <c r="C290" s="74"/>
      <c r="D290" s="74"/>
      <c r="E290" s="75" t="str">
        <f t="shared" si="26"/>
        <v/>
      </c>
      <c r="F290" s="74"/>
      <c r="H290" s="76"/>
      <c r="I290" s="77">
        <v>100</v>
      </c>
      <c r="J290" s="77">
        <v>23</v>
      </c>
    </row>
    <row r="291" spans="2:10" x14ac:dyDescent="0.3">
      <c r="B291" s="74"/>
      <c r="C291" s="74"/>
      <c r="D291" s="74"/>
      <c r="E291" s="75" t="str">
        <f t="shared" si="26"/>
        <v/>
      </c>
      <c r="F291" s="74"/>
      <c r="H291" s="76"/>
      <c r="I291" s="77">
        <v>100</v>
      </c>
      <c r="J291" s="77">
        <v>23</v>
      </c>
    </row>
    <row r="292" spans="2:10" x14ac:dyDescent="0.3">
      <c r="B292" s="74"/>
      <c r="C292" s="74"/>
      <c r="D292" s="74"/>
      <c r="E292" s="75" t="str">
        <f t="shared" si="26"/>
        <v/>
      </c>
      <c r="F292" s="74"/>
      <c r="H292" s="76"/>
      <c r="I292" s="77">
        <v>100</v>
      </c>
      <c r="J292" s="77">
        <v>23</v>
      </c>
    </row>
    <row r="293" spans="2:10" x14ac:dyDescent="0.3">
      <c r="B293" s="74"/>
      <c r="C293" s="74"/>
      <c r="D293" s="74"/>
      <c r="E293" s="75" t="str">
        <f t="shared" si="26"/>
        <v/>
      </c>
      <c r="F293" s="74"/>
      <c r="H293" s="76"/>
      <c r="I293" s="77">
        <v>100</v>
      </c>
      <c r="J293" s="77">
        <v>23</v>
      </c>
    </row>
    <row r="294" spans="2:10" x14ac:dyDescent="0.3">
      <c r="B294" s="74"/>
      <c r="C294" s="74"/>
      <c r="D294" s="74"/>
      <c r="E294" s="75" t="str">
        <f t="shared" si="26"/>
        <v/>
      </c>
      <c r="F294" s="74"/>
      <c r="H294" s="76"/>
      <c r="I294" s="77">
        <v>100</v>
      </c>
      <c r="J294" s="77">
        <v>23</v>
      </c>
    </row>
    <row r="295" spans="2:10" x14ac:dyDescent="0.3">
      <c r="B295" s="74"/>
      <c r="C295" s="74"/>
      <c r="D295" s="74"/>
      <c r="E295" s="75" t="str">
        <f t="shared" si="26"/>
        <v/>
      </c>
      <c r="F295" s="74"/>
      <c r="H295" s="76"/>
      <c r="I295" s="77">
        <v>100</v>
      </c>
      <c r="J295" s="77">
        <v>23</v>
      </c>
    </row>
    <row r="296" spans="2:10" x14ac:dyDescent="0.3">
      <c r="B296" s="74"/>
      <c r="C296" s="74"/>
      <c r="D296" s="74"/>
      <c r="E296" s="75" t="str">
        <f t="shared" si="26"/>
        <v/>
      </c>
      <c r="F296" s="74"/>
      <c r="H296" s="76"/>
      <c r="I296" s="77">
        <v>100</v>
      </c>
      <c r="J296" s="77">
        <v>23</v>
      </c>
    </row>
    <row r="297" spans="2:10" x14ac:dyDescent="0.3">
      <c r="B297" s="74"/>
      <c r="C297" s="74"/>
      <c r="D297" s="74"/>
      <c r="E297" s="75" t="str">
        <f t="shared" si="26"/>
        <v/>
      </c>
      <c r="F297" s="74"/>
      <c r="H297" s="76"/>
      <c r="I297" s="77">
        <v>100</v>
      </c>
      <c r="J297" s="77">
        <v>23</v>
      </c>
    </row>
    <row r="298" spans="2:10" x14ac:dyDescent="0.3">
      <c r="B298" s="74"/>
      <c r="C298" s="74"/>
      <c r="D298" s="74"/>
      <c r="E298" s="75" t="str">
        <f t="shared" si="26"/>
        <v/>
      </c>
      <c r="F298" s="74"/>
      <c r="H298" s="76"/>
      <c r="I298" s="77">
        <v>100</v>
      </c>
      <c r="J298" s="77">
        <v>23</v>
      </c>
    </row>
    <row r="299" spans="2:10" x14ac:dyDescent="0.3">
      <c r="B299" s="74"/>
      <c r="C299" s="74"/>
      <c r="D299" s="74"/>
      <c r="E299" s="75" t="str">
        <f t="shared" si="26"/>
        <v/>
      </c>
      <c r="F299" s="74"/>
      <c r="H299" s="76"/>
      <c r="I299" s="77">
        <v>100</v>
      </c>
      <c r="J299" s="77">
        <v>23</v>
      </c>
    </row>
    <row r="300" spans="2:10" x14ac:dyDescent="0.3">
      <c r="B300" s="74"/>
      <c r="C300" s="74"/>
      <c r="D300" s="74"/>
      <c r="E300" s="75" t="str">
        <f t="shared" si="26"/>
        <v/>
      </c>
      <c r="F300" s="74"/>
      <c r="H300" s="76"/>
      <c r="I300" s="77">
        <v>100</v>
      </c>
      <c r="J300" s="77">
        <v>23</v>
      </c>
    </row>
    <row r="301" spans="2:10" x14ac:dyDescent="0.3">
      <c r="B301" s="74"/>
      <c r="C301" s="74"/>
      <c r="D301" s="74"/>
      <c r="E301" s="75" t="str">
        <f t="shared" si="26"/>
        <v/>
      </c>
      <c r="F301" s="74"/>
      <c r="H301" s="76"/>
      <c r="I301" s="77">
        <v>100</v>
      </c>
      <c r="J301" s="77">
        <v>23</v>
      </c>
    </row>
    <row r="302" spans="2:10" x14ac:dyDescent="0.3">
      <c r="B302" s="74"/>
      <c r="C302" s="74"/>
      <c r="D302" s="74"/>
      <c r="E302" s="75" t="str">
        <f t="shared" si="26"/>
        <v/>
      </c>
      <c r="F302" s="74"/>
      <c r="H302" s="76"/>
      <c r="I302" s="77">
        <v>100</v>
      </c>
      <c r="J302" s="77">
        <v>23</v>
      </c>
    </row>
    <row r="303" spans="2:10" x14ac:dyDescent="0.3">
      <c r="B303" s="74"/>
      <c r="C303" s="74"/>
      <c r="D303" s="74"/>
      <c r="E303" s="75" t="str">
        <f t="shared" si="26"/>
        <v/>
      </c>
      <c r="F303" s="74"/>
      <c r="H303" s="76"/>
      <c r="I303" s="77">
        <v>100</v>
      </c>
      <c r="J303" s="77">
        <v>23</v>
      </c>
    </row>
    <row r="304" spans="2:10" x14ac:dyDescent="0.3">
      <c r="B304" s="74"/>
      <c r="C304" s="74"/>
      <c r="D304" s="74"/>
      <c r="E304" s="75" t="str">
        <f t="shared" si="26"/>
        <v/>
      </c>
      <c r="F304" s="74"/>
      <c r="H304" s="76"/>
      <c r="I304" s="77">
        <v>100</v>
      </c>
      <c r="J304" s="77">
        <v>23</v>
      </c>
    </row>
    <row r="305" spans="2:10" x14ac:dyDescent="0.3">
      <c r="B305" s="74"/>
      <c r="C305" s="74"/>
      <c r="D305" s="74"/>
      <c r="E305" s="75" t="str">
        <f t="shared" si="26"/>
        <v/>
      </c>
      <c r="F305" s="74"/>
      <c r="H305" s="76"/>
      <c r="I305" s="77">
        <v>100</v>
      </c>
      <c r="J305" s="77">
        <v>23</v>
      </c>
    </row>
    <row r="306" spans="2:10" x14ac:dyDescent="0.3">
      <c r="B306" s="74"/>
      <c r="C306" s="74"/>
      <c r="D306" s="74"/>
      <c r="E306" s="75" t="str">
        <f t="shared" si="26"/>
        <v/>
      </c>
      <c r="F306" s="74"/>
      <c r="H306" s="76"/>
      <c r="I306" s="77">
        <v>100</v>
      </c>
      <c r="J306" s="77">
        <v>23</v>
      </c>
    </row>
    <row r="307" spans="2:10" x14ac:dyDescent="0.3">
      <c r="B307" s="74"/>
      <c r="C307" s="74"/>
      <c r="D307" s="74"/>
      <c r="E307" s="75" t="str">
        <f t="shared" si="26"/>
        <v/>
      </c>
      <c r="F307" s="74"/>
      <c r="H307" s="76"/>
      <c r="I307" s="77">
        <v>100</v>
      </c>
      <c r="J307" s="77">
        <v>23</v>
      </c>
    </row>
    <row r="308" spans="2:10" x14ac:dyDescent="0.3">
      <c r="B308" s="74"/>
      <c r="C308" s="74"/>
      <c r="D308" s="74"/>
      <c r="E308" s="75" t="str">
        <f t="shared" si="26"/>
        <v/>
      </c>
      <c r="F308" s="74"/>
      <c r="H308" s="76"/>
      <c r="I308" s="77">
        <v>100</v>
      </c>
      <c r="J308" s="77">
        <v>23</v>
      </c>
    </row>
    <row r="309" spans="2:10" x14ac:dyDescent="0.3">
      <c r="B309" s="74"/>
      <c r="C309" s="74"/>
      <c r="D309" s="74"/>
      <c r="E309" s="75" t="str">
        <f t="shared" si="26"/>
        <v/>
      </c>
      <c r="F309" s="74"/>
      <c r="H309" s="76"/>
      <c r="I309" s="77">
        <v>100</v>
      </c>
      <c r="J309" s="77">
        <v>23</v>
      </c>
    </row>
    <row r="310" spans="2:10" x14ac:dyDescent="0.3">
      <c r="B310" s="74"/>
      <c r="C310" s="74"/>
      <c r="D310" s="74"/>
      <c r="E310" s="75" t="str">
        <f t="shared" si="26"/>
        <v/>
      </c>
      <c r="F310" s="74"/>
      <c r="H310" s="76"/>
      <c r="I310" s="77">
        <v>100</v>
      </c>
      <c r="J310" s="77">
        <v>23</v>
      </c>
    </row>
    <row r="311" spans="2:10" x14ac:dyDescent="0.3">
      <c r="B311" s="74"/>
      <c r="C311" s="74"/>
      <c r="D311" s="74"/>
      <c r="E311" s="75" t="str">
        <f t="shared" si="26"/>
        <v/>
      </c>
      <c r="F311" s="74"/>
      <c r="H311" s="76"/>
      <c r="I311" s="77">
        <v>100</v>
      </c>
      <c r="J311" s="77">
        <v>23</v>
      </c>
    </row>
    <row r="312" spans="2:10" x14ac:dyDescent="0.3">
      <c r="B312" s="74"/>
      <c r="C312" s="74"/>
      <c r="D312" s="74"/>
      <c r="E312" s="75" t="str">
        <f t="shared" si="26"/>
        <v/>
      </c>
      <c r="F312" s="74"/>
      <c r="H312" s="76"/>
      <c r="I312" s="77">
        <v>100</v>
      </c>
      <c r="J312" s="77">
        <v>23</v>
      </c>
    </row>
    <row r="313" spans="2:10" x14ac:dyDescent="0.3">
      <c r="B313" s="74"/>
      <c r="C313" s="74"/>
      <c r="D313" s="74"/>
      <c r="E313" s="75" t="str">
        <f t="shared" si="26"/>
        <v/>
      </c>
      <c r="F313" s="74"/>
      <c r="H313" s="76"/>
      <c r="I313" s="77">
        <v>100</v>
      </c>
      <c r="J313" s="77">
        <v>23</v>
      </c>
    </row>
    <row r="314" spans="2:10" x14ac:dyDescent="0.3">
      <c r="B314" s="74"/>
      <c r="C314" s="74"/>
      <c r="D314" s="74"/>
      <c r="E314" s="75" t="str">
        <f t="shared" si="26"/>
        <v/>
      </c>
      <c r="F314" s="74"/>
      <c r="H314" s="76"/>
      <c r="I314" s="77">
        <v>100</v>
      </c>
      <c r="J314" s="77">
        <v>23</v>
      </c>
    </row>
    <row r="315" spans="2:10" x14ac:dyDescent="0.3">
      <c r="B315" s="74"/>
      <c r="C315" s="74"/>
      <c r="D315" s="74"/>
      <c r="E315" s="75" t="str">
        <f t="shared" si="26"/>
        <v/>
      </c>
      <c r="F315" s="74"/>
      <c r="H315" s="76"/>
      <c r="I315" s="77">
        <v>100</v>
      </c>
      <c r="J315" s="77">
        <v>23</v>
      </c>
    </row>
    <row r="316" spans="2:10" x14ac:dyDescent="0.3">
      <c r="B316" s="74"/>
      <c r="C316" s="74"/>
      <c r="D316" s="74"/>
      <c r="E316" s="75" t="str">
        <f t="shared" si="26"/>
        <v/>
      </c>
      <c r="F316" s="74"/>
      <c r="H316" s="76"/>
      <c r="I316" s="77">
        <v>100</v>
      </c>
      <c r="J316" s="77">
        <v>23</v>
      </c>
    </row>
    <row r="317" spans="2:10" x14ac:dyDescent="0.3">
      <c r="B317" s="74"/>
      <c r="C317" s="74"/>
      <c r="D317" s="74"/>
      <c r="E317" s="75" t="str">
        <f t="shared" si="26"/>
        <v/>
      </c>
      <c r="F317" s="74"/>
      <c r="H317" s="76"/>
      <c r="I317" s="77">
        <v>100</v>
      </c>
      <c r="J317" s="77">
        <v>23</v>
      </c>
    </row>
    <row r="318" spans="2:10" x14ac:dyDescent="0.3">
      <c r="B318" s="74"/>
      <c r="C318" s="74"/>
      <c r="D318" s="74"/>
      <c r="E318" s="75" t="str">
        <f t="shared" si="26"/>
        <v/>
      </c>
      <c r="F318" s="74"/>
      <c r="H318" s="76"/>
      <c r="I318" s="77">
        <v>100</v>
      </c>
      <c r="J318" s="77">
        <v>23</v>
      </c>
    </row>
    <row r="319" spans="2:10" x14ac:dyDescent="0.3">
      <c r="B319" s="74"/>
      <c r="C319" s="74"/>
      <c r="D319" s="74"/>
      <c r="E319" s="75" t="str">
        <f t="shared" si="26"/>
        <v/>
      </c>
      <c r="F319" s="74"/>
      <c r="H319" s="76"/>
      <c r="I319" s="77">
        <v>100</v>
      </c>
      <c r="J319" s="77">
        <v>23</v>
      </c>
    </row>
    <row r="320" spans="2:10" x14ac:dyDescent="0.3">
      <c r="B320" s="74"/>
      <c r="C320" s="74"/>
      <c r="D320" s="74"/>
      <c r="E320" s="75" t="str">
        <f t="shared" si="26"/>
        <v/>
      </c>
      <c r="F320" s="74"/>
      <c r="H320" s="76"/>
      <c r="I320" s="77">
        <v>100</v>
      </c>
      <c r="J320" s="77">
        <v>23</v>
      </c>
    </row>
    <row r="321" spans="2:10" x14ac:dyDescent="0.3">
      <c r="B321" s="74"/>
      <c r="C321" s="74"/>
      <c r="D321" s="74"/>
      <c r="E321" s="75" t="str">
        <f t="shared" si="26"/>
        <v/>
      </c>
      <c r="F321" s="74"/>
      <c r="H321" s="76"/>
      <c r="I321" s="77">
        <v>100</v>
      </c>
      <c r="J321" s="77">
        <v>23</v>
      </c>
    </row>
    <row r="322" spans="2:10" x14ac:dyDescent="0.3">
      <c r="B322" s="74"/>
      <c r="C322" s="74"/>
      <c r="D322" s="74"/>
      <c r="E322" s="75" t="str">
        <f t="shared" ref="E322:E323" si="27">IF((D322=""),"",IF(D322&lt;=J322,"Pass","Fail"))</f>
        <v/>
      </c>
      <c r="F322" s="74"/>
      <c r="H322" s="76"/>
      <c r="I322" s="77">
        <v>100</v>
      </c>
      <c r="J322" s="77">
        <v>23</v>
      </c>
    </row>
    <row r="323" spans="2:10" x14ac:dyDescent="0.3">
      <c r="B323" s="74"/>
      <c r="C323" s="74"/>
      <c r="D323" s="74"/>
      <c r="E323" s="75" t="str">
        <f t="shared" si="27"/>
        <v/>
      </c>
      <c r="F323" s="74"/>
      <c r="H323" s="76"/>
      <c r="I323" s="77">
        <v>100</v>
      </c>
      <c r="J323" s="77">
        <v>23</v>
      </c>
    </row>
    <row r="324" spans="2:10" x14ac:dyDescent="0.3">
      <c r="B324" s="74"/>
      <c r="C324" s="74"/>
      <c r="D324" s="74"/>
      <c r="E324" s="75"/>
      <c r="F324" s="74"/>
      <c r="J324" s="77">
        <v>30</v>
      </c>
    </row>
    <row r="325" spans="2:10" x14ac:dyDescent="0.3">
      <c r="B325" s="74"/>
      <c r="C325" s="74"/>
      <c r="D325" s="74"/>
      <c r="F325" s="74"/>
      <c r="J325" s="77">
        <v>30</v>
      </c>
    </row>
    <row r="326" spans="2:10" x14ac:dyDescent="0.3">
      <c r="B326" s="74"/>
      <c r="C326" s="74"/>
      <c r="D326" s="74"/>
      <c r="F326" s="74"/>
      <c r="J326" s="77">
        <v>30</v>
      </c>
    </row>
    <row r="327" spans="2:10" x14ac:dyDescent="0.3">
      <c r="B327" s="74"/>
      <c r="C327" s="74"/>
      <c r="D327" s="74"/>
      <c r="F327" s="74"/>
      <c r="J327" s="77">
        <v>30</v>
      </c>
    </row>
    <row r="328" spans="2:10" x14ac:dyDescent="0.3">
      <c r="B328" s="74"/>
      <c r="C328" s="74"/>
      <c r="D328" s="74"/>
      <c r="F328" s="74"/>
      <c r="J328" s="77">
        <v>30</v>
      </c>
    </row>
    <row r="329" spans="2:10" x14ac:dyDescent="0.3">
      <c r="B329" s="74"/>
      <c r="C329" s="74"/>
      <c r="D329" s="74"/>
      <c r="F329" s="74"/>
      <c r="J329" s="77">
        <v>30</v>
      </c>
    </row>
    <row r="330" spans="2:10" x14ac:dyDescent="0.3">
      <c r="B330" s="74"/>
      <c r="C330" s="74"/>
      <c r="D330" s="74"/>
      <c r="F330" s="74"/>
      <c r="J330" s="77">
        <v>30</v>
      </c>
    </row>
    <row r="331" spans="2:10" x14ac:dyDescent="0.3">
      <c r="B331" s="74"/>
      <c r="C331" s="74"/>
      <c r="D331" s="74"/>
      <c r="F331" s="74"/>
      <c r="J331" s="77">
        <v>30</v>
      </c>
    </row>
    <row r="332" spans="2:10" x14ac:dyDescent="0.3">
      <c r="B332" s="74"/>
      <c r="C332" s="74"/>
      <c r="D332" s="74"/>
      <c r="F332" s="74"/>
      <c r="J332" s="77">
        <v>30</v>
      </c>
    </row>
    <row r="333" spans="2:10" x14ac:dyDescent="0.3">
      <c r="B333" s="74"/>
      <c r="C333" s="74"/>
      <c r="D333" s="74"/>
      <c r="F333" s="74"/>
      <c r="J333" s="77">
        <v>30</v>
      </c>
    </row>
    <row r="334" spans="2:10" x14ac:dyDescent="0.3">
      <c r="B334" s="74"/>
      <c r="C334" s="74"/>
      <c r="D334" s="74"/>
      <c r="F334" s="74"/>
      <c r="J334" s="77">
        <v>30</v>
      </c>
    </row>
    <row r="335" spans="2:10" x14ac:dyDescent="0.3">
      <c r="B335" s="74"/>
      <c r="C335" s="74"/>
      <c r="D335" s="74"/>
      <c r="F335" s="74"/>
      <c r="J335" s="77">
        <v>30</v>
      </c>
    </row>
    <row r="336" spans="2:10" x14ac:dyDescent="0.3">
      <c r="B336" s="74"/>
      <c r="C336" s="74"/>
      <c r="D336" s="74"/>
      <c r="F336" s="74"/>
      <c r="J336" s="77">
        <v>30</v>
      </c>
    </row>
    <row r="337" spans="2:6" x14ac:dyDescent="0.3">
      <c r="B337" s="74"/>
      <c r="C337" s="74"/>
      <c r="D337" s="74"/>
      <c r="F337" s="74"/>
    </row>
    <row r="338" spans="2:6" x14ac:dyDescent="0.3">
      <c r="B338" s="74"/>
      <c r="C338" s="74"/>
      <c r="D338" s="74"/>
      <c r="F338" s="74"/>
    </row>
    <row r="339" spans="2:6" x14ac:dyDescent="0.3">
      <c r="B339" s="74"/>
      <c r="C339" s="74"/>
      <c r="D339" s="74"/>
      <c r="F339" s="74"/>
    </row>
    <row r="340" spans="2:6" x14ac:dyDescent="0.3">
      <c r="B340" s="74"/>
      <c r="C340" s="74"/>
      <c r="D340" s="74"/>
      <c r="F340" s="74"/>
    </row>
    <row r="341" spans="2:6" x14ac:dyDescent="0.3">
      <c r="B341" s="74"/>
      <c r="C341" s="74"/>
      <c r="D341" s="74"/>
      <c r="F341" s="74"/>
    </row>
    <row r="342" spans="2:6" x14ac:dyDescent="0.3">
      <c r="B342" s="74"/>
      <c r="C342" s="74"/>
      <c r="D342" s="74"/>
      <c r="F342" s="74"/>
    </row>
    <row r="343" spans="2:6" x14ac:dyDescent="0.3">
      <c r="B343" s="74"/>
      <c r="C343" s="74"/>
      <c r="D343" s="74"/>
      <c r="F343" s="74"/>
    </row>
    <row r="344" spans="2:6" x14ac:dyDescent="0.3">
      <c r="B344" s="74"/>
      <c r="C344" s="74"/>
      <c r="D344" s="74"/>
      <c r="F344" s="74"/>
    </row>
    <row r="345" spans="2:6" x14ac:dyDescent="0.3">
      <c r="B345" s="74"/>
      <c r="C345" s="74"/>
      <c r="D345" s="74"/>
      <c r="F345" s="74"/>
    </row>
    <row r="346" spans="2:6" x14ac:dyDescent="0.3">
      <c r="B346" s="74"/>
      <c r="C346" s="74"/>
      <c r="D346" s="74"/>
      <c r="F346" s="74"/>
    </row>
    <row r="347" spans="2:6" x14ac:dyDescent="0.3">
      <c r="B347" s="74"/>
      <c r="C347" s="74"/>
      <c r="D347" s="74"/>
      <c r="F347" s="74"/>
    </row>
    <row r="348" spans="2:6" x14ac:dyDescent="0.3">
      <c r="B348" s="74"/>
      <c r="C348" s="74"/>
      <c r="D348" s="74"/>
      <c r="F348" s="74"/>
    </row>
    <row r="349" spans="2:6" x14ac:dyDescent="0.3">
      <c r="B349" s="74"/>
      <c r="C349" s="74"/>
      <c r="D349" s="74"/>
      <c r="F349" s="74"/>
    </row>
    <row r="350" spans="2:6" x14ac:dyDescent="0.3">
      <c r="B350" s="74"/>
      <c r="C350" s="74"/>
      <c r="D350" s="74"/>
      <c r="F350" s="74"/>
    </row>
    <row r="351" spans="2:6" x14ac:dyDescent="0.3">
      <c r="B351" s="74"/>
      <c r="C351" s="74"/>
      <c r="D351" s="74"/>
      <c r="F351" s="74"/>
    </row>
    <row r="352" spans="2:6" x14ac:dyDescent="0.3">
      <c r="B352" s="74"/>
      <c r="C352" s="74"/>
      <c r="D352" s="74"/>
      <c r="F352" s="74"/>
    </row>
    <row r="353" spans="2:6" x14ac:dyDescent="0.3">
      <c r="B353" s="74"/>
      <c r="C353" s="74"/>
      <c r="D353" s="74"/>
      <c r="F353" s="74"/>
    </row>
    <row r="354" spans="2:6" x14ac:dyDescent="0.3">
      <c r="B354" s="74"/>
      <c r="C354" s="74"/>
      <c r="D354" s="74"/>
      <c r="F354" s="74"/>
    </row>
    <row r="355" spans="2:6" x14ac:dyDescent="0.3">
      <c r="B355" s="74"/>
      <c r="C355" s="74"/>
      <c r="D355" s="74"/>
      <c r="F355" s="74"/>
    </row>
    <row r="356" spans="2:6" x14ac:dyDescent="0.3">
      <c r="B356" s="74"/>
      <c r="C356" s="74"/>
      <c r="D356" s="74"/>
      <c r="F356" s="74"/>
    </row>
    <row r="357" spans="2:6" x14ac:dyDescent="0.3">
      <c r="B357" s="74"/>
      <c r="C357" s="74"/>
      <c r="D357" s="74"/>
      <c r="F357" s="74"/>
    </row>
    <row r="358" spans="2:6" x14ac:dyDescent="0.3">
      <c r="B358" s="74"/>
      <c r="C358" s="74"/>
      <c r="D358" s="74"/>
      <c r="F358" s="74"/>
    </row>
    <row r="359" spans="2:6" x14ac:dyDescent="0.3">
      <c r="B359" s="74"/>
      <c r="C359" s="74"/>
      <c r="D359" s="74"/>
      <c r="F359" s="74"/>
    </row>
    <row r="360" spans="2:6" x14ac:dyDescent="0.3">
      <c r="B360" s="74"/>
      <c r="C360" s="74"/>
      <c r="D360" s="74"/>
      <c r="F360" s="74"/>
    </row>
    <row r="361" spans="2:6" x14ac:dyDescent="0.3">
      <c r="B361" s="74"/>
      <c r="C361" s="74"/>
      <c r="D361" s="74"/>
      <c r="F361" s="74"/>
    </row>
    <row r="362" spans="2:6" x14ac:dyDescent="0.3">
      <c r="B362" s="74"/>
      <c r="C362" s="74"/>
      <c r="D362" s="74"/>
      <c r="F362" s="74"/>
    </row>
    <row r="363" spans="2:6" x14ac:dyDescent="0.3">
      <c r="B363" s="74"/>
      <c r="C363" s="74"/>
      <c r="D363" s="74"/>
      <c r="F363" s="74"/>
    </row>
    <row r="364" spans="2:6" x14ac:dyDescent="0.3">
      <c r="B364" s="74"/>
      <c r="C364" s="74"/>
      <c r="D364" s="74"/>
      <c r="F364" s="74"/>
    </row>
    <row r="365" spans="2:6" x14ac:dyDescent="0.3">
      <c r="B365" s="74"/>
      <c r="C365" s="74"/>
      <c r="D365" s="74"/>
      <c r="F365" s="74"/>
    </row>
    <row r="366" spans="2:6" x14ac:dyDescent="0.3">
      <c r="B366" s="74"/>
      <c r="C366" s="74"/>
      <c r="D366" s="74"/>
      <c r="F366" s="74"/>
    </row>
    <row r="367" spans="2:6" x14ac:dyDescent="0.3">
      <c r="B367" s="74"/>
      <c r="C367" s="74"/>
      <c r="D367" s="74"/>
      <c r="F367" s="74"/>
    </row>
    <row r="368" spans="2:6" x14ac:dyDescent="0.3">
      <c r="B368" s="74"/>
      <c r="C368" s="74"/>
      <c r="D368" s="74"/>
      <c r="F368" s="74"/>
    </row>
    <row r="369" spans="2:6" x14ac:dyDescent="0.3">
      <c r="B369" s="74"/>
      <c r="C369" s="74"/>
      <c r="D369" s="74"/>
      <c r="F369" s="74"/>
    </row>
    <row r="370" spans="2:6" x14ac:dyDescent="0.3">
      <c r="B370" s="74"/>
      <c r="C370" s="74"/>
      <c r="D370" s="74"/>
      <c r="F370" s="74"/>
    </row>
    <row r="371" spans="2:6" x14ac:dyDescent="0.3">
      <c r="B371" s="74"/>
      <c r="C371" s="74"/>
      <c r="D371" s="74"/>
      <c r="F371" s="74"/>
    </row>
    <row r="372" spans="2:6" x14ac:dyDescent="0.3">
      <c r="B372" s="74"/>
      <c r="C372" s="74"/>
      <c r="D372" s="74"/>
      <c r="F372" s="74"/>
    </row>
    <row r="373" spans="2:6" x14ac:dyDescent="0.3">
      <c r="B373" s="74"/>
      <c r="C373" s="74"/>
      <c r="D373" s="74"/>
      <c r="F373" s="74"/>
    </row>
    <row r="374" spans="2:6" x14ac:dyDescent="0.3">
      <c r="B374" s="74"/>
      <c r="C374" s="74"/>
      <c r="D374" s="74"/>
      <c r="F374" s="74"/>
    </row>
    <row r="375" spans="2:6" x14ac:dyDescent="0.3">
      <c r="B375" s="74"/>
      <c r="C375" s="74"/>
      <c r="D375" s="74"/>
      <c r="F375" s="74"/>
    </row>
    <row r="376" spans="2:6" x14ac:dyDescent="0.3">
      <c r="B376" s="74"/>
      <c r="C376" s="74"/>
      <c r="D376" s="74"/>
      <c r="F376" s="74"/>
    </row>
    <row r="377" spans="2:6" x14ac:dyDescent="0.3">
      <c r="B377" s="74"/>
      <c r="C377" s="74"/>
      <c r="D377" s="74"/>
      <c r="F377" s="74"/>
    </row>
    <row r="378" spans="2:6" x14ac:dyDescent="0.3">
      <c r="B378" s="74"/>
      <c r="C378" s="74"/>
      <c r="D378" s="74"/>
      <c r="F378" s="74"/>
    </row>
    <row r="379" spans="2:6" x14ac:dyDescent="0.3">
      <c r="B379" s="74"/>
      <c r="C379" s="74"/>
      <c r="D379" s="74"/>
      <c r="F379" s="74"/>
    </row>
    <row r="380" spans="2:6" x14ac:dyDescent="0.3">
      <c r="B380" s="74"/>
      <c r="C380" s="74"/>
      <c r="D380" s="74"/>
      <c r="F380" s="74"/>
    </row>
    <row r="381" spans="2:6" x14ac:dyDescent="0.3">
      <c r="B381" s="74"/>
      <c r="C381" s="74"/>
      <c r="D381" s="74"/>
      <c r="F381" s="74"/>
    </row>
    <row r="382" spans="2:6" x14ac:dyDescent="0.3">
      <c r="B382" s="74"/>
      <c r="C382" s="74"/>
      <c r="D382" s="74"/>
      <c r="F382" s="74"/>
    </row>
    <row r="383" spans="2:6" x14ac:dyDescent="0.3">
      <c r="B383" s="74"/>
      <c r="C383" s="74"/>
      <c r="D383" s="74"/>
      <c r="F383" s="74"/>
    </row>
    <row r="384" spans="2:6" x14ac:dyDescent="0.3">
      <c r="B384" s="74"/>
      <c r="C384" s="74"/>
      <c r="D384" s="74"/>
      <c r="F384" s="74"/>
    </row>
    <row r="385" spans="2:6" x14ac:dyDescent="0.3">
      <c r="B385" s="74"/>
      <c r="C385" s="74"/>
      <c r="D385" s="74"/>
      <c r="F385" s="74"/>
    </row>
    <row r="386" spans="2:6" x14ac:dyDescent="0.3">
      <c r="B386" s="74"/>
      <c r="C386" s="74"/>
      <c r="D386" s="74"/>
      <c r="F386" s="74"/>
    </row>
    <row r="387" spans="2:6" x14ac:dyDescent="0.3">
      <c r="B387" s="74"/>
      <c r="C387" s="74"/>
      <c r="D387" s="74"/>
      <c r="F387" s="74"/>
    </row>
    <row r="388" spans="2:6" x14ac:dyDescent="0.3">
      <c r="B388" s="74"/>
      <c r="C388" s="74"/>
      <c r="D388" s="74"/>
      <c r="F388" s="74"/>
    </row>
    <row r="389" spans="2:6" x14ac:dyDescent="0.3">
      <c r="B389" s="74"/>
      <c r="C389" s="74"/>
      <c r="D389" s="74"/>
      <c r="F389" s="74"/>
    </row>
    <row r="390" spans="2:6" x14ac:dyDescent="0.3">
      <c r="B390" s="74"/>
      <c r="C390" s="74"/>
      <c r="D390" s="74"/>
      <c r="F390" s="74"/>
    </row>
    <row r="391" spans="2:6" x14ac:dyDescent="0.3">
      <c r="B391" s="74"/>
      <c r="C391" s="74"/>
      <c r="D391" s="74"/>
      <c r="F391" s="74"/>
    </row>
    <row r="392" spans="2:6" x14ac:dyDescent="0.3">
      <c r="B392" s="74"/>
      <c r="C392" s="74"/>
      <c r="D392" s="74"/>
      <c r="F392" s="74"/>
    </row>
    <row r="393" spans="2:6" x14ac:dyDescent="0.3">
      <c r="B393" s="74"/>
      <c r="C393" s="74"/>
      <c r="D393" s="74"/>
      <c r="F393" s="74"/>
    </row>
    <row r="394" spans="2:6" x14ac:dyDescent="0.3">
      <c r="B394" s="74"/>
      <c r="C394" s="74"/>
      <c r="D394" s="74"/>
      <c r="F394" s="74"/>
    </row>
    <row r="395" spans="2:6" x14ac:dyDescent="0.3">
      <c r="B395" s="74"/>
      <c r="C395" s="74"/>
      <c r="D395" s="74"/>
      <c r="F395" s="74"/>
    </row>
    <row r="396" spans="2:6" x14ac:dyDescent="0.3">
      <c r="B396" s="74"/>
      <c r="C396" s="74"/>
      <c r="D396" s="74"/>
      <c r="F396" s="74"/>
    </row>
    <row r="397" spans="2:6" x14ac:dyDescent="0.3">
      <c r="B397" s="74"/>
      <c r="C397" s="74"/>
      <c r="D397" s="74"/>
      <c r="F397" s="74"/>
    </row>
    <row r="398" spans="2:6" x14ac:dyDescent="0.3">
      <c r="B398" s="74"/>
      <c r="C398" s="74"/>
      <c r="D398" s="74"/>
      <c r="F398" s="74"/>
    </row>
    <row r="399" spans="2:6" x14ac:dyDescent="0.3">
      <c r="B399" s="74"/>
      <c r="C399" s="74"/>
      <c r="D399" s="74"/>
      <c r="F399" s="74"/>
    </row>
    <row r="400" spans="2:6" x14ac:dyDescent="0.3">
      <c r="B400" s="74"/>
      <c r="C400" s="74"/>
      <c r="D400" s="74"/>
      <c r="F400" s="74"/>
    </row>
    <row r="401" spans="2:6" x14ac:dyDescent="0.3">
      <c r="B401" s="74"/>
      <c r="C401" s="74"/>
      <c r="D401" s="74"/>
      <c r="F401" s="74"/>
    </row>
    <row r="402" spans="2:6" x14ac:dyDescent="0.3">
      <c r="B402" s="74"/>
      <c r="C402" s="74"/>
      <c r="D402" s="74"/>
      <c r="F402" s="74"/>
    </row>
    <row r="403" spans="2:6" x14ac:dyDescent="0.3">
      <c r="B403" s="74"/>
      <c r="C403" s="74"/>
      <c r="D403" s="74"/>
      <c r="F403" s="74"/>
    </row>
    <row r="404" spans="2:6" x14ac:dyDescent="0.3">
      <c r="B404" s="74"/>
      <c r="C404" s="74"/>
      <c r="D404" s="74"/>
      <c r="F404" s="74"/>
    </row>
    <row r="405" spans="2:6" x14ac:dyDescent="0.3">
      <c r="B405" s="74"/>
      <c r="C405" s="74"/>
      <c r="D405" s="74"/>
      <c r="F405" s="74"/>
    </row>
    <row r="406" spans="2:6" x14ac:dyDescent="0.3">
      <c r="B406" s="74"/>
      <c r="C406" s="74"/>
      <c r="D406" s="74"/>
      <c r="F406" s="74"/>
    </row>
    <row r="407" spans="2:6" x14ac:dyDescent="0.3">
      <c r="B407" s="74"/>
      <c r="C407" s="74"/>
      <c r="D407" s="74"/>
      <c r="F407" s="74"/>
    </row>
    <row r="408" spans="2:6" x14ac:dyDescent="0.3">
      <c r="B408" s="74"/>
      <c r="C408" s="74"/>
      <c r="D408" s="74"/>
      <c r="F408" s="74"/>
    </row>
    <row r="409" spans="2:6" x14ac:dyDescent="0.3">
      <c r="B409" s="74"/>
      <c r="C409" s="74"/>
      <c r="D409" s="74"/>
      <c r="F409" s="74"/>
    </row>
    <row r="410" spans="2:6" x14ac:dyDescent="0.3">
      <c r="B410" s="74"/>
      <c r="C410" s="74"/>
      <c r="D410" s="74"/>
      <c r="F410" s="74"/>
    </row>
    <row r="411" spans="2:6" x14ac:dyDescent="0.3">
      <c r="B411" s="74"/>
      <c r="C411" s="74"/>
      <c r="D411" s="74"/>
      <c r="F411" s="74"/>
    </row>
    <row r="412" spans="2:6" x14ac:dyDescent="0.3">
      <c r="B412" s="74"/>
      <c r="C412" s="74"/>
      <c r="D412" s="74"/>
      <c r="F412" s="74"/>
    </row>
    <row r="413" spans="2:6" x14ac:dyDescent="0.3">
      <c r="B413" s="74"/>
      <c r="C413" s="74"/>
      <c r="D413" s="74"/>
      <c r="F413" s="74"/>
    </row>
    <row r="414" spans="2:6" x14ac:dyDescent="0.3">
      <c r="B414" s="74"/>
      <c r="C414" s="74"/>
      <c r="D414" s="74"/>
      <c r="F414" s="74"/>
    </row>
    <row r="415" spans="2:6" x14ac:dyDescent="0.3">
      <c r="B415" s="74"/>
      <c r="C415" s="74"/>
      <c r="D415" s="74"/>
      <c r="F415" s="74"/>
    </row>
    <row r="416" spans="2:6" x14ac:dyDescent="0.3">
      <c r="B416" s="74"/>
      <c r="C416" s="74"/>
      <c r="D416" s="74"/>
      <c r="F416" s="74"/>
    </row>
    <row r="417" spans="2:6" x14ac:dyDescent="0.3">
      <c r="B417" s="74"/>
      <c r="C417" s="74"/>
      <c r="D417" s="74"/>
      <c r="F417" s="74"/>
    </row>
    <row r="418" spans="2:6" x14ac:dyDescent="0.3">
      <c r="B418" s="74"/>
      <c r="C418" s="74"/>
      <c r="D418" s="74"/>
      <c r="F418" s="74"/>
    </row>
    <row r="419" spans="2:6" x14ac:dyDescent="0.3">
      <c r="B419" s="74"/>
      <c r="C419" s="74"/>
      <c r="D419" s="74"/>
      <c r="F419" s="74"/>
    </row>
    <row r="420" spans="2:6" x14ac:dyDescent="0.3">
      <c r="B420" s="74"/>
      <c r="C420" s="74"/>
      <c r="D420" s="74"/>
      <c r="F420" s="74"/>
    </row>
    <row r="421" spans="2:6" x14ac:dyDescent="0.3">
      <c r="B421" s="74"/>
      <c r="C421" s="74"/>
      <c r="D421" s="74"/>
      <c r="F421" s="74"/>
    </row>
    <row r="422" spans="2:6" x14ac:dyDescent="0.3">
      <c r="B422" s="74"/>
      <c r="C422" s="74"/>
      <c r="D422" s="74"/>
      <c r="F422" s="74"/>
    </row>
    <row r="423" spans="2:6" x14ac:dyDescent="0.3">
      <c r="B423" s="74"/>
      <c r="C423" s="74"/>
      <c r="D423" s="74"/>
      <c r="F423" s="74"/>
    </row>
    <row r="424" spans="2:6" x14ac:dyDescent="0.3">
      <c r="B424" s="74"/>
      <c r="C424" s="74"/>
      <c r="D424" s="74"/>
      <c r="F424" s="74"/>
    </row>
    <row r="425" spans="2:6" x14ac:dyDescent="0.3">
      <c r="B425" s="74"/>
      <c r="C425" s="74"/>
      <c r="D425" s="74"/>
      <c r="F425" s="74"/>
    </row>
    <row r="426" spans="2:6" x14ac:dyDescent="0.3">
      <c r="B426" s="74"/>
      <c r="C426" s="74"/>
      <c r="D426" s="74"/>
      <c r="F426" s="74"/>
    </row>
    <row r="427" spans="2:6" x14ac:dyDescent="0.3">
      <c r="B427" s="74"/>
      <c r="C427" s="74"/>
      <c r="D427" s="74"/>
      <c r="F427" s="74"/>
    </row>
    <row r="428" spans="2:6" x14ac:dyDescent="0.3">
      <c r="B428" s="74"/>
      <c r="C428" s="74"/>
      <c r="D428" s="74"/>
      <c r="F428" s="74"/>
    </row>
    <row r="429" spans="2:6" x14ac:dyDescent="0.3">
      <c r="B429" s="74"/>
      <c r="C429" s="74"/>
      <c r="D429" s="74"/>
      <c r="F429" s="74"/>
    </row>
    <row r="430" spans="2:6" x14ac:dyDescent="0.3">
      <c r="B430" s="74"/>
      <c r="C430" s="74"/>
      <c r="D430" s="74"/>
      <c r="F430" s="74"/>
    </row>
    <row r="431" spans="2:6" x14ac:dyDescent="0.3">
      <c r="B431" s="74"/>
      <c r="C431" s="74"/>
      <c r="D431" s="74"/>
      <c r="F431" s="74"/>
    </row>
    <row r="432" spans="2:6" x14ac:dyDescent="0.3">
      <c r="B432" s="74"/>
      <c r="C432" s="74"/>
      <c r="D432" s="74"/>
      <c r="F432" s="74"/>
    </row>
    <row r="433" spans="2:6" x14ac:dyDescent="0.3">
      <c r="B433" s="74"/>
      <c r="C433" s="74"/>
      <c r="D433" s="74"/>
      <c r="F433" s="74"/>
    </row>
    <row r="434" spans="2:6" x14ac:dyDescent="0.3">
      <c r="B434" s="74"/>
      <c r="C434" s="74"/>
      <c r="D434" s="74"/>
      <c r="F434" s="74"/>
    </row>
    <row r="435" spans="2:6" x14ac:dyDescent="0.3">
      <c r="B435" s="74"/>
      <c r="C435" s="74"/>
      <c r="D435" s="74"/>
      <c r="F435" s="74"/>
    </row>
    <row r="436" spans="2:6" x14ac:dyDescent="0.3">
      <c r="B436" s="74"/>
      <c r="C436" s="74"/>
      <c r="D436" s="74"/>
      <c r="F436" s="74"/>
    </row>
    <row r="437" spans="2:6" x14ac:dyDescent="0.3">
      <c r="B437" s="74"/>
      <c r="C437" s="74"/>
      <c r="D437" s="74"/>
      <c r="F437" s="74"/>
    </row>
    <row r="438" spans="2:6" x14ac:dyDescent="0.3">
      <c r="B438" s="74"/>
      <c r="C438" s="74"/>
      <c r="D438" s="74"/>
      <c r="F438" s="74"/>
    </row>
    <row r="439" spans="2:6" x14ac:dyDescent="0.3">
      <c r="B439" s="74"/>
      <c r="C439" s="74"/>
      <c r="D439" s="74"/>
      <c r="F439" s="74"/>
    </row>
    <row r="440" spans="2:6" x14ac:dyDescent="0.3">
      <c r="B440" s="74"/>
      <c r="C440" s="74"/>
      <c r="D440" s="74"/>
      <c r="F440" s="74"/>
    </row>
    <row r="441" spans="2:6" x14ac:dyDescent="0.3">
      <c r="B441" s="74"/>
      <c r="C441" s="74"/>
      <c r="D441" s="74"/>
      <c r="F441" s="74"/>
    </row>
    <row r="442" spans="2:6" x14ac:dyDescent="0.3">
      <c r="B442" s="74"/>
      <c r="C442" s="74"/>
      <c r="D442" s="74"/>
      <c r="F442" s="74"/>
    </row>
    <row r="443" spans="2:6" x14ac:dyDescent="0.3">
      <c r="B443" s="74"/>
      <c r="C443" s="74"/>
      <c r="D443" s="74"/>
      <c r="F443" s="74"/>
    </row>
    <row r="444" spans="2:6" x14ac:dyDescent="0.3">
      <c r="B444" s="74"/>
      <c r="C444" s="74"/>
      <c r="D444" s="74"/>
      <c r="F444" s="74"/>
    </row>
    <row r="445" spans="2:6" x14ac:dyDescent="0.3">
      <c r="B445" s="74"/>
      <c r="C445" s="74"/>
      <c r="D445" s="74"/>
      <c r="F445" s="74"/>
    </row>
    <row r="446" spans="2:6" x14ac:dyDescent="0.3">
      <c r="B446" s="74"/>
      <c r="C446" s="74"/>
      <c r="D446" s="74"/>
      <c r="F446" s="74"/>
    </row>
    <row r="447" spans="2:6" x14ac:dyDescent="0.3">
      <c r="B447" s="74"/>
      <c r="C447" s="74"/>
      <c r="D447" s="74"/>
      <c r="F447" s="74"/>
    </row>
    <row r="448" spans="2:6" x14ac:dyDescent="0.3">
      <c r="B448" s="74"/>
      <c r="C448" s="74"/>
      <c r="D448" s="74"/>
      <c r="F448" s="74"/>
    </row>
    <row r="449" spans="2:6" x14ac:dyDescent="0.3">
      <c r="B449" s="74"/>
      <c r="C449" s="74"/>
      <c r="D449" s="74"/>
      <c r="F449" s="74"/>
    </row>
    <row r="450" spans="2:6" x14ac:dyDescent="0.3">
      <c r="B450" s="74"/>
      <c r="C450" s="74"/>
      <c r="D450" s="74"/>
      <c r="F450" s="74"/>
    </row>
    <row r="451" spans="2:6" x14ac:dyDescent="0.3">
      <c r="B451" s="74"/>
      <c r="C451" s="74"/>
      <c r="D451" s="74"/>
      <c r="F451" s="74"/>
    </row>
    <row r="452" spans="2:6" x14ac:dyDescent="0.3">
      <c r="B452" s="74"/>
      <c r="C452" s="74"/>
      <c r="D452" s="74"/>
      <c r="F452" s="74"/>
    </row>
    <row r="453" spans="2:6" x14ac:dyDescent="0.3">
      <c r="B453" s="74"/>
      <c r="C453" s="74"/>
      <c r="D453" s="74"/>
      <c r="F453" s="74"/>
    </row>
    <row r="454" spans="2:6" x14ac:dyDescent="0.3">
      <c r="B454" s="74"/>
      <c r="C454" s="74"/>
      <c r="D454" s="74"/>
      <c r="F454" s="74"/>
    </row>
    <row r="455" spans="2:6" x14ac:dyDescent="0.3">
      <c r="B455" s="74"/>
      <c r="C455" s="74"/>
      <c r="D455" s="74"/>
      <c r="F455" s="74"/>
    </row>
    <row r="456" spans="2:6" x14ac:dyDescent="0.3">
      <c r="B456" s="74"/>
      <c r="C456" s="74"/>
      <c r="D456" s="74"/>
      <c r="F456" s="74"/>
    </row>
    <row r="457" spans="2:6" x14ac:dyDescent="0.3">
      <c r="B457" s="74"/>
      <c r="C457" s="74"/>
      <c r="D457" s="74"/>
      <c r="F457" s="74"/>
    </row>
    <row r="458" spans="2:6" x14ac:dyDescent="0.3">
      <c r="B458" s="74"/>
      <c r="C458" s="74"/>
      <c r="D458" s="74"/>
      <c r="F458" s="74"/>
    </row>
    <row r="459" spans="2:6" x14ac:dyDescent="0.3">
      <c r="B459" s="74"/>
      <c r="C459" s="74"/>
      <c r="D459" s="74"/>
      <c r="F459" s="74"/>
    </row>
    <row r="460" spans="2:6" x14ac:dyDescent="0.3">
      <c r="B460" s="74"/>
      <c r="C460" s="74"/>
      <c r="D460" s="74"/>
      <c r="F460" s="74"/>
    </row>
    <row r="461" spans="2:6" x14ac:dyDescent="0.3">
      <c r="B461" s="74"/>
      <c r="C461" s="74"/>
      <c r="D461" s="74"/>
      <c r="F461" s="74"/>
    </row>
    <row r="462" spans="2:6" x14ac:dyDescent="0.3">
      <c r="B462" s="74"/>
      <c r="C462" s="74"/>
      <c r="D462" s="74"/>
      <c r="F462" s="74"/>
    </row>
    <row r="463" spans="2:6" x14ac:dyDescent="0.3">
      <c r="B463" s="74"/>
      <c r="C463" s="74"/>
      <c r="D463" s="74"/>
      <c r="F463" s="74"/>
    </row>
    <row r="464" spans="2:6" x14ac:dyDescent="0.3">
      <c r="B464" s="74"/>
      <c r="C464" s="74"/>
      <c r="D464" s="74"/>
      <c r="F464" s="74"/>
    </row>
    <row r="465" spans="2:6" x14ac:dyDescent="0.3">
      <c r="B465" s="74"/>
      <c r="C465" s="74"/>
      <c r="D465" s="74"/>
      <c r="F465" s="74"/>
    </row>
    <row r="466" spans="2:6" x14ac:dyDescent="0.3">
      <c r="B466" s="74"/>
      <c r="C466" s="74"/>
      <c r="D466" s="74"/>
      <c r="F466" s="74"/>
    </row>
    <row r="467" spans="2:6" x14ac:dyDescent="0.3">
      <c r="B467" s="74"/>
      <c r="C467" s="74"/>
      <c r="D467" s="74"/>
      <c r="F467" s="74"/>
    </row>
    <row r="468" spans="2:6" x14ac:dyDescent="0.3">
      <c r="B468" s="74"/>
      <c r="C468" s="74"/>
      <c r="D468" s="74"/>
      <c r="F468" s="74"/>
    </row>
    <row r="469" spans="2:6" x14ac:dyDescent="0.3">
      <c r="B469" s="74"/>
      <c r="C469" s="74"/>
      <c r="D469" s="74"/>
      <c r="F469" s="74"/>
    </row>
    <row r="470" spans="2:6" x14ac:dyDescent="0.3">
      <c r="B470" s="74"/>
      <c r="C470" s="74"/>
      <c r="D470" s="74"/>
      <c r="F470" s="74"/>
    </row>
    <row r="471" spans="2:6" x14ac:dyDescent="0.3">
      <c r="B471" s="74"/>
      <c r="C471" s="74"/>
      <c r="D471" s="74"/>
      <c r="F471" s="74"/>
    </row>
    <row r="472" spans="2:6" x14ac:dyDescent="0.3">
      <c r="B472" s="74"/>
      <c r="C472" s="74"/>
      <c r="D472" s="74"/>
      <c r="F472" s="74"/>
    </row>
    <row r="473" spans="2:6" x14ac:dyDescent="0.3">
      <c r="B473" s="74"/>
      <c r="C473" s="74"/>
      <c r="D473" s="74"/>
      <c r="F473" s="74"/>
    </row>
    <row r="474" spans="2:6" x14ac:dyDescent="0.3">
      <c r="B474" s="74"/>
      <c r="C474" s="74"/>
      <c r="D474" s="74"/>
      <c r="F474" s="74"/>
    </row>
    <row r="475" spans="2:6" x14ac:dyDescent="0.3">
      <c r="B475" s="74"/>
      <c r="C475" s="74"/>
      <c r="D475" s="74"/>
      <c r="F475" s="74"/>
    </row>
    <row r="476" spans="2:6" x14ac:dyDescent="0.3">
      <c r="B476" s="74"/>
      <c r="C476" s="74"/>
      <c r="D476" s="74"/>
      <c r="F476" s="74"/>
    </row>
    <row r="477" spans="2:6" x14ac:dyDescent="0.3">
      <c r="B477" s="74"/>
      <c r="C477" s="74"/>
      <c r="D477" s="74"/>
      <c r="F477" s="74"/>
    </row>
    <row r="478" spans="2:6" x14ac:dyDescent="0.3">
      <c r="B478" s="74"/>
      <c r="C478" s="74"/>
      <c r="D478" s="74"/>
      <c r="F478" s="74"/>
    </row>
    <row r="479" spans="2:6" x14ac:dyDescent="0.3">
      <c r="B479" s="74"/>
      <c r="C479" s="74"/>
      <c r="D479" s="74"/>
      <c r="F479" s="74"/>
    </row>
    <row r="480" spans="2:6" x14ac:dyDescent="0.3">
      <c r="B480" s="74"/>
      <c r="C480" s="74"/>
      <c r="D480" s="74"/>
      <c r="F480" s="74"/>
    </row>
    <row r="481" spans="2:6" x14ac:dyDescent="0.3">
      <c r="B481" s="74"/>
      <c r="C481" s="74"/>
      <c r="D481" s="74"/>
      <c r="F481" s="74"/>
    </row>
    <row r="482" spans="2:6" x14ac:dyDescent="0.3">
      <c r="B482" s="74"/>
      <c r="C482" s="74"/>
      <c r="D482" s="74"/>
      <c r="F482" s="74"/>
    </row>
    <row r="483" spans="2:6" x14ac:dyDescent="0.3">
      <c r="B483" s="74"/>
      <c r="C483" s="74"/>
      <c r="D483" s="74"/>
      <c r="F483" s="74"/>
    </row>
    <row r="484" spans="2:6" x14ac:dyDescent="0.3">
      <c r="B484" s="74"/>
      <c r="C484" s="74"/>
      <c r="D484" s="74"/>
      <c r="F484" s="74"/>
    </row>
    <row r="485" spans="2:6" x14ac:dyDescent="0.3">
      <c r="B485" s="74"/>
      <c r="C485" s="74"/>
      <c r="D485" s="74"/>
      <c r="F485" s="74"/>
    </row>
    <row r="486" spans="2:6" x14ac:dyDescent="0.3">
      <c r="B486" s="74"/>
      <c r="C486" s="74"/>
      <c r="D486" s="74"/>
      <c r="F486" s="74"/>
    </row>
    <row r="487" spans="2:6" x14ac:dyDescent="0.3">
      <c r="B487" s="74"/>
      <c r="C487" s="74"/>
      <c r="D487" s="74"/>
      <c r="F487" s="74"/>
    </row>
    <row r="488" spans="2:6" x14ac:dyDescent="0.3">
      <c r="B488" s="74"/>
      <c r="C488" s="74"/>
      <c r="D488" s="74"/>
      <c r="F488" s="74"/>
    </row>
    <row r="489" spans="2:6" x14ac:dyDescent="0.3">
      <c r="B489" s="74"/>
      <c r="C489" s="74"/>
      <c r="D489" s="74"/>
      <c r="F489" s="74"/>
    </row>
    <row r="490" spans="2:6" x14ac:dyDescent="0.3">
      <c r="B490" s="74"/>
      <c r="C490" s="74"/>
      <c r="D490" s="74"/>
      <c r="F490" s="74"/>
    </row>
    <row r="491" spans="2:6" x14ac:dyDescent="0.3">
      <c r="B491" s="74"/>
      <c r="C491" s="74"/>
      <c r="D491" s="74"/>
      <c r="F491" s="74"/>
    </row>
    <row r="492" spans="2:6" x14ac:dyDescent="0.3">
      <c r="B492" s="74"/>
      <c r="C492" s="74"/>
      <c r="D492" s="74"/>
      <c r="F492" s="74"/>
    </row>
    <row r="493" spans="2:6" x14ac:dyDescent="0.3">
      <c r="B493" s="74"/>
      <c r="C493" s="74"/>
      <c r="D493" s="74"/>
      <c r="F493" s="74"/>
    </row>
    <row r="494" spans="2:6" x14ac:dyDescent="0.3">
      <c r="B494" s="74"/>
      <c r="C494" s="74"/>
      <c r="D494" s="74"/>
      <c r="F494" s="74"/>
    </row>
    <row r="495" spans="2:6" x14ac:dyDescent="0.3">
      <c r="B495" s="74"/>
      <c r="C495" s="74"/>
      <c r="D495" s="74"/>
      <c r="F495" s="74"/>
    </row>
    <row r="496" spans="2:6" x14ac:dyDescent="0.3">
      <c r="B496" s="74"/>
      <c r="C496" s="74"/>
      <c r="D496" s="74"/>
      <c r="F496" s="74"/>
    </row>
    <row r="497" spans="2:6" x14ac:dyDescent="0.3">
      <c r="B497" s="74"/>
      <c r="C497" s="74"/>
      <c r="D497" s="74"/>
      <c r="F497" s="74"/>
    </row>
    <row r="498" spans="2:6" x14ac:dyDescent="0.3">
      <c r="B498" s="74"/>
      <c r="C498" s="74"/>
      <c r="D498" s="74"/>
      <c r="F498" s="74"/>
    </row>
    <row r="499" spans="2:6" x14ac:dyDescent="0.3">
      <c r="B499" s="74"/>
      <c r="C499" s="74"/>
      <c r="D499" s="74"/>
      <c r="F499" s="74"/>
    </row>
    <row r="500" spans="2:6" x14ac:dyDescent="0.3">
      <c r="B500" s="74"/>
      <c r="C500" s="74"/>
      <c r="D500" s="74"/>
      <c r="F500" s="74"/>
    </row>
    <row r="501" spans="2:6" x14ac:dyDescent="0.3">
      <c r="B501" s="74"/>
      <c r="C501" s="74"/>
      <c r="D501" s="74"/>
      <c r="F501" s="74"/>
    </row>
    <row r="502" spans="2:6" x14ac:dyDescent="0.3">
      <c r="B502" s="74"/>
      <c r="C502" s="74"/>
      <c r="D502" s="74"/>
      <c r="F502" s="74"/>
    </row>
    <row r="503" spans="2:6" x14ac:dyDescent="0.3">
      <c r="B503" s="74"/>
      <c r="C503" s="74"/>
      <c r="D503" s="74"/>
      <c r="F503" s="74"/>
    </row>
    <row r="504" spans="2:6" x14ac:dyDescent="0.3">
      <c r="B504" s="74"/>
      <c r="C504" s="74"/>
      <c r="D504" s="74"/>
      <c r="F504" s="74"/>
    </row>
    <row r="505" spans="2:6" x14ac:dyDescent="0.3">
      <c r="B505" s="74"/>
      <c r="C505" s="74"/>
      <c r="D505" s="74"/>
      <c r="F505" s="74"/>
    </row>
    <row r="506" spans="2:6" x14ac:dyDescent="0.3">
      <c r="B506" s="74"/>
      <c r="C506" s="74"/>
      <c r="D506" s="74"/>
      <c r="F506" s="74"/>
    </row>
    <row r="507" spans="2:6" x14ac:dyDescent="0.3">
      <c r="B507" s="74"/>
      <c r="C507" s="74"/>
      <c r="D507" s="74"/>
      <c r="F507" s="74"/>
    </row>
    <row r="508" spans="2:6" x14ac:dyDescent="0.3">
      <c r="B508" s="74"/>
      <c r="C508" s="74"/>
      <c r="D508" s="74"/>
      <c r="F508" s="74"/>
    </row>
    <row r="509" spans="2:6" x14ac:dyDescent="0.3">
      <c r="B509" s="74"/>
      <c r="C509" s="74"/>
      <c r="D509" s="74"/>
      <c r="F509" s="74"/>
    </row>
    <row r="510" spans="2:6" x14ac:dyDescent="0.3">
      <c r="B510" s="74"/>
      <c r="C510" s="74"/>
      <c r="D510" s="74"/>
      <c r="F510" s="74"/>
    </row>
    <row r="511" spans="2:6" x14ac:dyDescent="0.3">
      <c r="B511" s="74"/>
      <c r="C511" s="74"/>
      <c r="D511" s="74"/>
      <c r="F511" s="74"/>
    </row>
    <row r="512" spans="2:6" x14ac:dyDescent="0.3">
      <c r="B512" s="74"/>
      <c r="C512" s="74"/>
      <c r="D512" s="74"/>
      <c r="F512" s="74"/>
    </row>
    <row r="513" spans="2:6" x14ac:dyDescent="0.3">
      <c r="B513" s="74"/>
      <c r="C513" s="74"/>
      <c r="D513" s="74"/>
      <c r="F513" s="74"/>
    </row>
    <row r="514" spans="2:6" x14ac:dyDescent="0.3">
      <c r="B514" s="74"/>
      <c r="C514" s="74"/>
      <c r="D514" s="74"/>
      <c r="F514" s="74"/>
    </row>
    <row r="515" spans="2:6" x14ac:dyDescent="0.3">
      <c r="B515" s="74"/>
      <c r="C515" s="74"/>
      <c r="D515" s="74"/>
      <c r="F515" s="74"/>
    </row>
    <row r="516" spans="2:6" x14ac:dyDescent="0.3">
      <c r="B516" s="74"/>
      <c r="C516" s="74"/>
      <c r="D516" s="74"/>
      <c r="F516" s="74"/>
    </row>
    <row r="517" spans="2:6" x14ac:dyDescent="0.3">
      <c r="B517" s="74"/>
      <c r="C517" s="74"/>
      <c r="D517" s="74"/>
      <c r="F517" s="74"/>
    </row>
    <row r="518" spans="2:6" x14ac:dyDescent="0.3">
      <c r="B518" s="74"/>
      <c r="C518" s="74"/>
      <c r="D518" s="74"/>
      <c r="F518" s="74"/>
    </row>
    <row r="519" spans="2:6" x14ac:dyDescent="0.3">
      <c r="B519" s="74"/>
      <c r="C519" s="74"/>
      <c r="D519" s="74"/>
      <c r="F519" s="74"/>
    </row>
    <row r="520" spans="2:6" x14ac:dyDescent="0.3">
      <c r="B520" s="74"/>
      <c r="C520" s="74"/>
      <c r="D520" s="74"/>
      <c r="F520" s="74"/>
    </row>
    <row r="521" spans="2:6" x14ac:dyDescent="0.3">
      <c r="B521" s="74"/>
      <c r="C521" s="74"/>
      <c r="D521" s="74"/>
      <c r="F521" s="74"/>
    </row>
    <row r="522" spans="2:6" x14ac:dyDescent="0.3">
      <c r="B522" s="74"/>
      <c r="C522" s="74"/>
      <c r="D522" s="74"/>
      <c r="F522" s="74"/>
    </row>
    <row r="523" spans="2:6" x14ac:dyDescent="0.3">
      <c r="B523" s="74"/>
      <c r="C523" s="74"/>
      <c r="D523" s="74"/>
      <c r="F523" s="74"/>
    </row>
    <row r="524" spans="2:6" x14ac:dyDescent="0.3">
      <c r="B524" s="74"/>
      <c r="C524" s="74"/>
      <c r="D524" s="74"/>
      <c r="F524" s="74"/>
    </row>
    <row r="525" spans="2:6" x14ac:dyDescent="0.3">
      <c r="B525" s="74"/>
      <c r="C525" s="74"/>
      <c r="D525" s="74"/>
      <c r="F525" s="74"/>
    </row>
    <row r="526" spans="2:6" x14ac:dyDescent="0.3">
      <c r="B526" s="74"/>
      <c r="C526" s="74"/>
      <c r="D526" s="74"/>
      <c r="F526" s="74"/>
    </row>
    <row r="527" spans="2:6" x14ac:dyDescent="0.3">
      <c r="B527" s="74"/>
      <c r="C527" s="74"/>
      <c r="D527" s="74"/>
      <c r="F527" s="74"/>
    </row>
    <row r="528" spans="2:6" x14ac:dyDescent="0.3">
      <c r="B528" s="74"/>
      <c r="C528" s="74"/>
      <c r="D528" s="74"/>
      <c r="F528" s="74"/>
    </row>
    <row r="529" spans="2:6" x14ac:dyDescent="0.3">
      <c r="B529" s="74"/>
      <c r="C529" s="74"/>
      <c r="D529" s="74"/>
      <c r="F529" s="74"/>
    </row>
    <row r="530" spans="2:6" x14ac:dyDescent="0.3">
      <c r="B530" s="74"/>
      <c r="C530" s="74"/>
      <c r="D530" s="74"/>
      <c r="F530" s="74"/>
    </row>
    <row r="531" spans="2:6" x14ac:dyDescent="0.3">
      <c r="B531" s="74"/>
      <c r="C531" s="74"/>
      <c r="D531" s="74"/>
      <c r="F531" s="74"/>
    </row>
    <row r="532" spans="2:6" x14ac:dyDescent="0.3">
      <c r="B532" s="74"/>
      <c r="C532" s="74"/>
      <c r="D532" s="74"/>
      <c r="F532" s="74"/>
    </row>
    <row r="533" spans="2:6" x14ac:dyDescent="0.3">
      <c r="B533" s="74"/>
      <c r="C533" s="74"/>
      <c r="D533" s="74"/>
      <c r="F533" s="74"/>
    </row>
    <row r="534" spans="2:6" x14ac:dyDescent="0.3">
      <c r="B534" s="74"/>
      <c r="C534" s="74"/>
      <c r="D534" s="74"/>
      <c r="F534" s="74"/>
    </row>
    <row r="535" spans="2:6" x14ac:dyDescent="0.3">
      <c r="B535" s="74"/>
      <c r="C535" s="74"/>
      <c r="D535" s="74"/>
      <c r="F535" s="74"/>
    </row>
    <row r="536" spans="2:6" x14ac:dyDescent="0.3">
      <c r="B536" s="74"/>
      <c r="C536" s="74"/>
      <c r="D536" s="74"/>
      <c r="F536" s="74"/>
    </row>
    <row r="537" spans="2:6" x14ac:dyDescent="0.3">
      <c r="B537" s="74"/>
      <c r="C537" s="74"/>
      <c r="D537" s="74"/>
      <c r="F537" s="74"/>
    </row>
    <row r="538" spans="2:6" x14ac:dyDescent="0.3">
      <c r="B538" s="74"/>
      <c r="C538" s="74"/>
      <c r="D538" s="74"/>
      <c r="F538" s="74"/>
    </row>
    <row r="539" spans="2:6" x14ac:dyDescent="0.3">
      <c r="B539" s="74"/>
      <c r="C539" s="74"/>
      <c r="D539" s="74"/>
      <c r="F539" s="74"/>
    </row>
    <row r="540" spans="2:6" x14ac:dyDescent="0.3">
      <c r="B540" s="74"/>
      <c r="C540" s="74"/>
      <c r="D540" s="74"/>
      <c r="F540" s="74"/>
    </row>
    <row r="541" spans="2:6" x14ac:dyDescent="0.3">
      <c r="B541" s="74"/>
      <c r="C541" s="74"/>
      <c r="D541" s="74"/>
      <c r="F541" s="74"/>
    </row>
    <row r="542" spans="2:6" x14ac:dyDescent="0.3">
      <c r="B542" s="74"/>
      <c r="C542" s="74"/>
      <c r="D542" s="74"/>
      <c r="F542" s="74"/>
    </row>
    <row r="543" spans="2:6" x14ac:dyDescent="0.3">
      <c r="B543" s="74"/>
      <c r="C543" s="74"/>
      <c r="D543" s="74"/>
      <c r="F543" s="74"/>
    </row>
    <row r="544" spans="2:6" x14ac:dyDescent="0.3">
      <c r="B544" s="74"/>
      <c r="C544" s="74"/>
      <c r="D544" s="74"/>
      <c r="F544" s="74"/>
    </row>
    <row r="545" spans="2:6" x14ac:dyDescent="0.3">
      <c r="B545" s="74"/>
      <c r="C545" s="74"/>
      <c r="D545" s="74"/>
      <c r="F545" s="74"/>
    </row>
    <row r="546" spans="2:6" x14ac:dyDescent="0.3">
      <c r="B546" s="74"/>
      <c r="C546" s="74"/>
      <c r="D546" s="74"/>
      <c r="F546" s="74"/>
    </row>
    <row r="547" spans="2:6" x14ac:dyDescent="0.3">
      <c r="B547" s="74"/>
      <c r="C547" s="74"/>
      <c r="D547" s="74"/>
      <c r="F547" s="74"/>
    </row>
    <row r="548" spans="2:6" x14ac:dyDescent="0.3">
      <c r="B548" s="74"/>
      <c r="C548" s="74"/>
      <c r="D548" s="74"/>
      <c r="F548" s="74"/>
    </row>
    <row r="549" spans="2:6" x14ac:dyDescent="0.3">
      <c r="B549" s="74"/>
      <c r="C549" s="74"/>
      <c r="D549" s="74"/>
      <c r="F549" s="74"/>
    </row>
    <row r="550" spans="2:6" x14ac:dyDescent="0.3">
      <c r="B550" s="74"/>
      <c r="C550" s="74"/>
      <c r="D550" s="74"/>
      <c r="F550" s="74"/>
    </row>
    <row r="551" spans="2:6" x14ac:dyDescent="0.3">
      <c r="B551" s="74"/>
      <c r="C551" s="74"/>
      <c r="D551" s="74"/>
      <c r="F551" s="74"/>
    </row>
    <row r="552" spans="2:6" x14ac:dyDescent="0.3">
      <c r="B552" s="74"/>
      <c r="C552" s="74"/>
      <c r="D552" s="74"/>
      <c r="F552" s="74"/>
    </row>
    <row r="553" spans="2:6" x14ac:dyDescent="0.3">
      <c r="B553" s="74"/>
      <c r="C553" s="74"/>
      <c r="D553" s="74"/>
      <c r="F553" s="74"/>
    </row>
    <row r="554" spans="2:6" x14ac:dyDescent="0.3">
      <c r="B554" s="74"/>
      <c r="C554" s="74"/>
      <c r="D554" s="74"/>
      <c r="F554" s="74"/>
    </row>
    <row r="555" spans="2:6" x14ac:dyDescent="0.3">
      <c r="B555" s="74"/>
      <c r="C555" s="74"/>
      <c r="D555" s="74"/>
      <c r="F555" s="74"/>
    </row>
    <row r="556" spans="2:6" x14ac:dyDescent="0.3">
      <c r="B556" s="74"/>
      <c r="C556" s="74"/>
      <c r="D556" s="74"/>
      <c r="F556" s="74"/>
    </row>
    <row r="557" spans="2:6" x14ac:dyDescent="0.3">
      <c r="B557" s="74"/>
      <c r="C557" s="74"/>
      <c r="D557" s="74"/>
      <c r="F557" s="74"/>
    </row>
    <row r="558" spans="2:6" x14ac:dyDescent="0.3">
      <c r="B558" s="74"/>
      <c r="C558" s="74"/>
      <c r="D558" s="74"/>
      <c r="F558" s="74"/>
    </row>
    <row r="559" spans="2:6" x14ac:dyDescent="0.3">
      <c r="B559" s="74"/>
      <c r="C559" s="74"/>
      <c r="D559" s="74"/>
      <c r="F559" s="74"/>
    </row>
    <row r="560" spans="2:6" x14ac:dyDescent="0.3">
      <c r="B560" s="74"/>
      <c r="C560" s="74"/>
      <c r="D560" s="74"/>
      <c r="F560" s="74"/>
    </row>
    <row r="561" spans="2:6" x14ac:dyDescent="0.3">
      <c r="B561" s="74"/>
      <c r="C561" s="74"/>
      <c r="D561" s="74"/>
      <c r="F561" s="74"/>
    </row>
    <row r="562" spans="2:6" x14ac:dyDescent="0.3">
      <c r="B562" s="74"/>
      <c r="C562" s="74"/>
      <c r="D562" s="74"/>
      <c r="F562" s="74"/>
    </row>
    <row r="563" spans="2:6" x14ac:dyDescent="0.3">
      <c r="B563" s="74"/>
      <c r="C563" s="74"/>
      <c r="D563" s="74"/>
      <c r="F563" s="74"/>
    </row>
    <row r="564" spans="2:6" x14ac:dyDescent="0.3">
      <c r="B564" s="74"/>
      <c r="C564" s="74"/>
      <c r="D564" s="74"/>
      <c r="F564" s="74"/>
    </row>
    <row r="565" spans="2:6" x14ac:dyDescent="0.3">
      <c r="B565" s="74"/>
      <c r="C565" s="74"/>
      <c r="D565" s="74"/>
      <c r="F565" s="74"/>
    </row>
    <row r="566" spans="2:6" x14ac:dyDescent="0.3">
      <c r="B566" s="74"/>
      <c r="C566" s="74"/>
      <c r="D566" s="74"/>
      <c r="F566" s="74"/>
    </row>
    <row r="567" spans="2:6" x14ac:dyDescent="0.3">
      <c r="B567" s="74"/>
      <c r="C567" s="74"/>
      <c r="D567" s="74"/>
      <c r="F567" s="74"/>
    </row>
    <row r="568" spans="2:6" x14ac:dyDescent="0.3">
      <c r="B568" s="74"/>
      <c r="C568" s="74"/>
      <c r="D568" s="74"/>
      <c r="F568" s="74"/>
    </row>
    <row r="569" spans="2:6" x14ac:dyDescent="0.3">
      <c r="B569" s="74"/>
      <c r="C569" s="74"/>
      <c r="D569" s="74"/>
      <c r="F569" s="74"/>
    </row>
    <row r="570" spans="2:6" x14ac:dyDescent="0.3">
      <c r="B570" s="74"/>
      <c r="C570" s="74"/>
      <c r="D570" s="74"/>
      <c r="F570" s="74"/>
    </row>
    <row r="571" spans="2:6" x14ac:dyDescent="0.3">
      <c r="B571" s="74"/>
      <c r="C571" s="74"/>
      <c r="D571" s="74"/>
      <c r="F571" s="74"/>
    </row>
    <row r="572" spans="2:6" x14ac:dyDescent="0.3">
      <c r="B572" s="74"/>
      <c r="C572" s="74"/>
      <c r="D572" s="74"/>
      <c r="F572" s="74"/>
    </row>
    <row r="573" spans="2:6" x14ac:dyDescent="0.3">
      <c r="B573" s="74"/>
      <c r="C573" s="74"/>
      <c r="D573" s="74"/>
      <c r="F573" s="74"/>
    </row>
    <row r="574" spans="2:6" x14ac:dyDescent="0.3">
      <c r="B574" s="74"/>
      <c r="C574" s="74"/>
      <c r="D574" s="74"/>
      <c r="F574" s="74"/>
    </row>
    <row r="575" spans="2:6" x14ac:dyDescent="0.3">
      <c r="B575" s="74"/>
      <c r="C575" s="74"/>
      <c r="D575" s="74"/>
      <c r="F575" s="74"/>
    </row>
    <row r="576" spans="2:6" x14ac:dyDescent="0.3">
      <c r="B576" s="74"/>
      <c r="C576" s="74"/>
      <c r="D576" s="74"/>
      <c r="F576" s="74"/>
    </row>
    <row r="577" spans="2:6" x14ac:dyDescent="0.3">
      <c r="B577" s="74"/>
      <c r="C577" s="74"/>
      <c r="D577" s="74"/>
      <c r="F577" s="74"/>
    </row>
    <row r="578" spans="2:6" x14ac:dyDescent="0.3">
      <c r="B578" s="74"/>
      <c r="C578" s="74"/>
      <c r="D578" s="74"/>
      <c r="F578" s="74"/>
    </row>
    <row r="579" spans="2:6" x14ac:dyDescent="0.3">
      <c r="B579" s="74"/>
      <c r="C579" s="74"/>
      <c r="D579" s="74"/>
      <c r="F579" s="74"/>
    </row>
    <row r="580" spans="2:6" x14ac:dyDescent="0.3">
      <c r="B580" s="74"/>
      <c r="C580" s="74"/>
      <c r="D580" s="74"/>
      <c r="F580" s="74"/>
    </row>
    <row r="581" spans="2:6" x14ac:dyDescent="0.3">
      <c r="B581" s="74"/>
      <c r="C581" s="74"/>
      <c r="D581" s="74"/>
      <c r="F581" s="74"/>
    </row>
    <row r="582" spans="2:6" x14ac:dyDescent="0.3">
      <c r="B582" s="74"/>
      <c r="C582" s="74"/>
      <c r="D582" s="74"/>
      <c r="F582" s="74"/>
    </row>
    <row r="583" spans="2:6" x14ac:dyDescent="0.3">
      <c r="B583" s="74"/>
      <c r="C583" s="74"/>
      <c r="D583" s="74"/>
      <c r="F583" s="74"/>
    </row>
    <row r="584" spans="2:6" x14ac:dyDescent="0.3">
      <c r="B584" s="74"/>
      <c r="C584" s="74"/>
      <c r="D584" s="74"/>
      <c r="F584" s="74"/>
    </row>
    <row r="585" spans="2:6" x14ac:dyDescent="0.3">
      <c r="B585" s="74"/>
      <c r="C585" s="74"/>
      <c r="D585" s="74"/>
      <c r="F585" s="74"/>
    </row>
    <row r="586" spans="2:6" x14ac:dyDescent="0.3">
      <c r="B586" s="74"/>
      <c r="C586" s="74"/>
      <c r="D586" s="74"/>
      <c r="F586" s="74"/>
    </row>
    <row r="587" spans="2:6" x14ac:dyDescent="0.3">
      <c r="B587" s="74"/>
      <c r="C587" s="74"/>
      <c r="D587" s="74"/>
      <c r="F587" s="74"/>
    </row>
    <row r="588" spans="2:6" x14ac:dyDescent="0.3">
      <c r="B588" s="74"/>
      <c r="C588" s="74"/>
      <c r="D588" s="74"/>
      <c r="F588" s="74"/>
    </row>
    <row r="589" spans="2:6" x14ac:dyDescent="0.3">
      <c r="B589" s="74"/>
      <c r="C589" s="74"/>
      <c r="D589" s="74"/>
      <c r="F589" s="74"/>
    </row>
    <row r="590" spans="2:6" x14ac:dyDescent="0.3">
      <c r="B590" s="74"/>
      <c r="C590" s="74"/>
      <c r="D590" s="74"/>
      <c r="F590" s="74"/>
    </row>
    <row r="591" spans="2:6" x14ac:dyDescent="0.3">
      <c r="B591" s="74"/>
      <c r="C591" s="74"/>
      <c r="D591" s="74"/>
      <c r="F591" s="74"/>
    </row>
    <row r="592" spans="2:6" x14ac:dyDescent="0.3">
      <c r="B592" s="74"/>
      <c r="C592" s="74"/>
      <c r="D592" s="74"/>
      <c r="F592" s="74"/>
    </row>
    <row r="593" spans="2:6" x14ac:dyDescent="0.3">
      <c r="B593" s="74"/>
      <c r="C593" s="74"/>
      <c r="D593" s="74"/>
      <c r="F593" s="74"/>
    </row>
    <row r="594" spans="2:6" x14ac:dyDescent="0.3">
      <c r="B594" s="74"/>
      <c r="C594" s="74"/>
      <c r="D594" s="74"/>
      <c r="F594" s="74"/>
    </row>
    <row r="595" spans="2:6" x14ac:dyDescent="0.3">
      <c r="B595" s="74"/>
      <c r="C595" s="74"/>
      <c r="D595" s="74"/>
      <c r="F595" s="74"/>
    </row>
    <row r="596" spans="2:6" x14ac:dyDescent="0.3">
      <c r="B596" s="74"/>
      <c r="C596" s="74"/>
      <c r="D596" s="74"/>
      <c r="F596" s="74"/>
    </row>
    <row r="597" spans="2:6" x14ac:dyDescent="0.3">
      <c r="B597" s="74"/>
      <c r="C597" s="74"/>
      <c r="D597" s="74"/>
      <c r="F597" s="74"/>
    </row>
    <row r="598" spans="2:6" x14ac:dyDescent="0.3">
      <c r="B598" s="74"/>
      <c r="C598" s="74"/>
      <c r="D598" s="74"/>
      <c r="F598" s="74"/>
    </row>
    <row r="599" spans="2:6" x14ac:dyDescent="0.3">
      <c r="B599" s="74"/>
      <c r="C599" s="74"/>
      <c r="D599" s="74"/>
      <c r="F599" s="74"/>
    </row>
    <row r="600" spans="2:6" x14ac:dyDescent="0.3">
      <c r="B600" s="74"/>
      <c r="C600" s="74"/>
      <c r="D600" s="74"/>
      <c r="F600" s="74"/>
    </row>
    <row r="601" spans="2:6" x14ac:dyDescent="0.3">
      <c r="B601" s="74"/>
      <c r="C601" s="74"/>
      <c r="D601" s="74"/>
      <c r="F601" s="74"/>
    </row>
    <row r="602" spans="2:6" x14ac:dyDescent="0.3">
      <c r="B602" s="74"/>
      <c r="C602" s="74"/>
      <c r="D602" s="74"/>
      <c r="F602" s="74"/>
    </row>
    <row r="603" spans="2:6" x14ac:dyDescent="0.3">
      <c r="B603" s="74"/>
      <c r="C603" s="74"/>
      <c r="D603" s="74"/>
      <c r="F603" s="74"/>
    </row>
    <row r="604" spans="2:6" x14ac:dyDescent="0.3">
      <c r="B604" s="74"/>
      <c r="C604" s="74"/>
      <c r="D604" s="74"/>
      <c r="F604" s="74"/>
    </row>
    <row r="605" spans="2:6" x14ac:dyDescent="0.3">
      <c r="B605" s="74"/>
      <c r="C605" s="74"/>
      <c r="D605" s="74"/>
      <c r="F605" s="74"/>
    </row>
    <row r="606" spans="2:6" x14ac:dyDescent="0.3">
      <c r="B606" s="74"/>
      <c r="C606" s="74"/>
      <c r="D606" s="74"/>
      <c r="F606" s="74"/>
    </row>
    <row r="607" spans="2:6" x14ac:dyDescent="0.3">
      <c r="B607" s="74"/>
      <c r="C607" s="74"/>
      <c r="D607" s="74"/>
      <c r="F607" s="74"/>
    </row>
    <row r="608" spans="2:6" x14ac:dyDescent="0.3">
      <c r="B608" s="74"/>
      <c r="C608" s="74"/>
      <c r="D608" s="74"/>
      <c r="F608" s="74"/>
    </row>
    <row r="609" spans="2:6" x14ac:dyDescent="0.3">
      <c r="B609" s="74"/>
      <c r="C609" s="74"/>
      <c r="D609" s="74"/>
      <c r="F609" s="74"/>
    </row>
    <row r="610" spans="2:6" x14ac:dyDescent="0.3">
      <c r="B610" s="74"/>
      <c r="C610" s="74"/>
      <c r="D610" s="74"/>
      <c r="F610" s="74"/>
    </row>
    <row r="611" spans="2:6" x14ac:dyDescent="0.3">
      <c r="B611" s="74"/>
      <c r="C611" s="74"/>
      <c r="D611" s="74"/>
      <c r="F611" s="74"/>
    </row>
    <row r="612" spans="2:6" x14ac:dyDescent="0.3">
      <c r="B612" s="74"/>
      <c r="C612" s="74"/>
      <c r="D612" s="74"/>
      <c r="F612" s="74"/>
    </row>
    <row r="613" spans="2:6" x14ac:dyDescent="0.3">
      <c r="B613" s="74"/>
      <c r="C613" s="74"/>
      <c r="D613" s="74"/>
      <c r="F613" s="74"/>
    </row>
    <row r="614" spans="2:6" x14ac:dyDescent="0.3">
      <c r="B614" s="74"/>
      <c r="C614" s="74"/>
      <c r="D614" s="74"/>
      <c r="F614" s="74"/>
    </row>
    <row r="615" spans="2:6" x14ac:dyDescent="0.3">
      <c r="B615" s="74"/>
      <c r="C615" s="74"/>
      <c r="D615" s="74"/>
      <c r="F615" s="74"/>
    </row>
    <row r="616" spans="2:6" x14ac:dyDescent="0.3">
      <c r="B616" s="74"/>
      <c r="C616" s="74"/>
      <c r="D616" s="74"/>
      <c r="F616" s="74"/>
    </row>
    <row r="617" spans="2:6" x14ac:dyDescent="0.3">
      <c r="B617" s="74"/>
      <c r="C617" s="74"/>
      <c r="D617" s="74"/>
      <c r="F617" s="74"/>
    </row>
    <row r="618" spans="2:6" x14ac:dyDescent="0.3">
      <c r="B618" s="74"/>
      <c r="C618" s="74"/>
      <c r="D618" s="74"/>
      <c r="F618" s="74"/>
    </row>
    <row r="619" spans="2:6" x14ac:dyDescent="0.3">
      <c r="B619" s="74"/>
      <c r="C619" s="74"/>
      <c r="D619" s="74"/>
      <c r="F619" s="74"/>
    </row>
    <row r="620" spans="2:6" x14ac:dyDescent="0.3">
      <c r="B620" s="74"/>
      <c r="C620" s="74"/>
      <c r="D620" s="74"/>
      <c r="F620" s="74"/>
    </row>
    <row r="621" spans="2:6" x14ac:dyDescent="0.3">
      <c r="B621" s="74"/>
      <c r="C621" s="74"/>
      <c r="D621" s="74"/>
      <c r="F621" s="74"/>
    </row>
    <row r="622" spans="2:6" x14ac:dyDescent="0.3">
      <c r="B622" s="74"/>
      <c r="C622" s="74"/>
      <c r="D622" s="74"/>
      <c r="F622" s="74"/>
    </row>
    <row r="623" spans="2:6" x14ac:dyDescent="0.3">
      <c r="B623" s="74"/>
      <c r="C623" s="74"/>
      <c r="D623" s="74"/>
      <c r="F623" s="74"/>
    </row>
    <row r="624" spans="2:6" x14ac:dyDescent="0.3">
      <c r="B624" s="74"/>
      <c r="C624" s="74"/>
      <c r="D624" s="74"/>
      <c r="F624" s="74"/>
    </row>
    <row r="625" spans="2:6" x14ac:dyDescent="0.3">
      <c r="B625" s="74"/>
      <c r="C625" s="74"/>
      <c r="D625" s="74"/>
      <c r="F625" s="74"/>
    </row>
    <row r="626" spans="2:6" x14ac:dyDescent="0.3">
      <c r="B626" s="74"/>
      <c r="C626" s="74"/>
      <c r="D626" s="74"/>
      <c r="F626" s="74"/>
    </row>
    <row r="627" spans="2:6" x14ac:dyDescent="0.3">
      <c r="B627" s="74"/>
      <c r="C627" s="74"/>
      <c r="D627" s="74"/>
      <c r="F627" s="74"/>
    </row>
    <row r="628" spans="2:6" x14ac:dyDescent="0.3">
      <c r="B628" s="74"/>
      <c r="C628" s="74"/>
      <c r="D628" s="74"/>
      <c r="F628" s="74"/>
    </row>
    <row r="629" spans="2:6" x14ac:dyDescent="0.3">
      <c r="B629" s="74"/>
      <c r="C629" s="74"/>
      <c r="D629" s="74"/>
      <c r="F629" s="74"/>
    </row>
    <row r="630" spans="2:6" x14ac:dyDescent="0.3">
      <c r="B630" s="74"/>
      <c r="C630" s="74"/>
      <c r="D630" s="74"/>
      <c r="F630" s="74"/>
    </row>
    <row r="631" spans="2:6" x14ac:dyDescent="0.3">
      <c r="B631" s="74"/>
      <c r="C631" s="74"/>
      <c r="D631" s="74"/>
      <c r="F631" s="74"/>
    </row>
    <row r="632" spans="2:6" x14ac:dyDescent="0.3">
      <c r="B632" s="74"/>
      <c r="C632" s="74"/>
      <c r="D632" s="74"/>
      <c r="F632" s="74"/>
    </row>
    <row r="633" spans="2:6" x14ac:dyDescent="0.3">
      <c r="B633" s="74"/>
      <c r="C633" s="74"/>
      <c r="D633" s="74"/>
      <c r="F633" s="74"/>
    </row>
    <row r="634" spans="2:6" x14ac:dyDescent="0.3">
      <c r="B634" s="74"/>
      <c r="C634" s="74"/>
      <c r="D634" s="74"/>
      <c r="F634" s="74"/>
    </row>
    <row r="635" spans="2:6" x14ac:dyDescent="0.3">
      <c r="B635" s="74"/>
      <c r="C635" s="74"/>
      <c r="D635" s="74"/>
      <c r="F635" s="74"/>
    </row>
    <row r="636" spans="2:6" x14ac:dyDescent="0.3">
      <c r="B636" s="74"/>
      <c r="C636" s="74"/>
      <c r="D636" s="74"/>
      <c r="F636" s="74"/>
    </row>
    <row r="637" spans="2:6" x14ac:dyDescent="0.3">
      <c r="B637" s="74"/>
      <c r="C637" s="74"/>
      <c r="D637" s="74"/>
      <c r="F637" s="74"/>
    </row>
    <row r="638" spans="2:6" x14ac:dyDescent="0.3">
      <c r="B638" s="74"/>
      <c r="C638" s="74"/>
      <c r="D638" s="74"/>
      <c r="F638" s="74"/>
    </row>
    <row r="639" spans="2:6" x14ac:dyDescent="0.3">
      <c r="B639" s="74"/>
      <c r="C639" s="74"/>
      <c r="D639" s="74"/>
      <c r="F639" s="74"/>
    </row>
    <row r="640" spans="2:6" x14ac:dyDescent="0.3">
      <c r="B640" s="74"/>
      <c r="C640" s="74"/>
      <c r="D640" s="74"/>
      <c r="F640" s="74"/>
    </row>
    <row r="641" spans="2:6" x14ac:dyDescent="0.3">
      <c r="B641" s="74"/>
      <c r="C641" s="74"/>
      <c r="D641" s="74"/>
      <c r="F641" s="74"/>
    </row>
    <row r="642" spans="2:6" x14ac:dyDescent="0.3">
      <c r="B642" s="74"/>
      <c r="C642" s="74"/>
      <c r="D642" s="74"/>
      <c r="F642" s="74"/>
    </row>
    <row r="643" spans="2:6" x14ac:dyDescent="0.3">
      <c r="B643" s="74"/>
      <c r="C643" s="74"/>
      <c r="D643" s="74"/>
      <c r="F643" s="74"/>
    </row>
    <row r="644" spans="2:6" x14ac:dyDescent="0.3">
      <c r="B644" s="74"/>
      <c r="C644" s="74"/>
      <c r="D644" s="74"/>
      <c r="F644" s="74"/>
    </row>
    <row r="645" spans="2:6" x14ac:dyDescent="0.3">
      <c r="B645" s="74"/>
      <c r="C645" s="74"/>
      <c r="D645" s="74"/>
      <c r="F645" s="74"/>
    </row>
    <row r="646" spans="2:6" x14ac:dyDescent="0.3">
      <c r="B646" s="74"/>
      <c r="C646" s="74"/>
      <c r="D646" s="74"/>
      <c r="F646" s="74"/>
    </row>
    <row r="647" spans="2:6" x14ac:dyDescent="0.3">
      <c r="B647" s="74"/>
      <c r="C647" s="74"/>
      <c r="D647" s="74"/>
      <c r="F647" s="74"/>
    </row>
    <row r="648" spans="2:6" x14ac:dyDescent="0.3">
      <c r="B648" s="74"/>
      <c r="C648" s="74"/>
      <c r="D648" s="74"/>
      <c r="F648" s="74"/>
    </row>
    <row r="649" spans="2:6" x14ac:dyDescent="0.3">
      <c r="B649" s="74"/>
      <c r="C649" s="74"/>
      <c r="D649" s="74"/>
      <c r="F649" s="74"/>
    </row>
    <row r="650" spans="2:6" x14ac:dyDescent="0.3">
      <c r="B650" s="74"/>
      <c r="C650" s="74"/>
      <c r="D650" s="74"/>
      <c r="F650" s="74"/>
    </row>
    <row r="651" spans="2:6" x14ac:dyDescent="0.3">
      <c r="B651" s="74"/>
      <c r="C651" s="74"/>
      <c r="D651" s="74"/>
      <c r="F651" s="74"/>
    </row>
    <row r="652" spans="2:6" x14ac:dyDescent="0.3">
      <c r="B652" s="74"/>
      <c r="C652" s="74"/>
      <c r="D652" s="74"/>
      <c r="F652" s="74"/>
    </row>
    <row r="653" spans="2:6" x14ac:dyDescent="0.3">
      <c r="B653" s="74"/>
      <c r="C653" s="74"/>
      <c r="D653" s="74"/>
      <c r="F653" s="74"/>
    </row>
    <row r="654" spans="2:6" x14ac:dyDescent="0.3">
      <c r="B654" s="74"/>
      <c r="C654" s="74"/>
      <c r="D654" s="74"/>
      <c r="F654" s="74"/>
    </row>
    <row r="655" spans="2:6" x14ac:dyDescent="0.3">
      <c r="B655" s="74"/>
      <c r="C655" s="74"/>
      <c r="D655" s="74"/>
      <c r="F655" s="74"/>
    </row>
    <row r="656" spans="2:6" x14ac:dyDescent="0.3">
      <c r="B656" s="74"/>
      <c r="C656" s="74"/>
      <c r="D656" s="74"/>
      <c r="F656" s="74"/>
    </row>
    <row r="657" spans="2:6" x14ac:dyDescent="0.3">
      <c r="B657" s="74"/>
      <c r="C657" s="74"/>
      <c r="D657" s="74"/>
      <c r="F657" s="74"/>
    </row>
    <row r="658" spans="2:6" x14ac:dyDescent="0.3">
      <c r="B658" s="74"/>
      <c r="C658" s="74"/>
      <c r="D658" s="74"/>
      <c r="F658" s="74"/>
    </row>
    <row r="659" spans="2:6" x14ac:dyDescent="0.3">
      <c r="B659" s="74"/>
      <c r="C659" s="74"/>
      <c r="D659" s="74"/>
      <c r="F659" s="74"/>
    </row>
    <row r="660" spans="2:6" x14ac:dyDescent="0.3">
      <c r="B660" s="74"/>
      <c r="C660" s="74"/>
      <c r="D660" s="74"/>
      <c r="F660" s="74"/>
    </row>
    <row r="661" spans="2:6" x14ac:dyDescent="0.3">
      <c r="B661" s="74"/>
      <c r="C661" s="74"/>
      <c r="D661" s="74"/>
      <c r="F661" s="74"/>
    </row>
    <row r="662" spans="2:6" x14ac:dyDescent="0.3">
      <c r="B662" s="74"/>
      <c r="C662" s="74"/>
      <c r="D662" s="74"/>
      <c r="F662" s="74"/>
    </row>
    <row r="663" spans="2:6" x14ac:dyDescent="0.3">
      <c r="B663" s="74"/>
      <c r="C663" s="74"/>
      <c r="D663" s="74"/>
      <c r="F663" s="74"/>
    </row>
    <row r="664" spans="2:6" x14ac:dyDescent="0.3">
      <c r="B664" s="74"/>
      <c r="C664" s="74"/>
      <c r="D664" s="74"/>
      <c r="F664" s="74"/>
    </row>
    <row r="665" spans="2:6" x14ac:dyDescent="0.3">
      <c r="B665" s="74"/>
      <c r="C665" s="74"/>
      <c r="D665" s="74"/>
      <c r="F665" s="74"/>
    </row>
    <row r="666" spans="2:6" x14ac:dyDescent="0.3">
      <c r="B666" s="74"/>
      <c r="C666" s="74"/>
      <c r="D666" s="74"/>
      <c r="F666" s="74"/>
    </row>
    <row r="667" spans="2:6" x14ac:dyDescent="0.3">
      <c r="B667" s="74"/>
      <c r="C667" s="74"/>
      <c r="D667" s="74"/>
      <c r="F667" s="74"/>
    </row>
    <row r="668" spans="2:6" x14ac:dyDescent="0.3">
      <c r="B668" s="74"/>
      <c r="C668" s="74"/>
      <c r="D668" s="74"/>
      <c r="F668" s="74"/>
    </row>
    <row r="669" spans="2:6" x14ac:dyDescent="0.3">
      <c r="B669" s="74"/>
      <c r="C669" s="74"/>
      <c r="D669" s="74"/>
      <c r="F669" s="74"/>
    </row>
    <row r="670" spans="2:6" x14ac:dyDescent="0.3">
      <c r="B670" s="74"/>
      <c r="C670" s="74"/>
      <c r="D670" s="74"/>
      <c r="F670" s="74"/>
    </row>
    <row r="671" spans="2:6" x14ac:dyDescent="0.3">
      <c r="B671" s="74"/>
      <c r="C671" s="74"/>
      <c r="D671" s="74"/>
      <c r="F671" s="74"/>
    </row>
    <row r="672" spans="2:6" x14ac:dyDescent="0.3">
      <c r="B672" s="74"/>
      <c r="C672" s="74"/>
      <c r="D672" s="74"/>
      <c r="F672" s="74"/>
    </row>
    <row r="673" spans="2:6" x14ac:dyDescent="0.3">
      <c r="B673" s="74"/>
      <c r="C673" s="74"/>
      <c r="D673" s="74"/>
      <c r="F673" s="74"/>
    </row>
    <row r="674" spans="2:6" x14ac:dyDescent="0.3">
      <c r="B674" s="74"/>
      <c r="C674" s="74"/>
      <c r="D674" s="74"/>
      <c r="F674" s="74"/>
    </row>
    <row r="675" spans="2:6" x14ac:dyDescent="0.3">
      <c r="B675" s="74"/>
      <c r="C675" s="74"/>
      <c r="D675" s="74"/>
      <c r="F675" s="74"/>
    </row>
    <row r="676" spans="2:6" x14ac:dyDescent="0.3">
      <c r="B676" s="74"/>
      <c r="C676" s="74"/>
      <c r="D676" s="74"/>
      <c r="F676" s="74"/>
    </row>
    <row r="677" spans="2:6" x14ac:dyDescent="0.3">
      <c r="B677" s="74"/>
      <c r="C677" s="74"/>
      <c r="D677" s="74"/>
      <c r="F677" s="74"/>
    </row>
    <row r="678" spans="2:6" x14ac:dyDescent="0.3">
      <c r="B678" s="74"/>
      <c r="C678" s="74"/>
      <c r="D678" s="74"/>
      <c r="F678" s="74"/>
    </row>
    <row r="679" spans="2:6" x14ac:dyDescent="0.3">
      <c r="B679" s="74"/>
      <c r="C679" s="74"/>
      <c r="D679" s="74"/>
      <c r="F679" s="74"/>
    </row>
    <row r="680" spans="2:6" x14ac:dyDescent="0.3">
      <c r="B680" s="74"/>
      <c r="C680" s="74"/>
      <c r="D680" s="74"/>
      <c r="F680" s="74"/>
    </row>
    <row r="681" spans="2:6" x14ac:dyDescent="0.3">
      <c r="B681" s="74"/>
      <c r="C681" s="74"/>
      <c r="D681" s="74"/>
      <c r="F681" s="74"/>
    </row>
    <row r="682" spans="2:6" x14ac:dyDescent="0.3">
      <c r="B682" s="74"/>
      <c r="C682" s="74"/>
      <c r="D682" s="74"/>
      <c r="F682" s="74"/>
    </row>
    <row r="683" spans="2:6" x14ac:dyDescent="0.3">
      <c r="B683" s="74"/>
      <c r="C683" s="74"/>
      <c r="D683" s="74"/>
      <c r="F683" s="74"/>
    </row>
    <row r="684" spans="2:6" x14ac:dyDescent="0.3">
      <c r="B684" s="74"/>
      <c r="C684" s="74"/>
      <c r="D684" s="74"/>
      <c r="F684" s="74"/>
    </row>
    <row r="685" spans="2:6" x14ac:dyDescent="0.3">
      <c r="B685" s="74"/>
      <c r="C685" s="74"/>
      <c r="D685" s="74"/>
      <c r="F685" s="74"/>
    </row>
    <row r="686" spans="2:6" x14ac:dyDescent="0.3">
      <c r="B686" s="74"/>
      <c r="C686" s="74"/>
      <c r="D686" s="74"/>
      <c r="F686" s="74"/>
    </row>
    <row r="687" spans="2:6" x14ac:dyDescent="0.3">
      <c r="B687" s="74"/>
      <c r="C687" s="74"/>
      <c r="D687" s="74"/>
      <c r="F687" s="74"/>
    </row>
    <row r="688" spans="2:6" x14ac:dyDescent="0.3">
      <c r="B688" s="74"/>
      <c r="C688" s="74"/>
      <c r="D688" s="74"/>
      <c r="F688" s="74"/>
    </row>
    <row r="689" spans="2:6" x14ac:dyDescent="0.3">
      <c r="B689" s="74"/>
      <c r="C689" s="74"/>
      <c r="D689" s="74"/>
      <c r="F689" s="74"/>
    </row>
    <row r="690" spans="2:6" x14ac:dyDescent="0.3">
      <c r="B690" s="74"/>
      <c r="C690" s="74"/>
      <c r="D690" s="74"/>
      <c r="F690" s="74"/>
    </row>
    <row r="691" spans="2:6" x14ac:dyDescent="0.3">
      <c r="B691" s="74"/>
      <c r="C691" s="74"/>
      <c r="D691" s="74"/>
      <c r="F691" s="74"/>
    </row>
    <row r="692" spans="2:6" x14ac:dyDescent="0.3">
      <c r="B692" s="74"/>
      <c r="C692" s="74"/>
      <c r="D692" s="74"/>
      <c r="F692" s="74"/>
    </row>
    <row r="693" spans="2:6" x14ac:dyDescent="0.3">
      <c r="B693" s="74"/>
      <c r="C693" s="74"/>
      <c r="D693" s="74"/>
      <c r="F693" s="74"/>
    </row>
    <row r="694" spans="2:6" x14ac:dyDescent="0.3">
      <c r="B694" s="74"/>
      <c r="C694" s="74"/>
      <c r="D694" s="74"/>
      <c r="F694" s="74"/>
    </row>
    <row r="695" spans="2:6" x14ac:dyDescent="0.3">
      <c r="B695" s="74"/>
      <c r="C695" s="74"/>
      <c r="D695" s="74"/>
      <c r="F695" s="74"/>
    </row>
    <row r="696" spans="2:6" x14ac:dyDescent="0.3">
      <c r="B696" s="74"/>
      <c r="C696" s="74"/>
      <c r="D696" s="74"/>
      <c r="F696" s="74"/>
    </row>
    <row r="697" spans="2:6" x14ac:dyDescent="0.3">
      <c r="B697" s="74"/>
      <c r="C697" s="74"/>
      <c r="D697" s="74"/>
      <c r="F697" s="74"/>
    </row>
    <row r="698" spans="2:6" x14ac:dyDescent="0.3">
      <c r="B698" s="74"/>
      <c r="C698" s="74"/>
      <c r="D698" s="74"/>
      <c r="F698" s="74"/>
    </row>
    <row r="699" spans="2:6" x14ac:dyDescent="0.3">
      <c r="B699" s="74"/>
      <c r="C699" s="74"/>
      <c r="D699" s="74"/>
      <c r="F699" s="74"/>
    </row>
    <row r="700" spans="2:6" x14ac:dyDescent="0.3">
      <c r="B700" s="74"/>
      <c r="C700" s="74"/>
      <c r="D700" s="74"/>
      <c r="F700" s="74"/>
    </row>
    <row r="701" spans="2:6" x14ac:dyDescent="0.3">
      <c r="B701" s="74"/>
      <c r="C701" s="74"/>
      <c r="D701" s="74"/>
      <c r="F701" s="74"/>
    </row>
    <row r="702" spans="2:6" x14ac:dyDescent="0.3">
      <c r="B702" s="74"/>
      <c r="C702" s="74"/>
      <c r="D702" s="74"/>
      <c r="F702" s="74"/>
    </row>
    <row r="703" spans="2:6" x14ac:dyDescent="0.3">
      <c r="B703" s="74"/>
      <c r="C703" s="74"/>
      <c r="D703" s="74"/>
      <c r="F703" s="74"/>
    </row>
    <row r="704" spans="2:6" x14ac:dyDescent="0.3">
      <c r="B704" s="74"/>
      <c r="C704" s="74"/>
      <c r="D704" s="74"/>
      <c r="F704" s="74"/>
    </row>
    <row r="705" spans="2:6" x14ac:dyDescent="0.3">
      <c r="B705" s="74"/>
      <c r="C705" s="74"/>
      <c r="D705" s="74"/>
      <c r="F705" s="74"/>
    </row>
    <row r="706" spans="2:6" x14ac:dyDescent="0.3">
      <c r="B706" s="74"/>
      <c r="C706" s="74"/>
      <c r="D706" s="74"/>
      <c r="F706" s="74"/>
    </row>
    <row r="707" spans="2:6" x14ac:dyDescent="0.3">
      <c r="B707" s="74"/>
      <c r="C707" s="74"/>
      <c r="D707" s="74"/>
      <c r="F707" s="74"/>
    </row>
    <row r="708" spans="2:6" x14ac:dyDescent="0.3">
      <c r="B708" s="74"/>
      <c r="C708" s="74"/>
      <c r="D708" s="74"/>
      <c r="F708" s="74"/>
    </row>
    <row r="709" spans="2:6" x14ac:dyDescent="0.3">
      <c r="B709" s="74"/>
      <c r="C709" s="74"/>
      <c r="D709" s="74"/>
      <c r="F709" s="74"/>
    </row>
    <row r="710" spans="2:6" x14ac:dyDescent="0.3">
      <c r="B710" s="74"/>
      <c r="C710" s="74"/>
      <c r="D710" s="74"/>
      <c r="F710" s="74"/>
    </row>
    <row r="711" spans="2:6" x14ac:dyDescent="0.3">
      <c r="B711" s="74"/>
      <c r="C711" s="74"/>
      <c r="D711" s="74"/>
      <c r="F711" s="74"/>
    </row>
    <row r="712" spans="2:6" x14ac:dyDescent="0.3">
      <c r="B712" s="74"/>
      <c r="C712" s="74"/>
      <c r="D712" s="74"/>
      <c r="F712" s="74"/>
    </row>
    <row r="713" spans="2:6" x14ac:dyDescent="0.3">
      <c r="B713" s="74"/>
      <c r="C713" s="74"/>
      <c r="D713" s="74"/>
      <c r="F713" s="74"/>
    </row>
    <row r="714" spans="2:6" x14ac:dyDescent="0.3">
      <c r="B714" s="74"/>
      <c r="C714" s="74"/>
      <c r="D714" s="74"/>
      <c r="F714" s="74"/>
    </row>
    <row r="715" spans="2:6" x14ac:dyDescent="0.3">
      <c r="B715" s="74"/>
      <c r="C715" s="74"/>
      <c r="D715" s="74"/>
      <c r="F715" s="74"/>
    </row>
    <row r="716" spans="2:6" x14ac:dyDescent="0.3">
      <c r="B716" s="74"/>
      <c r="C716" s="74"/>
      <c r="D716" s="74"/>
      <c r="F716" s="74"/>
    </row>
    <row r="717" spans="2:6" x14ac:dyDescent="0.3">
      <c r="B717" s="74"/>
      <c r="C717" s="74"/>
      <c r="D717" s="74"/>
      <c r="F717" s="74"/>
    </row>
    <row r="718" spans="2:6" x14ac:dyDescent="0.3">
      <c r="B718" s="74"/>
      <c r="C718" s="74"/>
      <c r="D718" s="74"/>
      <c r="F718" s="74"/>
    </row>
    <row r="719" spans="2:6" x14ac:dyDescent="0.3">
      <c r="B719" s="74"/>
      <c r="C719" s="74"/>
      <c r="D719" s="74"/>
      <c r="F719" s="74"/>
    </row>
    <row r="720" spans="2:6" x14ac:dyDescent="0.3">
      <c r="B720" s="74"/>
      <c r="C720" s="74"/>
      <c r="D720" s="74"/>
      <c r="F720" s="74"/>
    </row>
    <row r="721" spans="2:6" x14ac:dyDescent="0.3">
      <c r="B721" s="74"/>
      <c r="C721" s="74"/>
      <c r="D721" s="74"/>
      <c r="F721" s="74"/>
    </row>
    <row r="722" spans="2:6" x14ac:dyDescent="0.3">
      <c r="B722" s="74"/>
      <c r="C722" s="74"/>
      <c r="D722" s="74"/>
      <c r="F722" s="74"/>
    </row>
    <row r="723" spans="2:6" x14ac:dyDescent="0.3">
      <c r="B723" s="74"/>
      <c r="C723" s="74"/>
      <c r="D723" s="74"/>
      <c r="F723" s="74"/>
    </row>
    <row r="724" spans="2:6" x14ac:dyDescent="0.3">
      <c r="B724" s="74"/>
      <c r="C724" s="74"/>
      <c r="D724" s="74"/>
      <c r="F724" s="74"/>
    </row>
    <row r="725" spans="2:6" x14ac:dyDescent="0.3">
      <c r="B725" s="74"/>
      <c r="C725" s="74"/>
      <c r="D725" s="74"/>
      <c r="F725" s="74"/>
    </row>
    <row r="726" spans="2:6" x14ac:dyDescent="0.3">
      <c r="B726" s="74"/>
      <c r="C726" s="74"/>
      <c r="D726" s="74"/>
      <c r="F726" s="74"/>
    </row>
    <row r="727" spans="2:6" x14ac:dyDescent="0.3">
      <c r="B727" s="74"/>
      <c r="C727" s="74"/>
      <c r="D727" s="74"/>
      <c r="F727" s="74"/>
    </row>
    <row r="728" spans="2:6" x14ac:dyDescent="0.3">
      <c r="B728" s="74"/>
      <c r="C728" s="74"/>
      <c r="D728" s="74"/>
      <c r="F728" s="74"/>
    </row>
    <row r="729" spans="2:6" x14ac:dyDescent="0.3">
      <c r="B729" s="74"/>
      <c r="C729" s="74"/>
      <c r="D729" s="74"/>
      <c r="F729" s="74"/>
    </row>
    <row r="730" spans="2:6" x14ac:dyDescent="0.3">
      <c r="B730" s="74"/>
      <c r="C730" s="74"/>
      <c r="D730" s="74"/>
      <c r="F730" s="74"/>
    </row>
    <row r="731" spans="2:6" x14ac:dyDescent="0.3">
      <c r="B731" s="74"/>
      <c r="C731" s="74"/>
      <c r="D731" s="74"/>
      <c r="F731" s="74"/>
    </row>
    <row r="732" spans="2:6" x14ac:dyDescent="0.3">
      <c r="B732" s="74"/>
      <c r="C732" s="74"/>
      <c r="D732" s="74"/>
      <c r="F732" s="74"/>
    </row>
    <row r="733" spans="2:6" x14ac:dyDescent="0.3">
      <c r="B733" s="74"/>
      <c r="C733" s="74"/>
      <c r="D733" s="74"/>
      <c r="F733" s="74"/>
    </row>
    <row r="734" spans="2:6" x14ac:dyDescent="0.3">
      <c r="B734" s="74"/>
      <c r="C734" s="74"/>
      <c r="D734" s="74"/>
      <c r="F734" s="74"/>
    </row>
    <row r="735" spans="2:6" x14ac:dyDescent="0.3">
      <c r="B735" s="74"/>
      <c r="C735" s="74"/>
      <c r="D735" s="74"/>
      <c r="F735" s="74"/>
    </row>
    <row r="736" spans="2:6" x14ac:dyDescent="0.3">
      <c r="B736" s="74"/>
      <c r="C736" s="74"/>
      <c r="D736" s="74"/>
      <c r="F736" s="74"/>
    </row>
    <row r="737" spans="2:6" x14ac:dyDescent="0.3">
      <c r="B737" s="74"/>
      <c r="C737" s="74"/>
      <c r="D737" s="74"/>
      <c r="F737" s="74"/>
    </row>
    <row r="738" spans="2:6" x14ac:dyDescent="0.3">
      <c r="B738" s="74"/>
      <c r="C738" s="74"/>
      <c r="D738" s="74"/>
      <c r="F738" s="74"/>
    </row>
    <row r="739" spans="2:6" x14ac:dyDescent="0.3">
      <c r="B739" s="74"/>
      <c r="C739" s="74"/>
      <c r="D739" s="74"/>
      <c r="F739" s="74"/>
    </row>
    <row r="740" spans="2:6" x14ac:dyDescent="0.3">
      <c r="B740" s="74"/>
      <c r="C740" s="74"/>
      <c r="D740" s="74"/>
      <c r="F740" s="74"/>
    </row>
    <row r="741" spans="2:6" x14ac:dyDescent="0.3">
      <c r="B741" s="74"/>
      <c r="C741" s="74"/>
      <c r="D741" s="74"/>
      <c r="F741" s="74"/>
    </row>
    <row r="742" spans="2:6" x14ac:dyDescent="0.3">
      <c r="B742" s="74"/>
      <c r="C742" s="74"/>
      <c r="D742" s="74"/>
      <c r="F742" s="74"/>
    </row>
    <row r="743" spans="2:6" x14ac:dyDescent="0.3">
      <c r="B743" s="74"/>
      <c r="C743" s="74"/>
      <c r="D743" s="74"/>
      <c r="F743" s="74"/>
    </row>
    <row r="744" spans="2:6" x14ac:dyDescent="0.3">
      <c r="B744" s="74"/>
      <c r="C744" s="74"/>
      <c r="D744" s="74"/>
      <c r="F744" s="74"/>
    </row>
    <row r="745" spans="2:6" x14ac:dyDescent="0.3">
      <c r="B745" s="74"/>
      <c r="C745" s="74"/>
      <c r="D745" s="74"/>
      <c r="F745" s="74"/>
    </row>
    <row r="746" spans="2:6" x14ac:dyDescent="0.3">
      <c r="B746" s="74"/>
      <c r="C746" s="74"/>
      <c r="D746" s="74"/>
      <c r="F746" s="74"/>
    </row>
    <row r="747" spans="2:6" x14ac:dyDescent="0.3">
      <c r="B747" s="74"/>
      <c r="C747" s="74"/>
      <c r="D747" s="74"/>
      <c r="F747" s="74"/>
    </row>
    <row r="748" spans="2:6" x14ac:dyDescent="0.3">
      <c r="B748" s="74"/>
      <c r="C748" s="74"/>
      <c r="D748" s="74"/>
      <c r="F748" s="74"/>
    </row>
    <row r="749" spans="2:6" x14ac:dyDescent="0.3">
      <c r="B749" s="74"/>
      <c r="C749" s="74"/>
      <c r="D749" s="74"/>
      <c r="F749" s="74"/>
    </row>
    <row r="750" spans="2:6" x14ac:dyDescent="0.3">
      <c r="B750" s="74"/>
      <c r="C750" s="74"/>
      <c r="D750" s="74"/>
      <c r="F750" s="74"/>
    </row>
    <row r="751" spans="2:6" x14ac:dyDescent="0.3">
      <c r="B751" s="74"/>
      <c r="C751" s="74"/>
      <c r="D751" s="74"/>
      <c r="F751" s="74"/>
    </row>
    <row r="752" spans="2:6" x14ac:dyDescent="0.3">
      <c r="B752" s="74"/>
      <c r="C752" s="74"/>
      <c r="D752" s="74"/>
      <c r="F752" s="74"/>
    </row>
    <row r="753" spans="2:6" x14ac:dyDescent="0.3">
      <c r="B753" s="74"/>
      <c r="C753" s="74"/>
      <c r="D753" s="74"/>
      <c r="F753" s="74"/>
    </row>
    <row r="754" spans="2:6" x14ac:dyDescent="0.3">
      <c r="B754" s="74"/>
      <c r="C754" s="74"/>
      <c r="D754" s="74"/>
      <c r="F754" s="74"/>
    </row>
    <row r="755" spans="2:6" x14ac:dyDescent="0.3">
      <c r="B755" s="74"/>
      <c r="C755" s="74"/>
      <c r="D755" s="74"/>
      <c r="F755" s="74"/>
    </row>
    <row r="756" spans="2:6" x14ac:dyDescent="0.3">
      <c r="B756" s="74"/>
      <c r="C756" s="74"/>
      <c r="D756" s="74"/>
      <c r="F756" s="74"/>
    </row>
    <row r="757" spans="2:6" x14ac:dyDescent="0.3">
      <c r="B757" s="74"/>
      <c r="C757" s="74"/>
      <c r="D757" s="74"/>
      <c r="F757" s="74"/>
    </row>
    <row r="758" spans="2:6" x14ac:dyDescent="0.3">
      <c r="B758" s="74"/>
      <c r="C758" s="74"/>
      <c r="D758" s="74"/>
      <c r="F758" s="74"/>
    </row>
    <row r="759" spans="2:6" x14ac:dyDescent="0.3">
      <c r="B759" s="74"/>
      <c r="C759" s="74"/>
      <c r="D759" s="74"/>
      <c r="F759" s="74"/>
    </row>
    <row r="760" spans="2:6" x14ac:dyDescent="0.3">
      <c r="B760" s="74"/>
      <c r="C760" s="74"/>
      <c r="D760" s="74"/>
      <c r="F760" s="74"/>
    </row>
    <row r="761" spans="2:6" x14ac:dyDescent="0.3">
      <c r="B761" s="74"/>
      <c r="C761" s="74"/>
      <c r="D761" s="74"/>
      <c r="F761" s="74"/>
    </row>
    <row r="762" spans="2:6" x14ac:dyDescent="0.3">
      <c r="B762" s="74"/>
      <c r="C762" s="74"/>
      <c r="D762" s="74"/>
      <c r="F762" s="74"/>
    </row>
    <row r="763" spans="2:6" x14ac:dyDescent="0.3">
      <c r="B763" s="74"/>
      <c r="C763" s="74"/>
      <c r="D763" s="74"/>
      <c r="F763" s="74"/>
    </row>
    <row r="764" spans="2:6" x14ac:dyDescent="0.3">
      <c r="B764" s="74"/>
      <c r="C764" s="74"/>
      <c r="D764" s="74"/>
      <c r="F764" s="74"/>
    </row>
    <row r="765" spans="2:6" x14ac:dyDescent="0.3">
      <c r="B765" s="74"/>
      <c r="C765" s="74"/>
      <c r="D765" s="74"/>
      <c r="F765" s="74"/>
    </row>
    <row r="766" spans="2:6" x14ac:dyDescent="0.3">
      <c r="B766" s="74"/>
      <c r="C766" s="74"/>
      <c r="D766" s="74"/>
      <c r="F766" s="74"/>
    </row>
    <row r="767" spans="2:6" x14ac:dyDescent="0.3">
      <c r="B767" s="74"/>
      <c r="C767" s="74"/>
      <c r="D767" s="74"/>
      <c r="F767" s="74"/>
    </row>
    <row r="768" spans="2:6" x14ac:dyDescent="0.3">
      <c r="B768" s="74"/>
      <c r="C768" s="74"/>
      <c r="D768" s="74"/>
      <c r="F768" s="74"/>
    </row>
    <row r="769" spans="2:6" x14ac:dyDescent="0.3">
      <c r="B769" s="74"/>
      <c r="C769" s="74"/>
      <c r="D769" s="74"/>
      <c r="F769" s="74"/>
    </row>
    <row r="770" spans="2:6" x14ac:dyDescent="0.3">
      <c r="B770" s="74"/>
      <c r="C770" s="74"/>
      <c r="D770" s="74"/>
      <c r="F770" s="74"/>
    </row>
    <row r="771" spans="2:6" x14ac:dyDescent="0.3">
      <c r="B771" s="74"/>
      <c r="C771" s="74"/>
      <c r="D771" s="74"/>
      <c r="F771" s="74"/>
    </row>
    <row r="772" spans="2:6" x14ac:dyDescent="0.3">
      <c r="B772" s="74"/>
      <c r="C772" s="74"/>
      <c r="D772" s="74"/>
      <c r="F772" s="74"/>
    </row>
    <row r="773" spans="2:6" x14ac:dyDescent="0.3">
      <c r="B773" s="74"/>
      <c r="C773" s="74"/>
      <c r="D773" s="74"/>
      <c r="F773" s="74"/>
    </row>
    <row r="774" spans="2:6" x14ac:dyDescent="0.3">
      <c r="B774" s="74"/>
      <c r="C774" s="74"/>
      <c r="D774" s="74"/>
      <c r="F774" s="74"/>
    </row>
    <row r="775" spans="2:6" x14ac:dyDescent="0.3">
      <c r="B775" s="74"/>
      <c r="C775" s="74"/>
      <c r="D775" s="74"/>
      <c r="F775" s="74"/>
    </row>
    <row r="776" spans="2:6" x14ac:dyDescent="0.3">
      <c r="B776" s="74"/>
      <c r="C776" s="74"/>
      <c r="D776" s="74"/>
      <c r="F776" s="74"/>
    </row>
    <row r="777" spans="2:6" x14ac:dyDescent="0.3">
      <c r="B777" s="74"/>
      <c r="C777" s="74"/>
      <c r="D777" s="74"/>
      <c r="F777" s="74"/>
    </row>
    <row r="778" spans="2:6" x14ac:dyDescent="0.3">
      <c r="B778" s="74"/>
      <c r="C778" s="74"/>
      <c r="D778" s="74"/>
      <c r="F778" s="74"/>
    </row>
    <row r="779" spans="2:6" x14ac:dyDescent="0.3">
      <c r="B779" s="74"/>
      <c r="C779" s="74"/>
      <c r="D779" s="74"/>
      <c r="F779" s="74"/>
    </row>
    <row r="780" spans="2:6" x14ac:dyDescent="0.3">
      <c r="B780" s="74"/>
      <c r="C780" s="74"/>
      <c r="D780" s="74"/>
      <c r="F780" s="74"/>
    </row>
    <row r="781" spans="2:6" x14ac:dyDescent="0.3">
      <c r="B781" s="74"/>
      <c r="C781" s="74"/>
      <c r="D781" s="74"/>
      <c r="F781" s="74"/>
    </row>
    <row r="782" spans="2:6" x14ac:dyDescent="0.3">
      <c r="B782" s="74"/>
      <c r="C782" s="74"/>
      <c r="D782" s="74"/>
      <c r="F782" s="74"/>
    </row>
    <row r="783" spans="2:6" x14ac:dyDescent="0.3">
      <c r="B783" s="74"/>
      <c r="C783" s="74"/>
      <c r="D783" s="74"/>
      <c r="F783" s="74"/>
    </row>
    <row r="784" spans="2:6" x14ac:dyDescent="0.3">
      <c r="B784" s="74"/>
      <c r="C784" s="74"/>
      <c r="D784" s="74"/>
      <c r="F784" s="74"/>
    </row>
    <row r="785" spans="2:6" x14ac:dyDescent="0.3">
      <c r="B785" s="74"/>
      <c r="C785" s="74"/>
      <c r="D785" s="74"/>
      <c r="F785" s="74"/>
    </row>
    <row r="786" spans="2:6" x14ac:dyDescent="0.3">
      <c r="B786" s="74"/>
      <c r="C786" s="74"/>
      <c r="D786" s="74"/>
      <c r="F786" s="74"/>
    </row>
    <row r="787" spans="2:6" x14ac:dyDescent="0.3">
      <c r="B787" s="74"/>
      <c r="C787" s="74"/>
      <c r="D787" s="74"/>
      <c r="F787" s="74"/>
    </row>
    <row r="788" spans="2:6" x14ac:dyDescent="0.3">
      <c r="B788" s="74"/>
      <c r="C788" s="74"/>
      <c r="D788" s="74"/>
      <c r="F788" s="74"/>
    </row>
    <row r="789" spans="2:6" x14ac:dyDescent="0.3">
      <c r="B789" s="74"/>
      <c r="C789" s="74"/>
      <c r="D789" s="74"/>
      <c r="F789" s="74"/>
    </row>
    <row r="790" spans="2:6" x14ac:dyDescent="0.3">
      <c r="B790" s="74"/>
      <c r="C790" s="74"/>
      <c r="D790" s="74"/>
      <c r="F790" s="74"/>
    </row>
    <row r="791" spans="2:6" x14ac:dyDescent="0.3">
      <c r="B791" s="74"/>
      <c r="C791" s="74"/>
      <c r="D791" s="74"/>
      <c r="F791" s="74"/>
    </row>
    <row r="792" spans="2:6" x14ac:dyDescent="0.3">
      <c r="B792" s="74"/>
      <c r="C792" s="74"/>
      <c r="D792" s="74"/>
      <c r="F792" s="74"/>
    </row>
    <row r="793" spans="2:6" x14ac:dyDescent="0.3">
      <c r="B793" s="74"/>
      <c r="C793" s="74"/>
      <c r="D793" s="74"/>
      <c r="F793" s="74"/>
    </row>
    <row r="794" spans="2:6" x14ac:dyDescent="0.3">
      <c r="B794" s="74"/>
      <c r="C794" s="74"/>
      <c r="D794" s="74"/>
      <c r="F794" s="74"/>
    </row>
    <row r="795" spans="2:6" x14ac:dyDescent="0.3">
      <c r="B795" s="74"/>
      <c r="C795" s="74"/>
      <c r="D795" s="74"/>
      <c r="F795" s="74"/>
    </row>
    <row r="796" spans="2:6" x14ac:dyDescent="0.3">
      <c r="B796" s="74"/>
      <c r="C796" s="74"/>
      <c r="D796" s="74"/>
      <c r="F796" s="74"/>
    </row>
    <row r="797" spans="2:6" x14ac:dyDescent="0.3">
      <c r="B797" s="74"/>
      <c r="C797" s="74"/>
      <c r="D797" s="74"/>
      <c r="F797" s="74"/>
    </row>
    <row r="798" spans="2:6" x14ac:dyDescent="0.3">
      <c r="B798" s="74"/>
      <c r="C798" s="74"/>
      <c r="D798" s="74"/>
      <c r="F798" s="74"/>
    </row>
    <row r="799" spans="2:6" x14ac:dyDescent="0.3">
      <c r="B799" s="74"/>
      <c r="C799" s="74"/>
      <c r="D799" s="74"/>
      <c r="F799" s="74"/>
    </row>
    <row r="800" spans="2:6" x14ac:dyDescent="0.3">
      <c r="B800" s="74"/>
      <c r="C800" s="74"/>
      <c r="D800" s="74"/>
      <c r="F800" s="74"/>
    </row>
    <row r="801" spans="2:6" x14ac:dyDescent="0.3">
      <c r="B801" s="74"/>
      <c r="C801" s="74"/>
      <c r="D801" s="74"/>
      <c r="F801" s="74"/>
    </row>
    <row r="802" spans="2:6" x14ac:dyDescent="0.3">
      <c r="B802" s="74"/>
      <c r="C802" s="74"/>
      <c r="D802" s="74"/>
      <c r="F802" s="74"/>
    </row>
    <row r="803" spans="2:6" x14ac:dyDescent="0.3">
      <c r="B803" s="74"/>
      <c r="C803" s="74"/>
      <c r="D803" s="74"/>
      <c r="F803" s="74"/>
    </row>
    <row r="804" spans="2:6" x14ac:dyDescent="0.3">
      <c r="B804" s="74"/>
      <c r="C804" s="74"/>
      <c r="D804" s="74"/>
      <c r="F804" s="74"/>
    </row>
    <row r="805" spans="2:6" x14ac:dyDescent="0.3">
      <c r="B805" s="74"/>
      <c r="C805" s="74"/>
      <c r="D805" s="74"/>
      <c r="F805" s="74"/>
    </row>
    <row r="806" spans="2:6" x14ac:dyDescent="0.3">
      <c r="B806" s="74"/>
      <c r="C806" s="74"/>
      <c r="D806" s="74"/>
      <c r="F806" s="74"/>
    </row>
    <row r="807" spans="2:6" x14ac:dyDescent="0.3">
      <c r="B807" s="74"/>
      <c r="C807" s="74"/>
      <c r="D807" s="74"/>
      <c r="F807" s="74"/>
    </row>
    <row r="808" spans="2:6" x14ac:dyDescent="0.3">
      <c r="B808" s="74"/>
      <c r="C808" s="74"/>
      <c r="D808" s="74"/>
      <c r="F808" s="74"/>
    </row>
    <row r="809" spans="2:6" x14ac:dyDescent="0.3">
      <c r="B809" s="74"/>
      <c r="C809" s="74"/>
      <c r="D809" s="74"/>
      <c r="F809" s="74"/>
    </row>
    <row r="810" spans="2:6" x14ac:dyDescent="0.3">
      <c r="B810" s="74"/>
      <c r="C810" s="74"/>
      <c r="D810" s="74"/>
      <c r="F810" s="74"/>
    </row>
    <row r="811" spans="2:6" x14ac:dyDescent="0.3">
      <c r="B811" s="74"/>
      <c r="C811" s="74"/>
      <c r="D811" s="74"/>
      <c r="F811" s="74"/>
    </row>
    <row r="812" spans="2:6" x14ac:dyDescent="0.3">
      <c r="B812" s="74"/>
      <c r="C812" s="74"/>
      <c r="D812" s="74"/>
      <c r="F812" s="74"/>
    </row>
    <row r="813" spans="2:6" x14ac:dyDescent="0.3">
      <c r="B813" s="74"/>
      <c r="C813" s="74"/>
      <c r="D813" s="74"/>
      <c r="F813" s="74"/>
    </row>
    <row r="814" spans="2:6" x14ac:dyDescent="0.3">
      <c r="B814" s="74"/>
      <c r="C814" s="74"/>
      <c r="D814" s="74"/>
      <c r="F814" s="74"/>
    </row>
    <row r="815" spans="2:6" x14ac:dyDescent="0.3">
      <c r="B815" s="74"/>
      <c r="C815" s="74"/>
      <c r="D815" s="74"/>
      <c r="F815" s="74"/>
    </row>
    <row r="816" spans="2:6" x14ac:dyDescent="0.3">
      <c r="B816" s="74"/>
      <c r="C816" s="74"/>
      <c r="D816" s="74"/>
      <c r="F816" s="74"/>
    </row>
    <row r="817" spans="2:6" x14ac:dyDescent="0.3">
      <c r="B817" s="74"/>
      <c r="C817" s="74"/>
      <c r="D817" s="74"/>
      <c r="F817" s="74"/>
    </row>
    <row r="818" spans="2:6" x14ac:dyDescent="0.3">
      <c r="B818" s="74"/>
      <c r="C818" s="74"/>
      <c r="D818" s="74"/>
      <c r="F818" s="74"/>
    </row>
    <row r="819" spans="2:6" x14ac:dyDescent="0.3">
      <c r="B819" s="74"/>
      <c r="C819" s="74"/>
      <c r="D819" s="74"/>
      <c r="F819" s="74"/>
    </row>
    <row r="820" spans="2:6" x14ac:dyDescent="0.3">
      <c r="B820" s="74"/>
      <c r="C820" s="74"/>
      <c r="D820" s="74"/>
      <c r="F820" s="74"/>
    </row>
    <row r="821" spans="2:6" x14ac:dyDescent="0.3">
      <c r="B821" s="74"/>
      <c r="C821" s="74"/>
      <c r="D821" s="74"/>
      <c r="F821" s="74"/>
    </row>
    <row r="822" spans="2:6" x14ac:dyDescent="0.3">
      <c r="B822" s="74"/>
      <c r="C822" s="74"/>
      <c r="D822" s="74"/>
      <c r="F822" s="74"/>
    </row>
    <row r="823" spans="2:6" x14ac:dyDescent="0.3">
      <c r="B823" s="74"/>
      <c r="C823" s="74"/>
      <c r="D823" s="74"/>
      <c r="F823" s="74"/>
    </row>
    <row r="824" spans="2:6" x14ac:dyDescent="0.3">
      <c r="B824" s="74"/>
      <c r="C824" s="74"/>
      <c r="D824" s="74"/>
      <c r="F824" s="74"/>
    </row>
    <row r="825" spans="2:6" x14ac:dyDescent="0.3">
      <c r="B825" s="74"/>
      <c r="C825" s="74"/>
      <c r="D825" s="74"/>
      <c r="F825" s="74"/>
    </row>
    <row r="826" spans="2:6" x14ac:dyDescent="0.3">
      <c r="B826" s="74"/>
      <c r="C826" s="74"/>
      <c r="D826" s="74"/>
      <c r="F826" s="74"/>
    </row>
    <row r="827" spans="2:6" x14ac:dyDescent="0.3">
      <c r="B827" s="74"/>
      <c r="C827" s="74"/>
      <c r="D827" s="74"/>
      <c r="F827" s="74"/>
    </row>
    <row r="828" spans="2:6" x14ac:dyDescent="0.3">
      <c r="B828" s="74"/>
      <c r="C828" s="74"/>
      <c r="D828" s="74"/>
      <c r="F828" s="74"/>
    </row>
    <row r="829" spans="2:6" x14ac:dyDescent="0.3">
      <c r="B829" s="74"/>
      <c r="C829" s="74"/>
      <c r="D829" s="74"/>
      <c r="F829" s="74"/>
    </row>
    <row r="830" spans="2:6" x14ac:dyDescent="0.3">
      <c r="B830" s="74"/>
      <c r="C830" s="74"/>
      <c r="D830" s="74"/>
      <c r="F830" s="74"/>
    </row>
    <row r="831" spans="2:6" x14ac:dyDescent="0.3">
      <c r="B831" s="74"/>
      <c r="C831" s="74"/>
      <c r="D831" s="74"/>
      <c r="F831" s="74"/>
    </row>
    <row r="832" spans="2:6" x14ac:dyDescent="0.3">
      <c r="B832" s="74"/>
      <c r="C832" s="74"/>
      <c r="D832" s="74"/>
      <c r="F832" s="74"/>
    </row>
    <row r="833" spans="2:6" x14ac:dyDescent="0.3">
      <c r="B833" s="74"/>
      <c r="C833" s="74"/>
      <c r="D833" s="74"/>
      <c r="F833" s="74"/>
    </row>
    <row r="834" spans="2:6" x14ac:dyDescent="0.3">
      <c r="B834" s="74"/>
      <c r="C834" s="74"/>
      <c r="D834" s="74"/>
      <c r="F834" s="74"/>
    </row>
    <row r="835" spans="2:6" x14ac:dyDescent="0.3">
      <c r="B835" s="74"/>
      <c r="C835" s="74"/>
      <c r="D835" s="74"/>
      <c r="F835" s="74"/>
    </row>
    <row r="836" spans="2:6" x14ac:dyDescent="0.3">
      <c r="B836" s="74"/>
      <c r="C836" s="74"/>
      <c r="D836" s="74"/>
      <c r="F836" s="74"/>
    </row>
    <row r="837" spans="2:6" x14ac:dyDescent="0.3">
      <c r="B837" s="74"/>
      <c r="C837" s="74"/>
      <c r="D837" s="74"/>
      <c r="F837" s="74"/>
    </row>
    <row r="838" spans="2:6" x14ac:dyDescent="0.3">
      <c r="B838" s="74"/>
      <c r="C838" s="74"/>
      <c r="D838" s="74"/>
      <c r="F838" s="74"/>
    </row>
    <row r="839" spans="2:6" x14ac:dyDescent="0.3">
      <c r="B839" s="74"/>
      <c r="C839" s="74"/>
      <c r="D839" s="74"/>
      <c r="F839" s="74"/>
    </row>
    <row r="840" spans="2:6" x14ac:dyDescent="0.3">
      <c r="B840" s="74"/>
      <c r="C840" s="74"/>
      <c r="D840" s="74"/>
      <c r="F840" s="74"/>
    </row>
    <row r="841" spans="2:6" x14ac:dyDescent="0.3">
      <c r="B841" s="74"/>
      <c r="C841" s="74"/>
      <c r="D841" s="74"/>
      <c r="F841" s="74"/>
    </row>
    <row r="842" spans="2:6" x14ac:dyDescent="0.3">
      <c r="B842" s="74"/>
      <c r="C842" s="74"/>
      <c r="D842" s="74"/>
      <c r="F842" s="74"/>
    </row>
    <row r="843" spans="2:6" x14ac:dyDescent="0.3">
      <c r="B843" s="74"/>
      <c r="C843" s="74"/>
      <c r="D843" s="74"/>
      <c r="F843" s="74"/>
    </row>
    <row r="844" spans="2:6" x14ac:dyDescent="0.3">
      <c r="B844" s="74"/>
      <c r="C844" s="74"/>
      <c r="D844" s="74"/>
      <c r="F844" s="74"/>
    </row>
    <row r="845" spans="2:6" x14ac:dyDescent="0.3">
      <c r="B845" s="74"/>
      <c r="C845" s="74"/>
      <c r="D845" s="74"/>
      <c r="F845" s="74"/>
    </row>
    <row r="846" spans="2:6" x14ac:dyDescent="0.3">
      <c r="B846" s="74"/>
      <c r="C846" s="74"/>
      <c r="D846" s="74"/>
      <c r="F846" s="74"/>
    </row>
    <row r="847" spans="2:6" x14ac:dyDescent="0.3">
      <c r="B847" s="74"/>
      <c r="C847" s="74"/>
      <c r="D847" s="74"/>
      <c r="F847" s="74"/>
    </row>
    <row r="848" spans="2:6" x14ac:dyDescent="0.3">
      <c r="B848" s="74"/>
      <c r="C848" s="74"/>
      <c r="D848" s="74"/>
      <c r="F848" s="74"/>
    </row>
    <row r="849" spans="2:6" x14ac:dyDescent="0.3">
      <c r="B849" s="74"/>
      <c r="C849" s="74"/>
      <c r="D849" s="74"/>
      <c r="F849" s="74"/>
    </row>
    <row r="850" spans="2:6" x14ac:dyDescent="0.3">
      <c r="B850" s="74"/>
      <c r="C850" s="74"/>
      <c r="D850" s="74"/>
      <c r="F850" s="74"/>
    </row>
    <row r="851" spans="2:6" x14ac:dyDescent="0.3">
      <c r="B851" s="74"/>
      <c r="C851" s="74"/>
      <c r="D851" s="74"/>
      <c r="F851" s="74"/>
    </row>
    <row r="852" spans="2:6" x14ac:dyDescent="0.3">
      <c r="B852" s="74"/>
      <c r="C852" s="74"/>
      <c r="D852" s="74"/>
      <c r="F852" s="74"/>
    </row>
    <row r="853" spans="2:6" x14ac:dyDescent="0.3">
      <c r="B853" s="74"/>
      <c r="C853" s="74"/>
      <c r="D853" s="74"/>
      <c r="F853" s="74"/>
    </row>
    <row r="854" spans="2:6" x14ac:dyDescent="0.3">
      <c r="B854" s="74"/>
      <c r="C854" s="74"/>
      <c r="D854" s="74"/>
      <c r="F854" s="74"/>
    </row>
    <row r="855" spans="2:6" x14ac:dyDescent="0.3">
      <c r="B855" s="74"/>
      <c r="C855" s="74"/>
      <c r="D855" s="74"/>
      <c r="F855" s="74"/>
    </row>
    <row r="856" spans="2:6" x14ac:dyDescent="0.3">
      <c r="B856" s="74"/>
      <c r="C856" s="74"/>
      <c r="D856" s="74"/>
      <c r="F856" s="74"/>
    </row>
    <row r="857" spans="2:6" x14ac:dyDescent="0.3">
      <c r="B857" s="74"/>
      <c r="C857" s="74"/>
      <c r="D857" s="74"/>
      <c r="F857" s="74"/>
    </row>
    <row r="858" spans="2:6" x14ac:dyDescent="0.3">
      <c r="B858" s="74"/>
      <c r="C858" s="74"/>
      <c r="D858" s="74"/>
      <c r="F858" s="74"/>
    </row>
    <row r="859" spans="2:6" x14ac:dyDescent="0.3">
      <c r="B859" s="74"/>
      <c r="C859" s="74"/>
      <c r="D859" s="74"/>
      <c r="F859" s="74"/>
    </row>
    <row r="860" spans="2:6" x14ac:dyDescent="0.3">
      <c r="B860" s="74"/>
      <c r="C860" s="74"/>
      <c r="D860" s="74"/>
      <c r="F860" s="74"/>
    </row>
    <row r="861" spans="2:6" x14ac:dyDescent="0.3">
      <c r="B861" s="74"/>
      <c r="C861" s="74"/>
      <c r="D861" s="74"/>
      <c r="F861" s="74"/>
    </row>
    <row r="862" spans="2:6" x14ac:dyDescent="0.3">
      <c r="B862" s="74"/>
      <c r="C862" s="74"/>
      <c r="D862" s="74"/>
      <c r="F862" s="74"/>
    </row>
    <row r="863" spans="2:6" x14ac:dyDescent="0.3">
      <c r="B863" s="74"/>
      <c r="C863" s="74"/>
      <c r="D863" s="74"/>
      <c r="F863" s="74"/>
    </row>
    <row r="864" spans="2:6" x14ac:dyDescent="0.3">
      <c r="B864" s="74"/>
      <c r="C864" s="74"/>
      <c r="D864" s="74"/>
      <c r="F864" s="74"/>
    </row>
    <row r="865" spans="2:6" x14ac:dyDescent="0.3">
      <c r="B865" s="74"/>
      <c r="C865" s="74"/>
      <c r="D865" s="74"/>
      <c r="F865" s="74"/>
    </row>
    <row r="866" spans="2:6" x14ac:dyDescent="0.3">
      <c r="B866" s="74"/>
      <c r="C866" s="74"/>
      <c r="D866" s="74"/>
      <c r="F866" s="74"/>
    </row>
    <row r="867" spans="2:6" x14ac:dyDescent="0.3">
      <c r="B867" s="74"/>
      <c r="C867" s="74"/>
      <c r="D867" s="74"/>
      <c r="F867" s="74"/>
    </row>
    <row r="868" spans="2:6" x14ac:dyDescent="0.3">
      <c r="B868" s="74"/>
      <c r="C868" s="74"/>
      <c r="D868" s="74"/>
      <c r="F868" s="74"/>
    </row>
    <row r="869" spans="2:6" x14ac:dyDescent="0.3">
      <c r="B869" s="74"/>
      <c r="C869" s="74"/>
      <c r="D869" s="74"/>
      <c r="F869" s="74"/>
    </row>
    <row r="870" spans="2:6" x14ac:dyDescent="0.3">
      <c r="B870" s="74"/>
      <c r="C870" s="74"/>
      <c r="D870" s="74"/>
      <c r="F870" s="74"/>
    </row>
    <row r="871" spans="2:6" x14ac:dyDescent="0.3">
      <c r="B871" s="74"/>
      <c r="C871" s="74"/>
      <c r="D871" s="74"/>
      <c r="F871" s="74"/>
    </row>
    <row r="872" spans="2:6" x14ac:dyDescent="0.3">
      <c r="B872" s="74"/>
      <c r="C872" s="74"/>
      <c r="D872" s="74"/>
      <c r="F872" s="74"/>
    </row>
    <row r="873" spans="2:6" x14ac:dyDescent="0.3">
      <c r="B873" s="74"/>
      <c r="C873" s="74"/>
      <c r="D873" s="74"/>
      <c r="F873" s="74"/>
    </row>
    <row r="874" spans="2:6" x14ac:dyDescent="0.3">
      <c r="B874" s="74"/>
      <c r="C874" s="74"/>
      <c r="D874" s="74"/>
      <c r="F874" s="74"/>
    </row>
    <row r="875" spans="2:6" x14ac:dyDescent="0.3">
      <c r="B875" s="74"/>
      <c r="C875" s="74"/>
      <c r="D875" s="74"/>
      <c r="F875" s="74"/>
    </row>
    <row r="876" spans="2:6" x14ac:dyDescent="0.3">
      <c r="B876" s="74"/>
      <c r="C876" s="74"/>
      <c r="D876" s="74"/>
      <c r="F876" s="74"/>
    </row>
    <row r="877" spans="2:6" x14ac:dyDescent="0.3">
      <c r="B877" s="74"/>
      <c r="C877" s="74"/>
      <c r="D877" s="74"/>
      <c r="F877" s="74"/>
    </row>
    <row r="878" spans="2:6" x14ac:dyDescent="0.3">
      <c r="B878" s="74"/>
      <c r="C878" s="74"/>
      <c r="D878" s="74"/>
      <c r="F878" s="74"/>
    </row>
    <row r="879" spans="2:6" x14ac:dyDescent="0.3">
      <c r="B879" s="74"/>
      <c r="C879" s="74"/>
      <c r="D879" s="74"/>
      <c r="F879" s="74"/>
    </row>
    <row r="880" spans="2:6" x14ac:dyDescent="0.3">
      <c r="B880" s="74"/>
      <c r="C880" s="74"/>
      <c r="D880" s="74"/>
      <c r="F880" s="74"/>
    </row>
    <row r="881" spans="2:6" x14ac:dyDescent="0.3">
      <c r="B881" s="74"/>
      <c r="C881" s="74"/>
      <c r="D881" s="74"/>
      <c r="F881" s="74"/>
    </row>
    <row r="882" spans="2:6" x14ac:dyDescent="0.3">
      <c r="B882" s="74"/>
      <c r="C882" s="74"/>
      <c r="D882" s="74"/>
      <c r="F882" s="74"/>
    </row>
    <row r="883" spans="2:6" x14ac:dyDescent="0.3">
      <c r="B883" s="74"/>
      <c r="C883" s="74"/>
      <c r="D883" s="74"/>
      <c r="F883" s="74"/>
    </row>
    <row r="884" spans="2:6" x14ac:dyDescent="0.3">
      <c r="B884" s="74"/>
      <c r="C884" s="74"/>
      <c r="D884" s="74"/>
      <c r="F884" s="74"/>
    </row>
    <row r="885" spans="2:6" x14ac:dyDescent="0.3">
      <c r="B885" s="74"/>
      <c r="C885" s="74"/>
      <c r="D885" s="74"/>
      <c r="F885" s="74"/>
    </row>
    <row r="886" spans="2:6" x14ac:dyDescent="0.3">
      <c r="B886" s="74"/>
      <c r="C886" s="74"/>
      <c r="D886" s="74"/>
      <c r="F886" s="74"/>
    </row>
    <row r="887" spans="2:6" x14ac:dyDescent="0.3">
      <c r="B887" s="74"/>
      <c r="C887" s="74"/>
      <c r="D887" s="74"/>
      <c r="F887" s="74"/>
    </row>
    <row r="888" spans="2:6" x14ac:dyDescent="0.3">
      <c r="B888" s="74"/>
      <c r="C888" s="74"/>
      <c r="D888" s="74"/>
      <c r="F888" s="74"/>
    </row>
    <row r="889" spans="2:6" x14ac:dyDescent="0.3">
      <c r="B889" s="74"/>
      <c r="C889" s="74"/>
      <c r="D889" s="74"/>
      <c r="F889" s="74"/>
    </row>
    <row r="890" spans="2:6" x14ac:dyDescent="0.3">
      <c r="B890" s="74"/>
      <c r="C890" s="74"/>
      <c r="D890" s="74"/>
      <c r="F890" s="74"/>
    </row>
    <row r="891" spans="2:6" x14ac:dyDescent="0.3">
      <c r="B891" s="74"/>
      <c r="C891" s="74"/>
      <c r="D891" s="74"/>
      <c r="F891" s="74"/>
    </row>
    <row r="892" spans="2:6" x14ac:dyDescent="0.3">
      <c r="B892" s="74"/>
      <c r="C892" s="74"/>
      <c r="D892" s="74"/>
      <c r="F892" s="74"/>
    </row>
    <row r="893" spans="2:6" x14ac:dyDescent="0.3">
      <c r="B893" s="74"/>
      <c r="C893" s="74"/>
      <c r="D893" s="74"/>
      <c r="F893" s="74"/>
    </row>
    <row r="894" spans="2:6" x14ac:dyDescent="0.3">
      <c r="B894" s="74"/>
      <c r="C894" s="74"/>
      <c r="D894" s="74"/>
      <c r="F894" s="74"/>
    </row>
    <row r="895" spans="2:6" x14ac:dyDescent="0.3">
      <c r="B895" s="74"/>
      <c r="C895" s="74"/>
      <c r="D895" s="74"/>
      <c r="F895" s="74"/>
    </row>
    <row r="896" spans="2:6" x14ac:dyDescent="0.3">
      <c r="B896" s="74"/>
      <c r="C896" s="74"/>
      <c r="D896" s="74"/>
      <c r="F896" s="74"/>
    </row>
    <row r="897" spans="2:6" x14ac:dyDescent="0.3">
      <c r="B897" s="74"/>
      <c r="C897" s="74"/>
      <c r="D897" s="74"/>
      <c r="F897" s="74"/>
    </row>
    <row r="898" spans="2:6" x14ac:dyDescent="0.3">
      <c r="B898" s="74"/>
      <c r="C898" s="74"/>
      <c r="D898" s="74"/>
      <c r="F898" s="74"/>
    </row>
    <row r="899" spans="2:6" x14ac:dyDescent="0.3">
      <c r="B899" s="74"/>
      <c r="C899" s="74"/>
      <c r="D899" s="74"/>
      <c r="F899" s="74"/>
    </row>
    <row r="900" spans="2:6" x14ac:dyDescent="0.3">
      <c r="B900" s="74"/>
      <c r="C900" s="74"/>
      <c r="D900" s="74"/>
      <c r="F900" s="74"/>
    </row>
    <row r="901" spans="2:6" x14ac:dyDescent="0.3">
      <c r="B901" s="74"/>
      <c r="C901" s="74"/>
      <c r="D901" s="74"/>
      <c r="F901" s="74"/>
    </row>
    <row r="902" spans="2:6" x14ac:dyDescent="0.3">
      <c r="B902" s="74"/>
      <c r="C902" s="74"/>
      <c r="D902" s="74"/>
      <c r="F902" s="74"/>
    </row>
    <row r="903" spans="2:6" x14ac:dyDescent="0.3">
      <c r="B903" s="74"/>
      <c r="C903" s="74"/>
      <c r="D903" s="74"/>
      <c r="F903" s="74"/>
    </row>
    <row r="904" spans="2:6" x14ac:dyDescent="0.3">
      <c r="B904" s="74"/>
      <c r="C904" s="74"/>
      <c r="D904" s="74"/>
      <c r="F904" s="74"/>
    </row>
    <row r="905" spans="2:6" x14ac:dyDescent="0.3">
      <c r="B905" s="74"/>
      <c r="C905" s="74"/>
      <c r="D905" s="74"/>
      <c r="F905" s="74"/>
    </row>
    <row r="906" spans="2:6" x14ac:dyDescent="0.3">
      <c r="B906" s="74"/>
      <c r="C906" s="74"/>
      <c r="D906" s="74"/>
      <c r="F906" s="74"/>
    </row>
    <row r="907" spans="2:6" x14ac:dyDescent="0.3">
      <c r="B907" s="74"/>
      <c r="C907" s="74"/>
      <c r="D907" s="74"/>
      <c r="F907" s="74"/>
    </row>
    <row r="908" spans="2:6" x14ac:dyDescent="0.3">
      <c r="B908" s="74"/>
      <c r="C908" s="74"/>
      <c r="D908" s="74"/>
      <c r="F908" s="74"/>
    </row>
    <row r="909" spans="2:6" x14ac:dyDescent="0.3">
      <c r="B909" s="74"/>
      <c r="C909" s="74"/>
      <c r="D909" s="74"/>
      <c r="F909" s="74"/>
    </row>
    <row r="910" spans="2:6" x14ac:dyDescent="0.3">
      <c r="B910" s="74"/>
      <c r="C910" s="74"/>
      <c r="D910" s="74"/>
      <c r="F910" s="74"/>
    </row>
    <row r="911" spans="2:6" x14ac:dyDescent="0.3">
      <c r="B911" s="74"/>
      <c r="C911" s="74"/>
      <c r="D911" s="74"/>
      <c r="F911" s="74"/>
    </row>
    <row r="912" spans="2:6" x14ac:dyDescent="0.3">
      <c r="B912" s="74"/>
      <c r="C912" s="74"/>
      <c r="D912" s="74"/>
      <c r="F912" s="74"/>
    </row>
    <row r="913" spans="2:6" x14ac:dyDescent="0.3">
      <c r="B913" s="74"/>
      <c r="C913" s="74"/>
      <c r="D913" s="74"/>
      <c r="F913" s="74"/>
    </row>
    <row r="914" spans="2:6" x14ac:dyDescent="0.3">
      <c r="B914" s="74"/>
      <c r="C914" s="74"/>
      <c r="D914" s="74"/>
      <c r="F914" s="74"/>
    </row>
    <row r="915" spans="2:6" x14ac:dyDescent="0.3">
      <c r="B915" s="74"/>
      <c r="C915" s="74"/>
      <c r="D915" s="74"/>
      <c r="F915" s="74"/>
    </row>
    <row r="916" spans="2:6" x14ac:dyDescent="0.3">
      <c r="B916" s="74"/>
      <c r="C916" s="74"/>
      <c r="D916" s="74"/>
      <c r="F916" s="74"/>
    </row>
    <row r="917" spans="2:6" x14ac:dyDescent="0.3">
      <c r="B917" s="74"/>
      <c r="C917" s="74"/>
      <c r="D917" s="74"/>
      <c r="F917" s="74"/>
    </row>
    <row r="918" spans="2:6" x14ac:dyDescent="0.3">
      <c r="B918" s="74"/>
      <c r="C918" s="74"/>
      <c r="D918" s="74"/>
      <c r="F918" s="74"/>
    </row>
    <row r="919" spans="2:6" x14ac:dyDescent="0.3">
      <c r="B919" s="74"/>
      <c r="C919" s="74"/>
      <c r="D919" s="74"/>
      <c r="F919" s="74"/>
    </row>
    <row r="920" spans="2:6" x14ac:dyDescent="0.3">
      <c r="B920" s="74"/>
      <c r="C920" s="74"/>
      <c r="D920" s="74"/>
      <c r="F920" s="74"/>
    </row>
    <row r="921" spans="2:6" x14ac:dyDescent="0.3">
      <c r="B921" s="74"/>
      <c r="C921" s="74"/>
      <c r="D921" s="74"/>
      <c r="F921" s="74"/>
    </row>
    <row r="922" spans="2:6" x14ac:dyDescent="0.3">
      <c r="B922" s="74"/>
      <c r="C922" s="74"/>
      <c r="D922" s="74"/>
      <c r="F922" s="74"/>
    </row>
    <row r="923" spans="2:6" x14ac:dyDescent="0.3">
      <c r="B923" s="74"/>
      <c r="C923" s="74"/>
      <c r="D923" s="74"/>
      <c r="F923" s="74"/>
    </row>
    <row r="924" spans="2:6" x14ac:dyDescent="0.3">
      <c r="B924" s="74"/>
      <c r="C924" s="74"/>
      <c r="D924" s="74"/>
      <c r="F924" s="74"/>
    </row>
    <row r="925" spans="2:6" x14ac:dyDescent="0.3">
      <c r="B925" s="74"/>
      <c r="C925" s="74"/>
      <c r="D925" s="74"/>
      <c r="F925" s="74"/>
    </row>
    <row r="926" spans="2:6" x14ac:dyDescent="0.3">
      <c r="B926" s="74"/>
      <c r="C926" s="74"/>
      <c r="D926" s="74"/>
      <c r="F926" s="74"/>
    </row>
    <row r="927" spans="2:6" x14ac:dyDescent="0.3">
      <c r="B927" s="74"/>
      <c r="C927" s="74"/>
      <c r="D927" s="74"/>
      <c r="F927" s="74"/>
    </row>
    <row r="928" spans="2:6" x14ac:dyDescent="0.3">
      <c r="B928" s="74"/>
      <c r="C928" s="74"/>
      <c r="D928" s="74"/>
      <c r="F928" s="74"/>
    </row>
    <row r="929" spans="2:6" x14ac:dyDescent="0.3">
      <c r="B929" s="74"/>
      <c r="C929" s="74"/>
      <c r="D929" s="74"/>
      <c r="F929" s="74"/>
    </row>
    <row r="930" spans="2:6" x14ac:dyDescent="0.3">
      <c r="B930" s="74"/>
      <c r="C930" s="74"/>
      <c r="D930" s="74"/>
      <c r="F930" s="74"/>
    </row>
    <row r="931" spans="2:6" x14ac:dyDescent="0.3">
      <c r="B931" s="74"/>
      <c r="C931" s="74"/>
      <c r="D931" s="74"/>
      <c r="F931" s="74"/>
    </row>
    <row r="932" spans="2:6" x14ac:dyDescent="0.3">
      <c r="B932" s="74"/>
      <c r="C932" s="74"/>
      <c r="D932" s="74"/>
      <c r="F932" s="74"/>
    </row>
    <row r="933" spans="2:6" x14ac:dyDescent="0.3">
      <c r="B933" s="74"/>
      <c r="C933" s="74"/>
      <c r="D933" s="74"/>
      <c r="F933" s="74"/>
    </row>
    <row r="934" spans="2:6" x14ac:dyDescent="0.3">
      <c r="B934" s="74"/>
      <c r="C934" s="74"/>
      <c r="D934" s="74"/>
      <c r="F934" s="74"/>
    </row>
    <row r="935" spans="2:6" x14ac:dyDescent="0.3">
      <c r="B935" s="74"/>
      <c r="C935" s="74"/>
      <c r="D935" s="74"/>
      <c r="F935" s="74"/>
    </row>
    <row r="936" spans="2:6" x14ac:dyDescent="0.3">
      <c r="B936" s="74"/>
      <c r="C936" s="74"/>
      <c r="D936" s="74"/>
      <c r="F936" s="74"/>
    </row>
    <row r="937" spans="2:6" x14ac:dyDescent="0.3">
      <c r="B937" s="74"/>
      <c r="C937" s="74"/>
      <c r="D937" s="74"/>
      <c r="F937" s="74"/>
    </row>
    <row r="938" spans="2:6" x14ac:dyDescent="0.3">
      <c r="B938" s="74"/>
      <c r="C938" s="74"/>
      <c r="D938" s="74"/>
      <c r="F938" s="74"/>
    </row>
    <row r="939" spans="2:6" x14ac:dyDescent="0.3">
      <c r="B939" s="74"/>
      <c r="C939" s="74"/>
      <c r="D939" s="74"/>
      <c r="F939" s="74"/>
    </row>
    <row r="940" spans="2:6" x14ac:dyDescent="0.3">
      <c r="B940" s="74"/>
      <c r="C940" s="74"/>
      <c r="D940" s="74"/>
      <c r="F940" s="74"/>
    </row>
    <row r="941" spans="2:6" x14ac:dyDescent="0.3">
      <c r="B941" s="74"/>
      <c r="C941" s="74"/>
      <c r="D941" s="74"/>
      <c r="F941" s="74"/>
    </row>
    <row r="942" spans="2:6" x14ac:dyDescent="0.3">
      <c r="B942" s="74"/>
      <c r="C942" s="74"/>
      <c r="D942" s="74"/>
      <c r="F942" s="74"/>
    </row>
    <row r="943" spans="2:6" x14ac:dyDescent="0.3">
      <c r="B943" s="74"/>
      <c r="C943" s="74"/>
      <c r="D943" s="74"/>
      <c r="F943" s="74"/>
    </row>
    <row r="944" spans="2:6" x14ac:dyDescent="0.3">
      <c r="B944" s="74"/>
      <c r="C944" s="74"/>
      <c r="D944" s="74"/>
      <c r="F944" s="74"/>
    </row>
    <row r="945" spans="2:6" x14ac:dyDescent="0.3">
      <c r="B945" s="74"/>
      <c r="C945" s="74"/>
      <c r="D945" s="74"/>
      <c r="F945" s="74"/>
    </row>
    <row r="946" spans="2:6" x14ac:dyDescent="0.3">
      <c r="B946" s="74"/>
      <c r="C946" s="74"/>
      <c r="D946" s="74"/>
      <c r="F946" s="74"/>
    </row>
    <row r="947" spans="2:6" x14ac:dyDescent="0.3">
      <c r="B947" s="74"/>
      <c r="C947" s="74"/>
      <c r="D947" s="74"/>
      <c r="F947" s="74"/>
    </row>
    <row r="948" spans="2:6" x14ac:dyDescent="0.3">
      <c r="B948" s="74"/>
      <c r="C948" s="74"/>
      <c r="D948" s="74"/>
      <c r="F948" s="74"/>
    </row>
    <row r="949" spans="2:6" x14ac:dyDescent="0.3">
      <c r="B949" s="74"/>
      <c r="C949" s="74"/>
      <c r="D949" s="74"/>
      <c r="F949" s="74"/>
    </row>
    <row r="950" spans="2:6" x14ac:dyDescent="0.3">
      <c r="B950" s="74"/>
      <c r="C950" s="74"/>
      <c r="D950" s="74"/>
      <c r="F950" s="74"/>
    </row>
    <row r="951" spans="2:6" x14ac:dyDescent="0.3">
      <c r="B951" s="74"/>
      <c r="C951" s="74"/>
      <c r="D951" s="74"/>
      <c r="F951" s="74"/>
    </row>
    <row r="952" spans="2:6" x14ac:dyDescent="0.3">
      <c r="B952" s="74"/>
      <c r="C952" s="74"/>
      <c r="D952" s="74"/>
      <c r="F952" s="74"/>
    </row>
    <row r="953" spans="2:6" x14ac:dyDescent="0.3">
      <c r="B953" s="74"/>
      <c r="C953" s="74"/>
      <c r="D953" s="74"/>
      <c r="F953" s="74"/>
    </row>
    <row r="954" spans="2:6" x14ac:dyDescent="0.3">
      <c r="B954" s="74"/>
      <c r="C954" s="74"/>
      <c r="D954" s="74"/>
      <c r="F954" s="74"/>
    </row>
    <row r="955" spans="2:6" x14ac:dyDescent="0.3">
      <c r="B955" s="74"/>
      <c r="C955" s="74"/>
      <c r="D955" s="74"/>
      <c r="F955" s="74"/>
    </row>
    <row r="956" spans="2:6" x14ac:dyDescent="0.3">
      <c r="B956" s="74"/>
      <c r="C956" s="74"/>
      <c r="D956" s="74"/>
      <c r="F956" s="74"/>
    </row>
    <row r="957" spans="2:6" x14ac:dyDescent="0.3">
      <c r="B957" s="74"/>
      <c r="C957" s="74"/>
      <c r="D957" s="74"/>
      <c r="F957" s="74"/>
    </row>
    <row r="958" spans="2:6" x14ac:dyDescent="0.3">
      <c r="B958" s="74"/>
      <c r="C958" s="74"/>
      <c r="D958" s="74"/>
      <c r="F958" s="74"/>
    </row>
    <row r="959" spans="2:6" x14ac:dyDescent="0.3">
      <c r="B959" s="74"/>
      <c r="C959" s="74"/>
      <c r="D959" s="74"/>
      <c r="F959" s="74"/>
    </row>
    <row r="960" spans="2:6" x14ac:dyDescent="0.3">
      <c r="B960" s="74"/>
      <c r="C960" s="74"/>
      <c r="D960" s="74"/>
      <c r="F960" s="74"/>
    </row>
    <row r="961" spans="2:6" x14ac:dyDescent="0.3">
      <c r="B961" s="74"/>
      <c r="C961" s="74"/>
      <c r="D961" s="74"/>
      <c r="F961" s="74"/>
    </row>
    <row r="962" spans="2:6" x14ac:dyDescent="0.3">
      <c r="B962" s="74"/>
      <c r="C962" s="74"/>
      <c r="D962" s="74"/>
      <c r="F962" s="74"/>
    </row>
    <row r="963" spans="2:6" x14ac:dyDescent="0.3">
      <c r="B963" s="74"/>
      <c r="C963" s="74"/>
      <c r="D963" s="74"/>
      <c r="F963" s="74"/>
    </row>
    <row r="964" spans="2:6" x14ac:dyDescent="0.3">
      <c r="B964" s="74"/>
      <c r="C964" s="74"/>
      <c r="D964" s="74"/>
      <c r="F964" s="74"/>
    </row>
    <row r="965" spans="2:6" x14ac:dyDescent="0.3">
      <c r="B965" s="74"/>
      <c r="C965" s="74"/>
      <c r="D965" s="74"/>
      <c r="F965" s="74"/>
    </row>
    <row r="966" spans="2:6" x14ac:dyDescent="0.3">
      <c r="B966" s="74"/>
      <c r="C966" s="74"/>
      <c r="D966" s="74"/>
      <c r="F966" s="74"/>
    </row>
    <row r="967" spans="2:6" x14ac:dyDescent="0.3">
      <c r="B967" s="74"/>
      <c r="C967" s="74"/>
      <c r="D967" s="74"/>
      <c r="F967" s="74"/>
    </row>
    <row r="968" spans="2:6" x14ac:dyDescent="0.3">
      <c r="B968" s="74"/>
      <c r="C968" s="74"/>
      <c r="D968" s="74"/>
      <c r="F968" s="74"/>
    </row>
    <row r="969" spans="2:6" x14ac:dyDescent="0.3">
      <c r="B969" s="74"/>
      <c r="C969" s="74"/>
      <c r="D969" s="74"/>
      <c r="F969" s="74"/>
    </row>
    <row r="970" spans="2:6" x14ac:dyDescent="0.3">
      <c r="B970" s="74"/>
      <c r="C970" s="74"/>
      <c r="D970" s="74"/>
      <c r="F970" s="74"/>
    </row>
    <row r="971" spans="2:6" x14ac:dyDescent="0.3">
      <c r="B971" s="74"/>
      <c r="C971" s="74"/>
      <c r="D971" s="74"/>
      <c r="F971" s="74"/>
    </row>
    <row r="972" spans="2:6" x14ac:dyDescent="0.3">
      <c r="B972" s="74"/>
      <c r="C972" s="74"/>
      <c r="D972" s="74"/>
      <c r="F972" s="74"/>
    </row>
    <row r="973" spans="2:6" x14ac:dyDescent="0.3">
      <c r="B973" s="74"/>
      <c r="C973" s="74"/>
      <c r="D973" s="74"/>
      <c r="F973" s="74"/>
    </row>
    <row r="974" spans="2:6" x14ac:dyDescent="0.3">
      <c r="B974" s="74"/>
      <c r="C974" s="74"/>
      <c r="D974" s="74"/>
      <c r="F974" s="74"/>
    </row>
    <row r="975" spans="2:6" x14ac:dyDescent="0.3">
      <c r="B975" s="74"/>
      <c r="C975" s="74"/>
      <c r="D975" s="74"/>
      <c r="F975" s="74"/>
    </row>
    <row r="976" spans="2:6" x14ac:dyDescent="0.3">
      <c r="B976" s="74"/>
      <c r="C976" s="74"/>
      <c r="D976" s="74"/>
      <c r="F976" s="74"/>
    </row>
    <row r="977" spans="2:6" x14ac:dyDescent="0.3">
      <c r="B977" s="74"/>
      <c r="C977" s="74"/>
      <c r="D977" s="74"/>
      <c r="F977" s="74"/>
    </row>
    <row r="978" spans="2:6" x14ac:dyDescent="0.3">
      <c r="B978" s="74"/>
      <c r="C978" s="74"/>
      <c r="D978" s="74"/>
      <c r="F978" s="74"/>
    </row>
    <row r="979" spans="2:6" x14ac:dyDescent="0.3">
      <c r="B979" s="74"/>
      <c r="C979" s="74"/>
      <c r="D979" s="74"/>
      <c r="F979" s="74"/>
    </row>
    <row r="980" spans="2:6" x14ac:dyDescent="0.3">
      <c r="B980" s="74"/>
      <c r="C980" s="74"/>
      <c r="D980" s="74"/>
      <c r="F980" s="74"/>
    </row>
    <row r="981" spans="2:6" x14ac:dyDescent="0.3">
      <c r="B981" s="74"/>
      <c r="C981" s="74"/>
      <c r="D981" s="74"/>
      <c r="F981" s="74"/>
    </row>
    <row r="982" spans="2:6" x14ac:dyDescent="0.3">
      <c r="B982" s="74"/>
      <c r="C982" s="74"/>
      <c r="D982" s="74"/>
      <c r="F982" s="74"/>
    </row>
    <row r="983" spans="2:6" x14ac:dyDescent="0.3">
      <c r="B983" s="74"/>
      <c r="C983" s="74"/>
      <c r="D983" s="74"/>
      <c r="F983" s="74"/>
    </row>
    <row r="984" spans="2:6" x14ac:dyDescent="0.3">
      <c r="B984" s="74"/>
      <c r="C984" s="74"/>
      <c r="D984" s="74"/>
      <c r="F984" s="74"/>
    </row>
    <row r="985" spans="2:6" x14ac:dyDescent="0.3">
      <c r="B985" s="74"/>
      <c r="C985" s="74"/>
      <c r="D985" s="74"/>
      <c r="F985" s="74"/>
    </row>
    <row r="986" spans="2:6" x14ac:dyDescent="0.3">
      <c r="B986" s="74"/>
      <c r="C986" s="74"/>
      <c r="D986" s="74"/>
      <c r="F986" s="74"/>
    </row>
    <row r="987" spans="2:6" x14ac:dyDescent="0.3">
      <c r="B987" s="74"/>
      <c r="C987" s="74"/>
      <c r="D987" s="74"/>
      <c r="F987" s="74"/>
    </row>
    <row r="988" spans="2:6" x14ac:dyDescent="0.3">
      <c r="B988" s="74"/>
      <c r="C988" s="74"/>
      <c r="D988" s="74"/>
      <c r="F988" s="74"/>
    </row>
    <row r="989" spans="2:6" x14ac:dyDescent="0.3">
      <c r="B989" s="74"/>
      <c r="C989" s="74"/>
      <c r="D989" s="74"/>
      <c r="F989" s="74"/>
    </row>
    <row r="990" spans="2:6" x14ac:dyDescent="0.3">
      <c r="B990" s="74"/>
      <c r="C990" s="74"/>
      <c r="D990" s="74"/>
      <c r="F990" s="74"/>
    </row>
    <row r="991" spans="2:6" x14ac:dyDescent="0.3">
      <c r="B991" s="74"/>
      <c r="C991" s="74"/>
      <c r="D991" s="74"/>
      <c r="F991" s="74"/>
    </row>
    <row r="992" spans="2:6" x14ac:dyDescent="0.3">
      <c r="B992" s="74"/>
      <c r="C992" s="74"/>
      <c r="D992" s="74"/>
      <c r="F992" s="74"/>
    </row>
    <row r="993" spans="2:6" x14ac:dyDescent="0.3">
      <c r="B993" s="74"/>
      <c r="C993" s="74"/>
      <c r="D993" s="74"/>
      <c r="F993" s="74"/>
    </row>
    <row r="994" spans="2:6" x14ac:dyDescent="0.3">
      <c r="B994" s="74"/>
      <c r="C994" s="74"/>
      <c r="D994" s="74"/>
      <c r="F994" s="74"/>
    </row>
    <row r="995" spans="2:6" x14ac:dyDescent="0.3">
      <c r="B995" s="74"/>
      <c r="C995" s="74"/>
      <c r="D995" s="74"/>
      <c r="F995" s="74"/>
    </row>
    <row r="996" spans="2:6" x14ac:dyDescent="0.3">
      <c r="B996" s="74"/>
      <c r="C996" s="74"/>
      <c r="D996" s="74"/>
      <c r="F996" s="74"/>
    </row>
    <row r="997" spans="2:6" x14ac:dyDescent="0.3">
      <c r="B997" s="74"/>
      <c r="C997" s="74"/>
      <c r="D997" s="74"/>
      <c r="F997" s="74"/>
    </row>
    <row r="998" spans="2:6" x14ac:dyDescent="0.3">
      <c r="B998" s="74"/>
      <c r="C998" s="74"/>
      <c r="D998" s="74"/>
      <c r="F998" s="74"/>
    </row>
    <row r="999" spans="2:6" x14ac:dyDescent="0.3">
      <c r="B999" s="74"/>
      <c r="C999" s="74"/>
      <c r="D999" s="74"/>
      <c r="F999" s="74"/>
    </row>
    <row r="1000" spans="2:6" x14ac:dyDescent="0.3">
      <c r="B1000" s="74"/>
      <c r="C1000" s="74"/>
      <c r="D1000" s="74"/>
      <c r="F1000" s="74"/>
    </row>
    <row r="1001" spans="2:6" x14ac:dyDescent="0.3">
      <c r="B1001" s="74"/>
      <c r="C1001" s="74"/>
      <c r="D1001" s="74"/>
      <c r="F1001" s="74"/>
    </row>
    <row r="1002" spans="2:6" x14ac:dyDescent="0.3">
      <c r="B1002" s="74"/>
      <c r="C1002" s="74"/>
      <c r="D1002" s="74"/>
      <c r="F1002" s="74"/>
    </row>
    <row r="1003" spans="2:6" x14ac:dyDescent="0.3">
      <c r="B1003" s="74"/>
      <c r="C1003" s="74"/>
      <c r="D1003" s="74"/>
      <c r="F1003" s="74"/>
    </row>
    <row r="1004" spans="2:6" x14ac:dyDescent="0.3">
      <c r="B1004" s="74"/>
      <c r="C1004" s="74"/>
      <c r="D1004" s="74"/>
      <c r="F1004" s="74"/>
    </row>
    <row r="1005" spans="2:6" x14ac:dyDescent="0.3">
      <c r="B1005" s="74"/>
      <c r="C1005" s="74"/>
      <c r="D1005" s="74"/>
      <c r="F1005" s="74"/>
    </row>
    <row r="1006" spans="2:6" x14ac:dyDescent="0.3">
      <c r="B1006" s="74"/>
      <c r="C1006" s="74"/>
      <c r="D1006" s="74"/>
      <c r="F1006" s="74"/>
    </row>
    <row r="1007" spans="2:6" x14ac:dyDescent="0.3">
      <c r="B1007" s="74"/>
      <c r="C1007" s="74"/>
      <c r="D1007" s="74"/>
      <c r="F1007" s="74"/>
    </row>
    <row r="1008" spans="2:6" x14ac:dyDescent="0.3">
      <c r="B1008" s="74"/>
      <c r="C1008" s="74"/>
      <c r="D1008" s="74"/>
      <c r="F1008" s="74"/>
    </row>
    <row r="1009" spans="2:6" x14ac:dyDescent="0.3">
      <c r="B1009" s="74"/>
      <c r="C1009" s="74"/>
      <c r="D1009" s="74"/>
      <c r="F1009" s="74"/>
    </row>
    <row r="1010" spans="2:6" x14ac:dyDescent="0.3">
      <c r="B1010" s="74"/>
      <c r="C1010" s="74"/>
      <c r="D1010" s="74"/>
      <c r="F1010" s="74"/>
    </row>
    <row r="1011" spans="2:6" x14ac:dyDescent="0.3">
      <c r="B1011" s="74"/>
      <c r="C1011" s="74"/>
      <c r="D1011" s="74"/>
      <c r="F1011" s="74"/>
    </row>
    <row r="1012" spans="2:6" x14ac:dyDescent="0.3">
      <c r="B1012" s="74"/>
      <c r="C1012" s="74"/>
      <c r="D1012" s="74"/>
      <c r="F1012" s="74"/>
    </row>
    <row r="1013" spans="2:6" x14ac:dyDescent="0.3">
      <c r="B1013" s="74"/>
      <c r="C1013" s="74"/>
      <c r="D1013" s="74"/>
      <c r="F1013" s="74"/>
    </row>
    <row r="1014" spans="2:6" x14ac:dyDescent="0.3">
      <c r="B1014" s="74"/>
      <c r="C1014" s="74"/>
      <c r="D1014" s="74"/>
      <c r="F1014" s="74"/>
    </row>
    <row r="1015" spans="2:6" x14ac:dyDescent="0.3">
      <c r="B1015" s="74"/>
      <c r="C1015" s="74"/>
      <c r="D1015" s="74"/>
      <c r="F1015" s="74"/>
    </row>
    <row r="1016" spans="2:6" x14ac:dyDescent="0.3">
      <c r="B1016" s="74"/>
      <c r="C1016" s="74"/>
      <c r="D1016" s="74"/>
      <c r="F1016" s="74"/>
    </row>
    <row r="1017" spans="2:6" x14ac:dyDescent="0.3">
      <c r="B1017" s="74"/>
      <c r="C1017" s="74"/>
      <c r="D1017" s="74"/>
      <c r="F1017" s="74"/>
    </row>
    <row r="1018" spans="2:6" x14ac:dyDescent="0.3">
      <c r="B1018" s="74"/>
      <c r="C1018" s="74"/>
      <c r="D1018" s="74"/>
      <c r="F1018" s="74"/>
    </row>
    <row r="1019" spans="2:6" x14ac:dyDescent="0.3">
      <c r="B1019" s="74"/>
      <c r="C1019" s="74"/>
      <c r="D1019" s="74"/>
      <c r="F1019" s="74"/>
    </row>
    <row r="1020" spans="2:6" x14ac:dyDescent="0.3">
      <c r="B1020" s="74"/>
      <c r="C1020" s="74"/>
      <c r="D1020" s="74"/>
      <c r="F1020" s="74"/>
    </row>
    <row r="1021" spans="2:6" x14ac:dyDescent="0.3">
      <c r="B1021" s="74"/>
      <c r="C1021" s="74"/>
      <c r="D1021" s="74"/>
      <c r="F1021" s="74"/>
    </row>
    <row r="1022" spans="2:6" x14ac:dyDescent="0.3">
      <c r="B1022" s="74"/>
      <c r="C1022" s="74"/>
      <c r="D1022" s="74"/>
      <c r="F1022" s="74"/>
    </row>
    <row r="1023" spans="2:6" x14ac:dyDescent="0.3">
      <c r="B1023" s="74"/>
      <c r="C1023" s="74"/>
      <c r="D1023" s="74"/>
      <c r="F1023" s="74"/>
    </row>
    <row r="1024" spans="2:6" x14ac:dyDescent="0.3">
      <c r="B1024" s="74"/>
      <c r="C1024" s="74"/>
      <c r="D1024" s="74"/>
      <c r="F1024" s="74"/>
    </row>
    <row r="1025" spans="2:6" x14ac:dyDescent="0.3">
      <c r="B1025" s="74"/>
      <c r="C1025" s="74"/>
      <c r="D1025" s="74"/>
      <c r="F1025" s="74"/>
    </row>
    <row r="1026" spans="2:6" x14ac:dyDescent="0.3">
      <c r="B1026" s="74"/>
      <c r="C1026" s="74"/>
      <c r="D1026" s="74"/>
      <c r="F1026" s="74"/>
    </row>
    <row r="1027" spans="2:6" x14ac:dyDescent="0.3">
      <c r="B1027" s="74"/>
      <c r="C1027" s="74"/>
      <c r="D1027" s="74"/>
      <c r="F1027" s="74"/>
    </row>
    <row r="1028" spans="2:6" x14ac:dyDescent="0.3">
      <c r="B1028" s="74"/>
      <c r="C1028" s="74"/>
      <c r="D1028" s="74"/>
      <c r="F1028" s="74"/>
    </row>
    <row r="1029" spans="2:6" x14ac:dyDescent="0.3">
      <c r="B1029" s="74"/>
      <c r="C1029" s="74"/>
      <c r="D1029" s="74"/>
      <c r="F1029" s="74"/>
    </row>
    <row r="1030" spans="2:6" x14ac:dyDescent="0.3">
      <c r="B1030" s="74"/>
      <c r="C1030" s="74"/>
      <c r="D1030" s="74"/>
      <c r="F1030" s="74"/>
    </row>
    <row r="1031" spans="2:6" x14ac:dyDescent="0.3">
      <c r="B1031" s="74"/>
      <c r="C1031" s="74"/>
      <c r="D1031" s="74"/>
      <c r="F1031" s="74"/>
    </row>
    <row r="1032" spans="2:6" x14ac:dyDescent="0.3">
      <c r="B1032" s="74"/>
      <c r="C1032" s="74"/>
      <c r="D1032" s="74"/>
      <c r="F1032" s="74"/>
    </row>
    <row r="1033" spans="2:6" x14ac:dyDescent="0.3">
      <c r="B1033" s="74"/>
      <c r="C1033" s="74"/>
      <c r="D1033" s="74"/>
      <c r="F1033" s="74"/>
    </row>
    <row r="1034" spans="2:6" x14ac:dyDescent="0.3">
      <c r="B1034" s="74"/>
      <c r="C1034" s="74"/>
      <c r="D1034" s="74"/>
      <c r="F1034" s="74"/>
    </row>
    <row r="1035" spans="2:6" x14ac:dyDescent="0.3">
      <c r="B1035" s="74"/>
      <c r="C1035" s="74"/>
      <c r="D1035" s="74"/>
      <c r="F1035" s="74"/>
    </row>
    <row r="1036" spans="2:6" x14ac:dyDescent="0.3">
      <c r="B1036" s="74"/>
      <c r="C1036" s="74"/>
      <c r="D1036" s="74"/>
      <c r="F1036" s="74"/>
    </row>
    <row r="1037" spans="2:6" x14ac:dyDescent="0.3">
      <c r="B1037" s="74"/>
      <c r="C1037" s="74"/>
      <c r="D1037" s="74"/>
      <c r="F1037" s="74"/>
    </row>
    <row r="1038" spans="2:6" x14ac:dyDescent="0.3">
      <c r="B1038" s="74"/>
      <c r="C1038" s="74"/>
      <c r="D1038" s="74"/>
      <c r="F1038" s="74"/>
    </row>
    <row r="1039" spans="2:6" x14ac:dyDescent="0.3">
      <c r="B1039" s="74"/>
      <c r="C1039" s="74"/>
      <c r="D1039" s="74"/>
      <c r="F1039" s="74"/>
    </row>
    <row r="1040" spans="2:6" x14ac:dyDescent="0.3">
      <c r="B1040" s="74"/>
      <c r="C1040" s="74"/>
      <c r="D1040" s="74"/>
      <c r="F1040" s="74"/>
    </row>
    <row r="1041" spans="2:6" x14ac:dyDescent="0.3">
      <c r="B1041" s="74"/>
      <c r="C1041" s="74"/>
      <c r="D1041" s="74"/>
      <c r="F1041" s="74"/>
    </row>
    <row r="1042" spans="2:6" x14ac:dyDescent="0.3">
      <c r="B1042" s="74"/>
      <c r="C1042" s="74"/>
      <c r="D1042" s="74"/>
      <c r="F1042" s="74"/>
    </row>
    <row r="1043" spans="2:6" x14ac:dyDescent="0.3">
      <c r="B1043" s="74"/>
      <c r="C1043" s="74"/>
      <c r="D1043" s="74"/>
      <c r="F1043" s="74"/>
    </row>
    <row r="1044" spans="2:6" x14ac:dyDescent="0.3">
      <c r="B1044" s="74"/>
      <c r="C1044" s="74"/>
      <c r="D1044" s="74"/>
      <c r="F1044" s="74"/>
    </row>
    <row r="1045" spans="2:6" x14ac:dyDescent="0.3">
      <c r="B1045" s="74"/>
      <c r="C1045" s="74"/>
      <c r="D1045" s="74"/>
      <c r="F1045" s="74"/>
    </row>
    <row r="1046" spans="2:6" x14ac:dyDescent="0.3">
      <c r="B1046" s="74"/>
      <c r="C1046" s="74"/>
      <c r="D1046" s="74"/>
      <c r="F1046" s="74"/>
    </row>
    <row r="1047" spans="2:6" x14ac:dyDescent="0.3">
      <c r="B1047" s="74"/>
      <c r="C1047" s="74"/>
      <c r="D1047" s="74"/>
      <c r="F1047" s="74"/>
    </row>
    <row r="1048" spans="2:6" x14ac:dyDescent="0.3">
      <c r="B1048" s="74"/>
      <c r="C1048" s="74"/>
      <c r="D1048" s="74"/>
      <c r="F1048" s="74"/>
    </row>
    <row r="1049" spans="2:6" x14ac:dyDescent="0.3">
      <c r="B1049" s="74"/>
      <c r="C1049" s="74"/>
      <c r="D1049" s="74"/>
      <c r="F1049" s="74"/>
    </row>
    <row r="1050" spans="2:6" x14ac:dyDescent="0.3">
      <c r="B1050" s="74"/>
      <c r="C1050" s="74"/>
      <c r="D1050" s="74"/>
      <c r="F1050" s="74"/>
    </row>
    <row r="1051" spans="2:6" x14ac:dyDescent="0.3">
      <c r="B1051" s="74"/>
      <c r="C1051" s="74"/>
      <c r="D1051" s="74"/>
      <c r="F1051" s="74"/>
    </row>
    <row r="1052" spans="2:6" x14ac:dyDescent="0.3">
      <c r="B1052" s="74"/>
      <c r="C1052" s="74"/>
      <c r="D1052" s="74"/>
      <c r="F1052" s="74"/>
    </row>
    <row r="1053" spans="2:6" x14ac:dyDescent="0.3">
      <c r="B1053" s="74"/>
      <c r="C1053" s="74"/>
      <c r="D1053" s="74"/>
      <c r="F1053" s="74"/>
    </row>
    <row r="1054" spans="2:6" x14ac:dyDescent="0.3">
      <c r="B1054" s="74"/>
      <c r="C1054" s="74"/>
      <c r="D1054" s="74"/>
      <c r="F1054" s="74"/>
    </row>
    <row r="1055" spans="2:6" x14ac:dyDescent="0.3">
      <c r="B1055" s="74"/>
      <c r="C1055" s="74"/>
      <c r="D1055" s="74"/>
      <c r="F1055" s="74"/>
    </row>
    <row r="1056" spans="2:6" x14ac:dyDescent="0.3">
      <c r="B1056" s="74"/>
      <c r="C1056" s="74"/>
      <c r="D1056" s="74"/>
      <c r="F1056" s="74"/>
    </row>
    <row r="1057" spans="2:6" x14ac:dyDescent="0.3">
      <c r="B1057" s="74"/>
      <c r="C1057" s="74"/>
      <c r="D1057" s="74"/>
      <c r="F1057" s="74"/>
    </row>
    <row r="1058" spans="2:6" x14ac:dyDescent="0.3">
      <c r="B1058" s="74"/>
      <c r="C1058" s="74"/>
      <c r="D1058" s="74"/>
      <c r="F1058" s="74"/>
    </row>
    <row r="1059" spans="2:6" x14ac:dyDescent="0.3">
      <c r="B1059" s="74"/>
      <c r="C1059" s="74"/>
      <c r="D1059" s="74"/>
      <c r="F1059" s="74"/>
    </row>
    <row r="1060" spans="2:6" x14ac:dyDescent="0.3">
      <c r="B1060" s="74"/>
      <c r="C1060" s="74"/>
      <c r="D1060" s="74"/>
      <c r="F1060" s="74"/>
    </row>
    <row r="1061" spans="2:6" x14ac:dyDescent="0.3">
      <c r="B1061" s="74"/>
      <c r="C1061" s="74"/>
      <c r="D1061" s="74"/>
      <c r="F1061" s="74"/>
    </row>
    <row r="1062" spans="2:6" x14ac:dyDescent="0.3">
      <c r="B1062" s="74"/>
      <c r="C1062" s="74"/>
      <c r="D1062" s="74"/>
      <c r="F1062" s="74"/>
    </row>
    <row r="1063" spans="2:6" x14ac:dyDescent="0.3">
      <c r="B1063" s="74"/>
      <c r="C1063" s="74"/>
      <c r="D1063" s="74"/>
      <c r="F1063" s="74"/>
    </row>
    <row r="1064" spans="2:6" x14ac:dyDescent="0.3">
      <c r="B1064" s="74"/>
      <c r="C1064" s="74"/>
      <c r="D1064" s="74"/>
      <c r="F1064" s="74"/>
    </row>
    <row r="1065" spans="2:6" x14ac:dyDescent="0.3">
      <c r="B1065" s="74"/>
      <c r="C1065" s="74"/>
      <c r="D1065" s="74"/>
      <c r="F1065" s="74"/>
    </row>
    <row r="1066" spans="2:6" x14ac:dyDescent="0.3">
      <c r="B1066" s="74"/>
      <c r="C1066" s="74"/>
      <c r="D1066" s="74"/>
      <c r="F1066" s="74"/>
    </row>
    <row r="1067" spans="2:6" x14ac:dyDescent="0.3">
      <c r="B1067" s="74"/>
      <c r="C1067" s="74"/>
      <c r="D1067" s="74"/>
      <c r="F1067" s="74"/>
    </row>
    <row r="1068" spans="2:6" x14ac:dyDescent="0.3">
      <c r="B1068" s="74"/>
      <c r="C1068" s="74"/>
      <c r="D1068" s="74"/>
      <c r="F1068" s="74"/>
    </row>
    <row r="1069" spans="2:6" x14ac:dyDescent="0.3">
      <c r="B1069" s="74"/>
      <c r="C1069" s="74"/>
      <c r="D1069" s="74"/>
      <c r="F1069" s="74"/>
    </row>
    <row r="1070" spans="2:6" x14ac:dyDescent="0.3">
      <c r="B1070" s="74"/>
      <c r="C1070" s="74"/>
      <c r="D1070" s="74"/>
      <c r="F1070" s="74"/>
    </row>
    <row r="1071" spans="2:6" x14ac:dyDescent="0.3">
      <c r="B1071" s="74"/>
      <c r="C1071" s="74"/>
      <c r="D1071" s="74"/>
      <c r="F1071" s="74"/>
    </row>
    <row r="1072" spans="2:6" x14ac:dyDescent="0.3">
      <c r="B1072" s="74"/>
      <c r="C1072" s="74"/>
      <c r="D1072" s="74"/>
      <c r="F1072" s="74"/>
    </row>
    <row r="1073" spans="2:6" x14ac:dyDescent="0.3">
      <c r="B1073" s="74"/>
      <c r="C1073" s="74"/>
      <c r="D1073" s="74"/>
      <c r="F1073" s="74"/>
    </row>
    <row r="1074" spans="2:6" x14ac:dyDescent="0.3">
      <c r="B1074" s="74"/>
      <c r="C1074" s="74"/>
      <c r="D1074" s="74"/>
      <c r="F1074" s="74"/>
    </row>
    <row r="1075" spans="2:6" x14ac:dyDescent="0.3">
      <c r="B1075" s="74"/>
      <c r="C1075" s="74"/>
      <c r="D1075" s="74"/>
      <c r="F1075" s="74"/>
    </row>
    <row r="1076" spans="2:6" x14ac:dyDescent="0.3">
      <c r="B1076" s="74"/>
      <c r="C1076" s="74"/>
      <c r="D1076" s="74"/>
      <c r="F1076" s="74"/>
    </row>
    <row r="1077" spans="2:6" x14ac:dyDescent="0.3">
      <c r="B1077" s="74"/>
      <c r="C1077" s="74"/>
      <c r="D1077" s="74"/>
      <c r="F1077" s="74"/>
    </row>
    <row r="1078" spans="2:6" x14ac:dyDescent="0.3">
      <c r="B1078" s="74"/>
      <c r="C1078" s="74"/>
      <c r="D1078" s="74"/>
      <c r="F1078" s="74"/>
    </row>
    <row r="1079" spans="2:6" x14ac:dyDescent="0.3">
      <c r="B1079" s="74"/>
      <c r="C1079" s="74"/>
      <c r="D1079" s="74"/>
      <c r="F1079" s="74"/>
    </row>
    <row r="1080" spans="2:6" x14ac:dyDescent="0.3">
      <c r="B1080" s="74"/>
      <c r="C1080" s="74"/>
      <c r="D1080" s="74"/>
      <c r="F1080" s="74"/>
    </row>
    <row r="1081" spans="2:6" x14ac:dyDescent="0.3">
      <c r="B1081" s="74"/>
      <c r="C1081" s="74"/>
      <c r="D1081" s="74"/>
      <c r="F1081" s="74"/>
    </row>
    <row r="1082" spans="2:6" x14ac:dyDescent="0.3">
      <c r="B1082" s="74"/>
      <c r="C1082" s="74"/>
      <c r="D1082" s="74"/>
      <c r="F1082" s="74"/>
    </row>
    <row r="1083" spans="2:6" x14ac:dyDescent="0.3">
      <c r="B1083" s="74"/>
      <c r="C1083" s="74"/>
      <c r="D1083" s="74"/>
      <c r="F1083" s="74"/>
    </row>
    <row r="1084" spans="2:6" x14ac:dyDescent="0.3">
      <c r="B1084" s="74"/>
      <c r="C1084" s="74"/>
      <c r="D1084" s="74"/>
      <c r="F1084" s="74"/>
    </row>
    <row r="1085" spans="2:6" x14ac:dyDescent="0.3">
      <c r="B1085" s="74"/>
      <c r="C1085" s="74"/>
      <c r="D1085" s="74"/>
      <c r="F1085" s="74"/>
    </row>
    <row r="1086" spans="2:6" x14ac:dyDescent="0.3">
      <c r="B1086" s="74"/>
      <c r="C1086" s="74"/>
      <c r="D1086" s="74"/>
      <c r="F1086" s="74"/>
    </row>
    <row r="1087" spans="2:6" x14ac:dyDescent="0.3">
      <c r="B1087" s="74"/>
      <c r="C1087" s="74"/>
      <c r="D1087" s="74"/>
      <c r="F1087" s="74"/>
    </row>
    <row r="1088" spans="2:6" x14ac:dyDescent="0.3">
      <c r="B1088" s="74"/>
      <c r="C1088" s="74"/>
      <c r="D1088" s="74"/>
      <c r="F1088" s="74"/>
    </row>
    <row r="1089" spans="2:6" x14ac:dyDescent="0.3">
      <c r="B1089" s="74"/>
      <c r="C1089" s="74"/>
      <c r="D1089" s="74"/>
      <c r="F1089" s="74"/>
    </row>
    <row r="1090" spans="2:6" x14ac:dyDescent="0.3">
      <c r="B1090" s="74"/>
      <c r="C1090" s="74"/>
      <c r="D1090" s="74"/>
      <c r="F1090" s="74"/>
    </row>
    <row r="1091" spans="2:6" x14ac:dyDescent="0.3">
      <c r="B1091" s="74"/>
      <c r="C1091" s="74"/>
      <c r="D1091" s="74"/>
      <c r="F1091" s="74"/>
    </row>
    <row r="1092" spans="2:6" x14ac:dyDescent="0.3">
      <c r="B1092" s="74"/>
      <c r="C1092" s="74"/>
      <c r="D1092" s="74"/>
      <c r="F1092" s="74"/>
    </row>
    <row r="1093" spans="2:6" x14ac:dyDescent="0.3">
      <c r="B1093" s="74"/>
      <c r="C1093" s="74"/>
      <c r="D1093" s="74"/>
      <c r="F1093" s="74"/>
    </row>
    <row r="1094" spans="2:6" x14ac:dyDescent="0.3">
      <c r="B1094" s="74"/>
      <c r="C1094" s="74"/>
      <c r="D1094" s="74"/>
      <c r="F1094" s="74"/>
    </row>
    <row r="1095" spans="2:6" x14ac:dyDescent="0.3">
      <c r="B1095" s="74"/>
      <c r="C1095" s="74"/>
      <c r="D1095" s="74"/>
      <c r="F1095" s="74"/>
    </row>
    <row r="1096" spans="2:6" x14ac:dyDescent="0.3">
      <c r="B1096" s="74"/>
      <c r="C1096" s="74"/>
      <c r="D1096" s="74"/>
      <c r="F1096" s="74"/>
    </row>
    <row r="1097" spans="2:6" x14ac:dyDescent="0.3">
      <c r="B1097" s="74"/>
      <c r="C1097" s="74"/>
      <c r="D1097" s="74"/>
      <c r="F1097" s="74"/>
    </row>
    <row r="1098" spans="2:6" x14ac:dyDescent="0.3">
      <c r="B1098" s="74"/>
      <c r="C1098" s="74"/>
      <c r="D1098" s="74"/>
      <c r="F1098" s="74"/>
    </row>
    <row r="1099" spans="2:6" x14ac:dyDescent="0.3">
      <c r="B1099" s="74"/>
      <c r="C1099" s="74"/>
      <c r="D1099" s="74"/>
      <c r="F1099" s="74"/>
    </row>
    <row r="1100" spans="2:6" x14ac:dyDescent="0.3">
      <c r="B1100" s="74"/>
      <c r="C1100" s="74"/>
      <c r="D1100" s="74"/>
      <c r="F1100" s="74"/>
    </row>
    <row r="1101" spans="2:6" x14ac:dyDescent="0.3">
      <c r="B1101" s="74"/>
      <c r="C1101" s="74"/>
      <c r="D1101" s="74"/>
      <c r="F1101" s="74"/>
    </row>
    <row r="1102" spans="2:6" x14ac:dyDescent="0.3">
      <c r="B1102" s="74"/>
      <c r="C1102" s="74"/>
      <c r="D1102" s="74"/>
      <c r="F1102" s="74"/>
    </row>
    <row r="1103" spans="2:6" x14ac:dyDescent="0.3">
      <c r="B1103" s="74"/>
      <c r="C1103" s="74"/>
      <c r="D1103" s="74"/>
      <c r="F1103" s="74"/>
    </row>
    <row r="1104" spans="2:6" x14ac:dyDescent="0.3">
      <c r="B1104" s="74"/>
      <c r="C1104" s="74"/>
      <c r="D1104" s="74"/>
      <c r="F1104" s="74"/>
    </row>
    <row r="1105" spans="2:6" x14ac:dyDescent="0.3">
      <c r="B1105" s="74"/>
      <c r="C1105" s="74"/>
      <c r="D1105" s="74"/>
      <c r="F1105" s="74"/>
    </row>
    <row r="1106" spans="2:6" x14ac:dyDescent="0.3">
      <c r="B1106" s="74"/>
      <c r="C1106" s="74"/>
      <c r="D1106" s="74"/>
      <c r="F1106" s="74"/>
    </row>
    <row r="1107" spans="2:6" x14ac:dyDescent="0.3">
      <c r="B1107" s="74"/>
      <c r="C1107" s="74"/>
      <c r="D1107" s="74"/>
      <c r="F1107" s="74"/>
    </row>
    <row r="1108" spans="2:6" x14ac:dyDescent="0.3">
      <c r="B1108" s="74"/>
      <c r="C1108" s="74"/>
      <c r="D1108" s="74"/>
      <c r="F1108" s="74"/>
    </row>
    <row r="1109" spans="2:6" x14ac:dyDescent="0.3">
      <c r="B1109" s="74"/>
      <c r="C1109" s="74"/>
      <c r="D1109" s="74"/>
      <c r="F1109" s="74"/>
    </row>
    <row r="1110" spans="2:6" x14ac:dyDescent="0.3">
      <c r="B1110" s="74"/>
      <c r="C1110" s="74"/>
      <c r="D1110" s="74"/>
      <c r="F1110" s="74"/>
    </row>
    <row r="1111" spans="2:6" x14ac:dyDescent="0.3">
      <c r="B1111" s="74"/>
      <c r="C1111" s="74"/>
      <c r="D1111" s="74"/>
      <c r="F1111" s="74"/>
    </row>
    <row r="1112" spans="2:6" x14ac:dyDescent="0.3">
      <c r="B1112" s="74"/>
      <c r="C1112" s="74"/>
      <c r="D1112" s="74"/>
      <c r="F1112" s="74"/>
    </row>
    <row r="1113" spans="2:6" x14ac:dyDescent="0.3">
      <c r="B1113" s="74"/>
      <c r="C1113" s="74"/>
      <c r="D1113" s="74"/>
      <c r="F1113" s="74"/>
    </row>
    <row r="1114" spans="2:6" x14ac:dyDescent="0.3">
      <c r="B1114" s="74"/>
      <c r="C1114" s="74"/>
      <c r="D1114" s="74"/>
      <c r="F1114" s="74"/>
    </row>
    <row r="1115" spans="2:6" x14ac:dyDescent="0.3">
      <c r="B1115" s="74"/>
      <c r="C1115" s="74"/>
      <c r="D1115" s="74"/>
      <c r="F1115" s="74"/>
    </row>
    <row r="1116" spans="2:6" x14ac:dyDescent="0.3">
      <c r="B1116" s="74"/>
      <c r="C1116" s="74"/>
      <c r="D1116" s="74"/>
      <c r="F1116" s="74"/>
    </row>
    <row r="1117" spans="2:6" x14ac:dyDescent="0.3">
      <c r="B1117" s="74"/>
      <c r="C1117" s="74"/>
      <c r="D1117" s="74"/>
      <c r="F1117" s="74"/>
    </row>
    <row r="1118" spans="2:6" x14ac:dyDescent="0.3">
      <c r="B1118" s="74"/>
      <c r="C1118" s="74"/>
      <c r="D1118" s="74"/>
      <c r="F1118" s="74"/>
    </row>
    <row r="1119" spans="2:6" x14ac:dyDescent="0.3">
      <c r="B1119" s="74"/>
      <c r="C1119" s="74"/>
      <c r="D1119" s="74"/>
      <c r="F1119" s="74"/>
    </row>
    <row r="1120" spans="2:6" x14ac:dyDescent="0.3">
      <c r="B1120" s="74"/>
      <c r="C1120" s="74"/>
      <c r="D1120" s="74"/>
      <c r="F1120" s="74"/>
    </row>
    <row r="1121" spans="2:6" x14ac:dyDescent="0.3">
      <c r="B1121" s="74"/>
      <c r="C1121" s="74"/>
      <c r="D1121" s="74"/>
      <c r="F1121" s="74"/>
    </row>
    <row r="1122" spans="2:6" x14ac:dyDescent="0.3">
      <c r="B1122" s="74"/>
      <c r="C1122" s="74"/>
      <c r="D1122" s="74"/>
      <c r="F1122" s="74"/>
    </row>
    <row r="1123" spans="2:6" x14ac:dyDescent="0.3">
      <c r="B1123" s="74"/>
      <c r="C1123" s="74"/>
      <c r="D1123" s="74"/>
      <c r="F1123" s="74"/>
    </row>
    <row r="1124" spans="2:6" x14ac:dyDescent="0.3">
      <c r="B1124" s="74"/>
      <c r="C1124" s="74"/>
      <c r="D1124" s="74"/>
      <c r="F1124" s="74"/>
    </row>
    <row r="1125" spans="2:6" x14ac:dyDescent="0.3">
      <c r="B1125" s="74"/>
      <c r="C1125" s="74"/>
      <c r="D1125" s="74"/>
      <c r="F1125" s="74"/>
    </row>
    <row r="1126" spans="2:6" x14ac:dyDescent="0.3">
      <c r="B1126" s="74"/>
      <c r="C1126" s="74"/>
      <c r="D1126" s="74"/>
      <c r="F1126" s="74"/>
    </row>
    <row r="1127" spans="2:6" x14ac:dyDescent="0.3">
      <c r="B1127" s="74"/>
      <c r="C1127" s="74"/>
      <c r="D1127" s="74"/>
      <c r="F1127" s="74"/>
    </row>
    <row r="1128" spans="2:6" x14ac:dyDescent="0.3">
      <c r="B1128" s="74"/>
      <c r="C1128" s="74"/>
      <c r="D1128" s="74"/>
      <c r="F1128" s="74"/>
    </row>
    <row r="1129" spans="2:6" x14ac:dyDescent="0.3">
      <c r="B1129" s="74"/>
      <c r="C1129" s="74"/>
      <c r="D1129" s="74"/>
      <c r="F1129" s="74"/>
    </row>
    <row r="1130" spans="2:6" x14ac:dyDescent="0.3">
      <c r="B1130" s="74"/>
      <c r="C1130" s="74"/>
      <c r="D1130" s="74"/>
      <c r="F1130" s="74"/>
    </row>
    <row r="1131" spans="2:6" x14ac:dyDescent="0.3">
      <c r="B1131" s="74"/>
      <c r="C1131" s="74"/>
      <c r="D1131" s="74"/>
      <c r="F1131" s="74"/>
    </row>
    <row r="1132" spans="2:6" x14ac:dyDescent="0.3">
      <c r="B1132" s="74"/>
      <c r="C1132" s="74"/>
      <c r="D1132" s="74"/>
      <c r="F1132" s="74"/>
    </row>
    <row r="1133" spans="2:6" x14ac:dyDescent="0.3">
      <c r="B1133" s="74"/>
      <c r="C1133" s="74"/>
      <c r="D1133" s="74"/>
      <c r="F1133" s="74"/>
    </row>
    <row r="1134" spans="2:6" x14ac:dyDescent="0.3">
      <c r="B1134" s="74"/>
      <c r="C1134" s="74"/>
      <c r="D1134" s="74"/>
      <c r="F1134" s="74"/>
    </row>
    <row r="1135" spans="2:6" x14ac:dyDescent="0.3">
      <c r="B1135" s="74"/>
      <c r="C1135" s="74"/>
      <c r="D1135" s="74"/>
      <c r="F1135" s="74"/>
    </row>
    <row r="1136" spans="2:6" x14ac:dyDescent="0.3">
      <c r="B1136" s="74"/>
      <c r="C1136" s="74"/>
      <c r="D1136" s="74"/>
      <c r="F1136" s="74"/>
    </row>
    <row r="1137" spans="2:6" x14ac:dyDescent="0.3">
      <c r="B1137" s="74"/>
      <c r="C1137" s="74"/>
      <c r="D1137" s="74"/>
      <c r="F1137" s="74"/>
    </row>
    <row r="1138" spans="2:6" x14ac:dyDescent="0.3">
      <c r="B1138" s="74"/>
      <c r="C1138" s="74"/>
      <c r="D1138" s="74"/>
      <c r="F1138" s="74"/>
    </row>
    <row r="1139" spans="2:6" x14ac:dyDescent="0.3">
      <c r="B1139" s="74"/>
      <c r="C1139" s="74"/>
      <c r="D1139" s="74"/>
      <c r="F1139" s="74"/>
    </row>
    <row r="1140" spans="2:6" x14ac:dyDescent="0.3">
      <c r="B1140" s="74"/>
      <c r="C1140" s="74"/>
      <c r="D1140" s="74"/>
      <c r="F1140" s="74"/>
    </row>
    <row r="1141" spans="2:6" x14ac:dyDescent="0.3">
      <c r="B1141" s="74"/>
      <c r="C1141" s="74"/>
      <c r="D1141" s="74"/>
      <c r="F1141" s="74"/>
    </row>
    <row r="1142" spans="2:6" x14ac:dyDescent="0.3">
      <c r="B1142" s="74"/>
      <c r="C1142" s="74"/>
      <c r="D1142" s="74"/>
      <c r="F1142" s="74"/>
    </row>
    <row r="1143" spans="2:6" x14ac:dyDescent="0.3">
      <c r="B1143" s="74"/>
      <c r="C1143" s="74"/>
      <c r="D1143" s="74"/>
      <c r="F1143" s="74"/>
    </row>
    <row r="1144" spans="2:6" x14ac:dyDescent="0.3">
      <c r="B1144" s="74"/>
      <c r="C1144" s="74"/>
      <c r="D1144" s="74"/>
      <c r="F1144" s="74"/>
    </row>
    <row r="1145" spans="2:6" x14ac:dyDescent="0.3">
      <c r="B1145" s="74"/>
      <c r="C1145" s="74"/>
      <c r="D1145" s="74"/>
      <c r="F1145" s="74"/>
    </row>
    <row r="1146" spans="2:6" x14ac:dyDescent="0.3">
      <c r="B1146" s="74"/>
      <c r="C1146" s="74"/>
      <c r="D1146" s="74"/>
      <c r="F1146" s="74"/>
    </row>
    <row r="1147" spans="2:6" x14ac:dyDescent="0.3">
      <c r="B1147" s="74"/>
      <c r="C1147" s="74"/>
      <c r="D1147" s="74"/>
      <c r="F1147" s="74"/>
    </row>
    <row r="1148" spans="2:6" x14ac:dyDescent="0.3">
      <c r="B1148" s="74"/>
      <c r="C1148" s="74"/>
      <c r="D1148" s="74"/>
      <c r="F1148" s="74"/>
    </row>
    <row r="1149" spans="2:6" x14ac:dyDescent="0.3">
      <c r="B1149" s="74"/>
      <c r="C1149" s="74"/>
      <c r="D1149" s="74"/>
      <c r="F1149" s="74"/>
    </row>
    <row r="1150" spans="2:6" x14ac:dyDescent="0.3">
      <c r="B1150" s="74"/>
      <c r="C1150" s="74"/>
      <c r="D1150" s="74"/>
      <c r="F1150" s="74"/>
    </row>
    <row r="1151" spans="2:6" x14ac:dyDescent="0.3">
      <c r="B1151" s="74"/>
      <c r="C1151" s="74"/>
      <c r="D1151" s="74"/>
      <c r="F1151" s="74"/>
    </row>
    <row r="1152" spans="2:6" x14ac:dyDescent="0.3">
      <c r="B1152" s="74"/>
      <c r="C1152" s="74"/>
      <c r="D1152" s="74"/>
      <c r="F1152" s="74"/>
    </row>
    <row r="1153" spans="2:6" x14ac:dyDescent="0.3">
      <c r="B1153" s="74"/>
      <c r="C1153" s="74"/>
      <c r="D1153" s="74"/>
      <c r="F1153" s="74"/>
    </row>
    <row r="1154" spans="2:6" x14ac:dyDescent="0.3">
      <c r="B1154" s="74"/>
      <c r="C1154" s="74"/>
      <c r="D1154" s="74"/>
      <c r="F1154" s="74"/>
    </row>
    <row r="1155" spans="2:6" x14ac:dyDescent="0.3">
      <c r="B1155" s="74"/>
      <c r="C1155" s="74"/>
      <c r="D1155" s="74"/>
      <c r="F1155" s="74"/>
    </row>
    <row r="1156" spans="2:6" x14ac:dyDescent="0.3">
      <c r="B1156" s="74"/>
      <c r="C1156" s="74"/>
      <c r="D1156" s="74"/>
      <c r="F1156" s="74"/>
    </row>
    <row r="1157" spans="2:6" x14ac:dyDescent="0.3">
      <c r="B1157" s="74"/>
      <c r="C1157" s="74"/>
      <c r="D1157" s="74"/>
      <c r="F1157" s="74"/>
    </row>
    <row r="1158" spans="2:6" x14ac:dyDescent="0.3">
      <c r="B1158" s="74"/>
      <c r="C1158" s="74"/>
      <c r="D1158" s="74"/>
      <c r="F1158" s="74"/>
    </row>
    <row r="1159" spans="2:6" x14ac:dyDescent="0.3">
      <c r="B1159" s="74"/>
      <c r="C1159" s="74"/>
      <c r="D1159" s="74"/>
      <c r="F1159" s="74"/>
    </row>
    <row r="1160" spans="2:6" x14ac:dyDescent="0.3">
      <c r="B1160" s="74"/>
      <c r="C1160" s="74"/>
      <c r="D1160" s="74"/>
      <c r="F1160" s="74"/>
    </row>
    <row r="1161" spans="2:6" x14ac:dyDescent="0.3">
      <c r="B1161" s="74"/>
      <c r="C1161" s="74"/>
      <c r="D1161" s="74"/>
      <c r="F1161" s="74"/>
    </row>
    <row r="1162" spans="2:6" x14ac:dyDescent="0.3">
      <c r="B1162" s="74"/>
      <c r="C1162" s="74"/>
      <c r="D1162" s="74"/>
      <c r="F1162" s="74"/>
    </row>
    <row r="1163" spans="2:6" x14ac:dyDescent="0.3">
      <c r="B1163" s="74"/>
      <c r="C1163" s="74"/>
      <c r="D1163" s="74"/>
      <c r="F1163" s="74"/>
    </row>
    <row r="1164" spans="2:6" x14ac:dyDescent="0.3">
      <c r="B1164" s="74"/>
      <c r="C1164" s="74"/>
      <c r="D1164" s="74"/>
      <c r="F1164" s="74"/>
    </row>
    <row r="1165" spans="2:6" x14ac:dyDescent="0.3">
      <c r="B1165" s="74"/>
      <c r="C1165" s="74"/>
      <c r="D1165" s="74"/>
      <c r="F1165" s="74"/>
    </row>
    <row r="1166" spans="2:6" x14ac:dyDescent="0.3">
      <c r="B1166" s="74"/>
      <c r="C1166" s="74"/>
      <c r="D1166" s="74"/>
      <c r="F1166" s="74"/>
    </row>
    <row r="1167" spans="2:6" x14ac:dyDescent="0.3">
      <c r="B1167" s="74"/>
      <c r="C1167" s="74"/>
      <c r="D1167" s="74"/>
      <c r="F1167" s="74"/>
    </row>
    <row r="1168" spans="2:6" x14ac:dyDescent="0.3">
      <c r="B1168" s="74"/>
      <c r="C1168" s="74"/>
      <c r="D1168" s="74"/>
      <c r="F1168" s="74"/>
    </row>
    <row r="1169" spans="2:6" x14ac:dyDescent="0.3">
      <c r="B1169" s="74"/>
      <c r="C1169" s="74"/>
      <c r="D1169" s="74"/>
      <c r="F1169" s="74"/>
    </row>
    <row r="1170" spans="2:6" x14ac:dyDescent="0.3">
      <c r="B1170" s="74"/>
      <c r="C1170" s="74"/>
      <c r="D1170" s="74"/>
      <c r="F1170" s="74"/>
    </row>
    <row r="1171" spans="2:6" x14ac:dyDescent="0.3">
      <c r="B1171" s="74"/>
      <c r="C1171" s="74"/>
      <c r="D1171" s="74"/>
      <c r="F1171" s="74"/>
    </row>
    <row r="1172" spans="2:6" x14ac:dyDescent="0.3">
      <c r="B1172" s="74"/>
      <c r="C1172" s="74"/>
      <c r="D1172" s="74"/>
      <c r="F1172" s="74"/>
    </row>
    <row r="1173" spans="2:6" x14ac:dyDescent="0.3">
      <c r="B1173" s="74"/>
      <c r="C1173" s="74"/>
      <c r="D1173" s="74"/>
      <c r="F1173" s="74"/>
    </row>
    <row r="1174" spans="2:6" x14ac:dyDescent="0.3">
      <c r="B1174" s="74"/>
      <c r="C1174" s="74"/>
      <c r="D1174" s="74"/>
      <c r="F1174" s="74"/>
    </row>
    <row r="1175" spans="2:6" x14ac:dyDescent="0.3">
      <c r="B1175" s="74"/>
      <c r="C1175" s="74"/>
      <c r="D1175" s="74"/>
      <c r="F1175" s="74"/>
    </row>
    <row r="1176" spans="2:6" x14ac:dyDescent="0.3">
      <c r="B1176" s="74"/>
      <c r="C1176" s="74"/>
      <c r="D1176" s="74"/>
      <c r="F1176" s="74"/>
    </row>
    <row r="1177" spans="2:6" x14ac:dyDescent="0.3">
      <c r="B1177" s="74"/>
      <c r="C1177" s="74"/>
      <c r="D1177" s="74"/>
      <c r="F1177" s="74"/>
    </row>
    <row r="1178" spans="2:6" x14ac:dyDescent="0.3">
      <c r="B1178" s="74"/>
      <c r="C1178" s="74"/>
      <c r="D1178" s="74"/>
      <c r="F1178" s="74"/>
    </row>
    <row r="1179" spans="2:6" x14ac:dyDescent="0.3">
      <c r="B1179" s="74"/>
      <c r="C1179" s="74"/>
      <c r="D1179" s="74"/>
      <c r="F1179" s="74"/>
    </row>
    <row r="1180" spans="2:6" x14ac:dyDescent="0.3">
      <c r="B1180" s="74"/>
      <c r="C1180" s="74"/>
      <c r="D1180" s="74"/>
      <c r="F1180" s="74"/>
    </row>
    <row r="1181" spans="2:6" x14ac:dyDescent="0.3">
      <c r="B1181" s="74"/>
      <c r="C1181" s="74"/>
      <c r="D1181" s="74"/>
      <c r="F1181" s="74"/>
    </row>
    <row r="1182" spans="2:6" x14ac:dyDescent="0.3">
      <c r="B1182" s="74"/>
      <c r="C1182" s="74"/>
      <c r="D1182" s="74"/>
      <c r="F1182" s="74"/>
    </row>
    <row r="1183" spans="2:6" x14ac:dyDescent="0.3">
      <c r="B1183" s="74"/>
      <c r="C1183" s="74"/>
      <c r="D1183" s="74"/>
      <c r="F1183" s="74"/>
    </row>
    <row r="1184" spans="2:6" x14ac:dyDescent="0.3">
      <c r="B1184" s="74"/>
      <c r="C1184" s="74"/>
      <c r="D1184" s="74"/>
      <c r="F1184" s="74"/>
    </row>
    <row r="1185" spans="2:6" x14ac:dyDescent="0.3">
      <c r="B1185" s="74"/>
      <c r="C1185" s="74"/>
      <c r="D1185" s="74"/>
      <c r="F1185" s="74"/>
    </row>
    <row r="1186" spans="2:6" x14ac:dyDescent="0.3">
      <c r="B1186" s="74"/>
      <c r="C1186" s="74"/>
      <c r="D1186" s="74"/>
      <c r="F1186" s="74"/>
    </row>
    <row r="1187" spans="2:6" x14ac:dyDescent="0.3">
      <c r="B1187" s="74"/>
      <c r="C1187" s="74"/>
      <c r="D1187" s="74"/>
      <c r="F1187" s="74"/>
    </row>
    <row r="1188" spans="2:6" x14ac:dyDescent="0.3">
      <c r="B1188" s="74"/>
      <c r="C1188" s="74"/>
      <c r="D1188" s="74"/>
      <c r="F1188" s="74"/>
    </row>
    <row r="1189" spans="2:6" x14ac:dyDescent="0.3">
      <c r="B1189" s="74"/>
      <c r="C1189" s="74"/>
      <c r="D1189" s="74"/>
      <c r="F1189" s="74"/>
    </row>
    <row r="1190" spans="2:6" x14ac:dyDescent="0.3">
      <c r="B1190" s="74"/>
      <c r="C1190" s="74"/>
      <c r="D1190" s="74"/>
      <c r="F1190" s="74"/>
    </row>
    <row r="1191" spans="2:6" x14ac:dyDescent="0.3">
      <c r="B1191" s="74"/>
      <c r="C1191" s="74"/>
      <c r="D1191" s="74"/>
      <c r="F1191" s="74"/>
    </row>
    <row r="1192" spans="2:6" x14ac:dyDescent="0.3">
      <c r="B1192" s="74"/>
      <c r="C1192" s="74"/>
      <c r="D1192" s="74"/>
      <c r="F1192" s="74"/>
    </row>
    <row r="1193" spans="2:6" x14ac:dyDescent="0.3">
      <c r="B1193" s="74"/>
      <c r="C1193" s="74"/>
      <c r="D1193" s="74"/>
      <c r="F1193" s="74"/>
    </row>
    <row r="1194" spans="2:6" x14ac:dyDescent="0.3">
      <c r="B1194" s="74"/>
      <c r="C1194" s="74"/>
      <c r="D1194" s="74"/>
      <c r="F1194" s="74"/>
    </row>
    <row r="1195" spans="2:6" x14ac:dyDescent="0.3">
      <c r="B1195" s="74"/>
      <c r="C1195" s="74"/>
      <c r="D1195" s="74"/>
      <c r="F1195" s="74"/>
    </row>
    <row r="1196" spans="2:6" x14ac:dyDescent="0.3">
      <c r="B1196" s="74"/>
      <c r="C1196" s="74"/>
      <c r="D1196" s="74"/>
      <c r="F1196" s="74"/>
    </row>
    <row r="1197" spans="2:6" x14ac:dyDescent="0.3">
      <c r="B1197" s="74"/>
      <c r="C1197" s="74"/>
      <c r="D1197" s="74"/>
      <c r="F1197" s="74"/>
    </row>
    <row r="1198" spans="2:6" x14ac:dyDescent="0.3">
      <c r="B1198" s="74"/>
      <c r="C1198" s="74"/>
      <c r="D1198" s="74"/>
      <c r="F1198" s="74"/>
    </row>
    <row r="1199" spans="2:6" x14ac:dyDescent="0.3">
      <c r="B1199" s="74"/>
      <c r="C1199" s="74"/>
      <c r="D1199" s="74"/>
      <c r="F1199" s="74"/>
    </row>
    <row r="1200" spans="2:6" x14ac:dyDescent="0.3">
      <c r="B1200" s="74"/>
      <c r="C1200" s="74"/>
      <c r="D1200" s="74"/>
      <c r="F1200" s="74"/>
    </row>
    <row r="1201" spans="2:6" x14ac:dyDescent="0.3">
      <c r="B1201" s="74"/>
      <c r="C1201" s="74"/>
      <c r="D1201" s="74"/>
      <c r="F1201" s="74"/>
    </row>
    <row r="1202" spans="2:6" x14ac:dyDescent="0.3">
      <c r="B1202" s="74"/>
      <c r="C1202" s="74"/>
      <c r="D1202" s="74"/>
      <c r="F1202" s="74"/>
    </row>
    <row r="1203" spans="2:6" x14ac:dyDescent="0.3">
      <c r="B1203" s="74"/>
      <c r="C1203" s="74"/>
      <c r="D1203" s="74"/>
      <c r="F1203" s="74"/>
    </row>
    <row r="1204" spans="2:6" x14ac:dyDescent="0.3">
      <c r="B1204" s="74"/>
      <c r="C1204" s="74"/>
      <c r="D1204" s="74"/>
      <c r="F1204" s="74"/>
    </row>
    <row r="1205" spans="2:6" x14ac:dyDescent="0.3">
      <c r="B1205" s="74"/>
      <c r="C1205" s="74"/>
      <c r="D1205" s="74"/>
      <c r="F1205" s="74"/>
    </row>
    <row r="1206" spans="2:6" x14ac:dyDescent="0.3">
      <c r="B1206" s="74"/>
      <c r="C1206" s="74"/>
      <c r="D1206" s="74"/>
      <c r="F1206" s="74"/>
    </row>
    <row r="1207" spans="2:6" x14ac:dyDescent="0.3">
      <c r="B1207" s="74"/>
      <c r="C1207" s="74"/>
      <c r="D1207" s="74"/>
      <c r="F1207" s="74"/>
    </row>
    <row r="1208" spans="2:6" x14ac:dyDescent="0.3">
      <c r="B1208" s="74"/>
      <c r="C1208" s="74"/>
      <c r="D1208" s="74"/>
      <c r="F1208" s="74"/>
    </row>
    <row r="1209" spans="2:6" x14ac:dyDescent="0.3">
      <c r="B1209" s="74"/>
      <c r="C1209" s="74"/>
      <c r="D1209" s="74"/>
      <c r="F1209" s="74"/>
    </row>
    <row r="1210" spans="2:6" x14ac:dyDescent="0.3">
      <c r="B1210" s="74"/>
      <c r="C1210" s="74"/>
      <c r="D1210" s="74"/>
      <c r="F1210" s="74"/>
    </row>
    <row r="1211" spans="2:6" x14ac:dyDescent="0.3">
      <c r="B1211" s="74"/>
      <c r="C1211" s="74"/>
      <c r="D1211" s="74"/>
      <c r="F1211" s="74"/>
    </row>
    <row r="1212" spans="2:6" x14ac:dyDescent="0.3">
      <c r="B1212" s="74"/>
      <c r="C1212" s="74"/>
      <c r="D1212" s="74"/>
      <c r="F1212" s="74"/>
    </row>
    <row r="1213" spans="2:6" x14ac:dyDescent="0.3">
      <c r="B1213" s="74"/>
      <c r="C1213" s="74"/>
      <c r="D1213" s="74"/>
      <c r="F1213" s="74"/>
    </row>
    <row r="1214" spans="2:6" x14ac:dyDescent="0.3">
      <c r="B1214" s="74"/>
      <c r="C1214" s="74"/>
      <c r="D1214" s="74"/>
      <c r="F1214" s="74"/>
    </row>
    <row r="1215" spans="2:6" x14ac:dyDescent="0.3">
      <c r="B1215" s="74"/>
      <c r="C1215" s="74"/>
      <c r="D1215" s="74"/>
      <c r="F1215" s="74"/>
    </row>
    <row r="1216" spans="2:6" x14ac:dyDescent="0.3">
      <c r="B1216" s="74"/>
      <c r="C1216" s="74"/>
      <c r="D1216" s="74"/>
      <c r="F1216" s="74"/>
    </row>
    <row r="1217" spans="2:6" x14ac:dyDescent="0.3">
      <c r="B1217" s="74"/>
      <c r="C1217" s="74"/>
      <c r="D1217" s="74"/>
      <c r="F1217" s="74"/>
    </row>
    <row r="1218" spans="2:6" x14ac:dyDescent="0.3">
      <c r="B1218" s="74"/>
      <c r="C1218" s="74"/>
      <c r="D1218" s="74"/>
      <c r="F1218" s="74"/>
    </row>
    <row r="1219" spans="2:6" x14ac:dyDescent="0.3">
      <c r="B1219" s="74"/>
      <c r="C1219" s="74"/>
      <c r="D1219" s="74"/>
      <c r="F1219" s="74"/>
    </row>
    <row r="1220" spans="2:6" x14ac:dyDescent="0.3">
      <c r="B1220" s="74"/>
      <c r="C1220" s="74"/>
      <c r="D1220" s="74"/>
      <c r="F1220" s="74"/>
    </row>
    <row r="1221" spans="2:6" x14ac:dyDescent="0.3">
      <c r="B1221" s="74"/>
      <c r="C1221" s="74"/>
      <c r="D1221" s="74"/>
      <c r="F1221" s="74"/>
    </row>
    <row r="1222" spans="2:6" x14ac:dyDescent="0.3">
      <c r="B1222" s="74"/>
      <c r="C1222" s="74"/>
      <c r="D1222" s="74"/>
      <c r="F1222" s="74"/>
    </row>
    <row r="1223" spans="2:6" x14ac:dyDescent="0.3">
      <c r="B1223" s="74"/>
      <c r="C1223" s="74"/>
      <c r="D1223" s="74"/>
      <c r="F1223" s="74"/>
    </row>
    <row r="1224" spans="2:6" x14ac:dyDescent="0.3">
      <c r="B1224" s="74"/>
      <c r="C1224" s="74"/>
      <c r="D1224" s="74"/>
      <c r="F1224" s="74"/>
    </row>
    <row r="1225" spans="2:6" x14ac:dyDescent="0.3">
      <c r="B1225" s="74"/>
      <c r="C1225" s="74"/>
      <c r="D1225" s="74"/>
      <c r="F1225" s="74"/>
    </row>
    <row r="1226" spans="2:6" x14ac:dyDescent="0.3">
      <c r="B1226" s="74"/>
      <c r="C1226" s="74"/>
      <c r="D1226" s="74"/>
      <c r="F1226" s="74"/>
    </row>
    <row r="1227" spans="2:6" x14ac:dyDescent="0.3">
      <c r="B1227" s="74"/>
      <c r="C1227" s="74"/>
      <c r="D1227" s="74"/>
      <c r="F1227" s="74"/>
    </row>
    <row r="1228" spans="2:6" x14ac:dyDescent="0.3">
      <c r="B1228" s="74"/>
      <c r="C1228" s="74"/>
      <c r="D1228" s="74"/>
      <c r="F1228" s="74"/>
    </row>
    <row r="1229" spans="2:6" x14ac:dyDescent="0.3">
      <c r="B1229" s="74"/>
      <c r="C1229" s="74"/>
      <c r="D1229" s="74"/>
      <c r="F1229" s="74"/>
    </row>
    <row r="1230" spans="2:6" x14ac:dyDescent="0.3">
      <c r="B1230" s="74"/>
      <c r="C1230" s="74"/>
      <c r="D1230" s="74"/>
      <c r="F1230" s="74"/>
    </row>
    <row r="1231" spans="2:6" x14ac:dyDescent="0.3">
      <c r="B1231" s="74"/>
      <c r="C1231" s="74"/>
      <c r="D1231" s="74"/>
      <c r="F1231" s="74"/>
    </row>
    <row r="1232" spans="2:6" x14ac:dyDescent="0.3">
      <c r="B1232" s="74"/>
      <c r="C1232" s="74"/>
      <c r="D1232" s="74"/>
      <c r="F1232" s="74"/>
    </row>
    <row r="1233" spans="2:6" x14ac:dyDescent="0.3">
      <c r="B1233" s="74"/>
      <c r="C1233" s="74"/>
      <c r="D1233" s="74"/>
      <c r="F1233" s="74"/>
    </row>
    <row r="1234" spans="2:6" x14ac:dyDescent="0.3">
      <c r="B1234" s="74"/>
      <c r="C1234" s="74"/>
      <c r="D1234" s="74"/>
      <c r="F1234" s="74"/>
    </row>
    <row r="1235" spans="2:6" x14ac:dyDescent="0.3">
      <c r="B1235" s="74"/>
      <c r="C1235" s="74"/>
      <c r="D1235" s="74"/>
      <c r="F1235" s="74"/>
    </row>
    <row r="1236" spans="2:6" x14ac:dyDescent="0.3">
      <c r="B1236" s="74"/>
      <c r="C1236" s="74"/>
      <c r="D1236" s="74"/>
      <c r="F1236" s="74"/>
    </row>
    <row r="1237" spans="2:6" x14ac:dyDescent="0.3">
      <c r="B1237" s="74"/>
      <c r="C1237" s="74"/>
      <c r="D1237" s="74"/>
      <c r="F1237" s="74"/>
    </row>
    <row r="1238" spans="2:6" x14ac:dyDescent="0.3">
      <c r="B1238" s="74"/>
      <c r="C1238" s="74"/>
      <c r="D1238" s="74"/>
      <c r="F1238" s="74"/>
    </row>
    <row r="1239" spans="2:6" x14ac:dyDescent="0.3">
      <c r="B1239" s="74"/>
      <c r="C1239" s="74"/>
      <c r="D1239" s="74"/>
      <c r="F1239" s="74"/>
    </row>
    <row r="1240" spans="2:6" x14ac:dyDescent="0.3">
      <c r="B1240" s="74"/>
      <c r="C1240" s="74"/>
      <c r="D1240" s="74"/>
      <c r="F1240" s="74"/>
    </row>
    <row r="1241" spans="2:6" x14ac:dyDescent="0.3">
      <c r="B1241" s="74"/>
      <c r="C1241" s="74"/>
      <c r="D1241" s="74"/>
      <c r="F1241" s="74"/>
    </row>
    <row r="1242" spans="2:6" x14ac:dyDescent="0.3">
      <c r="B1242" s="74"/>
      <c r="C1242" s="74"/>
      <c r="D1242" s="74"/>
      <c r="F1242" s="74"/>
    </row>
    <row r="1243" spans="2:6" x14ac:dyDescent="0.3">
      <c r="B1243" s="74"/>
      <c r="C1243" s="74"/>
      <c r="D1243" s="74"/>
      <c r="F1243" s="74"/>
    </row>
    <row r="1244" spans="2:6" x14ac:dyDescent="0.3">
      <c r="B1244" s="74"/>
      <c r="C1244" s="74"/>
      <c r="D1244" s="74"/>
      <c r="F1244" s="74"/>
    </row>
    <row r="1245" spans="2:6" x14ac:dyDescent="0.3">
      <c r="B1245" s="74"/>
      <c r="C1245" s="74"/>
      <c r="D1245" s="74"/>
      <c r="F1245" s="74"/>
    </row>
    <row r="1246" spans="2:6" x14ac:dyDescent="0.3">
      <c r="B1246" s="74"/>
      <c r="C1246" s="74"/>
      <c r="D1246" s="74"/>
      <c r="F1246" s="74"/>
    </row>
    <row r="1247" spans="2:6" x14ac:dyDescent="0.3">
      <c r="B1247" s="74"/>
      <c r="C1247" s="74"/>
      <c r="D1247" s="74"/>
      <c r="F1247" s="74"/>
    </row>
    <row r="1248" spans="2:6" x14ac:dyDescent="0.3">
      <c r="B1248" s="74"/>
      <c r="C1248" s="74"/>
      <c r="D1248" s="74"/>
      <c r="F1248" s="74"/>
    </row>
    <row r="1249" spans="2:6" x14ac:dyDescent="0.3">
      <c r="B1249" s="74"/>
      <c r="C1249" s="74"/>
      <c r="D1249" s="74"/>
      <c r="F1249" s="74"/>
    </row>
    <row r="1250" spans="2:6" x14ac:dyDescent="0.3">
      <c r="B1250" s="74"/>
      <c r="C1250" s="74"/>
      <c r="D1250" s="74"/>
      <c r="F1250" s="74"/>
    </row>
    <row r="1251" spans="2:6" x14ac:dyDescent="0.3">
      <c r="B1251" s="74"/>
      <c r="C1251" s="74"/>
      <c r="D1251" s="74"/>
      <c r="F1251" s="74"/>
    </row>
    <row r="1252" spans="2:6" x14ac:dyDescent="0.3">
      <c r="B1252" s="74"/>
      <c r="C1252" s="74"/>
      <c r="D1252" s="74"/>
      <c r="F1252" s="74"/>
    </row>
    <row r="1253" spans="2:6" x14ac:dyDescent="0.3">
      <c r="B1253" s="74"/>
      <c r="C1253" s="74"/>
      <c r="D1253" s="74"/>
      <c r="F1253" s="74"/>
    </row>
    <row r="1254" spans="2:6" x14ac:dyDescent="0.3">
      <c r="B1254" s="74"/>
      <c r="C1254" s="74"/>
      <c r="D1254" s="74"/>
      <c r="F1254" s="74"/>
    </row>
    <row r="1255" spans="2:6" x14ac:dyDescent="0.3">
      <c r="B1255" s="74"/>
      <c r="C1255" s="74"/>
      <c r="D1255" s="74"/>
      <c r="F1255" s="74"/>
    </row>
    <row r="1256" spans="2:6" x14ac:dyDescent="0.3">
      <c r="B1256" s="74"/>
      <c r="C1256" s="74"/>
      <c r="D1256" s="74"/>
      <c r="F1256" s="74"/>
    </row>
    <row r="1257" spans="2:6" x14ac:dyDescent="0.3">
      <c r="B1257" s="74"/>
      <c r="C1257" s="74"/>
      <c r="D1257" s="74"/>
      <c r="F1257" s="74"/>
    </row>
    <row r="1258" spans="2:6" x14ac:dyDescent="0.3">
      <c r="B1258" s="74"/>
      <c r="C1258" s="74"/>
      <c r="D1258" s="74"/>
      <c r="F1258" s="74"/>
    </row>
    <row r="1259" spans="2:6" x14ac:dyDescent="0.3">
      <c r="B1259" s="74"/>
      <c r="C1259" s="74"/>
      <c r="D1259" s="74"/>
      <c r="F1259" s="74"/>
    </row>
    <row r="1260" spans="2:6" x14ac:dyDescent="0.3">
      <c r="B1260" s="74"/>
      <c r="C1260" s="74"/>
      <c r="D1260" s="74"/>
      <c r="F1260" s="74"/>
    </row>
    <row r="1261" spans="2:6" x14ac:dyDescent="0.3">
      <c r="B1261" s="74"/>
      <c r="C1261" s="74"/>
      <c r="D1261" s="74"/>
      <c r="F1261" s="74"/>
    </row>
    <row r="1262" spans="2:6" x14ac:dyDescent="0.3">
      <c r="B1262" s="74"/>
      <c r="C1262" s="74"/>
      <c r="D1262" s="74"/>
      <c r="F1262" s="74"/>
    </row>
    <row r="1263" spans="2:6" x14ac:dyDescent="0.3">
      <c r="B1263" s="74"/>
      <c r="C1263" s="74"/>
      <c r="D1263" s="74"/>
      <c r="F1263" s="74"/>
    </row>
    <row r="1264" spans="2:6" x14ac:dyDescent="0.3">
      <c r="B1264" s="74"/>
      <c r="C1264" s="74"/>
      <c r="D1264" s="74"/>
      <c r="F1264" s="74"/>
    </row>
    <row r="1265" spans="2:6" x14ac:dyDescent="0.3">
      <c r="B1265" s="74"/>
      <c r="C1265" s="74"/>
      <c r="D1265" s="74"/>
      <c r="F1265" s="74"/>
    </row>
    <row r="1266" spans="2:6" x14ac:dyDescent="0.3">
      <c r="B1266" s="74"/>
      <c r="C1266" s="74"/>
      <c r="D1266" s="74"/>
      <c r="F1266" s="74"/>
    </row>
    <row r="1267" spans="2:6" x14ac:dyDescent="0.3">
      <c r="B1267" s="74"/>
      <c r="C1267" s="74"/>
      <c r="D1267" s="74"/>
      <c r="F1267" s="74"/>
    </row>
    <row r="1268" spans="2:6" x14ac:dyDescent="0.3">
      <c r="B1268" s="74"/>
      <c r="C1268" s="74"/>
      <c r="D1268" s="74"/>
      <c r="F1268" s="74"/>
    </row>
    <row r="1269" spans="2:6" x14ac:dyDescent="0.3">
      <c r="B1269" s="74"/>
      <c r="C1269" s="74"/>
      <c r="D1269" s="74"/>
      <c r="F1269" s="74"/>
    </row>
    <row r="1270" spans="2:6" x14ac:dyDescent="0.3">
      <c r="B1270" s="74"/>
      <c r="C1270" s="74"/>
      <c r="D1270" s="74"/>
      <c r="F1270" s="74"/>
    </row>
    <row r="1271" spans="2:6" x14ac:dyDescent="0.3">
      <c r="B1271" s="74"/>
      <c r="C1271" s="74"/>
      <c r="D1271" s="74"/>
      <c r="F1271" s="74"/>
    </row>
    <row r="1272" spans="2:6" x14ac:dyDescent="0.3">
      <c r="B1272" s="74"/>
      <c r="C1272" s="74"/>
      <c r="D1272" s="74"/>
      <c r="F1272" s="74"/>
    </row>
    <row r="1273" spans="2:6" x14ac:dyDescent="0.3">
      <c r="B1273" s="74"/>
      <c r="C1273" s="74"/>
      <c r="D1273" s="74"/>
      <c r="F1273" s="74"/>
    </row>
    <row r="1274" spans="2:6" x14ac:dyDescent="0.3">
      <c r="B1274" s="74"/>
      <c r="C1274" s="74"/>
      <c r="D1274" s="74"/>
      <c r="F1274" s="74"/>
    </row>
    <row r="1275" spans="2:6" x14ac:dyDescent="0.3">
      <c r="B1275" s="74"/>
      <c r="C1275" s="74"/>
      <c r="D1275" s="74"/>
      <c r="F1275" s="74"/>
    </row>
    <row r="1276" spans="2:6" x14ac:dyDescent="0.3">
      <c r="B1276" s="74"/>
      <c r="C1276" s="74"/>
      <c r="D1276" s="74"/>
      <c r="F1276" s="74"/>
    </row>
    <row r="1277" spans="2:6" x14ac:dyDescent="0.3">
      <c r="B1277" s="74"/>
      <c r="C1277" s="74"/>
      <c r="D1277" s="74"/>
      <c r="F1277" s="74"/>
    </row>
    <row r="1278" spans="2:6" x14ac:dyDescent="0.3">
      <c r="B1278" s="74"/>
      <c r="C1278" s="74"/>
      <c r="D1278" s="74"/>
      <c r="F1278" s="74"/>
    </row>
    <row r="1279" spans="2:6" x14ac:dyDescent="0.3">
      <c r="B1279" s="74"/>
      <c r="C1279" s="74"/>
      <c r="D1279" s="74"/>
      <c r="F1279" s="74"/>
    </row>
    <row r="1280" spans="2:6" x14ac:dyDescent="0.3">
      <c r="B1280" s="74"/>
      <c r="C1280" s="74"/>
      <c r="D1280" s="74"/>
      <c r="F1280" s="74"/>
    </row>
    <row r="1281" spans="2:6" x14ac:dyDescent="0.3">
      <c r="B1281" s="74"/>
      <c r="C1281" s="74"/>
      <c r="D1281" s="74"/>
      <c r="F1281" s="74"/>
    </row>
    <row r="1282" spans="2:6" x14ac:dyDescent="0.3">
      <c r="B1282" s="74"/>
      <c r="C1282" s="74"/>
      <c r="D1282" s="74"/>
      <c r="F1282" s="74"/>
    </row>
    <row r="1283" spans="2:6" x14ac:dyDescent="0.3">
      <c r="B1283" s="74"/>
      <c r="C1283" s="74"/>
      <c r="D1283" s="74"/>
      <c r="F1283" s="74"/>
    </row>
    <row r="1284" spans="2:6" x14ac:dyDescent="0.3">
      <c r="B1284" s="74"/>
      <c r="C1284" s="74"/>
      <c r="D1284" s="74"/>
      <c r="F1284" s="74"/>
    </row>
    <row r="1285" spans="2:6" x14ac:dyDescent="0.3">
      <c r="B1285" s="74"/>
      <c r="C1285" s="74"/>
      <c r="D1285" s="74"/>
      <c r="F1285" s="74"/>
    </row>
    <row r="1286" spans="2:6" x14ac:dyDescent="0.3">
      <c r="B1286" s="74"/>
      <c r="C1286" s="74"/>
      <c r="D1286" s="74"/>
      <c r="F1286" s="74"/>
    </row>
    <row r="1287" spans="2:6" x14ac:dyDescent="0.3">
      <c r="B1287" s="74"/>
      <c r="C1287" s="74"/>
      <c r="D1287" s="74"/>
      <c r="F1287" s="74"/>
    </row>
    <row r="1288" spans="2:6" x14ac:dyDescent="0.3">
      <c r="B1288" s="74"/>
      <c r="C1288" s="74"/>
      <c r="D1288" s="74"/>
      <c r="F1288" s="74"/>
    </row>
    <row r="1289" spans="2:6" x14ac:dyDescent="0.3">
      <c r="B1289" s="74"/>
      <c r="C1289" s="74"/>
      <c r="D1289" s="74"/>
      <c r="F1289" s="74"/>
    </row>
    <row r="1290" spans="2:6" x14ac:dyDescent="0.3">
      <c r="B1290" s="74"/>
      <c r="C1290" s="74"/>
      <c r="D1290" s="74"/>
      <c r="F1290" s="74"/>
    </row>
    <row r="1291" spans="2:6" x14ac:dyDescent="0.3">
      <c r="B1291" s="74"/>
      <c r="C1291" s="74"/>
      <c r="D1291" s="74"/>
      <c r="F1291" s="74"/>
    </row>
    <row r="1292" spans="2:6" x14ac:dyDescent="0.3">
      <c r="B1292" s="74"/>
      <c r="C1292" s="74"/>
      <c r="D1292" s="74"/>
      <c r="F1292" s="74"/>
    </row>
    <row r="1293" spans="2:6" x14ac:dyDescent="0.3">
      <c r="B1293" s="74"/>
      <c r="C1293" s="74"/>
      <c r="D1293" s="74"/>
      <c r="F1293" s="74"/>
    </row>
    <row r="1294" spans="2:6" x14ac:dyDescent="0.3">
      <c r="B1294" s="74"/>
      <c r="C1294" s="74"/>
      <c r="D1294" s="74"/>
      <c r="F1294" s="74"/>
    </row>
    <row r="1295" spans="2:6" x14ac:dyDescent="0.3">
      <c r="B1295" s="74"/>
      <c r="C1295" s="74"/>
      <c r="D1295" s="74"/>
      <c r="F1295" s="74"/>
    </row>
    <row r="1296" spans="2:6" x14ac:dyDescent="0.3">
      <c r="B1296" s="74"/>
      <c r="C1296" s="74"/>
      <c r="D1296" s="74"/>
      <c r="F1296" s="74"/>
    </row>
    <row r="1297" spans="2:6" x14ac:dyDescent="0.3">
      <c r="B1297" s="74"/>
      <c r="C1297" s="74"/>
      <c r="D1297" s="74"/>
      <c r="F1297" s="74"/>
    </row>
    <row r="1298" spans="2:6" x14ac:dyDescent="0.3">
      <c r="B1298" s="74"/>
      <c r="C1298" s="74"/>
      <c r="D1298" s="74"/>
      <c r="F1298" s="74"/>
    </row>
    <row r="1299" spans="2:6" x14ac:dyDescent="0.3">
      <c r="B1299" s="74"/>
      <c r="C1299" s="74"/>
      <c r="D1299" s="74"/>
      <c r="F1299" s="74"/>
    </row>
    <row r="1300" spans="2:6" x14ac:dyDescent="0.3">
      <c r="B1300" s="74"/>
      <c r="C1300" s="74"/>
      <c r="D1300" s="74"/>
      <c r="F1300" s="74"/>
    </row>
    <row r="1301" spans="2:6" x14ac:dyDescent="0.3">
      <c r="B1301" s="74"/>
      <c r="C1301" s="74"/>
      <c r="D1301" s="74"/>
      <c r="F1301" s="74"/>
    </row>
    <row r="1302" spans="2:6" x14ac:dyDescent="0.3">
      <c r="B1302" s="74"/>
      <c r="C1302" s="74"/>
      <c r="D1302" s="74"/>
      <c r="F1302" s="74"/>
    </row>
    <row r="1303" spans="2:6" x14ac:dyDescent="0.3">
      <c r="B1303" s="74"/>
      <c r="C1303" s="74"/>
      <c r="D1303" s="74"/>
      <c r="F1303" s="74"/>
    </row>
    <row r="1304" spans="2:6" x14ac:dyDescent="0.3">
      <c r="B1304" s="74"/>
      <c r="C1304" s="74"/>
      <c r="D1304" s="74"/>
      <c r="F1304" s="74"/>
    </row>
    <row r="1305" spans="2:6" x14ac:dyDescent="0.3">
      <c r="B1305" s="74"/>
      <c r="C1305" s="74"/>
      <c r="D1305" s="74"/>
      <c r="F1305" s="74"/>
    </row>
    <row r="1306" spans="2:6" x14ac:dyDescent="0.3">
      <c r="B1306" s="74"/>
      <c r="C1306" s="74"/>
      <c r="D1306" s="74"/>
      <c r="F1306" s="74"/>
    </row>
    <row r="1307" spans="2:6" x14ac:dyDescent="0.3">
      <c r="B1307" s="74"/>
      <c r="C1307" s="74"/>
      <c r="D1307" s="74"/>
      <c r="F1307" s="74"/>
    </row>
    <row r="1308" spans="2:6" x14ac:dyDescent="0.3">
      <c r="B1308" s="74"/>
      <c r="C1308" s="74"/>
      <c r="D1308" s="74"/>
      <c r="F1308" s="74"/>
    </row>
    <row r="1309" spans="2:6" x14ac:dyDescent="0.3">
      <c r="B1309" s="74"/>
      <c r="C1309" s="74"/>
      <c r="D1309" s="74"/>
      <c r="F1309" s="74"/>
    </row>
    <row r="1310" spans="2:6" x14ac:dyDescent="0.3">
      <c r="B1310" s="74"/>
      <c r="C1310" s="74"/>
      <c r="D1310" s="74"/>
      <c r="F1310" s="74"/>
    </row>
    <row r="1311" spans="2:6" x14ac:dyDescent="0.3">
      <c r="B1311" s="74"/>
      <c r="C1311" s="74"/>
      <c r="D1311" s="74"/>
      <c r="F1311" s="74"/>
    </row>
    <row r="1312" spans="2:6" x14ac:dyDescent="0.3">
      <c r="B1312" s="74"/>
      <c r="C1312" s="74"/>
      <c r="D1312" s="74"/>
      <c r="F1312" s="74"/>
    </row>
    <row r="1313" spans="2:6" x14ac:dyDescent="0.3">
      <c r="B1313" s="74"/>
      <c r="C1313" s="74"/>
      <c r="D1313" s="74"/>
      <c r="F1313" s="74"/>
    </row>
    <row r="1314" spans="2:6" x14ac:dyDescent="0.3">
      <c r="B1314" s="74"/>
      <c r="C1314" s="74"/>
      <c r="D1314" s="74"/>
      <c r="F1314" s="74"/>
    </row>
    <row r="1315" spans="2:6" x14ac:dyDescent="0.3">
      <c r="B1315" s="74"/>
      <c r="C1315" s="74"/>
      <c r="D1315" s="74"/>
      <c r="F1315" s="74"/>
    </row>
    <row r="1316" spans="2:6" x14ac:dyDescent="0.3">
      <c r="B1316" s="74"/>
      <c r="C1316" s="74"/>
      <c r="D1316" s="74"/>
      <c r="F1316" s="74"/>
    </row>
    <row r="1317" spans="2:6" x14ac:dyDescent="0.3">
      <c r="B1317" s="74"/>
      <c r="C1317" s="74"/>
      <c r="D1317" s="74"/>
      <c r="F1317" s="74"/>
    </row>
    <row r="1318" spans="2:6" x14ac:dyDescent="0.3">
      <c r="B1318" s="74"/>
      <c r="C1318" s="74"/>
      <c r="D1318" s="74"/>
      <c r="F1318" s="74"/>
    </row>
    <row r="1319" spans="2:6" x14ac:dyDescent="0.3">
      <c r="B1319" s="74"/>
      <c r="C1319" s="74"/>
      <c r="D1319" s="74"/>
      <c r="F1319" s="74"/>
    </row>
    <row r="1320" spans="2:6" x14ac:dyDescent="0.3">
      <c r="B1320" s="74"/>
      <c r="C1320" s="74"/>
      <c r="D1320" s="74"/>
      <c r="F1320" s="74"/>
    </row>
    <row r="1321" spans="2:6" x14ac:dyDescent="0.3">
      <c r="B1321" s="74"/>
      <c r="C1321" s="74"/>
      <c r="D1321" s="74"/>
      <c r="F1321" s="74"/>
    </row>
    <row r="1322" spans="2:6" x14ac:dyDescent="0.3">
      <c r="B1322" s="74"/>
      <c r="C1322" s="74"/>
      <c r="D1322" s="74"/>
      <c r="F1322" s="74"/>
    </row>
    <row r="1323" spans="2:6" x14ac:dyDescent="0.3">
      <c r="B1323" s="74"/>
      <c r="C1323" s="74"/>
      <c r="D1323" s="74"/>
      <c r="F1323" s="74"/>
    </row>
    <row r="1324" spans="2:6" x14ac:dyDescent="0.3">
      <c r="B1324" s="74"/>
      <c r="C1324" s="74"/>
      <c r="D1324" s="74"/>
      <c r="F1324" s="74"/>
    </row>
    <row r="1325" spans="2:6" x14ac:dyDescent="0.3">
      <c r="B1325" s="74"/>
      <c r="C1325" s="74"/>
      <c r="D1325" s="74"/>
      <c r="F1325" s="74"/>
    </row>
    <row r="1326" spans="2:6" x14ac:dyDescent="0.3">
      <c r="B1326" s="74"/>
      <c r="C1326" s="74"/>
      <c r="D1326" s="74"/>
      <c r="F1326" s="74"/>
    </row>
    <row r="1327" spans="2:6" x14ac:dyDescent="0.3">
      <c r="B1327" s="74"/>
      <c r="C1327" s="74"/>
      <c r="D1327" s="74"/>
      <c r="F1327" s="74"/>
    </row>
    <row r="1328" spans="2:6" x14ac:dyDescent="0.3">
      <c r="B1328" s="74"/>
      <c r="C1328" s="74"/>
      <c r="D1328" s="74"/>
      <c r="F1328" s="74"/>
    </row>
    <row r="1329" spans="2:6" x14ac:dyDescent="0.3">
      <c r="B1329" s="74"/>
      <c r="C1329" s="74"/>
      <c r="D1329" s="74"/>
      <c r="F1329" s="74"/>
    </row>
    <row r="1330" spans="2:6" x14ac:dyDescent="0.3">
      <c r="B1330" s="74"/>
      <c r="C1330" s="74"/>
      <c r="D1330" s="74"/>
      <c r="F1330" s="74"/>
    </row>
    <row r="1331" spans="2:6" x14ac:dyDescent="0.3">
      <c r="B1331" s="74"/>
      <c r="C1331" s="74"/>
      <c r="D1331" s="74"/>
      <c r="F1331" s="74"/>
    </row>
    <row r="1332" spans="2:6" x14ac:dyDescent="0.3">
      <c r="B1332" s="74"/>
      <c r="C1332" s="74"/>
      <c r="D1332" s="74"/>
      <c r="F1332" s="74"/>
    </row>
    <row r="1333" spans="2:6" x14ac:dyDescent="0.3">
      <c r="B1333" s="74"/>
      <c r="C1333" s="74"/>
      <c r="D1333" s="74"/>
      <c r="F1333" s="74"/>
    </row>
    <row r="1334" spans="2:6" x14ac:dyDescent="0.3">
      <c r="B1334" s="74"/>
      <c r="C1334" s="74"/>
      <c r="D1334" s="74"/>
      <c r="F1334" s="74"/>
    </row>
    <row r="1335" spans="2:6" x14ac:dyDescent="0.3">
      <c r="B1335" s="74"/>
      <c r="C1335" s="74"/>
      <c r="D1335" s="74"/>
      <c r="F1335" s="74"/>
    </row>
    <row r="1336" spans="2:6" x14ac:dyDescent="0.3">
      <c r="B1336" s="74"/>
      <c r="C1336" s="74"/>
      <c r="D1336" s="74"/>
      <c r="F1336" s="74"/>
    </row>
    <row r="1337" spans="2:6" x14ac:dyDescent="0.3">
      <c r="B1337" s="74"/>
      <c r="C1337" s="74"/>
      <c r="D1337" s="74"/>
      <c r="F1337" s="74"/>
    </row>
    <row r="1338" spans="2:6" x14ac:dyDescent="0.3">
      <c r="B1338" s="74"/>
      <c r="C1338" s="74"/>
      <c r="D1338" s="74"/>
      <c r="F1338" s="74"/>
    </row>
    <row r="1339" spans="2:6" x14ac:dyDescent="0.3">
      <c r="B1339" s="74"/>
      <c r="C1339" s="74"/>
      <c r="D1339" s="74"/>
      <c r="F1339" s="74"/>
    </row>
    <row r="1340" spans="2:6" x14ac:dyDescent="0.3">
      <c r="B1340" s="74"/>
      <c r="C1340" s="74"/>
      <c r="D1340" s="74"/>
      <c r="F1340" s="74"/>
    </row>
    <row r="1341" spans="2:6" x14ac:dyDescent="0.3">
      <c r="B1341" s="74"/>
      <c r="C1341" s="74"/>
      <c r="D1341" s="74"/>
      <c r="F1341" s="74"/>
    </row>
    <row r="1342" spans="2:6" x14ac:dyDescent="0.3">
      <c r="B1342" s="74"/>
      <c r="C1342" s="74"/>
      <c r="D1342" s="74"/>
      <c r="F1342" s="74"/>
    </row>
    <row r="1343" spans="2:6" x14ac:dyDescent="0.3">
      <c r="B1343" s="74"/>
      <c r="C1343" s="74"/>
      <c r="D1343" s="74"/>
      <c r="F1343" s="74"/>
    </row>
    <row r="1344" spans="2:6" x14ac:dyDescent="0.3">
      <c r="B1344" s="74"/>
      <c r="C1344" s="74"/>
      <c r="D1344" s="74"/>
      <c r="F1344" s="74"/>
    </row>
    <row r="1345" spans="2:6" x14ac:dyDescent="0.3">
      <c r="B1345" s="74"/>
      <c r="C1345" s="74"/>
      <c r="D1345" s="74"/>
      <c r="F1345" s="74"/>
    </row>
    <row r="1346" spans="2:6" x14ac:dyDescent="0.3">
      <c r="B1346" s="74"/>
      <c r="C1346" s="74"/>
      <c r="D1346" s="74"/>
      <c r="F1346" s="74"/>
    </row>
    <row r="1347" spans="2:6" x14ac:dyDescent="0.3">
      <c r="B1347" s="74"/>
      <c r="C1347" s="74"/>
      <c r="D1347" s="74"/>
      <c r="F1347" s="74"/>
    </row>
    <row r="1348" spans="2:6" x14ac:dyDescent="0.3">
      <c r="B1348" s="74"/>
      <c r="C1348" s="74"/>
      <c r="D1348" s="74"/>
      <c r="F1348" s="74"/>
    </row>
    <row r="1349" spans="2:6" x14ac:dyDescent="0.3">
      <c r="B1349" s="74"/>
      <c r="C1349" s="74"/>
      <c r="D1349" s="74"/>
      <c r="F1349" s="74"/>
    </row>
    <row r="1350" spans="2:6" x14ac:dyDescent="0.3">
      <c r="B1350" s="74"/>
      <c r="C1350" s="74"/>
      <c r="D1350" s="74"/>
      <c r="F1350" s="74"/>
    </row>
    <row r="1351" spans="2:6" x14ac:dyDescent="0.3">
      <c r="B1351" s="74"/>
      <c r="C1351" s="74"/>
      <c r="D1351" s="74"/>
      <c r="F1351" s="74"/>
    </row>
    <row r="1352" spans="2:6" x14ac:dyDescent="0.3">
      <c r="B1352" s="74"/>
      <c r="C1352" s="74"/>
      <c r="D1352" s="74"/>
      <c r="F1352" s="74"/>
    </row>
    <row r="1353" spans="2:6" x14ac:dyDescent="0.3">
      <c r="B1353" s="74"/>
      <c r="C1353" s="74"/>
      <c r="D1353" s="74"/>
      <c r="F1353" s="74"/>
    </row>
    <row r="1354" spans="2:6" x14ac:dyDescent="0.3">
      <c r="B1354" s="74"/>
      <c r="C1354" s="74"/>
      <c r="D1354" s="74"/>
      <c r="F1354" s="74"/>
    </row>
    <row r="1355" spans="2:6" x14ac:dyDescent="0.3">
      <c r="B1355" s="74"/>
      <c r="C1355" s="74"/>
      <c r="D1355" s="74"/>
      <c r="F1355" s="74"/>
    </row>
    <row r="1356" spans="2:6" x14ac:dyDescent="0.3">
      <c r="B1356" s="74"/>
      <c r="C1356" s="74"/>
      <c r="D1356" s="74"/>
      <c r="F1356" s="74"/>
    </row>
    <row r="1357" spans="2:6" x14ac:dyDescent="0.3">
      <c r="B1357" s="74"/>
      <c r="C1357" s="74"/>
      <c r="D1357" s="74"/>
      <c r="F1357" s="74"/>
    </row>
    <row r="1358" spans="2:6" x14ac:dyDescent="0.3">
      <c r="B1358" s="74"/>
      <c r="C1358" s="74"/>
      <c r="D1358" s="74"/>
      <c r="F1358" s="74"/>
    </row>
    <row r="1359" spans="2:6" x14ac:dyDescent="0.3">
      <c r="B1359" s="74"/>
      <c r="C1359" s="74"/>
      <c r="D1359" s="74"/>
      <c r="F1359" s="74"/>
    </row>
    <row r="1360" spans="2:6" x14ac:dyDescent="0.3">
      <c r="B1360" s="74"/>
      <c r="C1360" s="74"/>
      <c r="D1360" s="74"/>
      <c r="F1360" s="74"/>
    </row>
    <row r="1361" spans="2:6" x14ac:dyDescent="0.3">
      <c r="B1361" s="74"/>
      <c r="C1361" s="74"/>
      <c r="D1361" s="74"/>
      <c r="F1361" s="74"/>
    </row>
    <row r="1362" spans="2:6" x14ac:dyDescent="0.3">
      <c r="B1362" s="74"/>
      <c r="C1362" s="74"/>
      <c r="D1362" s="74"/>
      <c r="F1362" s="74"/>
    </row>
    <row r="1363" spans="2:6" x14ac:dyDescent="0.3">
      <c r="B1363" s="74"/>
      <c r="C1363" s="74"/>
      <c r="D1363" s="74"/>
      <c r="F1363" s="74"/>
    </row>
    <row r="1364" spans="2:6" x14ac:dyDescent="0.3">
      <c r="B1364" s="74"/>
      <c r="C1364" s="74"/>
      <c r="D1364" s="74"/>
      <c r="F1364" s="74"/>
    </row>
    <row r="1365" spans="2:6" x14ac:dyDescent="0.3">
      <c r="B1365" s="74"/>
      <c r="C1365" s="74"/>
      <c r="D1365" s="74"/>
      <c r="F1365" s="74"/>
    </row>
    <row r="1366" spans="2:6" x14ac:dyDescent="0.3">
      <c r="B1366" s="74"/>
      <c r="C1366" s="74"/>
      <c r="D1366" s="74"/>
      <c r="F1366" s="74"/>
    </row>
    <row r="1367" spans="2:6" x14ac:dyDescent="0.3">
      <c r="B1367" s="74"/>
      <c r="C1367" s="74"/>
      <c r="D1367" s="74"/>
      <c r="F1367" s="74"/>
    </row>
    <row r="1368" spans="2:6" x14ac:dyDescent="0.3">
      <c r="B1368" s="74"/>
      <c r="C1368" s="74"/>
      <c r="D1368" s="74"/>
      <c r="F1368" s="74"/>
    </row>
    <row r="1369" spans="2:6" x14ac:dyDescent="0.3">
      <c r="B1369" s="74"/>
      <c r="C1369" s="74"/>
      <c r="D1369" s="74"/>
      <c r="F1369" s="74"/>
    </row>
    <row r="1370" spans="2:6" x14ac:dyDescent="0.3">
      <c r="B1370" s="74"/>
      <c r="C1370" s="74"/>
      <c r="D1370" s="74"/>
      <c r="F1370" s="74"/>
    </row>
    <row r="1371" spans="2:6" x14ac:dyDescent="0.3">
      <c r="B1371" s="74"/>
      <c r="C1371" s="74"/>
      <c r="D1371" s="74"/>
      <c r="F1371" s="74"/>
    </row>
    <row r="1372" spans="2:6" x14ac:dyDescent="0.3">
      <c r="B1372" s="74"/>
      <c r="C1372" s="74"/>
      <c r="D1372" s="74"/>
      <c r="F1372" s="74"/>
    </row>
    <row r="1373" spans="2:6" x14ac:dyDescent="0.3">
      <c r="B1373" s="74"/>
      <c r="C1373" s="74"/>
      <c r="D1373" s="74"/>
      <c r="F1373" s="74"/>
    </row>
    <row r="1374" spans="2:6" x14ac:dyDescent="0.3">
      <c r="B1374" s="74"/>
      <c r="C1374" s="74"/>
      <c r="D1374" s="74"/>
      <c r="F1374" s="74"/>
    </row>
    <row r="1375" spans="2:6" x14ac:dyDescent="0.3">
      <c r="B1375" s="74"/>
      <c r="C1375" s="74"/>
      <c r="D1375" s="74"/>
      <c r="F1375" s="74"/>
    </row>
    <row r="1376" spans="2:6" x14ac:dyDescent="0.3">
      <c r="B1376" s="74"/>
      <c r="C1376" s="74"/>
      <c r="D1376" s="74"/>
      <c r="F1376" s="74"/>
    </row>
    <row r="1377" spans="2:6" x14ac:dyDescent="0.3">
      <c r="B1377" s="74"/>
      <c r="C1377" s="74"/>
      <c r="D1377" s="74"/>
      <c r="F1377" s="74"/>
    </row>
    <row r="1378" spans="2:6" x14ac:dyDescent="0.3">
      <c r="B1378" s="74"/>
      <c r="C1378" s="74"/>
      <c r="D1378" s="74"/>
      <c r="F1378" s="74"/>
    </row>
    <row r="1379" spans="2:6" x14ac:dyDescent="0.3">
      <c r="B1379" s="74"/>
      <c r="C1379" s="74"/>
      <c r="D1379" s="74"/>
      <c r="F1379" s="74"/>
    </row>
    <row r="1380" spans="2:6" x14ac:dyDescent="0.3">
      <c r="B1380" s="74"/>
      <c r="C1380" s="74"/>
      <c r="D1380" s="74"/>
      <c r="F1380" s="74"/>
    </row>
    <row r="1381" spans="2:6" x14ac:dyDescent="0.3">
      <c r="B1381" s="74"/>
      <c r="C1381" s="74"/>
      <c r="D1381" s="74"/>
      <c r="F1381" s="74"/>
    </row>
    <row r="1382" spans="2:6" x14ac:dyDescent="0.3">
      <c r="B1382" s="74"/>
      <c r="C1382" s="74"/>
      <c r="D1382" s="74"/>
      <c r="F1382" s="74"/>
    </row>
    <row r="1383" spans="2:6" x14ac:dyDescent="0.3">
      <c r="B1383" s="74"/>
      <c r="C1383" s="74"/>
      <c r="D1383" s="74"/>
      <c r="F1383" s="74"/>
    </row>
    <row r="1384" spans="2:6" x14ac:dyDescent="0.3">
      <c r="B1384" s="74"/>
      <c r="C1384" s="74"/>
      <c r="D1384" s="74"/>
      <c r="F1384" s="74"/>
    </row>
    <row r="1385" spans="2:6" x14ac:dyDescent="0.3">
      <c r="B1385" s="74"/>
      <c r="C1385" s="74"/>
      <c r="D1385" s="74"/>
      <c r="F1385" s="74"/>
    </row>
    <row r="1386" spans="2:6" x14ac:dyDescent="0.3">
      <c r="B1386" s="74"/>
      <c r="C1386" s="74"/>
      <c r="D1386" s="74"/>
      <c r="F1386" s="74"/>
    </row>
    <row r="1387" spans="2:6" x14ac:dyDescent="0.3">
      <c r="B1387" s="74"/>
      <c r="C1387" s="74"/>
      <c r="D1387" s="74"/>
      <c r="F1387" s="74"/>
    </row>
    <row r="1388" spans="2:6" x14ac:dyDescent="0.3">
      <c r="B1388" s="74"/>
      <c r="C1388" s="74"/>
      <c r="D1388" s="74"/>
      <c r="F1388" s="74"/>
    </row>
    <row r="1389" spans="2:6" x14ac:dyDescent="0.3">
      <c r="B1389" s="74"/>
      <c r="C1389" s="74"/>
      <c r="D1389" s="74"/>
      <c r="F1389" s="74"/>
    </row>
    <row r="1390" spans="2:6" x14ac:dyDescent="0.3">
      <c r="B1390" s="74"/>
      <c r="C1390" s="74"/>
      <c r="D1390" s="74"/>
      <c r="F1390" s="74"/>
    </row>
    <row r="1391" spans="2:6" x14ac:dyDescent="0.3">
      <c r="B1391" s="74"/>
      <c r="C1391" s="74"/>
      <c r="D1391" s="74"/>
      <c r="F1391" s="74"/>
    </row>
    <row r="1392" spans="2:6" x14ac:dyDescent="0.3">
      <c r="B1392" s="74"/>
      <c r="C1392" s="74"/>
      <c r="D1392" s="74"/>
      <c r="F1392" s="74"/>
    </row>
    <row r="1393" spans="2:6" x14ac:dyDescent="0.3">
      <c r="B1393" s="74"/>
      <c r="C1393" s="74"/>
      <c r="D1393" s="74"/>
      <c r="F1393" s="74"/>
    </row>
    <row r="1394" spans="2:6" x14ac:dyDescent="0.3">
      <c r="B1394" s="74"/>
      <c r="C1394" s="74"/>
      <c r="D1394" s="74"/>
      <c r="F1394" s="74"/>
    </row>
    <row r="1395" spans="2:6" x14ac:dyDescent="0.3">
      <c r="B1395" s="74"/>
      <c r="C1395" s="74"/>
      <c r="D1395" s="74"/>
      <c r="F1395" s="74"/>
    </row>
    <row r="1396" spans="2:6" x14ac:dyDescent="0.3">
      <c r="B1396" s="74"/>
      <c r="C1396" s="74"/>
      <c r="D1396" s="74"/>
      <c r="F1396" s="74"/>
    </row>
    <row r="1397" spans="2:6" x14ac:dyDescent="0.3">
      <c r="B1397" s="74"/>
      <c r="C1397" s="74"/>
      <c r="D1397" s="74"/>
      <c r="F1397" s="74"/>
    </row>
    <row r="1398" spans="2:6" x14ac:dyDescent="0.3">
      <c r="B1398" s="74"/>
      <c r="C1398" s="74"/>
      <c r="D1398" s="74"/>
      <c r="F1398" s="74"/>
    </row>
    <row r="1399" spans="2:6" x14ac:dyDescent="0.3">
      <c r="B1399" s="74"/>
      <c r="C1399" s="74"/>
      <c r="D1399" s="74"/>
      <c r="F1399" s="74"/>
    </row>
    <row r="1400" spans="2:6" x14ac:dyDescent="0.3">
      <c r="B1400" s="74"/>
      <c r="C1400" s="74"/>
      <c r="D1400" s="74"/>
      <c r="F1400" s="74"/>
    </row>
    <row r="1401" spans="2:6" x14ac:dyDescent="0.3">
      <c r="B1401" s="74"/>
      <c r="C1401" s="74"/>
      <c r="D1401" s="74"/>
      <c r="F1401" s="74"/>
    </row>
    <row r="1402" spans="2:6" x14ac:dyDescent="0.3">
      <c r="B1402" s="74"/>
      <c r="C1402" s="74"/>
      <c r="D1402" s="74"/>
      <c r="F1402" s="74"/>
    </row>
    <row r="1403" spans="2:6" x14ac:dyDescent="0.3">
      <c r="B1403" s="74"/>
      <c r="C1403" s="74"/>
      <c r="D1403" s="74"/>
      <c r="F1403" s="74"/>
    </row>
    <row r="1404" spans="2:6" x14ac:dyDescent="0.3">
      <c r="B1404" s="74"/>
      <c r="C1404" s="74"/>
      <c r="D1404" s="74"/>
      <c r="F1404" s="74"/>
    </row>
    <row r="1405" spans="2:6" x14ac:dyDescent="0.3">
      <c r="B1405" s="74"/>
      <c r="C1405" s="74"/>
      <c r="D1405" s="74"/>
      <c r="F1405" s="74"/>
    </row>
    <row r="1406" spans="2:6" x14ac:dyDescent="0.3">
      <c r="B1406" s="74"/>
      <c r="C1406" s="74"/>
      <c r="D1406" s="74"/>
      <c r="F1406" s="74"/>
    </row>
    <row r="1407" spans="2:6" x14ac:dyDescent="0.3">
      <c r="B1407" s="74"/>
      <c r="C1407" s="74"/>
      <c r="D1407" s="74"/>
      <c r="F1407" s="74"/>
    </row>
    <row r="1408" spans="2:6" x14ac:dyDescent="0.3">
      <c r="B1408" s="74"/>
      <c r="C1408" s="74"/>
      <c r="D1408" s="74"/>
      <c r="F1408" s="74"/>
    </row>
    <row r="1409" spans="2:6" x14ac:dyDescent="0.3">
      <c r="B1409" s="74"/>
      <c r="C1409" s="74"/>
      <c r="D1409" s="74"/>
      <c r="F1409" s="74"/>
    </row>
    <row r="1410" spans="2:6" x14ac:dyDescent="0.3">
      <c r="B1410" s="74"/>
      <c r="C1410" s="74"/>
      <c r="D1410" s="74"/>
      <c r="F1410" s="74"/>
    </row>
    <row r="1411" spans="2:6" x14ac:dyDescent="0.3">
      <c r="B1411" s="74"/>
      <c r="C1411" s="74"/>
      <c r="D1411" s="74"/>
      <c r="F1411" s="74"/>
    </row>
    <row r="1412" spans="2:6" x14ac:dyDescent="0.3">
      <c r="B1412" s="74"/>
      <c r="C1412" s="74"/>
      <c r="D1412" s="74"/>
      <c r="F1412" s="74"/>
    </row>
    <row r="1413" spans="2:6" x14ac:dyDescent="0.3">
      <c r="B1413" s="74"/>
      <c r="C1413" s="74"/>
      <c r="D1413" s="74"/>
      <c r="F1413" s="74"/>
    </row>
    <row r="1414" spans="2:6" x14ac:dyDescent="0.3">
      <c r="B1414" s="74"/>
      <c r="C1414" s="74"/>
      <c r="D1414" s="74"/>
      <c r="F1414" s="74"/>
    </row>
    <row r="1415" spans="2:6" x14ac:dyDescent="0.3">
      <c r="B1415" s="74"/>
      <c r="C1415" s="74"/>
      <c r="D1415" s="74"/>
      <c r="F1415" s="74"/>
    </row>
    <row r="1416" spans="2:6" x14ac:dyDescent="0.3">
      <c r="B1416" s="74"/>
      <c r="C1416" s="74"/>
      <c r="D1416" s="74"/>
      <c r="F1416" s="74"/>
    </row>
    <row r="1417" spans="2:6" x14ac:dyDescent="0.3">
      <c r="B1417" s="74"/>
      <c r="C1417" s="74"/>
      <c r="D1417" s="74"/>
      <c r="F1417" s="74"/>
    </row>
    <row r="1418" spans="2:6" x14ac:dyDescent="0.3">
      <c r="B1418" s="74"/>
      <c r="C1418" s="74"/>
      <c r="D1418" s="74"/>
      <c r="F1418" s="74"/>
    </row>
    <row r="1419" spans="2:6" x14ac:dyDescent="0.3">
      <c r="B1419" s="74"/>
      <c r="C1419" s="74"/>
      <c r="D1419" s="74"/>
      <c r="F1419" s="74"/>
    </row>
    <row r="1420" spans="2:6" x14ac:dyDescent="0.3">
      <c r="B1420" s="74"/>
      <c r="C1420" s="74"/>
      <c r="D1420" s="74"/>
      <c r="F1420" s="74"/>
    </row>
    <row r="1421" spans="2:6" x14ac:dyDescent="0.3">
      <c r="B1421" s="74"/>
      <c r="C1421" s="74"/>
      <c r="D1421" s="74"/>
      <c r="F1421" s="74"/>
    </row>
    <row r="1422" spans="2:6" x14ac:dyDescent="0.3">
      <c r="B1422" s="74"/>
      <c r="C1422" s="74"/>
      <c r="D1422" s="74"/>
      <c r="F1422" s="74"/>
    </row>
    <row r="1423" spans="2:6" x14ac:dyDescent="0.3">
      <c r="B1423" s="74"/>
      <c r="C1423" s="74"/>
      <c r="D1423" s="74"/>
      <c r="F1423" s="74"/>
    </row>
    <row r="1424" spans="2:6" x14ac:dyDescent="0.3">
      <c r="B1424" s="74"/>
      <c r="C1424" s="74"/>
      <c r="D1424" s="74"/>
      <c r="F1424" s="74"/>
    </row>
    <row r="1425" spans="2:6" x14ac:dyDescent="0.3">
      <c r="B1425" s="74"/>
      <c r="C1425" s="74"/>
      <c r="D1425" s="74"/>
      <c r="F1425" s="74"/>
    </row>
    <row r="1426" spans="2:6" x14ac:dyDescent="0.3">
      <c r="B1426" s="74"/>
      <c r="C1426" s="74"/>
      <c r="D1426" s="74"/>
      <c r="F1426" s="74"/>
    </row>
    <row r="1427" spans="2:6" x14ac:dyDescent="0.3">
      <c r="B1427" s="74"/>
      <c r="C1427" s="74"/>
      <c r="D1427" s="74"/>
      <c r="F1427" s="74"/>
    </row>
    <row r="1428" spans="2:6" x14ac:dyDescent="0.3">
      <c r="B1428" s="74"/>
      <c r="C1428" s="74"/>
      <c r="D1428" s="74"/>
      <c r="F1428" s="74"/>
    </row>
    <row r="1429" spans="2:6" x14ac:dyDescent="0.3">
      <c r="B1429" s="74"/>
      <c r="C1429" s="74"/>
      <c r="D1429" s="74"/>
      <c r="F1429" s="74"/>
    </row>
    <row r="1430" spans="2:6" x14ac:dyDescent="0.3">
      <c r="B1430" s="74"/>
      <c r="C1430" s="74"/>
      <c r="D1430" s="74"/>
      <c r="F1430" s="74"/>
    </row>
    <row r="1431" spans="2:6" x14ac:dyDescent="0.3">
      <c r="B1431" s="74"/>
      <c r="C1431" s="74"/>
      <c r="D1431" s="74"/>
      <c r="F1431" s="74"/>
    </row>
    <row r="1432" spans="2:6" x14ac:dyDescent="0.3">
      <c r="B1432" s="74"/>
      <c r="C1432" s="74"/>
      <c r="D1432" s="74"/>
      <c r="F1432" s="74"/>
    </row>
    <row r="1433" spans="2:6" x14ac:dyDescent="0.3">
      <c r="B1433" s="74"/>
      <c r="C1433" s="74"/>
      <c r="D1433" s="74"/>
      <c r="F1433" s="74"/>
    </row>
    <row r="1434" spans="2:6" x14ac:dyDescent="0.3">
      <c r="B1434" s="74"/>
      <c r="C1434" s="74"/>
      <c r="D1434" s="74"/>
      <c r="F1434" s="74"/>
    </row>
    <row r="1435" spans="2:6" x14ac:dyDescent="0.3">
      <c r="B1435" s="74"/>
      <c r="C1435" s="74"/>
      <c r="D1435" s="74"/>
      <c r="F1435" s="74"/>
    </row>
    <row r="1436" spans="2:6" x14ac:dyDescent="0.3">
      <c r="B1436" s="74"/>
      <c r="C1436" s="74"/>
      <c r="D1436" s="74"/>
      <c r="F1436" s="74"/>
    </row>
    <row r="1437" spans="2:6" x14ac:dyDescent="0.3">
      <c r="B1437" s="74"/>
      <c r="C1437" s="74"/>
      <c r="D1437" s="74"/>
      <c r="F1437" s="74"/>
    </row>
    <row r="1438" spans="2:6" x14ac:dyDescent="0.3">
      <c r="B1438" s="74"/>
      <c r="C1438" s="74"/>
      <c r="D1438" s="74"/>
      <c r="F1438" s="74"/>
    </row>
    <row r="1439" spans="2:6" x14ac:dyDescent="0.3">
      <c r="B1439" s="74"/>
      <c r="C1439" s="74"/>
      <c r="D1439" s="74"/>
      <c r="F1439" s="74"/>
    </row>
    <row r="1440" spans="2:6" x14ac:dyDescent="0.3">
      <c r="B1440" s="74"/>
      <c r="C1440" s="74"/>
      <c r="D1440" s="74"/>
      <c r="F1440" s="74"/>
    </row>
    <row r="1441" spans="2:6" x14ac:dyDescent="0.3">
      <c r="B1441" s="74"/>
      <c r="C1441" s="74"/>
      <c r="D1441" s="74"/>
      <c r="F1441" s="74"/>
    </row>
    <row r="1442" spans="2:6" x14ac:dyDescent="0.3">
      <c r="B1442" s="74"/>
      <c r="C1442" s="74"/>
      <c r="D1442" s="74"/>
      <c r="F1442" s="74"/>
    </row>
    <row r="1443" spans="2:6" x14ac:dyDescent="0.3">
      <c r="B1443" s="74"/>
      <c r="C1443" s="74"/>
      <c r="D1443" s="74"/>
      <c r="F1443" s="74"/>
    </row>
    <row r="1444" spans="2:6" x14ac:dyDescent="0.3">
      <c r="B1444" s="74"/>
      <c r="C1444" s="74"/>
      <c r="D1444" s="74"/>
      <c r="F1444" s="74"/>
    </row>
    <row r="1445" spans="2:6" x14ac:dyDescent="0.3">
      <c r="B1445" s="74"/>
      <c r="C1445" s="74"/>
      <c r="D1445" s="74"/>
      <c r="F1445" s="74"/>
    </row>
    <row r="1446" spans="2:6" x14ac:dyDescent="0.3">
      <c r="B1446" s="74"/>
      <c r="C1446" s="74"/>
      <c r="D1446" s="74"/>
      <c r="F1446" s="74"/>
    </row>
    <row r="1447" spans="2:6" x14ac:dyDescent="0.3">
      <c r="B1447" s="74"/>
      <c r="C1447" s="74"/>
      <c r="D1447" s="74"/>
      <c r="F1447" s="74"/>
    </row>
    <row r="1448" spans="2:6" x14ac:dyDescent="0.3">
      <c r="B1448" s="74"/>
      <c r="C1448" s="74"/>
      <c r="D1448" s="74"/>
      <c r="F1448" s="74"/>
    </row>
    <row r="1449" spans="2:6" x14ac:dyDescent="0.3">
      <c r="B1449" s="74"/>
      <c r="C1449" s="74"/>
      <c r="D1449" s="74"/>
      <c r="F1449" s="74"/>
    </row>
    <row r="1450" spans="2:6" x14ac:dyDescent="0.3">
      <c r="B1450" s="74"/>
      <c r="C1450" s="74"/>
      <c r="D1450" s="74"/>
      <c r="F1450" s="74"/>
    </row>
    <row r="1451" spans="2:6" x14ac:dyDescent="0.3">
      <c r="B1451" s="74"/>
      <c r="C1451" s="74"/>
      <c r="D1451" s="74"/>
      <c r="F1451" s="74"/>
    </row>
    <row r="1452" spans="2:6" x14ac:dyDescent="0.3">
      <c r="B1452" s="74"/>
      <c r="C1452" s="74"/>
      <c r="D1452" s="74"/>
      <c r="F1452" s="74"/>
    </row>
    <row r="1453" spans="2:6" x14ac:dyDescent="0.3">
      <c r="B1453" s="74"/>
      <c r="C1453" s="74"/>
      <c r="D1453" s="74"/>
      <c r="F1453" s="74"/>
    </row>
    <row r="1454" spans="2:6" x14ac:dyDescent="0.3">
      <c r="B1454" s="74"/>
      <c r="C1454" s="74"/>
      <c r="D1454" s="74"/>
      <c r="F1454" s="74"/>
    </row>
    <row r="1455" spans="2:6" x14ac:dyDescent="0.3">
      <c r="B1455" s="74"/>
      <c r="C1455" s="74"/>
      <c r="D1455" s="74"/>
      <c r="F1455" s="74"/>
    </row>
    <row r="1456" spans="2:6" x14ac:dyDescent="0.3">
      <c r="B1456" s="74"/>
      <c r="C1456" s="74"/>
      <c r="D1456" s="74"/>
      <c r="F1456" s="74"/>
    </row>
    <row r="1457" spans="2:6" x14ac:dyDescent="0.3">
      <c r="B1457" s="74"/>
      <c r="C1457" s="74"/>
      <c r="D1457" s="74"/>
      <c r="F1457" s="74"/>
    </row>
    <row r="1458" spans="2:6" x14ac:dyDescent="0.3">
      <c r="B1458" s="74"/>
      <c r="C1458" s="74"/>
      <c r="D1458" s="74"/>
      <c r="F1458" s="74"/>
    </row>
    <row r="1459" spans="2:6" x14ac:dyDescent="0.3">
      <c r="B1459" s="74"/>
      <c r="C1459" s="74"/>
      <c r="D1459" s="74"/>
      <c r="F1459" s="74"/>
    </row>
    <row r="1460" spans="2:6" x14ac:dyDescent="0.3">
      <c r="B1460" s="74"/>
      <c r="C1460" s="74"/>
      <c r="D1460" s="74"/>
      <c r="F1460" s="74"/>
    </row>
    <row r="1461" spans="2:6" x14ac:dyDescent="0.3">
      <c r="B1461" s="74"/>
      <c r="C1461" s="74"/>
      <c r="D1461" s="74"/>
      <c r="F1461" s="74"/>
    </row>
    <row r="1462" spans="2:6" x14ac:dyDescent="0.3">
      <c r="B1462" s="74"/>
      <c r="C1462" s="74"/>
      <c r="D1462" s="74"/>
      <c r="F1462" s="74"/>
    </row>
    <row r="1463" spans="2:6" x14ac:dyDescent="0.3">
      <c r="B1463" s="74"/>
      <c r="C1463" s="74"/>
      <c r="D1463" s="74"/>
      <c r="F1463" s="74"/>
    </row>
    <row r="1464" spans="2:6" x14ac:dyDescent="0.3">
      <c r="B1464" s="74"/>
      <c r="C1464" s="74"/>
      <c r="D1464" s="74"/>
      <c r="F1464" s="74"/>
    </row>
    <row r="1465" spans="2:6" x14ac:dyDescent="0.3">
      <c r="B1465" s="74"/>
      <c r="C1465" s="74"/>
      <c r="D1465" s="74"/>
      <c r="F1465" s="74"/>
    </row>
    <row r="1466" spans="2:6" x14ac:dyDescent="0.3">
      <c r="B1466" s="74"/>
      <c r="C1466" s="74"/>
      <c r="D1466" s="74"/>
      <c r="F1466" s="74"/>
    </row>
    <row r="1467" spans="2:6" x14ac:dyDescent="0.3">
      <c r="B1467" s="74"/>
      <c r="C1467" s="74"/>
      <c r="D1467" s="74"/>
      <c r="F1467" s="74"/>
    </row>
    <row r="1468" spans="2:6" x14ac:dyDescent="0.3">
      <c r="B1468" s="74"/>
      <c r="C1468" s="74"/>
      <c r="D1468" s="74"/>
      <c r="F1468" s="74"/>
    </row>
    <row r="1469" spans="2:6" x14ac:dyDescent="0.3">
      <c r="B1469" s="74"/>
      <c r="C1469" s="74"/>
      <c r="D1469" s="74"/>
      <c r="F1469" s="74"/>
    </row>
    <row r="1470" spans="2:6" x14ac:dyDescent="0.3">
      <c r="B1470" s="74"/>
      <c r="C1470" s="74"/>
      <c r="D1470" s="74"/>
      <c r="F1470" s="74"/>
    </row>
    <row r="1471" spans="2:6" x14ac:dyDescent="0.3">
      <c r="B1471" s="74"/>
      <c r="C1471" s="74"/>
      <c r="D1471" s="74"/>
      <c r="F1471" s="74"/>
    </row>
    <row r="1472" spans="2:6" x14ac:dyDescent="0.3">
      <c r="B1472" s="74"/>
      <c r="C1472" s="74"/>
      <c r="D1472" s="74"/>
      <c r="F1472" s="74"/>
    </row>
    <row r="1473" spans="2:6" x14ac:dyDescent="0.3">
      <c r="B1473" s="74"/>
      <c r="C1473" s="74"/>
      <c r="D1473" s="74"/>
      <c r="F1473" s="74"/>
    </row>
    <row r="1474" spans="2:6" x14ac:dyDescent="0.3">
      <c r="B1474" s="74"/>
      <c r="C1474" s="74"/>
      <c r="D1474" s="74"/>
      <c r="F1474" s="74"/>
    </row>
    <row r="1475" spans="2:6" x14ac:dyDescent="0.3">
      <c r="B1475" s="74"/>
      <c r="C1475" s="74"/>
      <c r="D1475" s="74"/>
      <c r="F1475" s="74"/>
    </row>
    <row r="1476" spans="2:6" x14ac:dyDescent="0.3">
      <c r="B1476" s="74"/>
      <c r="C1476" s="74"/>
      <c r="D1476" s="74"/>
      <c r="F1476" s="74"/>
    </row>
    <row r="1477" spans="2:6" x14ac:dyDescent="0.3">
      <c r="B1477" s="74"/>
      <c r="C1477" s="74"/>
      <c r="D1477" s="74"/>
      <c r="F1477" s="74"/>
    </row>
    <row r="1478" spans="2:6" x14ac:dyDescent="0.3">
      <c r="B1478" s="74"/>
      <c r="C1478" s="74"/>
      <c r="D1478" s="74"/>
      <c r="F1478" s="74"/>
    </row>
    <row r="1479" spans="2:6" x14ac:dyDescent="0.3">
      <c r="B1479" s="74"/>
      <c r="C1479" s="74"/>
      <c r="D1479" s="74"/>
      <c r="F1479" s="74"/>
    </row>
    <row r="1480" spans="2:6" x14ac:dyDescent="0.3">
      <c r="B1480" s="74"/>
      <c r="C1480" s="74"/>
      <c r="D1480" s="74"/>
      <c r="F1480" s="74"/>
    </row>
    <row r="1481" spans="2:6" x14ac:dyDescent="0.3">
      <c r="B1481" s="74"/>
      <c r="C1481" s="74"/>
      <c r="D1481" s="74"/>
      <c r="F1481" s="74"/>
    </row>
    <row r="1482" spans="2:6" x14ac:dyDescent="0.3">
      <c r="B1482" s="74"/>
      <c r="C1482" s="74"/>
      <c r="D1482" s="74"/>
      <c r="F1482" s="74"/>
    </row>
    <row r="1483" spans="2:6" x14ac:dyDescent="0.3">
      <c r="B1483" s="74"/>
      <c r="C1483" s="74"/>
      <c r="D1483" s="74"/>
      <c r="F1483" s="74"/>
    </row>
    <row r="1484" spans="2:6" x14ac:dyDescent="0.3">
      <c r="B1484" s="74"/>
      <c r="C1484" s="74"/>
      <c r="D1484" s="74"/>
      <c r="F1484" s="74"/>
    </row>
    <row r="1485" spans="2:6" x14ac:dyDescent="0.3">
      <c r="B1485" s="74"/>
      <c r="C1485" s="74"/>
      <c r="D1485" s="74"/>
      <c r="F1485" s="74"/>
    </row>
    <row r="1486" spans="2:6" x14ac:dyDescent="0.3">
      <c r="B1486" s="74"/>
      <c r="C1486" s="74"/>
      <c r="D1486" s="74"/>
      <c r="F1486" s="74"/>
    </row>
    <row r="1487" spans="2:6" x14ac:dyDescent="0.3">
      <c r="B1487" s="74"/>
      <c r="C1487" s="74"/>
      <c r="D1487" s="74"/>
      <c r="F1487" s="74"/>
    </row>
    <row r="1488" spans="2:6" x14ac:dyDescent="0.3">
      <c r="B1488" s="74"/>
      <c r="C1488" s="74"/>
      <c r="D1488" s="74"/>
      <c r="F1488" s="74"/>
    </row>
    <row r="1489" spans="2:6" x14ac:dyDescent="0.3">
      <c r="B1489" s="74"/>
      <c r="C1489" s="74"/>
      <c r="D1489" s="74"/>
      <c r="F1489" s="74"/>
    </row>
    <row r="1490" spans="2:6" x14ac:dyDescent="0.3">
      <c r="B1490" s="74"/>
      <c r="C1490" s="74"/>
      <c r="D1490" s="74"/>
      <c r="F1490" s="74"/>
    </row>
    <row r="1491" spans="2:6" x14ac:dyDescent="0.3">
      <c r="B1491" s="74"/>
      <c r="C1491" s="74"/>
      <c r="D1491" s="74"/>
      <c r="F1491" s="74"/>
    </row>
    <row r="1492" spans="2:6" x14ac:dyDescent="0.3">
      <c r="B1492" s="74"/>
      <c r="C1492" s="74"/>
      <c r="D1492" s="74"/>
      <c r="F1492" s="74"/>
    </row>
    <row r="1493" spans="2:6" x14ac:dyDescent="0.3">
      <c r="B1493" s="74"/>
      <c r="C1493" s="74"/>
      <c r="D1493" s="74"/>
      <c r="F1493" s="74"/>
    </row>
    <row r="1494" spans="2:6" x14ac:dyDescent="0.3">
      <c r="B1494" s="74"/>
      <c r="C1494" s="74"/>
      <c r="D1494" s="74"/>
      <c r="F1494" s="74"/>
    </row>
    <row r="1495" spans="2:6" x14ac:dyDescent="0.3">
      <c r="B1495" s="74"/>
      <c r="C1495" s="74"/>
      <c r="D1495" s="74"/>
      <c r="F1495" s="74"/>
    </row>
    <row r="1496" spans="2:6" x14ac:dyDescent="0.3">
      <c r="B1496" s="74"/>
      <c r="C1496" s="74"/>
      <c r="D1496" s="74"/>
      <c r="F1496" s="74"/>
    </row>
    <row r="1497" spans="2:6" x14ac:dyDescent="0.3">
      <c r="B1497" s="74"/>
      <c r="C1497" s="74"/>
      <c r="D1497" s="74"/>
      <c r="F1497" s="74"/>
    </row>
    <row r="1498" spans="2:6" x14ac:dyDescent="0.3">
      <c r="B1498" s="74"/>
      <c r="C1498" s="74"/>
      <c r="D1498" s="74"/>
      <c r="F1498" s="74"/>
    </row>
    <row r="1499" spans="2:6" x14ac:dyDescent="0.3">
      <c r="B1499" s="74"/>
      <c r="C1499" s="74"/>
      <c r="D1499" s="74"/>
      <c r="F1499" s="74"/>
    </row>
    <row r="1500" spans="2:6" x14ac:dyDescent="0.3">
      <c r="B1500" s="74"/>
      <c r="C1500" s="74"/>
      <c r="D1500" s="74"/>
      <c r="F1500" s="74"/>
    </row>
    <row r="1501" spans="2:6" x14ac:dyDescent="0.3">
      <c r="B1501" s="74"/>
      <c r="C1501" s="74"/>
      <c r="D1501" s="74"/>
      <c r="F1501" s="74"/>
    </row>
    <row r="1502" spans="2:6" x14ac:dyDescent="0.3">
      <c r="B1502" s="74"/>
      <c r="C1502" s="74"/>
      <c r="D1502" s="74"/>
      <c r="F1502" s="74"/>
    </row>
    <row r="1503" spans="2:6" x14ac:dyDescent="0.3">
      <c r="B1503" s="74"/>
      <c r="C1503" s="74"/>
      <c r="D1503" s="74"/>
      <c r="F1503" s="74"/>
    </row>
    <row r="1504" spans="2:6" x14ac:dyDescent="0.3">
      <c r="B1504" s="74"/>
      <c r="C1504" s="74"/>
      <c r="D1504" s="74"/>
      <c r="F1504" s="74"/>
    </row>
    <row r="1505" spans="2:6" x14ac:dyDescent="0.3">
      <c r="B1505" s="74"/>
      <c r="C1505" s="74"/>
      <c r="D1505" s="74"/>
      <c r="F1505" s="74"/>
    </row>
    <row r="1506" spans="2:6" x14ac:dyDescent="0.3">
      <c r="B1506" s="74"/>
      <c r="C1506" s="74"/>
      <c r="D1506" s="74"/>
      <c r="F1506" s="74"/>
    </row>
    <row r="1507" spans="2:6" x14ac:dyDescent="0.3">
      <c r="B1507" s="74"/>
      <c r="C1507" s="74"/>
      <c r="D1507" s="74"/>
      <c r="F1507" s="74"/>
    </row>
    <row r="1508" spans="2:6" x14ac:dyDescent="0.3">
      <c r="B1508" s="74"/>
      <c r="C1508" s="74"/>
      <c r="D1508" s="74"/>
      <c r="F1508" s="74"/>
    </row>
    <row r="1509" spans="2:6" x14ac:dyDescent="0.3">
      <c r="B1509" s="74"/>
      <c r="C1509" s="74"/>
      <c r="D1509" s="74"/>
      <c r="F1509" s="74"/>
    </row>
    <row r="1510" spans="2:6" x14ac:dyDescent="0.3">
      <c r="B1510" s="74"/>
      <c r="C1510" s="74"/>
      <c r="D1510" s="74"/>
      <c r="F1510" s="74"/>
    </row>
    <row r="1511" spans="2:6" x14ac:dyDescent="0.3">
      <c r="B1511" s="74"/>
      <c r="C1511" s="74"/>
      <c r="D1511" s="74"/>
      <c r="F1511" s="74"/>
    </row>
    <row r="1512" spans="2:6" x14ac:dyDescent="0.3">
      <c r="B1512" s="74"/>
      <c r="C1512" s="74"/>
      <c r="D1512" s="74"/>
      <c r="F1512" s="74"/>
    </row>
    <row r="1513" spans="2:6" x14ac:dyDescent="0.3">
      <c r="B1513" s="74"/>
      <c r="C1513" s="74"/>
      <c r="D1513" s="74"/>
      <c r="F1513" s="74"/>
    </row>
    <row r="1514" spans="2:6" x14ac:dyDescent="0.3">
      <c r="B1514" s="74"/>
      <c r="C1514" s="74"/>
      <c r="D1514" s="74"/>
      <c r="F1514" s="74"/>
    </row>
    <row r="1515" spans="2:6" x14ac:dyDescent="0.3">
      <c r="B1515" s="74"/>
      <c r="C1515" s="74"/>
      <c r="D1515" s="74"/>
      <c r="F1515" s="74"/>
    </row>
    <row r="1516" spans="2:6" x14ac:dyDescent="0.3">
      <c r="B1516" s="74"/>
      <c r="C1516" s="74"/>
      <c r="D1516" s="74"/>
      <c r="F1516" s="74"/>
    </row>
    <row r="1517" spans="2:6" x14ac:dyDescent="0.3">
      <c r="B1517" s="74"/>
      <c r="C1517" s="74"/>
      <c r="D1517" s="74"/>
      <c r="F1517" s="74"/>
    </row>
    <row r="1518" spans="2:6" x14ac:dyDescent="0.3">
      <c r="B1518" s="74"/>
      <c r="C1518" s="74"/>
      <c r="D1518" s="74"/>
      <c r="F1518" s="74"/>
    </row>
    <row r="1519" spans="2:6" x14ac:dyDescent="0.3">
      <c r="B1519" s="74"/>
      <c r="C1519" s="74"/>
      <c r="D1519" s="74"/>
      <c r="F1519" s="74"/>
    </row>
    <row r="1520" spans="2:6" x14ac:dyDescent="0.3">
      <c r="B1520" s="74"/>
      <c r="C1520" s="74"/>
      <c r="D1520" s="74"/>
      <c r="F1520" s="74"/>
    </row>
    <row r="1521" spans="2:6" x14ac:dyDescent="0.3">
      <c r="B1521" s="74"/>
      <c r="C1521" s="74"/>
      <c r="D1521" s="74"/>
      <c r="F1521" s="74"/>
    </row>
    <row r="1522" spans="2:6" x14ac:dyDescent="0.3">
      <c r="B1522" s="74"/>
      <c r="C1522" s="74"/>
      <c r="D1522" s="74"/>
      <c r="F1522" s="74"/>
    </row>
    <row r="1523" spans="2:6" x14ac:dyDescent="0.3">
      <c r="B1523" s="74"/>
      <c r="C1523" s="74"/>
      <c r="D1523" s="74"/>
      <c r="F1523" s="74"/>
    </row>
    <row r="1524" spans="2:6" x14ac:dyDescent="0.3">
      <c r="B1524" s="74"/>
      <c r="C1524" s="74"/>
      <c r="D1524" s="74"/>
      <c r="F1524" s="74"/>
    </row>
    <row r="1525" spans="2:6" x14ac:dyDescent="0.3">
      <c r="B1525" s="74"/>
      <c r="C1525" s="74"/>
      <c r="D1525" s="74"/>
      <c r="F1525" s="74"/>
    </row>
    <row r="1526" spans="2:6" x14ac:dyDescent="0.3">
      <c r="B1526" s="74"/>
      <c r="C1526" s="74"/>
      <c r="D1526" s="74"/>
      <c r="F1526" s="74"/>
    </row>
    <row r="1527" spans="2:6" x14ac:dyDescent="0.3">
      <c r="B1527" s="74"/>
      <c r="C1527" s="74"/>
      <c r="D1527" s="74"/>
      <c r="F1527" s="74"/>
    </row>
    <row r="1528" spans="2:6" x14ac:dyDescent="0.3">
      <c r="B1528" s="74"/>
      <c r="C1528" s="74"/>
      <c r="D1528" s="74"/>
      <c r="F1528" s="74"/>
    </row>
    <row r="1529" spans="2:6" x14ac:dyDescent="0.3">
      <c r="B1529" s="74"/>
      <c r="C1529" s="74"/>
      <c r="D1529" s="74"/>
      <c r="F1529" s="74"/>
    </row>
    <row r="1530" spans="2:6" x14ac:dyDescent="0.3">
      <c r="B1530" s="74"/>
      <c r="C1530" s="74"/>
      <c r="D1530" s="74"/>
      <c r="F1530" s="74"/>
    </row>
    <row r="1531" spans="2:6" x14ac:dyDescent="0.3">
      <c r="B1531" s="74"/>
      <c r="C1531" s="74"/>
      <c r="D1531" s="74"/>
      <c r="F1531" s="74"/>
    </row>
    <row r="1532" spans="2:6" x14ac:dyDescent="0.3">
      <c r="B1532" s="74"/>
      <c r="C1532" s="74"/>
      <c r="D1532" s="74"/>
      <c r="F1532" s="74"/>
    </row>
    <row r="1533" spans="2:6" x14ac:dyDescent="0.3">
      <c r="B1533" s="74"/>
      <c r="C1533" s="74"/>
      <c r="D1533" s="74"/>
      <c r="F1533" s="74"/>
    </row>
    <row r="1534" spans="2:6" x14ac:dyDescent="0.3">
      <c r="B1534" s="74"/>
      <c r="C1534" s="74"/>
      <c r="D1534" s="74"/>
      <c r="F1534" s="74"/>
    </row>
    <row r="1535" spans="2:6" x14ac:dyDescent="0.3">
      <c r="B1535" s="74"/>
      <c r="C1535" s="74"/>
      <c r="D1535" s="74"/>
      <c r="F1535" s="74"/>
    </row>
    <row r="1536" spans="2:6" x14ac:dyDescent="0.3">
      <c r="B1536" s="74"/>
      <c r="C1536" s="74"/>
      <c r="D1536" s="74"/>
      <c r="F1536" s="74"/>
    </row>
    <row r="1537" spans="2:6" x14ac:dyDescent="0.3">
      <c r="B1537" s="74"/>
      <c r="C1537" s="74"/>
      <c r="D1537" s="74"/>
      <c r="F1537" s="74"/>
    </row>
    <row r="1538" spans="2:6" x14ac:dyDescent="0.3">
      <c r="B1538" s="74"/>
      <c r="C1538" s="74"/>
      <c r="D1538" s="74"/>
      <c r="F1538" s="74"/>
    </row>
    <row r="1539" spans="2:6" x14ac:dyDescent="0.3">
      <c r="B1539" s="74"/>
      <c r="C1539" s="74"/>
      <c r="D1539" s="74"/>
      <c r="F1539" s="74"/>
    </row>
    <row r="1540" spans="2:6" x14ac:dyDescent="0.3">
      <c r="B1540" s="74"/>
      <c r="C1540" s="74"/>
      <c r="D1540" s="74"/>
      <c r="F1540" s="74"/>
    </row>
    <row r="1541" spans="2:6" x14ac:dyDescent="0.3">
      <c r="B1541" s="74"/>
      <c r="C1541" s="74"/>
      <c r="D1541" s="74"/>
      <c r="F1541" s="74"/>
    </row>
    <row r="1542" spans="2:6" x14ac:dyDescent="0.3">
      <c r="B1542" s="74"/>
      <c r="C1542" s="74"/>
      <c r="D1542" s="74"/>
      <c r="F1542" s="74"/>
    </row>
    <row r="1543" spans="2:6" x14ac:dyDescent="0.3">
      <c r="B1543" s="74"/>
      <c r="C1543" s="74"/>
      <c r="D1543" s="74"/>
      <c r="F1543" s="74"/>
    </row>
    <row r="1544" spans="2:6" x14ac:dyDescent="0.3">
      <c r="B1544" s="74"/>
      <c r="C1544" s="74"/>
      <c r="D1544" s="74"/>
      <c r="F1544" s="74"/>
    </row>
    <row r="1545" spans="2:6" x14ac:dyDescent="0.3">
      <c r="B1545" s="74"/>
      <c r="C1545" s="74"/>
      <c r="D1545" s="74"/>
      <c r="F1545" s="74"/>
    </row>
    <row r="1546" spans="2:6" x14ac:dyDescent="0.3">
      <c r="B1546" s="74"/>
      <c r="C1546" s="74"/>
      <c r="D1546" s="74"/>
      <c r="F1546" s="74"/>
    </row>
    <row r="1547" spans="2:6" x14ac:dyDescent="0.3">
      <c r="B1547" s="74"/>
      <c r="C1547" s="74"/>
      <c r="D1547" s="74"/>
      <c r="F1547" s="74"/>
    </row>
    <row r="1548" spans="2:6" x14ac:dyDescent="0.3">
      <c r="B1548" s="74"/>
      <c r="C1548" s="74"/>
      <c r="D1548" s="74"/>
      <c r="F1548" s="74"/>
    </row>
    <row r="1549" spans="2:6" x14ac:dyDescent="0.3">
      <c r="B1549" s="74"/>
      <c r="C1549" s="74"/>
      <c r="D1549" s="74"/>
      <c r="F1549" s="74"/>
    </row>
    <row r="1550" spans="2:6" x14ac:dyDescent="0.3">
      <c r="B1550" s="74"/>
      <c r="C1550" s="74"/>
      <c r="D1550" s="74"/>
      <c r="F1550" s="74"/>
    </row>
    <row r="1551" spans="2:6" x14ac:dyDescent="0.3">
      <c r="B1551" s="74"/>
      <c r="C1551" s="74"/>
      <c r="D1551" s="74"/>
      <c r="F1551" s="74"/>
    </row>
    <row r="1552" spans="2:6" x14ac:dyDescent="0.3">
      <c r="B1552" s="74"/>
      <c r="C1552" s="74"/>
      <c r="D1552" s="74"/>
      <c r="F1552" s="74"/>
    </row>
    <row r="1553" spans="2:6" x14ac:dyDescent="0.3">
      <c r="B1553" s="74"/>
      <c r="C1553" s="74"/>
      <c r="D1553" s="74"/>
      <c r="F1553" s="74"/>
    </row>
    <row r="1554" spans="2:6" x14ac:dyDescent="0.3">
      <c r="B1554" s="74"/>
      <c r="C1554" s="74"/>
      <c r="D1554" s="74"/>
      <c r="F1554" s="74"/>
    </row>
    <row r="1555" spans="2:6" x14ac:dyDescent="0.3">
      <c r="B1555" s="74"/>
      <c r="C1555" s="74"/>
      <c r="D1555" s="74"/>
      <c r="F1555" s="74"/>
    </row>
    <row r="1556" spans="2:6" x14ac:dyDescent="0.3">
      <c r="B1556" s="74"/>
      <c r="C1556" s="74"/>
      <c r="D1556" s="74"/>
      <c r="F1556" s="74"/>
    </row>
    <row r="1557" spans="2:6" x14ac:dyDescent="0.3">
      <c r="B1557" s="74"/>
      <c r="C1557" s="74"/>
      <c r="D1557" s="74"/>
      <c r="F1557" s="74"/>
    </row>
    <row r="1558" spans="2:6" x14ac:dyDescent="0.3">
      <c r="B1558" s="74"/>
      <c r="C1558" s="74"/>
      <c r="D1558" s="74"/>
      <c r="F1558" s="74"/>
    </row>
    <row r="1559" spans="2:6" x14ac:dyDescent="0.3">
      <c r="B1559" s="74"/>
      <c r="C1559" s="74"/>
      <c r="D1559" s="74"/>
      <c r="F1559" s="74"/>
    </row>
    <row r="1560" spans="2:6" x14ac:dyDescent="0.3">
      <c r="B1560" s="74"/>
      <c r="C1560" s="74"/>
      <c r="D1560" s="74"/>
      <c r="F1560" s="74"/>
    </row>
    <row r="1561" spans="2:6" x14ac:dyDescent="0.3">
      <c r="B1561" s="74"/>
      <c r="C1561" s="74"/>
      <c r="D1561" s="74"/>
      <c r="F1561" s="74"/>
    </row>
    <row r="1562" spans="2:6" x14ac:dyDescent="0.3">
      <c r="B1562" s="74"/>
      <c r="C1562" s="74"/>
      <c r="D1562" s="74"/>
      <c r="F1562" s="74"/>
    </row>
    <row r="1563" spans="2:6" x14ac:dyDescent="0.3">
      <c r="B1563" s="74"/>
      <c r="C1563" s="74"/>
      <c r="D1563" s="74"/>
      <c r="F1563" s="74"/>
    </row>
    <row r="1564" spans="2:6" x14ac:dyDescent="0.3">
      <c r="B1564" s="74"/>
      <c r="C1564" s="74"/>
      <c r="D1564" s="74"/>
      <c r="F1564" s="74"/>
    </row>
    <row r="1565" spans="2:6" x14ac:dyDescent="0.3">
      <c r="B1565" s="74"/>
      <c r="C1565" s="74"/>
      <c r="D1565" s="74"/>
      <c r="F1565" s="74"/>
    </row>
    <row r="1566" spans="2:6" x14ac:dyDescent="0.3">
      <c r="B1566" s="74"/>
      <c r="C1566" s="74"/>
      <c r="D1566" s="74"/>
      <c r="F1566" s="74"/>
    </row>
    <row r="1567" spans="2:6" x14ac:dyDescent="0.3">
      <c r="B1567" s="74"/>
      <c r="C1567" s="74"/>
      <c r="D1567" s="74"/>
      <c r="F1567" s="74"/>
    </row>
    <row r="1568" spans="2:6" x14ac:dyDescent="0.3">
      <c r="B1568" s="74"/>
      <c r="C1568" s="74"/>
      <c r="D1568" s="74"/>
      <c r="F1568" s="74"/>
    </row>
    <row r="1569" spans="2:6" x14ac:dyDescent="0.3">
      <c r="B1569" s="74"/>
      <c r="C1569" s="74"/>
      <c r="D1569" s="74"/>
      <c r="F1569" s="74"/>
    </row>
    <row r="1570" spans="2:6" x14ac:dyDescent="0.3">
      <c r="B1570" s="74"/>
      <c r="C1570" s="74"/>
      <c r="D1570" s="74"/>
      <c r="F1570" s="74"/>
    </row>
    <row r="1571" spans="2:6" x14ac:dyDescent="0.3">
      <c r="B1571" s="74"/>
      <c r="C1571" s="74"/>
      <c r="D1571" s="74"/>
      <c r="F1571" s="74"/>
    </row>
    <row r="1572" spans="2:6" x14ac:dyDescent="0.3">
      <c r="B1572" s="74"/>
      <c r="C1572" s="74"/>
      <c r="D1572" s="74"/>
      <c r="F1572" s="74"/>
    </row>
    <row r="1573" spans="2:6" x14ac:dyDescent="0.3">
      <c r="B1573" s="74"/>
      <c r="C1573" s="74"/>
      <c r="D1573" s="74"/>
      <c r="F1573" s="74"/>
    </row>
    <row r="1574" spans="2:6" x14ac:dyDescent="0.3">
      <c r="B1574" s="74"/>
      <c r="C1574" s="74"/>
      <c r="D1574" s="74"/>
      <c r="F1574" s="74"/>
    </row>
    <row r="1575" spans="2:6" x14ac:dyDescent="0.3">
      <c r="B1575" s="74"/>
      <c r="C1575" s="74"/>
      <c r="D1575" s="74"/>
      <c r="F1575" s="74"/>
    </row>
    <row r="1576" spans="2:6" x14ac:dyDescent="0.3">
      <c r="B1576" s="74"/>
      <c r="C1576" s="74"/>
      <c r="D1576" s="74"/>
      <c r="F1576" s="74"/>
    </row>
    <row r="1577" spans="2:6" x14ac:dyDescent="0.3">
      <c r="B1577" s="74"/>
      <c r="C1577" s="74"/>
      <c r="D1577" s="74"/>
      <c r="F1577" s="74"/>
    </row>
    <row r="1578" spans="2:6" x14ac:dyDescent="0.3">
      <c r="B1578" s="74"/>
      <c r="C1578" s="74"/>
      <c r="D1578" s="74"/>
      <c r="F1578" s="74"/>
    </row>
    <row r="1579" spans="2:6" x14ac:dyDescent="0.3">
      <c r="B1579" s="74"/>
      <c r="C1579" s="74"/>
      <c r="D1579" s="74"/>
      <c r="F1579" s="74"/>
    </row>
    <row r="1580" spans="2:6" x14ac:dyDescent="0.3">
      <c r="B1580" s="74"/>
      <c r="C1580" s="74"/>
      <c r="D1580" s="74"/>
      <c r="F1580" s="74"/>
    </row>
    <row r="1581" spans="2:6" x14ac:dyDescent="0.3">
      <c r="B1581" s="74"/>
      <c r="C1581" s="74"/>
      <c r="D1581" s="74"/>
      <c r="F1581" s="74"/>
    </row>
    <row r="1582" spans="2:6" x14ac:dyDescent="0.3">
      <c r="B1582" s="74"/>
      <c r="C1582" s="74"/>
      <c r="D1582" s="74"/>
      <c r="F1582" s="74"/>
    </row>
    <row r="1583" spans="2:6" x14ac:dyDescent="0.3">
      <c r="B1583" s="74"/>
      <c r="C1583" s="74"/>
      <c r="D1583" s="74"/>
      <c r="F1583" s="74"/>
    </row>
    <row r="1584" spans="2:6" x14ac:dyDescent="0.3">
      <c r="B1584" s="74"/>
      <c r="C1584" s="74"/>
      <c r="D1584" s="74"/>
      <c r="F1584" s="74"/>
    </row>
    <row r="1585" spans="2:6" x14ac:dyDescent="0.3">
      <c r="B1585" s="74"/>
      <c r="C1585" s="74"/>
      <c r="D1585" s="74"/>
      <c r="F1585" s="74"/>
    </row>
    <row r="1586" spans="2:6" x14ac:dyDescent="0.3">
      <c r="B1586" s="74"/>
      <c r="C1586" s="74"/>
      <c r="D1586" s="74"/>
      <c r="F1586" s="74"/>
    </row>
    <row r="1587" spans="2:6" x14ac:dyDescent="0.3">
      <c r="B1587" s="74"/>
      <c r="C1587" s="74"/>
      <c r="D1587" s="74"/>
      <c r="F1587" s="74"/>
    </row>
    <row r="1588" spans="2:6" x14ac:dyDescent="0.3">
      <c r="B1588" s="74"/>
      <c r="C1588" s="74"/>
      <c r="D1588" s="74"/>
      <c r="F1588" s="74"/>
    </row>
    <row r="1589" spans="2:6" x14ac:dyDescent="0.3">
      <c r="B1589" s="74"/>
      <c r="C1589" s="74"/>
      <c r="D1589" s="74"/>
      <c r="F1589" s="74"/>
    </row>
    <row r="1590" spans="2:6" x14ac:dyDescent="0.3">
      <c r="B1590" s="74"/>
      <c r="C1590" s="74"/>
      <c r="D1590" s="74"/>
      <c r="F1590" s="74"/>
    </row>
    <row r="1591" spans="2:6" x14ac:dyDescent="0.3">
      <c r="B1591" s="74"/>
      <c r="C1591" s="74"/>
      <c r="D1591" s="74"/>
      <c r="F1591" s="74"/>
    </row>
    <row r="1592" spans="2:6" x14ac:dyDescent="0.3">
      <c r="B1592" s="74"/>
      <c r="C1592" s="74"/>
      <c r="D1592" s="74"/>
      <c r="F1592" s="74"/>
    </row>
    <row r="1593" spans="2:6" x14ac:dyDescent="0.3">
      <c r="B1593" s="74"/>
      <c r="C1593" s="74"/>
      <c r="D1593" s="74"/>
      <c r="F1593" s="74"/>
    </row>
    <row r="1594" spans="2:6" x14ac:dyDescent="0.3">
      <c r="B1594" s="74"/>
      <c r="C1594" s="74"/>
      <c r="D1594" s="74"/>
      <c r="F1594" s="74"/>
    </row>
    <row r="1595" spans="2:6" x14ac:dyDescent="0.3">
      <c r="B1595" s="74"/>
      <c r="C1595" s="74"/>
      <c r="D1595" s="74"/>
      <c r="F1595" s="74"/>
    </row>
    <row r="1596" spans="2:6" x14ac:dyDescent="0.3">
      <c r="B1596" s="74"/>
      <c r="C1596" s="74"/>
      <c r="D1596" s="74"/>
      <c r="F1596" s="74"/>
    </row>
    <row r="1597" spans="2:6" x14ac:dyDescent="0.3">
      <c r="B1597" s="74"/>
      <c r="C1597" s="74"/>
      <c r="D1597" s="74"/>
      <c r="F1597" s="74"/>
    </row>
    <row r="1598" spans="2:6" x14ac:dyDescent="0.3">
      <c r="B1598" s="74"/>
      <c r="C1598" s="74"/>
      <c r="D1598" s="74"/>
      <c r="F1598" s="74"/>
    </row>
    <row r="1599" spans="2:6" x14ac:dyDescent="0.3">
      <c r="B1599" s="74"/>
      <c r="C1599" s="74"/>
      <c r="D1599" s="74"/>
      <c r="F1599" s="74"/>
    </row>
    <row r="1600" spans="2:6" x14ac:dyDescent="0.3">
      <c r="B1600" s="74"/>
      <c r="C1600" s="74"/>
      <c r="D1600" s="74"/>
      <c r="F1600" s="74"/>
    </row>
    <row r="1601" spans="2:6" x14ac:dyDescent="0.3">
      <c r="B1601" s="74"/>
      <c r="C1601" s="74"/>
      <c r="D1601" s="74"/>
      <c r="F1601" s="74"/>
    </row>
    <row r="1602" spans="2:6" x14ac:dyDescent="0.3">
      <c r="B1602" s="74"/>
      <c r="C1602" s="74"/>
      <c r="D1602" s="74"/>
      <c r="F1602" s="74"/>
    </row>
    <row r="1603" spans="2:6" x14ac:dyDescent="0.3">
      <c r="B1603" s="74"/>
      <c r="C1603" s="74"/>
      <c r="D1603" s="74"/>
      <c r="F1603" s="74"/>
    </row>
    <row r="1604" spans="2:6" x14ac:dyDescent="0.3">
      <c r="B1604" s="74"/>
      <c r="C1604" s="74"/>
      <c r="D1604" s="74"/>
      <c r="F1604" s="74"/>
    </row>
    <row r="1605" spans="2:6" x14ac:dyDescent="0.3">
      <c r="B1605" s="74"/>
      <c r="C1605" s="74"/>
      <c r="D1605" s="74"/>
      <c r="F1605" s="74"/>
    </row>
    <row r="1606" spans="2:6" x14ac:dyDescent="0.3">
      <c r="B1606" s="74"/>
      <c r="C1606" s="74"/>
      <c r="D1606" s="74"/>
      <c r="F1606" s="74"/>
    </row>
    <row r="1607" spans="2:6" x14ac:dyDescent="0.3">
      <c r="B1607" s="74"/>
      <c r="C1607" s="74"/>
      <c r="D1607" s="74"/>
      <c r="F1607" s="74"/>
    </row>
    <row r="1608" spans="2:6" x14ac:dyDescent="0.3">
      <c r="B1608" s="74"/>
      <c r="C1608" s="74"/>
      <c r="D1608" s="74"/>
      <c r="F1608" s="74"/>
    </row>
    <row r="1609" spans="2:6" x14ac:dyDescent="0.3">
      <c r="B1609" s="74"/>
      <c r="C1609" s="74"/>
      <c r="D1609" s="74"/>
      <c r="F1609" s="74"/>
    </row>
    <row r="1610" spans="2:6" x14ac:dyDescent="0.3">
      <c r="B1610" s="74"/>
      <c r="C1610" s="74"/>
      <c r="D1610" s="74"/>
      <c r="F1610" s="74"/>
    </row>
    <row r="1611" spans="2:6" x14ac:dyDescent="0.3">
      <c r="B1611" s="74"/>
      <c r="C1611" s="74"/>
      <c r="D1611" s="74"/>
      <c r="F1611" s="74"/>
    </row>
    <row r="1612" spans="2:6" x14ac:dyDescent="0.3">
      <c r="B1612" s="74"/>
      <c r="C1612" s="74"/>
      <c r="D1612" s="74"/>
      <c r="F1612" s="74"/>
    </row>
    <row r="1613" spans="2:6" x14ac:dyDescent="0.3">
      <c r="B1613" s="74"/>
      <c r="C1613" s="74"/>
      <c r="D1613" s="74"/>
      <c r="F1613" s="74"/>
    </row>
    <row r="1614" spans="2:6" x14ac:dyDescent="0.3">
      <c r="B1614" s="74"/>
      <c r="C1614" s="74"/>
      <c r="D1614" s="74"/>
      <c r="F1614" s="74"/>
    </row>
    <row r="1615" spans="2:6" x14ac:dyDescent="0.3">
      <c r="B1615" s="74"/>
      <c r="C1615" s="74"/>
      <c r="D1615" s="74"/>
      <c r="F1615" s="74"/>
    </row>
    <row r="1616" spans="2:6" x14ac:dyDescent="0.3">
      <c r="B1616" s="74"/>
      <c r="C1616" s="74"/>
      <c r="D1616" s="74"/>
      <c r="F1616" s="74"/>
    </row>
    <row r="1617" spans="2:6" x14ac:dyDescent="0.3">
      <c r="B1617" s="74"/>
      <c r="C1617" s="74"/>
      <c r="D1617" s="74"/>
      <c r="F1617" s="74"/>
    </row>
    <row r="1618" spans="2:6" x14ac:dyDescent="0.3">
      <c r="B1618" s="74"/>
      <c r="C1618" s="74"/>
      <c r="D1618" s="74"/>
      <c r="F1618" s="74"/>
    </row>
    <row r="1619" spans="2:6" x14ac:dyDescent="0.3">
      <c r="B1619" s="74"/>
      <c r="C1619" s="74"/>
      <c r="D1619" s="74"/>
      <c r="F1619" s="74"/>
    </row>
    <row r="1620" spans="2:6" x14ac:dyDescent="0.3">
      <c r="B1620" s="74"/>
      <c r="C1620" s="74"/>
      <c r="D1620" s="74"/>
      <c r="F1620" s="74"/>
    </row>
    <row r="1621" spans="2:6" x14ac:dyDescent="0.3">
      <c r="B1621" s="74"/>
      <c r="C1621" s="74"/>
      <c r="D1621" s="74"/>
      <c r="F1621" s="74"/>
    </row>
    <row r="1622" spans="2:6" x14ac:dyDescent="0.3">
      <c r="B1622" s="74"/>
      <c r="C1622" s="74"/>
      <c r="D1622" s="74"/>
      <c r="F1622" s="74"/>
    </row>
    <row r="1623" spans="2:6" x14ac:dyDescent="0.3">
      <c r="B1623" s="74"/>
      <c r="C1623" s="74"/>
      <c r="D1623" s="74"/>
      <c r="F1623" s="74"/>
    </row>
    <row r="1624" spans="2:6" x14ac:dyDescent="0.3">
      <c r="B1624" s="74"/>
      <c r="C1624" s="74"/>
      <c r="D1624" s="74"/>
      <c r="F1624" s="74"/>
    </row>
    <row r="1625" spans="2:6" x14ac:dyDescent="0.3">
      <c r="B1625" s="74"/>
      <c r="C1625" s="74"/>
      <c r="D1625" s="74"/>
      <c r="F1625" s="74"/>
    </row>
    <row r="1626" spans="2:6" x14ac:dyDescent="0.3">
      <c r="B1626" s="74"/>
      <c r="C1626" s="74"/>
      <c r="D1626" s="74"/>
      <c r="F1626" s="74"/>
    </row>
    <row r="1627" spans="2:6" x14ac:dyDescent="0.3">
      <c r="B1627" s="74"/>
      <c r="C1627" s="74"/>
      <c r="D1627" s="74"/>
      <c r="F1627" s="74"/>
    </row>
    <row r="1628" spans="2:6" x14ac:dyDescent="0.3">
      <c r="B1628" s="74"/>
      <c r="C1628" s="74"/>
      <c r="D1628" s="74"/>
      <c r="F1628" s="74"/>
    </row>
    <row r="1629" spans="2:6" x14ac:dyDescent="0.3">
      <c r="B1629" s="74"/>
      <c r="C1629" s="74"/>
      <c r="D1629" s="74"/>
      <c r="F1629" s="74"/>
    </row>
    <row r="1630" spans="2:6" x14ac:dyDescent="0.3">
      <c r="B1630" s="74"/>
      <c r="C1630" s="74"/>
      <c r="D1630" s="74"/>
      <c r="F1630" s="74"/>
    </row>
    <row r="1631" spans="2:6" x14ac:dyDescent="0.3">
      <c r="B1631" s="74"/>
      <c r="C1631" s="74"/>
      <c r="D1631" s="74"/>
      <c r="F1631" s="74"/>
    </row>
    <row r="1632" spans="2:6" x14ac:dyDescent="0.3">
      <c r="B1632" s="74"/>
      <c r="C1632" s="74"/>
      <c r="D1632" s="74"/>
      <c r="F1632" s="74"/>
    </row>
    <row r="1633" spans="2:6" x14ac:dyDescent="0.3">
      <c r="B1633" s="74"/>
      <c r="C1633" s="74"/>
      <c r="D1633" s="74"/>
      <c r="F1633" s="74"/>
    </row>
    <row r="1634" spans="2:6" x14ac:dyDescent="0.3">
      <c r="B1634" s="74"/>
      <c r="C1634" s="74"/>
      <c r="D1634" s="74"/>
      <c r="F1634" s="74"/>
    </row>
    <row r="1635" spans="2:6" x14ac:dyDescent="0.3">
      <c r="B1635" s="74"/>
      <c r="C1635" s="74"/>
      <c r="D1635" s="74"/>
      <c r="F1635" s="74"/>
    </row>
    <row r="1636" spans="2:6" x14ac:dyDescent="0.3">
      <c r="B1636" s="74"/>
      <c r="C1636" s="74"/>
      <c r="D1636" s="74"/>
      <c r="F1636" s="74"/>
    </row>
    <row r="1637" spans="2:6" x14ac:dyDescent="0.3">
      <c r="B1637" s="74"/>
      <c r="C1637" s="74"/>
      <c r="D1637" s="74"/>
      <c r="F1637" s="74"/>
    </row>
    <row r="1638" spans="2:6" x14ac:dyDescent="0.3">
      <c r="B1638" s="74"/>
      <c r="C1638" s="74"/>
      <c r="D1638" s="74"/>
      <c r="F1638" s="74"/>
    </row>
    <row r="1639" spans="2:6" x14ac:dyDescent="0.3">
      <c r="B1639" s="74"/>
      <c r="C1639" s="74"/>
      <c r="D1639" s="74"/>
      <c r="F1639" s="74"/>
    </row>
    <row r="1640" spans="2:6" x14ac:dyDescent="0.3">
      <c r="B1640" s="74"/>
      <c r="C1640" s="74"/>
      <c r="D1640" s="74"/>
      <c r="F1640" s="74"/>
    </row>
    <row r="1641" spans="2:6" x14ac:dyDescent="0.3">
      <c r="B1641" s="74"/>
      <c r="C1641" s="74"/>
      <c r="D1641" s="74"/>
      <c r="F1641" s="74"/>
    </row>
    <row r="1642" spans="2:6" x14ac:dyDescent="0.3">
      <c r="B1642" s="74"/>
      <c r="C1642" s="74"/>
      <c r="D1642" s="74"/>
      <c r="F1642" s="74"/>
    </row>
    <row r="1643" spans="2:6" x14ac:dyDescent="0.3">
      <c r="B1643" s="74"/>
      <c r="C1643" s="74"/>
      <c r="D1643" s="74"/>
      <c r="F1643" s="74"/>
    </row>
    <row r="1644" spans="2:6" x14ac:dyDescent="0.3">
      <c r="B1644" s="74"/>
      <c r="C1644" s="74"/>
      <c r="D1644" s="74"/>
      <c r="F1644" s="74"/>
    </row>
    <row r="1645" spans="2:6" x14ac:dyDescent="0.3">
      <c r="B1645" s="74"/>
      <c r="C1645" s="74"/>
      <c r="D1645" s="74"/>
      <c r="F1645" s="74"/>
    </row>
    <row r="1646" spans="2:6" x14ac:dyDescent="0.3">
      <c r="B1646" s="74"/>
      <c r="C1646" s="74"/>
      <c r="D1646" s="74"/>
      <c r="F1646" s="74"/>
    </row>
    <row r="1647" spans="2:6" x14ac:dyDescent="0.3">
      <c r="B1647" s="74"/>
      <c r="C1647" s="74"/>
      <c r="D1647" s="74"/>
      <c r="F1647" s="74"/>
    </row>
    <row r="1648" spans="2:6" x14ac:dyDescent="0.3">
      <c r="B1648" s="74"/>
      <c r="C1648" s="74"/>
      <c r="D1648" s="74"/>
      <c r="F1648" s="74"/>
    </row>
    <row r="1649" spans="2:6" x14ac:dyDescent="0.3">
      <c r="B1649" s="74"/>
      <c r="C1649" s="74"/>
      <c r="D1649" s="74"/>
      <c r="F1649" s="74"/>
    </row>
    <row r="1650" spans="2:6" x14ac:dyDescent="0.3">
      <c r="B1650" s="74"/>
      <c r="C1650" s="74"/>
      <c r="D1650" s="74"/>
      <c r="F1650" s="74"/>
    </row>
    <row r="1651" spans="2:6" x14ac:dyDescent="0.3">
      <c r="B1651" s="74"/>
      <c r="C1651" s="74"/>
      <c r="D1651" s="74"/>
      <c r="F1651" s="74"/>
    </row>
    <row r="1652" spans="2:6" x14ac:dyDescent="0.3">
      <c r="B1652" s="74"/>
      <c r="C1652" s="74"/>
      <c r="D1652" s="74"/>
      <c r="F1652" s="74"/>
    </row>
    <row r="1653" spans="2:6" x14ac:dyDescent="0.3">
      <c r="B1653" s="74"/>
      <c r="C1653" s="74"/>
      <c r="D1653" s="74"/>
      <c r="F1653" s="74"/>
    </row>
    <row r="1654" spans="2:6" x14ac:dyDescent="0.3">
      <c r="B1654" s="74"/>
      <c r="C1654" s="74"/>
      <c r="D1654" s="74"/>
      <c r="F1654" s="74"/>
    </row>
    <row r="1655" spans="2:6" x14ac:dyDescent="0.3">
      <c r="B1655" s="74"/>
      <c r="C1655" s="74"/>
      <c r="D1655" s="74"/>
      <c r="F1655" s="74"/>
    </row>
    <row r="1656" spans="2:6" x14ac:dyDescent="0.3">
      <c r="B1656" s="74"/>
      <c r="C1656" s="74"/>
      <c r="D1656" s="74"/>
      <c r="F1656" s="74"/>
    </row>
    <row r="1657" spans="2:6" x14ac:dyDescent="0.3">
      <c r="B1657" s="74"/>
      <c r="C1657" s="74"/>
      <c r="D1657" s="74"/>
      <c r="F1657" s="74"/>
    </row>
    <row r="1658" spans="2:6" x14ac:dyDescent="0.3">
      <c r="B1658" s="74"/>
      <c r="C1658" s="74"/>
      <c r="D1658" s="74"/>
      <c r="F1658" s="74"/>
    </row>
    <row r="1659" spans="2:6" x14ac:dyDescent="0.3">
      <c r="B1659" s="74"/>
      <c r="C1659" s="74"/>
      <c r="D1659" s="74"/>
      <c r="F1659" s="74"/>
    </row>
    <row r="1660" spans="2:6" x14ac:dyDescent="0.3">
      <c r="B1660" s="74"/>
      <c r="C1660" s="74"/>
      <c r="D1660" s="74"/>
      <c r="F1660" s="74"/>
    </row>
    <row r="1661" spans="2:6" x14ac:dyDescent="0.3">
      <c r="B1661" s="74"/>
      <c r="C1661" s="74"/>
      <c r="D1661" s="74"/>
      <c r="F1661" s="74"/>
    </row>
    <row r="1662" spans="2:6" x14ac:dyDescent="0.3">
      <c r="B1662" s="74"/>
      <c r="C1662" s="74"/>
      <c r="D1662" s="74"/>
      <c r="F1662" s="74"/>
    </row>
    <row r="1663" spans="2:6" x14ac:dyDescent="0.3">
      <c r="B1663" s="74"/>
      <c r="C1663" s="74"/>
      <c r="D1663" s="74"/>
      <c r="F1663" s="74"/>
    </row>
    <row r="1664" spans="2:6" x14ac:dyDescent="0.3">
      <c r="B1664" s="74"/>
      <c r="C1664" s="74"/>
      <c r="D1664" s="74"/>
      <c r="F1664" s="74"/>
    </row>
    <row r="1665" spans="2:6" x14ac:dyDescent="0.3">
      <c r="B1665" s="74"/>
      <c r="C1665" s="74"/>
      <c r="D1665" s="74"/>
      <c r="F1665" s="74"/>
    </row>
    <row r="1666" spans="2:6" x14ac:dyDescent="0.3">
      <c r="B1666" s="74"/>
      <c r="C1666" s="74"/>
      <c r="D1666" s="74"/>
      <c r="F1666" s="74"/>
    </row>
    <row r="1667" spans="2:6" x14ac:dyDescent="0.3">
      <c r="B1667" s="74"/>
      <c r="C1667" s="74"/>
      <c r="D1667" s="74"/>
      <c r="F1667" s="74"/>
    </row>
    <row r="1668" spans="2:6" x14ac:dyDescent="0.3">
      <c r="B1668" s="74"/>
      <c r="C1668" s="74"/>
      <c r="D1668" s="74"/>
      <c r="F1668" s="74"/>
    </row>
    <row r="1669" spans="2:6" x14ac:dyDescent="0.3">
      <c r="B1669" s="74"/>
      <c r="C1669" s="74"/>
      <c r="D1669" s="74"/>
      <c r="F1669" s="74"/>
    </row>
    <row r="1670" spans="2:6" x14ac:dyDescent="0.3">
      <c r="B1670" s="74"/>
      <c r="C1670" s="74"/>
      <c r="D1670" s="74"/>
      <c r="F1670" s="74"/>
    </row>
    <row r="1671" spans="2:6" x14ac:dyDescent="0.3">
      <c r="B1671" s="74"/>
      <c r="C1671" s="74"/>
      <c r="D1671" s="74"/>
      <c r="F1671" s="74"/>
    </row>
    <row r="1672" spans="2:6" x14ac:dyDescent="0.3">
      <c r="B1672" s="74"/>
      <c r="C1672" s="74"/>
      <c r="D1672" s="74"/>
      <c r="F1672" s="74"/>
    </row>
    <row r="1673" spans="2:6" x14ac:dyDescent="0.3">
      <c r="B1673" s="74"/>
      <c r="C1673" s="74"/>
      <c r="D1673" s="74"/>
      <c r="F1673" s="74"/>
    </row>
    <row r="1674" spans="2:6" x14ac:dyDescent="0.3">
      <c r="B1674" s="74"/>
      <c r="C1674" s="74"/>
      <c r="D1674" s="74"/>
      <c r="F1674" s="74"/>
    </row>
    <row r="1675" spans="2:6" x14ac:dyDescent="0.3">
      <c r="B1675" s="74"/>
      <c r="C1675" s="74"/>
      <c r="D1675" s="74"/>
      <c r="F1675" s="74"/>
    </row>
    <row r="1676" spans="2:6" x14ac:dyDescent="0.3">
      <c r="B1676" s="74"/>
      <c r="C1676" s="74"/>
      <c r="D1676" s="74"/>
      <c r="F1676" s="74"/>
    </row>
    <row r="1677" spans="2:6" x14ac:dyDescent="0.3">
      <c r="B1677" s="74"/>
      <c r="C1677" s="74"/>
      <c r="D1677" s="74"/>
      <c r="F1677" s="74"/>
    </row>
    <row r="1678" spans="2:6" x14ac:dyDescent="0.3">
      <c r="B1678" s="74"/>
      <c r="C1678" s="74"/>
      <c r="D1678" s="74"/>
      <c r="F1678" s="74"/>
    </row>
    <row r="1679" spans="2:6" x14ac:dyDescent="0.3">
      <c r="B1679" s="74"/>
      <c r="C1679" s="74"/>
      <c r="D1679" s="74"/>
      <c r="F1679" s="74"/>
    </row>
    <row r="1680" spans="2:6" x14ac:dyDescent="0.3">
      <c r="B1680" s="74"/>
      <c r="C1680" s="74"/>
      <c r="D1680" s="74"/>
      <c r="F1680" s="74"/>
    </row>
    <row r="1681" spans="2:6" x14ac:dyDescent="0.3">
      <c r="B1681" s="74"/>
      <c r="C1681" s="74"/>
      <c r="D1681" s="74"/>
      <c r="F1681" s="74"/>
    </row>
    <row r="1682" spans="2:6" x14ac:dyDescent="0.3">
      <c r="B1682" s="74"/>
      <c r="C1682" s="74"/>
      <c r="D1682" s="74"/>
      <c r="F1682" s="74"/>
    </row>
    <row r="1683" spans="2:6" x14ac:dyDescent="0.3">
      <c r="B1683" s="74"/>
      <c r="C1683" s="74"/>
      <c r="D1683" s="74"/>
      <c r="F1683" s="74"/>
    </row>
    <row r="1684" spans="2:6" x14ac:dyDescent="0.3">
      <c r="B1684" s="74"/>
      <c r="C1684" s="74"/>
      <c r="D1684" s="74"/>
      <c r="F1684" s="74"/>
    </row>
    <row r="1685" spans="2:6" x14ac:dyDescent="0.3">
      <c r="B1685" s="74"/>
      <c r="C1685" s="74"/>
      <c r="D1685" s="74"/>
      <c r="F1685" s="74"/>
    </row>
    <row r="1686" spans="2:6" x14ac:dyDescent="0.3">
      <c r="B1686" s="74"/>
      <c r="C1686" s="74"/>
      <c r="D1686" s="74"/>
      <c r="F1686" s="74"/>
    </row>
    <row r="1687" spans="2:6" x14ac:dyDescent="0.3">
      <c r="B1687" s="74"/>
      <c r="C1687" s="74"/>
      <c r="D1687" s="74"/>
      <c r="F1687" s="74"/>
    </row>
    <row r="1688" spans="2:6" x14ac:dyDescent="0.3">
      <c r="B1688" s="74"/>
      <c r="C1688" s="74"/>
      <c r="D1688" s="74"/>
      <c r="F1688" s="74"/>
    </row>
    <row r="1689" spans="2:6" x14ac:dyDescent="0.3">
      <c r="B1689" s="74"/>
      <c r="C1689" s="74"/>
      <c r="D1689" s="74"/>
      <c r="F1689" s="74"/>
    </row>
    <row r="1690" spans="2:6" x14ac:dyDescent="0.3">
      <c r="B1690" s="74"/>
      <c r="C1690" s="74"/>
      <c r="D1690" s="74"/>
      <c r="F1690" s="74"/>
    </row>
    <row r="1691" spans="2:6" x14ac:dyDescent="0.3">
      <c r="B1691" s="74"/>
      <c r="C1691" s="74"/>
      <c r="D1691" s="74"/>
      <c r="F1691" s="74"/>
    </row>
    <row r="1692" spans="2:6" x14ac:dyDescent="0.3">
      <c r="B1692" s="74"/>
      <c r="C1692" s="74"/>
      <c r="D1692" s="74"/>
      <c r="F1692" s="74"/>
    </row>
    <row r="1693" spans="2:6" x14ac:dyDescent="0.3">
      <c r="B1693" s="74"/>
      <c r="C1693" s="74"/>
      <c r="D1693" s="74"/>
      <c r="F1693" s="74"/>
    </row>
    <row r="1694" spans="2:6" x14ac:dyDescent="0.3">
      <c r="B1694" s="74"/>
      <c r="C1694" s="74"/>
      <c r="D1694" s="74"/>
      <c r="F1694" s="74"/>
    </row>
    <row r="1695" spans="2:6" x14ac:dyDescent="0.3">
      <c r="B1695" s="74"/>
      <c r="C1695" s="74"/>
      <c r="D1695" s="74"/>
      <c r="F1695" s="74"/>
    </row>
    <row r="1696" spans="2:6" x14ac:dyDescent="0.3">
      <c r="B1696" s="74"/>
      <c r="C1696" s="74"/>
      <c r="D1696" s="74"/>
      <c r="F1696" s="74"/>
    </row>
    <row r="1697" spans="2:6" x14ac:dyDescent="0.3">
      <c r="B1697" s="74"/>
      <c r="C1697" s="74"/>
      <c r="D1697" s="74"/>
      <c r="F1697" s="74"/>
    </row>
    <row r="1698" spans="2:6" x14ac:dyDescent="0.3">
      <c r="B1698" s="74"/>
      <c r="C1698" s="74"/>
      <c r="D1698" s="74"/>
      <c r="F1698" s="74"/>
    </row>
    <row r="1699" spans="2:6" x14ac:dyDescent="0.3">
      <c r="B1699" s="74"/>
      <c r="C1699" s="74"/>
      <c r="D1699" s="74"/>
      <c r="F1699" s="74"/>
    </row>
    <row r="1700" spans="2:6" x14ac:dyDescent="0.3">
      <c r="B1700" s="74"/>
      <c r="C1700" s="74"/>
      <c r="D1700" s="74"/>
      <c r="F1700" s="74"/>
    </row>
    <row r="1701" spans="2:6" x14ac:dyDescent="0.3">
      <c r="B1701" s="74"/>
      <c r="C1701" s="74"/>
      <c r="D1701" s="74"/>
      <c r="F1701" s="74"/>
    </row>
    <row r="1702" spans="2:6" x14ac:dyDescent="0.3">
      <c r="B1702" s="74"/>
      <c r="C1702" s="74"/>
      <c r="D1702" s="74"/>
      <c r="F1702" s="74"/>
    </row>
    <row r="1703" spans="2:6" x14ac:dyDescent="0.3">
      <c r="B1703" s="74"/>
      <c r="C1703" s="74"/>
      <c r="D1703" s="74"/>
      <c r="F1703" s="74"/>
    </row>
    <row r="1704" spans="2:6" x14ac:dyDescent="0.3">
      <c r="B1704" s="74"/>
      <c r="C1704" s="74"/>
      <c r="D1704" s="74"/>
      <c r="F1704" s="74"/>
    </row>
    <row r="1705" spans="2:6" x14ac:dyDescent="0.3">
      <c r="B1705" s="74"/>
      <c r="C1705" s="74"/>
      <c r="D1705" s="74"/>
      <c r="F1705" s="74"/>
    </row>
    <row r="1706" spans="2:6" x14ac:dyDescent="0.3">
      <c r="B1706" s="74"/>
      <c r="C1706" s="74"/>
      <c r="D1706" s="74"/>
      <c r="F1706" s="74"/>
    </row>
    <row r="1707" spans="2:6" x14ac:dyDescent="0.3">
      <c r="B1707" s="74"/>
      <c r="C1707" s="74"/>
      <c r="D1707" s="74"/>
      <c r="F1707" s="74"/>
    </row>
    <row r="1708" spans="2:6" x14ac:dyDescent="0.3">
      <c r="B1708" s="74"/>
      <c r="C1708" s="74"/>
      <c r="D1708" s="74"/>
      <c r="F1708" s="74"/>
    </row>
    <row r="1709" spans="2:6" x14ac:dyDescent="0.3">
      <c r="B1709" s="74"/>
      <c r="C1709" s="74"/>
      <c r="D1709" s="74"/>
      <c r="F1709" s="74"/>
    </row>
    <row r="1710" spans="2:6" x14ac:dyDescent="0.3">
      <c r="B1710" s="74"/>
      <c r="C1710" s="74"/>
      <c r="D1710" s="74"/>
      <c r="F1710" s="74"/>
    </row>
    <row r="1711" spans="2:6" x14ac:dyDescent="0.3">
      <c r="B1711" s="74"/>
      <c r="C1711" s="74"/>
      <c r="D1711" s="74"/>
      <c r="F1711" s="74"/>
    </row>
    <row r="1712" spans="2:6" x14ac:dyDescent="0.3">
      <c r="B1712" s="74"/>
      <c r="C1712" s="74"/>
      <c r="D1712" s="74"/>
      <c r="F1712" s="74"/>
    </row>
    <row r="1713" spans="2:6" x14ac:dyDescent="0.3">
      <c r="B1713" s="74"/>
      <c r="C1713" s="74"/>
      <c r="D1713" s="74"/>
      <c r="F1713" s="74"/>
    </row>
    <row r="1714" spans="2:6" x14ac:dyDescent="0.3">
      <c r="B1714" s="74"/>
      <c r="C1714" s="74"/>
      <c r="D1714" s="74"/>
      <c r="F1714" s="74"/>
    </row>
    <row r="1715" spans="2:6" x14ac:dyDescent="0.3">
      <c r="B1715" s="74"/>
      <c r="C1715" s="74"/>
      <c r="D1715" s="74"/>
      <c r="F1715" s="74"/>
    </row>
    <row r="1716" spans="2:6" x14ac:dyDescent="0.3">
      <c r="B1716" s="74"/>
      <c r="C1716" s="74"/>
      <c r="D1716" s="74"/>
      <c r="F1716" s="74"/>
    </row>
    <row r="1717" spans="2:6" x14ac:dyDescent="0.3">
      <c r="B1717" s="74"/>
      <c r="C1717" s="74"/>
      <c r="D1717" s="74"/>
      <c r="F1717" s="74"/>
    </row>
    <row r="1718" spans="2:6" x14ac:dyDescent="0.3">
      <c r="B1718" s="74"/>
      <c r="C1718" s="74"/>
      <c r="D1718" s="74"/>
      <c r="F1718" s="74"/>
    </row>
    <row r="1719" spans="2:6" x14ac:dyDescent="0.3">
      <c r="B1719" s="74"/>
      <c r="C1719" s="74"/>
      <c r="D1719" s="74"/>
      <c r="F1719" s="74"/>
    </row>
    <row r="1720" spans="2:6" x14ac:dyDescent="0.3">
      <c r="B1720" s="74"/>
      <c r="C1720" s="74"/>
      <c r="D1720" s="74"/>
      <c r="F1720" s="74"/>
    </row>
    <row r="1721" spans="2:6" x14ac:dyDescent="0.3">
      <c r="B1721" s="74"/>
      <c r="C1721" s="74"/>
      <c r="D1721" s="74"/>
      <c r="F1721" s="74"/>
    </row>
    <row r="1722" spans="2:6" x14ac:dyDescent="0.3">
      <c r="B1722" s="74"/>
      <c r="C1722" s="74"/>
      <c r="D1722" s="74"/>
      <c r="F1722" s="74"/>
    </row>
    <row r="1723" spans="2:6" x14ac:dyDescent="0.3">
      <c r="B1723" s="74"/>
      <c r="C1723" s="74"/>
      <c r="D1723" s="74"/>
      <c r="F1723" s="74"/>
    </row>
    <row r="1724" spans="2:6" x14ac:dyDescent="0.3">
      <c r="B1724" s="74"/>
      <c r="C1724" s="74"/>
      <c r="D1724" s="74"/>
      <c r="F1724" s="74"/>
    </row>
    <row r="1725" spans="2:6" x14ac:dyDescent="0.3">
      <c r="B1725" s="74"/>
      <c r="C1725" s="74"/>
      <c r="D1725" s="74"/>
      <c r="F1725" s="74"/>
    </row>
    <row r="1726" spans="2:6" x14ac:dyDescent="0.3">
      <c r="B1726" s="74"/>
      <c r="C1726" s="74"/>
      <c r="D1726" s="74"/>
      <c r="F1726" s="74"/>
    </row>
    <row r="1727" spans="2:6" x14ac:dyDescent="0.3">
      <c r="B1727" s="74"/>
      <c r="C1727" s="74"/>
      <c r="D1727" s="74"/>
      <c r="F1727" s="74"/>
    </row>
    <row r="1728" spans="2:6" x14ac:dyDescent="0.3">
      <c r="B1728" s="74"/>
      <c r="C1728" s="74"/>
      <c r="D1728" s="74"/>
      <c r="F1728" s="74"/>
    </row>
    <row r="1729" spans="2:6" x14ac:dyDescent="0.3">
      <c r="B1729" s="74"/>
      <c r="C1729" s="74"/>
      <c r="D1729" s="74"/>
      <c r="F1729" s="74"/>
    </row>
    <row r="1730" spans="2:6" x14ac:dyDescent="0.3">
      <c r="B1730" s="74"/>
      <c r="C1730" s="74"/>
      <c r="D1730" s="74"/>
      <c r="F1730" s="74"/>
    </row>
    <row r="1731" spans="2:6" x14ac:dyDescent="0.3">
      <c r="B1731" s="74"/>
      <c r="C1731" s="74"/>
      <c r="D1731" s="74"/>
      <c r="F1731" s="74"/>
    </row>
    <row r="1732" spans="2:6" x14ac:dyDescent="0.3">
      <c r="B1732" s="74"/>
      <c r="C1732" s="74"/>
      <c r="D1732" s="74"/>
      <c r="F1732" s="74"/>
    </row>
    <row r="1733" spans="2:6" x14ac:dyDescent="0.3">
      <c r="B1733" s="74"/>
      <c r="C1733" s="74"/>
      <c r="D1733" s="74"/>
      <c r="F1733" s="74"/>
    </row>
    <row r="1734" spans="2:6" x14ac:dyDescent="0.3">
      <c r="B1734" s="74"/>
      <c r="C1734" s="74"/>
      <c r="D1734" s="74"/>
      <c r="F1734" s="74"/>
    </row>
    <row r="1735" spans="2:6" x14ac:dyDescent="0.3">
      <c r="B1735" s="74"/>
      <c r="C1735" s="74"/>
      <c r="D1735" s="74"/>
      <c r="F1735" s="74"/>
    </row>
    <row r="1736" spans="2:6" x14ac:dyDescent="0.3">
      <c r="B1736" s="74"/>
      <c r="C1736" s="74"/>
      <c r="D1736" s="74"/>
      <c r="F1736" s="74"/>
    </row>
    <row r="1737" spans="2:6" x14ac:dyDescent="0.3">
      <c r="B1737" s="74"/>
      <c r="C1737" s="74"/>
      <c r="D1737" s="74"/>
      <c r="F1737" s="74"/>
    </row>
    <row r="1738" spans="2:6" x14ac:dyDescent="0.3">
      <c r="B1738" s="74"/>
      <c r="C1738" s="74"/>
      <c r="D1738" s="74"/>
      <c r="F1738" s="74"/>
    </row>
    <row r="1739" spans="2:6" x14ac:dyDescent="0.3">
      <c r="B1739" s="74"/>
      <c r="C1739" s="74"/>
      <c r="D1739" s="74"/>
      <c r="F1739" s="74"/>
    </row>
    <row r="1740" spans="2:6" x14ac:dyDescent="0.3">
      <c r="B1740" s="74"/>
      <c r="C1740" s="74"/>
      <c r="D1740" s="74"/>
      <c r="F1740" s="74"/>
    </row>
    <row r="1741" spans="2:6" x14ac:dyDescent="0.3">
      <c r="B1741" s="74"/>
      <c r="C1741" s="74"/>
      <c r="D1741" s="74"/>
      <c r="F1741" s="74"/>
    </row>
    <row r="1742" spans="2:6" x14ac:dyDescent="0.3">
      <c r="B1742" s="74"/>
      <c r="C1742" s="74"/>
      <c r="D1742" s="74"/>
      <c r="F1742" s="74"/>
    </row>
    <row r="1743" spans="2:6" x14ac:dyDescent="0.3">
      <c r="B1743" s="74"/>
      <c r="C1743" s="74"/>
      <c r="D1743" s="74"/>
      <c r="F1743" s="74"/>
    </row>
    <row r="1744" spans="2:6" x14ac:dyDescent="0.3">
      <c r="B1744" s="74"/>
      <c r="C1744" s="74"/>
      <c r="D1744" s="74"/>
      <c r="F1744" s="74"/>
    </row>
    <row r="1745" spans="2:6" x14ac:dyDescent="0.3">
      <c r="B1745" s="74"/>
      <c r="C1745" s="74"/>
      <c r="D1745" s="74"/>
      <c r="F1745" s="74"/>
    </row>
    <row r="1746" spans="2:6" x14ac:dyDescent="0.3">
      <c r="B1746" s="74"/>
      <c r="C1746" s="74"/>
      <c r="D1746" s="74"/>
      <c r="F1746" s="74"/>
    </row>
    <row r="1747" spans="2:6" x14ac:dyDescent="0.3">
      <c r="B1747" s="74"/>
      <c r="C1747" s="74"/>
      <c r="D1747" s="74"/>
      <c r="F1747" s="74"/>
    </row>
    <row r="1748" spans="2:6" x14ac:dyDescent="0.3">
      <c r="B1748" s="74"/>
      <c r="C1748" s="74"/>
      <c r="D1748" s="74"/>
      <c r="F1748" s="74"/>
    </row>
    <row r="1749" spans="2:6" x14ac:dyDescent="0.3">
      <c r="B1749" s="74"/>
      <c r="C1749" s="74"/>
      <c r="D1749" s="74"/>
      <c r="F1749" s="74"/>
    </row>
    <row r="1750" spans="2:6" x14ac:dyDescent="0.3">
      <c r="B1750" s="74"/>
      <c r="C1750" s="74"/>
      <c r="D1750" s="74"/>
      <c r="F1750" s="74"/>
    </row>
    <row r="1751" spans="2:6" x14ac:dyDescent="0.3">
      <c r="B1751" s="74"/>
      <c r="C1751" s="74"/>
      <c r="D1751" s="74"/>
      <c r="F1751" s="74"/>
    </row>
    <row r="1752" spans="2:6" x14ac:dyDescent="0.3">
      <c r="B1752" s="74"/>
      <c r="C1752" s="74"/>
      <c r="D1752" s="74"/>
      <c r="F1752" s="74"/>
    </row>
    <row r="1753" spans="2:6" x14ac:dyDescent="0.3">
      <c r="B1753" s="74"/>
      <c r="C1753" s="74"/>
      <c r="D1753" s="74"/>
      <c r="F1753" s="74"/>
    </row>
    <row r="1754" spans="2:6" x14ac:dyDescent="0.3">
      <c r="B1754" s="74"/>
      <c r="C1754" s="74"/>
      <c r="D1754" s="74"/>
      <c r="F1754" s="74"/>
    </row>
    <row r="1755" spans="2:6" x14ac:dyDescent="0.3">
      <c r="B1755" s="74"/>
      <c r="C1755" s="74"/>
      <c r="D1755" s="74"/>
      <c r="F1755" s="74"/>
    </row>
    <row r="1756" spans="2:6" x14ac:dyDescent="0.3">
      <c r="B1756" s="74"/>
      <c r="C1756" s="74"/>
      <c r="D1756" s="74"/>
      <c r="F1756" s="74"/>
    </row>
    <row r="1757" spans="2:6" x14ac:dyDescent="0.3">
      <c r="B1757" s="74"/>
      <c r="C1757" s="74"/>
      <c r="D1757" s="74"/>
      <c r="F1757" s="74"/>
    </row>
    <row r="1758" spans="2:6" x14ac:dyDescent="0.3">
      <c r="B1758" s="74"/>
      <c r="C1758" s="74"/>
      <c r="D1758" s="74"/>
      <c r="F1758" s="74"/>
    </row>
    <row r="1759" spans="2:6" x14ac:dyDescent="0.3">
      <c r="B1759" s="74"/>
      <c r="C1759" s="74"/>
      <c r="D1759" s="74"/>
      <c r="F1759" s="74"/>
    </row>
    <row r="1760" spans="2:6" x14ac:dyDescent="0.3">
      <c r="B1760" s="74"/>
      <c r="C1760" s="74"/>
      <c r="D1760" s="74"/>
      <c r="F1760" s="74"/>
    </row>
    <row r="1761" spans="2:6" x14ac:dyDescent="0.3">
      <c r="B1761" s="74"/>
      <c r="C1761" s="74"/>
      <c r="D1761" s="74"/>
      <c r="F1761" s="74"/>
    </row>
    <row r="1762" spans="2:6" x14ac:dyDescent="0.3">
      <c r="B1762" s="74"/>
      <c r="C1762" s="74"/>
      <c r="D1762" s="74"/>
      <c r="F1762" s="74"/>
    </row>
    <row r="1763" spans="2:6" x14ac:dyDescent="0.3">
      <c r="B1763" s="74"/>
      <c r="C1763" s="74"/>
      <c r="D1763" s="74"/>
      <c r="F1763" s="74"/>
    </row>
    <row r="1764" spans="2:6" x14ac:dyDescent="0.3">
      <c r="B1764" s="74"/>
      <c r="C1764" s="74"/>
      <c r="D1764" s="74"/>
      <c r="F1764" s="74"/>
    </row>
    <row r="1765" spans="2:6" x14ac:dyDescent="0.3">
      <c r="B1765" s="74"/>
      <c r="C1765" s="74"/>
      <c r="D1765" s="74"/>
      <c r="F1765" s="74"/>
    </row>
    <row r="1766" spans="2:6" x14ac:dyDescent="0.3">
      <c r="B1766" s="74"/>
      <c r="C1766" s="74"/>
      <c r="D1766" s="74"/>
      <c r="F1766" s="74"/>
    </row>
    <row r="1767" spans="2:6" x14ac:dyDescent="0.3">
      <c r="B1767" s="74"/>
      <c r="C1767" s="74"/>
      <c r="D1767" s="74"/>
      <c r="F1767" s="74"/>
    </row>
    <row r="1768" spans="2:6" x14ac:dyDescent="0.3">
      <c r="B1768" s="74"/>
      <c r="C1768" s="74"/>
      <c r="D1768" s="74"/>
      <c r="F1768" s="74"/>
    </row>
    <row r="1769" spans="2:6" x14ac:dyDescent="0.3">
      <c r="B1769" s="74"/>
      <c r="C1769" s="74"/>
      <c r="D1769" s="74"/>
      <c r="F1769" s="74"/>
    </row>
    <row r="1770" spans="2:6" x14ac:dyDescent="0.3">
      <c r="B1770" s="74"/>
      <c r="C1770" s="74"/>
      <c r="D1770" s="74"/>
      <c r="F1770" s="74"/>
    </row>
    <row r="1771" spans="2:6" x14ac:dyDescent="0.3">
      <c r="B1771" s="74"/>
      <c r="C1771" s="74"/>
      <c r="D1771" s="74"/>
      <c r="F1771" s="74"/>
    </row>
    <row r="1772" spans="2:6" x14ac:dyDescent="0.3">
      <c r="B1772" s="74"/>
      <c r="C1772" s="74"/>
      <c r="D1772" s="74"/>
      <c r="F1772" s="74"/>
    </row>
    <row r="1773" spans="2:6" x14ac:dyDescent="0.3">
      <c r="B1773" s="74"/>
      <c r="C1773" s="74"/>
      <c r="D1773" s="74"/>
      <c r="F1773" s="74"/>
    </row>
    <row r="1774" spans="2:6" x14ac:dyDescent="0.3">
      <c r="B1774" s="74"/>
      <c r="C1774" s="74"/>
      <c r="D1774" s="74"/>
      <c r="F1774" s="74"/>
    </row>
    <row r="1775" spans="2:6" x14ac:dyDescent="0.3">
      <c r="B1775" s="74"/>
      <c r="C1775" s="74"/>
      <c r="D1775" s="74"/>
      <c r="F1775" s="74"/>
    </row>
    <row r="1776" spans="2:6" x14ac:dyDescent="0.3">
      <c r="B1776" s="74"/>
      <c r="C1776" s="74"/>
      <c r="D1776" s="74"/>
      <c r="F1776" s="74"/>
    </row>
    <row r="1777" spans="2:6" x14ac:dyDescent="0.3">
      <c r="B1777" s="74"/>
      <c r="C1777" s="74"/>
      <c r="D1777" s="74"/>
      <c r="F1777" s="74"/>
    </row>
    <row r="1778" spans="2:6" x14ac:dyDescent="0.3">
      <c r="B1778" s="74"/>
      <c r="C1778" s="74"/>
      <c r="D1778" s="74"/>
      <c r="F1778" s="74"/>
    </row>
    <row r="1779" spans="2:6" x14ac:dyDescent="0.3">
      <c r="B1779" s="74"/>
      <c r="C1779" s="74"/>
      <c r="D1779" s="74"/>
      <c r="F1779" s="74"/>
    </row>
    <row r="1780" spans="2:6" x14ac:dyDescent="0.3">
      <c r="B1780" s="74"/>
      <c r="C1780" s="74"/>
      <c r="D1780" s="74"/>
      <c r="F1780" s="74"/>
    </row>
    <row r="1781" spans="2:6" x14ac:dyDescent="0.3">
      <c r="B1781" s="74"/>
      <c r="C1781" s="74"/>
      <c r="D1781" s="74"/>
      <c r="F1781" s="74"/>
    </row>
    <row r="1782" spans="2:6" x14ac:dyDescent="0.3">
      <c r="B1782" s="74"/>
      <c r="C1782" s="74"/>
      <c r="D1782" s="74"/>
      <c r="F1782" s="74"/>
    </row>
    <row r="1783" spans="2:6" x14ac:dyDescent="0.3">
      <c r="B1783" s="74"/>
      <c r="C1783" s="74"/>
      <c r="D1783" s="74"/>
      <c r="F1783" s="74"/>
    </row>
    <row r="1784" spans="2:6" x14ac:dyDescent="0.3">
      <c r="B1784" s="74"/>
      <c r="C1784" s="74"/>
      <c r="D1784" s="74"/>
      <c r="F1784" s="74"/>
    </row>
    <row r="1785" spans="2:6" x14ac:dyDescent="0.3">
      <c r="B1785" s="74"/>
      <c r="C1785" s="74"/>
      <c r="D1785" s="74"/>
      <c r="F1785" s="74"/>
    </row>
    <row r="1786" spans="2:6" x14ac:dyDescent="0.3">
      <c r="B1786" s="74"/>
      <c r="C1786" s="74"/>
      <c r="D1786" s="74"/>
      <c r="F1786" s="74"/>
    </row>
    <row r="1787" spans="2:6" x14ac:dyDescent="0.3">
      <c r="B1787" s="74"/>
      <c r="C1787" s="74"/>
      <c r="D1787" s="74"/>
      <c r="F1787" s="74"/>
    </row>
    <row r="1788" spans="2:6" x14ac:dyDescent="0.3">
      <c r="B1788" s="74"/>
      <c r="C1788" s="74"/>
      <c r="D1788" s="74"/>
      <c r="F1788" s="74"/>
    </row>
    <row r="1789" spans="2:6" x14ac:dyDescent="0.3">
      <c r="B1789" s="74"/>
      <c r="C1789" s="74"/>
      <c r="D1789" s="74"/>
      <c r="F1789" s="74"/>
    </row>
    <row r="1790" spans="2:6" x14ac:dyDescent="0.3">
      <c r="B1790" s="74"/>
      <c r="C1790" s="74"/>
      <c r="D1790" s="74"/>
      <c r="F1790" s="74"/>
    </row>
    <row r="1791" spans="2:6" x14ac:dyDescent="0.3">
      <c r="B1791" s="74"/>
      <c r="C1791" s="74"/>
      <c r="D1791" s="74"/>
      <c r="F1791" s="74"/>
    </row>
    <row r="1792" spans="2:6" x14ac:dyDescent="0.3">
      <c r="B1792" s="74"/>
      <c r="C1792" s="74"/>
      <c r="D1792" s="74"/>
      <c r="F1792" s="74"/>
    </row>
    <row r="1793" spans="2:6" x14ac:dyDescent="0.3">
      <c r="B1793" s="74"/>
      <c r="C1793" s="74"/>
      <c r="D1793" s="74"/>
      <c r="F1793" s="74"/>
    </row>
    <row r="1794" spans="2:6" x14ac:dyDescent="0.3">
      <c r="B1794" s="74"/>
      <c r="C1794" s="74"/>
      <c r="D1794" s="74"/>
      <c r="F1794" s="74"/>
    </row>
    <row r="1795" spans="2:6" x14ac:dyDescent="0.3">
      <c r="B1795" s="74"/>
      <c r="C1795" s="74"/>
      <c r="D1795" s="74"/>
      <c r="F1795" s="74"/>
    </row>
    <row r="1796" spans="2:6" x14ac:dyDescent="0.3">
      <c r="B1796" s="74"/>
      <c r="C1796" s="74"/>
      <c r="D1796" s="74"/>
      <c r="F1796" s="74"/>
    </row>
    <row r="1797" spans="2:6" x14ac:dyDescent="0.3">
      <c r="B1797" s="74"/>
      <c r="C1797" s="74"/>
      <c r="D1797" s="74"/>
      <c r="F1797" s="74"/>
    </row>
    <row r="1798" spans="2:6" x14ac:dyDescent="0.3">
      <c r="B1798" s="74"/>
      <c r="C1798" s="74"/>
      <c r="D1798" s="74"/>
      <c r="F1798" s="74"/>
    </row>
    <row r="1799" spans="2:6" x14ac:dyDescent="0.3">
      <c r="B1799" s="74"/>
      <c r="C1799" s="74"/>
      <c r="D1799" s="74"/>
      <c r="F1799" s="74"/>
    </row>
    <row r="1800" spans="2:6" x14ac:dyDescent="0.3">
      <c r="B1800" s="74"/>
      <c r="C1800" s="74"/>
      <c r="D1800" s="74"/>
      <c r="F1800" s="74"/>
    </row>
    <row r="1801" spans="2:6" x14ac:dyDescent="0.3">
      <c r="B1801" s="74"/>
      <c r="C1801" s="74"/>
      <c r="D1801" s="74"/>
      <c r="F1801" s="74"/>
    </row>
    <row r="1802" spans="2:6" x14ac:dyDescent="0.3">
      <c r="B1802" s="74"/>
      <c r="C1802" s="74"/>
      <c r="D1802" s="74"/>
      <c r="F1802" s="74"/>
    </row>
    <row r="1803" spans="2:6" x14ac:dyDescent="0.3">
      <c r="B1803" s="74"/>
      <c r="C1803" s="74"/>
      <c r="D1803" s="74"/>
      <c r="F1803" s="74"/>
    </row>
    <row r="1804" spans="2:6" x14ac:dyDescent="0.3">
      <c r="B1804" s="74"/>
      <c r="C1804" s="74"/>
      <c r="D1804" s="74"/>
      <c r="F1804" s="74"/>
    </row>
    <row r="1805" spans="2:6" x14ac:dyDescent="0.3">
      <c r="B1805" s="74"/>
      <c r="C1805" s="74"/>
      <c r="D1805" s="74"/>
      <c r="F1805" s="74"/>
    </row>
    <row r="1806" spans="2:6" x14ac:dyDescent="0.3">
      <c r="B1806" s="74"/>
      <c r="C1806" s="74"/>
      <c r="D1806" s="74"/>
      <c r="F1806" s="74"/>
    </row>
    <row r="1807" spans="2:6" x14ac:dyDescent="0.3">
      <c r="B1807" s="74"/>
      <c r="C1807" s="74"/>
      <c r="D1807" s="74"/>
      <c r="F1807" s="74"/>
    </row>
    <row r="1808" spans="2:6" x14ac:dyDescent="0.3">
      <c r="B1808" s="74"/>
      <c r="C1808" s="74"/>
      <c r="D1808" s="74"/>
      <c r="F1808" s="74"/>
    </row>
    <row r="1809" spans="2:6" x14ac:dyDescent="0.3">
      <c r="B1809" s="74"/>
      <c r="C1809" s="74"/>
      <c r="D1809" s="74"/>
      <c r="F1809" s="74"/>
    </row>
    <row r="1810" spans="2:6" x14ac:dyDescent="0.3">
      <c r="B1810" s="74"/>
      <c r="C1810" s="74"/>
      <c r="D1810" s="74"/>
      <c r="F1810" s="74"/>
    </row>
    <row r="1811" spans="2:6" x14ac:dyDescent="0.3">
      <c r="B1811" s="74"/>
      <c r="C1811" s="74"/>
      <c r="D1811" s="74"/>
      <c r="F1811" s="74"/>
    </row>
    <row r="1812" spans="2:6" x14ac:dyDescent="0.3">
      <c r="B1812" s="74"/>
      <c r="C1812" s="74"/>
      <c r="D1812" s="74"/>
      <c r="F1812" s="74"/>
    </row>
    <row r="1813" spans="2:6" x14ac:dyDescent="0.3">
      <c r="B1813" s="74"/>
      <c r="C1813" s="74"/>
      <c r="D1813" s="74"/>
      <c r="F1813" s="74"/>
    </row>
    <row r="1814" spans="2:6" x14ac:dyDescent="0.3">
      <c r="B1814" s="74"/>
      <c r="C1814" s="74"/>
      <c r="D1814" s="74"/>
      <c r="F1814" s="74"/>
    </row>
    <row r="1815" spans="2:6" x14ac:dyDescent="0.3">
      <c r="B1815" s="74"/>
      <c r="C1815" s="74"/>
      <c r="D1815" s="74"/>
      <c r="F1815" s="74"/>
    </row>
    <row r="1816" spans="2:6" x14ac:dyDescent="0.3">
      <c r="B1816" s="74"/>
      <c r="C1816" s="74"/>
      <c r="D1816" s="74"/>
      <c r="F1816" s="74"/>
    </row>
    <row r="1817" spans="2:6" x14ac:dyDescent="0.3">
      <c r="B1817" s="74"/>
      <c r="C1817" s="74"/>
      <c r="D1817" s="74"/>
      <c r="F1817" s="74"/>
    </row>
    <row r="1818" spans="2:6" x14ac:dyDescent="0.3">
      <c r="B1818" s="74"/>
      <c r="C1818" s="74"/>
      <c r="D1818" s="74"/>
      <c r="F1818" s="74"/>
    </row>
    <row r="1819" spans="2:6" x14ac:dyDescent="0.3">
      <c r="B1819" s="74"/>
      <c r="C1819" s="74"/>
      <c r="D1819" s="74"/>
      <c r="F1819" s="74"/>
    </row>
    <row r="1820" spans="2:6" x14ac:dyDescent="0.3">
      <c r="B1820" s="74"/>
      <c r="C1820" s="74"/>
      <c r="D1820" s="74"/>
      <c r="F1820" s="74"/>
    </row>
    <row r="1821" spans="2:6" x14ac:dyDescent="0.3">
      <c r="B1821" s="74"/>
      <c r="C1821" s="74"/>
      <c r="D1821" s="74"/>
      <c r="F1821" s="74"/>
    </row>
    <row r="1822" spans="2:6" x14ac:dyDescent="0.3">
      <c r="B1822" s="74"/>
      <c r="C1822" s="74"/>
      <c r="D1822" s="74"/>
      <c r="F1822" s="74"/>
    </row>
    <row r="1823" spans="2:6" x14ac:dyDescent="0.3">
      <c r="B1823" s="74"/>
      <c r="C1823" s="74"/>
      <c r="D1823" s="74"/>
      <c r="F1823" s="74"/>
    </row>
    <row r="1824" spans="2:6" x14ac:dyDescent="0.3">
      <c r="B1824" s="74"/>
      <c r="C1824" s="74"/>
      <c r="D1824" s="74"/>
      <c r="F1824" s="74"/>
    </row>
    <row r="1825" spans="2:6" x14ac:dyDescent="0.3">
      <c r="B1825" s="74"/>
      <c r="C1825" s="74"/>
      <c r="D1825" s="74"/>
      <c r="F1825" s="74"/>
    </row>
    <row r="1826" spans="2:6" x14ac:dyDescent="0.3">
      <c r="B1826" s="74"/>
      <c r="C1826" s="74"/>
      <c r="D1826" s="74"/>
      <c r="F1826" s="74"/>
    </row>
    <row r="1827" spans="2:6" x14ac:dyDescent="0.3">
      <c r="B1827" s="74"/>
      <c r="C1827" s="74"/>
      <c r="D1827" s="74"/>
      <c r="F1827" s="74"/>
    </row>
    <row r="1828" spans="2:6" x14ac:dyDescent="0.3">
      <c r="B1828" s="74"/>
      <c r="C1828" s="74"/>
      <c r="D1828" s="74"/>
      <c r="F1828" s="74"/>
    </row>
    <row r="1829" spans="2:6" x14ac:dyDescent="0.3">
      <c r="B1829" s="74"/>
      <c r="C1829" s="74"/>
      <c r="D1829" s="74"/>
      <c r="F1829" s="74"/>
    </row>
    <row r="1830" spans="2:6" x14ac:dyDescent="0.3">
      <c r="B1830" s="74"/>
      <c r="C1830" s="74"/>
      <c r="D1830" s="74"/>
      <c r="F1830" s="74"/>
    </row>
    <row r="1831" spans="2:6" x14ac:dyDescent="0.3">
      <c r="B1831" s="74"/>
      <c r="C1831" s="74"/>
      <c r="D1831" s="74"/>
      <c r="F1831" s="74"/>
    </row>
    <row r="1832" spans="2:6" x14ac:dyDescent="0.3">
      <c r="B1832" s="74"/>
      <c r="C1832" s="74"/>
      <c r="D1832" s="74"/>
      <c r="F1832" s="74"/>
    </row>
    <row r="1833" spans="2:6" x14ac:dyDescent="0.3">
      <c r="B1833" s="74"/>
      <c r="C1833" s="74"/>
      <c r="D1833" s="74"/>
      <c r="F1833" s="74"/>
    </row>
    <row r="1834" spans="2:6" x14ac:dyDescent="0.3">
      <c r="B1834" s="74"/>
      <c r="C1834" s="74"/>
      <c r="D1834" s="74"/>
      <c r="F1834" s="74"/>
    </row>
    <row r="1835" spans="2:6" x14ac:dyDescent="0.3">
      <c r="B1835" s="74"/>
      <c r="C1835" s="74"/>
      <c r="D1835" s="74"/>
      <c r="F1835" s="74"/>
    </row>
    <row r="1836" spans="2:6" x14ac:dyDescent="0.3">
      <c r="B1836" s="74"/>
      <c r="C1836" s="74"/>
      <c r="D1836" s="74"/>
      <c r="F1836" s="74"/>
    </row>
    <row r="1837" spans="2:6" x14ac:dyDescent="0.3">
      <c r="B1837" s="74"/>
      <c r="C1837" s="74"/>
      <c r="D1837" s="74"/>
      <c r="F1837" s="74"/>
    </row>
    <row r="1838" spans="2:6" x14ac:dyDescent="0.3">
      <c r="B1838" s="74"/>
      <c r="C1838" s="74"/>
      <c r="D1838" s="74"/>
      <c r="F1838" s="74"/>
    </row>
    <row r="1839" spans="2:6" x14ac:dyDescent="0.3">
      <c r="B1839" s="74"/>
      <c r="C1839" s="74"/>
      <c r="D1839" s="74"/>
      <c r="F1839" s="74"/>
    </row>
    <row r="1840" spans="2:6" x14ac:dyDescent="0.3">
      <c r="B1840" s="74"/>
      <c r="C1840" s="74"/>
      <c r="D1840" s="74"/>
      <c r="F1840" s="74"/>
    </row>
    <row r="1841" spans="2:6" x14ac:dyDescent="0.3">
      <c r="B1841" s="74"/>
      <c r="C1841" s="74"/>
      <c r="D1841" s="74"/>
      <c r="F1841" s="74"/>
    </row>
    <row r="1842" spans="2:6" x14ac:dyDescent="0.3">
      <c r="B1842" s="74"/>
      <c r="C1842" s="74"/>
      <c r="D1842" s="74"/>
      <c r="F1842" s="74"/>
    </row>
    <row r="1843" spans="2:6" x14ac:dyDescent="0.3">
      <c r="B1843" s="74"/>
      <c r="C1843" s="74"/>
      <c r="D1843" s="74"/>
      <c r="F1843" s="74"/>
    </row>
    <row r="1844" spans="2:6" x14ac:dyDescent="0.3">
      <c r="B1844" s="74"/>
      <c r="C1844" s="74"/>
      <c r="D1844" s="74"/>
      <c r="F1844" s="74"/>
    </row>
    <row r="1845" spans="2:6" x14ac:dyDescent="0.3">
      <c r="B1845" s="74"/>
      <c r="C1845" s="74"/>
      <c r="D1845" s="74"/>
      <c r="F1845" s="74"/>
    </row>
    <row r="1846" spans="2:6" x14ac:dyDescent="0.3">
      <c r="B1846" s="74"/>
      <c r="C1846" s="74"/>
      <c r="D1846" s="74"/>
      <c r="F1846" s="74"/>
    </row>
    <row r="1847" spans="2:6" x14ac:dyDescent="0.3">
      <c r="B1847" s="74"/>
      <c r="C1847" s="74"/>
      <c r="D1847" s="74"/>
      <c r="F1847" s="74"/>
    </row>
    <row r="1848" spans="2:6" x14ac:dyDescent="0.3">
      <c r="B1848" s="74"/>
      <c r="C1848" s="74"/>
      <c r="D1848" s="74"/>
      <c r="F1848" s="74"/>
    </row>
    <row r="1849" spans="2:6" x14ac:dyDescent="0.3">
      <c r="B1849" s="74"/>
      <c r="C1849" s="74"/>
      <c r="D1849" s="74"/>
      <c r="F1849" s="74"/>
    </row>
    <row r="1850" spans="2:6" x14ac:dyDescent="0.3">
      <c r="B1850" s="74"/>
      <c r="C1850" s="74"/>
      <c r="D1850" s="74"/>
      <c r="F1850" s="74"/>
    </row>
    <row r="1851" spans="2:6" x14ac:dyDescent="0.3">
      <c r="B1851" s="74"/>
      <c r="C1851" s="74"/>
      <c r="D1851" s="74"/>
      <c r="F1851" s="74"/>
    </row>
    <row r="1852" spans="2:6" x14ac:dyDescent="0.3">
      <c r="B1852" s="74"/>
      <c r="C1852" s="74"/>
      <c r="D1852" s="74"/>
      <c r="F1852" s="74"/>
    </row>
    <row r="1853" spans="2:6" x14ac:dyDescent="0.3">
      <c r="B1853" s="74"/>
      <c r="C1853" s="74"/>
      <c r="D1853" s="74"/>
      <c r="F1853" s="74"/>
    </row>
    <row r="1854" spans="2:6" x14ac:dyDescent="0.3">
      <c r="B1854" s="74"/>
      <c r="C1854" s="74"/>
      <c r="D1854" s="74"/>
      <c r="F1854" s="74"/>
    </row>
    <row r="1855" spans="2:6" x14ac:dyDescent="0.3">
      <c r="B1855" s="74"/>
      <c r="C1855" s="74"/>
      <c r="D1855" s="74"/>
      <c r="F1855" s="74"/>
    </row>
    <row r="1856" spans="2:6" x14ac:dyDescent="0.3">
      <c r="B1856" s="74"/>
      <c r="C1856" s="74"/>
      <c r="D1856" s="74"/>
      <c r="F1856" s="74"/>
    </row>
    <row r="1857" spans="2:6" x14ac:dyDescent="0.3">
      <c r="B1857" s="74"/>
      <c r="C1857" s="74"/>
      <c r="D1857" s="74"/>
      <c r="F1857" s="74"/>
    </row>
    <row r="1858" spans="2:6" x14ac:dyDescent="0.3">
      <c r="B1858" s="74"/>
      <c r="C1858" s="74"/>
      <c r="D1858" s="74"/>
      <c r="F1858" s="74"/>
    </row>
    <row r="1859" spans="2:6" x14ac:dyDescent="0.3">
      <c r="B1859" s="74"/>
      <c r="C1859" s="74"/>
      <c r="D1859" s="74"/>
      <c r="F1859" s="74"/>
    </row>
    <row r="1860" spans="2:6" x14ac:dyDescent="0.3">
      <c r="B1860" s="74"/>
      <c r="C1860" s="74"/>
      <c r="D1860" s="74"/>
      <c r="F1860" s="74"/>
    </row>
    <row r="1861" spans="2:6" x14ac:dyDescent="0.3">
      <c r="B1861" s="74"/>
      <c r="C1861" s="74"/>
      <c r="D1861" s="74"/>
      <c r="F1861" s="74"/>
    </row>
    <row r="1862" spans="2:6" x14ac:dyDescent="0.3">
      <c r="B1862" s="74"/>
      <c r="C1862" s="74"/>
      <c r="D1862" s="74"/>
      <c r="F1862" s="74"/>
    </row>
    <row r="1863" spans="2:6" x14ac:dyDescent="0.3">
      <c r="B1863" s="74"/>
      <c r="C1863" s="74"/>
      <c r="D1863" s="74"/>
      <c r="F1863" s="74"/>
    </row>
    <row r="1864" spans="2:6" x14ac:dyDescent="0.3">
      <c r="B1864" s="74"/>
      <c r="C1864" s="74"/>
      <c r="D1864" s="74"/>
      <c r="F1864" s="74"/>
    </row>
    <row r="1865" spans="2:6" x14ac:dyDescent="0.3">
      <c r="B1865" s="74"/>
      <c r="C1865" s="74"/>
      <c r="D1865" s="74"/>
      <c r="F1865" s="74"/>
    </row>
    <row r="1866" spans="2:6" x14ac:dyDescent="0.3">
      <c r="B1866" s="74"/>
      <c r="C1866" s="74"/>
      <c r="D1866" s="74"/>
      <c r="F1866" s="74"/>
    </row>
    <row r="1867" spans="2:6" x14ac:dyDescent="0.3">
      <c r="B1867" s="74"/>
      <c r="C1867" s="74"/>
      <c r="D1867" s="74"/>
      <c r="F1867" s="74"/>
    </row>
    <row r="1868" spans="2:6" x14ac:dyDescent="0.3">
      <c r="B1868" s="74"/>
      <c r="C1868" s="74"/>
      <c r="D1868" s="74"/>
      <c r="F1868" s="74"/>
    </row>
    <row r="1869" spans="2:6" x14ac:dyDescent="0.3">
      <c r="B1869" s="74"/>
      <c r="C1869" s="74"/>
      <c r="D1869" s="74"/>
      <c r="F1869" s="74"/>
    </row>
    <row r="1870" spans="2:6" x14ac:dyDescent="0.3">
      <c r="B1870" s="74"/>
      <c r="C1870" s="74"/>
      <c r="D1870" s="74"/>
      <c r="F1870" s="74"/>
    </row>
    <row r="1871" spans="2:6" x14ac:dyDescent="0.3">
      <c r="B1871" s="74"/>
      <c r="C1871" s="74"/>
      <c r="D1871" s="74"/>
      <c r="F1871" s="74"/>
    </row>
    <row r="1872" spans="2:6" x14ac:dyDescent="0.3">
      <c r="B1872" s="74"/>
      <c r="C1872" s="74"/>
      <c r="D1872" s="74"/>
      <c r="F1872" s="74"/>
    </row>
    <row r="1873" spans="2:6" x14ac:dyDescent="0.3">
      <c r="B1873" s="74"/>
      <c r="C1873" s="74"/>
      <c r="D1873" s="74"/>
      <c r="F1873" s="74"/>
    </row>
    <row r="1874" spans="2:6" x14ac:dyDescent="0.3">
      <c r="B1874" s="74"/>
      <c r="C1874" s="74"/>
      <c r="D1874" s="74"/>
      <c r="F1874" s="74"/>
    </row>
    <row r="1875" spans="2:6" x14ac:dyDescent="0.3">
      <c r="B1875" s="74"/>
      <c r="C1875" s="74"/>
      <c r="D1875" s="74"/>
      <c r="F1875" s="74"/>
    </row>
    <row r="1876" spans="2:6" x14ac:dyDescent="0.3">
      <c r="B1876" s="74"/>
      <c r="C1876" s="74"/>
      <c r="D1876" s="74"/>
      <c r="F1876" s="74"/>
    </row>
    <row r="1877" spans="2:6" x14ac:dyDescent="0.3">
      <c r="B1877" s="74"/>
      <c r="C1877" s="74"/>
      <c r="D1877" s="74"/>
      <c r="F1877" s="74"/>
    </row>
    <row r="1878" spans="2:6" x14ac:dyDescent="0.3">
      <c r="B1878" s="74"/>
      <c r="C1878" s="74"/>
      <c r="D1878" s="74"/>
      <c r="F1878" s="74"/>
    </row>
    <row r="1879" spans="2:6" x14ac:dyDescent="0.3">
      <c r="B1879" s="74"/>
      <c r="C1879" s="74"/>
      <c r="D1879" s="74"/>
      <c r="F1879" s="74"/>
    </row>
    <row r="1880" spans="2:6" x14ac:dyDescent="0.3">
      <c r="B1880" s="74"/>
      <c r="C1880" s="74"/>
      <c r="D1880" s="74"/>
      <c r="F1880" s="74"/>
    </row>
    <row r="1881" spans="2:6" x14ac:dyDescent="0.3">
      <c r="B1881" s="74"/>
      <c r="C1881" s="74"/>
      <c r="D1881" s="74"/>
      <c r="F1881" s="74"/>
    </row>
    <row r="1882" spans="2:6" x14ac:dyDescent="0.3">
      <c r="B1882" s="74"/>
      <c r="C1882" s="74"/>
      <c r="D1882" s="74"/>
      <c r="F1882" s="74"/>
    </row>
    <row r="1883" spans="2:6" x14ac:dyDescent="0.3">
      <c r="B1883" s="74"/>
      <c r="C1883" s="74"/>
      <c r="D1883" s="74"/>
      <c r="F1883" s="74"/>
    </row>
    <row r="1884" spans="2:6" x14ac:dyDescent="0.3">
      <c r="B1884" s="74"/>
      <c r="C1884" s="74"/>
      <c r="D1884" s="74"/>
      <c r="F1884" s="74"/>
    </row>
    <row r="1885" spans="2:6" x14ac:dyDescent="0.3">
      <c r="B1885" s="74"/>
      <c r="C1885" s="74"/>
      <c r="D1885" s="74"/>
      <c r="F1885" s="74"/>
    </row>
    <row r="1886" spans="2:6" x14ac:dyDescent="0.3">
      <c r="B1886" s="74"/>
      <c r="C1886" s="74"/>
      <c r="D1886" s="74"/>
      <c r="F1886" s="74"/>
    </row>
    <row r="1887" spans="2:6" x14ac:dyDescent="0.3">
      <c r="B1887" s="74"/>
      <c r="C1887" s="74"/>
      <c r="D1887" s="74"/>
      <c r="F1887" s="74"/>
    </row>
    <row r="1888" spans="2:6" x14ac:dyDescent="0.3">
      <c r="B1888" s="74"/>
      <c r="C1888" s="74"/>
      <c r="D1888" s="74"/>
      <c r="F1888" s="74"/>
    </row>
    <row r="1889" spans="2:6" x14ac:dyDescent="0.3">
      <c r="B1889" s="74"/>
      <c r="C1889" s="74"/>
      <c r="D1889" s="74"/>
      <c r="F1889" s="74"/>
    </row>
    <row r="1890" spans="2:6" x14ac:dyDescent="0.3">
      <c r="B1890" s="74"/>
      <c r="C1890" s="74"/>
      <c r="D1890" s="74"/>
      <c r="F1890" s="74"/>
    </row>
    <row r="1891" spans="2:6" x14ac:dyDescent="0.3">
      <c r="B1891" s="74"/>
      <c r="C1891" s="74"/>
      <c r="D1891" s="74"/>
      <c r="F1891" s="74"/>
    </row>
    <row r="1892" spans="2:6" x14ac:dyDescent="0.3">
      <c r="B1892" s="74"/>
      <c r="C1892" s="74"/>
      <c r="D1892" s="74"/>
      <c r="F1892" s="74"/>
    </row>
    <row r="1893" spans="2:6" x14ac:dyDescent="0.3">
      <c r="B1893" s="74"/>
      <c r="C1893" s="74"/>
      <c r="D1893" s="74"/>
      <c r="F1893" s="74"/>
    </row>
    <row r="1894" spans="2:6" x14ac:dyDescent="0.3">
      <c r="B1894" s="74"/>
      <c r="C1894" s="74"/>
      <c r="D1894" s="74"/>
      <c r="F1894" s="74"/>
    </row>
    <row r="1895" spans="2:6" x14ac:dyDescent="0.3">
      <c r="B1895" s="74"/>
      <c r="C1895" s="74"/>
      <c r="D1895" s="74"/>
      <c r="F1895" s="74"/>
    </row>
    <row r="1896" spans="2:6" x14ac:dyDescent="0.3">
      <c r="B1896" s="74"/>
      <c r="C1896" s="74"/>
      <c r="D1896" s="74"/>
      <c r="F1896" s="74"/>
    </row>
    <row r="1897" spans="2:6" x14ac:dyDescent="0.3">
      <c r="B1897" s="74"/>
      <c r="C1897" s="74"/>
      <c r="D1897" s="74"/>
      <c r="F1897" s="74"/>
    </row>
    <row r="1898" spans="2:6" x14ac:dyDescent="0.3">
      <c r="B1898" s="74"/>
      <c r="C1898" s="74"/>
      <c r="D1898" s="74"/>
      <c r="F1898" s="74"/>
    </row>
    <row r="1899" spans="2:6" x14ac:dyDescent="0.3">
      <c r="B1899" s="74"/>
      <c r="C1899" s="74"/>
      <c r="D1899" s="74"/>
      <c r="F1899" s="74"/>
    </row>
    <row r="1900" spans="2:6" x14ac:dyDescent="0.3">
      <c r="B1900" s="74"/>
      <c r="C1900" s="74"/>
      <c r="D1900" s="74"/>
      <c r="F1900" s="74"/>
    </row>
    <row r="1901" spans="2:6" x14ac:dyDescent="0.3">
      <c r="B1901" s="74"/>
      <c r="C1901" s="74"/>
      <c r="D1901" s="74"/>
      <c r="F1901" s="74"/>
    </row>
    <row r="1902" spans="2:6" x14ac:dyDescent="0.3">
      <c r="B1902" s="74"/>
      <c r="C1902" s="74"/>
      <c r="D1902" s="74"/>
      <c r="F1902" s="74"/>
    </row>
    <row r="1903" spans="2:6" x14ac:dyDescent="0.3">
      <c r="B1903" s="74"/>
      <c r="C1903" s="74"/>
      <c r="D1903" s="74"/>
      <c r="F1903" s="74"/>
    </row>
    <row r="1904" spans="2:6" x14ac:dyDescent="0.3">
      <c r="B1904" s="74"/>
      <c r="C1904" s="74"/>
      <c r="D1904" s="74"/>
      <c r="F1904" s="74"/>
    </row>
    <row r="1905" spans="2:6" x14ac:dyDescent="0.3">
      <c r="B1905" s="74"/>
      <c r="C1905" s="74"/>
      <c r="D1905" s="74"/>
      <c r="F1905" s="74"/>
    </row>
    <row r="1906" spans="2:6" x14ac:dyDescent="0.3">
      <c r="B1906" s="74"/>
      <c r="C1906" s="74"/>
      <c r="D1906" s="74"/>
      <c r="F1906" s="74"/>
    </row>
    <row r="1907" spans="2:6" x14ac:dyDescent="0.3">
      <c r="B1907" s="74"/>
      <c r="C1907" s="74"/>
      <c r="D1907" s="74"/>
      <c r="F1907" s="74"/>
    </row>
    <row r="1908" spans="2:6" x14ac:dyDescent="0.3">
      <c r="B1908" s="74"/>
      <c r="C1908" s="74"/>
      <c r="D1908" s="74"/>
      <c r="F1908" s="74"/>
    </row>
    <row r="1909" spans="2:6" x14ac:dyDescent="0.3">
      <c r="B1909" s="74"/>
      <c r="C1909" s="74"/>
      <c r="D1909" s="74"/>
      <c r="F1909" s="74"/>
    </row>
    <row r="1910" spans="2:6" x14ac:dyDescent="0.3">
      <c r="B1910" s="74"/>
      <c r="C1910" s="74"/>
      <c r="D1910" s="74"/>
      <c r="F1910" s="74"/>
    </row>
    <row r="1911" spans="2:6" x14ac:dyDescent="0.3">
      <c r="B1911" s="74"/>
      <c r="C1911" s="74"/>
      <c r="D1911" s="74"/>
      <c r="F1911" s="74"/>
    </row>
    <row r="1912" spans="2:6" x14ac:dyDescent="0.3">
      <c r="B1912" s="74"/>
      <c r="C1912" s="74"/>
      <c r="D1912" s="74"/>
      <c r="F1912" s="74"/>
    </row>
    <row r="1913" spans="2:6" x14ac:dyDescent="0.3">
      <c r="B1913" s="74"/>
      <c r="C1913" s="74"/>
      <c r="D1913" s="74"/>
      <c r="F1913" s="74"/>
    </row>
    <row r="1914" spans="2:6" x14ac:dyDescent="0.3">
      <c r="B1914" s="74"/>
      <c r="C1914" s="74"/>
      <c r="D1914" s="74"/>
      <c r="F1914" s="74"/>
    </row>
    <row r="1915" spans="2:6" x14ac:dyDescent="0.3">
      <c r="B1915" s="74"/>
      <c r="C1915" s="74"/>
      <c r="D1915" s="74"/>
      <c r="F1915" s="74"/>
    </row>
    <row r="1916" spans="2:6" x14ac:dyDescent="0.3">
      <c r="B1916" s="74"/>
      <c r="C1916" s="74"/>
      <c r="D1916" s="74"/>
      <c r="F1916" s="74"/>
    </row>
    <row r="1917" spans="2:6" x14ac:dyDescent="0.3">
      <c r="B1917" s="74"/>
      <c r="C1917" s="74"/>
      <c r="D1917" s="74"/>
      <c r="F1917" s="74"/>
    </row>
    <row r="1918" spans="2:6" x14ac:dyDescent="0.3">
      <c r="B1918" s="74"/>
      <c r="C1918" s="74"/>
      <c r="D1918" s="74"/>
      <c r="F1918" s="74"/>
    </row>
    <row r="1919" spans="2:6" x14ac:dyDescent="0.3">
      <c r="B1919" s="74"/>
      <c r="C1919" s="74"/>
      <c r="D1919" s="74"/>
      <c r="F1919" s="74"/>
    </row>
    <row r="1920" spans="2:6" x14ac:dyDescent="0.3">
      <c r="B1920" s="74"/>
      <c r="C1920" s="74"/>
      <c r="D1920" s="74"/>
      <c r="F1920" s="74"/>
    </row>
    <row r="1921" spans="2:6" x14ac:dyDescent="0.3">
      <c r="B1921" s="74"/>
      <c r="C1921" s="74"/>
      <c r="D1921" s="74"/>
      <c r="F1921" s="74"/>
    </row>
    <row r="1922" spans="2:6" x14ac:dyDescent="0.3">
      <c r="B1922" s="74"/>
      <c r="C1922" s="74"/>
      <c r="D1922" s="74"/>
      <c r="F1922" s="74"/>
    </row>
    <row r="1923" spans="2:6" x14ac:dyDescent="0.3">
      <c r="B1923" s="74"/>
      <c r="C1923" s="74"/>
      <c r="D1923" s="74"/>
      <c r="F1923" s="74"/>
    </row>
    <row r="1924" spans="2:6" x14ac:dyDescent="0.3">
      <c r="B1924" s="74"/>
      <c r="C1924" s="74"/>
      <c r="D1924" s="74"/>
      <c r="F1924" s="74"/>
    </row>
    <row r="1925" spans="2:6" x14ac:dyDescent="0.3">
      <c r="B1925" s="74"/>
      <c r="C1925" s="74"/>
      <c r="D1925" s="74"/>
      <c r="F1925" s="74"/>
    </row>
    <row r="1926" spans="2:6" x14ac:dyDescent="0.3">
      <c r="B1926" s="74"/>
      <c r="C1926" s="74"/>
      <c r="D1926" s="74"/>
      <c r="F1926" s="74"/>
    </row>
    <row r="1927" spans="2:6" x14ac:dyDescent="0.3">
      <c r="B1927" s="74"/>
      <c r="C1927" s="74"/>
      <c r="D1927" s="74"/>
      <c r="F1927" s="74"/>
    </row>
    <row r="1928" spans="2:6" x14ac:dyDescent="0.3">
      <c r="B1928" s="74"/>
      <c r="C1928" s="74"/>
      <c r="D1928" s="74"/>
      <c r="F1928" s="74"/>
    </row>
    <row r="1929" spans="2:6" x14ac:dyDescent="0.3">
      <c r="B1929" s="74"/>
      <c r="C1929" s="74"/>
      <c r="D1929" s="74"/>
      <c r="F1929" s="74"/>
    </row>
    <row r="1930" spans="2:6" x14ac:dyDescent="0.3">
      <c r="B1930" s="74"/>
      <c r="C1930" s="74"/>
      <c r="D1930" s="74"/>
      <c r="F1930" s="74"/>
    </row>
    <row r="1931" spans="2:6" x14ac:dyDescent="0.3">
      <c r="B1931" s="74"/>
      <c r="C1931" s="74"/>
      <c r="D1931" s="74"/>
      <c r="F1931" s="74"/>
    </row>
    <row r="1932" spans="2:6" x14ac:dyDescent="0.3">
      <c r="B1932" s="74"/>
      <c r="C1932" s="74"/>
      <c r="D1932" s="74"/>
      <c r="F1932" s="74"/>
    </row>
    <row r="1933" spans="2:6" x14ac:dyDescent="0.3">
      <c r="B1933" s="74"/>
      <c r="C1933" s="74"/>
      <c r="D1933" s="74"/>
      <c r="F1933" s="74"/>
    </row>
    <row r="1934" spans="2:6" x14ac:dyDescent="0.3">
      <c r="B1934" s="74"/>
      <c r="C1934" s="74"/>
      <c r="D1934" s="74"/>
      <c r="F1934" s="74"/>
    </row>
    <row r="1935" spans="2:6" x14ac:dyDescent="0.3">
      <c r="B1935" s="74"/>
      <c r="C1935" s="74"/>
      <c r="D1935" s="74"/>
      <c r="F1935" s="74"/>
    </row>
    <row r="1936" spans="2:6" x14ac:dyDescent="0.3">
      <c r="B1936" s="74"/>
      <c r="C1936" s="74"/>
      <c r="D1936" s="74"/>
      <c r="F1936" s="74"/>
    </row>
    <row r="1937" spans="2:6" x14ac:dyDescent="0.3">
      <c r="B1937" s="74"/>
      <c r="C1937" s="74"/>
      <c r="D1937" s="74"/>
      <c r="F1937" s="74"/>
    </row>
    <row r="1938" spans="2:6" x14ac:dyDescent="0.3">
      <c r="B1938" s="74"/>
      <c r="C1938" s="74"/>
      <c r="D1938" s="74"/>
      <c r="F1938" s="74"/>
    </row>
    <row r="1939" spans="2:6" x14ac:dyDescent="0.3">
      <c r="B1939" s="74"/>
      <c r="C1939" s="74"/>
      <c r="D1939" s="74"/>
      <c r="F1939" s="74"/>
    </row>
    <row r="1940" spans="2:6" x14ac:dyDescent="0.3">
      <c r="B1940" s="74"/>
      <c r="C1940" s="74"/>
      <c r="D1940" s="74"/>
      <c r="F1940" s="74"/>
    </row>
    <row r="1941" spans="2:6" x14ac:dyDescent="0.3">
      <c r="B1941" s="74"/>
      <c r="C1941" s="74"/>
      <c r="D1941" s="74"/>
      <c r="F1941" s="74"/>
    </row>
    <row r="1942" spans="2:6" x14ac:dyDescent="0.3">
      <c r="B1942" s="74"/>
      <c r="C1942" s="74"/>
      <c r="D1942" s="74"/>
      <c r="F1942" s="74"/>
    </row>
    <row r="1943" spans="2:6" x14ac:dyDescent="0.3">
      <c r="B1943" s="74"/>
      <c r="C1943" s="74"/>
      <c r="D1943" s="74"/>
      <c r="F1943" s="74"/>
    </row>
    <row r="1944" spans="2:6" x14ac:dyDescent="0.3">
      <c r="B1944" s="74"/>
      <c r="C1944" s="74"/>
      <c r="D1944" s="74"/>
      <c r="F1944" s="74"/>
    </row>
    <row r="1945" spans="2:6" x14ac:dyDescent="0.3">
      <c r="B1945" s="74"/>
      <c r="C1945" s="74"/>
      <c r="D1945" s="74"/>
      <c r="F1945" s="74"/>
    </row>
    <row r="1946" spans="2:6" x14ac:dyDescent="0.3">
      <c r="B1946" s="74"/>
      <c r="C1946" s="74"/>
      <c r="D1946" s="74"/>
      <c r="F1946" s="74"/>
    </row>
    <row r="1947" spans="2:6" x14ac:dyDescent="0.3">
      <c r="B1947" s="74"/>
      <c r="C1947" s="74"/>
      <c r="D1947" s="74"/>
      <c r="F1947" s="74"/>
    </row>
    <row r="1948" spans="2:6" x14ac:dyDescent="0.3">
      <c r="B1948" s="74"/>
      <c r="C1948" s="74"/>
      <c r="D1948" s="74"/>
      <c r="F1948" s="74"/>
    </row>
    <row r="1949" spans="2:6" x14ac:dyDescent="0.3">
      <c r="B1949" s="74"/>
      <c r="C1949" s="74"/>
      <c r="D1949" s="74"/>
      <c r="F1949" s="74"/>
    </row>
    <row r="1950" spans="2:6" x14ac:dyDescent="0.3">
      <c r="B1950" s="74"/>
      <c r="C1950" s="74"/>
      <c r="D1950" s="74"/>
      <c r="F1950" s="74"/>
    </row>
    <row r="1951" spans="2:6" x14ac:dyDescent="0.3">
      <c r="B1951" s="74"/>
      <c r="C1951" s="74"/>
      <c r="D1951" s="74"/>
      <c r="F1951" s="74"/>
    </row>
    <row r="1952" spans="2:6" x14ac:dyDescent="0.3">
      <c r="B1952" s="74"/>
      <c r="C1952" s="74"/>
      <c r="D1952" s="74"/>
      <c r="F1952" s="74"/>
    </row>
    <row r="1953" spans="2:6" x14ac:dyDescent="0.3">
      <c r="B1953" s="74"/>
      <c r="C1953" s="74"/>
      <c r="D1953" s="74"/>
      <c r="F1953" s="74"/>
    </row>
    <row r="1954" spans="2:6" x14ac:dyDescent="0.3">
      <c r="B1954" s="74"/>
      <c r="C1954" s="74"/>
      <c r="D1954" s="74"/>
      <c r="F1954" s="74"/>
    </row>
    <row r="1955" spans="2:6" x14ac:dyDescent="0.3">
      <c r="B1955" s="74"/>
      <c r="C1955" s="74"/>
      <c r="D1955" s="74"/>
      <c r="F1955" s="74"/>
    </row>
    <row r="1956" spans="2:6" x14ac:dyDescent="0.3">
      <c r="B1956" s="74"/>
      <c r="C1956" s="74"/>
      <c r="D1956" s="74"/>
      <c r="F1956" s="74"/>
    </row>
    <row r="1957" spans="2:6" x14ac:dyDescent="0.3">
      <c r="B1957" s="74"/>
      <c r="C1957" s="74"/>
      <c r="D1957" s="74"/>
      <c r="F1957" s="74"/>
    </row>
    <row r="1958" spans="2:6" x14ac:dyDescent="0.3">
      <c r="B1958" s="74"/>
      <c r="C1958" s="74"/>
      <c r="D1958" s="74"/>
      <c r="F1958" s="74"/>
    </row>
    <row r="1959" spans="2:6" x14ac:dyDescent="0.3">
      <c r="B1959" s="74"/>
      <c r="C1959" s="74"/>
      <c r="D1959" s="74"/>
      <c r="F1959" s="74"/>
    </row>
    <row r="1960" spans="2:6" x14ac:dyDescent="0.3">
      <c r="B1960" s="74"/>
      <c r="C1960" s="74"/>
      <c r="D1960" s="74"/>
      <c r="F1960" s="74"/>
    </row>
    <row r="1961" spans="2:6" x14ac:dyDescent="0.3">
      <c r="B1961" s="74"/>
      <c r="C1961" s="74"/>
      <c r="D1961" s="74"/>
      <c r="F1961" s="74"/>
    </row>
    <row r="1962" spans="2:6" x14ac:dyDescent="0.3">
      <c r="B1962" s="74"/>
      <c r="C1962" s="74"/>
      <c r="D1962" s="74"/>
      <c r="F1962" s="74"/>
    </row>
    <row r="1963" spans="2:6" x14ac:dyDescent="0.3">
      <c r="B1963" s="74"/>
      <c r="C1963" s="74"/>
      <c r="D1963" s="74"/>
      <c r="F1963" s="74"/>
    </row>
    <row r="1964" spans="2:6" x14ac:dyDescent="0.3">
      <c r="B1964" s="74"/>
      <c r="C1964" s="74"/>
      <c r="D1964" s="74"/>
      <c r="F1964" s="74"/>
    </row>
    <row r="1965" spans="2:6" x14ac:dyDescent="0.3">
      <c r="B1965" s="74"/>
      <c r="C1965" s="74"/>
      <c r="D1965" s="74"/>
      <c r="F1965" s="74"/>
    </row>
    <row r="1966" spans="2:6" x14ac:dyDescent="0.3">
      <c r="B1966" s="74"/>
      <c r="C1966" s="74"/>
      <c r="D1966" s="74"/>
      <c r="F1966" s="74"/>
    </row>
    <row r="1967" spans="2:6" x14ac:dyDescent="0.3">
      <c r="B1967" s="74"/>
      <c r="C1967" s="74"/>
      <c r="D1967" s="74"/>
      <c r="F1967" s="74"/>
    </row>
    <row r="1968" spans="2:6" x14ac:dyDescent="0.3">
      <c r="B1968" s="74"/>
      <c r="C1968" s="74"/>
      <c r="D1968" s="74"/>
      <c r="F1968" s="74"/>
    </row>
    <row r="1969" spans="2:6" x14ac:dyDescent="0.3">
      <c r="B1969" s="74"/>
      <c r="C1969" s="74"/>
      <c r="D1969" s="74"/>
      <c r="F1969" s="74"/>
    </row>
    <row r="1970" spans="2:6" x14ac:dyDescent="0.3">
      <c r="B1970" s="74"/>
      <c r="C1970" s="74"/>
      <c r="D1970" s="74"/>
      <c r="F1970" s="74"/>
    </row>
    <row r="1971" spans="2:6" x14ac:dyDescent="0.3">
      <c r="B1971" s="74"/>
      <c r="C1971" s="74"/>
      <c r="D1971" s="74"/>
      <c r="F1971" s="74"/>
    </row>
    <row r="1972" spans="2:6" x14ac:dyDescent="0.3">
      <c r="B1972" s="74"/>
      <c r="C1972" s="74"/>
      <c r="D1972" s="74"/>
      <c r="F1972" s="74"/>
    </row>
    <row r="1973" spans="2:6" x14ac:dyDescent="0.3">
      <c r="B1973" s="74"/>
      <c r="C1973" s="74"/>
      <c r="D1973" s="74"/>
      <c r="F1973" s="74"/>
    </row>
    <row r="1974" spans="2:6" x14ac:dyDescent="0.3">
      <c r="B1974" s="74"/>
      <c r="C1974" s="74"/>
      <c r="D1974" s="74"/>
      <c r="F1974" s="74"/>
    </row>
    <row r="1975" spans="2:6" x14ac:dyDescent="0.3">
      <c r="B1975" s="74"/>
      <c r="C1975" s="74"/>
      <c r="D1975" s="74"/>
      <c r="F1975" s="74"/>
    </row>
    <row r="1976" spans="2:6" x14ac:dyDescent="0.3">
      <c r="B1976" s="74"/>
      <c r="C1976" s="74"/>
      <c r="D1976" s="74"/>
      <c r="F1976" s="74"/>
    </row>
    <row r="1977" spans="2:6" x14ac:dyDescent="0.3">
      <c r="B1977" s="74"/>
      <c r="C1977" s="74"/>
      <c r="D1977" s="74"/>
      <c r="F1977" s="74"/>
    </row>
    <row r="1978" spans="2:6" x14ac:dyDescent="0.3">
      <c r="B1978" s="74"/>
      <c r="C1978" s="74"/>
      <c r="D1978" s="74"/>
      <c r="F1978" s="74"/>
    </row>
    <row r="1979" spans="2:6" x14ac:dyDescent="0.3">
      <c r="B1979" s="74"/>
      <c r="C1979" s="74"/>
      <c r="D1979" s="74"/>
      <c r="F1979" s="74"/>
    </row>
    <row r="1980" spans="2:6" x14ac:dyDescent="0.3">
      <c r="B1980" s="74"/>
      <c r="C1980" s="74"/>
      <c r="D1980" s="74"/>
      <c r="F1980" s="74"/>
    </row>
    <row r="1981" spans="2:6" x14ac:dyDescent="0.3">
      <c r="B1981" s="74"/>
      <c r="C1981" s="74"/>
      <c r="D1981" s="74"/>
      <c r="F1981" s="74"/>
    </row>
    <row r="1982" spans="2:6" x14ac:dyDescent="0.3">
      <c r="B1982" s="74"/>
      <c r="C1982" s="74"/>
      <c r="D1982" s="74"/>
      <c r="F1982" s="74"/>
    </row>
    <row r="1983" spans="2:6" x14ac:dyDescent="0.3">
      <c r="B1983" s="74"/>
      <c r="C1983" s="74"/>
      <c r="D1983" s="74"/>
      <c r="F1983" s="74"/>
    </row>
    <row r="1984" spans="2:6" x14ac:dyDescent="0.3">
      <c r="B1984" s="74"/>
      <c r="C1984" s="74"/>
      <c r="D1984" s="74"/>
      <c r="F1984" s="74"/>
    </row>
    <row r="1985" spans="2:6" x14ac:dyDescent="0.3">
      <c r="B1985" s="74"/>
      <c r="C1985" s="74"/>
      <c r="D1985" s="74"/>
      <c r="F1985" s="74"/>
    </row>
    <row r="1986" spans="2:6" x14ac:dyDescent="0.3">
      <c r="B1986" s="74"/>
      <c r="C1986" s="74"/>
      <c r="D1986" s="74"/>
      <c r="F1986" s="74"/>
    </row>
    <row r="1987" spans="2:6" x14ac:dyDescent="0.3">
      <c r="B1987" s="74"/>
      <c r="C1987" s="74"/>
      <c r="D1987" s="74"/>
      <c r="F1987" s="74"/>
    </row>
    <row r="1988" spans="2:6" x14ac:dyDescent="0.3">
      <c r="B1988" s="74"/>
      <c r="C1988" s="74"/>
      <c r="D1988" s="74"/>
      <c r="F1988" s="74"/>
    </row>
    <row r="1989" spans="2:6" x14ac:dyDescent="0.3">
      <c r="B1989" s="74"/>
      <c r="C1989" s="74"/>
      <c r="D1989" s="74"/>
      <c r="F1989" s="74"/>
    </row>
    <row r="1990" spans="2:6" x14ac:dyDescent="0.3">
      <c r="B1990" s="74"/>
      <c r="C1990" s="74"/>
      <c r="D1990" s="74"/>
      <c r="F1990" s="74"/>
    </row>
    <row r="1991" spans="2:6" x14ac:dyDescent="0.3">
      <c r="B1991" s="74"/>
      <c r="C1991" s="74"/>
      <c r="D1991" s="74"/>
      <c r="F1991" s="74"/>
    </row>
    <row r="1992" spans="2:6" x14ac:dyDescent="0.3">
      <c r="B1992" s="74"/>
      <c r="C1992" s="74"/>
      <c r="D1992" s="74"/>
      <c r="F1992" s="74"/>
    </row>
    <row r="1993" spans="2:6" x14ac:dyDescent="0.3">
      <c r="B1993" s="74"/>
      <c r="C1993" s="74"/>
      <c r="D1993" s="74"/>
      <c r="F1993" s="74"/>
    </row>
    <row r="1994" spans="2:6" x14ac:dyDescent="0.3">
      <c r="B1994" s="74"/>
      <c r="C1994" s="74"/>
      <c r="D1994" s="74"/>
      <c r="F1994" s="74"/>
    </row>
    <row r="1995" spans="2:6" x14ac:dyDescent="0.3">
      <c r="B1995" s="74"/>
      <c r="C1995" s="74"/>
      <c r="D1995" s="74"/>
      <c r="F1995" s="74"/>
    </row>
    <row r="1996" spans="2:6" x14ac:dyDescent="0.3">
      <c r="B1996" s="74"/>
      <c r="C1996" s="74"/>
      <c r="D1996" s="74"/>
      <c r="F1996" s="74"/>
    </row>
    <row r="1997" spans="2:6" x14ac:dyDescent="0.3">
      <c r="B1997" s="74"/>
      <c r="C1997" s="74"/>
      <c r="D1997" s="74"/>
      <c r="F1997" s="74"/>
    </row>
    <row r="1998" spans="2:6" x14ac:dyDescent="0.3">
      <c r="B1998" s="74"/>
      <c r="C1998" s="74"/>
      <c r="D1998" s="74"/>
      <c r="F1998" s="74"/>
    </row>
    <row r="1999" spans="2:6" x14ac:dyDescent="0.3">
      <c r="B1999" s="74"/>
      <c r="C1999" s="74"/>
      <c r="D1999" s="74"/>
      <c r="F1999" s="74"/>
    </row>
    <row r="2000" spans="2:6" x14ac:dyDescent="0.3">
      <c r="B2000" s="74"/>
      <c r="C2000" s="74"/>
      <c r="D2000" s="74"/>
      <c r="F2000" s="74"/>
    </row>
    <row r="2001" spans="2:6" x14ac:dyDescent="0.3">
      <c r="B2001" s="74"/>
      <c r="C2001" s="74"/>
      <c r="D2001" s="74"/>
      <c r="F2001" s="74"/>
    </row>
    <row r="2002" spans="2:6" x14ac:dyDescent="0.3">
      <c r="B2002" s="74"/>
      <c r="C2002" s="74"/>
      <c r="D2002" s="74"/>
      <c r="F2002" s="74"/>
    </row>
    <row r="2003" spans="2:6" x14ac:dyDescent="0.3">
      <c r="B2003" s="74"/>
      <c r="C2003" s="74"/>
      <c r="D2003" s="74"/>
      <c r="F2003" s="74"/>
    </row>
    <row r="2004" spans="2:6" x14ac:dyDescent="0.3">
      <c r="B2004" s="74"/>
      <c r="C2004" s="74"/>
      <c r="D2004" s="74"/>
      <c r="F2004" s="74"/>
    </row>
    <row r="2005" spans="2:6" x14ac:dyDescent="0.3">
      <c r="B2005" s="74"/>
      <c r="C2005" s="74"/>
      <c r="D2005" s="74"/>
      <c r="F2005" s="74"/>
    </row>
    <row r="2006" spans="2:6" x14ac:dyDescent="0.3">
      <c r="B2006" s="74"/>
      <c r="C2006" s="74"/>
      <c r="D2006" s="74"/>
      <c r="F2006" s="74"/>
    </row>
    <row r="2007" spans="2:6" x14ac:dyDescent="0.3">
      <c r="B2007" s="74"/>
      <c r="C2007" s="74"/>
      <c r="D2007" s="74"/>
      <c r="F2007" s="74"/>
    </row>
    <row r="2008" spans="2:6" x14ac:dyDescent="0.3">
      <c r="B2008" s="74"/>
      <c r="C2008" s="74"/>
      <c r="D2008" s="74"/>
      <c r="F2008" s="74"/>
    </row>
    <row r="2009" spans="2:6" x14ac:dyDescent="0.3">
      <c r="B2009" s="74"/>
      <c r="C2009" s="74"/>
      <c r="D2009" s="74"/>
      <c r="F2009" s="74"/>
    </row>
    <row r="2010" spans="2:6" x14ac:dyDescent="0.3">
      <c r="B2010" s="74"/>
      <c r="C2010" s="74"/>
      <c r="D2010" s="74"/>
      <c r="F2010" s="74"/>
    </row>
    <row r="2011" spans="2:6" x14ac:dyDescent="0.3">
      <c r="B2011" s="74"/>
      <c r="C2011" s="74"/>
      <c r="D2011" s="74"/>
      <c r="F2011" s="74"/>
    </row>
    <row r="2012" spans="2:6" x14ac:dyDescent="0.3">
      <c r="B2012" s="74"/>
      <c r="C2012" s="74"/>
      <c r="D2012" s="74"/>
      <c r="F2012" s="74"/>
    </row>
    <row r="2013" spans="2:6" x14ac:dyDescent="0.3">
      <c r="B2013" s="74"/>
      <c r="C2013" s="74"/>
      <c r="D2013" s="74"/>
      <c r="F2013" s="74"/>
    </row>
    <row r="2014" spans="2:6" x14ac:dyDescent="0.3">
      <c r="B2014" s="74"/>
      <c r="C2014" s="74"/>
      <c r="D2014" s="74"/>
      <c r="F2014" s="74"/>
    </row>
    <row r="2015" spans="2:6" x14ac:dyDescent="0.3">
      <c r="B2015" s="74"/>
      <c r="C2015" s="74"/>
      <c r="D2015" s="74"/>
      <c r="F2015" s="74"/>
    </row>
    <row r="2016" spans="2:6" x14ac:dyDescent="0.3">
      <c r="B2016" s="74"/>
      <c r="C2016" s="74"/>
      <c r="D2016" s="74"/>
      <c r="F2016" s="74"/>
    </row>
    <row r="2017" spans="2:6" x14ac:dyDescent="0.3">
      <c r="B2017" s="74"/>
      <c r="C2017" s="74"/>
      <c r="D2017" s="74"/>
      <c r="F2017" s="74"/>
    </row>
    <row r="2018" spans="2:6" x14ac:dyDescent="0.3">
      <c r="B2018" s="74"/>
      <c r="C2018" s="74"/>
      <c r="D2018" s="74"/>
      <c r="F2018" s="74"/>
    </row>
    <row r="2019" spans="2:6" x14ac:dyDescent="0.3">
      <c r="B2019" s="74"/>
      <c r="C2019" s="74"/>
      <c r="D2019" s="74"/>
      <c r="F2019" s="74"/>
    </row>
    <row r="2020" spans="2:6" x14ac:dyDescent="0.3">
      <c r="B2020" s="74"/>
      <c r="C2020" s="74"/>
      <c r="D2020" s="74"/>
      <c r="F2020" s="74"/>
    </row>
    <row r="2021" spans="2:6" x14ac:dyDescent="0.3">
      <c r="B2021" s="74"/>
      <c r="C2021" s="74"/>
      <c r="D2021" s="74"/>
      <c r="F2021" s="74"/>
    </row>
    <row r="2022" spans="2:6" x14ac:dyDescent="0.3">
      <c r="B2022" s="74"/>
      <c r="C2022" s="74"/>
      <c r="D2022" s="74"/>
      <c r="F2022" s="74"/>
    </row>
    <row r="2023" spans="2:6" x14ac:dyDescent="0.3">
      <c r="B2023" s="74"/>
      <c r="C2023" s="74"/>
      <c r="D2023" s="74"/>
      <c r="F2023" s="74"/>
    </row>
    <row r="2024" spans="2:6" x14ac:dyDescent="0.3">
      <c r="B2024" s="74"/>
      <c r="C2024" s="74"/>
      <c r="D2024" s="74"/>
      <c r="F2024" s="74"/>
    </row>
    <row r="2025" spans="2:6" x14ac:dyDescent="0.3">
      <c r="B2025" s="74"/>
      <c r="C2025" s="74"/>
      <c r="D2025" s="74"/>
      <c r="F2025" s="74"/>
    </row>
    <row r="2026" spans="2:6" x14ac:dyDescent="0.3">
      <c r="B2026" s="74"/>
      <c r="C2026" s="74"/>
      <c r="D2026" s="74"/>
      <c r="F2026" s="74"/>
    </row>
    <row r="2027" spans="2:6" x14ac:dyDescent="0.3">
      <c r="B2027" s="74"/>
      <c r="C2027" s="74"/>
      <c r="D2027" s="74"/>
      <c r="F2027" s="74"/>
    </row>
    <row r="2028" spans="2:6" x14ac:dyDescent="0.3">
      <c r="B2028" s="74"/>
      <c r="C2028" s="74"/>
      <c r="D2028" s="74"/>
      <c r="F2028" s="74"/>
    </row>
    <row r="2029" spans="2:6" x14ac:dyDescent="0.3">
      <c r="B2029" s="74"/>
      <c r="C2029" s="74"/>
      <c r="D2029" s="74"/>
      <c r="F2029" s="74"/>
    </row>
    <row r="2030" spans="2:6" x14ac:dyDescent="0.3">
      <c r="B2030" s="74"/>
      <c r="C2030" s="74"/>
      <c r="D2030" s="74"/>
      <c r="F2030" s="74"/>
    </row>
    <row r="2031" spans="2:6" x14ac:dyDescent="0.3">
      <c r="B2031" s="74"/>
      <c r="C2031" s="74"/>
      <c r="D2031" s="74"/>
      <c r="F2031" s="74"/>
    </row>
    <row r="2032" spans="2:6" x14ac:dyDescent="0.3">
      <c r="B2032" s="74"/>
      <c r="C2032" s="74"/>
      <c r="D2032" s="74"/>
      <c r="F2032" s="74"/>
    </row>
    <row r="2033" spans="2:6" x14ac:dyDescent="0.3">
      <c r="B2033" s="74"/>
      <c r="C2033" s="74"/>
      <c r="D2033" s="74"/>
      <c r="F2033" s="74"/>
    </row>
    <row r="2034" spans="2:6" x14ac:dyDescent="0.3">
      <c r="B2034" s="74"/>
      <c r="C2034" s="74"/>
      <c r="D2034" s="74"/>
      <c r="F2034" s="74"/>
    </row>
    <row r="2035" spans="2:6" x14ac:dyDescent="0.3">
      <c r="B2035" s="74"/>
      <c r="C2035" s="74"/>
      <c r="D2035" s="74"/>
      <c r="F2035" s="74"/>
    </row>
    <row r="2036" spans="2:6" x14ac:dyDescent="0.3">
      <c r="B2036" s="74"/>
      <c r="C2036" s="74"/>
      <c r="D2036" s="74"/>
      <c r="F2036" s="74"/>
    </row>
    <row r="2037" spans="2:6" x14ac:dyDescent="0.3">
      <c r="B2037" s="74"/>
      <c r="C2037" s="74"/>
      <c r="D2037" s="74"/>
      <c r="F2037" s="74"/>
    </row>
    <row r="2038" spans="2:6" x14ac:dyDescent="0.3">
      <c r="B2038" s="74"/>
      <c r="C2038" s="74"/>
      <c r="D2038" s="74"/>
      <c r="F2038" s="74"/>
    </row>
    <row r="2039" spans="2:6" x14ac:dyDescent="0.3">
      <c r="B2039" s="74"/>
      <c r="C2039" s="74"/>
      <c r="D2039" s="74"/>
      <c r="F2039" s="74"/>
    </row>
    <row r="2040" spans="2:6" x14ac:dyDescent="0.3">
      <c r="B2040" s="74"/>
      <c r="C2040" s="74"/>
      <c r="D2040" s="74"/>
      <c r="F2040" s="74"/>
    </row>
    <row r="2041" spans="2:6" x14ac:dyDescent="0.3">
      <c r="B2041" s="74"/>
      <c r="C2041" s="74"/>
      <c r="D2041" s="74"/>
      <c r="F2041" s="74"/>
    </row>
    <row r="2042" spans="2:6" x14ac:dyDescent="0.3">
      <c r="B2042" s="74"/>
      <c r="C2042" s="74"/>
      <c r="D2042" s="74"/>
      <c r="F2042" s="74"/>
    </row>
    <row r="2043" spans="2:6" x14ac:dyDescent="0.3">
      <c r="B2043" s="74"/>
      <c r="C2043" s="74"/>
      <c r="D2043" s="74"/>
      <c r="F2043" s="74"/>
    </row>
    <row r="2044" spans="2:6" x14ac:dyDescent="0.3">
      <c r="B2044" s="74"/>
      <c r="C2044" s="74"/>
      <c r="D2044" s="74"/>
      <c r="F2044" s="74"/>
    </row>
    <row r="2045" spans="2:6" x14ac:dyDescent="0.3">
      <c r="B2045" s="74"/>
      <c r="C2045" s="74"/>
      <c r="D2045" s="74"/>
      <c r="F2045" s="74"/>
    </row>
    <row r="2046" spans="2:6" x14ac:dyDescent="0.3">
      <c r="B2046" s="74"/>
      <c r="C2046" s="74"/>
      <c r="D2046" s="74"/>
      <c r="F2046" s="74"/>
    </row>
    <row r="2047" spans="2:6" x14ac:dyDescent="0.3">
      <c r="B2047" s="74"/>
      <c r="C2047" s="74"/>
      <c r="D2047" s="74"/>
      <c r="F2047" s="74"/>
    </row>
    <row r="2048" spans="2:6" x14ac:dyDescent="0.3">
      <c r="B2048" s="74"/>
      <c r="C2048" s="74"/>
      <c r="D2048" s="74"/>
      <c r="F2048" s="74"/>
    </row>
    <row r="2049" spans="2:6" x14ac:dyDescent="0.3">
      <c r="B2049" s="74"/>
      <c r="C2049" s="74"/>
      <c r="D2049" s="74"/>
      <c r="F2049" s="74"/>
    </row>
    <row r="2050" spans="2:6" x14ac:dyDescent="0.3">
      <c r="B2050" s="74"/>
      <c r="C2050" s="74"/>
      <c r="D2050" s="74"/>
      <c r="F2050" s="74"/>
    </row>
    <row r="2051" spans="2:6" x14ac:dyDescent="0.3">
      <c r="B2051" s="74"/>
      <c r="C2051" s="74"/>
      <c r="D2051" s="74"/>
      <c r="F2051" s="74"/>
    </row>
    <row r="2052" spans="2:6" x14ac:dyDescent="0.3">
      <c r="B2052" s="74"/>
      <c r="C2052" s="74"/>
      <c r="D2052" s="74"/>
      <c r="F2052" s="74"/>
    </row>
    <row r="2053" spans="2:6" x14ac:dyDescent="0.3">
      <c r="B2053" s="74"/>
      <c r="C2053" s="74"/>
      <c r="D2053" s="74"/>
      <c r="F2053" s="74"/>
    </row>
    <row r="2054" spans="2:6" x14ac:dyDescent="0.3">
      <c r="B2054" s="74"/>
      <c r="C2054" s="74"/>
      <c r="D2054" s="74"/>
      <c r="F2054" s="74"/>
    </row>
    <row r="2055" spans="2:6" x14ac:dyDescent="0.3">
      <c r="B2055" s="74"/>
      <c r="C2055" s="74"/>
      <c r="D2055" s="74"/>
      <c r="F2055" s="74"/>
    </row>
    <row r="2056" spans="2:6" x14ac:dyDescent="0.3">
      <c r="B2056" s="74"/>
      <c r="C2056" s="74"/>
      <c r="D2056" s="74"/>
      <c r="F2056" s="74"/>
    </row>
    <row r="2057" spans="2:6" x14ac:dyDescent="0.3">
      <c r="B2057" s="74"/>
      <c r="C2057" s="74"/>
      <c r="D2057" s="74"/>
      <c r="F2057" s="74"/>
    </row>
    <row r="2058" spans="2:6" x14ac:dyDescent="0.3">
      <c r="B2058" s="74"/>
      <c r="C2058" s="74"/>
      <c r="D2058" s="74"/>
      <c r="F2058" s="74"/>
    </row>
    <row r="2059" spans="2:6" x14ac:dyDescent="0.3">
      <c r="B2059" s="74"/>
      <c r="C2059" s="74"/>
      <c r="D2059" s="74"/>
      <c r="F2059" s="74"/>
    </row>
    <row r="2060" spans="2:6" x14ac:dyDescent="0.3">
      <c r="B2060" s="74"/>
      <c r="C2060" s="74"/>
      <c r="D2060" s="74"/>
      <c r="F2060" s="74"/>
    </row>
    <row r="2061" spans="2:6" x14ac:dyDescent="0.3">
      <c r="B2061" s="74"/>
      <c r="C2061" s="74"/>
      <c r="D2061" s="74"/>
      <c r="F2061" s="74"/>
    </row>
    <row r="2062" spans="2:6" x14ac:dyDescent="0.3">
      <c r="B2062" s="74"/>
      <c r="C2062" s="74"/>
      <c r="D2062" s="74"/>
      <c r="F2062" s="74"/>
    </row>
    <row r="2063" spans="2:6" x14ac:dyDescent="0.3">
      <c r="B2063" s="74"/>
      <c r="C2063" s="74"/>
      <c r="D2063" s="74"/>
      <c r="F2063" s="74"/>
    </row>
    <row r="2064" spans="2:6" x14ac:dyDescent="0.3">
      <c r="B2064" s="74"/>
      <c r="C2064" s="74"/>
      <c r="D2064" s="74"/>
      <c r="F2064" s="74"/>
    </row>
    <row r="2065" spans="2:6" x14ac:dyDescent="0.3">
      <c r="B2065" s="74"/>
      <c r="C2065" s="74"/>
      <c r="D2065" s="74"/>
      <c r="F2065" s="74"/>
    </row>
    <row r="2066" spans="2:6" x14ac:dyDescent="0.3">
      <c r="B2066" s="74"/>
      <c r="C2066" s="74"/>
      <c r="D2066" s="74"/>
      <c r="F2066" s="74"/>
    </row>
    <row r="2067" spans="2:6" x14ac:dyDescent="0.3">
      <c r="B2067" s="74"/>
      <c r="C2067" s="74"/>
      <c r="D2067" s="74"/>
      <c r="F2067" s="74"/>
    </row>
    <row r="2068" spans="2:6" x14ac:dyDescent="0.3">
      <c r="B2068" s="74"/>
      <c r="C2068" s="74"/>
      <c r="D2068" s="74"/>
      <c r="F2068" s="74"/>
    </row>
    <row r="2069" spans="2:6" x14ac:dyDescent="0.3">
      <c r="B2069" s="74"/>
      <c r="C2069" s="74"/>
      <c r="D2069" s="74"/>
      <c r="F2069" s="74"/>
    </row>
    <row r="2070" spans="2:6" x14ac:dyDescent="0.3">
      <c r="B2070" s="74"/>
      <c r="C2070" s="74"/>
      <c r="D2070" s="74"/>
      <c r="F2070" s="74"/>
    </row>
    <row r="2071" spans="2:6" x14ac:dyDescent="0.3">
      <c r="B2071" s="74"/>
      <c r="C2071" s="74"/>
      <c r="D2071" s="74"/>
      <c r="F2071" s="74"/>
    </row>
    <row r="2072" spans="2:6" x14ac:dyDescent="0.3">
      <c r="B2072" s="74"/>
      <c r="C2072" s="74"/>
      <c r="D2072" s="74"/>
      <c r="F2072" s="74"/>
    </row>
    <row r="2073" spans="2:6" x14ac:dyDescent="0.3">
      <c r="B2073" s="74"/>
      <c r="C2073" s="74"/>
      <c r="D2073" s="74"/>
      <c r="F2073" s="74"/>
    </row>
    <row r="2074" spans="2:6" x14ac:dyDescent="0.3">
      <c r="B2074" s="74"/>
      <c r="C2074" s="74"/>
      <c r="D2074" s="74"/>
      <c r="F2074" s="74"/>
    </row>
    <row r="2075" spans="2:6" x14ac:dyDescent="0.3">
      <c r="B2075" s="74"/>
      <c r="C2075" s="74"/>
      <c r="D2075" s="74"/>
      <c r="F2075" s="74"/>
    </row>
    <row r="2076" spans="2:6" x14ac:dyDescent="0.3">
      <c r="B2076" s="74"/>
      <c r="C2076" s="74"/>
      <c r="D2076" s="74"/>
      <c r="F2076" s="74"/>
    </row>
    <row r="2077" spans="2:6" x14ac:dyDescent="0.3">
      <c r="B2077" s="74"/>
      <c r="C2077" s="74"/>
      <c r="D2077" s="74"/>
      <c r="F2077" s="74"/>
    </row>
    <row r="2078" spans="2:6" x14ac:dyDescent="0.3">
      <c r="B2078" s="74"/>
      <c r="C2078" s="74"/>
      <c r="D2078" s="74"/>
      <c r="F2078" s="74"/>
    </row>
    <row r="2079" spans="2:6" x14ac:dyDescent="0.3">
      <c r="B2079" s="74"/>
      <c r="C2079" s="74"/>
      <c r="D2079" s="74"/>
      <c r="F2079" s="74"/>
    </row>
    <row r="2080" spans="2:6" x14ac:dyDescent="0.3">
      <c r="B2080" s="74"/>
      <c r="C2080" s="74"/>
      <c r="D2080" s="74"/>
      <c r="F2080" s="74"/>
    </row>
    <row r="2081" spans="2:6" x14ac:dyDescent="0.3">
      <c r="B2081" s="74"/>
      <c r="C2081" s="74"/>
      <c r="D2081" s="74"/>
      <c r="F2081" s="74"/>
    </row>
    <row r="2082" spans="2:6" x14ac:dyDescent="0.3">
      <c r="B2082" s="74"/>
      <c r="C2082" s="74"/>
      <c r="D2082" s="74"/>
      <c r="F2082" s="74"/>
    </row>
    <row r="2083" spans="2:6" x14ac:dyDescent="0.3">
      <c r="B2083" s="74"/>
      <c r="C2083" s="74"/>
      <c r="D2083" s="74"/>
      <c r="F2083" s="74"/>
    </row>
    <row r="2084" spans="2:6" x14ac:dyDescent="0.3">
      <c r="B2084" s="74"/>
      <c r="C2084" s="74"/>
      <c r="D2084" s="74"/>
      <c r="F2084" s="74"/>
    </row>
    <row r="2085" spans="2:6" x14ac:dyDescent="0.3">
      <c r="B2085" s="74"/>
      <c r="C2085" s="74"/>
      <c r="D2085" s="74"/>
      <c r="F2085" s="74"/>
    </row>
    <row r="2086" spans="2:6" x14ac:dyDescent="0.3">
      <c r="B2086" s="74"/>
      <c r="C2086" s="74"/>
      <c r="D2086" s="74"/>
      <c r="F2086" s="74"/>
    </row>
    <row r="2087" spans="2:6" x14ac:dyDescent="0.3">
      <c r="B2087" s="74"/>
      <c r="C2087" s="74"/>
      <c r="D2087" s="74"/>
      <c r="F2087" s="74"/>
    </row>
    <row r="2088" spans="2:6" x14ac:dyDescent="0.3">
      <c r="B2088" s="74"/>
      <c r="C2088" s="74"/>
      <c r="D2088" s="74"/>
      <c r="F2088" s="74"/>
    </row>
    <row r="2089" spans="2:6" x14ac:dyDescent="0.3">
      <c r="B2089" s="74"/>
      <c r="C2089" s="74"/>
      <c r="D2089" s="74"/>
      <c r="F2089" s="74"/>
    </row>
    <row r="2090" spans="2:6" x14ac:dyDescent="0.3">
      <c r="B2090" s="74"/>
      <c r="C2090" s="74"/>
      <c r="D2090" s="74"/>
      <c r="F2090" s="74"/>
    </row>
    <row r="2091" spans="2:6" x14ac:dyDescent="0.3">
      <c r="B2091" s="74"/>
      <c r="C2091" s="74"/>
      <c r="D2091" s="74"/>
      <c r="F2091" s="74"/>
    </row>
    <row r="2092" spans="2:6" x14ac:dyDescent="0.3">
      <c r="B2092" s="74"/>
      <c r="C2092" s="74"/>
      <c r="D2092" s="74"/>
      <c r="F2092" s="74"/>
    </row>
    <row r="2093" spans="2:6" x14ac:dyDescent="0.3">
      <c r="B2093" s="74"/>
      <c r="C2093" s="74"/>
      <c r="D2093" s="74"/>
      <c r="F2093" s="74"/>
    </row>
    <row r="2094" spans="2:6" x14ac:dyDescent="0.3">
      <c r="B2094" s="74"/>
      <c r="C2094" s="74"/>
      <c r="D2094" s="74"/>
      <c r="F2094" s="74"/>
    </row>
    <row r="2095" spans="2:6" x14ac:dyDescent="0.3">
      <c r="B2095" s="74"/>
      <c r="C2095" s="74"/>
      <c r="D2095" s="74"/>
      <c r="F2095" s="74"/>
    </row>
    <row r="2096" spans="2:6" x14ac:dyDescent="0.3">
      <c r="B2096" s="74"/>
      <c r="C2096" s="74"/>
      <c r="D2096" s="74"/>
      <c r="F2096" s="74"/>
    </row>
    <row r="2097" spans="2:6" x14ac:dyDescent="0.3">
      <c r="B2097" s="74"/>
      <c r="C2097" s="74"/>
      <c r="D2097" s="74"/>
      <c r="F2097" s="74"/>
    </row>
    <row r="2098" spans="2:6" x14ac:dyDescent="0.3">
      <c r="B2098" s="74"/>
      <c r="C2098" s="74"/>
      <c r="D2098" s="74"/>
      <c r="F2098" s="74"/>
    </row>
    <row r="2099" spans="2:6" x14ac:dyDescent="0.3">
      <c r="B2099" s="74"/>
      <c r="C2099" s="74"/>
      <c r="D2099" s="74"/>
      <c r="F2099" s="74"/>
    </row>
    <row r="2100" spans="2:6" x14ac:dyDescent="0.3">
      <c r="B2100" s="74"/>
      <c r="C2100" s="74"/>
      <c r="D2100" s="74"/>
      <c r="F2100" s="74"/>
    </row>
    <row r="2101" spans="2:6" x14ac:dyDescent="0.3">
      <c r="B2101" s="74"/>
      <c r="C2101" s="74"/>
      <c r="D2101" s="74"/>
      <c r="F2101" s="74"/>
    </row>
    <row r="2102" spans="2:6" x14ac:dyDescent="0.3">
      <c r="B2102" s="74"/>
      <c r="C2102" s="74"/>
      <c r="D2102" s="74"/>
      <c r="F2102" s="74"/>
    </row>
    <row r="2103" spans="2:6" x14ac:dyDescent="0.3">
      <c r="B2103" s="74"/>
      <c r="C2103" s="74"/>
      <c r="D2103" s="74"/>
      <c r="F2103" s="74"/>
    </row>
    <row r="2104" spans="2:6" x14ac:dyDescent="0.3">
      <c r="B2104" s="74"/>
      <c r="C2104" s="74"/>
      <c r="D2104" s="74"/>
      <c r="F2104" s="74"/>
    </row>
    <row r="2105" spans="2:6" x14ac:dyDescent="0.3">
      <c r="B2105" s="74"/>
      <c r="C2105" s="74"/>
      <c r="D2105" s="74"/>
      <c r="F2105" s="74"/>
    </row>
    <row r="2106" spans="2:6" x14ac:dyDescent="0.3">
      <c r="B2106" s="74"/>
      <c r="C2106" s="74"/>
      <c r="D2106" s="74"/>
      <c r="F2106" s="74"/>
    </row>
    <row r="2107" spans="2:6" x14ac:dyDescent="0.3">
      <c r="B2107" s="74"/>
      <c r="C2107" s="74"/>
      <c r="D2107" s="74"/>
      <c r="F2107" s="74"/>
    </row>
    <row r="2108" spans="2:6" x14ac:dyDescent="0.3">
      <c r="B2108" s="74"/>
      <c r="C2108" s="74"/>
      <c r="D2108" s="74"/>
      <c r="F2108" s="74"/>
    </row>
    <row r="2109" spans="2:6" x14ac:dyDescent="0.3">
      <c r="B2109" s="74"/>
      <c r="C2109" s="74"/>
      <c r="D2109" s="74"/>
      <c r="F2109" s="74"/>
    </row>
    <row r="2110" spans="2:6" x14ac:dyDescent="0.3">
      <c r="B2110" s="74"/>
      <c r="C2110" s="74"/>
      <c r="D2110" s="74"/>
      <c r="F2110" s="74"/>
    </row>
    <row r="2111" spans="2:6" x14ac:dyDescent="0.3">
      <c r="B2111" s="74"/>
      <c r="C2111" s="74"/>
      <c r="D2111" s="74"/>
      <c r="F2111" s="74"/>
    </row>
    <row r="2112" spans="2:6" x14ac:dyDescent="0.3">
      <c r="B2112" s="74"/>
      <c r="C2112" s="74"/>
      <c r="D2112" s="74"/>
      <c r="F2112" s="74"/>
    </row>
    <row r="2113" spans="2:6" x14ac:dyDescent="0.3">
      <c r="B2113" s="74"/>
      <c r="C2113" s="74"/>
      <c r="D2113" s="74"/>
      <c r="F2113" s="74"/>
    </row>
    <row r="2114" spans="2:6" x14ac:dyDescent="0.3">
      <c r="B2114" s="74"/>
      <c r="C2114" s="74"/>
      <c r="D2114" s="74"/>
      <c r="F2114" s="74"/>
    </row>
    <row r="2115" spans="2:6" x14ac:dyDescent="0.3">
      <c r="B2115" s="74"/>
      <c r="C2115" s="74"/>
      <c r="D2115" s="74"/>
      <c r="F2115" s="74"/>
    </row>
    <row r="2116" spans="2:6" x14ac:dyDescent="0.3">
      <c r="B2116" s="74"/>
      <c r="C2116" s="74"/>
      <c r="D2116" s="74"/>
      <c r="F2116" s="74"/>
    </row>
    <row r="2117" spans="2:6" x14ac:dyDescent="0.3">
      <c r="B2117" s="74"/>
      <c r="C2117" s="74"/>
      <c r="D2117" s="74"/>
      <c r="F2117" s="74"/>
    </row>
    <row r="2118" spans="2:6" x14ac:dyDescent="0.3">
      <c r="B2118" s="74"/>
      <c r="C2118" s="74"/>
      <c r="D2118" s="74"/>
      <c r="F2118" s="74"/>
    </row>
    <row r="2119" spans="2:6" x14ac:dyDescent="0.3">
      <c r="B2119" s="74"/>
      <c r="C2119" s="74"/>
      <c r="D2119" s="74"/>
      <c r="F2119" s="74"/>
    </row>
    <row r="2120" spans="2:6" x14ac:dyDescent="0.3">
      <c r="B2120" s="74"/>
      <c r="C2120" s="74"/>
      <c r="D2120" s="74"/>
      <c r="F2120" s="74"/>
    </row>
    <row r="2121" spans="2:6" x14ac:dyDescent="0.3">
      <c r="B2121" s="74"/>
      <c r="C2121" s="74"/>
      <c r="D2121" s="74"/>
      <c r="F2121" s="74"/>
    </row>
    <row r="2122" spans="2:6" x14ac:dyDescent="0.3">
      <c r="B2122" s="74"/>
      <c r="C2122" s="74"/>
      <c r="D2122" s="74"/>
      <c r="F2122" s="74"/>
    </row>
    <row r="2123" spans="2:6" x14ac:dyDescent="0.3">
      <c r="B2123" s="74"/>
      <c r="C2123" s="74"/>
      <c r="D2123" s="74"/>
      <c r="F2123" s="74"/>
    </row>
    <row r="2124" spans="2:6" x14ac:dyDescent="0.3">
      <c r="B2124" s="74"/>
      <c r="C2124" s="74"/>
      <c r="D2124" s="74"/>
      <c r="F2124" s="74"/>
    </row>
    <row r="2125" spans="2:6" x14ac:dyDescent="0.3">
      <c r="B2125" s="74"/>
      <c r="C2125" s="74"/>
      <c r="D2125" s="74"/>
      <c r="F2125" s="74"/>
    </row>
    <row r="2126" spans="2:6" x14ac:dyDescent="0.3">
      <c r="B2126" s="74"/>
      <c r="C2126" s="74"/>
      <c r="D2126" s="74"/>
      <c r="F2126" s="74"/>
    </row>
    <row r="2127" spans="2:6" x14ac:dyDescent="0.3">
      <c r="B2127" s="74"/>
      <c r="C2127" s="74"/>
      <c r="D2127" s="74"/>
      <c r="F2127" s="74"/>
    </row>
    <row r="2128" spans="2:6" x14ac:dyDescent="0.3">
      <c r="B2128" s="74"/>
      <c r="C2128" s="74"/>
      <c r="D2128" s="74"/>
      <c r="F2128" s="74"/>
    </row>
    <row r="2129" spans="2:6" x14ac:dyDescent="0.3">
      <c r="B2129" s="74"/>
      <c r="C2129" s="74"/>
      <c r="D2129" s="74"/>
      <c r="F2129" s="74"/>
    </row>
    <row r="2130" spans="2:6" x14ac:dyDescent="0.3">
      <c r="B2130" s="74"/>
      <c r="C2130" s="74"/>
      <c r="D2130" s="74"/>
      <c r="F2130" s="74"/>
    </row>
    <row r="2131" spans="2:6" x14ac:dyDescent="0.3">
      <c r="B2131" s="74"/>
      <c r="C2131" s="74"/>
      <c r="D2131" s="74"/>
      <c r="F2131" s="74"/>
    </row>
    <row r="2132" spans="2:6" x14ac:dyDescent="0.3">
      <c r="B2132" s="74"/>
      <c r="C2132" s="74"/>
      <c r="D2132" s="74"/>
      <c r="F2132" s="74"/>
    </row>
    <row r="2133" spans="2:6" x14ac:dyDescent="0.3">
      <c r="B2133" s="74"/>
      <c r="C2133" s="74"/>
      <c r="D2133" s="74"/>
      <c r="F2133" s="74"/>
    </row>
    <row r="2134" spans="2:6" x14ac:dyDescent="0.3">
      <c r="B2134" s="74"/>
      <c r="C2134" s="74"/>
      <c r="D2134" s="74"/>
      <c r="F2134" s="74"/>
    </row>
    <row r="2135" spans="2:6" x14ac:dyDescent="0.3">
      <c r="B2135" s="74"/>
      <c r="C2135" s="74"/>
      <c r="D2135" s="74"/>
      <c r="F2135" s="74"/>
    </row>
    <row r="2136" spans="2:6" x14ac:dyDescent="0.3">
      <c r="B2136" s="74"/>
      <c r="C2136" s="74"/>
      <c r="D2136" s="74"/>
      <c r="F2136" s="74"/>
    </row>
    <row r="2137" spans="2:6" x14ac:dyDescent="0.3">
      <c r="B2137" s="74"/>
      <c r="C2137" s="74"/>
      <c r="D2137" s="74"/>
      <c r="F2137" s="74"/>
    </row>
    <row r="2138" spans="2:6" x14ac:dyDescent="0.3">
      <c r="B2138" s="74"/>
      <c r="C2138" s="74"/>
      <c r="D2138" s="74"/>
      <c r="F2138" s="74"/>
    </row>
    <row r="2139" spans="2:6" x14ac:dyDescent="0.3">
      <c r="B2139" s="74"/>
      <c r="C2139" s="74"/>
      <c r="D2139" s="74"/>
      <c r="F2139" s="74"/>
    </row>
    <row r="2140" spans="2:6" x14ac:dyDescent="0.3">
      <c r="B2140" s="74"/>
      <c r="C2140" s="74"/>
      <c r="D2140" s="74"/>
      <c r="F2140" s="74"/>
    </row>
    <row r="2141" spans="2:6" x14ac:dyDescent="0.3">
      <c r="B2141" s="74"/>
      <c r="C2141" s="74"/>
      <c r="D2141" s="74"/>
      <c r="F2141" s="74"/>
    </row>
    <row r="2142" spans="2:6" x14ac:dyDescent="0.3">
      <c r="B2142" s="74"/>
      <c r="C2142" s="74"/>
      <c r="D2142" s="74"/>
      <c r="F2142" s="74"/>
    </row>
    <row r="2143" spans="2:6" x14ac:dyDescent="0.3">
      <c r="B2143" s="74"/>
      <c r="C2143" s="74"/>
      <c r="D2143" s="74"/>
      <c r="F2143" s="74"/>
    </row>
    <row r="2144" spans="2:6" x14ac:dyDescent="0.3">
      <c r="B2144" s="74"/>
      <c r="C2144" s="74"/>
      <c r="D2144" s="74"/>
      <c r="F2144" s="74"/>
    </row>
    <row r="2145" spans="2:6" x14ac:dyDescent="0.3">
      <c r="B2145" s="74"/>
      <c r="C2145" s="74"/>
      <c r="D2145" s="74"/>
      <c r="F2145" s="74"/>
    </row>
    <row r="2146" spans="2:6" x14ac:dyDescent="0.3">
      <c r="B2146" s="74"/>
      <c r="C2146" s="74"/>
      <c r="D2146" s="74"/>
      <c r="F2146" s="74"/>
    </row>
    <row r="2147" spans="2:6" x14ac:dyDescent="0.3">
      <c r="B2147" s="74"/>
      <c r="C2147" s="74"/>
      <c r="D2147" s="74"/>
      <c r="F2147" s="74"/>
    </row>
    <row r="2148" spans="2:6" x14ac:dyDescent="0.3">
      <c r="B2148" s="74"/>
      <c r="C2148" s="74"/>
      <c r="D2148" s="74"/>
      <c r="F2148" s="74"/>
    </row>
    <row r="2149" spans="2:6" x14ac:dyDescent="0.3">
      <c r="B2149" s="74"/>
      <c r="C2149" s="74"/>
      <c r="D2149" s="74"/>
      <c r="F2149" s="74"/>
    </row>
    <row r="2150" spans="2:6" x14ac:dyDescent="0.3">
      <c r="B2150" s="74"/>
      <c r="C2150" s="74"/>
      <c r="D2150" s="74"/>
      <c r="F2150" s="74"/>
    </row>
    <row r="2151" spans="2:6" x14ac:dyDescent="0.3">
      <c r="B2151" s="74"/>
      <c r="C2151" s="74"/>
      <c r="D2151" s="74"/>
      <c r="F2151" s="74"/>
    </row>
    <row r="2152" spans="2:6" x14ac:dyDescent="0.3">
      <c r="B2152" s="74"/>
      <c r="C2152" s="74"/>
      <c r="D2152" s="74"/>
      <c r="F2152" s="74"/>
    </row>
    <row r="2153" spans="2:6" x14ac:dyDescent="0.3">
      <c r="B2153" s="74"/>
      <c r="C2153" s="74"/>
      <c r="D2153" s="74"/>
      <c r="F2153" s="74"/>
    </row>
    <row r="2154" spans="2:6" x14ac:dyDescent="0.3">
      <c r="B2154" s="74"/>
      <c r="C2154" s="74"/>
      <c r="D2154" s="74"/>
      <c r="F2154" s="74"/>
    </row>
    <row r="2155" spans="2:6" x14ac:dyDescent="0.3">
      <c r="B2155" s="74"/>
      <c r="C2155" s="74"/>
      <c r="D2155" s="74"/>
      <c r="F2155" s="74"/>
    </row>
    <row r="2156" spans="2:6" x14ac:dyDescent="0.3">
      <c r="B2156" s="74"/>
      <c r="C2156" s="74"/>
      <c r="D2156" s="74"/>
      <c r="F2156" s="74"/>
    </row>
    <row r="2157" spans="2:6" x14ac:dyDescent="0.3">
      <c r="B2157" s="74"/>
      <c r="C2157" s="74"/>
      <c r="D2157" s="74"/>
      <c r="F2157" s="74"/>
    </row>
    <row r="2158" spans="2:6" x14ac:dyDescent="0.3">
      <c r="B2158" s="74"/>
      <c r="C2158" s="74"/>
      <c r="D2158" s="74"/>
      <c r="F2158" s="74"/>
    </row>
    <row r="2159" spans="2:6" x14ac:dyDescent="0.3">
      <c r="B2159" s="74"/>
      <c r="C2159" s="74"/>
      <c r="D2159" s="74"/>
      <c r="F2159" s="74"/>
    </row>
    <row r="2160" spans="2:6" x14ac:dyDescent="0.3">
      <c r="B2160" s="74"/>
      <c r="C2160" s="74"/>
      <c r="D2160" s="74"/>
      <c r="F2160" s="74"/>
    </row>
    <row r="2161" spans="2:6" x14ac:dyDescent="0.3">
      <c r="B2161" s="74"/>
      <c r="C2161" s="74"/>
      <c r="D2161" s="74"/>
      <c r="F2161" s="74"/>
    </row>
    <row r="2162" spans="2:6" x14ac:dyDescent="0.3">
      <c r="B2162" s="74"/>
      <c r="C2162" s="74"/>
      <c r="D2162" s="74"/>
      <c r="F2162" s="74"/>
    </row>
    <row r="2163" spans="2:6" x14ac:dyDescent="0.3">
      <c r="B2163" s="74"/>
      <c r="C2163" s="74"/>
      <c r="D2163" s="74"/>
      <c r="F2163" s="74"/>
    </row>
    <row r="2164" spans="2:6" x14ac:dyDescent="0.3">
      <c r="B2164" s="74"/>
      <c r="C2164" s="74"/>
      <c r="D2164" s="74"/>
      <c r="F2164" s="74"/>
    </row>
    <row r="2165" spans="2:6" x14ac:dyDescent="0.3">
      <c r="B2165" s="74"/>
      <c r="C2165" s="74"/>
      <c r="D2165" s="74"/>
      <c r="F2165" s="74"/>
    </row>
    <row r="2166" spans="2:6" x14ac:dyDescent="0.3">
      <c r="B2166" s="74"/>
      <c r="C2166" s="74"/>
      <c r="D2166" s="74"/>
      <c r="F2166" s="74"/>
    </row>
    <row r="2167" spans="2:6" x14ac:dyDescent="0.3">
      <c r="B2167" s="74"/>
      <c r="C2167" s="74"/>
      <c r="D2167" s="74"/>
      <c r="F2167" s="74"/>
    </row>
    <row r="2168" spans="2:6" x14ac:dyDescent="0.3">
      <c r="B2168" s="74"/>
      <c r="C2168" s="74"/>
      <c r="D2168" s="74"/>
      <c r="F2168" s="74"/>
    </row>
    <row r="2169" spans="2:6" x14ac:dyDescent="0.3">
      <c r="B2169" s="74"/>
      <c r="C2169" s="74"/>
      <c r="D2169" s="74"/>
      <c r="F2169" s="74"/>
    </row>
    <row r="2170" spans="2:6" x14ac:dyDescent="0.3">
      <c r="B2170" s="74"/>
      <c r="C2170" s="74"/>
      <c r="D2170" s="74"/>
      <c r="F2170" s="74"/>
    </row>
    <row r="2171" spans="2:6" x14ac:dyDescent="0.3">
      <c r="B2171" s="74"/>
      <c r="C2171" s="74"/>
      <c r="D2171" s="74"/>
      <c r="F2171" s="74"/>
    </row>
    <row r="2172" spans="2:6" x14ac:dyDescent="0.3">
      <c r="B2172" s="74"/>
      <c r="C2172" s="74"/>
      <c r="D2172" s="74"/>
      <c r="F2172" s="74"/>
    </row>
    <row r="2173" spans="2:6" x14ac:dyDescent="0.3">
      <c r="B2173" s="74"/>
      <c r="C2173" s="74"/>
      <c r="D2173" s="74"/>
      <c r="F2173" s="74"/>
    </row>
    <row r="2174" spans="2:6" x14ac:dyDescent="0.3">
      <c r="B2174" s="74"/>
      <c r="C2174" s="74"/>
      <c r="D2174" s="74"/>
      <c r="F2174" s="74"/>
    </row>
    <row r="2175" spans="2:6" x14ac:dyDescent="0.3">
      <c r="B2175" s="74"/>
      <c r="C2175" s="74"/>
      <c r="D2175" s="74"/>
      <c r="F2175" s="74"/>
    </row>
    <row r="2176" spans="2:6" x14ac:dyDescent="0.3">
      <c r="B2176" s="74"/>
      <c r="C2176" s="74"/>
      <c r="D2176" s="74"/>
      <c r="F2176" s="74"/>
    </row>
    <row r="2177" spans="2:6" x14ac:dyDescent="0.3">
      <c r="B2177" s="74"/>
      <c r="C2177" s="74"/>
      <c r="D2177" s="74"/>
      <c r="F2177" s="74"/>
    </row>
    <row r="2178" spans="2:6" x14ac:dyDescent="0.3">
      <c r="B2178" s="74"/>
      <c r="C2178" s="74"/>
      <c r="D2178" s="74"/>
      <c r="F2178" s="74"/>
    </row>
    <row r="2179" spans="2:6" x14ac:dyDescent="0.3">
      <c r="B2179" s="74"/>
      <c r="C2179" s="74"/>
      <c r="D2179" s="74"/>
      <c r="F2179" s="74"/>
    </row>
    <row r="2180" spans="2:6" x14ac:dyDescent="0.3">
      <c r="B2180" s="74"/>
      <c r="C2180" s="74"/>
      <c r="D2180" s="74"/>
      <c r="F2180" s="74"/>
    </row>
    <row r="2181" spans="2:6" x14ac:dyDescent="0.3">
      <c r="B2181" s="74"/>
      <c r="C2181" s="74"/>
      <c r="D2181" s="74"/>
      <c r="F2181" s="74"/>
    </row>
    <row r="2182" spans="2:6" x14ac:dyDescent="0.3">
      <c r="B2182" s="74"/>
      <c r="C2182" s="74"/>
      <c r="D2182" s="74"/>
      <c r="F2182" s="74"/>
    </row>
    <row r="2183" spans="2:6" x14ac:dyDescent="0.3">
      <c r="B2183" s="74"/>
      <c r="C2183" s="74"/>
      <c r="D2183" s="74"/>
      <c r="F2183" s="74"/>
    </row>
    <row r="2184" spans="2:6" x14ac:dyDescent="0.3">
      <c r="B2184" s="74"/>
      <c r="C2184" s="74"/>
      <c r="D2184" s="74"/>
      <c r="F2184" s="74"/>
    </row>
    <row r="2185" spans="2:6" x14ac:dyDescent="0.3">
      <c r="B2185" s="74"/>
      <c r="C2185" s="74"/>
      <c r="D2185" s="74"/>
      <c r="F2185" s="74"/>
    </row>
    <row r="2186" spans="2:6" x14ac:dyDescent="0.3">
      <c r="B2186" s="74"/>
      <c r="C2186" s="74"/>
      <c r="D2186" s="74"/>
      <c r="F2186" s="74"/>
    </row>
    <row r="2187" spans="2:6" x14ac:dyDescent="0.3">
      <c r="B2187" s="74"/>
      <c r="C2187" s="74"/>
      <c r="D2187" s="74"/>
      <c r="F2187" s="74"/>
    </row>
    <row r="2188" spans="2:6" x14ac:dyDescent="0.3">
      <c r="B2188" s="74"/>
      <c r="C2188" s="74"/>
      <c r="D2188" s="74"/>
      <c r="F2188" s="74"/>
    </row>
    <row r="2189" spans="2:6" x14ac:dyDescent="0.3">
      <c r="B2189" s="74"/>
      <c r="C2189" s="74"/>
      <c r="D2189" s="74"/>
      <c r="F2189" s="74"/>
    </row>
    <row r="2190" spans="2:6" x14ac:dyDescent="0.3">
      <c r="B2190" s="74"/>
      <c r="C2190" s="74"/>
      <c r="D2190" s="74"/>
      <c r="F2190" s="74"/>
    </row>
    <row r="2191" spans="2:6" x14ac:dyDescent="0.3">
      <c r="B2191" s="74"/>
      <c r="C2191" s="74"/>
      <c r="D2191" s="74"/>
      <c r="F2191" s="74"/>
    </row>
    <row r="2192" spans="2:6" x14ac:dyDescent="0.3">
      <c r="B2192" s="74"/>
      <c r="C2192" s="74"/>
      <c r="D2192" s="74"/>
      <c r="F2192" s="74"/>
    </row>
    <row r="2193" spans="2:6" x14ac:dyDescent="0.3">
      <c r="B2193" s="74"/>
      <c r="C2193" s="74"/>
      <c r="D2193" s="74"/>
      <c r="F2193" s="74"/>
    </row>
    <row r="2194" spans="2:6" x14ac:dyDescent="0.3">
      <c r="B2194" s="74"/>
      <c r="C2194" s="74"/>
      <c r="D2194" s="74"/>
      <c r="F2194" s="74"/>
    </row>
    <row r="2195" spans="2:6" x14ac:dyDescent="0.3">
      <c r="B2195" s="74"/>
      <c r="C2195" s="74"/>
      <c r="D2195" s="74"/>
      <c r="F2195" s="74"/>
    </row>
    <row r="2196" spans="2:6" x14ac:dyDescent="0.3">
      <c r="B2196" s="74"/>
      <c r="C2196" s="74"/>
      <c r="D2196" s="74"/>
      <c r="F2196" s="74"/>
    </row>
    <row r="2197" spans="2:6" x14ac:dyDescent="0.3">
      <c r="B2197" s="74"/>
      <c r="C2197" s="74"/>
      <c r="D2197" s="74"/>
      <c r="F2197" s="74"/>
    </row>
    <row r="2198" spans="2:6" x14ac:dyDescent="0.3">
      <c r="B2198" s="74"/>
      <c r="C2198" s="74"/>
      <c r="D2198" s="74"/>
      <c r="F2198" s="74"/>
    </row>
    <row r="2199" spans="2:6" x14ac:dyDescent="0.3">
      <c r="B2199" s="74"/>
      <c r="C2199" s="74"/>
      <c r="D2199" s="74"/>
      <c r="F2199" s="74"/>
    </row>
    <row r="2200" spans="2:6" x14ac:dyDescent="0.3">
      <c r="B2200" s="74"/>
      <c r="C2200" s="74"/>
      <c r="D2200" s="74"/>
      <c r="F2200" s="74"/>
    </row>
    <row r="2201" spans="2:6" x14ac:dyDescent="0.3">
      <c r="B2201" s="74"/>
      <c r="C2201" s="74"/>
      <c r="D2201" s="74"/>
      <c r="F2201" s="74"/>
    </row>
    <row r="2202" spans="2:6" x14ac:dyDescent="0.3">
      <c r="B2202" s="74"/>
      <c r="C2202" s="74"/>
      <c r="D2202" s="74"/>
      <c r="F2202" s="74"/>
    </row>
    <row r="2203" spans="2:6" x14ac:dyDescent="0.3">
      <c r="B2203" s="74"/>
      <c r="C2203" s="74"/>
      <c r="D2203" s="74"/>
      <c r="F2203" s="74"/>
    </row>
    <row r="2204" spans="2:6" x14ac:dyDescent="0.3">
      <c r="B2204" s="74"/>
      <c r="C2204" s="74"/>
      <c r="D2204" s="74"/>
      <c r="F2204" s="74"/>
    </row>
    <row r="2205" spans="2:6" x14ac:dyDescent="0.3">
      <c r="B2205" s="74"/>
      <c r="C2205" s="74"/>
      <c r="D2205" s="74"/>
      <c r="F2205" s="74"/>
    </row>
    <row r="2206" spans="2:6" x14ac:dyDescent="0.3">
      <c r="B2206" s="74"/>
      <c r="C2206" s="74"/>
      <c r="D2206" s="74"/>
      <c r="F2206" s="74"/>
    </row>
    <row r="2207" spans="2:6" x14ac:dyDescent="0.3">
      <c r="B2207" s="74"/>
      <c r="C2207" s="74"/>
      <c r="D2207" s="74"/>
      <c r="F2207" s="74"/>
    </row>
    <row r="2208" spans="2:6" x14ac:dyDescent="0.3">
      <c r="B2208" s="74"/>
      <c r="C2208" s="74"/>
      <c r="D2208" s="74"/>
      <c r="F2208" s="74"/>
    </row>
    <row r="2209" spans="2:6" x14ac:dyDescent="0.3">
      <c r="B2209" s="74"/>
      <c r="C2209" s="74"/>
      <c r="D2209" s="74"/>
      <c r="F2209" s="74"/>
    </row>
    <row r="2210" spans="2:6" x14ac:dyDescent="0.3">
      <c r="B2210" s="74"/>
      <c r="C2210" s="74"/>
      <c r="D2210" s="74"/>
      <c r="F2210" s="74"/>
    </row>
    <row r="2211" spans="2:6" x14ac:dyDescent="0.3">
      <c r="B2211" s="74"/>
      <c r="C2211" s="74"/>
      <c r="D2211" s="74"/>
      <c r="F2211" s="74"/>
    </row>
    <row r="2212" spans="2:6" x14ac:dyDescent="0.3">
      <c r="B2212" s="74"/>
      <c r="C2212" s="74"/>
      <c r="D2212" s="74"/>
      <c r="F2212" s="74"/>
    </row>
    <row r="2213" spans="2:6" x14ac:dyDescent="0.3">
      <c r="B2213" s="74"/>
      <c r="C2213" s="74"/>
      <c r="D2213" s="74"/>
      <c r="F2213" s="74"/>
    </row>
    <row r="2214" spans="2:6" x14ac:dyDescent="0.3">
      <c r="B2214" s="74"/>
      <c r="C2214" s="74"/>
      <c r="D2214" s="74"/>
      <c r="F2214" s="74"/>
    </row>
    <row r="2215" spans="2:6" x14ac:dyDescent="0.3">
      <c r="B2215" s="74"/>
      <c r="C2215" s="74"/>
      <c r="D2215" s="74"/>
      <c r="F2215" s="74"/>
    </row>
    <row r="2216" spans="2:6" x14ac:dyDescent="0.3">
      <c r="B2216" s="74"/>
      <c r="C2216" s="74"/>
      <c r="D2216" s="74"/>
      <c r="F2216" s="74"/>
    </row>
    <row r="2217" spans="2:6" x14ac:dyDescent="0.3">
      <c r="B2217" s="74"/>
      <c r="C2217" s="74"/>
      <c r="D2217" s="74"/>
      <c r="F2217" s="74"/>
    </row>
    <row r="2218" spans="2:6" x14ac:dyDescent="0.3">
      <c r="B2218" s="74"/>
      <c r="C2218" s="74"/>
      <c r="D2218" s="74"/>
      <c r="F2218" s="74"/>
    </row>
    <row r="2219" spans="2:6" x14ac:dyDescent="0.3">
      <c r="B2219" s="74"/>
      <c r="C2219" s="74"/>
      <c r="D2219" s="74"/>
      <c r="F2219" s="74"/>
    </row>
    <row r="2220" spans="2:6" x14ac:dyDescent="0.3">
      <c r="B2220" s="74"/>
      <c r="C2220" s="74"/>
      <c r="D2220" s="74"/>
      <c r="F2220" s="74"/>
    </row>
    <row r="2221" spans="2:6" x14ac:dyDescent="0.3">
      <c r="B2221" s="74"/>
      <c r="C2221" s="74"/>
      <c r="D2221" s="74"/>
      <c r="F2221" s="74"/>
    </row>
    <row r="2222" spans="2:6" x14ac:dyDescent="0.3">
      <c r="B2222" s="74"/>
      <c r="C2222" s="74"/>
      <c r="D2222" s="74"/>
      <c r="F2222" s="74"/>
    </row>
    <row r="2223" spans="2:6" x14ac:dyDescent="0.3">
      <c r="B2223" s="74"/>
      <c r="C2223" s="74"/>
      <c r="D2223" s="74"/>
      <c r="F2223" s="74"/>
    </row>
    <row r="2224" spans="2:6" x14ac:dyDescent="0.3">
      <c r="B2224" s="74"/>
      <c r="C2224" s="74"/>
      <c r="D2224" s="74"/>
      <c r="F2224" s="74"/>
    </row>
    <row r="2225" spans="2:6" x14ac:dyDescent="0.3">
      <c r="B2225" s="74"/>
      <c r="C2225" s="74"/>
      <c r="D2225" s="74"/>
      <c r="F2225" s="74"/>
    </row>
    <row r="2226" spans="2:6" x14ac:dyDescent="0.3">
      <c r="B2226" s="74"/>
      <c r="C2226" s="74"/>
      <c r="D2226" s="74"/>
      <c r="F2226" s="74"/>
    </row>
    <row r="2227" spans="2:6" x14ac:dyDescent="0.3">
      <c r="B2227" s="74"/>
      <c r="C2227" s="74"/>
      <c r="D2227" s="74"/>
      <c r="F2227" s="74"/>
    </row>
    <row r="2228" spans="2:6" x14ac:dyDescent="0.3">
      <c r="B2228" s="74"/>
      <c r="C2228" s="74"/>
      <c r="D2228" s="74"/>
      <c r="F2228" s="74"/>
    </row>
    <row r="2229" spans="2:6" x14ac:dyDescent="0.3">
      <c r="B2229" s="74"/>
      <c r="C2229" s="74"/>
      <c r="D2229" s="74"/>
      <c r="F2229" s="74"/>
    </row>
    <row r="2230" spans="2:6" x14ac:dyDescent="0.3">
      <c r="B2230" s="74"/>
      <c r="C2230" s="74"/>
      <c r="D2230" s="74"/>
      <c r="F2230" s="74"/>
    </row>
    <row r="2231" spans="2:6" x14ac:dyDescent="0.3">
      <c r="B2231" s="74"/>
      <c r="C2231" s="74"/>
      <c r="D2231" s="74"/>
      <c r="F2231" s="74"/>
    </row>
    <row r="2232" spans="2:6" x14ac:dyDescent="0.3">
      <c r="B2232" s="74"/>
      <c r="C2232" s="74"/>
      <c r="D2232" s="74"/>
      <c r="F2232" s="74"/>
    </row>
    <row r="2233" spans="2:6" x14ac:dyDescent="0.3">
      <c r="B2233" s="74"/>
      <c r="C2233" s="74"/>
      <c r="D2233" s="74"/>
      <c r="F2233" s="74"/>
    </row>
    <row r="2234" spans="2:6" x14ac:dyDescent="0.3">
      <c r="B2234" s="74"/>
      <c r="C2234" s="74"/>
      <c r="D2234" s="74"/>
      <c r="F2234" s="74"/>
    </row>
    <row r="2235" spans="2:6" x14ac:dyDescent="0.3">
      <c r="B2235" s="74"/>
      <c r="C2235" s="74"/>
      <c r="D2235" s="74"/>
      <c r="F2235" s="74"/>
    </row>
    <row r="2236" spans="2:6" x14ac:dyDescent="0.3">
      <c r="B2236" s="74"/>
      <c r="C2236" s="74"/>
      <c r="D2236" s="74"/>
      <c r="F2236" s="74"/>
    </row>
    <row r="2237" spans="2:6" x14ac:dyDescent="0.3">
      <c r="B2237" s="74"/>
      <c r="C2237" s="74"/>
      <c r="D2237" s="74"/>
      <c r="F2237" s="74"/>
    </row>
    <row r="2238" spans="2:6" x14ac:dyDescent="0.3">
      <c r="B2238" s="74"/>
      <c r="C2238" s="74"/>
      <c r="D2238" s="74"/>
      <c r="F2238" s="74"/>
    </row>
    <row r="2239" spans="2:6" x14ac:dyDescent="0.3">
      <c r="B2239" s="74"/>
      <c r="C2239" s="74"/>
      <c r="D2239" s="74"/>
      <c r="F2239" s="74"/>
    </row>
    <row r="2240" spans="2:6" x14ac:dyDescent="0.3">
      <c r="B2240" s="74"/>
      <c r="C2240" s="74"/>
      <c r="D2240" s="74"/>
      <c r="F2240" s="74"/>
    </row>
    <row r="2241" spans="2:6" x14ac:dyDescent="0.3">
      <c r="B2241" s="74"/>
      <c r="C2241" s="74"/>
      <c r="D2241" s="74"/>
      <c r="F2241" s="74"/>
    </row>
    <row r="2242" spans="2:6" x14ac:dyDescent="0.3">
      <c r="B2242" s="74"/>
      <c r="C2242" s="74"/>
      <c r="D2242" s="74"/>
      <c r="F2242" s="74"/>
    </row>
    <row r="2243" spans="2:6" x14ac:dyDescent="0.3">
      <c r="B2243" s="74"/>
      <c r="C2243" s="74"/>
      <c r="D2243" s="74"/>
      <c r="F2243" s="74"/>
    </row>
    <row r="2244" spans="2:6" x14ac:dyDescent="0.3">
      <c r="B2244" s="74"/>
      <c r="C2244" s="74"/>
      <c r="D2244" s="74"/>
      <c r="F2244" s="74"/>
    </row>
    <row r="2245" spans="2:6" x14ac:dyDescent="0.3">
      <c r="B2245" s="74"/>
      <c r="C2245" s="74"/>
      <c r="D2245" s="74"/>
      <c r="F2245" s="74"/>
    </row>
    <row r="2246" spans="2:6" x14ac:dyDescent="0.3">
      <c r="B2246" s="74"/>
      <c r="C2246" s="74"/>
      <c r="D2246" s="74"/>
      <c r="F2246" s="74"/>
    </row>
    <row r="2247" spans="2:6" x14ac:dyDescent="0.3">
      <c r="B2247" s="74"/>
      <c r="C2247" s="74"/>
      <c r="D2247" s="74"/>
      <c r="F2247" s="74"/>
    </row>
    <row r="2248" spans="2:6" x14ac:dyDescent="0.3">
      <c r="B2248" s="74"/>
      <c r="C2248" s="74"/>
      <c r="D2248" s="74"/>
      <c r="F2248" s="74"/>
    </row>
    <row r="2249" spans="2:6" x14ac:dyDescent="0.3">
      <c r="B2249" s="74"/>
      <c r="C2249" s="74"/>
      <c r="D2249" s="74"/>
      <c r="F2249" s="74"/>
    </row>
    <row r="2250" spans="2:6" x14ac:dyDescent="0.3">
      <c r="B2250" s="74"/>
      <c r="C2250" s="74"/>
      <c r="D2250" s="74"/>
      <c r="F2250" s="74"/>
    </row>
    <row r="2251" spans="2:6" x14ac:dyDescent="0.3">
      <c r="B2251" s="74"/>
      <c r="C2251" s="74"/>
      <c r="D2251" s="74"/>
      <c r="F2251" s="74"/>
    </row>
    <row r="2252" spans="2:6" x14ac:dyDescent="0.3">
      <c r="B2252" s="74"/>
      <c r="C2252" s="74"/>
      <c r="D2252" s="74"/>
      <c r="F2252" s="74"/>
    </row>
    <row r="2253" spans="2:6" x14ac:dyDescent="0.3">
      <c r="B2253" s="74"/>
      <c r="C2253" s="74"/>
      <c r="D2253" s="74"/>
      <c r="F2253" s="74"/>
    </row>
    <row r="2254" spans="2:6" x14ac:dyDescent="0.3">
      <c r="B2254" s="74"/>
      <c r="C2254" s="74"/>
      <c r="D2254" s="74"/>
      <c r="F2254" s="74"/>
    </row>
    <row r="2255" spans="2:6" x14ac:dyDescent="0.3">
      <c r="B2255" s="74"/>
      <c r="C2255" s="74"/>
      <c r="D2255" s="74"/>
      <c r="F2255" s="74"/>
    </row>
    <row r="2256" spans="2:6" x14ac:dyDescent="0.3">
      <c r="B2256" s="74"/>
      <c r="C2256" s="74"/>
      <c r="D2256" s="74"/>
      <c r="F2256" s="74"/>
    </row>
    <row r="2257" spans="2:6" x14ac:dyDescent="0.3">
      <c r="B2257" s="74"/>
      <c r="C2257" s="74"/>
      <c r="D2257" s="74"/>
      <c r="F2257" s="74"/>
    </row>
    <row r="2258" spans="2:6" x14ac:dyDescent="0.3">
      <c r="B2258" s="74"/>
      <c r="C2258" s="74"/>
      <c r="D2258" s="74"/>
      <c r="F2258" s="74"/>
    </row>
    <row r="2259" spans="2:6" x14ac:dyDescent="0.3">
      <c r="B2259" s="74"/>
      <c r="C2259" s="74"/>
      <c r="D2259" s="74"/>
      <c r="F2259" s="74"/>
    </row>
    <row r="2260" spans="2:6" x14ac:dyDescent="0.3">
      <c r="B2260" s="74"/>
      <c r="C2260" s="74"/>
      <c r="D2260" s="74"/>
      <c r="F2260" s="74"/>
    </row>
    <row r="2261" spans="2:6" x14ac:dyDescent="0.3">
      <c r="B2261" s="74"/>
      <c r="C2261" s="74"/>
      <c r="D2261" s="74"/>
      <c r="F2261" s="74"/>
    </row>
    <row r="2262" spans="2:6" x14ac:dyDescent="0.3">
      <c r="B2262" s="74"/>
      <c r="C2262" s="74"/>
      <c r="D2262" s="74"/>
      <c r="F2262" s="74"/>
    </row>
    <row r="2263" spans="2:6" x14ac:dyDescent="0.3">
      <c r="B2263" s="74"/>
      <c r="C2263" s="74"/>
      <c r="D2263" s="74"/>
      <c r="F2263" s="74"/>
    </row>
    <row r="2264" spans="2:6" x14ac:dyDescent="0.3">
      <c r="B2264" s="74"/>
      <c r="C2264" s="74"/>
      <c r="D2264" s="74"/>
      <c r="F2264" s="74"/>
    </row>
    <row r="2265" spans="2:6" x14ac:dyDescent="0.3">
      <c r="B2265" s="74"/>
      <c r="C2265" s="74"/>
      <c r="D2265" s="74"/>
      <c r="F2265" s="74"/>
    </row>
    <row r="2266" spans="2:6" x14ac:dyDescent="0.3">
      <c r="B2266" s="74"/>
      <c r="C2266" s="74"/>
      <c r="D2266" s="74"/>
      <c r="F2266" s="74"/>
    </row>
    <row r="2267" spans="2:6" x14ac:dyDescent="0.3">
      <c r="B2267" s="74"/>
      <c r="C2267" s="74"/>
      <c r="D2267" s="74"/>
      <c r="F2267" s="74"/>
    </row>
    <row r="2268" spans="2:6" x14ac:dyDescent="0.3">
      <c r="B2268" s="74"/>
      <c r="C2268" s="74"/>
      <c r="D2268" s="74"/>
      <c r="F2268" s="74"/>
    </row>
    <row r="2269" spans="2:6" x14ac:dyDescent="0.3">
      <c r="B2269" s="74"/>
      <c r="C2269" s="74"/>
      <c r="D2269" s="74"/>
      <c r="F2269" s="74"/>
    </row>
    <row r="2270" spans="2:6" x14ac:dyDescent="0.3">
      <c r="B2270" s="74"/>
      <c r="C2270" s="74"/>
      <c r="D2270" s="74"/>
      <c r="F2270" s="74"/>
    </row>
    <row r="2271" spans="2:6" x14ac:dyDescent="0.3">
      <c r="B2271" s="74"/>
      <c r="C2271" s="74"/>
      <c r="D2271" s="74"/>
      <c r="F2271" s="74"/>
    </row>
    <row r="2272" spans="2:6" x14ac:dyDescent="0.3">
      <c r="B2272" s="74"/>
      <c r="C2272" s="74"/>
      <c r="D2272" s="74"/>
      <c r="F2272" s="74"/>
    </row>
    <row r="2273" spans="2:6" x14ac:dyDescent="0.3">
      <c r="B2273" s="74"/>
      <c r="C2273" s="74"/>
      <c r="D2273" s="74"/>
      <c r="F2273" s="74"/>
    </row>
    <row r="2274" spans="2:6" x14ac:dyDescent="0.3">
      <c r="B2274" s="74"/>
      <c r="C2274" s="74"/>
      <c r="D2274" s="74"/>
      <c r="F2274" s="74"/>
    </row>
    <row r="2275" spans="2:6" x14ac:dyDescent="0.3">
      <c r="B2275" s="74"/>
      <c r="C2275" s="74"/>
      <c r="D2275" s="74"/>
      <c r="F2275" s="74"/>
    </row>
    <row r="2276" spans="2:6" x14ac:dyDescent="0.3">
      <c r="B2276" s="74"/>
      <c r="C2276" s="74"/>
      <c r="D2276" s="74"/>
      <c r="F2276" s="74"/>
    </row>
    <row r="2277" spans="2:6" x14ac:dyDescent="0.3">
      <c r="B2277" s="74"/>
      <c r="C2277" s="74"/>
      <c r="D2277" s="74"/>
      <c r="F2277" s="74"/>
    </row>
    <row r="2278" spans="2:6" x14ac:dyDescent="0.3">
      <c r="B2278" s="74"/>
      <c r="C2278" s="74"/>
      <c r="D2278" s="74"/>
      <c r="F2278" s="74"/>
    </row>
    <row r="2279" spans="2:6" x14ac:dyDescent="0.3">
      <c r="B2279" s="74"/>
      <c r="C2279" s="74"/>
      <c r="D2279" s="74"/>
      <c r="F2279" s="74"/>
    </row>
    <row r="2280" spans="2:6" x14ac:dyDescent="0.3">
      <c r="B2280" s="74"/>
      <c r="C2280" s="74"/>
      <c r="D2280" s="74"/>
      <c r="F2280" s="74"/>
    </row>
    <row r="2281" spans="2:6" x14ac:dyDescent="0.3">
      <c r="B2281" s="74"/>
      <c r="C2281" s="74"/>
      <c r="D2281" s="74"/>
      <c r="F2281" s="74"/>
    </row>
    <row r="2282" spans="2:6" x14ac:dyDescent="0.3">
      <c r="B2282" s="74"/>
      <c r="C2282" s="74"/>
      <c r="D2282" s="74"/>
      <c r="F2282" s="74"/>
    </row>
    <row r="2283" spans="2:6" x14ac:dyDescent="0.3">
      <c r="B2283" s="74"/>
      <c r="C2283" s="74"/>
      <c r="D2283" s="74"/>
      <c r="F2283" s="74"/>
    </row>
    <row r="2284" spans="2:6" x14ac:dyDescent="0.3">
      <c r="B2284" s="74"/>
      <c r="C2284" s="74"/>
      <c r="D2284" s="74"/>
      <c r="F2284" s="74"/>
    </row>
    <row r="2285" spans="2:6" x14ac:dyDescent="0.3">
      <c r="B2285" s="74"/>
      <c r="C2285" s="74"/>
      <c r="D2285" s="74"/>
      <c r="F2285" s="74"/>
    </row>
    <row r="2286" spans="2:6" x14ac:dyDescent="0.3">
      <c r="B2286" s="74"/>
      <c r="C2286" s="74"/>
      <c r="D2286" s="74"/>
      <c r="F2286" s="74"/>
    </row>
    <row r="2287" spans="2:6" x14ac:dyDescent="0.3">
      <c r="B2287" s="74"/>
      <c r="C2287" s="74"/>
      <c r="D2287" s="74"/>
      <c r="F2287" s="74"/>
    </row>
    <row r="2288" spans="2:6" x14ac:dyDescent="0.3">
      <c r="B2288" s="74"/>
      <c r="C2288" s="74"/>
      <c r="D2288" s="74"/>
      <c r="F2288" s="74"/>
    </row>
    <row r="2289" spans="2:6" x14ac:dyDescent="0.3">
      <c r="B2289" s="74"/>
      <c r="C2289" s="74"/>
      <c r="D2289" s="74"/>
      <c r="F2289" s="74"/>
    </row>
    <row r="2290" spans="2:6" x14ac:dyDescent="0.3">
      <c r="B2290" s="74"/>
      <c r="C2290" s="74"/>
      <c r="D2290" s="74"/>
      <c r="F2290" s="74"/>
    </row>
    <row r="2291" spans="2:6" x14ac:dyDescent="0.3">
      <c r="B2291" s="74"/>
      <c r="C2291" s="74"/>
      <c r="D2291" s="74"/>
      <c r="F2291" s="74"/>
    </row>
    <row r="2292" spans="2:6" x14ac:dyDescent="0.3">
      <c r="B2292" s="74"/>
      <c r="C2292" s="74"/>
      <c r="D2292" s="74"/>
      <c r="F2292" s="74"/>
    </row>
    <row r="2293" spans="2:6" x14ac:dyDescent="0.3">
      <c r="B2293" s="74"/>
      <c r="C2293" s="74"/>
      <c r="D2293" s="74"/>
      <c r="F2293" s="74"/>
    </row>
    <row r="2294" spans="2:6" x14ac:dyDescent="0.3">
      <c r="B2294" s="74"/>
      <c r="C2294" s="74"/>
      <c r="D2294" s="74"/>
      <c r="F2294" s="74"/>
    </row>
    <row r="2295" spans="2:6" x14ac:dyDescent="0.3">
      <c r="B2295" s="74"/>
      <c r="C2295" s="74"/>
      <c r="D2295" s="74"/>
      <c r="F2295" s="74"/>
    </row>
    <row r="2296" spans="2:6" x14ac:dyDescent="0.3">
      <c r="B2296" s="74"/>
      <c r="C2296" s="74"/>
      <c r="D2296" s="74"/>
      <c r="F2296" s="74"/>
    </row>
    <row r="2297" spans="2:6" x14ac:dyDescent="0.3">
      <c r="B2297" s="74"/>
      <c r="C2297" s="74"/>
      <c r="D2297" s="74"/>
      <c r="F2297" s="74"/>
    </row>
    <row r="2298" spans="2:6" x14ac:dyDescent="0.3">
      <c r="B2298" s="74"/>
      <c r="C2298" s="74"/>
      <c r="D2298" s="74"/>
      <c r="F2298" s="74"/>
    </row>
    <row r="2299" spans="2:6" x14ac:dyDescent="0.3">
      <c r="B2299" s="74"/>
      <c r="C2299" s="74"/>
      <c r="D2299" s="74"/>
      <c r="F2299" s="74"/>
    </row>
    <row r="2300" spans="2:6" x14ac:dyDescent="0.3">
      <c r="B2300" s="74"/>
      <c r="C2300" s="74"/>
      <c r="D2300" s="74"/>
      <c r="F2300" s="74"/>
    </row>
    <row r="2301" spans="2:6" x14ac:dyDescent="0.3">
      <c r="B2301" s="74"/>
      <c r="C2301" s="74"/>
      <c r="D2301" s="74"/>
      <c r="F2301" s="74"/>
    </row>
    <row r="2302" spans="2:6" x14ac:dyDescent="0.3">
      <c r="B2302" s="74"/>
      <c r="C2302" s="74"/>
      <c r="D2302" s="74"/>
      <c r="F2302" s="74"/>
    </row>
    <row r="2303" spans="2:6" x14ac:dyDescent="0.3">
      <c r="B2303" s="74"/>
      <c r="C2303" s="74"/>
      <c r="D2303" s="74"/>
      <c r="F2303" s="74"/>
    </row>
    <row r="2304" spans="2:6" x14ac:dyDescent="0.3">
      <c r="B2304" s="74"/>
      <c r="C2304" s="74"/>
      <c r="D2304" s="74"/>
      <c r="F2304" s="74"/>
    </row>
    <row r="2305" spans="2:6" x14ac:dyDescent="0.3">
      <c r="B2305" s="74"/>
      <c r="C2305" s="74"/>
      <c r="D2305" s="74"/>
      <c r="F2305" s="74"/>
    </row>
    <row r="2306" spans="2:6" x14ac:dyDescent="0.3">
      <c r="B2306" s="74"/>
      <c r="C2306" s="74"/>
      <c r="D2306" s="74"/>
      <c r="F2306" s="74"/>
    </row>
    <row r="2307" spans="2:6" x14ac:dyDescent="0.3">
      <c r="B2307" s="74"/>
      <c r="C2307" s="74"/>
      <c r="D2307" s="74"/>
      <c r="F2307" s="74"/>
    </row>
    <row r="2308" spans="2:6" x14ac:dyDescent="0.3">
      <c r="B2308" s="74"/>
      <c r="C2308" s="74"/>
      <c r="D2308" s="74"/>
      <c r="F2308" s="74"/>
    </row>
    <row r="2309" spans="2:6" x14ac:dyDescent="0.3">
      <c r="B2309" s="74"/>
      <c r="C2309" s="74"/>
      <c r="D2309" s="74"/>
      <c r="F2309" s="74"/>
    </row>
    <row r="2310" spans="2:6" x14ac:dyDescent="0.3">
      <c r="B2310" s="74"/>
      <c r="C2310" s="74"/>
      <c r="D2310" s="74"/>
      <c r="F2310" s="74"/>
    </row>
    <row r="2311" spans="2:6" x14ac:dyDescent="0.3">
      <c r="B2311" s="74"/>
      <c r="C2311" s="74"/>
      <c r="D2311" s="74"/>
      <c r="F2311" s="74"/>
    </row>
    <row r="2312" spans="2:6" x14ac:dyDescent="0.3">
      <c r="B2312" s="74"/>
      <c r="C2312" s="74"/>
      <c r="D2312" s="74"/>
      <c r="F2312" s="74"/>
    </row>
    <row r="2313" spans="2:6" x14ac:dyDescent="0.3">
      <c r="B2313" s="74"/>
      <c r="C2313" s="74"/>
      <c r="D2313" s="74"/>
      <c r="F2313" s="74"/>
    </row>
    <row r="2314" spans="2:6" x14ac:dyDescent="0.3">
      <c r="B2314" s="74"/>
      <c r="C2314" s="74"/>
      <c r="D2314" s="74"/>
      <c r="F2314" s="74"/>
    </row>
    <row r="2315" spans="2:6" x14ac:dyDescent="0.3">
      <c r="B2315" s="74"/>
      <c r="C2315" s="74"/>
      <c r="D2315" s="74"/>
      <c r="F2315" s="74"/>
    </row>
    <row r="2316" spans="2:6" x14ac:dyDescent="0.3">
      <c r="B2316" s="74"/>
      <c r="C2316" s="74"/>
      <c r="D2316" s="74"/>
      <c r="F2316" s="74"/>
    </row>
    <row r="2317" spans="2:6" x14ac:dyDescent="0.3">
      <c r="B2317" s="74"/>
      <c r="C2317" s="74"/>
      <c r="D2317" s="74"/>
      <c r="F2317" s="74"/>
    </row>
    <row r="2318" spans="2:6" x14ac:dyDescent="0.3">
      <c r="B2318" s="74"/>
      <c r="C2318" s="74"/>
      <c r="D2318" s="74"/>
      <c r="F2318" s="74"/>
    </row>
    <row r="2319" spans="2:6" x14ac:dyDescent="0.3">
      <c r="B2319" s="74"/>
      <c r="C2319" s="74"/>
      <c r="D2319" s="74"/>
      <c r="F2319" s="74"/>
    </row>
    <row r="2320" spans="2:6" x14ac:dyDescent="0.3">
      <c r="B2320" s="74"/>
      <c r="C2320" s="74"/>
      <c r="D2320" s="74"/>
      <c r="F2320" s="74"/>
    </row>
    <row r="2321" spans="2:6" x14ac:dyDescent="0.3">
      <c r="B2321" s="74"/>
      <c r="C2321" s="74"/>
      <c r="D2321" s="74"/>
      <c r="F2321" s="74"/>
    </row>
    <row r="2322" spans="2:6" x14ac:dyDescent="0.3">
      <c r="B2322" s="74"/>
      <c r="C2322" s="74"/>
      <c r="D2322" s="74"/>
      <c r="F2322" s="74"/>
    </row>
    <row r="2323" spans="2:6" x14ac:dyDescent="0.3">
      <c r="B2323" s="74"/>
      <c r="C2323" s="74"/>
      <c r="D2323" s="74"/>
      <c r="F2323" s="74"/>
    </row>
    <row r="2324" spans="2:6" x14ac:dyDescent="0.3">
      <c r="B2324" s="74"/>
      <c r="C2324" s="74"/>
      <c r="D2324" s="74"/>
      <c r="F2324" s="74"/>
    </row>
    <row r="2325" spans="2:6" x14ac:dyDescent="0.3">
      <c r="B2325" s="74"/>
      <c r="C2325" s="74"/>
      <c r="D2325" s="74"/>
      <c r="F2325" s="74"/>
    </row>
    <row r="2326" spans="2:6" x14ac:dyDescent="0.3">
      <c r="B2326" s="74"/>
      <c r="C2326" s="74"/>
      <c r="D2326" s="74"/>
      <c r="F2326" s="74"/>
    </row>
    <row r="2327" spans="2:6" x14ac:dyDescent="0.3">
      <c r="B2327" s="74"/>
      <c r="C2327" s="74"/>
      <c r="D2327" s="74"/>
      <c r="F2327" s="74"/>
    </row>
    <row r="2328" spans="2:6" x14ac:dyDescent="0.3">
      <c r="B2328" s="74"/>
      <c r="C2328" s="74"/>
      <c r="D2328" s="74"/>
      <c r="F2328" s="74"/>
    </row>
    <row r="2329" spans="2:6" x14ac:dyDescent="0.3">
      <c r="B2329" s="74"/>
      <c r="C2329" s="74"/>
      <c r="D2329" s="74"/>
      <c r="F2329" s="74"/>
    </row>
    <row r="2330" spans="2:6" x14ac:dyDescent="0.3">
      <c r="B2330" s="74"/>
      <c r="C2330" s="74"/>
      <c r="D2330" s="74"/>
      <c r="F2330" s="74"/>
    </row>
    <row r="2331" spans="2:6" x14ac:dyDescent="0.3">
      <c r="B2331" s="74"/>
      <c r="C2331" s="74"/>
      <c r="D2331" s="74"/>
      <c r="F2331" s="74"/>
    </row>
    <row r="2332" spans="2:6" x14ac:dyDescent="0.3">
      <c r="B2332" s="74"/>
      <c r="C2332" s="74"/>
      <c r="D2332" s="74"/>
      <c r="F2332" s="74"/>
    </row>
    <row r="2333" spans="2:6" x14ac:dyDescent="0.3">
      <c r="B2333" s="74"/>
      <c r="C2333" s="74"/>
      <c r="D2333" s="74"/>
      <c r="F2333" s="74"/>
    </row>
    <row r="2334" spans="2:6" x14ac:dyDescent="0.3">
      <c r="B2334" s="74"/>
      <c r="C2334" s="74"/>
      <c r="D2334" s="74"/>
      <c r="F2334" s="74"/>
    </row>
    <row r="2335" spans="2:6" x14ac:dyDescent="0.3">
      <c r="B2335" s="74"/>
      <c r="C2335" s="74"/>
      <c r="D2335" s="74"/>
      <c r="F2335" s="74"/>
    </row>
    <row r="2336" spans="2:6" x14ac:dyDescent="0.3">
      <c r="B2336" s="74"/>
      <c r="C2336" s="74"/>
      <c r="D2336" s="74"/>
      <c r="F2336" s="74"/>
    </row>
    <row r="2337" spans="2:6" x14ac:dyDescent="0.3">
      <c r="B2337" s="74"/>
      <c r="C2337" s="74"/>
      <c r="D2337" s="74"/>
      <c r="F2337" s="74"/>
    </row>
    <row r="2338" spans="2:6" x14ac:dyDescent="0.3">
      <c r="B2338" s="74"/>
      <c r="C2338" s="74"/>
      <c r="D2338" s="74"/>
      <c r="F2338" s="74"/>
    </row>
    <row r="2339" spans="2:6" x14ac:dyDescent="0.3">
      <c r="B2339" s="74"/>
      <c r="C2339" s="74"/>
      <c r="D2339" s="74"/>
      <c r="F2339" s="74"/>
    </row>
    <row r="2340" spans="2:6" x14ac:dyDescent="0.3">
      <c r="B2340" s="74"/>
      <c r="C2340" s="74"/>
      <c r="D2340" s="74"/>
      <c r="F2340" s="74"/>
    </row>
    <row r="2341" spans="2:6" x14ac:dyDescent="0.3">
      <c r="B2341" s="74"/>
      <c r="C2341" s="74"/>
      <c r="D2341" s="74"/>
      <c r="F2341" s="74"/>
    </row>
    <row r="2342" spans="2:6" x14ac:dyDescent="0.3">
      <c r="B2342" s="74"/>
      <c r="C2342" s="74"/>
      <c r="D2342" s="74"/>
      <c r="F2342" s="74"/>
    </row>
    <row r="2343" spans="2:6" x14ac:dyDescent="0.3">
      <c r="B2343" s="74"/>
      <c r="C2343" s="74"/>
      <c r="D2343" s="74"/>
      <c r="F2343" s="74"/>
    </row>
    <row r="2344" spans="2:6" x14ac:dyDescent="0.3">
      <c r="B2344" s="74"/>
      <c r="C2344" s="74"/>
      <c r="D2344" s="74"/>
      <c r="F2344" s="74"/>
    </row>
    <row r="2345" spans="2:6" x14ac:dyDescent="0.3">
      <c r="B2345" s="74"/>
      <c r="C2345" s="74"/>
      <c r="D2345" s="74"/>
      <c r="F2345" s="74"/>
    </row>
    <row r="2346" spans="2:6" x14ac:dyDescent="0.3">
      <c r="B2346" s="74"/>
      <c r="C2346" s="74"/>
      <c r="D2346" s="74"/>
      <c r="F2346" s="74"/>
    </row>
    <row r="2347" spans="2:6" x14ac:dyDescent="0.3">
      <c r="B2347" s="74"/>
      <c r="C2347" s="74"/>
      <c r="D2347" s="74"/>
      <c r="F2347" s="74"/>
    </row>
    <row r="2348" spans="2:6" x14ac:dyDescent="0.3">
      <c r="B2348" s="74"/>
      <c r="C2348" s="74"/>
      <c r="D2348" s="74"/>
      <c r="F2348" s="74"/>
    </row>
    <row r="2349" spans="2:6" x14ac:dyDescent="0.3">
      <c r="B2349" s="74"/>
      <c r="C2349" s="74"/>
      <c r="D2349" s="74"/>
      <c r="F2349" s="74"/>
    </row>
    <row r="2350" spans="2:6" x14ac:dyDescent="0.3">
      <c r="B2350" s="74"/>
      <c r="C2350" s="74"/>
      <c r="D2350" s="74"/>
      <c r="F2350" s="74"/>
    </row>
    <row r="2351" spans="2:6" x14ac:dyDescent="0.3">
      <c r="B2351" s="74"/>
      <c r="C2351" s="74"/>
      <c r="D2351" s="74"/>
      <c r="F2351" s="74"/>
    </row>
    <row r="2352" spans="2:6" x14ac:dyDescent="0.3">
      <c r="B2352" s="74"/>
      <c r="C2352" s="74"/>
      <c r="D2352" s="74"/>
      <c r="F2352" s="74"/>
    </row>
    <row r="2353" spans="2:6" x14ac:dyDescent="0.3">
      <c r="B2353" s="74"/>
      <c r="C2353" s="74"/>
      <c r="D2353" s="74"/>
      <c r="F2353" s="74"/>
    </row>
    <row r="2354" spans="2:6" x14ac:dyDescent="0.3">
      <c r="B2354" s="74"/>
      <c r="C2354" s="74"/>
      <c r="D2354" s="74"/>
      <c r="F2354" s="74"/>
    </row>
    <row r="2355" spans="2:6" x14ac:dyDescent="0.3">
      <c r="B2355" s="74"/>
      <c r="C2355" s="74"/>
      <c r="D2355" s="74"/>
      <c r="F2355" s="74"/>
    </row>
    <row r="2356" spans="2:6" x14ac:dyDescent="0.3">
      <c r="B2356" s="74"/>
      <c r="C2356" s="74"/>
      <c r="D2356" s="74"/>
      <c r="F2356" s="74"/>
    </row>
    <row r="2357" spans="2:6" x14ac:dyDescent="0.3">
      <c r="B2357" s="74"/>
      <c r="C2357" s="74"/>
      <c r="D2357" s="74"/>
      <c r="F2357" s="74"/>
    </row>
    <row r="2358" spans="2:6" x14ac:dyDescent="0.3">
      <c r="B2358" s="74"/>
      <c r="C2358" s="74"/>
      <c r="D2358" s="74"/>
      <c r="F2358" s="74"/>
    </row>
    <row r="2359" spans="2:6" x14ac:dyDescent="0.3">
      <c r="B2359" s="74"/>
      <c r="C2359" s="74"/>
      <c r="D2359" s="74"/>
      <c r="F2359" s="74"/>
    </row>
    <row r="2360" spans="2:6" x14ac:dyDescent="0.3">
      <c r="B2360" s="74"/>
      <c r="C2360" s="74"/>
      <c r="D2360" s="74"/>
      <c r="F2360" s="74"/>
    </row>
    <row r="2361" spans="2:6" x14ac:dyDescent="0.3">
      <c r="B2361" s="74"/>
      <c r="C2361" s="74"/>
      <c r="D2361" s="74"/>
      <c r="F2361" s="74"/>
    </row>
    <row r="2362" spans="2:6" x14ac:dyDescent="0.3">
      <c r="B2362" s="74"/>
      <c r="C2362" s="74"/>
      <c r="D2362" s="74"/>
      <c r="F2362" s="74"/>
    </row>
    <row r="2363" spans="2:6" x14ac:dyDescent="0.3">
      <c r="B2363" s="74"/>
      <c r="C2363" s="74"/>
      <c r="D2363" s="74"/>
      <c r="F2363" s="74"/>
    </row>
    <row r="2364" spans="2:6" x14ac:dyDescent="0.3">
      <c r="B2364" s="74"/>
      <c r="C2364" s="74"/>
      <c r="D2364" s="74"/>
      <c r="F2364" s="74"/>
    </row>
    <row r="2365" spans="2:6" x14ac:dyDescent="0.3">
      <c r="B2365" s="74"/>
      <c r="C2365" s="74"/>
      <c r="D2365" s="74"/>
      <c r="F2365" s="74"/>
    </row>
    <row r="2366" spans="2:6" x14ac:dyDescent="0.3">
      <c r="B2366" s="74"/>
      <c r="C2366" s="74"/>
      <c r="D2366" s="74"/>
      <c r="F2366" s="74"/>
    </row>
    <row r="2367" spans="2:6" x14ac:dyDescent="0.3">
      <c r="B2367" s="74"/>
      <c r="C2367" s="74"/>
      <c r="D2367" s="74"/>
      <c r="F2367" s="74"/>
    </row>
    <row r="2368" spans="2:6" x14ac:dyDescent="0.3">
      <c r="B2368" s="74"/>
      <c r="C2368" s="74"/>
      <c r="D2368" s="74"/>
      <c r="F2368" s="74"/>
    </row>
    <row r="2369" spans="2:6" x14ac:dyDescent="0.3">
      <c r="B2369" s="74"/>
      <c r="C2369" s="74"/>
      <c r="D2369" s="74"/>
      <c r="F2369" s="74"/>
    </row>
    <row r="2370" spans="2:6" x14ac:dyDescent="0.3">
      <c r="B2370" s="74"/>
      <c r="C2370" s="74"/>
      <c r="D2370" s="74"/>
      <c r="F2370" s="74"/>
    </row>
    <row r="2371" spans="2:6" x14ac:dyDescent="0.3">
      <c r="B2371" s="74"/>
      <c r="C2371" s="74"/>
      <c r="D2371" s="74"/>
      <c r="F2371" s="74"/>
    </row>
    <row r="2372" spans="2:6" x14ac:dyDescent="0.3">
      <c r="B2372" s="74"/>
      <c r="C2372" s="74"/>
      <c r="D2372" s="74"/>
      <c r="F2372" s="74"/>
    </row>
    <row r="2373" spans="2:6" x14ac:dyDescent="0.3">
      <c r="B2373" s="74"/>
      <c r="C2373" s="74"/>
      <c r="D2373" s="74"/>
      <c r="F2373" s="74"/>
    </row>
    <row r="2374" spans="2:6" x14ac:dyDescent="0.3">
      <c r="B2374" s="74"/>
      <c r="C2374" s="74"/>
      <c r="D2374" s="74"/>
      <c r="F2374" s="74"/>
    </row>
    <row r="2375" spans="2:6" x14ac:dyDescent="0.3">
      <c r="B2375" s="74"/>
      <c r="C2375" s="74"/>
      <c r="D2375" s="74"/>
      <c r="F2375" s="74"/>
    </row>
    <row r="2376" spans="2:6" x14ac:dyDescent="0.3">
      <c r="B2376" s="74"/>
      <c r="C2376" s="74"/>
      <c r="D2376" s="74"/>
      <c r="F2376" s="74"/>
    </row>
    <row r="2377" spans="2:6" x14ac:dyDescent="0.3">
      <c r="B2377" s="74"/>
      <c r="C2377" s="74"/>
      <c r="D2377" s="74"/>
      <c r="F2377" s="74"/>
    </row>
    <row r="2378" spans="2:6" x14ac:dyDescent="0.3">
      <c r="B2378" s="74"/>
      <c r="C2378" s="74"/>
      <c r="D2378" s="74"/>
      <c r="F2378" s="74"/>
    </row>
    <row r="2379" spans="2:6" x14ac:dyDescent="0.3">
      <c r="B2379" s="74"/>
      <c r="C2379" s="74"/>
      <c r="D2379" s="74"/>
      <c r="F2379" s="74"/>
    </row>
    <row r="2380" spans="2:6" x14ac:dyDescent="0.3">
      <c r="B2380" s="74"/>
      <c r="C2380" s="74"/>
      <c r="D2380" s="74"/>
      <c r="F2380" s="74"/>
    </row>
    <row r="2381" spans="2:6" x14ac:dyDescent="0.3">
      <c r="B2381" s="74"/>
      <c r="C2381" s="74"/>
      <c r="D2381" s="74"/>
      <c r="F2381" s="74"/>
    </row>
    <row r="2382" spans="2:6" x14ac:dyDescent="0.3">
      <c r="B2382" s="74"/>
      <c r="C2382" s="74"/>
      <c r="D2382" s="74"/>
      <c r="F2382" s="74"/>
    </row>
    <row r="2383" spans="2:6" x14ac:dyDescent="0.3">
      <c r="B2383" s="74"/>
      <c r="C2383" s="74"/>
      <c r="D2383" s="74"/>
      <c r="F2383" s="74"/>
    </row>
    <row r="2384" spans="2:6" x14ac:dyDescent="0.3">
      <c r="B2384" s="74"/>
      <c r="C2384" s="74"/>
      <c r="D2384" s="74"/>
      <c r="F2384" s="74"/>
    </row>
    <row r="2385" spans="2:6" x14ac:dyDescent="0.3">
      <c r="B2385" s="74"/>
      <c r="C2385" s="74"/>
      <c r="D2385" s="74"/>
      <c r="F2385" s="74"/>
    </row>
    <row r="2386" spans="2:6" x14ac:dyDescent="0.3">
      <c r="B2386" s="74"/>
      <c r="C2386" s="74"/>
      <c r="D2386" s="74"/>
      <c r="F2386" s="74"/>
    </row>
    <row r="2387" spans="2:6" x14ac:dyDescent="0.3">
      <c r="B2387" s="74"/>
      <c r="C2387" s="74"/>
      <c r="D2387" s="74"/>
      <c r="F2387" s="74"/>
    </row>
    <row r="2388" spans="2:6" x14ac:dyDescent="0.3">
      <c r="B2388" s="74"/>
      <c r="C2388" s="74"/>
      <c r="D2388" s="74"/>
      <c r="F2388" s="74"/>
    </row>
    <row r="2389" spans="2:6" x14ac:dyDescent="0.3">
      <c r="B2389" s="74"/>
      <c r="C2389" s="74"/>
      <c r="D2389" s="74"/>
      <c r="F2389" s="74"/>
    </row>
    <row r="2390" spans="2:6" x14ac:dyDescent="0.3">
      <c r="B2390" s="74"/>
      <c r="C2390" s="74"/>
      <c r="D2390" s="74"/>
      <c r="F2390" s="74"/>
    </row>
    <row r="2391" spans="2:6" x14ac:dyDescent="0.3">
      <c r="B2391" s="74"/>
      <c r="C2391" s="74"/>
      <c r="D2391" s="74"/>
      <c r="F2391" s="74"/>
    </row>
    <row r="2392" spans="2:6" x14ac:dyDescent="0.3">
      <c r="B2392" s="74"/>
      <c r="C2392" s="74"/>
      <c r="D2392" s="74"/>
      <c r="F2392" s="74"/>
    </row>
    <row r="2393" spans="2:6" x14ac:dyDescent="0.3">
      <c r="B2393" s="74"/>
      <c r="C2393" s="74"/>
      <c r="D2393" s="74"/>
      <c r="F2393" s="74"/>
    </row>
    <row r="2394" spans="2:6" x14ac:dyDescent="0.3">
      <c r="B2394" s="74"/>
      <c r="C2394" s="74"/>
      <c r="D2394" s="74"/>
      <c r="F2394" s="74"/>
    </row>
    <row r="2395" spans="2:6" x14ac:dyDescent="0.3">
      <c r="B2395" s="74"/>
      <c r="C2395" s="74"/>
      <c r="D2395" s="74"/>
      <c r="F2395" s="74"/>
    </row>
    <row r="2396" spans="2:6" x14ac:dyDescent="0.3">
      <c r="B2396" s="74"/>
      <c r="C2396" s="74"/>
      <c r="D2396" s="74"/>
      <c r="F2396" s="74"/>
    </row>
    <row r="2397" spans="2:6" x14ac:dyDescent="0.3">
      <c r="B2397" s="74"/>
      <c r="C2397" s="74"/>
      <c r="D2397" s="74"/>
      <c r="F2397" s="74"/>
    </row>
    <row r="2398" spans="2:6" x14ac:dyDescent="0.3">
      <c r="B2398" s="74"/>
      <c r="C2398" s="74"/>
      <c r="D2398" s="74"/>
      <c r="F2398" s="74"/>
    </row>
    <row r="2399" spans="2:6" x14ac:dyDescent="0.3">
      <c r="B2399" s="74"/>
      <c r="C2399" s="74"/>
      <c r="D2399" s="74"/>
      <c r="F2399" s="74"/>
    </row>
    <row r="2400" spans="2:6" x14ac:dyDescent="0.3">
      <c r="B2400" s="74"/>
      <c r="C2400" s="74"/>
      <c r="D2400" s="74"/>
      <c r="F2400" s="74"/>
    </row>
    <row r="2401" spans="2:6" x14ac:dyDescent="0.3">
      <c r="B2401" s="74"/>
      <c r="C2401" s="74"/>
      <c r="D2401" s="74"/>
      <c r="F2401" s="74"/>
    </row>
    <row r="2402" spans="2:6" x14ac:dyDescent="0.3">
      <c r="B2402" s="74"/>
      <c r="C2402" s="74"/>
      <c r="D2402" s="74"/>
      <c r="F2402" s="74"/>
    </row>
    <row r="2403" spans="2:6" x14ac:dyDescent="0.3">
      <c r="B2403" s="74"/>
      <c r="C2403" s="74"/>
      <c r="D2403" s="74"/>
      <c r="F2403" s="74"/>
    </row>
    <row r="2404" spans="2:6" x14ac:dyDescent="0.3">
      <c r="B2404" s="74"/>
      <c r="C2404" s="74"/>
      <c r="D2404" s="74"/>
      <c r="F2404" s="74"/>
    </row>
    <row r="2405" spans="2:6" x14ac:dyDescent="0.3">
      <c r="B2405" s="74"/>
      <c r="C2405" s="74"/>
      <c r="D2405" s="74"/>
      <c r="F2405" s="74"/>
    </row>
    <row r="2406" spans="2:6" x14ac:dyDescent="0.3">
      <c r="B2406" s="74"/>
      <c r="C2406" s="74"/>
      <c r="D2406" s="74"/>
      <c r="F2406" s="74"/>
    </row>
    <row r="2407" spans="2:6" x14ac:dyDescent="0.3">
      <c r="B2407" s="74"/>
      <c r="C2407" s="74"/>
      <c r="D2407" s="74"/>
      <c r="F2407" s="74"/>
    </row>
    <row r="2408" spans="2:6" x14ac:dyDescent="0.3">
      <c r="B2408" s="74"/>
      <c r="C2408" s="74"/>
      <c r="D2408" s="74"/>
      <c r="F2408" s="74"/>
    </row>
    <row r="2409" spans="2:6" x14ac:dyDescent="0.3">
      <c r="B2409" s="74"/>
      <c r="C2409" s="74"/>
      <c r="D2409" s="74"/>
      <c r="F2409" s="74"/>
    </row>
    <row r="2410" spans="2:6" x14ac:dyDescent="0.3">
      <c r="B2410" s="74"/>
      <c r="C2410" s="74"/>
      <c r="D2410" s="74"/>
      <c r="F2410" s="74"/>
    </row>
    <row r="2411" spans="2:6" x14ac:dyDescent="0.3">
      <c r="B2411" s="74"/>
      <c r="C2411" s="74"/>
      <c r="D2411" s="74"/>
      <c r="F2411" s="74"/>
    </row>
    <row r="2412" spans="2:6" x14ac:dyDescent="0.3">
      <c r="B2412" s="74"/>
      <c r="C2412" s="74"/>
      <c r="D2412" s="74"/>
      <c r="F2412" s="74"/>
    </row>
    <row r="2413" spans="2:6" x14ac:dyDescent="0.3">
      <c r="B2413" s="74"/>
      <c r="C2413" s="74"/>
      <c r="D2413" s="74"/>
      <c r="F2413" s="74"/>
    </row>
    <row r="2414" spans="2:6" x14ac:dyDescent="0.3">
      <c r="B2414" s="74"/>
      <c r="C2414" s="74"/>
      <c r="D2414" s="74"/>
      <c r="F2414" s="74"/>
    </row>
    <row r="2415" spans="2:6" x14ac:dyDescent="0.3">
      <c r="B2415" s="74"/>
      <c r="C2415" s="74"/>
      <c r="D2415" s="74"/>
      <c r="F2415" s="74"/>
    </row>
    <row r="2416" spans="2:6" x14ac:dyDescent="0.3">
      <c r="B2416" s="74"/>
      <c r="C2416" s="74"/>
      <c r="D2416" s="74"/>
      <c r="F2416" s="74"/>
    </row>
    <row r="2417" spans="2:6" x14ac:dyDescent="0.3">
      <c r="B2417" s="74"/>
      <c r="C2417" s="74"/>
      <c r="D2417" s="74"/>
      <c r="F2417" s="74"/>
    </row>
    <row r="2418" spans="2:6" x14ac:dyDescent="0.3">
      <c r="B2418" s="74"/>
      <c r="C2418" s="74"/>
      <c r="D2418" s="74"/>
      <c r="F2418" s="74"/>
    </row>
    <row r="2419" spans="2:6" x14ac:dyDescent="0.3">
      <c r="B2419" s="74"/>
      <c r="C2419" s="74"/>
      <c r="D2419" s="74"/>
      <c r="F2419" s="74"/>
    </row>
    <row r="2420" spans="2:6" x14ac:dyDescent="0.3">
      <c r="B2420" s="74"/>
      <c r="C2420" s="74"/>
      <c r="D2420" s="74"/>
      <c r="F2420" s="74"/>
    </row>
    <row r="2421" spans="2:6" x14ac:dyDescent="0.3">
      <c r="B2421" s="74"/>
      <c r="C2421" s="74"/>
      <c r="D2421" s="74"/>
      <c r="F2421" s="74"/>
    </row>
    <row r="2422" spans="2:6" x14ac:dyDescent="0.3">
      <c r="B2422" s="74"/>
      <c r="C2422" s="74"/>
      <c r="D2422" s="74"/>
      <c r="F2422" s="74"/>
    </row>
    <row r="2423" spans="2:6" x14ac:dyDescent="0.3">
      <c r="B2423" s="74"/>
      <c r="C2423" s="74"/>
      <c r="D2423" s="74"/>
      <c r="F2423" s="74"/>
    </row>
    <row r="2424" spans="2:6" x14ac:dyDescent="0.3">
      <c r="B2424" s="74"/>
      <c r="C2424" s="74"/>
      <c r="D2424" s="74"/>
      <c r="F2424" s="74"/>
    </row>
    <row r="2425" spans="2:6" x14ac:dyDescent="0.3">
      <c r="B2425" s="74"/>
      <c r="C2425" s="74"/>
      <c r="D2425" s="74"/>
      <c r="F2425" s="74"/>
    </row>
    <row r="2426" spans="2:6" x14ac:dyDescent="0.3">
      <c r="B2426" s="74"/>
      <c r="C2426" s="74"/>
      <c r="D2426" s="74"/>
      <c r="F2426" s="74"/>
    </row>
    <row r="2427" spans="2:6" x14ac:dyDescent="0.3">
      <c r="B2427" s="74"/>
      <c r="C2427" s="74"/>
      <c r="D2427" s="74"/>
      <c r="F2427" s="74"/>
    </row>
    <row r="2428" spans="2:6" x14ac:dyDescent="0.3">
      <c r="B2428" s="74"/>
      <c r="C2428" s="74"/>
      <c r="D2428" s="74"/>
      <c r="F2428" s="74"/>
    </row>
    <row r="2429" spans="2:6" x14ac:dyDescent="0.3">
      <c r="B2429" s="74"/>
      <c r="C2429" s="74"/>
      <c r="D2429" s="74"/>
      <c r="F2429" s="74"/>
    </row>
    <row r="2430" spans="2:6" x14ac:dyDescent="0.3">
      <c r="B2430" s="74"/>
      <c r="C2430" s="74"/>
      <c r="D2430" s="74"/>
      <c r="F2430" s="74"/>
    </row>
    <row r="2431" spans="2:6" x14ac:dyDescent="0.3">
      <c r="B2431" s="74"/>
      <c r="C2431" s="74"/>
      <c r="D2431" s="74"/>
      <c r="F2431" s="74"/>
    </row>
    <row r="2432" spans="2:6" x14ac:dyDescent="0.3">
      <c r="B2432" s="74"/>
      <c r="C2432" s="74"/>
      <c r="D2432" s="74"/>
      <c r="F2432" s="74"/>
    </row>
    <row r="2433" spans="2:6" x14ac:dyDescent="0.3">
      <c r="B2433" s="74"/>
      <c r="C2433" s="74"/>
      <c r="D2433" s="74"/>
      <c r="F2433" s="74"/>
    </row>
    <row r="2434" spans="2:6" x14ac:dyDescent="0.3">
      <c r="B2434" s="74"/>
      <c r="C2434" s="74"/>
      <c r="D2434" s="74"/>
      <c r="F2434" s="74"/>
    </row>
    <row r="2435" spans="2:6" x14ac:dyDescent="0.3">
      <c r="B2435" s="74"/>
      <c r="C2435" s="74"/>
      <c r="D2435" s="74"/>
      <c r="F2435" s="74"/>
    </row>
    <row r="2436" spans="2:6" x14ac:dyDescent="0.3">
      <c r="B2436" s="74"/>
      <c r="C2436" s="74"/>
      <c r="D2436" s="74"/>
      <c r="F2436" s="74"/>
    </row>
    <row r="2437" spans="2:6" x14ac:dyDescent="0.3">
      <c r="B2437" s="74"/>
      <c r="C2437" s="74"/>
      <c r="D2437" s="74"/>
      <c r="F2437" s="74"/>
    </row>
    <row r="2438" spans="2:6" x14ac:dyDescent="0.3">
      <c r="B2438" s="74"/>
      <c r="C2438" s="74"/>
      <c r="D2438" s="74"/>
      <c r="F2438" s="74"/>
    </row>
    <row r="2439" spans="2:6" x14ac:dyDescent="0.3">
      <c r="B2439" s="74"/>
      <c r="C2439" s="74"/>
      <c r="D2439" s="74"/>
      <c r="F2439" s="74"/>
    </row>
    <row r="2440" spans="2:6" x14ac:dyDescent="0.3">
      <c r="B2440" s="74"/>
      <c r="C2440" s="74"/>
      <c r="D2440" s="74"/>
      <c r="F2440" s="74"/>
    </row>
    <row r="2441" spans="2:6" x14ac:dyDescent="0.3">
      <c r="B2441" s="74"/>
      <c r="C2441" s="74"/>
      <c r="D2441" s="74"/>
      <c r="F2441" s="74"/>
    </row>
    <row r="2442" spans="2:6" x14ac:dyDescent="0.3">
      <c r="B2442" s="74"/>
      <c r="C2442" s="74"/>
      <c r="D2442" s="74"/>
      <c r="F2442" s="74"/>
    </row>
    <row r="2443" spans="2:6" x14ac:dyDescent="0.3">
      <c r="B2443" s="74"/>
      <c r="C2443" s="74"/>
      <c r="D2443" s="74"/>
      <c r="F2443" s="74"/>
    </row>
    <row r="2444" spans="2:6" x14ac:dyDescent="0.3">
      <c r="B2444" s="74"/>
      <c r="C2444" s="74"/>
      <c r="D2444" s="74"/>
      <c r="F2444" s="74"/>
    </row>
    <row r="2445" spans="2:6" x14ac:dyDescent="0.3">
      <c r="B2445" s="74"/>
      <c r="C2445" s="74"/>
      <c r="D2445" s="74"/>
      <c r="F2445" s="74"/>
    </row>
    <row r="2446" spans="2:6" x14ac:dyDescent="0.3">
      <c r="B2446" s="74"/>
      <c r="C2446" s="74"/>
      <c r="D2446" s="74"/>
      <c r="F2446" s="74"/>
    </row>
    <row r="2447" spans="2:6" x14ac:dyDescent="0.3">
      <c r="B2447" s="74"/>
      <c r="C2447" s="74"/>
      <c r="D2447" s="74"/>
      <c r="F2447" s="74"/>
    </row>
    <row r="2448" spans="2:6" x14ac:dyDescent="0.3">
      <c r="B2448" s="74"/>
      <c r="C2448" s="74"/>
      <c r="D2448" s="74"/>
      <c r="F2448" s="74"/>
    </row>
    <row r="2449" spans="2:6" x14ac:dyDescent="0.3">
      <c r="B2449" s="74"/>
      <c r="C2449" s="74"/>
      <c r="D2449" s="74"/>
      <c r="F2449" s="74"/>
    </row>
    <row r="2450" spans="2:6" x14ac:dyDescent="0.3">
      <c r="B2450" s="74"/>
      <c r="C2450" s="74"/>
      <c r="D2450" s="74"/>
      <c r="F2450" s="74"/>
    </row>
    <row r="2451" spans="2:6" x14ac:dyDescent="0.3">
      <c r="B2451" s="74"/>
      <c r="C2451" s="74"/>
      <c r="D2451" s="74"/>
      <c r="F2451" s="74"/>
    </row>
    <row r="2452" spans="2:6" x14ac:dyDescent="0.3">
      <c r="B2452" s="74"/>
      <c r="C2452" s="74"/>
      <c r="D2452" s="74"/>
      <c r="F2452" s="74"/>
    </row>
    <row r="2453" spans="2:6" x14ac:dyDescent="0.3">
      <c r="B2453" s="74"/>
      <c r="C2453" s="74"/>
      <c r="D2453" s="74"/>
      <c r="F2453" s="74"/>
    </row>
    <row r="2454" spans="2:6" x14ac:dyDescent="0.3">
      <c r="B2454" s="74"/>
      <c r="C2454" s="74"/>
      <c r="D2454" s="74"/>
      <c r="F2454" s="74"/>
    </row>
    <row r="2455" spans="2:6" x14ac:dyDescent="0.3">
      <c r="B2455" s="74"/>
      <c r="C2455" s="74"/>
      <c r="D2455" s="74"/>
      <c r="F2455" s="74"/>
    </row>
    <row r="2456" spans="2:6" x14ac:dyDescent="0.3">
      <c r="B2456" s="74"/>
      <c r="C2456" s="74"/>
      <c r="D2456" s="74"/>
      <c r="F2456" s="74"/>
    </row>
    <row r="2457" spans="2:6" x14ac:dyDescent="0.3">
      <c r="B2457" s="74"/>
      <c r="C2457" s="74"/>
      <c r="D2457" s="74"/>
      <c r="F2457" s="74"/>
    </row>
    <row r="2458" spans="2:6" x14ac:dyDescent="0.3">
      <c r="B2458" s="74"/>
      <c r="C2458" s="74"/>
      <c r="D2458" s="74"/>
      <c r="F2458" s="74"/>
    </row>
    <row r="2459" spans="2:6" x14ac:dyDescent="0.3">
      <c r="B2459" s="74"/>
      <c r="C2459" s="74"/>
      <c r="D2459" s="74"/>
      <c r="F2459" s="74"/>
    </row>
    <row r="2460" spans="2:6" x14ac:dyDescent="0.3">
      <c r="B2460" s="74"/>
      <c r="C2460" s="74"/>
      <c r="D2460" s="74"/>
      <c r="F2460" s="74"/>
    </row>
    <row r="2461" spans="2:6" x14ac:dyDescent="0.3">
      <c r="B2461" s="74"/>
      <c r="C2461" s="74"/>
      <c r="D2461" s="74"/>
      <c r="F2461" s="74"/>
    </row>
    <row r="2462" spans="2:6" x14ac:dyDescent="0.3">
      <c r="B2462" s="74"/>
      <c r="C2462" s="74"/>
      <c r="D2462" s="74"/>
      <c r="F2462" s="74"/>
    </row>
    <row r="2463" spans="2:6" x14ac:dyDescent="0.3">
      <c r="B2463" s="74"/>
      <c r="C2463" s="74"/>
      <c r="D2463" s="74"/>
      <c r="F2463" s="74"/>
    </row>
    <row r="2464" spans="2:6" x14ac:dyDescent="0.3">
      <c r="B2464" s="74"/>
      <c r="C2464" s="74"/>
      <c r="D2464" s="74"/>
      <c r="F2464" s="74"/>
    </row>
    <row r="2465" spans="2:6" x14ac:dyDescent="0.3">
      <c r="B2465" s="74"/>
      <c r="C2465" s="74"/>
      <c r="D2465" s="74"/>
      <c r="F2465" s="74"/>
    </row>
    <row r="2466" spans="2:6" x14ac:dyDescent="0.3">
      <c r="B2466" s="74"/>
      <c r="C2466" s="74"/>
      <c r="D2466" s="74"/>
      <c r="F2466" s="74"/>
    </row>
    <row r="2467" spans="2:6" x14ac:dyDescent="0.3">
      <c r="B2467" s="74"/>
      <c r="C2467" s="74"/>
      <c r="D2467" s="74"/>
      <c r="F2467" s="74"/>
    </row>
    <row r="2468" spans="2:6" x14ac:dyDescent="0.3">
      <c r="B2468" s="74"/>
      <c r="C2468" s="74"/>
      <c r="D2468" s="74"/>
      <c r="F2468" s="74"/>
    </row>
    <row r="2469" spans="2:6" x14ac:dyDescent="0.3">
      <c r="B2469" s="74"/>
      <c r="C2469" s="74"/>
      <c r="D2469" s="74"/>
      <c r="F2469" s="74"/>
    </row>
    <row r="2470" spans="2:6" x14ac:dyDescent="0.3">
      <c r="B2470" s="74"/>
      <c r="C2470" s="74"/>
      <c r="D2470" s="74"/>
      <c r="F2470" s="74"/>
    </row>
    <row r="2471" spans="2:6" x14ac:dyDescent="0.3">
      <c r="B2471" s="74"/>
      <c r="C2471" s="74"/>
      <c r="D2471" s="74"/>
      <c r="F2471" s="74"/>
    </row>
    <row r="2472" spans="2:6" x14ac:dyDescent="0.3">
      <c r="B2472" s="74"/>
      <c r="C2472" s="74"/>
      <c r="D2472" s="74"/>
      <c r="F2472" s="74"/>
    </row>
    <row r="2473" spans="2:6" x14ac:dyDescent="0.3">
      <c r="B2473" s="74"/>
      <c r="C2473" s="74"/>
      <c r="D2473" s="74"/>
      <c r="F2473" s="74"/>
    </row>
    <row r="2474" spans="2:6" x14ac:dyDescent="0.3">
      <c r="B2474" s="74"/>
      <c r="C2474" s="74"/>
      <c r="D2474" s="74"/>
      <c r="F2474" s="74"/>
    </row>
    <row r="2475" spans="2:6" x14ac:dyDescent="0.3">
      <c r="B2475" s="74"/>
      <c r="C2475" s="74"/>
      <c r="D2475" s="74"/>
      <c r="F2475" s="74"/>
    </row>
    <row r="2476" spans="2:6" x14ac:dyDescent="0.3">
      <c r="B2476" s="74"/>
      <c r="C2476" s="74"/>
      <c r="D2476" s="74"/>
      <c r="F2476" s="74"/>
    </row>
    <row r="2477" spans="2:6" x14ac:dyDescent="0.3">
      <c r="B2477" s="74"/>
      <c r="C2477" s="74"/>
      <c r="D2477" s="74"/>
      <c r="F2477" s="74"/>
    </row>
    <row r="2478" spans="2:6" x14ac:dyDescent="0.3">
      <c r="B2478" s="74"/>
      <c r="C2478" s="74"/>
      <c r="D2478" s="74"/>
      <c r="F2478" s="74"/>
    </row>
    <row r="2479" spans="2:6" x14ac:dyDescent="0.3">
      <c r="B2479" s="74"/>
      <c r="C2479" s="74"/>
      <c r="D2479" s="74"/>
      <c r="F2479" s="74"/>
    </row>
    <row r="2480" spans="2:6" x14ac:dyDescent="0.3">
      <c r="B2480" s="74"/>
      <c r="C2480" s="74"/>
      <c r="D2480" s="74"/>
      <c r="F2480" s="74"/>
    </row>
    <row r="2481" spans="2:6" x14ac:dyDescent="0.3">
      <c r="B2481" s="74"/>
      <c r="C2481" s="74"/>
      <c r="D2481" s="74"/>
      <c r="F2481" s="74"/>
    </row>
    <row r="2482" spans="2:6" x14ac:dyDescent="0.3">
      <c r="B2482" s="74"/>
      <c r="C2482" s="74"/>
      <c r="D2482" s="74"/>
      <c r="F2482" s="74"/>
    </row>
    <row r="2483" spans="2:6" x14ac:dyDescent="0.3">
      <c r="B2483" s="74"/>
      <c r="C2483" s="74"/>
      <c r="D2483" s="74"/>
      <c r="F2483" s="74"/>
    </row>
    <row r="2484" spans="2:6" x14ac:dyDescent="0.3">
      <c r="B2484" s="74"/>
      <c r="C2484" s="74"/>
      <c r="D2484" s="74"/>
      <c r="F2484" s="74"/>
    </row>
    <row r="2485" spans="2:6" x14ac:dyDescent="0.3">
      <c r="B2485" s="74"/>
      <c r="C2485" s="74"/>
      <c r="D2485" s="74"/>
      <c r="F2485" s="74"/>
    </row>
    <row r="2486" spans="2:6" x14ac:dyDescent="0.3">
      <c r="B2486" s="74"/>
      <c r="C2486" s="74"/>
      <c r="D2486" s="74"/>
      <c r="F2486" s="74"/>
    </row>
    <row r="2487" spans="2:6" x14ac:dyDescent="0.3">
      <c r="B2487" s="74"/>
      <c r="C2487" s="74"/>
      <c r="D2487" s="74"/>
      <c r="F2487" s="74"/>
    </row>
    <row r="2488" spans="2:6" x14ac:dyDescent="0.3">
      <c r="B2488" s="74"/>
      <c r="C2488" s="74"/>
      <c r="D2488" s="74"/>
      <c r="F2488" s="74"/>
    </row>
    <row r="2489" spans="2:6" x14ac:dyDescent="0.3">
      <c r="B2489" s="74"/>
      <c r="C2489" s="74"/>
      <c r="D2489" s="74"/>
      <c r="F2489" s="74"/>
    </row>
    <row r="2490" spans="2:6" x14ac:dyDescent="0.3">
      <c r="B2490" s="74"/>
      <c r="C2490" s="74"/>
      <c r="D2490" s="74"/>
      <c r="F2490" s="74"/>
    </row>
    <row r="2491" spans="2:6" x14ac:dyDescent="0.3">
      <c r="B2491" s="74"/>
      <c r="C2491" s="74"/>
      <c r="D2491" s="74"/>
      <c r="F2491" s="74"/>
    </row>
    <row r="2492" spans="2:6" x14ac:dyDescent="0.3">
      <c r="B2492" s="74"/>
      <c r="C2492" s="74"/>
      <c r="D2492" s="74"/>
      <c r="F2492" s="74"/>
    </row>
    <row r="2493" spans="2:6" x14ac:dyDescent="0.3">
      <c r="B2493" s="74"/>
      <c r="C2493" s="74"/>
      <c r="D2493" s="74"/>
      <c r="F2493" s="74"/>
    </row>
    <row r="2494" spans="2:6" x14ac:dyDescent="0.3">
      <c r="B2494" s="74"/>
      <c r="C2494" s="74"/>
      <c r="D2494" s="74"/>
      <c r="F2494" s="74"/>
    </row>
    <row r="2495" spans="2:6" x14ac:dyDescent="0.3">
      <c r="B2495" s="74"/>
      <c r="C2495" s="74"/>
      <c r="D2495" s="74"/>
      <c r="F2495" s="74"/>
    </row>
    <row r="2496" spans="2:6" x14ac:dyDescent="0.3">
      <c r="B2496" s="74"/>
      <c r="C2496" s="74"/>
      <c r="D2496" s="74"/>
      <c r="F2496" s="74"/>
    </row>
    <row r="2497" spans="2:6" x14ac:dyDescent="0.3">
      <c r="B2497" s="74"/>
      <c r="C2497" s="74"/>
      <c r="D2497" s="74"/>
      <c r="F2497" s="74"/>
    </row>
    <row r="2498" spans="2:6" x14ac:dyDescent="0.3">
      <c r="B2498" s="74"/>
      <c r="C2498" s="74"/>
      <c r="D2498" s="74"/>
      <c r="F2498" s="74"/>
    </row>
    <row r="2499" spans="2:6" x14ac:dyDescent="0.3">
      <c r="B2499" s="74"/>
      <c r="C2499" s="74"/>
      <c r="D2499" s="74"/>
      <c r="F2499" s="74"/>
    </row>
    <row r="2500" spans="2:6" x14ac:dyDescent="0.3">
      <c r="B2500" s="74"/>
      <c r="C2500" s="74"/>
      <c r="D2500" s="74"/>
      <c r="F2500" s="74"/>
    </row>
    <row r="2501" spans="2:6" x14ac:dyDescent="0.3">
      <c r="B2501" s="74"/>
      <c r="C2501" s="74"/>
      <c r="D2501" s="74"/>
      <c r="F2501" s="74"/>
    </row>
    <row r="2502" spans="2:6" x14ac:dyDescent="0.3">
      <c r="B2502" s="74"/>
      <c r="C2502" s="74"/>
      <c r="D2502" s="74"/>
      <c r="F2502" s="74"/>
    </row>
    <row r="2503" spans="2:6" x14ac:dyDescent="0.3">
      <c r="B2503" s="74"/>
      <c r="C2503" s="74"/>
      <c r="D2503" s="74"/>
      <c r="F2503" s="74"/>
    </row>
    <row r="2504" spans="2:6" x14ac:dyDescent="0.3">
      <c r="B2504" s="74"/>
      <c r="C2504" s="74"/>
      <c r="D2504" s="74"/>
      <c r="F2504" s="74"/>
    </row>
    <row r="2505" spans="2:6" x14ac:dyDescent="0.3">
      <c r="B2505" s="74"/>
      <c r="C2505" s="74"/>
      <c r="D2505" s="74"/>
      <c r="F2505" s="74"/>
    </row>
    <row r="2506" spans="2:6" x14ac:dyDescent="0.3">
      <c r="B2506" s="74"/>
      <c r="C2506" s="74"/>
      <c r="D2506" s="74"/>
      <c r="F2506" s="74"/>
    </row>
    <row r="2507" spans="2:6" x14ac:dyDescent="0.3">
      <c r="B2507" s="74"/>
      <c r="C2507" s="74"/>
      <c r="D2507" s="74"/>
      <c r="F2507" s="74"/>
    </row>
    <row r="2508" spans="2:6" x14ac:dyDescent="0.3">
      <c r="B2508" s="74"/>
      <c r="C2508" s="74"/>
      <c r="D2508" s="74"/>
      <c r="F2508" s="74"/>
    </row>
    <row r="2509" spans="2:6" x14ac:dyDescent="0.3">
      <c r="B2509" s="74"/>
      <c r="C2509" s="74"/>
      <c r="D2509" s="74"/>
      <c r="F2509" s="74"/>
    </row>
    <row r="2510" spans="2:6" x14ac:dyDescent="0.3">
      <c r="B2510" s="74"/>
      <c r="C2510" s="74"/>
      <c r="D2510" s="74"/>
      <c r="F2510" s="74"/>
    </row>
    <row r="2511" spans="2:6" x14ac:dyDescent="0.3">
      <c r="B2511" s="74"/>
      <c r="C2511" s="74"/>
      <c r="D2511" s="74"/>
      <c r="F2511" s="74"/>
    </row>
    <row r="2512" spans="2:6" x14ac:dyDescent="0.3">
      <c r="B2512" s="74"/>
      <c r="C2512" s="74"/>
      <c r="D2512" s="74"/>
      <c r="F2512" s="74"/>
    </row>
    <row r="2513" spans="2:6" x14ac:dyDescent="0.3">
      <c r="B2513" s="74"/>
      <c r="C2513" s="74"/>
      <c r="D2513" s="74"/>
      <c r="F2513" s="74"/>
    </row>
    <row r="2514" spans="2:6" x14ac:dyDescent="0.3">
      <c r="B2514" s="74"/>
      <c r="C2514" s="74"/>
      <c r="D2514" s="74"/>
      <c r="F2514" s="74"/>
    </row>
    <row r="2515" spans="2:6" x14ac:dyDescent="0.3">
      <c r="B2515" s="74"/>
      <c r="C2515" s="74"/>
      <c r="D2515" s="74"/>
      <c r="F2515" s="74"/>
    </row>
    <row r="2516" spans="2:6" x14ac:dyDescent="0.3">
      <c r="B2516" s="74"/>
      <c r="C2516" s="74"/>
      <c r="D2516" s="74"/>
      <c r="F2516" s="74"/>
    </row>
    <row r="2517" spans="2:6" x14ac:dyDescent="0.3">
      <c r="B2517" s="74"/>
      <c r="C2517" s="74"/>
      <c r="D2517" s="74"/>
      <c r="F2517" s="74"/>
    </row>
    <row r="2518" spans="2:6" x14ac:dyDescent="0.3">
      <c r="B2518" s="74"/>
      <c r="C2518" s="74"/>
      <c r="D2518" s="74"/>
      <c r="F2518" s="74"/>
    </row>
    <row r="2519" spans="2:6" x14ac:dyDescent="0.3">
      <c r="B2519" s="74"/>
      <c r="C2519" s="74"/>
      <c r="D2519" s="74"/>
      <c r="F2519" s="74"/>
    </row>
    <row r="2520" spans="2:6" x14ac:dyDescent="0.3">
      <c r="B2520" s="74"/>
      <c r="C2520" s="74"/>
      <c r="D2520" s="74"/>
      <c r="F2520" s="74"/>
    </row>
    <row r="2521" spans="2:6" x14ac:dyDescent="0.3">
      <c r="B2521" s="74"/>
      <c r="C2521" s="74"/>
      <c r="D2521" s="74"/>
      <c r="F2521" s="74"/>
    </row>
    <row r="2522" spans="2:6" x14ac:dyDescent="0.3">
      <c r="B2522" s="74"/>
      <c r="C2522" s="74"/>
      <c r="D2522" s="74"/>
      <c r="F2522" s="74"/>
    </row>
    <row r="2523" spans="2:6" x14ac:dyDescent="0.3">
      <c r="B2523" s="74"/>
      <c r="C2523" s="74"/>
      <c r="D2523" s="74"/>
      <c r="F2523" s="74"/>
    </row>
    <row r="2524" spans="2:6" x14ac:dyDescent="0.3">
      <c r="B2524" s="74"/>
      <c r="C2524" s="74"/>
      <c r="D2524" s="74"/>
      <c r="F2524" s="74"/>
    </row>
    <row r="2525" spans="2:6" x14ac:dyDescent="0.3">
      <c r="B2525" s="74"/>
      <c r="C2525" s="74"/>
      <c r="D2525" s="74"/>
      <c r="F2525" s="74"/>
    </row>
    <row r="2526" spans="2:6" x14ac:dyDescent="0.3">
      <c r="B2526" s="74"/>
      <c r="C2526" s="74"/>
      <c r="D2526" s="74"/>
      <c r="F2526" s="74"/>
    </row>
    <row r="2527" spans="2:6" x14ac:dyDescent="0.3">
      <c r="B2527" s="74"/>
      <c r="C2527" s="74"/>
      <c r="D2527" s="74"/>
      <c r="F2527" s="74"/>
    </row>
    <row r="2528" spans="2:6" x14ac:dyDescent="0.3">
      <c r="B2528" s="74"/>
      <c r="C2528" s="74"/>
      <c r="D2528" s="74"/>
      <c r="F2528" s="74"/>
    </row>
    <row r="2529" spans="2:6" x14ac:dyDescent="0.3">
      <c r="B2529" s="74"/>
      <c r="C2529" s="74"/>
      <c r="D2529" s="74"/>
      <c r="F2529" s="74"/>
    </row>
    <row r="2530" spans="2:6" x14ac:dyDescent="0.3">
      <c r="B2530" s="74"/>
      <c r="C2530" s="74"/>
      <c r="D2530" s="74"/>
      <c r="F2530" s="74"/>
    </row>
    <row r="2531" spans="2:6" x14ac:dyDescent="0.3">
      <c r="B2531" s="74"/>
      <c r="C2531" s="74"/>
      <c r="D2531" s="74"/>
      <c r="F2531" s="74"/>
    </row>
    <row r="2532" spans="2:6" x14ac:dyDescent="0.3">
      <c r="B2532" s="74"/>
      <c r="C2532" s="74"/>
      <c r="D2532" s="74"/>
      <c r="F2532" s="74"/>
    </row>
    <row r="2533" spans="2:6" x14ac:dyDescent="0.3">
      <c r="B2533" s="74"/>
      <c r="C2533" s="74"/>
      <c r="D2533" s="74"/>
      <c r="F2533" s="74"/>
    </row>
    <row r="2534" spans="2:6" x14ac:dyDescent="0.3">
      <c r="B2534" s="74"/>
      <c r="C2534" s="74"/>
      <c r="D2534" s="74"/>
      <c r="F2534" s="74"/>
    </row>
    <row r="2535" spans="2:6" x14ac:dyDescent="0.3">
      <c r="B2535" s="74"/>
      <c r="C2535" s="74"/>
      <c r="D2535" s="74"/>
      <c r="F2535" s="74"/>
    </row>
    <row r="2536" spans="2:6" x14ac:dyDescent="0.3">
      <c r="B2536" s="74"/>
      <c r="C2536" s="74"/>
      <c r="D2536" s="74"/>
      <c r="F2536" s="74"/>
    </row>
    <row r="2537" spans="2:6" x14ac:dyDescent="0.3">
      <c r="B2537" s="74"/>
      <c r="C2537" s="74"/>
      <c r="D2537" s="74"/>
      <c r="F2537" s="74"/>
    </row>
    <row r="2538" spans="2:6" x14ac:dyDescent="0.3">
      <c r="B2538" s="74"/>
      <c r="C2538" s="74"/>
      <c r="D2538" s="74"/>
      <c r="F2538" s="74"/>
    </row>
    <row r="2539" spans="2:6" x14ac:dyDescent="0.3">
      <c r="B2539" s="74"/>
      <c r="C2539" s="74"/>
      <c r="D2539" s="74"/>
      <c r="F2539" s="74"/>
    </row>
    <row r="2540" spans="2:6" x14ac:dyDescent="0.3">
      <c r="B2540" s="74"/>
      <c r="C2540" s="74"/>
      <c r="D2540" s="74"/>
      <c r="F2540" s="74"/>
    </row>
    <row r="2541" spans="2:6" x14ac:dyDescent="0.3">
      <c r="B2541" s="74"/>
      <c r="C2541" s="74"/>
      <c r="D2541" s="74"/>
      <c r="F2541" s="74"/>
    </row>
    <row r="2542" spans="2:6" x14ac:dyDescent="0.3">
      <c r="B2542" s="74"/>
      <c r="C2542" s="74"/>
      <c r="D2542" s="74"/>
      <c r="F2542" s="74"/>
    </row>
    <row r="2543" spans="2:6" x14ac:dyDescent="0.3">
      <c r="B2543" s="74"/>
      <c r="C2543" s="74"/>
      <c r="D2543" s="74"/>
      <c r="F2543" s="74"/>
    </row>
    <row r="2544" spans="2:6" x14ac:dyDescent="0.3">
      <c r="B2544" s="74"/>
      <c r="C2544" s="74"/>
      <c r="D2544" s="74"/>
      <c r="F2544" s="74"/>
    </row>
    <row r="2545" spans="2:6" x14ac:dyDescent="0.3">
      <c r="B2545" s="74"/>
      <c r="C2545" s="74"/>
      <c r="D2545" s="74"/>
      <c r="F2545" s="74"/>
    </row>
    <row r="2546" spans="2:6" x14ac:dyDescent="0.3">
      <c r="B2546" s="74"/>
      <c r="C2546" s="74"/>
      <c r="D2546" s="74"/>
      <c r="F2546" s="74"/>
    </row>
    <row r="2547" spans="2:6" x14ac:dyDescent="0.3">
      <c r="B2547" s="74"/>
      <c r="C2547" s="74"/>
      <c r="D2547" s="74"/>
      <c r="F2547" s="74"/>
    </row>
    <row r="2548" spans="2:6" x14ac:dyDescent="0.3">
      <c r="B2548" s="74"/>
      <c r="C2548" s="74"/>
      <c r="D2548" s="74"/>
      <c r="F2548" s="74"/>
    </row>
    <row r="2549" spans="2:6" x14ac:dyDescent="0.3">
      <c r="B2549" s="74"/>
      <c r="C2549" s="74"/>
      <c r="D2549" s="74"/>
      <c r="F2549" s="74"/>
    </row>
    <row r="2550" spans="2:6" x14ac:dyDescent="0.3">
      <c r="B2550" s="74"/>
      <c r="C2550" s="74"/>
      <c r="D2550" s="74"/>
      <c r="F2550" s="74"/>
    </row>
    <row r="2551" spans="2:6" x14ac:dyDescent="0.3">
      <c r="B2551" s="74"/>
      <c r="C2551" s="74"/>
      <c r="D2551" s="74"/>
      <c r="F2551" s="74"/>
    </row>
    <row r="2552" spans="2:6" x14ac:dyDescent="0.3">
      <c r="B2552" s="74"/>
      <c r="C2552" s="74"/>
      <c r="D2552" s="74"/>
      <c r="F2552" s="74"/>
    </row>
    <row r="2553" spans="2:6" x14ac:dyDescent="0.3">
      <c r="B2553" s="74"/>
      <c r="C2553" s="74"/>
      <c r="D2553" s="74"/>
      <c r="F2553" s="74"/>
    </row>
    <row r="2554" spans="2:6" x14ac:dyDescent="0.3">
      <c r="B2554" s="74"/>
      <c r="C2554" s="74"/>
      <c r="D2554" s="74"/>
      <c r="F2554" s="74"/>
    </row>
    <row r="2555" spans="2:6" x14ac:dyDescent="0.3">
      <c r="B2555" s="74"/>
      <c r="C2555" s="74"/>
      <c r="D2555" s="74"/>
      <c r="F2555" s="74"/>
    </row>
    <row r="2556" spans="2:6" x14ac:dyDescent="0.3">
      <c r="B2556" s="74"/>
      <c r="C2556" s="74"/>
      <c r="D2556" s="74"/>
      <c r="F2556" s="74"/>
    </row>
    <row r="2557" spans="2:6" x14ac:dyDescent="0.3">
      <c r="B2557" s="74"/>
      <c r="C2557" s="74"/>
      <c r="D2557" s="74"/>
      <c r="F2557" s="74"/>
    </row>
    <row r="2558" spans="2:6" x14ac:dyDescent="0.3">
      <c r="B2558" s="74"/>
      <c r="C2558" s="74"/>
      <c r="D2558" s="74"/>
      <c r="F2558" s="74"/>
    </row>
    <row r="2559" spans="2:6" x14ac:dyDescent="0.3">
      <c r="B2559" s="74"/>
      <c r="C2559" s="74"/>
      <c r="D2559" s="74"/>
      <c r="F2559" s="74"/>
    </row>
    <row r="2560" spans="2:6" x14ac:dyDescent="0.3">
      <c r="B2560" s="74"/>
      <c r="C2560" s="74"/>
      <c r="D2560" s="74"/>
      <c r="F2560" s="74"/>
    </row>
    <row r="2561" spans="2:6" x14ac:dyDescent="0.3">
      <c r="B2561" s="74"/>
      <c r="C2561" s="74"/>
      <c r="D2561" s="74"/>
      <c r="F2561" s="74"/>
    </row>
    <row r="2562" spans="2:6" x14ac:dyDescent="0.3">
      <c r="B2562" s="74"/>
      <c r="C2562" s="74"/>
      <c r="D2562" s="74"/>
      <c r="F2562" s="74"/>
    </row>
    <row r="2563" spans="2:6" x14ac:dyDescent="0.3">
      <c r="B2563" s="74"/>
      <c r="C2563" s="74"/>
      <c r="D2563" s="74"/>
      <c r="F2563" s="74"/>
    </row>
    <row r="2564" spans="2:6" x14ac:dyDescent="0.3">
      <c r="B2564" s="74"/>
      <c r="C2564" s="74"/>
      <c r="D2564" s="74"/>
      <c r="F2564" s="74"/>
    </row>
    <row r="2565" spans="2:6" x14ac:dyDescent="0.3">
      <c r="B2565" s="74"/>
      <c r="C2565" s="74"/>
      <c r="D2565" s="74"/>
      <c r="F2565" s="74"/>
    </row>
    <row r="2566" spans="2:6" x14ac:dyDescent="0.3">
      <c r="B2566" s="74"/>
      <c r="C2566" s="74"/>
      <c r="D2566" s="74"/>
      <c r="F2566" s="74"/>
    </row>
    <row r="2567" spans="2:6" x14ac:dyDescent="0.3">
      <c r="B2567" s="74"/>
      <c r="C2567" s="74"/>
      <c r="D2567" s="74"/>
      <c r="F2567" s="74"/>
    </row>
    <row r="2568" spans="2:6" x14ac:dyDescent="0.3">
      <c r="B2568" s="74"/>
      <c r="C2568" s="74"/>
      <c r="D2568" s="74"/>
      <c r="F2568" s="74"/>
    </row>
    <row r="2569" spans="2:6" x14ac:dyDescent="0.3">
      <c r="B2569" s="74"/>
      <c r="C2569" s="74"/>
      <c r="D2569" s="74"/>
      <c r="F2569" s="74"/>
    </row>
    <row r="2570" spans="2:6" x14ac:dyDescent="0.3">
      <c r="B2570" s="74"/>
      <c r="C2570" s="74"/>
      <c r="D2570" s="74"/>
      <c r="F2570" s="74"/>
    </row>
    <row r="2571" spans="2:6" x14ac:dyDescent="0.3">
      <c r="B2571" s="74"/>
      <c r="C2571" s="74"/>
      <c r="D2571" s="74"/>
      <c r="F2571" s="74"/>
    </row>
    <row r="2572" spans="2:6" x14ac:dyDescent="0.3">
      <c r="B2572" s="74"/>
      <c r="C2572" s="74"/>
      <c r="D2572" s="74"/>
      <c r="F2572" s="74"/>
    </row>
    <row r="2573" spans="2:6" x14ac:dyDescent="0.3">
      <c r="B2573" s="74"/>
      <c r="C2573" s="74"/>
      <c r="D2573" s="74"/>
      <c r="F2573" s="74"/>
    </row>
    <row r="2574" spans="2:6" x14ac:dyDescent="0.3">
      <c r="B2574" s="74"/>
      <c r="C2574" s="74"/>
      <c r="D2574" s="74"/>
      <c r="F2574" s="74"/>
    </row>
    <row r="2575" spans="2:6" x14ac:dyDescent="0.3">
      <c r="B2575" s="74"/>
      <c r="C2575" s="74"/>
      <c r="D2575" s="74"/>
      <c r="F2575" s="74"/>
    </row>
    <row r="2576" spans="2:6" x14ac:dyDescent="0.3">
      <c r="B2576" s="74"/>
      <c r="C2576" s="74"/>
      <c r="D2576" s="74"/>
      <c r="F2576" s="74"/>
    </row>
    <row r="2577" spans="2:6" x14ac:dyDescent="0.3">
      <c r="B2577" s="74"/>
      <c r="C2577" s="74"/>
      <c r="D2577" s="74"/>
      <c r="F2577" s="74"/>
    </row>
    <row r="2578" spans="2:6" x14ac:dyDescent="0.3">
      <c r="B2578" s="74"/>
      <c r="C2578" s="74"/>
      <c r="D2578" s="74"/>
      <c r="F2578" s="74"/>
    </row>
    <row r="2579" spans="2:6" x14ac:dyDescent="0.3">
      <c r="B2579" s="74"/>
      <c r="C2579" s="74"/>
      <c r="D2579" s="74"/>
      <c r="F2579" s="74"/>
    </row>
    <row r="2580" spans="2:6" x14ac:dyDescent="0.3">
      <c r="B2580" s="74"/>
      <c r="C2580" s="74"/>
      <c r="D2580" s="74"/>
      <c r="F2580" s="74"/>
    </row>
    <row r="2581" spans="2:6" x14ac:dyDescent="0.3">
      <c r="B2581" s="74"/>
      <c r="C2581" s="74"/>
      <c r="D2581" s="74"/>
      <c r="F2581" s="74"/>
    </row>
    <row r="2582" spans="2:6" x14ac:dyDescent="0.3">
      <c r="B2582" s="74"/>
      <c r="C2582" s="74"/>
      <c r="D2582" s="74"/>
      <c r="F2582" s="74"/>
    </row>
    <row r="2583" spans="2:6" x14ac:dyDescent="0.3">
      <c r="B2583" s="74"/>
      <c r="C2583" s="74"/>
      <c r="D2583" s="74"/>
      <c r="F2583" s="74"/>
    </row>
    <row r="2584" spans="2:6" x14ac:dyDescent="0.3">
      <c r="B2584" s="74"/>
      <c r="C2584" s="74"/>
      <c r="D2584" s="74"/>
      <c r="F2584" s="74"/>
    </row>
    <row r="2585" spans="2:6" x14ac:dyDescent="0.3">
      <c r="B2585" s="74"/>
      <c r="C2585" s="74"/>
      <c r="D2585" s="74"/>
      <c r="F2585" s="74"/>
    </row>
    <row r="2586" spans="2:6" x14ac:dyDescent="0.3">
      <c r="B2586" s="74"/>
      <c r="C2586" s="74"/>
      <c r="D2586" s="74"/>
      <c r="F2586" s="74"/>
    </row>
    <row r="2587" spans="2:6" x14ac:dyDescent="0.3">
      <c r="B2587" s="74"/>
      <c r="C2587" s="74"/>
      <c r="D2587" s="74"/>
      <c r="F2587" s="74"/>
    </row>
    <row r="2588" spans="2:6" x14ac:dyDescent="0.3">
      <c r="B2588" s="74"/>
      <c r="C2588" s="74"/>
      <c r="D2588" s="74"/>
      <c r="F2588" s="74"/>
    </row>
    <row r="2589" spans="2:6" x14ac:dyDescent="0.3">
      <c r="B2589" s="74"/>
      <c r="C2589" s="74"/>
      <c r="D2589" s="74"/>
      <c r="F2589" s="74"/>
    </row>
    <row r="2590" spans="2:6" x14ac:dyDescent="0.3">
      <c r="B2590" s="74"/>
      <c r="C2590" s="74"/>
      <c r="D2590" s="74"/>
      <c r="F2590" s="74"/>
    </row>
    <row r="2591" spans="2:6" x14ac:dyDescent="0.3">
      <c r="B2591" s="74"/>
      <c r="C2591" s="74"/>
      <c r="D2591" s="74"/>
      <c r="F2591" s="74"/>
    </row>
    <row r="2592" spans="2:6" x14ac:dyDescent="0.3">
      <c r="B2592" s="74"/>
      <c r="C2592" s="74"/>
      <c r="D2592" s="74"/>
      <c r="F2592" s="74"/>
    </row>
    <row r="2593" spans="2:6" x14ac:dyDescent="0.3">
      <c r="B2593" s="74"/>
      <c r="C2593" s="74"/>
      <c r="D2593" s="74"/>
      <c r="F2593" s="74"/>
    </row>
    <row r="2594" spans="2:6" x14ac:dyDescent="0.3">
      <c r="B2594" s="74"/>
      <c r="C2594" s="74"/>
      <c r="D2594" s="74"/>
      <c r="F2594" s="74"/>
    </row>
    <row r="2595" spans="2:6" x14ac:dyDescent="0.3">
      <c r="B2595" s="74"/>
      <c r="C2595" s="74"/>
      <c r="D2595" s="74"/>
      <c r="F2595" s="74"/>
    </row>
    <row r="2596" spans="2:6" x14ac:dyDescent="0.3">
      <c r="B2596" s="74"/>
      <c r="C2596" s="74"/>
      <c r="D2596" s="74"/>
      <c r="F2596" s="74"/>
    </row>
    <row r="2597" spans="2:6" x14ac:dyDescent="0.3">
      <c r="B2597" s="74"/>
      <c r="C2597" s="74"/>
      <c r="D2597" s="74"/>
      <c r="F2597" s="74"/>
    </row>
    <row r="2598" spans="2:6" x14ac:dyDescent="0.3">
      <c r="B2598" s="74"/>
      <c r="C2598" s="74"/>
      <c r="D2598" s="74"/>
      <c r="F2598" s="74"/>
    </row>
    <row r="2599" spans="2:6" x14ac:dyDescent="0.3">
      <c r="B2599" s="74"/>
      <c r="C2599" s="74"/>
      <c r="D2599" s="74"/>
      <c r="F2599" s="74"/>
    </row>
    <row r="2600" spans="2:6" x14ac:dyDescent="0.3">
      <c r="B2600" s="74"/>
      <c r="C2600" s="74"/>
      <c r="D2600" s="74"/>
      <c r="F2600" s="74"/>
    </row>
    <row r="2601" spans="2:6" x14ac:dyDescent="0.3">
      <c r="B2601" s="74"/>
      <c r="C2601" s="74"/>
      <c r="D2601" s="74"/>
      <c r="F2601" s="74"/>
    </row>
    <row r="2602" spans="2:6" x14ac:dyDescent="0.3">
      <c r="B2602" s="74"/>
      <c r="C2602" s="74"/>
      <c r="D2602" s="74"/>
      <c r="F2602" s="74"/>
    </row>
    <row r="2603" spans="2:6" x14ac:dyDescent="0.3">
      <c r="B2603" s="74"/>
      <c r="C2603" s="74"/>
      <c r="D2603" s="74"/>
      <c r="F2603" s="74"/>
    </row>
    <row r="2604" spans="2:6" x14ac:dyDescent="0.3">
      <c r="B2604" s="74"/>
      <c r="C2604" s="74"/>
      <c r="D2604" s="74"/>
      <c r="F2604" s="74"/>
    </row>
    <row r="2605" spans="2:6" x14ac:dyDescent="0.3">
      <c r="B2605" s="74"/>
      <c r="C2605" s="74"/>
      <c r="D2605" s="74"/>
      <c r="F2605" s="74"/>
    </row>
    <row r="2606" spans="2:6" x14ac:dyDescent="0.3">
      <c r="B2606" s="74"/>
      <c r="C2606" s="74"/>
      <c r="D2606" s="74"/>
      <c r="F2606" s="74"/>
    </row>
    <row r="2607" spans="2:6" x14ac:dyDescent="0.3">
      <c r="B2607" s="74"/>
      <c r="C2607" s="74"/>
      <c r="D2607" s="74"/>
      <c r="F2607" s="74"/>
    </row>
    <row r="2608" spans="2:6" x14ac:dyDescent="0.3">
      <c r="B2608" s="74"/>
      <c r="C2608" s="74"/>
      <c r="D2608" s="74"/>
      <c r="F2608" s="74"/>
    </row>
    <row r="2609" spans="2:6" x14ac:dyDescent="0.3">
      <c r="B2609" s="74"/>
      <c r="C2609" s="74"/>
      <c r="D2609" s="74"/>
      <c r="F2609" s="74"/>
    </row>
    <row r="2610" spans="2:6" x14ac:dyDescent="0.3">
      <c r="B2610" s="74"/>
      <c r="C2610" s="74"/>
      <c r="D2610" s="74"/>
      <c r="F2610" s="74"/>
    </row>
    <row r="2611" spans="2:6" x14ac:dyDescent="0.3">
      <c r="B2611" s="74"/>
      <c r="C2611" s="74"/>
      <c r="D2611" s="74"/>
      <c r="F2611" s="74"/>
    </row>
    <row r="2612" spans="2:6" x14ac:dyDescent="0.3">
      <c r="B2612" s="74"/>
      <c r="C2612" s="74"/>
      <c r="D2612" s="74"/>
      <c r="F2612" s="74"/>
    </row>
    <row r="2613" spans="2:6" x14ac:dyDescent="0.3">
      <c r="B2613" s="74"/>
      <c r="C2613" s="74"/>
      <c r="D2613" s="74"/>
      <c r="F2613" s="74"/>
    </row>
    <row r="2614" spans="2:6" x14ac:dyDescent="0.3">
      <c r="B2614" s="74"/>
      <c r="C2614" s="74"/>
      <c r="D2614" s="74"/>
      <c r="F2614" s="74"/>
    </row>
    <row r="2615" spans="2:6" x14ac:dyDescent="0.3">
      <c r="B2615" s="74"/>
      <c r="C2615" s="74"/>
      <c r="D2615" s="74"/>
      <c r="F2615" s="74"/>
    </row>
    <row r="2616" spans="2:6" x14ac:dyDescent="0.3">
      <c r="B2616" s="74"/>
      <c r="C2616" s="74"/>
      <c r="D2616" s="74"/>
      <c r="F2616" s="74"/>
    </row>
    <row r="2617" spans="2:6" x14ac:dyDescent="0.3">
      <c r="B2617" s="74"/>
      <c r="C2617" s="74"/>
      <c r="D2617" s="74"/>
      <c r="F2617" s="74"/>
    </row>
    <row r="2618" spans="2:6" x14ac:dyDescent="0.3">
      <c r="B2618" s="74"/>
      <c r="C2618" s="74"/>
      <c r="D2618" s="74"/>
      <c r="F2618" s="74"/>
    </row>
    <row r="2619" spans="2:6" x14ac:dyDescent="0.3">
      <c r="B2619" s="74"/>
      <c r="C2619" s="74"/>
      <c r="D2619" s="74"/>
      <c r="F2619" s="74"/>
    </row>
    <row r="2620" spans="2:6" x14ac:dyDescent="0.3">
      <c r="B2620" s="74"/>
      <c r="C2620" s="74"/>
      <c r="D2620" s="74"/>
      <c r="F2620" s="74"/>
    </row>
    <row r="2621" spans="2:6" x14ac:dyDescent="0.3">
      <c r="B2621" s="74"/>
      <c r="C2621" s="74"/>
      <c r="D2621" s="74"/>
      <c r="F2621" s="74"/>
    </row>
    <row r="2622" spans="2:6" x14ac:dyDescent="0.3">
      <c r="B2622" s="74"/>
      <c r="C2622" s="74"/>
      <c r="D2622" s="74"/>
      <c r="F2622" s="74"/>
    </row>
    <row r="2623" spans="2:6" x14ac:dyDescent="0.3">
      <c r="B2623" s="74"/>
      <c r="C2623" s="74"/>
      <c r="D2623" s="74"/>
      <c r="F2623" s="74"/>
    </row>
    <row r="2624" spans="2:6" x14ac:dyDescent="0.3">
      <c r="B2624" s="74"/>
      <c r="C2624" s="74"/>
      <c r="D2624" s="74"/>
      <c r="F2624" s="74"/>
    </row>
    <row r="2625" spans="2:6" x14ac:dyDescent="0.3">
      <c r="B2625" s="74"/>
      <c r="C2625" s="74"/>
      <c r="D2625" s="74"/>
      <c r="F2625" s="74"/>
    </row>
    <row r="2626" spans="2:6" x14ac:dyDescent="0.3">
      <c r="B2626" s="74"/>
      <c r="C2626" s="74"/>
      <c r="D2626" s="74"/>
      <c r="F2626" s="74"/>
    </row>
    <row r="2627" spans="2:6" x14ac:dyDescent="0.3">
      <c r="B2627" s="74"/>
      <c r="C2627" s="74"/>
      <c r="D2627" s="74"/>
      <c r="F2627" s="74"/>
    </row>
    <row r="2628" spans="2:6" x14ac:dyDescent="0.3">
      <c r="B2628" s="74"/>
      <c r="C2628" s="74"/>
      <c r="D2628" s="74"/>
      <c r="F2628" s="74"/>
    </row>
    <row r="2629" spans="2:6" x14ac:dyDescent="0.3">
      <c r="B2629" s="74"/>
      <c r="C2629" s="74"/>
      <c r="D2629" s="74"/>
      <c r="F2629" s="74"/>
    </row>
    <row r="2630" spans="2:6" x14ac:dyDescent="0.3">
      <c r="B2630" s="74"/>
      <c r="C2630" s="74"/>
      <c r="D2630" s="74"/>
      <c r="F2630" s="74"/>
    </row>
    <row r="2631" spans="2:6" x14ac:dyDescent="0.3">
      <c r="B2631" s="74"/>
      <c r="C2631" s="74"/>
      <c r="D2631" s="74"/>
      <c r="F2631" s="74"/>
    </row>
    <row r="2632" spans="2:6" x14ac:dyDescent="0.3">
      <c r="B2632" s="74"/>
      <c r="C2632" s="74"/>
      <c r="D2632" s="74"/>
      <c r="F2632" s="74"/>
    </row>
    <row r="2633" spans="2:6" x14ac:dyDescent="0.3">
      <c r="B2633" s="74"/>
      <c r="C2633" s="74"/>
      <c r="D2633" s="74"/>
      <c r="F2633" s="74"/>
    </row>
    <row r="2634" spans="2:6" x14ac:dyDescent="0.3">
      <c r="B2634" s="74"/>
      <c r="C2634" s="74"/>
      <c r="D2634" s="74"/>
      <c r="F2634" s="74"/>
    </row>
    <row r="2635" spans="2:6" x14ac:dyDescent="0.3">
      <c r="B2635" s="74"/>
      <c r="C2635" s="74"/>
      <c r="D2635" s="74"/>
      <c r="F2635" s="74"/>
    </row>
    <row r="2636" spans="2:6" x14ac:dyDescent="0.3">
      <c r="B2636" s="74"/>
      <c r="C2636" s="74"/>
      <c r="D2636" s="74"/>
      <c r="F2636" s="74"/>
    </row>
    <row r="2637" spans="2:6" x14ac:dyDescent="0.3">
      <c r="B2637" s="74"/>
      <c r="C2637" s="74"/>
      <c r="D2637" s="74"/>
      <c r="F2637" s="74"/>
    </row>
    <row r="2638" spans="2:6" x14ac:dyDescent="0.3">
      <c r="B2638" s="74"/>
      <c r="C2638" s="74"/>
      <c r="D2638" s="74"/>
      <c r="F2638" s="74"/>
    </row>
    <row r="2639" spans="2:6" x14ac:dyDescent="0.3">
      <c r="B2639" s="74"/>
      <c r="C2639" s="74"/>
      <c r="D2639" s="74"/>
      <c r="F2639" s="74"/>
    </row>
    <row r="2640" spans="2:6" x14ac:dyDescent="0.3">
      <c r="B2640" s="74"/>
      <c r="C2640" s="74"/>
      <c r="D2640" s="74"/>
      <c r="F2640" s="74"/>
    </row>
    <row r="2641" spans="2:6" x14ac:dyDescent="0.3">
      <c r="B2641" s="74"/>
      <c r="C2641" s="74"/>
      <c r="D2641" s="74"/>
      <c r="F2641" s="74"/>
    </row>
    <row r="2642" spans="2:6" x14ac:dyDescent="0.3">
      <c r="B2642" s="74"/>
      <c r="C2642" s="74"/>
      <c r="D2642" s="74"/>
      <c r="F2642" s="74"/>
    </row>
    <row r="2643" spans="2:6" x14ac:dyDescent="0.3">
      <c r="B2643" s="74"/>
      <c r="C2643" s="74"/>
      <c r="D2643" s="74"/>
      <c r="F2643" s="74"/>
    </row>
    <row r="2644" spans="2:6" x14ac:dyDescent="0.3">
      <c r="B2644" s="74"/>
      <c r="C2644" s="74"/>
      <c r="D2644" s="74"/>
      <c r="F2644" s="74"/>
    </row>
    <row r="2645" spans="2:6" x14ac:dyDescent="0.3">
      <c r="B2645" s="74"/>
      <c r="C2645" s="74"/>
      <c r="D2645" s="74"/>
      <c r="F2645" s="74"/>
    </row>
    <row r="2646" spans="2:6" x14ac:dyDescent="0.3">
      <c r="B2646" s="74"/>
      <c r="C2646" s="74"/>
      <c r="D2646" s="74"/>
      <c r="F2646" s="74"/>
    </row>
    <row r="2647" spans="2:6" x14ac:dyDescent="0.3">
      <c r="B2647" s="74"/>
      <c r="C2647" s="74"/>
      <c r="D2647" s="74"/>
      <c r="F2647" s="74"/>
    </row>
    <row r="2648" spans="2:6" x14ac:dyDescent="0.3">
      <c r="B2648" s="74"/>
      <c r="C2648" s="74"/>
      <c r="D2648" s="74"/>
      <c r="F2648" s="74"/>
    </row>
    <row r="2649" spans="2:6" x14ac:dyDescent="0.3">
      <c r="B2649" s="74"/>
      <c r="C2649" s="74"/>
      <c r="D2649" s="74"/>
      <c r="F2649" s="74"/>
    </row>
    <row r="2650" spans="2:6" x14ac:dyDescent="0.3">
      <c r="B2650" s="74"/>
      <c r="C2650" s="74"/>
      <c r="D2650" s="74"/>
      <c r="F2650" s="74"/>
    </row>
    <row r="2651" spans="2:6" x14ac:dyDescent="0.3">
      <c r="B2651" s="74"/>
      <c r="C2651" s="74"/>
      <c r="D2651" s="74"/>
      <c r="F2651" s="74"/>
    </row>
    <row r="2652" spans="2:6" x14ac:dyDescent="0.3">
      <c r="B2652" s="74"/>
      <c r="C2652" s="74"/>
      <c r="D2652" s="74"/>
      <c r="F2652" s="74"/>
    </row>
    <row r="2653" spans="2:6" x14ac:dyDescent="0.3">
      <c r="B2653" s="74"/>
      <c r="C2653" s="74"/>
      <c r="D2653" s="74"/>
      <c r="F2653" s="74"/>
    </row>
    <row r="2654" spans="2:6" x14ac:dyDescent="0.3">
      <c r="B2654" s="74"/>
      <c r="C2654" s="74"/>
      <c r="D2654" s="74"/>
      <c r="F2654" s="74"/>
    </row>
    <row r="2655" spans="2:6" x14ac:dyDescent="0.3">
      <c r="B2655" s="74"/>
      <c r="C2655" s="74"/>
      <c r="D2655" s="74"/>
      <c r="F2655" s="74"/>
    </row>
    <row r="2656" spans="2:6" x14ac:dyDescent="0.3">
      <c r="B2656" s="74"/>
      <c r="C2656" s="74"/>
      <c r="D2656" s="74"/>
      <c r="F2656" s="74"/>
    </row>
    <row r="2657" spans="2:6" x14ac:dyDescent="0.3">
      <c r="B2657" s="74"/>
      <c r="C2657" s="74"/>
      <c r="D2657" s="74"/>
      <c r="F2657" s="74"/>
    </row>
    <row r="2658" spans="2:6" x14ac:dyDescent="0.3">
      <c r="B2658" s="74"/>
      <c r="C2658" s="74"/>
      <c r="D2658" s="74"/>
      <c r="F2658" s="74"/>
    </row>
    <row r="2659" spans="2:6" x14ac:dyDescent="0.3">
      <c r="B2659" s="74"/>
      <c r="C2659" s="74"/>
      <c r="D2659" s="74"/>
      <c r="F2659" s="74"/>
    </row>
    <row r="2660" spans="2:6" x14ac:dyDescent="0.3">
      <c r="B2660" s="74"/>
      <c r="C2660" s="74"/>
      <c r="D2660" s="74"/>
      <c r="F2660" s="74"/>
    </row>
    <row r="2661" spans="2:6" x14ac:dyDescent="0.3">
      <c r="B2661" s="74"/>
      <c r="C2661" s="74"/>
      <c r="D2661" s="74"/>
      <c r="F2661" s="74"/>
    </row>
    <row r="2662" spans="2:6" x14ac:dyDescent="0.3">
      <c r="B2662" s="74"/>
      <c r="C2662" s="74"/>
      <c r="D2662" s="74"/>
      <c r="F2662" s="74"/>
    </row>
    <row r="2663" spans="2:6" x14ac:dyDescent="0.3">
      <c r="B2663" s="74"/>
      <c r="C2663" s="74"/>
      <c r="D2663" s="74"/>
      <c r="F2663" s="74"/>
    </row>
    <row r="2664" spans="2:6" x14ac:dyDescent="0.3">
      <c r="B2664" s="74"/>
      <c r="C2664" s="74"/>
      <c r="D2664" s="74"/>
      <c r="F2664" s="74"/>
    </row>
    <row r="2665" spans="2:6" x14ac:dyDescent="0.3">
      <c r="B2665" s="74"/>
      <c r="C2665" s="74"/>
      <c r="D2665" s="74"/>
      <c r="F2665" s="74"/>
    </row>
    <row r="2666" spans="2:6" x14ac:dyDescent="0.3">
      <c r="B2666" s="74"/>
      <c r="C2666" s="74"/>
      <c r="D2666" s="74"/>
      <c r="F2666" s="74"/>
    </row>
    <row r="2667" spans="2:6" x14ac:dyDescent="0.3">
      <c r="B2667" s="74"/>
      <c r="C2667" s="74"/>
      <c r="D2667" s="74"/>
      <c r="F2667" s="74"/>
    </row>
    <row r="2668" spans="2:6" x14ac:dyDescent="0.3">
      <c r="B2668" s="74"/>
      <c r="C2668" s="74"/>
      <c r="D2668" s="74"/>
      <c r="F2668" s="74"/>
    </row>
    <row r="2669" spans="2:6" x14ac:dyDescent="0.3">
      <c r="B2669" s="74"/>
      <c r="C2669" s="74"/>
      <c r="D2669" s="74"/>
      <c r="F2669" s="74"/>
    </row>
    <row r="2670" spans="2:6" x14ac:dyDescent="0.3">
      <c r="B2670" s="74"/>
      <c r="C2670" s="74"/>
      <c r="D2670" s="74"/>
      <c r="F2670" s="74"/>
    </row>
    <row r="2671" spans="2:6" x14ac:dyDescent="0.3">
      <c r="B2671" s="74"/>
      <c r="C2671" s="74"/>
      <c r="D2671" s="74"/>
      <c r="F2671" s="74"/>
    </row>
    <row r="2672" spans="2:6" x14ac:dyDescent="0.3">
      <c r="B2672" s="74"/>
      <c r="C2672" s="74"/>
      <c r="D2672" s="74"/>
      <c r="F2672" s="74"/>
    </row>
    <row r="2673" spans="2:6" x14ac:dyDescent="0.3">
      <c r="B2673" s="74"/>
      <c r="C2673" s="74"/>
      <c r="D2673" s="74"/>
      <c r="F2673" s="74"/>
    </row>
    <row r="2674" spans="2:6" x14ac:dyDescent="0.3">
      <c r="B2674" s="74"/>
      <c r="C2674" s="74"/>
      <c r="D2674" s="74"/>
      <c r="F2674" s="74"/>
    </row>
    <row r="2675" spans="2:6" x14ac:dyDescent="0.3">
      <c r="B2675" s="74"/>
      <c r="C2675" s="74"/>
      <c r="D2675" s="74"/>
      <c r="F2675" s="74"/>
    </row>
    <row r="2676" spans="2:6" x14ac:dyDescent="0.3">
      <c r="B2676" s="74"/>
      <c r="C2676" s="74"/>
      <c r="D2676" s="74"/>
      <c r="F2676" s="74"/>
    </row>
    <row r="2677" spans="2:6" x14ac:dyDescent="0.3">
      <c r="B2677" s="74"/>
      <c r="C2677" s="74"/>
      <c r="D2677" s="74"/>
      <c r="F2677" s="74"/>
    </row>
    <row r="2678" spans="2:6" x14ac:dyDescent="0.3">
      <c r="B2678" s="74"/>
      <c r="C2678" s="74"/>
      <c r="D2678" s="74"/>
      <c r="F2678" s="74"/>
    </row>
    <row r="2679" spans="2:6" x14ac:dyDescent="0.3">
      <c r="B2679" s="74"/>
      <c r="C2679" s="74"/>
      <c r="D2679" s="74"/>
      <c r="F2679" s="74"/>
    </row>
    <row r="2680" spans="2:6" x14ac:dyDescent="0.3">
      <c r="B2680" s="74"/>
      <c r="C2680" s="74"/>
      <c r="D2680" s="74"/>
      <c r="F2680" s="74"/>
    </row>
    <row r="2681" spans="2:6" x14ac:dyDescent="0.3">
      <c r="B2681" s="74"/>
      <c r="C2681" s="74"/>
      <c r="D2681" s="74"/>
      <c r="F2681" s="74"/>
    </row>
    <row r="2682" spans="2:6" x14ac:dyDescent="0.3">
      <c r="B2682" s="74"/>
      <c r="C2682" s="74"/>
      <c r="D2682" s="74"/>
      <c r="F2682" s="74"/>
    </row>
    <row r="2683" spans="2:6" x14ac:dyDescent="0.3">
      <c r="B2683" s="74"/>
      <c r="C2683" s="74"/>
      <c r="D2683" s="74"/>
      <c r="F2683" s="74"/>
    </row>
    <row r="2684" spans="2:6" x14ac:dyDescent="0.3">
      <c r="B2684" s="74"/>
      <c r="C2684" s="74"/>
      <c r="D2684" s="74"/>
      <c r="F2684" s="74"/>
    </row>
    <row r="2685" spans="2:6" x14ac:dyDescent="0.3">
      <c r="B2685" s="74"/>
      <c r="C2685" s="74"/>
      <c r="D2685" s="74"/>
      <c r="F2685" s="74"/>
    </row>
    <row r="2686" spans="2:6" x14ac:dyDescent="0.3">
      <c r="B2686" s="74"/>
      <c r="C2686" s="74"/>
      <c r="D2686" s="74"/>
      <c r="F2686" s="74"/>
    </row>
    <row r="2687" spans="2:6" x14ac:dyDescent="0.3">
      <c r="B2687" s="74"/>
      <c r="C2687" s="74"/>
      <c r="D2687" s="74"/>
      <c r="F2687" s="74"/>
    </row>
    <row r="2688" spans="2:6" x14ac:dyDescent="0.3">
      <c r="B2688" s="74"/>
      <c r="C2688" s="74"/>
      <c r="D2688" s="74"/>
      <c r="F2688" s="74"/>
    </row>
    <row r="2689" spans="2:6" x14ac:dyDescent="0.3">
      <c r="B2689" s="74"/>
      <c r="C2689" s="74"/>
      <c r="D2689" s="74"/>
      <c r="F2689" s="74"/>
    </row>
    <row r="2690" spans="2:6" x14ac:dyDescent="0.3">
      <c r="B2690" s="74"/>
      <c r="C2690" s="74"/>
      <c r="D2690" s="74"/>
      <c r="F2690" s="74"/>
    </row>
    <row r="2691" spans="2:6" x14ac:dyDescent="0.3">
      <c r="B2691" s="74"/>
      <c r="C2691" s="74"/>
      <c r="D2691" s="74"/>
      <c r="F2691" s="74"/>
    </row>
    <row r="2692" spans="2:6" x14ac:dyDescent="0.3">
      <c r="B2692" s="74"/>
      <c r="C2692" s="74"/>
      <c r="D2692" s="74"/>
      <c r="F2692" s="74"/>
    </row>
    <row r="2693" spans="2:6" x14ac:dyDescent="0.3">
      <c r="B2693" s="74"/>
      <c r="C2693" s="74"/>
      <c r="D2693" s="74"/>
      <c r="F2693" s="74"/>
    </row>
    <row r="2694" spans="2:6" x14ac:dyDescent="0.3">
      <c r="B2694" s="74"/>
      <c r="C2694" s="74"/>
      <c r="D2694" s="74"/>
      <c r="F2694" s="74"/>
    </row>
    <row r="2695" spans="2:6" x14ac:dyDescent="0.3">
      <c r="B2695" s="74"/>
      <c r="C2695" s="74"/>
      <c r="D2695" s="74"/>
      <c r="F2695" s="74"/>
    </row>
    <row r="2696" spans="2:6" x14ac:dyDescent="0.3">
      <c r="B2696" s="74"/>
      <c r="C2696" s="74"/>
      <c r="D2696" s="74"/>
      <c r="F2696" s="74"/>
    </row>
    <row r="2697" spans="2:6" x14ac:dyDescent="0.3">
      <c r="B2697" s="74"/>
      <c r="C2697" s="74"/>
      <c r="D2697" s="74"/>
      <c r="F2697" s="74"/>
    </row>
    <row r="2698" spans="2:6" x14ac:dyDescent="0.3">
      <c r="B2698" s="74"/>
      <c r="C2698" s="74"/>
      <c r="D2698" s="74"/>
      <c r="F2698" s="74"/>
    </row>
    <row r="2699" spans="2:6" x14ac:dyDescent="0.3">
      <c r="B2699" s="74"/>
      <c r="C2699" s="74"/>
      <c r="D2699" s="74"/>
      <c r="F2699" s="74"/>
    </row>
    <row r="2700" spans="2:6" x14ac:dyDescent="0.3">
      <c r="B2700" s="74"/>
      <c r="C2700" s="74"/>
      <c r="D2700" s="74"/>
      <c r="F2700" s="74"/>
    </row>
    <row r="2701" spans="2:6" x14ac:dyDescent="0.3">
      <c r="B2701" s="74"/>
      <c r="C2701" s="74"/>
      <c r="D2701" s="74"/>
      <c r="F2701" s="74"/>
    </row>
    <row r="2702" spans="2:6" x14ac:dyDescent="0.3">
      <c r="B2702" s="74"/>
      <c r="C2702" s="74"/>
      <c r="D2702" s="74"/>
      <c r="F2702" s="74"/>
    </row>
    <row r="2703" spans="2:6" x14ac:dyDescent="0.3">
      <c r="B2703" s="74"/>
      <c r="C2703" s="74"/>
      <c r="D2703" s="74"/>
      <c r="F2703" s="74"/>
    </row>
    <row r="2704" spans="2:6" x14ac:dyDescent="0.3">
      <c r="B2704" s="74"/>
      <c r="C2704" s="74"/>
      <c r="D2704" s="74"/>
      <c r="F2704" s="74"/>
    </row>
    <row r="2705" spans="2:6" x14ac:dyDescent="0.3">
      <c r="B2705" s="74"/>
      <c r="C2705" s="74"/>
      <c r="D2705" s="74"/>
      <c r="F2705" s="74"/>
    </row>
    <row r="2706" spans="2:6" x14ac:dyDescent="0.3">
      <c r="B2706" s="74"/>
      <c r="C2706" s="74"/>
      <c r="D2706" s="74"/>
      <c r="F2706" s="74"/>
    </row>
    <row r="2707" spans="2:6" x14ac:dyDescent="0.3">
      <c r="B2707" s="74"/>
      <c r="C2707" s="74"/>
      <c r="D2707" s="74"/>
      <c r="F2707" s="74"/>
    </row>
    <row r="2708" spans="2:6" x14ac:dyDescent="0.3">
      <c r="B2708" s="74"/>
      <c r="C2708" s="74"/>
      <c r="D2708" s="74"/>
      <c r="F2708" s="74"/>
    </row>
    <row r="2709" spans="2:6" x14ac:dyDescent="0.3">
      <c r="B2709" s="74"/>
      <c r="C2709" s="74"/>
      <c r="D2709" s="74"/>
      <c r="F2709" s="74"/>
    </row>
    <row r="2710" spans="2:6" x14ac:dyDescent="0.3">
      <c r="B2710" s="74"/>
      <c r="C2710" s="74"/>
      <c r="D2710" s="74"/>
      <c r="F2710" s="74"/>
    </row>
    <row r="2711" spans="2:6" x14ac:dyDescent="0.3">
      <c r="B2711" s="74"/>
      <c r="C2711" s="74"/>
      <c r="D2711" s="74"/>
      <c r="F2711" s="74"/>
    </row>
    <row r="2712" spans="2:6" x14ac:dyDescent="0.3">
      <c r="B2712" s="74"/>
      <c r="C2712" s="74"/>
      <c r="D2712" s="74"/>
      <c r="F2712" s="74"/>
    </row>
    <row r="2713" spans="2:6" x14ac:dyDescent="0.3">
      <c r="B2713" s="74"/>
      <c r="C2713" s="74"/>
      <c r="D2713" s="74"/>
      <c r="F2713" s="74"/>
    </row>
    <row r="2714" spans="2:6" x14ac:dyDescent="0.3">
      <c r="B2714" s="74"/>
      <c r="C2714" s="74"/>
      <c r="D2714" s="74"/>
      <c r="F2714" s="74"/>
    </row>
    <row r="2715" spans="2:6" x14ac:dyDescent="0.3">
      <c r="B2715" s="74"/>
      <c r="C2715" s="74"/>
      <c r="D2715" s="74"/>
      <c r="F2715" s="74"/>
    </row>
    <row r="2716" spans="2:6" x14ac:dyDescent="0.3">
      <c r="B2716" s="74"/>
      <c r="C2716" s="74"/>
      <c r="D2716" s="74"/>
      <c r="F2716" s="74"/>
    </row>
    <row r="2717" spans="2:6" x14ac:dyDescent="0.3">
      <c r="B2717" s="74"/>
      <c r="C2717" s="74"/>
      <c r="D2717" s="74"/>
      <c r="F2717" s="74"/>
    </row>
    <row r="2718" spans="2:6" x14ac:dyDescent="0.3">
      <c r="B2718" s="74"/>
      <c r="C2718" s="74"/>
      <c r="D2718" s="74"/>
      <c r="F2718" s="74"/>
    </row>
    <row r="2719" spans="2:6" x14ac:dyDescent="0.3">
      <c r="B2719" s="74"/>
      <c r="C2719" s="74"/>
      <c r="D2719" s="74"/>
      <c r="F2719" s="74"/>
    </row>
    <row r="2720" spans="2:6" x14ac:dyDescent="0.3">
      <c r="B2720" s="74"/>
      <c r="C2720" s="74"/>
      <c r="D2720" s="74"/>
      <c r="F2720" s="74"/>
    </row>
    <row r="2721" spans="2:6" x14ac:dyDescent="0.3">
      <c r="B2721" s="74"/>
      <c r="C2721" s="74"/>
      <c r="D2721" s="74"/>
      <c r="F2721" s="74"/>
    </row>
    <row r="2722" spans="2:6" x14ac:dyDescent="0.3">
      <c r="B2722" s="74"/>
      <c r="C2722" s="74"/>
      <c r="D2722" s="74"/>
      <c r="F2722" s="74"/>
    </row>
    <row r="2723" spans="2:6" x14ac:dyDescent="0.3">
      <c r="B2723" s="74"/>
      <c r="C2723" s="74"/>
      <c r="D2723" s="74"/>
      <c r="F2723" s="74"/>
    </row>
    <row r="2724" spans="2:6" x14ac:dyDescent="0.3">
      <c r="B2724" s="74"/>
      <c r="C2724" s="74"/>
      <c r="D2724" s="74"/>
      <c r="F2724" s="74"/>
    </row>
    <row r="2725" spans="2:6" x14ac:dyDescent="0.3">
      <c r="B2725" s="74"/>
      <c r="C2725" s="74"/>
      <c r="D2725" s="74"/>
      <c r="F2725" s="74"/>
    </row>
    <row r="2726" spans="2:6" x14ac:dyDescent="0.3">
      <c r="B2726" s="74"/>
      <c r="C2726" s="74"/>
      <c r="D2726" s="74"/>
      <c r="F2726" s="74"/>
    </row>
    <row r="2727" spans="2:6" x14ac:dyDescent="0.3">
      <c r="B2727" s="74"/>
      <c r="C2727" s="74"/>
      <c r="D2727" s="74"/>
      <c r="F2727" s="74"/>
    </row>
    <row r="2728" spans="2:6" x14ac:dyDescent="0.3">
      <c r="B2728" s="74"/>
      <c r="C2728" s="74"/>
      <c r="D2728" s="74"/>
      <c r="F2728" s="74"/>
    </row>
    <row r="2729" spans="2:6" x14ac:dyDescent="0.3">
      <c r="B2729" s="74"/>
      <c r="C2729" s="74"/>
      <c r="D2729" s="74"/>
      <c r="F2729" s="74"/>
    </row>
    <row r="2730" spans="2:6" x14ac:dyDescent="0.3">
      <c r="B2730" s="74"/>
      <c r="C2730" s="74"/>
      <c r="D2730" s="74"/>
      <c r="F2730" s="74"/>
    </row>
    <row r="2731" spans="2:6" x14ac:dyDescent="0.3">
      <c r="B2731" s="74"/>
      <c r="C2731" s="74"/>
      <c r="D2731" s="74"/>
      <c r="F2731" s="74"/>
    </row>
    <row r="2732" spans="2:6" x14ac:dyDescent="0.3">
      <c r="B2732" s="74"/>
      <c r="C2732" s="74"/>
      <c r="D2732" s="74"/>
      <c r="F2732" s="74"/>
    </row>
    <row r="2733" spans="2:6" x14ac:dyDescent="0.3">
      <c r="B2733" s="74"/>
      <c r="C2733" s="74"/>
      <c r="D2733" s="74"/>
      <c r="F2733" s="74"/>
    </row>
    <row r="2734" spans="2:6" x14ac:dyDescent="0.3">
      <c r="B2734" s="74"/>
      <c r="C2734" s="74"/>
      <c r="D2734" s="74"/>
      <c r="F2734" s="74"/>
    </row>
    <row r="2735" spans="2:6" x14ac:dyDescent="0.3">
      <c r="B2735" s="74"/>
      <c r="C2735" s="74"/>
      <c r="D2735" s="74"/>
      <c r="F2735" s="74"/>
    </row>
    <row r="2736" spans="2:6" x14ac:dyDescent="0.3">
      <c r="B2736" s="74"/>
      <c r="C2736" s="74"/>
      <c r="D2736" s="74"/>
      <c r="F2736" s="74"/>
    </row>
    <row r="2737" spans="2:6" x14ac:dyDescent="0.3">
      <c r="B2737" s="74"/>
      <c r="C2737" s="74"/>
      <c r="D2737" s="74"/>
      <c r="F2737" s="74"/>
    </row>
    <row r="2738" spans="2:6" x14ac:dyDescent="0.3">
      <c r="B2738" s="74"/>
      <c r="C2738" s="74"/>
      <c r="D2738" s="74"/>
      <c r="F2738" s="74"/>
    </row>
    <row r="2739" spans="2:6" x14ac:dyDescent="0.3">
      <c r="B2739" s="74"/>
      <c r="C2739" s="74"/>
      <c r="D2739" s="74"/>
      <c r="F2739" s="74"/>
    </row>
    <row r="2740" spans="2:6" x14ac:dyDescent="0.3">
      <c r="B2740" s="74"/>
      <c r="C2740" s="74"/>
      <c r="D2740" s="74"/>
      <c r="F2740" s="74"/>
    </row>
    <row r="2741" spans="2:6" x14ac:dyDescent="0.3">
      <c r="B2741" s="74"/>
      <c r="C2741" s="74"/>
      <c r="D2741" s="74"/>
      <c r="F2741" s="74"/>
    </row>
    <row r="2742" spans="2:6" x14ac:dyDescent="0.3">
      <c r="B2742" s="74"/>
      <c r="C2742" s="74"/>
      <c r="D2742" s="74"/>
      <c r="F2742" s="74"/>
    </row>
    <row r="2743" spans="2:6" x14ac:dyDescent="0.3">
      <c r="B2743" s="74"/>
      <c r="C2743" s="74"/>
      <c r="D2743" s="74"/>
      <c r="F2743" s="74"/>
    </row>
    <row r="2744" spans="2:6" x14ac:dyDescent="0.3">
      <c r="B2744" s="74"/>
      <c r="C2744" s="74"/>
      <c r="D2744" s="74"/>
      <c r="F2744" s="74"/>
    </row>
    <row r="2745" spans="2:6" x14ac:dyDescent="0.3">
      <c r="B2745" s="74"/>
      <c r="C2745" s="74"/>
      <c r="D2745" s="74"/>
      <c r="F2745" s="74"/>
    </row>
    <row r="2746" spans="2:6" x14ac:dyDescent="0.3">
      <c r="B2746" s="74"/>
      <c r="C2746" s="74"/>
      <c r="D2746" s="74"/>
      <c r="F2746" s="74"/>
    </row>
    <row r="2747" spans="2:6" x14ac:dyDescent="0.3">
      <c r="B2747" s="74"/>
      <c r="C2747" s="74"/>
      <c r="D2747" s="74"/>
      <c r="F2747" s="74"/>
    </row>
    <row r="2748" spans="2:6" x14ac:dyDescent="0.3">
      <c r="B2748" s="74"/>
      <c r="C2748" s="74"/>
      <c r="D2748" s="74"/>
      <c r="F2748" s="74"/>
    </row>
    <row r="2749" spans="2:6" x14ac:dyDescent="0.3">
      <c r="B2749" s="74"/>
      <c r="C2749" s="74"/>
      <c r="D2749" s="74"/>
      <c r="F2749" s="74"/>
    </row>
    <row r="2750" spans="2:6" x14ac:dyDescent="0.3">
      <c r="B2750" s="74"/>
      <c r="C2750" s="74"/>
      <c r="D2750" s="74"/>
      <c r="F2750" s="74"/>
    </row>
    <row r="2751" spans="2:6" x14ac:dyDescent="0.3">
      <c r="B2751" s="74"/>
      <c r="C2751" s="74"/>
      <c r="D2751" s="74"/>
      <c r="F2751" s="74"/>
    </row>
    <row r="2752" spans="2:6" x14ac:dyDescent="0.3">
      <c r="B2752" s="74"/>
      <c r="C2752" s="74"/>
      <c r="D2752" s="74"/>
      <c r="F2752" s="74"/>
    </row>
    <row r="2753" spans="2:6" x14ac:dyDescent="0.3">
      <c r="B2753" s="74"/>
      <c r="C2753" s="74"/>
      <c r="D2753" s="74"/>
      <c r="F2753" s="74"/>
    </row>
    <row r="2754" spans="2:6" x14ac:dyDescent="0.3">
      <c r="B2754" s="74"/>
      <c r="C2754" s="74"/>
      <c r="D2754" s="74"/>
      <c r="F2754" s="74"/>
    </row>
    <row r="2755" spans="2:6" x14ac:dyDescent="0.3">
      <c r="B2755" s="74"/>
      <c r="C2755" s="74"/>
      <c r="D2755" s="74"/>
      <c r="F2755" s="74"/>
    </row>
    <row r="2756" spans="2:6" x14ac:dyDescent="0.3">
      <c r="B2756" s="74"/>
      <c r="C2756" s="74"/>
      <c r="D2756" s="74"/>
      <c r="F2756" s="74"/>
    </row>
    <row r="2757" spans="2:6" x14ac:dyDescent="0.3">
      <c r="B2757" s="74"/>
      <c r="C2757" s="74"/>
      <c r="D2757" s="74"/>
      <c r="F2757" s="74"/>
    </row>
    <row r="2758" spans="2:6" x14ac:dyDescent="0.3">
      <c r="B2758" s="74"/>
      <c r="C2758" s="74"/>
      <c r="D2758" s="74"/>
      <c r="F2758" s="74"/>
    </row>
    <row r="2759" spans="2:6" x14ac:dyDescent="0.3">
      <c r="B2759" s="74"/>
      <c r="C2759" s="74"/>
      <c r="D2759" s="74"/>
      <c r="F2759" s="74"/>
    </row>
    <row r="2760" spans="2:6" x14ac:dyDescent="0.3">
      <c r="B2760" s="74"/>
      <c r="C2760" s="74"/>
      <c r="D2760" s="74"/>
      <c r="F2760" s="74"/>
    </row>
    <row r="2761" spans="2:6" x14ac:dyDescent="0.3">
      <c r="B2761" s="74"/>
      <c r="C2761" s="74"/>
      <c r="D2761" s="74"/>
      <c r="F2761" s="74"/>
    </row>
    <row r="2762" spans="2:6" x14ac:dyDescent="0.3">
      <c r="B2762" s="74"/>
      <c r="C2762" s="74"/>
      <c r="D2762" s="74"/>
      <c r="F2762" s="74"/>
    </row>
    <row r="2763" spans="2:6" x14ac:dyDescent="0.3">
      <c r="B2763" s="74"/>
      <c r="C2763" s="74"/>
      <c r="D2763" s="74"/>
      <c r="F2763" s="74"/>
    </row>
    <row r="2764" spans="2:6" x14ac:dyDescent="0.3">
      <c r="B2764" s="74"/>
      <c r="C2764" s="74"/>
      <c r="D2764" s="74"/>
      <c r="F2764" s="74"/>
    </row>
    <row r="2765" spans="2:6" x14ac:dyDescent="0.3">
      <c r="B2765" s="74"/>
      <c r="C2765" s="74"/>
      <c r="D2765" s="74"/>
      <c r="F2765" s="74"/>
    </row>
    <row r="2766" spans="2:6" x14ac:dyDescent="0.3">
      <c r="B2766" s="74"/>
      <c r="C2766" s="74"/>
      <c r="D2766" s="74"/>
      <c r="F2766" s="74"/>
    </row>
    <row r="2767" spans="2:6" x14ac:dyDescent="0.3">
      <c r="B2767" s="74"/>
      <c r="C2767" s="74"/>
      <c r="D2767" s="74"/>
      <c r="F2767" s="74"/>
    </row>
    <row r="2768" spans="2:6" x14ac:dyDescent="0.3">
      <c r="B2768" s="74"/>
      <c r="C2768" s="74"/>
      <c r="D2768" s="74"/>
      <c r="F2768" s="74"/>
    </row>
    <row r="2769" spans="2:6" x14ac:dyDescent="0.3">
      <c r="B2769" s="74"/>
      <c r="C2769" s="74"/>
      <c r="D2769" s="74"/>
      <c r="F2769" s="74"/>
    </row>
    <row r="2770" spans="2:6" x14ac:dyDescent="0.3">
      <c r="B2770" s="74"/>
      <c r="C2770" s="74"/>
      <c r="D2770" s="74"/>
      <c r="F2770" s="74"/>
    </row>
    <row r="2771" spans="2:6" x14ac:dyDescent="0.3">
      <c r="B2771" s="74"/>
      <c r="C2771" s="74"/>
      <c r="D2771" s="74"/>
      <c r="F2771" s="74"/>
    </row>
    <row r="2772" spans="2:6" x14ac:dyDescent="0.3">
      <c r="B2772" s="74"/>
      <c r="C2772" s="74"/>
      <c r="D2772" s="74"/>
      <c r="F2772" s="74"/>
    </row>
    <row r="2773" spans="2:6" x14ac:dyDescent="0.3">
      <c r="B2773" s="74"/>
      <c r="C2773" s="74"/>
      <c r="D2773" s="74"/>
      <c r="F2773" s="74"/>
    </row>
    <row r="2774" spans="2:6" x14ac:dyDescent="0.3">
      <c r="B2774" s="74"/>
      <c r="C2774" s="74"/>
      <c r="D2774" s="74"/>
      <c r="F2774" s="74"/>
    </row>
    <row r="2775" spans="2:6" x14ac:dyDescent="0.3">
      <c r="B2775" s="74"/>
      <c r="C2775" s="74"/>
      <c r="D2775" s="74"/>
      <c r="F2775" s="74"/>
    </row>
    <row r="2776" spans="2:6" x14ac:dyDescent="0.3">
      <c r="B2776" s="74"/>
      <c r="C2776" s="74"/>
      <c r="D2776" s="74"/>
      <c r="F2776" s="74"/>
    </row>
    <row r="2777" spans="2:6" x14ac:dyDescent="0.3">
      <c r="B2777" s="74"/>
      <c r="C2777" s="74"/>
      <c r="D2777" s="74"/>
      <c r="F2777" s="74"/>
    </row>
    <row r="2778" spans="2:6" x14ac:dyDescent="0.3">
      <c r="B2778" s="74"/>
      <c r="C2778" s="74"/>
      <c r="D2778" s="74"/>
      <c r="F2778" s="74"/>
    </row>
    <row r="2779" spans="2:6" x14ac:dyDescent="0.3">
      <c r="B2779" s="74"/>
      <c r="C2779" s="74"/>
      <c r="D2779" s="74"/>
      <c r="F2779" s="74"/>
    </row>
    <row r="2780" spans="2:6" x14ac:dyDescent="0.3">
      <c r="B2780" s="74"/>
      <c r="C2780" s="74"/>
      <c r="D2780" s="74"/>
    </row>
    <row r="2781" spans="2:6" x14ac:dyDescent="0.3">
      <c r="B2781" s="74"/>
      <c r="C2781" s="74"/>
      <c r="D2781" s="74"/>
    </row>
    <row r="2782" spans="2:6" x14ac:dyDescent="0.3">
      <c r="B2782" s="74"/>
      <c r="C2782" s="74"/>
      <c r="D2782" s="74"/>
    </row>
    <row r="2783" spans="2:6" x14ac:dyDescent="0.3">
      <c r="B2783" s="74"/>
      <c r="C2783" s="74"/>
      <c r="D2783" s="74"/>
    </row>
    <row r="2784" spans="2:6" x14ac:dyDescent="0.3">
      <c r="B2784" s="74"/>
      <c r="C2784" s="74"/>
      <c r="D2784" s="74"/>
    </row>
    <row r="2785" spans="2:4" x14ac:dyDescent="0.3">
      <c r="B2785" s="74"/>
      <c r="C2785" s="74"/>
      <c r="D2785" s="74"/>
    </row>
    <row r="2786" spans="2:4" x14ac:dyDescent="0.3">
      <c r="B2786" s="74"/>
      <c r="C2786" s="74"/>
      <c r="D2786" s="74"/>
    </row>
    <row r="2787" spans="2:4" x14ac:dyDescent="0.3">
      <c r="B2787" s="74"/>
      <c r="C2787" s="74"/>
      <c r="D2787" s="74"/>
    </row>
    <row r="2788" spans="2:4" x14ac:dyDescent="0.3">
      <c r="B2788" s="74"/>
      <c r="C2788" s="74"/>
      <c r="D2788" s="74"/>
    </row>
    <row r="2789" spans="2:4" x14ac:dyDescent="0.3">
      <c r="B2789" s="74"/>
      <c r="C2789" s="74"/>
      <c r="D2789" s="74"/>
    </row>
    <row r="2790" spans="2:4" x14ac:dyDescent="0.3">
      <c r="B2790" s="74"/>
      <c r="C2790" s="74"/>
      <c r="D2790" s="74"/>
    </row>
    <row r="2791" spans="2:4" x14ac:dyDescent="0.3">
      <c r="B2791" s="74"/>
      <c r="C2791" s="74"/>
      <c r="D2791" s="74"/>
    </row>
    <row r="2792" spans="2:4" x14ac:dyDescent="0.3">
      <c r="B2792" s="74"/>
      <c r="C2792" s="74"/>
      <c r="D2792" s="74"/>
    </row>
    <row r="2793" spans="2:4" x14ac:dyDescent="0.3">
      <c r="B2793" s="74"/>
      <c r="C2793" s="74"/>
      <c r="D2793" s="74"/>
    </row>
    <row r="2794" spans="2:4" x14ac:dyDescent="0.3">
      <c r="B2794" s="74"/>
      <c r="C2794" s="74"/>
      <c r="D2794" s="74"/>
    </row>
    <row r="2795" spans="2:4" x14ac:dyDescent="0.3">
      <c r="B2795" s="74"/>
      <c r="C2795" s="74"/>
      <c r="D2795" s="74"/>
    </row>
    <row r="2796" spans="2:4" x14ac:dyDescent="0.3">
      <c r="B2796" s="74"/>
      <c r="C2796" s="74"/>
      <c r="D2796" s="74"/>
    </row>
    <row r="2797" spans="2:4" x14ac:dyDescent="0.3">
      <c r="B2797" s="74"/>
      <c r="C2797" s="74"/>
      <c r="D2797" s="74"/>
    </row>
    <row r="2798" spans="2:4" x14ac:dyDescent="0.3">
      <c r="B2798" s="74"/>
      <c r="C2798" s="74"/>
      <c r="D2798" s="74"/>
    </row>
    <row r="2799" spans="2:4" x14ac:dyDescent="0.3">
      <c r="B2799" s="74"/>
      <c r="C2799" s="74"/>
      <c r="D2799" s="74"/>
    </row>
    <row r="2800" spans="2:4" x14ac:dyDescent="0.3">
      <c r="B2800" s="74"/>
      <c r="C2800" s="74"/>
      <c r="D2800" s="74"/>
    </row>
    <row r="2801" spans="2:4" x14ac:dyDescent="0.3">
      <c r="B2801" s="74"/>
      <c r="C2801" s="74"/>
      <c r="D2801" s="74"/>
    </row>
    <row r="2802" spans="2:4" x14ac:dyDescent="0.3">
      <c r="B2802" s="74"/>
      <c r="C2802" s="74"/>
      <c r="D2802" s="74"/>
    </row>
    <row r="2803" spans="2:4" x14ac:dyDescent="0.3">
      <c r="B2803" s="74"/>
      <c r="C2803" s="74"/>
      <c r="D2803" s="74"/>
    </row>
    <row r="2804" spans="2:4" x14ac:dyDescent="0.3">
      <c r="B2804" s="74"/>
      <c r="C2804" s="74"/>
      <c r="D2804" s="74"/>
    </row>
    <row r="2805" spans="2:4" x14ac:dyDescent="0.3">
      <c r="B2805" s="74"/>
      <c r="C2805" s="74"/>
      <c r="D2805" s="74"/>
    </row>
    <row r="2806" spans="2:4" x14ac:dyDescent="0.3">
      <c r="B2806" s="74"/>
      <c r="C2806" s="74"/>
      <c r="D2806" s="74"/>
    </row>
    <row r="2807" spans="2:4" x14ac:dyDescent="0.3">
      <c r="B2807" s="74"/>
      <c r="C2807" s="74"/>
      <c r="D2807" s="74"/>
    </row>
    <row r="2808" spans="2:4" x14ac:dyDescent="0.3">
      <c r="B2808" s="74"/>
      <c r="C2808" s="74"/>
      <c r="D2808" s="74"/>
    </row>
    <row r="2809" spans="2:4" x14ac:dyDescent="0.3">
      <c r="B2809" s="74"/>
      <c r="C2809" s="74"/>
      <c r="D2809" s="74"/>
    </row>
    <row r="2810" spans="2:4" x14ac:dyDescent="0.3">
      <c r="B2810" s="74"/>
      <c r="C2810" s="74"/>
      <c r="D2810" s="74"/>
    </row>
    <row r="2811" spans="2:4" x14ac:dyDescent="0.3">
      <c r="B2811" s="74"/>
      <c r="C2811" s="74"/>
      <c r="D2811" s="74"/>
    </row>
    <row r="2812" spans="2:4" x14ac:dyDescent="0.3">
      <c r="B2812" s="74"/>
      <c r="C2812" s="74"/>
      <c r="D2812" s="74"/>
    </row>
    <row r="2813" spans="2:4" x14ac:dyDescent="0.3">
      <c r="B2813" s="74"/>
      <c r="C2813" s="74"/>
      <c r="D2813" s="74"/>
    </row>
    <row r="2814" spans="2:4" x14ac:dyDescent="0.3">
      <c r="B2814" s="74"/>
      <c r="C2814" s="74"/>
      <c r="D2814" s="74"/>
    </row>
    <row r="2815" spans="2:4" x14ac:dyDescent="0.3">
      <c r="B2815" s="74"/>
      <c r="C2815" s="74"/>
      <c r="D2815" s="74"/>
    </row>
    <row r="2816" spans="2:4" x14ac:dyDescent="0.3">
      <c r="B2816" s="74"/>
      <c r="C2816" s="74"/>
      <c r="D2816" s="74"/>
    </row>
    <row r="2817" spans="2:4" x14ac:dyDescent="0.3">
      <c r="B2817" s="74"/>
      <c r="C2817" s="74"/>
      <c r="D2817" s="74"/>
    </row>
    <row r="2818" spans="2:4" x14ac:dyDescent="0.3">
      <c r="B2818" s="74"/>
      <c r="C2818" s="74"/>
      <c r="D2818" s="74"/>
    </row>
    <row r="2819" spans="2:4" x14ac:dyDescent="0.3">
      <c r="B2819" s="74"/>
      <c r="C2819" s="74"/>
      <c r="D2819" s="74"/>
    </row>
    <row r="2820" spans="2:4" x14ac:dyDescent="0.3">
      <c r="B2820" s="74"/>
      <c r="C2820" s="74"/>
      <c r="D2820" s="74"/>
    </row>
    <row r="2821" spans="2:4" x14ac:dyDescent="0.3">
      <c r="B2821" s="74"/>
      <c r="C2821" s="74"/>
      <c r="D2821" s="74"/>
    </row>
    <row r="2822" spans="2:4" x14ac:dyDescent="0.3">
      <c r="B2822" s="74"/>
      <c r="C2822" s="74"/>
      <c r="D2822" s="74"/>
    </row>
    <row r="2823" spans="2:4" x14ac:dyDescent="0.3">
      <c r="B2823" s="74"/>
      <c r="C2823" s="74"/>
      <c r="D2823" s="74"/>
    </row>
    <row r="2824" spans="2:4" x14ac:dyDescent="0.3">
      <c r="B2824" s="74"/>
      <c r="C2824" s="74"/>
      <c r="D2824" s="74"/>
    </row>
    <row r="2825" spans="2:4" x14ac:dyDescent="0.3">
      <c r="B2825" s="74"/>
      <c r="C2825" s="74"/>
      <c r="D2825" s="74"/>
    </row>
    <row r="2826" spans="2:4" x14ac:dyDescent="0.3">
      <c r="B2826" s="74"/>
      <c r="C2826" s="74"/>
      <c r="D2826" s="74"/>
    </row>
    <row r="2827" spans="2:4" x14ac:dyDescent="0.3">
      <c r="B2827" s="74"/>
      <c r="C2827" s="74"/>
      <c r="D2827" s="74"/>
    </row>
    <row r="2828" spans="2:4" x14ac:dyDescent="0.3">
      <c r="B2828" s="74"/>
      <c r="C2828" s="74"/>
      <c r="D2828" s="74"/>
    </row>
    <row r="2829" spans="2:4" x14ac:dyDescent="0.3">
      <c r="B2829" s="74"/>
      <c r="C2829" s="74"/>
      <c r="D2829" s="74"/>
    </row>
    <row r="2830" spans="2:4" x14ac:dyDescent="0.3">
      <c r="B2830" s="74"/>
      <c r="C2830" s="74"/>
      <c r="D2830" s="74"/>
    </row>
    <row r="2831" spans="2:4" x14ac:dyDescent="0.3">
      <c r="B2831" s="74"/>
      <c r="C2831" s="74"/>
      <c r="D2831" s="74"/>
    </row>
    <row r="2832" spans="2:4" x14ac:dyDescent="0.3">
      <c r="B2832" s="74"/>
      <c r="C2832" s="74"/>
      <c r="D2832" s="74"/>
    </row>
    <row r="2833" spans="2:4" x14ac:dyDescent="0.3">
      <c r="B2833" s="74"/>
      <c r="C2833" s="74"/>
      <c r="D2833" s="74"/>
    </row>
    <row r="2834" spans="2:4" x14ac:dyDescent="0.3">
      <c r="B2834" s="74"/>
      <c r="C2834" s="74"/>
      <c r="D2834" s="74"/>
    </row>
    <row r="2835" spans="2:4" x14ac:dyDescent="0.3">
      <c r="B2835" s="74"/>
      <c r="C2835" s="74"/>
      <c r="D2835" s="74"/>
    </row>
    <row r="2836" spans="2:4" x14ac:dyDescent="0.3">
      <c r="B2836" s="74"/>
      <c r="C2836" s="74"/>
      <c r="D2836" s="74"/>
    </row>
    <row r="2837" spans="2:4" x14ac:dyDescent="0.3">
      <c r="B2837" s="74"/>
      <c r="C2837" s="74"/>
      <c r="D2837" s="74"/>
    </row>
    <row r="2838" spans="2:4" x14ac:dyDescent="0.3">
      <c r="B2838" s="74"/>
      <c r="C2838" s="74"/>
      <c r="D2838" s="74"/>
    </row>
    <row r="2839" spans="2:4" x14ac:dyDescent="0.3">
      <c r="B2839" s="74"/>
      <c r="C2839" s="74"/>
      <c r="D2839" s="74"/>
    </row>
    <row r="2840" spans="2:4" x14ac:dyDescent="0.3">
      <c r="B2840" s="74"/>
      <c r="C2840" s="74"/>
      <c r="D2840" s="74"/>
    </row>
    <row r="2841" spans="2:4" x14ac:dyDescent="0.3">
      <c r="B2841" s="74"/>
      <c r="C2841" s="74"/>
      <c r="D2841" s="74"/>
    </row>
    <row r="2842" spans="2:4" x14ac:dyDescent="0.3">
      <c r="B2842" s="74"/>
      <c r="C2842" s="74"/>
      <c r="D2842" s="74"/>
    </row>
    <row r="2843" spans="2:4" x14ac:dyDescent="0.3">
      <c r="B2843" s="74"/>
      <c r="C2843" s="74"/>
      <c r="D2843" s="74"/>
    </row>
    <row r="2844" spans="2:4" x14ac:dyDescent="0.3">
      <c r="B2844" s="74"/>
      <c r="C2844" s="74"/>
      <c r="D2844" s="74"/>
    </row>
    <row r="2845" spans="2:4" x14ac:dyDescent="0.3">
      <c r="B2845" s="74"/>
      <c r="C2845" s="74"/>
      <c r="D2845" s="74"/>
    </row>
    <row r="2846" spans="2:4" x14ac:dyDescent="0.3">
      <c r="B2846" s="74"/>
      <c r="C2846" s="74"/>
      <c r="D2846" s="74"/>
    </row>
    <row r="2847" spans="2:4" x14ac:dyDescent="0.3">
      <c r="B2847" s="74"/>
      <c r="C2847" s="74"/>
      <c r="D2847" s="74"/>
    </row>
    <row r="2848" spans="2:4" x14ac:dyDescent="0.3">
      <c r="B2848" s="74"/>
      <c r="C2848" s="74"/>
      <c r="D2848" s="74"/>
    </row>
    <row r="2849" spans="2:4" x14ac:dyDescent="0.3">
      <c r="B2849" s="74"/>
      <c r="C2849" s="74"/>
      <c r="D2849" s="74"/>
    </row>
    <row r="2850" spans="2:4" x14ac:dyDescent="0.3">
      <c r="B2850" s="74"/>
      <c r="C2850" s="74"/>
      <c r="D2850" s="74"/>
    </row>
    <row r="2851" spans="2:4" x14ac:dyDescent="0.3">
      <c r="B2851" s="74"/>
      <c r="C2851" s="74"/>
      <c r="D2851" s="74"/>
    </row>
    <row r="2852" spans="2:4" x14ac:dyDescent="0.3">
      <c r="B2852" s="74"/>
      <c r="C2852" s="74"/>
      <c r="D2852" s="74"/>
    </row>
    <row r="2853" spans="2:4" x14ac:dyDescent="0.3">
      <c r="B2853" s="74"/>
      <c r="C2853" s="74"/>
      <c r="D2853" s="74"/>
    </row>
    <row r="2854" spans="2:4" x14ac:dyDescent="0.3">
      <c r="B2854" s="74"/>
      <c r="C2854" s="74"/>
      <c r="D2854" s="74"/>
    </row>
    <row r="2855" spans="2:4" x14ac:dyDescent="0.3">
      <c r="B2855" s="74"/>
      <c r="C2855" s="74"/>
      <c r="D2855" s="74"/>
    </row>
    <row r="2856" spans="2:4" x14ac:dyDescent="0.3">
      <c r="B2856" s="74"/>
      <c r="C2856" s="74"/>
      <c r="D2856" s="74"/>
    </row>
    <row r="2857" spans="2:4" x14ac:dyDescent="0.3">
      <c r="B2857" s="74"/>
      <c r="C2857" s="74"/>
      <c r="D2857" s="74"/>
    </row>
    <row r="2858" spans="2:4" x14ac:dyDescent="0.3">
      <c r="B2858" s="74"/>
      <c r="C2858" s="74"/>
      <c r="D2858" s="74"/>
    </row>
    <row r="2859" spans="2:4" x14ac:dyDescent="0.3">
      <c r="B2859" s="74"/>
      <c r="C2859" s="74"/>
      <c r="D2859" s="74"/>
    </row>
    <row r="2860" spans="2:4" x14ac:dyDescent="0.3">
      <c r="B2860" s="74"/>
      <c r="C2860" s="74"/>
      <c r="D2860" s="74"/>
    </row>
    <row r="2861" spans="2:4" x14ac:dyDescent="0.3">
      <c r="B2861" s="74"/>
      <c r="C2861" s="74"/>
      <c r="D2861" s="74"/>
    </row>
    <row r="2862" spans="2:4" x14ac:dyDescent="0.3">
      <c r="B2862" s="74"/>
      <c r="C2862" s="74"/>
      <c r="D2862" s="74"/>
    </row>
    <row r="2863" spans="2:4" x14ac:dyDescent="0.3">
      <c r="B2863" s="74"/>
      <c r="C2863" s="74"/>
      <c r="D2863" s="74"/>
    </row>
    <row r="2864" spans="2:4" x14ac:dyDescent="0.3">
      <c r="B2864" s="74"/>
      <c r="C2864" s="74"/>
      <c r="D2864" s="74"/>
    </row>
    <row r="2865" spans="2:4" x14ac:dyDescent="0.3">
      <c r="B2865" s="74"/>
      <c r="C2865" s="74"/>
      <c r="D2865" s="74"/>
    </row>
    <row r="2866" spans="2:4" x14ac:dyDescent="0.3">
      <c r="B2866" s="74"/>
      <c r="C2866" s="74"/>
      <c r="D2866" s="74"/>
    </row>
    <row r="2867" spans="2:4" x14ac:dyDescent="0.3">
      <c r="B2867" s="74"/>
      <c r="C2867" s="74"/>
      <c r="D2867" s="74"/>
    </row>
    <row r="2868" spans="2:4" x14ac:dyDescent="0.3">
      <c r="B2868" s="74"/>
      <c r="C2868" s="74"/>
      <c r="D2868" s="74"/>
    </row>
    <row r="2869" spans="2:4" x14ac:dyDescent="0.3">
      <c r="B2869" s="74"/>
      <c r="C2869" s="74"/>
      <c r="D2869" s="74"/>
    </row>
    <row r="2870" spans="2:4" x14ac:dyDescent="0.3">
      <c r="B2870" s="74"/>
      <c r="C2870" s="74"/>
      <c r="D2870" s="74"/>
    </row>
    <row r="2871" spans="2:4" x14ac:dyDescent="0.3">
      <c r="B2871" s="74"/>
      <c r="C2871" s="74"/>
      <c r="D2871" s="74"/>
    </row>
    <row r="2872" spans="2:4" x14ac:dyDescent="0.3">
      <c r="B2872" s="74"/>
      <c r="C2872" s="74"/>
      <c r="D2872" s="74"/>
    </row>
    <row r="2873" spans="2:4" x14ac:dyDescent="0.3">
      <c r="B2873" s="74"/>
      <c r="C2873" s="74"/>
      <c r="D2873" s="74"/>
    </row>
    <row r="2874" spans="2:4" x14ac:dyDescent="0.3">
      <c r="B2874" s="74"/>
      <c r="C2874" s="74"/>
      <c r="D2874" s="74"/>
    </row>
    <row r="2875" spans="2:4" x14ac:dyDescent="0.3">
      <c r="B2875" s="74"/>
      <c r="C2875" s="74"/>
      <c r="D2875" s="74"/>
    </row>
    <row r="2876" spans="2:4" x14ac:dyDescent="0.3">
      <c r="B2876" s="74"/>
      <c r="C2876" s="74"/>
      <c r="D2876" s="74"/>
    </row>
    <row r="2877" spans="2:4" x14ac:dyDescent="0.3">
      <c r="B2877" s="74"/>
      <c r="C2877" s="74"/>
      <c r="D2877" s="74"/>
    </row>
    <row r="2878" spans="2:4" x14ac:dyDescent="0.3">
      <c r="B2878" s="74"/>
      <c r="C2878" s="74"/>
      <c r="D2878" s="74"/>
    </row>
    <row r="2879" spans="2:4" x14ac:dyDescent="0.3">
      <c r="B2879" s="74"/>
      <c r="C2879" s="74"/>
      <c r="D2879" s="74"/>
    </row>
    <row r="2880" spans="2:4" x14ac:dyDescent="0.3">
      <c r="B2880" s="74"/>
      <c r="C2880" s="74"/>
      <c r="D2880" s="74"/>
    </row>
    <row r="2881" spans="2:4" x14ac:dyDescent="0.3">
      <c r="B2881" s="74"/>
      <c r="C2881" s="74"/>
      <c r="D2881" s="74"/>
    </row>
    <row r="2882" spans="2:4" x14ac:dyDescent="0.3">
      <c r="B2882" s="74"/>
      <c r="C2882" s="74"/>
      <c r="D2882" s="74"/>
    </row>
    <row r="2883" spans="2:4" x14ac:dyDescent="0.3">
      <c r="B2883" s="74"/>
      <c r="C2883" s="74"/>
      <c r="D2883" s="74"/>
    </row>
    <row r="2884" spans="2:4" x14ac:dyDescent="0.3">
      <c r="B2884" s="74"/>
      <c r="C2884" s="74"/>
      <c r="D2884" s="74"/>
    </row>
    <row r="2885" spans="2:4" x14ac:dyDescent="0.3">
      <c r="B2885" s="74"/>
      <c r="C2885" s="74"/>
      <c r="D2885" s="74"/>
    </row>
    <row r="2886" spans="2:4" x14ac:dyDescent="0.3">
      <c r="B2886" s="74"/>
      <c r="C2886" s="74"/>
      <c r="D2886" s="74"/>
    </row>
    <row r="2887" spans="2:4" x14ac:dyDescent="0.3">
      <c r="B2887" s="74"/>
      <c r="C2887" s="74"/>
      <c r="D2887" s="74"/>
    </row>
    <row r="2888" spans="2:4" x14ac:dyDescent="0.3">
      <c r="B2888" s="74"/>
      <c r="C2888" s="74"/>
      <c r="D2888" s="74"/>
    </row>
    <row r="2889" spans="2:4" x14ac:dyDescent="0.3">
      <c r="B2889" s="74"/>
      <c r="C2889" s="74"/>
      <c r="D2889" s="74"/>
    </row>
    <row r="2890" spans="2:4" x14ac:dyDescent="0.3">
      <c r="B2890" s="74"/>
      <c r="C2890" s="74"/>
      <c r="D2890" s="74"/>
    </row>
    <row r="2891" spans="2:4" x14ac:dyDescent="0.3">
      <c r="B2891" s="74"/>
      <c r="C2891" s="74"/>
      <c r="D2891" s="74"/>
    </row>
    <row r="2892" spans="2:4" x14ac:dyDescent="0.3">
      <c r="B2892" s="74"/>
      <c r="C2892" s="74"/>
      <c r="D2892" s="74"/>
    </row>
    <row r="2893" spans="2:4" x14ac:dyDescent="0.3">
      <c r="B2893" s="74"/>
      <c r="C2893" s="74"/>
      <c r="D2893" s="74"/>
    </row>
    <row r="2894" spans="2:4" x14ac:dyDescent="0.3">
      <c r="B2894" s="74"/>
      <c r="C2894" s="74"/>
      <c r="D2894" s="74"/>
    </row>
    <row r="2895" spans="2:4" x14ac:dyDescent="0.3">
      <c r="B2895" s="74"/>
      <c r="C2895" s="74"/>
      <c r="D2895" s="74"/>
    </row>
    <row r="2896" spans="2:4" x14ac:dyDescent="0.3">
      <c r="B2896" s="74"/>
      <c r="C2896" s="74"/>
      <c r="D2896" s="74"/>
    </row>
    <row r="2897" spans="2:4" x14ac:dyDescent="0.3">
      <c r="B2897" s="74"/>
      <c r="C2897" s="74"/>
      <c r="D2897" s="74"/>
    </row>
    <row r="2898" spans="2:4" x14ac:dyDescent="0.3">
      <c r="B2898" s="74"/>
      <c r="C2898" s="74"/>
      <c r="D2898" s="74"/>
    </row>
    <row r="2899" spans="2:4" x14ac:dyDescent="0.3">
      <c r="B2899" s="74"/>
      <c r="C2899" s="74"/>
      <c r="D2899" s="74"/>
    </row>
    <row r="2900" spans="2:4" x14ac:dyDescent="0.3">
      <c r="B2900" s="74"/>
      <c r="C2900" s="74"/>
      <c r="D2900" s="74"/>
    </row>
    <row r="2901" spans="2:4" x14ac:dyDescent="0.3">
      <c r="B2901" s="74"/>
      <c r="C2901" s="74"/>
      <c r="D2901" s="74"/>
    </row>
    <row r="2902" spans="2:4" x14ac:dyDescent="0.3">
      <c r="B2902" s="74"/>
      <c r="C2902" s="74"/>
      <c r="D2902" s="74"/>
    </row>
    <row r="2903" spans="2:4" x14ac:dyDescent="0.3">
      <c r="B2903" s="74"/>
      <c r="C2903" s="74"/>
      <c r="D2903" s="74"/>
    </row>
    <row r="2904" spans="2:4" x14ac:dyDescent="0.3">
      <c r="B2904" s="74"/>
      <c r="C2904" s="74"/>
      <c r="D2904" s="74"/>
    </row>
    <row r="2905" spans="2:4" x14ac:dyDescent="0.3">
      <c r="B2905" s="74"/>
      <c r="C2905" s="74"/>
      <c r="D2905" s="74"/>
    </row>
    <row r="2906" spans="2:4" x14ac:dyDescent="0.3">
      <c r="B2906" s="74"/>
      <c r="C2906" s="74"/>
      <c r="D2906" s="74"/>
    </row>
    <row r="2907" spans="2:4" x14ac:dyDescent="0.3">
      <c r="B2907" s="74"/>
      <c r="C2907" s="74"/>
      <c r="D2907" s="74"/>
    </row>
    <row r="2908" spans="2:4" x14ac:dyDescent="0.3">
      <c r="B2908" s="74"/>
      <c r="C2908" s="74"/>
      <c r="D2908" s="74"/>
    </row>
    <row r="2909" spans="2:4" x14ac:dyDescent="0.3">
      <c r="B2909" s="74"/>
      <c r="C2909" s="74"/>
      <c r="D2909" s="74"/>
    </row>
    <row r="2910" spans="2:4" x14ac:dyDescent="0.3">
      <c r="B2910" s="74"/>
      <c r="C2910" s="74"/>
      <c r="D2910" s="74"/>
    </row>
    <row r="2911" spans="2:4" x14ac:dyDescent="0.3">
      <c r="B2911" s="74"/>
      <c r="C2911" s="74"/>
      <c r="D2911" s="74"/>
    </row>
    <row r="2912" spans="2:4" x14ac:dyDescent="0.3">
      <c r="B2912" s="74"/>
      <c r="C2912" s="74"/>
      <c r="D2912" s="74"/>
    </row>
    <row r="2913" spans="2:4" x14ac:dyDescent="0.3">
      <c r="B2913" s="74"/>
      <c r="C2913" s="74"/>
      <c r="D2913" s="74"/>
    </row>
    <row r="2914" spans="2:4" x14ac:dyDescent="0.3">
      <c r="B2914" s="74"/>
      <c r="C2914" s="74"/>
      <c r="D2914" s="74"/>
    </row>
    <row r="2915" spans="2:4" x14ac:dyDescent="0.3">
      <c r="B2915" s="74"/>
      <c r="C2915" s="74"/>
      <c r="D2915" s="74"/>
    </row>
    <row r="2916" spans="2:4" x14ac:dyDescent="0.3">
      <c r="B2916" s="74"/>
      <c r="C2916" s="74"/>
      <c r="D2916" s="74"/>
    </row>
    <row r="2917" spans="2:4" x14ac:dyDescent="0.3">
      <c r="B2917" s="74"/>
      <c r="C2917" s="74"/>
      <c r="D2917" s="74"/>
    </row>
    <row r="2918" spans="2:4" x14ac:dyDescent="0.3">
      <c r="B2918" s="74"/>
      <c r="C2918" s="74"/>
      <c r="D2918" s="74"/>
    </row>
    <row r="2919" spans="2:4" x14ac:dyDescent="0.3">
      <c r="B2919" s="74"/>
      <c r="C2919" s="74"/>
      <c r="D2919" s="74"/>
    </row>
    <row r="2920" spans="2:4" x14ac:dyDescent="0.3">
      <c r="B2920" s="74"/>
      <c r="C2920" s="74"/>
      <c r="D2920" s="74"/>
    </row>
    <row r="2921" spans="2:4" x14ac:dyDescent="0.3">
      <c r="B2921" s="74"/>
      <c r="C2921" s="74"/>
      <c r="D2921" s="74"/>
    </row>
    <row r="2922" spans="2:4" x14ac:dyDescent="0.3">
      <c r="B2922" s="74"/>
      <c r="C2922" s="74"/>
      <c r="D2922" s="74"/>
    </row>
    <row r="2923" spans="2:4" x14ac:dyDescent="0.3">
      <c r="B2923" s="74"/>
      <c r="C2923" s="74"/>
      <c r="D2923" s="74"/>
    </row>
    <row r="2924" spans="2:4" x14ac:dyDescent="0.3">
      <c r="B2924" s="74"/>
      <c r="C2924" s="74"/>
      <c r="D2924" s="74"/>
    </row>
    <row r="2925" spans="2:4" x14ac:dyDescent="0.3">
      <c r="B2925" s="74"/>
      <c r="C2925" s="74"/>
      <c r="D2925" s="74"/>
    </row>
    <row r="2926" spans="2:4" x14ac:dyDescent="0.3">
      <c r="B2926" s="74"/>
      <c r="C2926" s="74"/>
      <c r="D2926" s="74"/>
    </row>
    <row r="2927" spans="2:4" x14ac:dyDescent="0.3">
      <c r="B2927" s="74"/>
      <c r="C2927" s="74"/>
      <c r="D2927" s="74"/>
    </row>
    <row r="2928" spans="2:4" x14ac:dyDescent="0.3">
      <c r="B2928" s="74"/>
      <c r="C2928" s="74"/>
      <c r="D2928" s="74"/>
    </row>
    <row r="2929" spans="2:4" x14ac:dyDescent="0.3">
      <c r="B2929" s="74"/>
      <c r="C2929" s="74"/>
      <c r="D2929" s="74"/>
    </row>
    <row r="2930" spans="2:4" x14ac:dyDescent="0.3">
      <c r="B2930" s="74"/>
      <c r="C2930" s="74"/>
      <c r="D2930" s="74"/>
    </row>
    <row r="2931" spans="2:4" x14ac:dyDescent="0.3">
      <c r="B2931" s="74"/>
      <c r="C2931" s="74"/>
      <c r="D2931" s="74"/>
    </row>
    <row r="2932" spans="2:4" x14ac:dyDescent="0.3">
      <c r="B2932" s="74"/>
      <c r="C2932" s="74"/>
      <c r="D2932" s="74"/>
    </row>
    <row r="2933" spans="2:4" x14ac:dyDescent="0.3">
      <c r="B2933" s="74"/>
      <c r="C2933" s="74"/>
      <c r="D2933" s="74"/>
    </row>
    <row r="2934" spans="2:4" x14ac:dyDescent="0.3">
      <c r="B2934" s="74"/>
      <c r="C2934" s="74"/>
      <c r="D2934" s="74"/>
    </row>
    <row r="2935" spans="2:4" x14ac:dyDescent="0.3">
      <c r="B2935" s="74"/>
      <c r="C2935" s="74"/>
      <c r="D2935" s="74"/>
    </row>
    <row r="2936" spans="2:4" x14ac:dyDescent="0.3">
      <c r="B2936" s="74"/>
      <c r="C2936" s="74"/>
      <c r="D2936" s="74"/>
    </row>
    <row r="2937" spans="2:4" x14ac:dyDescent="0.3">
      <c r="B2937" s="74"/>
      <c r="C2937" s="74"/>
      <c r="D2937" s="74"/>
    </row>
    <row r="2938" spans="2:4" x14ac:dyDescent="0.3">
      <c r="B2938" s="74"/>
      <c r="C2938" s="74"/>
      <c r="D2938" s="74"/>
    </row>
    <row r="2939" spans="2:4" x14ac:dyDescent="0.3">
      <c r="B2939" s="74"/>
      <c r="C2939" s="74"/>
      <c r="D2939" s="74"/>
    </row>
    <row r="2940" spans="2:4" x14ac:dyDescent="0.3">
      <c r="B2940" s="74"/>
      <c r="C2940" s="74"/>
      <c r="D2940" s="74"/>
    </row>
    <row r="2941" spans="2:4" x14ac:dyDescent="0.3">
      <c r="B2941" s="74"/>
      <c r="C2941" s="74"/>
      <c r="D2941" s="74"/>
    </row>
    <row r="2942" spans="2:4" x14ac:dyDescent="0.3">
      <c r="B2942" s="74"/>
      <c r="C2942" s="74"/>
      <c r="D2942" s="74"/>
    </row>
    <row r="2943" spans="2:4" x14ac:dyDescent="0.3">
      <c r="B2943" s="74"/>
      <c r="C2943" s="74"/>
      <c r="D2943" s="74"/>
    </row>
    <row r="2944" spans="2:4" x14ac:dyDescent="0.3">
      <c r="B2944" s="74"/>
      <c r="C2944" s="74"/>
      <c r="D2944" s="74"/>
    </row>
    <row r="2945" spans="2:4" x14ac:dyDescent="0.3">
      <c r="B2945" s="74"/>
      <c r="C2945" s="74"/>
      <c r="D2945" s="74"/>
    </row>
    <row r="2946" spans="2:4" x14ac:dyDescent="0.3">
      <c r="B2946" s="74"/>
      <c r="C2946" s="74"/>
      <c r="D2946" s="74"/>
    </row>
    <row r="2947" spans="2:4" x14ac:dyDescent="0.3">
      <c r="B2947" s="74"/>
      <c r="C2947" s="74"/>
      <c r="D2947" s="74"/>
    </row>
    <row r="2948" spans="2:4" x14ac:dyDescent="0.3">
      <c r="B2948" s="74"/>
      <c r="C2948" s="74"/>
      <c r="D2948" s="74"/>
    </row>
    <row r="2949" spans="2:4" x14ac:dyDescent="0.3">
      <c r="B2949" s="74"/>
      <c r="C2949" s="74"/>
      <c r="D2949" s="74"/>
    </row>
    <row r="2950" spans="2:4" x14ac:dyDescent="0.3">
      <c r="B2950" s="74"/>
      <c r="C2950" s="74"/>
      <c r="D2950" s="74"/>
    </row>
    <row r="2951" spans="2:4" x14ac:dyDescent="0.3">
      <c r="B2951" s="74"/>
      <c r="C2951" s="74"/>
      <c r="D2951" s="74"/>
    </row>
    <row r="2952" spans="2:4" x14ac:dyDescent="0.3">
      <c r="B2952" s="74"/>
      <c r="C2952" s="74"/>
      <c r="D2952" s="74"/>
    </row>
    <row r="2953" spans="2:4" x14ac:dyDescent="0.3">
      <c r="B2953" s="74"/>
      <c r="C2953" s="74"/>
      <c r="D2953" s="74"/>
    </row>
    <row r="2954" spans="2:4" x14ac:dyDescent="0.3">
      <c r="B2954" s="74"/>
      <c r="C2954" s="74"/>
      <c r="D2954" s="74"/>
    </row>
    <row r="2955" spans="2:4" x14ac:dyDescent="0.3">
      <c r="B2955" s="74"/>
      <c r="C2955" s="74"/>
      <c r="D2955" s="74"/>
    </row>
    <row r="2956" spans="2:4" x14ac:dyDescent="0.3">
      <c r="B2956" s="74"/>
      <c r="C2956" s="74"/>
      <c r="D2956" s="74"/>
    </row>
    <row r="2957" spans="2:4" x14ac:dyDescent="0.3">
      <c r="B2957" s="74"/>
      <c r="C2957" s="74"/>
      <c r="D2957" s="74"/>
    </row>
    <row r="2958" spans="2:4" x14ac:dyDescent="0.3">
      <c r="B2958" s="74"/>
      <c r="C2958" s="74"/>
      <c r="D2958" s="74"/>
    </row>
    <row r="2959" spans="2:4" x14ac:dyDescent="0.3">
      <c r="B2959" s="74"/>
      <c r="C2959" s="74"/>
      <c r="D2959" s="74"/>
    </row>
    <row r="2960" spans="2:4" x14ac:dyDescent="0.3">
      <c r="B2960" s="74"/>
      <c r="C2960" s="74"/>
      <c r="D2960" s="74"/>
    </row>
    <row r="2961" spans="2:4" x14ac:dyDescent="0.3">
      <c r="B2961" s="74"/>
      <c r="C2961" s="74"/>
      <c r="D2961" s="74"/>
    </row>
    <row r="2962" spans="2:4" x14ac:dyDescent="0.3">
      <c r="B2962" s="74"/>
      <c r="C2962" s="74"/>
      <c r="D2962" s="74"/>
    </row>
    <row r="2963" spans="2:4" x14ac:dyDescent="0.3">
      <c r="B2963" s="74"/>
      <c r="C2963" s="74"/>
      <c r="D2963" s="74"/>
    </row>
    <row r="2964" spans="2:4" x14ac:dyDescent="0.3">
      <c r="B2964" s="74"/>
      <c r="C2964" s="74"/>
      <c r="D2964" s="74"/>
    </row>
    <row r="2965" spans="2:4" x14ac:dyDescent="0.3">
      <c r="B2965" s="74"/>
      <c r="C2965" s="74"/>
      <c r="D2965" s="74"/>
    </row>
    <row r="2966" spans="2:4" x14ac:dyDescent="0.3">
      <c r="B2966" s="74"/>
      <c r="C2966" s="74"/>
      <c r="D2966" s="74"/>
    </row>
    <row r="2967" spans="2:4" x14ac:dyDescent="0.3">
      <c r="B2967" s="74"/>
      <c r="C2967" s="74"/>
      <c r="D2967" s="74"/>
    </row>
    <row r="2968" spans="2:4" x14ac:dyDescent="0.3">
      <c r="B2968" s="74"/>
      <c r="C2968" s="74"/>
      <c r="D2968" s="74"/>
    </row>
    <row r="2969" spans="2:4" x14ac:dyDescent="0.3">
      <c r="B2969" s="74"/>
      <c r="C2969" s="74"/>
      <c r="D2969" s="74"/>
    </row>
    <row r="2970" spans="2:4" x14ac:dyDescent="0.3">
      <c r="B2970" s="74"/>
      <c r="C2970" s="74"/>
      <c r="D2970" s="74"/>
    </row>
    <row r="2971" spans="2:4" x14ac:dyDescent="0.3">
      <c r="B2971" s="74"/>
      <c r="C2971" s="74"/>
      <c r="D2971" s="74"/>
    </row>
    <row r="2972" spans="2:4" x14ac:dyDescent="0.3">
      <c r="B2972" s="74"/>
      <c r="C2972" s="74"/>
      <c r="D2972" s="74"/>
    </row>
    <row r="2973" spans="2:4" x14ac:dyDescent="0.3">
      <c r="B2973" s="74"/>
      <c r="C2973" s="74"/>
      <c r="D2973" s="74"/>
    </row>
    <row r="2974" spans="2:4" x14ac:dyDescent="0.3">
      <c r="B2974" s="74"/>
      <c r="C2974" s="74"/>
      <c r="D2974" s="74"/>
    </row>
    <row r="2975" spans="2:4" x14ac:dyDescent="0.3">
      <c r="B2975" s="74"/>
      <c r="C2975" s="74"/>
      <c r="D2975" s="74"/>
    </row>
    <row r="2976" spans="2:4" x14ac:dyDescent="0.3">
      <c r="B2976" s="74"/>
      <c r="C2976" s="74"/>
      <c r="D2976" s="74"/>
    </row>
    <row r="2977" spans="2:4" x14ac:dyDescent="0.3">
      <c r="B2977" s="74"/>
      <c r="C2977" s="74"/>
      <c r="D2977" s="74"/>
    </row>
    <row r="2978" spans="2:4" x14ac:dyDescent="0.3">
      <c r="B2978" s="74"/>
      <c r="C2978" s="74"/>
      <c r="D2978" s="74"/>
    </row>
    <row r="2979" spans="2:4" x14ac:dyDescent="0.3">
      <c r="B2979" s="74"/>
      <c r="C2979" s="74"/>
      <c r="D2979" s="74"/>
    </row>
    <row r="2980" spans="2:4" x14ac:dyDescent="0.3">
      <c r="B2980" s="74"/>
      <c r="C2980" s="74"/>
      <c r="D2980" s="74"/>
    </row>
    <row r="2981" spans="2:4" x14ac:dyDescent="0.3">
      <c r="B2981" s="74"/>
      <c r="C2981" s="74"/>
      <c r="D2981" s="74"/>
    </row>
    <row r="2982" spans="2:4" x14ac:dyDescent="0.3">
      <c r="B2982" s="74"/>
      <c r="C2982" s="74"/>
      <c r="D2982" s="74"/>
    </row>
    <row r="2983" spans="2:4" x14ac:dyDescent="0.3">
      <c r="B2983" s="74"/>
      <c r="C2983" s="74"/>
      <c r="D2983" s="74"/>
    </row>
    <row r="2984" spans="2:4" x14ac:dyDescent="0.3">
      <c r="B2984" s="74"/>
      <c r="C2984" s="74"/>
      <c r="D2984" s="74"/>
    </row>
    <row r="2985" spans="2:4" x14ac:dyDescent="0.3">
      <c r="B2985" s="74"/>
      <c r="C2985" s="74"/>
      <c r="D2985" s="74"/>
    </row>
    <row r="2986" spans="2:4" x14ac:dyDescent="0.3">
      <c r="B2986" s="74"/>
      <c r="C2986" s="74"/>
      <c r="D2986" s="74"/>
    </row>
    <row r="2987" spans="2:4" x14ac:dyDescent="0.3">
      <c r="B2987" s="74"/>
      <c r="C2987" s="74"/>
      <c r="D2987" s="74"/>
    </row>
    <row r="2988" spans="2:4" x14ac:dyDescent="0.3">
      <c r="B2988" s="74"/>
      <c r="C2988" s="74"/>
      <c r="D2988" s="74"/>
    </row>
    <row r="2989" spans="2:4" x14ac:dyDescent="0.3">
      <c r="B2989" s="74"/>
      <c r="C2989" s="74"/>
      <c r="D2989" s="74"/>
    </row>
    <row r="2990" spans="2:4" x14ac:dyDescent="0.3">
      <c r="B2990" s="74"/>
      <c r="C2990" s="74"/>
      <c r="D2990" s="74"/>
    </row>
    <row r="2991" spans="2:4" x14ac:dyDescent="0.3">
      <c r="B2991" s="74"/>
      <c r="C2991" s="74"/>
      <c r="D2991" s="74"/>
    </row>
    <row r="2992" spans="2:4" x14ac:dyDescent="0.3">
      <c r="B2992" s="74"/>
      <c r="C2992" s="74"/>
      <c r="D2992" s="74"/>
    </row>
    <row r="2993" spans="2:4" x14ac:dyDescent="0.3">
      <c r="B2993" s="74"/>
      <c r="C2993" s="74"/>
      <c r="D2993" s="74"/>
    </row>
    <row r="2994" spans="2:4" x14ac:dyDescent="0.3">
      <c r="B2994" s="74"/>
      <c r="C2994" s="74"/>
      <c r="D2994" s="74"/>
    </row>
    <row r="2995" spans="2:4" x14ac:dyDescent="0.3">
      <c r="B2995" s="74"/>
      <c r="C2995" s="74"/>
      <c r="D2995" s="74"/>
    </row>
    <row r="2996" spans="2:4" x14ac:dyDescent="0.3">
      <c r="B2996" s="74"/>
      <c r="C2996" s="74"/>
      <c r="D2996" s="74"/>
    </row>
    <row r="2997" spans="2:4" x14ac:dyDescent="0.3">
      <c r="B2997" s="74"/>
      <c r="C2997" s="74"/>
      <c r="D2997" s="74"/>
    </row>
    <row r="2998" spans="2:4" x14ac:dyDescent="0.3">
      <c r="B2998" s="74"/>
      <c r="C2998" s="74"/>
      <c r="D2998" s="74"/>
    </row>
    <row r="2999" spans="2:4" x14ac:dyDescent="0.3">
      <c r="B2999" s="74"/>
      <c r="C2999" s="74"/>
      <c r="D2999" s="74"/>
    </row>
    <row r="3000" spans="2:4" x14ac:dyDescent="0.3">
      <c r="B3000" s="74"/>
      <c r="C3000" s="74"/>
      <c r="D3000" s="74"/>
    </row>
    <row r="3001" spans="2:4" x14ac:dyDescent="0.3">
      <c r="B3001" s="74"/>
      <c r="C3001" s="74"/>
      <c r="D3001" s="74"/>
    </row>
    <row r="3002" spans="2:4" x14ac:dyDescent="0.3">
      <c r="B3002" s="74"/>
      <c r="C3002" s="74"/>
      <c r="D3002" s="74"/>
    </row>
    <row r="3003" spans="2:4" x14ac:dyDescent="0.3">
      <c r="B3003" s="74"/>
      <c r="C3003" s="74"/>
      <c r="D3003" s="74"/>
    </row>
    <row r="3004" spans="2:4" x14ac:dyDescent="0.3">
      <c r="B3004" s="74"/>
      <c r="C3004" s="74"/>
      <c r="D3004" s="74"/>
    </row>
    <row r="3005" spans="2:4" x14ac:dyDescent="0.3">
      <c r="B3005" s="74"/>
      <c r="C3005" s="74"/>
      <c r="D3005" s="74"/>
    </row>
    <row r="3006" spans="2:4" x14ac:dyDescent="0.3">
      <c r="B3006" s="74"/>
      <c r="C3006" s="74"/>
      <c r="D3006" s="74"/>
    </row>
    <row r="3007" spans="2:4" x14ac:dyDescent="0.3">
      <c r="B3007" s="74"/>
      <c r="C3007" s="74"/>
      <c r="D3007" s="74"/>
    </row>
    <row r="3008" spans="2:4" x14ac:dyDescent="0.3">
      <c r="B3008" s="74"/>
      <c r="C3008" s="74"/>
      <c r="D3008" s="74"/>
    </row>
    <row r="3009" spans="2:4" x14ac:dyDescent="0.3">
      <c r="B3009" s="74"/>
      <c r="C3009" s="74"/>
      <c r="D3009" s="74"/>
    </row>
    <row r="3010" spans="2:4" x14ac:dyDescent="0.3">
      <c r="B3010" s="74"/>
      <c r="C3010" s="74"/>
      <c r="D3010" s="74"/>
    </row>
    <row r="3011" spans="2:4" x14ac:dyDescent="0.3">
      <c r="B3011" s="74"/>
      <c r="C3011" s="74"/>
      <c r="D3011" s="74"/>
    </row>
    <row r="3012" spans="2:4" x14ac:dyDescent="0.3">
      <c r="B3012" s="74"/>
      <c r="C3012" s="74"/>
      <c r="D3012" s="74"/>
    </row>
    <row r="3013" spans="2:4" x14ac:dyDescent="0.3">
      <c r="B3013" s="74"/>
      <c r="C3013" s="74"/>
      <c r="D3013" s="74"/>
    </row>
    <row r="3014" spans="2:4" x14ac:dyDescent="0.3">
      <c r="B3014" s="74"/>
      <c r="C3014" s="74"/>
      <c r="D3014" s="74"/>
    </row>
    <row r="3015" spans="2:4" x14ac:dyDescent="0.3">
      <c r="B3015" s="74"/>
      <c r="C3015" s="74"/>
      <c r="D3015" s="74"/>
    </row>
    <row r="3016" spans="2:4" x14ac:dyDescent="0.3">
      <c r="B3016" s="74"/>
      <c r="C3016" s="74"/>
      <c r="D3016" s="74"/>
    </row>
    <row r="3017" spans="2:4" x14ac:dyDescent="0.3">
      <c r="B3017" s="74"/>
      <c r="C3017" s="74"/>
      <c r="D3017" s="74"/>
    </row>
    <row r="3018" spans="2:4" x14ac:dyDescent="0.3">
      <c r="B3018" s="74"/>
      <c r="C3018" s="74"/>
      <c r="D3018" s="74"/>
    </row>
    <row r="3019" spans="2:4" x14ac:dyDescent="0.3">
      <c r="B3019" s="74"/>
      <c r="C3019" s="74"/>
      <c r="D3019" s="74"/>
    </row>
    <row r="3020" spans="2:4" x14ac:dyDescent="0.3">
      <c r="B3020" s="74"/>
      <c r="C3020" s="74"/>
      <c r="D3020" s="74"/>
    </row>
    <row r="3021" spans="2:4" x14ac:dyDescent="0.3">
      <c r="B3021" s="74"/>
      <c r="C3021" s="74"/>
      <c r="D3021" s="74"/>
    </row>
    <row r="3022" spans="2:4" x14ac:dyDescent="0.3">
      <c r="B3022" s="74"/>
      <c r="C3022" s="74"/>
      <c r="D3022" s="74"/>
    </row>
    <row r="3023" spans="2:4" x14ac:dyDescent="0.3">
      <c r="B3023" s="74"/>
      <c r="C3023" s="74"/>
      <c r="D3023" s="74"/>
    </row>
    <row r="3024" spans="2:4" x14ac:dyDescent="0.3">
      <c r="B3024" s="74"/>
      <c r="C3024" s="74"/>
      <c r="D3024" s="74"/>
    </row>
    <row r="3025" spans="2:4" x14ac:dyDescent="0.3">
      <c r="B3025" s="74"/>
      <c r="C3025" s="74"/>
      <c r="D3025" s="74"/>
    </row>
    <row r="3026" spans="2:4" x14ac:dyDescent="0.3">
      <c r="B3026" s="74"/>
      <c r="C3026" s="74"/>
      <c r="D3026" s="74"/>
    </row>
    <row r="3027" spans="2:4" x14ac:dyDescent="0.3">
      <c r="B3027" s="74"/>
      <c r="C3027" s="74"/>
      <c r="D3027" s="74"/>
    </row>
    <row r="3028" spans="2:4" x14ac:dyDescent="0.3">
      <c r="B3028" s="74"/>
      <c r="C3028" s="74"/>
      <c r="D3028" s="74"/>
    </row>
    <row r="3029" spans="2:4" x14ac:dyDescent="0.3">
      <c r="B3029" s="74"/>
      <c r="C3029" s="74"/>
      <c r="D3029" s="74"/>
    </row>
    <row r="3030" spans="2:4" x14ac:dyDescent="0.3">
      <c r="B3030" s="74"/>
      <c r="C3030" s="74"/>
      <c r="D3030" s="74"/>
    </row>
    <row r="3031" spans="2:4" x14ac:dyDescent="0.3">
      <c r="B3031" s="74"/>
      <c r="C3031" s="74"/>
      <c r="D3031" s="74"/>
    </row>
    <row r="3032" spans="2:4" x14ac:dyDescent="0.3">
      <c r="B3032" s="74"/>
      <c r="C3032" s="74"/>
      <c r="D3032" s="74"/>
    </row>
    <row r="3033" spans="2:4" x14ac:dyDescent="0.3">
      <c r="B3033" s="74"/>
      <c r="C3033" s="74"/>
      <c r="D3033" s="74"/>
    </row>
    <row r="3034" spans="2:4" x14ac:dyDescent="0.3">
      <c r="B3034" s="74"/>
      <c r="C3034" s="74"/>
      <c r="D3034" s="74"/>
    </row>
    <row r="3035" spans="2:4" x14ac:dyDescent="0.3">
      <c r="B3035" s="74"/>
      <c r="C3035" s="74"/>
      <c r="D3035" s="74"/>
    </row>
    <row r="3036" spans="2:4" x14ac:dyDescent="0.3">
      <c r="B3036" s="74"/>
      <c r="C3036" s="74"/>
      <c r="D3036" s="74"/>
    </row>
    <row r="3037" spans="2:4" x14ac:dyDescent="0.3">
      <c r="B3037" s="74"/>
      <c r="C3037" s="74"/>
      <c r="D3037" s="74"/>
    </row>
    <row r="3038" spans="2:4" x14ac:dyDescent="0.3">
      <c r="B3038" s="74"/>
      <c r="C3038" s="74"/>
      <c r="D3038" s="74"/>
    </row>
    <row r="3039" spans="2:4" x14ac:dyDescent="0.3">
      <c r="B3039" s="74"/>
      <c r="C3039" s="74"/>
      <c r="D3039" s="74"/>
    </row>
    <row r="3040" spans="2:4" x14ac:dyDescent="0.3">
      <c r="B3040" s="74"/>
      <c r="C3040" s="74"/>
      <c r="D3040" s="74"/>
    </row>
    <row r="3041" spans="2:4" x14ac:dyDescent="0.3">
      <c r="B3041" s="74"/>
      <c r="C3041" s="74"/>
      <c r="D3041" s="74"/>
    </row>
    <row r="3042" spans="2:4" x14ac:dyDescent="0.3">
      <c r="B3042" s="74"/>
      <c r="C3042" s="74"/>
      <c r="D3042" s="74"/>
    </row>
    <row r="3043" spans="2:4" x14ac:dyDescent="0.3">
      <c r="B3043" s="74"/>
      <c r="C3043" s="74"/>
      <c r="D3043" s="74"/>
    </row>
    <row r="3044" spans="2:4" x14ac:dyDescent="0.3">
      <c r="B3044" s="74"/>
      <c r="C3044" s="74"/>
      <c r="D3044" s="74"/>
    </row>
    <row r="3045" spans="2:4" x14ac:dyDescent="0.3">
      <c r="B3045" s="74"/>
      <c r="C3045" s="74"/>
      <c r="D3045" s="74"/>
    </row>
    <row r="3046" spans="2:4" x14ac:dyDescent="0.3">
      <c r="B3046" s="74"/>
      <c r="C3046" s="74"/>
      <c r="D3046" s="74"/>
    </row>
    <row r="3047" spans="2:4" x14ac:dyDescent="0.3">
      <c r="B3047" s="74"/>
      <c r="C3047" s="74"/>
      <c r="D3047" s="74"/>
    </row>
    <row r="3048" spans="2:4" x14ac:dyDescent="0.3">
      <c r="B3048" s="74"/>
      <c r="C3048" s="74"/>
      <c r="D3048" s="74"/>
    </row>
    <row r="3049" spans="2:4" x14ac:dyDescent="0.3">
      <c r="B3049" s="74"/>
      <c r="C3049" s="74"/>
      <c r="D3049" s="74"/>
    </row>
    <row r="3050" spans="2:4" x14ac:dyDescent="0.3">
      <c r="B3050" s="74"/>
      <c r="C3050" s="74"/>
      <c r="D3050" s="74"/>
    </row>
    <row r="3051" spans="2:4" x14ac:dyDescent="0.3">
      <c r="B3051" s="74"/>
      <c r="C3051" s="74"/>
      <c r="D3051" s="74"/>
    </row>
    <row r="3052" spans="2:4" x14ac:dyDescent="0.3">
      <c r="B3052" s="74"/>
      <c r="C3052" s="74"/>
      <c r="D3052" s="74"/>
    </row>
    <row r="3053" spans="2:4" x14ac:dyDescent="0.3">
      <c r="B3053" s="74"/>
      <c r="C3053" s="74"/>
      <c r="D3053" s="74"/>
    </row>
    <row r="3054" spans="2:4" x14ac:dyDescent="0.3">
      <c r="B3054" s="74"/>
      <c r="C3054" s="74"/>
      <c r="D3054" s="74"/>
    </row>
    <row r="3055" spans="2:4" x14ac:dyDescent="0.3">
      <c r="B3055" s="74"/>
      <c r="C3055" s="74"/>
      <c r="D3055" s="74"/>
    </row>
    <row r="3056" spans="2:4" x14ac:dyDescent="0.3">
      <c r="B3056" s="74"/>
      <c r="C3056" s="74"/>
      <c r="D3056" s="74"/>
    </row>
    <row r="3057" spans="2:4" x14ac:dyDescent="0.3">
      <c r="B3057" s="74"/>
      <c r="C3057" s="74"/>
      <c r="D3057" s="74"/>
    </row>
    <row r="3058" spans="2:4" x14ac:dyDescent="0.3">
      <c r="B3058" s="74"/>
      <c r="C3058" s="74"/>
      <c r="D3058" s="74"/>
    </row>
    <row r="3059" spans="2:4" x14ac:dyDescent="0.3">
      <c r="B3059" s="74"/>
      <c r="C3059" s="74"/>
      <c r="D3059" s="74"/>
    </row>
    <row r="3060" spans="2:4" x14ac:dyDescent="0.3">
      <c r="B3060" s="74"/>
      <c r="C3060" s="74"/>
      <c r="D3060" s="74"/>
    </row>
    <row r="3061" spans="2:4" x14ac:dyDescent="0.3">
      <c r="B3061" s="74"/>
      <c r="C3061" s="74"/>
      <c r="D3061" s="74"/>
    </row>
    <row r="3062" spans="2:4" x14ac:dyDescent="0.3">
      <c r="B3062" s="74"/>
      <c r="C3062" s="74"/>
      <c r="D3062" s="74"/>
    </row>
    <row r="3063" spans="2:4" x14ac:dyDescent="0.3">
      <c r="B3063" s="74"/>
      <c r="C3063" s="74"/>
      <c r="D3063" s="74"/>
    </row>
    <row r="3064" spans="2:4" x14ac:dyDescent="0.3">
      <c r="B3064" s="74"/>
      <c r="C3064" s="74"/>
      <c r="D3064" s="74"/>
    </row>
    <row r="3065" spans="2:4" x14ac:dyDescent="0.3">
      <c r="B3065" s="74"/>
      <c r="C3065" s="74"/>
      <c r="D3065" s="74"/>
    </row>
    <row r="3066" spans="2:4" x14ac:dyDescent="0.3">
      <c r="B3066" s="74"/>
      <c r="C3066" s="74"/>
      <c r="D3066" s="74"/>
    </row>
    <row r="3067" spans="2:4" x14ac:dyDescent="0.3">
      <c r="B3067" s="74"/>
      <c r="C3067" s="74"/>
      <c r="D3067" s="74"/>
    </row>
    <row r="3068" spans="2:4" x14ac:dyDescent="0.3">
      <c r="B3068" s="74"/>
      <c r="C3068" s="74"/>
      <c r="D3068" s="74"/>
    </row>
    <row r="3069" spans="2:4" x14ac:dyDescent="0.3">
      <c r="B3069" s="74"/>
      <c r="C3069" s="74"/>
      <c r="D3069" s="74"/>
    </row>
    <row r="3070" spans="2:4" x14ac:dyDescent="0.3">
      <c r="B3070" s="74"/>
      <c r="C3070" s="74"/>
      <c r="D3070" s="74"/>
    </row>
    <row r="3071" spans="2:4" x14ac:dyDescent="0.3">
      <c r="B3071" s="74"/>
      <c r="C3071" s="74"/>
      <c r="D3071" s="74"/>
    </row>
    <row r="3072" spans="2:4" x14ac:dyDescent="0.3">
      <c r="B3072" s="74"/>
      <c r="C3072" s="74"/>
      <c r="D3072" s="74"/>
    </row>
    <row r="3073" spans="2:4" x14ac:dyDescent="0.3">
      <c r="B3073" s="74"/>
      <c r="C3073" s="74"/>
      <c r="D3073" s="74"/>
    </row>
    <row r="3074" spans="2:4" x14ac:dyDescent="0.3">
      <c r="B3074" s="74"/>
      <c r="C3074" s="74"/>
      <c r="D3074" s="74"/>
    </row>
    <row r="3075" spans="2:4" x14ac:dyDescent="0.3">
      <c r="B3075" s="74"/>
      <c r="C3075" s="74"/>
      <c r="D3075" s="74"/>
    </row>
    <row r="3076" spans="2:4" x14ac:dyDescent="0.3">
      <c r="B3076" s="74"/>
      <c r="C3076" s="74"/>
      <c r="D3076" s="74"/>
    </row>
    <row r="3077" spans="2:4" x14ac:dyDescent="0.3">
      <c r="B3077" s="74"/>
      <c r="C3077" s="74"/>
      <c r="D3077" s="74"/>
    </row>
    <row r="3078" spans="2:4" x14ac:dyDescent="0.3">
      <c r="B3078" s="74"/>
      <c r="C3078" s="74"/>
      <c r="D3078" s="74"/>
    </row>
    <row r="3079" spans="2:4" x14ac:dyDescent="0.3">
      <c r="B3079" s="74"/>
      <c r="C3079" s="74"/>
      <c r="D3079" s="74"/>
    </row>
    <row r="3080" spans="2:4" x14ac:dyDescent="0.3">
      <c r="B3080" s="74"/>
      <c r="C3080" s="74"/>
      <c r="D3080" s="74"/>
    </row>
    <row r="3081" spans="2:4" x14ac:dyDescent="0.3">
      <c r="B3081" s="74"/>
      <c r="C3081" s="74"/>
      <c r="D3081" s="74"/>
    </row>
    <row r="3082" spans="2:4" x14ac:dyDescent="0.3">
      <c r="B3082" s="74"/>
      <c r="C3082" s="74"/>
      <c r="D3082" s="74"/>
    </row>
    <row r="3083" spans="2:4" x14ac:dyDescent="0.3">
      <c r="B3083" s="74"/>
      <c r="C3083" s="74"/>
      <c r="D3083" s="74"/>
    </row>
    <row r="3084" spans="2:4" x14ac:dyDescent="0.3">
      <c r="B3084" s="74"/>
      <c r="C3084" s="74"/>
      <c r="D3084" s="74"/>
    </row>
    <row r="3085" spans="2:4" x14ac:dyDescent="0.3">
      <c r="B3085" s="74"/>
      <c r="C3085" s="74"/>
      <c r="D3085" s="74"/>
    </row>
    <row r="3086" spans="2:4" x14ac:dyDescent="0.3">
      <c r="B3086" s="74"/>
      <c r="C3086" s="74"/>
      <c r="D3086" s="74"/>
    </row>
    <row r="3087" spans="2:4" x14ac:dyDescent="0.3">
      <c r="B3087" s="74"/>
      <c r="C3087" s="74"/>
      <c r="D3087" s="74"/>
    </row>
    <row r="3088" spans="2:4" x14ac:dyDescent="0.3">
      <c r="B3088" s="74"/>
      <c r="C3088" s="74"/>
      <c r="D3088" s="74"/>
    </row>
    <row r="3089" spans="2:4" x14ac:dyDescent="0.3">
      <c r="B3089" s="74"/>
      <c r="C3089" s="74"/>
      <c r="D3089" s="74"/>
    </row>
    <row r="3090" spans="2:4" x14ac:dyDescent="0.3">
      <c r="B3090" s="74"/>
      <c r="C3090" s="74"/>
      <c r="D3090" s="74"/>
    </row>
    <row r="3091" spans="2:4" x14ac:dyDescent="0.3">
      <c r="B3091" s="74"/>
      <c r="C3091" s="74"/>
      <c r="D3091" s="74"/>
    </row>
    <row r="3092" spans="2:4" x14ac:dyDescent="0.3">
      <c r="B3092" s="74"/>
      <c r="C3092" s="74"/>
      <c r="D3092" s="74"/>
    </row>
    <row r="3093" spans="2:4" x14ac:dyDescent="0.3">
      <c r="B3093" s="74"/>
      <c r="C3093" s="74"/>
      <c r="D3093" s="74"/>
    </row>
    <row r="3094" spans="2:4" x14ac:dyDescent="0.3">
      <c r="B3094" s="74"/>
      <c r="C3094" s="74"/>
      <c r="D3094" s="74"/>
    </row>
    <row r="3095" spans="2:4" x14ac:dyDescent="0.3">
      <c r="B3095" s="74"/>
      <c r="C3095" s="74"/>
      <c r="D3095" s="74"/>
    </row>
    <row r="3096" spans="2:4" x14ac:dyDescent="0.3">
      <c r="B3096" s="74"/>
      <c r="C3096" s="74"/>
      <c r="D3096" s="74"/>
    </row>
    <row r="3097" spans="2:4" x14ac:dyDescent="0.3">
      <c r="B3097" s="74"/>
      <c r="C3097" s="74"/>
      <c r="D3097" s="74"/>
    </row>
    <row r="3098" spans="2:4" x14ac:dyDescent="0.3">
      <c r="B3098" s="74"/>
      <c r="C3098" s="74"/>
      <c r="D3098" s="74"/>
    </row>
    <row r="3099" spans="2:4" x14ac:dyDescent="0.3">
      <c r="B3099" s="74"/>
      <c r="C3099" s="74"/>
      <c r="D3099" s="74"/>
    </row>
    <row r="3100" spans="2:4" x14ac:dyDescent="0.3">
      <c r="B3100" s="74"/>
      <c r="C3100" s="74"/>
      <c r="D3100" s="74"/>
    </row>
    <row r="3101" spans="2:4" x14ac:dyDescent="0.3">
      <c r="B3101" s="74"/>
      <c r="C3101" s="74"/>
      <c r="D3101" s="74"/>
    </row>
    <row r="3102" spans="2:4" x14ac:dyDescent="0.3">
      <c r="B3102" s="74"/>
      <c r="C3102" s="74"/>
      <c r="D3102" s="74"/>
    </row>
    <row r="3103" spans="2:4" x14ac:dyDescent="0.3">
      <c r="B3103" s="74"/>
      <c r="C3103" s="74"/>
      <c r="D3103" s="74"/>
    </row>
    <row r="3104" spans="2:4" x14ac:dyDescent="0.3">
      <c r="B3104" s="74"/>
      <c r="C3104" s="74"/>
      <c r="D3104" s="74"/>
    </row>
    <row r="3105" spans="2:4" x14ac:dyDescent="0.3">
      <c r="B3105" s="74"/>
      <c r="C3105" s="74"/>
      <c r="D3105" s="74"/>
    </row>
    <row r="3106" spans="2:4" x14ac:dyDescent="0.3">
      <c r="B3106" s="74"/>
      <c r="C3106" s="74"/>
      <c r="D3106" s="74"/>
    </row>
    <row r="3107" spans="2:4" x14ac:dyDescent="0.3">
      <c r="B3107" s="74"/>
      <c r="C3107" s="74"/>
      <c r="D3107" s="74"/>
    </row>
    <row r="3108" spans="2:4" x14ac:dyDescent="0.3">
      <c r="B3108" s="74"/>
      <c r="C3108" s="74"/>
      <c r="D3108" s="74"/>
    </row>
    <row r="3109" spans="2:4" x14ac:dyDescent="0.3">
      <c r="B3109" s="74"/>
      <c r="C3109" s="74"/>
      <c r="D3109" s="74"/>
    </row>
    <row r="3110" spans="2:4" x14ac:dyDescent="0.3">
      <c r="B3110" s="74"/>
      <c r="C3110" s="74"/>
      <c r="D3110" s="74"/>
    </row>
    <row r="3111" spans="2:4" x14ac:dyDescent="0.3">
      <c r="B3111" s="74"/>
      <c r="C3111" s="74"/>
      <c r="D3111" s="74"/>
    </row>
    <row r="3112" spans="2:4" x14ac:dyDescent="0.3">
      <c r="B3112" s="74"/>
      <c r="C3112" s="74"/>
      <c r="D3112" s="74"/>
    </row>
    <row r="3113" spans="2:4" x14ac:dyDescent="0.3">
      <c r="B3113" s="74"/>
      <c r="C3113" s="74"/>
      <c r="D3113" s="74"/>
    </row>
    <row r="3114" spans="2:4" x14ac:dyDescent="0.3">
      <c r="B3114" s="74"/>
      <c r="C3114" s="74"/>
      <c r="D3114" s="74"/>
    </row>
    <row r="3115" spans="2:4" x14ac:dyDescent="0.3">
      <c r="B3115" s="74"/>
      <c r="C3115" s="74"/>
      <c r="D3115" s="74"/>
    </row>
    <row r="3116" spans="2:4" x14ac:dyDescent="0.3">
      <c r="B3116" s="74"/>
      <c r="C3116" s="74"/>
      <c r="D3116" s="74"/>
    </row>
    <row r="3117" spans="2:4" x14ac:dyDescent="0.3">
      <c r="B3117" s="74"/>
      <c r="C3117" s="74"/>
      <c r="D3117" s="74"/>
    </row>
    <row r="3118" spans="2:4" x14ac:dyDescent="0.3">
      <c r="B3118" s="74"/>
      <c r="C3118" s="74"/>
      <c r="D3118" s="74"/>
    </row>
    <row r="3119" spans="2:4" x14ac:dyDescent="0.3">
      <c r="B3119" s="74"/>
      <c r="C3119" s="74"/>
      <c r="D3119" s="74"/>
    </row>
    <row r="3120" spans="2:4" x14ac:dyDescent="0.3">
      <c r="B3120" s="74"/>
      <c r="C3120" s="74"/>
      <c r="D3120" s="74"/>
    </row>
    <row r="3121" spans="2:4" x14ac:dyDescent="0.3">
      <c r="B3121" s="74"/>
      <c r="C3121" s="74"/>
      <c r="D3121" s="74"/>
    </row>
    <row r="3122" spans="2:4" x14ac:dyDescent="0.3">
      <c r="B3122" s="74"/>
      <c r="C3122" s="74"/>
      <c r="D3122" s="74"/>
    </row>
    <row r="3123" spans="2:4" x14ac:dyDescent="0.3">
      <c r="B3123" s="74"/>
      <c r="C3123" s="74"/>
      <c r="D3123" s="74"/>
    </row>
    <row r="3124" spans="2:4" x14ac:dyDescent="0.3">
      <c r="B3124" s="74"/>
      <c r="C3124" s="74"/>
      <c r="D3124" s="74"/>
    </row>
    <row r="3125" spans="2:4" x14ac:dyDescent="0.3">
      <c r="B3125" s="74"/>
      <c r="C3125" s="74"/>
      <c r="D3125" s="74"/>
    </row>
    <row r="3126" spans="2:4" x14ac:dyDescent="0.3">
      <c r="B3126" s="74"/>
      <c r="C3126" s="74"/>
      <c r="D3126" s="74"/>
    </row>
    <row r="3127" spans="2:4" x14ac:dyDescent="0.3">
      <c r="B3127" s="74"/>
      <c r="C3127" s="74"/>
      <c r="D3127" s="74"/>
    </row>
    <row r="3128" spans="2:4" x14ac:dyDescent="0.3">
      <c r="B3128" s="74"/>
      <c r="C3128" s="74"/>
      <c r="D3128" s="74"/>
    </row>
    <row r="3129" spans="2:4" x14ac:dyDescent="0.3">
      <c r="B3129" s="74"/>
      <c r="C3129" s="74"/>
      <c r="D3129" s="74"/>
    </row>
    <row r="3130" spans="2:4" x14ac:dyDescent="0.3">
      <c r="B3130" s="74"/>
      <c r="C3130" s="74"/>
      <c r="D3130" s="74"/>
    </row>
    <row r="3131" spans="2:4" x14ac:dyDescent="0.3">
      <c r="B3131" s="74"/>
      <c r="C3131" s="74"/>
      <c r="D3131" s="74"/>
    </row>
    <row r="3132" spans="2:4" x14ac:dyDescent="0.3">
      <c r="B3132" s="74"/>
      <c r="C3132" s="74"/>
      <c r="D3132" s="74"/>
    </row>
    <row r="3133" spans="2:4" x14ac:dyDescent="0.3">
      <c r="B3133" s="74"/>
      <c r="C3133" s="74"/>
      <c r="D3133" s="74"/>
    </row>
    <row r="3134" spans="2:4" x14ac:dyDescent="0.3">
      <c r="B3134" s="74"/>
      <c r="C3134" s="74"/>
      <c r="D3134" s="74"/>
    </row>
    <row r="3135" spans="2:4" x14ac:dyDescent="0.3">
      <c r="B3135" s="74"/>
      <c r="C3135" s="74"/>
      <c r="D3135" s="74"/>
    </row>
    <row r="3136" spans="2:4" x14ac:dyDescent="0.3">
      <c r="B3136" s="74"/>
      <c r="C3136" s="74"/>
      <c r="D3136" s="74"/>
    </row>
    <row r="3137" spans="2:4" x14ac:dyDescent="0.3">
      <c r="B3137" s="74"/>
      <c r="C3137" s="74"/>
      <c r="D3137" s="74"/>
    </row>
    <row r="3138" spans="2:4" x14ac:dyDescent="0.3">
      <c r="B3138" s="74"/>
      <c r="C3138" s="74"/>
      <c r="D3138" s="74"/>
    </row>
    <row r="3139" spans="2:4" x14ac:dyDescent="0.3">
      <c r="B3139" s="74"/>
      <c r="C3139" s="74"/>
      <c r="D3139" s="74"/>
    </row>
    <row r="3140" spans="2:4" x14ac:dyDescent="0.3">
      <c r="B3140" s="74"/>
      <c r="C3140" s="74"/>
      <c r="D3140" s="74"/>
    </row>
    <row r="3141" spans="2:4" x14ac:dyDescent="0.3">
      <c r="B3141" s="74"/>
      <c r="C3141" s="74"/>
      <c r="D3141" s="74"/>
    </row>
    <row r="3142" spans="2:4" x14ac:dyDescent="0.3">
      <c r="B3142" s="74"/>
      <c r="C3142" s="74"/>
      <c r="D3142" s="74"/>
    </row>
    <row r="3143" spans="2:4" x14ac:dyDescent="0.3">
      <c r="B3143" s="74"/>
      <c r="C3143" s="74"/>
      <c r="D3143" s="74"/>
    </row>
    <row r="3144" spans="2:4" x14ac:dyDescent="0.3">
      <c r="B3144" s="74"/>
      <c r="C3144" s="74"/>
      <c r="D3144" s="74"/>
    </row>
    <row r="3145" spans="2:4" x14ac:dyDescent="0.3">
      <c r="B3145" s="74"/>
      <c r="C3145" s="74"/>
      <c r="D3145" s="74"/>
    </row>
    <row r="3146" spans="2:4" x14ac:dyDescent="0.3">
      <c r="B3146" s="74"/>
      <c r="C3146" s="74"/>
      <c r="D3146" s="74"/>
    </row>
    <row r="3147" spans="2:4" x14ac:dyDescent="0.3">
      <c r="B3147" s="74"/>
      <c r="C3147" s="74"/>
      <c r="D3147" s="74"/>
    </row>
    <row r="3148" spans="2:4" x14ac:dyDescent="0.3">
      <c r="B3148" s="74"/>
      <c r="C3148" s="74"/>
      <c r="D3148" s="74"/>
    </row>
    <row r="3149" spans="2:4" x14ac:dyDescent="0.3">
      <c r="B3149" s="74"/>
      <c r="C3149" s="74"/>
      <c r="D3149" s="74"/>
    </row>
    <row r="3150" spans="2:4" x14ac:dyDescent="0.3">
      <c r="B3150" s="74"/>
      <c r="C3150" s="74"/>
      <c r="D3150" s="74"/>
    </row>
    <row r="3151" spans="2:4" x14ac:dyDescent="0.3">
      <c r="B3151" s="74"/>
      <c r="C3151" s="74"/>
      <c r="D3151" s="74"/>
    </row>
    <row r="3152" spans="2:4" x14ac:dyDescent="0.3">
      <c r="B3152" s="74"/>
      <c r="C3152" s="74"/>
      <c r="D3152" s="74"/>
    </row>
    <row r="3153" spans="2:4" x14ac:dyDescent="0.3">
      <c r="B3153" s="74"/>
      <c r="C3153" s="74"/>
      <c r="D3153" s="74"/>
    </row>
    <row r="3154" spans="2:4" x14ac:dyDescent="0.3">
      <c r="B3154" s="74"/>
      <c r="C3154" s="74"/>
      <c r="D3154" s="74"/>
    </row>
    <row r="3155" spans="2:4" x14ac:dyDescent="0.3">
      <c r="B3155" s="74"/>
      <c r="C3155" s="74"/>
      <c r="D3155" s="74"/>
    </row>
    <row r="3156" spans="2:4" x14ac:dyDescent="0.3">
      <c r="B3156" s="74"/>
      <c r="C3156" s="74"/>
      <c r="D3156" s="74"/>
    </row>
    <row r="3157" spans="2:4" x14ac:dyDescent="0.3">
      <c r="B3157" s="74"/>
      <c r="C3157" s="74"/>
      <c r="D3157" s="74"/>
    </row>
    <row r="3158" spans="2:4" x14ac:dyDescent="0.3">
      <c r="B3158" s="74"/>
      <c r="C3158" s="74"/>
      <c r="D3158" s="74"/>
    </row>
    <row r="3159" spans="2:4" x14ac:dyDescent="0.3">
      <c r="B3159" s="74"/>
      <c r="C3159" s="74"/>
      <c r="D3159" s="74"/>
    </row>
    <row r="3160" spans="2:4" x14ac:dyDescent="0.3">
      <c r="B3160" s="74"/>
      <c r="C3160" s="74"/>
      <c r="D3160" s="74"/>
    </row>
    <row r="3161" spans="2:4" x14ac:dyDescent="0.3">
      <c r="B3161" s="74"/>
      <c r="C3161" s="74"/>
      <c r="D3161" s="74"/>
    </row>
    <row r="3162" spans="2:4" x14ac:dyDescent="0.3">
      <c r="B3162" s="74"/>
      <c r="C3162" s="74"/>
      <c r="D3162" s="74"/>
    </row>
    <row r="3163" spans="2:4" x14ac:dyDescent="0.3">
      <c r="B3163" s="74"/>
      <c r="C3163" s="74"/>
      <c r="D3163" s="74"/>
    </row>
    <row r="3164" spans="2:4" x14ac:dyDescent="0.3">
      <c r="B3164" s="74"/>
      <c r="C3164" s="74"/>
      <c r="D3164" s="74"/>
    </row>
    <row r="3165" spans="2:4" x14ac:dyDescent="0.3">
      <c r="B3165" s="74"/>
      <c r="C3165" s="74"/>
      <c r="D3165" s="74"/>
    </row>
    <row r="3166" spans="2:4" x14ac:dyDescent="0.3">
      <c r="B3166" s="74"/>
      <c r="C3166" s="74"/>
      <c r="D3166" s="74"/>
    </row>
    <row r="3167" spans="2:4" x14ac:dyDescent="0.3">
      <c r="B3167" s="74"/>
      <c r="C3167" s="74"/>
      <c r="D3167" s="74"/>
    </row>
    <row r="3168" spans="2:4" x14ac:dyDescent="0.3">
      <c r="B3168" s="74"/>
      <c r="C3168" s="74"/>
      <c r="D3168" s="74"/>
    </row>
    <row r="3169" spans="2:4" x14ac:dyDescent="0.3">
      <c r="B3169" s="74"/>
      <c r="C3169" s="74"/>
      <c r="D3169" s="74"/>
    </row>
    <row r="3170" spans="2:4" x14ac:dyDescent="0.3">
      <c r="B3170" s="74"/>
      <c r="C3170" s="74"/>
      <c r="D3170" s="74"/>
    </row>
    <row r="3171" spans="2:4" x14ac:dyDescent="0.3">
      <c r="B3171" s="74"/>
      <c r="C3171" s="74"/>
      <c r="D3171" s="74"/>
    </row>
    <row r="3172" spans="2:4" x14ac:dyDescent="0.3">
      <c r="B3172" s="74"/>
      <c r="C3172" s="74"/>
      <c r="D3172" s="74"/>
    </row>
    <row r="3173" spans="2:4" x14ac:dyDescent="0.3">
      <c r="B3173" s="74"/>
      <c r="C3173" s="74"/>
      <c r="D3173" s="74"/>
    </row>
    <row r="3174" spans="2:4" x14ac:dyDescent="0.3">
      <c r="B3174" s="74"/>
      <c r="C3174" s="74"/>
      <c r="D3174" s="74"/>
    </row>
    <row r="3175" spans="2:4" x14ac:dyDescent="0.3">
      <c r="B3175" s="74"/>
      <c r="C3175" s="74"/>
      <c r="D3175" s="74"/>
    </row>
    <row r="3176" spans="2:4" x14ac:dyDescent="0.3">
      <c r="B3176" s="74"/>
      <c r="C3176" s="74"/>
      <c r="D3176" s="74"/>
    </row>
    <row r="3177" spans="2:4" x14ac:dyDescent="0.3">
      <c r="B3177" s="74"/>
      <c r="C3177" s="74"/>
      <c r="D3177" s="74"/>
    </row>
    <row r="3178" spans="2:4" x14ac:dyDescent="0.3">
      <c r="B3178" s="74"/>
      <c r="C3178" s="74"/>
      <c r="D3178" s="74"/>
    </row>
    <row r="3179" spans="2:4" x14ac:dyDescent="0.3">
      <c r="B3179" s="74"/>
      <c r="C3179" s="74"/>
      <c r="D3179" s="74"/>
    </row>
    <row r="3180" spans="2:4" x14ac:dyDescent="0.3">
      <c r="B3180" s="74"/>
      <c r="C3180" s="74"/>
      <c r="D3180" s="74"/>
    </row>
    <row r="3181" spans="2:4" x14ac:dyDescent="0.3">
      <c r="B3181" s="74"/>
      <c r="C3181" s="74"/>
      <c r="D3181" s="74"/>
    </row>
    <row r="3182" spans="2:4" x14ac:dyDescent="0.3">
      <c r="B3182" s="74"/>
      <c r="C3182" s="74"/>
      <c r="D3182" s="74"/>
    </row>
    <row r="3183" spans="2:4" x14ac:dyDescent="0.3">
      <c r="B3183" s="74"/>
      <c r="C3183" s="74"/>
      <c r="D3183" s="74"/>
    </row>
    <row r="3184" spans="2:4" x14ac:dyDescent="0.3">
      <c r="B3184" s="74"/>
      <c r="C3184" s="74"/>
      <c r="D3184" s="74"/>
    </row>
    <row r="3185" spans="2:4" x14ac:dyDescent="0.3">
      <c r="B3185" s="74"/>
      <c r="C3185" s="74"/>
      <c r="D3185" s="74"/>
    </row>
    <row r="3186" spans="2:4" x14ac:dyDescent="0.3">
      <c r="B3186" s="74"/>
      <c r="C3186" s="74"/>
      <c r="D3186" s="74"/>
    </row>
    <row r="3187" spans="2:4" x14ac:dyDescent="0.3">
      <c r="B3187" s="74"/>
      <c r="C3187" s="74"/>
      <c r="D3187" s="74"/>
    </row>
    <row r="3188" spans="2:4" x14ac:dyDescent="0.3">
      <c r="B3188" s="74"/>
      <c r="C3188" s="74"/>
      <c r="D3188" s="74"/>
    </row>
    <row r="3189" spans="2:4" x14ac:dyDescent="0.3">
      <c r="B3189" s="74"/>
      <c r="C3189" s="74"/>
      <c r="D3189" s="74"/>
    </row>
    <row r="3190" spans="2:4" x14ac:dyDescent="0.3">
      <c r="B3190" s="74"/>
      <c r="C3190" s="74"/>
      <c r="D3190" s="74"/>
    </row>
    <row r="3191" spans="2:4" x14ac:dyDescent="0.3">
      <c r="B3191" s="74"/>
      <c r="C3191" s="74"/>
      <c r="D3191" s="74"/>
    </row>
    <row r="3192" spans="2:4" x14ac:dyDescent="0.3">
      <c r="B3192" s="74"/>
      <c r="C3192" s="74"/>
      <c r="D3192" s="74"/>
    </row>
    <row r="3193" spans="2:4" x14ac:dyDescent="0.3">
      <c r="B3193" s="74"/>
      <c r="C3193" s="74"/>
      <c r="D3193" s="74"/>
    </row>
    <row r="3194" spans="2:4" x14ac:dyDescent="0.3">
      <c r="B3194" s="74"/>
      <c r="C3194" s="74"/>
      <c r="D3194" s="74"/>
    </row>
    <row r="3195" spans="2:4" x14ac:dyDescent="0.3">
      <c r="B3195" s="74"/>
      <c r="C3195" s="74"/>
      <c r="D3195" s="74"/>
    </row>
    <row r="3196" spans="2:4" x14ac:dyDescent="0.3">
      <c r="B3196" s="74"/>
      <c r="C3196" s="74"/>
      <c r="D3196" s="74"/>
    </row>
    <row r="3197" spans="2:4" x14ac:dyDescent="0.3">
      <c r="B3197" s="74"/>
      <c r="C3197" s="74"/>
      <c r="D3197" s="74"/>
    </row>
    <row r="3198" spans="2:4" x14ac:dyDescent="0.3">
      <c r="B3198" s="74"/>
      <c r="C3198" s="74"/>
      <c r="D3198" s="74"/>
    </row>
    <row r="3199" spans="2:4" x14ac:dyDescent="0.3">
      <c r="B3199" s="74"/>
      <c r="C3199" s="74"/>
      <c r="D3199" s="74"/>
    </row>
    <row r="3200" spans="2:4" x14ac:dyDescent="0.3">
      <c r="B3200" s="74"/>
      <c r="C3200" s="74"/>
      <c r="D3200" s="74"/>
    </row>
    <row r="3201" spans="2:4" x14ac:dyDescent="0.3">
      <c r="B3201" s="74"/>
      <c r="C3201" s="74"/>
      <c r="D3201" s="74"/>
    </row>
    <row r="3202" spans="2:4" x14ac:dyDescent="0.3">
      <c r="B3202" s="74"/>
      <c r="C3202" s="74"/>
      <c r="D3202" s="74"/>
    </row>
    <row r="3203" spans="2:4" x14ac:dyDescent="0.3">
      <c r="B3203" s="74"/>
      <c r="C3203" s="74"/>
      <c r="D3203" s="74"/>
    </row>
    <row r="3204" spans="2:4" x14ac:dyDescent="0.3">
      <c r="B3204" s="74"/>
      <c r="C3204" s="74"/>
      <c r="D3204" s="74"/>
    </row>
    <row r="3205" spans="2:4" x14ac:dyDescent="0.3">
      <c r="B3205" s="74"/>
      <c r="C3205" s="74"/>
      <c r="D3205" s="74"/>
    </row>
    <row r="3206" spans="2:4" x14ac:dyDescent="0.3">
      <c r="B3206" s="74"/>
      <c r="C3206" s="74"/>
      <c r="D3206" s="74"/>
    </row>
    <row r="3207" spans="2:4" x14ac:dyDescent="0.3">
      <c r="B3207" s="74"/>
      <c r="C3207" s="74"/>
      <c r="D3207" s="74"/>
    </row>
    <row r="3208" spans="2:4" x14ac:dyDescent="0.3">
      <c r="B3208" s="74"/>
      <c r="C3208" s="74"/>
      <c r="D3208" s="74"/>
    </row>
    <row r="3209" spans="2:4" x14ac:dyDescent="0.3">
      <c r="B3209" s="74"/>
      <c r="C3209" s="74"/>
      <c r="D3209" s="74"/>
    </row>
    <row r="3210" spans="2:4" x14ac:dyDescent="0.3">
      <c r="B3210" s="74"/>
      <c r="C3210" s="74"/>
      <c r="D3210" s="74"/>
    </row>
    <row r="3211" spans="2:4" x14ac:dyDescent="0.3">
      <c r="B3211" s="74"/>
      <c r="C3211" s="74"/>
      <c r="D3211" s="74"/>
    </row>
    <row r="3212" spans="2:4" x14ac:dyDescent="0.3">
      <c r="B3212" s="74"/>
      <c r="C3212" s="74"/>
      <c r="D3212" s="74"/>
    </row>
    <row r="3213" spans="2:4" x14ac:dyDescent="0.3">
      <c r="B3213" s="74"/>
      <c r="C3213" s="74"/>
      <c r="D3213" s="74"/>
    </row>
    <row r="3214" spans="2:4" x14ac:dyDescent="0.3">
      <c r="B3214" s="74"/>
      <c r="C3214" s="74"/>
      <c r="D3214" s="74"/>
    </row>
    <row r="3215" spans="2:4" x14ac:dyDescent="0.3">
      <c r="B3215" s="74"/>
      <c r="C3215" s="74"/>
      <c r="D3215" s="74"/>
    </row>
    <row r="3216" spans="2:4" x14ac:dyDescent="0.3">
      <c r="B3216" s="74"/>
      <c r="C3216" s="74"/>
      <c r="D3216" s="74"/>
    </row>
    <row r="3217" spans="2:4" x14ac:dyDescent="0.3">
      <c r="B3217" s="74"/>
      <c r="C3217" s="74"/>
      <c r="D3217" s="74"/>
    </row>
    <row r="3218" spans="2:4" x14ac:dyDescent="0.3">
      <c r="B3218" s="74"/>
      <c r="C3218" s="74"/>
      <c r="D3218" s="74"/>
    </row>
    <row r="3219" spans="2:4" x14ac:dyDescent="0.3">
      <c r="B3219" s="74"/>
      <c r="C3219" s="74"/>
      <c r="D3219" s="74"/>
    </row>
    <row r="3220" spans="2:4" x14ac:dyDescent="0.3">
      <c r="B3220" s="74"/>
      <c r="C3220" s="74"/>
      <c r="D3220" s="74"/>
    </row>
    <row r="3221" spans="2:4" x14ac:dyDescent="0.3">
      <c r="B3221" s="74"/>
      <c r="C3221" s="74"/>
      <c r="D3221" s="74"/>
    </row>
    <row r="3222" spans="2:4" x14ac:dyDescent="0.3">
      <c r="B3222" s="74"/>
      <c r="C3222" s="74"/>
      <c r="D3222" s="74"/>
    </row>
    <row r="3223" spans="2:4" x14ac:dyDescent="0.3">
      <c r="B3223" s="74"/>
      <c r="C3223" s="74"/>
      <c r="D3223" s="74"/>
    </row>
    <row r="3224" spans="2:4" x14ac:dyDescent="0.3">
      <c r="B3224" s="74"/>
      <c r="C3224" s="74"/>
      <c r="D3224" s="74"/>
    </row>
    <row r="3225" spans="2:4" x14ac:dyDescent="0.3">
      <c r="B3225" s="74"/>
      <c r="C3225" s="74"/>
      <c r="D3225" s="74"/>
    </row>
    <row r="3226" spans="2:4" x14ac:dyDescent="0.3">
      <c r="B3226" s="74"/>
      <c r="C3226" s="74"/>
      <c r="D3226" s="74"/>
    </row>
    <row r="3227" spans="2:4" x14ac:dyDescent="0.3">
      <c r="B3227" s="74"/>
      <c r="C3227" s="74"/>
      <c r="D3227" s="74"/>
    </row>
    <row r="3228" spans="2:4" x14ac:dyDescent="0.3">
      <c r="B3228" s="74"/>
      <c r="C3228" s="74"/>
      <c r="D3228" s="74"/>
    </row>
    <row r="3229" spans="2:4" x14ac:dyDescent="0.3">
      <c r="B3229" s="74"/>
      <c r="C3229" s="74"/>
      <c r="D3229" s="74"/>
    </row>
    <row r="3230" spans="2:4" x14ac:dyDescent="0.3">
      <c r="B3230" s="74"/>
      <c r="C3230" s="74"/>
      <c r="D3230" s="74"/>
    </row>
    <row r="3231" spans="2:4" x14ac:dyDescent="0.3">
      <c r="B3231" s="74"/>
      <c r="C3231" s="74"/>
      <c r="D3231" s="74"/>
    </row>
    <row r="3232" spans="2:4" x14ac:dyDescent="0.3">
      <c r="B3232" s="74"/>
      <c r="C3232" s="74"/>
      <c r="D3232" s="74"/>
    </row>
    <row r="3233" spans="2:4" x14ac:dyDescent="0.3">
      <c r="B3233" s="74"/>
      <c r="C3233" s="74"/>
      <c r="D3233" s="74"/>
    </row>
    <row r="3234" spans="2:4" x14ac:dyDescent="0.3">
      <c r="B3234" s="74"/>
      <c r="C3234" s="74"/>
      <c r="D3234" s="74"/>
    </row>
    <row r="3235" spans="2:4" x14ac:dyDescent="0.3">
      <c r="B3235" s="74"/>
      <c r="C3235" s="74"/>
      <c r="D3235" s="74"/>
    </row>
    <row r="3236" spans="2:4" x14ac:dyDescent="0.3">
      <c r="B3236" s="74"/>
      <c r="C3236" s="74"/>
      <c r="D3236" s="74"/>
    </row>
    <row r="3237" spans="2:4" x14ac:dyDescent="0.3">
      <c r="B3237" s="74"/>
      <c r="C3237" s="74"/>
      <c r="D3237" s="74"/>
    </row>
    <row r="3238" spans="2:4" x14ac:dyDescent="0.3">
      <c r="B3238" s="74"/>
      <c r="C3238" s="74"/>
      <c r="D3238" s="74"/>
    </row>
    <row r="3239" spans="2:4" x14ac:dyDescent="0.3">
      <c r="B3239" s="74"/>
      <c r="C3239" s="74"/>
      <c r="D3239" s="74"/>
    </row>
    <row r="3240" spans="2:4" x14ac:dyDescent="0.3">
      <c r="B3240" s="74"/>
      <c r="C3240" s="74"/>
      <c r="D3240" s="74"/>
    </row>
    <row r="3241" spans="2:4" x14ac:dyDescent="0.3">
      <c r="B3241" s="74"/>
      <c r="C3241" s="74"/>
      <c r="D3241" s="74"/>
    </row>
    <row r="3242" spans="2:4" x14ac:dyDescent="0.3">
      <c r="B3242" s="74"/>
      <c r="C3242" s="74"/>
      <c r="D3242" s="74"/>
    </row>
    <row r="3243" spans="2:4" x14ac:dyDescent="0.3">
      <c r="B3243" s="74"/>
      <c r="C3243" s="74"/>
      <c r="D3243" s="74"/>
    </row>
    <row r="3244" spans="2:4" x14ac:dyDescent="0.3">
      <c r="B3244" s="74"/>
      <c r="C3244" s="74"/>
      <c r="D3244" s="74"/>
    </row>
    <row r="3245" spans="2:4" x14ac:dyDescent="0.3">
      <c r="B3245" s="74"/>
      <c r="C3245" s="74"/>
      <c r="D3245" s="74"/>
    </row>
    <row r="3246" spans="2:4" x14ac:dyDescent="0.3">
      <c r="B3246" s="74"/>
      <c r="C3246" s="74"/>
      <c r="D3246" s="74"/>
    </row>
    <row r="3247" spans="2:4" x14ac:dyDescent="0.3">
      <c r="B3247" s="74"/>
      <c r="C3247" s="74"/>
      <c r="D3247" s="74"/>
    </row>
    <row r="3248" spans="2:4" x14ac:dyDescent="0.3">
      <c r="B3248" s="74"/>
      <c r="C3248" s="74"/>
      <c r="D3248" s="74"/>
    </row>
    <row r="3249" spans="2:4" x14ac:dyDescent="0.3">
      <c r="B3249" s="74"/>
      <c r="C3249" s="74"/>
      <c r="D3249" s="74"/>
    </row>
    <row r="3250" spans="2:4" x14ac:dyDescent="0.3">
      <c r="B3250" s="74"/>
      <c r="C3250" s="74"/>
      <c r="D3250" s="74"/>
    </row>
    <row r="3251" spans="2:4" x14ac:dyDescent="0.3">
      <c r="B3251" s="74"/>
      <c r="C3251" s="74"/>
      <c r="D3251" s="74"/>
    </row>
    <row r="3252" spans="2:4" x14ac:dyDescent="0.3">
      <c r="B3252" s="74"/>
      <c r="C3252" s="74"/>
      <c r="D3252" s="74"/>
    </row>
    <row r="3253" spans="2:4" x14ac:dyDescent="0.3">
      <c r="B3253" s="74"/>
      <c r="C3253" s="74"/>
      <c r="D3253" s="74"/>
    </row>
    <row r="3254" spans="2:4" x14ac:dyDescent="0.3">
      <c r="B3254" s="74"/>
      <c r="C3254" s="74"/>
      <c r="D3254" s="74"/>
    </row>
    <row r="3255" spans="2:4" x14ac:dyDescent="0.3">
      <c r="B3255" s="74"/>
      <c r="C3255" s="74"/>
      <c r="D3255" s="74"/>
    </row>
    <row r="3256" spans="2:4" x14ac:dyDescent="0.3">
      <c r="B3256" s="74"/>
      <c r="C3256" s="74"/>
      <c r="D3256" s="74"/>
    </row>
    <row r="3257" spans="2:4" x14ac:dyDescent="0.3">
      <c r="B3257" s="74"/>
      <c r="C3257" s="74"/>
      <c r="D3257" s="74"/>
    </row>
    <row r="3258" spans="2:4" x14ac:dyDescent="0.3">
      <c r="B3258" s="74"/>
      <c r="C3258" s="74"/>
      <c r="D3258" s="74"/>
    </row>
    <row r="3259" spans="2:4" x14ac:dyDescent="0.3">
      <c r="B3259" s="74"/>
      <c r="C3259" s="74"/>
      <c r="D3259" s="74"/>
    </row>
    <row r="3260" spans="2:4" x14ac:dyDescent="0.3">
      <c r="B3260" s="74"/>
      <c r="C3260" s="74"/>
      <c r="D3260" s="74"/>
    </row>
    <row r="3261" spans="2:4" x14ac:dyDescent="0.3">
      <c r="B3261" s="74"/>
      <c r="C3261" s="74"/>
      <c r="D3261" s="74"/>
    </row>
    <row r="3262" spans="2:4" x14ac:dyDescent="0.3">
      <c r="B3262" s="74"/>
      <c r="C3262" s="74"/>
      <c r="D3262" s="74"/>
    </row>
    <row r="3263" spans="2:4" x14ac:dyDescent="0.3">
      <c r="B3263" s="74"/>
      <c r="C3263" s="74"/>
      <c r="D3263" s="74"/>
    </row>
    <row r="3264" spans="2:4" x14ac:dyDescent="0.3">
      <c r="B3264" s="74"/>
      <c r="C3264" s="74"/>
      <c r="D3264" s="74"/>
    </row>
    <row r="3265" spans="2:4" x14ac:dyDescent="0.3">
      <c r="B3265" s="74"/>
      <c r="C3265" s="74"/>
      <c r="D3265" s="74"/>
    </row>
    <row r="3266" spans="2:4" x14ac:dyDescent="0.3">
      <c r="B3266" s="74"/>
      <c r="C3266" s="74"/>
      <c r="D3266" s="74"/>
    </row>
    <row r="3267" spans="2:4" x14ac:dyDescent="0.3">
      <c r="B3267" s="74"/>
      <c r="C3267" s="74"/>
      <c r="D3267" s="74"/>
    </row>
    <row r="3268" spans="2:4" x14ac:dyDescent="0.3">
      <c r="B3268" s="74"/>
      <c r="C3268" s="74"/>
      <c r="D3268" s="74"/>
    </row>
    <row r="3269" spans="2:4" x14ac:dyDescent="0.3">
      <c r="B3269" s="74"/>
      <c r="C3269" s="74"/>
      <c r="D3269" s="74"/>
    </row>
    <row r="3270" spans="2:4" x14ac:dyDescent="0.3">
      <c r="B3270" s="74"/>
      <c r="C3270" s="74"/>
      <c r="D3270" s="74"/>
    </row>
    <row r="3271" spans="2:4" x14ac:dyDescent="0.3">
      <c r="B3271" s="74"/>
      <c r="C3271" s="74"/>
      <c r="D3271" s="74"/>
    </row>
    <row r="3272" spans="2:4" x14ac:dyDescent="0.3">
      <c r="B3272" s="74"/>
      <c r="C3272" s="74"/>
      <c r="D3272" s="74"/>
    </row>
    <row r="3273" spans="2:4" x14ac:dyDescent="0.3">
      <c r="B3273" s="74"/>
      <c r="C3273" s="74"/>
      <c r="D3273" s="74"/>
    </row>
    <row r="3274" spans="2:4" x14ac:dyDescent="0.3">
      <c r="B3274" s="74"/>
      <c r="C3274" s="74"/>
      <c r="D3274" s="74"/>
    </row>
    <row r="3275" spans="2:4" x14ac:dyDescent="0.3">
      <c r="B3275" s="74"/>
      <c r="C3275" s="74"/>
      <c r="D3275" s="74"/>
    </row>
    <row r="3276" spans="2:4" x14ac:dyDescent="0.3">
      <c r="B3276" s="74"/>
      <c r="C3276" s="74"/>
      <c r="D3276" s="74"/>
    </row>
    <row r="3277" spans="2:4" x14ac:dyDescent="0.3">
      <c r="B3277" s="74"/>
      <c r="C3277" s="74"/>
      <c r="D3277" s="74"/>
    </row>
    <row r="3278" spans="2:4" x14ac:dyDescent="0.3">
      <c r="B3278" s="74"/>
      <c r="C3278" s="74"/>
      <c r="D3278" s="74"/>
    </row>
    <row r="3279" spans="2:4" x14ac:dyDescent="0.3">
      <c r="B3279" s="74"/>
      <c r="C3279" s="74"/>
      <c r="D3279" s="74"/>
    </row>
    <row r="3280" spans="2:4" x14ac:dyDescent="0.3">
      <c r="B3280" s="74"/>
      <c r="C3280" s="74"/>
      <c r="D3280" s="74"/>
    </row>
    <row r="3281" spans="2:4" x14ac:dyDescent="0.3">
      <c r="B3281" s="74"/>
      <c r="C3281" s="74"/>
      <c r="D3281" s="74"/>
    </row>
    <row r="3282" spans="2:4" x14ac:dyDescent="0.3">
      <c r="B3282" s="74"/>
      <c r="C3282" s="74"/>
      <c r="D3282" s="74"/>
    </row>
    <row r="3283" spans="2:4" x14ac:dyDescent="0.3">
      <c r="B3283" s="74"/>
      <c r="C3283" s="74"/>
      <c r="D3283" s="74"/>
    </row>
    <row r="3284" spans="2:4" x14ac:dyDescent="0.3">
      <c r="B3284" s="74"/>
      <c r="C3284" s="74"/>
      <c r="D3284" s="74"/>
    </row>
    <row r="3285" spans="2:4" x14ac:dyDescent="0.3">
      <c r="B3285" s="74"/>
      <c r="C3285" s="74"/>
      <c r="D3285" s="74"/>
    </row>
    <row r="3286" spans="2:4" x14ac:dyDescent="0.3">
      <c r="B3286" s="74"/>
      <c r="C3286" s="74"/>
      <c r="D3286" s="74"/>
    </row>
    <row r="3287" spans="2:4" x14ac:dyDescent="0.3">
      <c r="B3287" s="74"/>
      <c r="C3287" s="74"/>
      <c r="D3287" s="74"/>
    </row>
    <row r="3288" spans="2:4" x14ac:dyDescent="0.3">
      <c r="B3288" s="74"/>
      <c r="C3288" s="74"/>
      <c r="D3288" s="74"/>
    </row>
    <row r="3289" spans="2:4" x14ac:dyDescent="0.3">
      <c r="B3289" s="74"/>
      <c r="C3289" s="74"/>
      <c r="D3289" s="74"/>
    </row>
    <row r="3290" spans="2:4" x14ac:dyDescent="0.3">
      <c r="B3290" s="74"/>
      <c r="C3290" s="74"/>
      <c r="D3290" s="74"/>
    </row>
    <row r="3291" spans="2:4" x14ac:dyDescent="0.3">
      <c r="B3291" s="74"/>
      <c r="C3291" s="74"/>
      <c r="D3291" s="74"/>
    </row>
    <row r="3292" spans="2:4" x14ac:dyDescent="0.3">
      <c r="B3292" s="74"/>
      <c r="C3292" s="74"/>
      <c r="D3292" s="74"/>
    </row>
    <row r="3293" spans="2:4" x14ac:dyDescent="0.3">
      <c r="B3293" s="74"/>
      <c r="C3293" s="74"/>
      <c r="D3293" s="74"/>
    </row>
    <row r="3294" spans="2:4" x14ac:dyDescent="0.3">
      <c r="B3294" s="74"/>
      <c r="C3294" s="74"/>
      <c r="D3294" s="74"/>
    </row>
    <row r="3295" spans="2:4" x14ac:dyDescent="0.3">
      <c r="B3295" s="74"/>
      <c r="C3295" s="74"/>
      <c r="D3295" s="74"/>
    </row>
    <row r="3296" spans="2:4" x14ac:dyDescent="0.3">
      <c r="B3296" s="74"/>
      <c r="C3296" s="74"/>
      <c r="D3296" s="74"/>
    </row>
    <row r="3297" spans="2:4" x14ac:dyDescent="0.3">
      <c r="B3297" s="74"/>
      <c r="C3297" s="74"/>
      <c r="D3297" s="74"/>
    </row>
    <row r="3298" spans="2:4" x14ac:dyDescent="0.3">
      <c r="B3298" s="74"/>
      <c r="C3298" s="74"/>
      <c r="D3298" s="74"/>
    </row>
    <row r="3299" spans="2:4" x14ac:dyDescent="0.3">
      <c r="B3299" s="74"/>
      <c r="C3299" s="74"/>
      <c r="D3299" s="74"/>
    </row>
    <row r="3300" spans="2:4" x14ac:dyDescent="0.3">
      <c r="B3300" s="74"/>
      <c r="C3300" s="74"/>
      <c r="D3300" s="74"/>
    </row>
    <row r="3301" spans="2:4" x14ac:dyDescent="0.3">
      <c r="B3301" s="74"/>
      <c r="C3301" s="74"/>
      <c r="D3301" s="74"/>
    </row>
    <row r="3302" spans="2:4" x14ac:dyDescent="0.3">
      <c r="B3302" s="74"/>
      <c r="C3302" s="74"/>
      <c r="D3302" s="74"/>
    </row>
    <row r="3303" spans="2:4" x14ac:dyDescent="0.3">
      <c r="B3303" s="74"/>
      <c r="C3303" s="74"/>
      <c r="D3303" s="74"/>
    </row>
    <row r="3304" spans="2:4" x14ac:dyDescent="0.3">
      <c r="B3304" s="74"/>
      <c r="C3304" s="74"/>
      <c r="D3304" s="74"/>
    </row>
    <row r="3305" spans="2:4" x14ac:dyDescent="0.3">
      <c r="B3305" s="74"/>
      <c r="C3305" s="74"/>
      <c r="D3305" s="74"/>
    </row>
    <row r="3306" spans="2:4" x14ac:dyDescent="0.3">
      <c r="B3306" s="74"/>
      <c r="C3306" s="74"/>
      <c r="D3306" s="74"/>
    </row>
    <row r="3307" spans="2:4" x14ac:dyDescent="0.3">
      <c r="B3307" s="74"/>
      <c r="C3307" s="74"/>
      <c r="D3307" s="74"/>
    </row>
    <row r="3308" spans="2:4" x14ac:dyDescent="0.3">
      <c r="B3308" s="74"/>
      <c r="C3308" s="74"/>
      <c r="D3308" s="74"/>
    </row>
    <row r="3309" spans="2:4" x14ac:dyDescent="0.3">
      <c r="B3309" s="74"/>
      <c r="C3309" s="74"/>
      <c r="D3309" s="74"/>
    </row>
    <row r="3310" spans="2:4" x14ac:dyDescent="0.3">
      <c r="B3310" s="74"/>
      <c r="C3310" s="74"/>
      <c r="D3310" s="74"/>
    </row>
    <row r="3311" spans="2:4" x14ac:dyDescent="0.3">
      <c r="B3311" s="74"/>
      <c r="C3311" s="74"/>
      <c r="D3311" s="74"/>
    </row>
    <row r="3312" spans="2:4" x14ac:dyDescent="0.3">
      <c r="B3312" s="74"/>
      <c r="C3312" s="74"/>
      <c r="D3312" s="74"/>
    </row>
    <row r="3313" spans="2:4" x14ac:dyDescent="0.3">
      <c r="B3313" s="74"/>
      <c r="C3313" s="74"/>
      <c r="D3313" s="74"/>
    </row>
    <row r="3314" spans="2:4" x14ac:dyDescent="0.3">
      <c r="B3314" s="74"/>
      <c r="C3314" s="74"/>
      <c r="D3314" s="74"/>
    </row>
    <row r="3315" spans="2:4" x14ac:dyDescent="0.3">
      <c r="B3315" s="74"/>
      <c r="C3315" s="74"/>
      <c r="D3315" s="74"/>
    </row>
    <row r="3316" spans="2:4" x14ac:dyDescent="0.3">
      <c r="B3316" s="74"/>
      <c r="C3316" s="74"/>
      <c r="D3316" s="74"/>
    </row>
    <row r="3317" spans="2:4" x14ac:dyDescent="0.3">
      <c r="B3317" s="74"/>
      <c r="C3317" s="74"/>
      <c r="D3317" s="74"/>
    </row>
    <row r="3318" spans="2:4" x14ac:dyDescent="0.3">
      <c r="B3318" s="74"/>
      <c r="C3318" s="74"/>
      <c r="D3318" s="74"/>
    </row>
    <row r="3319" spans="2:4" x14ac:dyDescent="0.3">
      <c r="B3319" s="74"/>
      <c r="C3319" s="74"/>
      <c r="D3319" s="74"/>
    </row>
    <row r="3320" spans="2:4" x14ac:dyDescent="0.3">
      <c r="B3320" s="74"/>
      <c r="C3320" s="74"/>
      <c r="D3320" s="74"/>
    </row>
    <row r="3321" spans="2:4" x14ac:dyDescent="0.3">
      <c r="B3321" s="74"/>
      <c r="C3321" s="74"/>
      <c r="D3321" s="74"/>
    </row>
    <row r="3322" spans="2:4" x14ac:dyDescent="0.3">
      <c r="B3322" s="74"/>
      <c r="C3322" s="74"/>
      <c r="D3322" s="74"/>
    </row>
    <row r="3323" spans="2:4" x14ac:dyDescent="0.3">
      <c r="B3323" s="74"/>
      <c r="C3323" s="74"/>
      <c r="D3323" s="74"/>
    </row>
    <row r="3324" spans="2:4" x14ac:dyDescent="0.3">
      <c r="B3324" s="74"/>
      <c r="C3324" s="74"/>
      <c r="D3324" s="74"/>
    </row>
    <row r="3325" spans="2:4" x14ac:dyDescent="0.3">
      <c r="B3325" s="74"/>
      <c r="C3325" s="74"/>
      <c r="D3325" s="74"/>
    </row>
    <row r="3326" spans="2:4" x14ac:dyDescent="0.3">
      <c r="B3326" s="74"/>
      <c r="C3326" s="74"/>
      <c r="D3326" s="74"/>
    </row>
    <row r="3327" spans="2:4" x14ac:dyDescent="0.3">
      <c r="B3327" s="74"/>
      <c r="C3327" s="74"/>
      <c r="D3327" s="74"/>
    </row>
    <row r="3328" spans="2:4" x14ac:dyDescent="0.3">
      <c r="B3328" s="74"/>
      <c r="C3328" s="74"/>
      <c r="D3328" s="74"/>
    </row>
    <row r="3329" spans="2:4" x14ac:dyDescent="0.3">
      <c r="B3329" s="74"/>
      <c r="C3329" s="74"/>
      <c r="D3329" s="74"/>
    </row>
    <row r="3330" spans="2:4" x14ac:dyDescent="0.3">
      <c r="B3330" s="74"/>
      <c r="C3330" s="74"/>
      <c r="D3330" s="74"/>
    </row>
    <row r="3331" spans="2:4" x14ac:dyDescent="0.3">
      <c r="B3331" s="74"/>
      <c r="C3331" s="74"/>
      <c r="D3331" s="74"/>
    </row>
    <row r="3332" spans="2:4" x14ac:dyDescent="0.3">
      <c r="B3332" s="74"/>
      <c r="C3332" s="74"/>
      <c r="D3332" s="74"/>
    </row>
    <row r="3333" spans="2:4" x14ac:dyDescent="0.3">
      <c r="B3333" s="74"/>
      <c r="C3333" s="74"/>
      <c r="D3333" s="74"/>
    </row>
    <row r="3334" spans="2:4" x14ac:dyDescent="0.3">
      <c r="B3334" s="74"/>
      <c r="C3334" s="74"/>
      <c r="D3334" s="74"/>
    </row>
    <row r="3335" spans="2:4" x14ac:dyDescent="0.3">
      <c r="B3335" s="74"/>
      <c r="C3335" s="74"/>
      <c r="D3335" s="74"/>
    </row>
    <row r="3336" spans="2:4" x14ac:dyDescent="0.3">
      <c r="B3336" s="74"/>
      <c r="C3336" s="74"/>
      <c r="D3336" s="74"/>
    </row>
    <row r="3337" spans="2:4" x14ac:dyDescent="0.3">
      <c r="B3337" s="74"/>
      <c r="C3337" s="74"/>
      <c r="D3337" s="74"/>
    </row>
    <row r="3338" spans="2:4" x14ac:dyDescent="0.3">
      <c r="B3338" s="74"/>
      <c r="C3338" s="74"/>
      <c r="D3338" s="74"/>
    </row>
    <row r="3339" spans="2:4" x14ac:dyDescent="0.3">
      <c r="B3339" s="74"/>
      <c r="C3339" s="74"/>
      <c r="D3339" s="74"/>
    </row>
    <row r="3340" spans="2:4" x14ac:dyDescent="0.3">
      <c r="B3340" s="74"/>
      <c r="C3340" s="74"/>
      <c r="D3340" s="74"/>
    </row>
    <row r="3341" spans="2:4" x14ac:dyDescent="0.3">
      <c r="B3341" s="74"/>
      <c r="C3341" s="74"/>
      <c r="D3341" s="74"/>
    </row>
    <row r="3342" spans="2:4" x14ac:dyDescent="0.3">
      <c r="B3342" s="74"/>
      <c r="C3342" s="74"/>
      <c r="D3342" s="74"/>
    </row>
    <row r="3343" spans="2:4" x14ac:dyDescent="0.3">
      <c r="B3343" s="74"/>
      <c r="C3343" s="74"/>
      <c r="D3343" s="74"/>
    </row>
    <row r="3344" spans="2:4" x14ac:dyDescent="0.3">
      <c r="B3344" s="74"/>
      <c r="C3344" s="74"/>
      <c r="D3344" s="74"/>
    </row>
    <row r="3345" spans="2:4" x14ac:dyDescent="0.3">
      <c r="B3345" s="74"/>
      <c r="C3345" s="74"/>
      <c r="D3345" s="74"/>
    </row>
    <row r="3346" spans="2:4" x14ac:dyDescent="0.3">
      <c r="B3346" s="74"/>
      <c r="C3346" s="74"/>
      <c r="D3346" s="74"/>
    </row>
    <row r="3347" spans="2:4" x14ac:dyDescent="0.3">
      <c r="B3347" s="74"/>
      <c r="C3347" s="74"/>
      <c r="D3347" s="74"/>
    </row>
    <row r="3348" spans="2:4" x14ac:dyDescent="0.3">
      <c r="B3348" s="74"/>
      <c r="C3348" s="74"/>
      <c r="D3348" s="74"/>
    </row>
    <row r="3349" spans="2:4" x14ac:dyDescent="0.3">
      <c r="B3349" s="74"/>
      <c r="C3349" s="74"/>
      <c r="D3349" s="74"/>
    </row>
    <row r="3350" spans="2:4" x14ac:dyDescent="0.3">
      <c r="B3350" s="74"/>
      <c r="C3350" s="74"/>
      <c r="D3350" s="74"/>
    </row>
    <row r="3351" spans="2:4" x14ac:dyDescent="0.3">
      <c r="B3351" s="74"/>
      <c r="C3351" s="74"/>
      <c r="D3351" s="74"/>
    </row>
    <row r="3352" spans="2:4" x14ac:dyDescent="0.3">
      <c r="B3352" s="74"/>
      <c r="C3352" s="74"/>
      <c r="D3352" s="74"/>
    </row>
    <row r="3353" spans="2:4" x14ac:dyDescent="0.3">
      <c r="B3353" s="74"/>
      <c r="C3353" s="74"/>
      <c r="D3353" s="74"/>
    </row>
    <row r="3354" spans="2:4" x14ac:dyDescent="0.3">
      <c r="B3354" s="74"/>
      <c r="C3354" s="74"/>
      <c r="D3354" s="74"/>
    </row>
    <row r="3355" spans="2:4" x14ac:dyDescent="0.3">
      <c r="B3355" s="74"/>
      <c r="C3355" s="74"/>
      <c r="D3355" s="74"/>
    </row>
    <row r="3356" spans="2:4" x14ac:dyDescent="0.3">
      <c r="B3356" s="74"/>
      <c r="C3356" s="74"/>
      <c r="D3356" s="74"/>
    </row>
    <row r="3357" spans="2:4" x14ac:dyDescent="0.3">
      <c r="B3357" s="74"/>
      <c r="C3357" s="74"/>
      <c r="D3357" s="74"/>
    </row>
    <row r="3358" spans="2:4" x14ac:dyDescent="0.3">
      <c r="B3358" s="74"/>
      <c r="C3358" s="74"/>
      <c r="D3358" s="74"/>
    </row>
    <row r="3359" spans="2:4" x14ac:dyDescent="0.3">
      <c r="B3359" s="74"/>
      <c r="C3359" s="74"/>
      <c r="D3359" s="74"/>
    </row>
    <row r="3360" spans="2:4" x14ac:dyDescent="0.3">
      <c r="B3360" s="74"/>
      <c r="C3360" s="74"/>
      <c r="D3360" s="74"/>
    </row>
    <row r="3361" spans="2:4" x14ac:dyDescent="0.3">
      <c r="B3361" s="74"/>
      <c r="C3361" s="74"/>
      <c r="D3361" s="74"/>
    </row>
    <row r="3362" spans="2:4" x14ac:dyDescent="0.3">
      <c r="B3362" s="74"/>
      <c r="C3362" s="74"/>
      <c r="D3362" s="74"/>
    </row>
    <row r="3363" spans="2:4" x14ac:dyDescent="0.3">
      <c r="B3363" s="74"/>
      <c r="C3363" s="74"/>
      <c r="D3363" s="74"/>
    </row>
    <row r="3364" spans="2:4" x14ac:dyDescent="0.3">
      <c r="B3364" s="74"/>
      <c r="C3364" s="74"/>
      <c r="D3364" s="74"/>
    </row>
    <row r="3365" spans="2:4" x14ac:dyDescent="0.3">
      <c r="B3365" s="74"/>
      <c r="C3365" s="74"/>
      <c r="D3365" s="74"/>
    </row>
    <row r="3366" spans="2:4" x14ac:dyDescent="0.3">
      <c r="B3366" s="74"/>
      <c r="C3366" s="74"/>
      <c r="D3366" s="74"/>
    </row>
    <row r="3367" spans="2:4" x14ac:dyDescent="0.3">
      <c r="B3367" s="74"/>
      <c r="C3367" s="74"/>
      <c r="D3367" s="74"/>
    </row>
    <row r="3368" spans="2:4" x14ac:dyDescent="0.3">
      <c r="B3368" s="74"/>
      <c r="C3368" s="74"/>
      <c r="D3368" s="74"/>
    </row>
    <row r="3369" spans="2:4" x14ac:dyDescent="0.3">
      <c r="B3369" s="74"/>
      <c r="C3369" s="74"/>
      <c r="D3369" s="74"/>
    </row>
    <row r="3370" spans="2:4" x14ac:dyDescent="0.3">
      <c r="B3370" s="74"/>
      <c r="C3370" s="74"/>
      <c r="D3370" s="74"/>
    </row>
    <row r="3371" spans="2:4" x14ac:dyDescent="0.3">
      <c r="B3371" s="74"/>
      <c r="C3371" s="74"/>
      <c r="D3371" s="74"/>
    </row>
    <row r="3372" spans="2:4" x14ac:dyDescent="0.3">
      <c r="B3372" s="74"/>
      <c r="C3372" s="74"/>
      <c r="D3372" s="74"/>
    </row>
    <row r="3373" spans="2:4" x14ac:dyDescent="0.3">
      <c r="B3373" s="74"/>
      <c r="C3373" s="74"/>
      <c r="D3373" s="74"/>
    </row>
    <row r="3374" spans="2:4" x14ac:dyDescent="0.3">
      <c r="B3374" s="74"/>
      <c r="C3374" s="74"/>
      <c r="D3374" s="74"/>
    </row>
    <row r="3375" spans="2:4" x14ac:dyDescent="0.3">
      <c r="B3375" s="74"/>
      <c r="C3375" s="74"/>
      <c r="D3375" s="74"/>
    </row>
    <row r="3376" spans="2:4" x14ac:dyDescent="0.3">
      <c r="B3376" s="74"/>
      <c r="C3376" s="74"/>
      <c r="D3376" s="74"/>
    </row>
    <row r="3377" spans="2:4" x14ac:dyDescent="0.3">
      <c r="B3377" s="74"/>
      <c r="C3377" s="74"/>
      <c r="D3377" s="74"/>
    </row>
    <row r="3378" spans="2:4" x14ac:dyDescent="0.3">
      <c r="B3378" s="74"/>
      <c r="C3378" s="74"/>
      <c r="D3378" s="74"/>
    </row>
    <row r="3379" spans="2:4" x14ac:dyDescent="0.3">
      <c r="B3379" s="74"/>
      <c r="C3379" s="74"/>
      <c r="D3379" s="74"/>
    </row>
    <row r="3380" spans="2:4" x14ac:dyDescent="0.3">
      <c r="B3380" s="74"/>
      <c r="C3380" s="74"/>
      <c r="D3380" s="74"/>
    </row>
    <row r="3381" spans="2:4" x14ac:dyDescent="0.3">
      <c r="B3381" s="74"/>
      <c r="C3381" s="74"/>
      <c r="D3381" s="74"/>
    </row>
    <row r="3382" spans="2:4" x14ac:dyDescent="0.3">
      <c r="B3382" s="74"/>
      <c r="C3382" s="74"/>
      <c r="D3382" s="74"/>
    </row>
    <row r="3383" spans="2:4" x14ac:dyDescent="0.3">
      <c r="B3383" s="74"/>
      <c r="C3383" s="74"/>
      <c r="D3383" s="74"/>
    </row>
    <row r="3384" spans="2:4" x14ac:dyDescent="0.3">
      <c r="B3384" s="74"/>
      <c r="C3384" s="74"/>
      <c r="D3384" s="74"/>
    </row>
    <row r="3385" spans="2:4" x14ac:dyDescent="0.3">
      <c r="B3385" s="74"/>
      <c r="C3385" s="74"/>
      <c r="D3385" s="74"/>
    </row>
    <row r="3386" spans="2:4" x14ac:dyDescent="0.3">
      <c r="B3386" s="74"/>
      <c r="C3386" s="74"/>
      <c r="D3386" s="74"/>
    </row>
    <row r="3387" spans="2:4" x14ac:dyDescent="0.3">
      <c r="B3387" s="74"/>
      <c r="C3387" s="74"/>
      <c r="D3387" s="74"/>
    </row>
    <row r="3388" spans="2:4" x14ac:dyDescent="0.3">
      <c r="B3388" s="74"/>
      <c r="C3388" s="74"/>
      <c r="D3388" s="74"/>
    </row>
    <row r="3389" spans="2:4" x14ac:dyDescent="0.3">
      <c r="B3389" s="74"/>
      <c r="C3389" s="74"/>
      <c r="D3389" s="74"/>
    </row>
    <row r="3390" spans="2:4" x14ac:dyDescent="0.3">
      <c r="B3390" s="74"/>
      <c r="C3390" s="74"/>
      <c r="D3390" s="74"/>
    </row>
    <row r="3391" spans="2:4" x14ac:dyDescent="0.3">
      <c r="B3391" s="74"/>
      <c r="C3391" s="74"/>
      <c r="D3391" s="74"/>
    </row>
    <row r="3392" spans="2:4" x14ac:dyDescent="0.3">
      <c r="B3392" s="74"/>
      <c r="C3392" s="74"/>
      <c r="D3392" s="74"/>
    </row>
    <row r="3393" spans="2:4" x14ac:dyDescent="0.3">
      <c r="B3393" s="74"/>
      <c r="C3393" s="74"/>
      <c r="D3393" s="74"/>
    </row>
    <row r="3394" spans="2:4" x14ac:dyDescent="0.3">
      <c r="B3394" s="74"/>
      <c r="C3394" s="74"/>
      <c r="D3394" s="74"/>
    </row>
    <row r="3395" spans="2:4" x14ac:dyDescent="0.3">
      <c r="B3395" s="74"/>
      <c r="C3395" s="74"/>
      <c r="D3395" s="74"/>
    </row>
    <row r="3396" spans="2:4" x14ac:dyDescent="0.3">
      <c r="B3396" s="74"/>
      <c r="C3396" s="74"/>
      <c r="D3396" s="74"/>
    </row>
    <row r="3397" spans="2:4" x14ac:dyDescent="0.3">
      <c r="B3397" s="74"/>
      <c r="C3397" s="74"/>
      <c r="D3397" s="74"/>
    </row>
    <row r="3398" spans="2:4" x14ac:dyDescent="0.3">
      <c r="B3398" s="74"/>
      <c r="C3398" s="74"/>
      <c r="D3398" s="74"/>
    </row>
    <row r="3399" spans="2:4" x14ac:dyDescent="0.3">
      <c r="B3399" s="74"/>
      <c r="C3399" s="74"/>
      <c r="D3399" s="74"/>
    </row>
    <row r="3400" spans="2:4" x14ac:dyDescent="0.3">
      <c r="B3400" s="74"/>
      <c r="C3400" s="74"/>
      <c r="D3400" s="74"/>
    </row>
    <row r="3401" spans="2:4" x14ac:dyDescent="0.3">
      <c r="B3401" s="74"/>
      <c r="C3401" s="74"/>
      <c r="D3401" s="74"/>
    </row>
    <row r="3402" spans="2:4" x14ac:dyDescent="0.3">
      <c r="B3402" s="74"/>
      <c r="C3402" s="74"/>
      <c r="D3402" s="74"/>
    </row>
    <row r="3403" spans="2:4" x14ac:dyDescent="0.3">
      <c r="B3403" s="74"/>
      <c r="C3403" s="74"/>
      <c r="D3403" s="74"/>
    </row>
    <row r="3404" spans="2:4" x14ac:dyDescent="0.3">
      <c r="B3404" s="74"/>
      <c r="C3404" s="74"/>
      <c r="D3404" s="74"/>
    </row>
    <row r="3405" spans="2:4" x14ac:dyDescent="0.3">
      <c r="B3405" s="74"/>
      <c r="C3405" s="74"/>
      <c r="D3405" s="74"/>
    </row>
    <row r="3406" spans="2:4" x14ac:dyDescent="0.3">
      <c r="B3406" s="74"/>
      <c r="C3406" s="74"/>
      <c r="D3406" s="74"/>
    </row>
    <row r="3407" spans="2:4" x14ac:dyDescent="0.3">
      <c r="B3407" s="74"/>
      <c r="C3407" s="74"/>
      <c r="D3407" s="74"/>
    </row>
    <row r="3408" spans="2:4" x14ac:dyDescent="0.3">
      <c r="B3408" s="74"/>
      <c r="C3408" s="74"/>
      <c r="D3408" s="74"/>
    </row>
    <row r="3409" spans="2:4" x14ac:dyDescent="0.3">
      <c r="B3409" s="74"/>
      <c r="C3409" s="74"/>
      <c r="D3409" s="74"/>
    </row>
    <row r="3410" spans="2:4" x14ac:dyDescent="0.3">
      <c r="B3410" s="74"/>
      <c r="C3410" s="74"/>
      <c r="D3410" s="74"/>
    </row>
    <row r="3411" spans="2:4" x14ac:dyDescent="0.3">
      <c r="B3411" s="74"/>
      <c r="C3411" s="74"/>
      <c r="D3411" s="74"/>
    </row>
    <row r="3412" spans="2:4" x14ac:dyDescent="0.3">
      <c r="B3412" s="74"/>
      <c r="C3412" s="74"/>
      <c r="D3412" s="74"/>
    </row>
    <row r="3413" spans="2:4" x14ac:dyDescent="0.3">
      <c r="B3413" s="74"/>
      <c r="C3413" s="74"/>
      <c r="D3413" s="74"/>
    </row>
    <row r="3414" spans="2:4" x14ac:dyDescent="0.3">
      <c r="B3414" s="74"/>
      <c r="C3414" s="74"/>
      <c r="D3414" s="74"/>
    </row>
    <row r="3415" spans="2:4" x14ac:dyDescent="0.3">
      <c r="B3415" s="74"/>
      <c r="C3415" s="74"/>
      <c r="D3415" s="74"/>
    </row>
    <row r="3416" spans="2:4" x14ac:dyDescent="0.3">
      <c r="B3416" s="74"/>
      <c r="C3416" s="74"/>
      <c r="D3416" s="74"/>
    </row>
    <row r="3417" spans="2:4" x14ac:dyDescent="0.3">
      <c r="B3417" s="74"/>
      <c r="C3417" s="74"/>
      <c r="D3417" s="74"/>
    </row>
    <row r="3418" spans="2:4" x14ac:dyDescent="0.3">
      <c r="B3418" s="74"/>
      <c r="C3418" s="74"/>
      <c r="D3418" s="74"/>
    </row>
    <row r="3419" spans="2:4" x14ac:dyDescent="0.3">
      <c r="B3419" s="74"/>
      <c r="C3419" s="74"/>
      <c r="D3419" s="74"/>
    </row>
    <row r="3420" spans="2:4" x14ac:dyDescent="0.3">
      <c r="B3420" s="74"/>
      <c r="C3420" s="74"/>
      <c r="D3420" s="74"/>
    </row>
    <row r="3421" spans="2:4" x14ac:dyDescent="0.3">
      <c r="B3421" s="74"/>
      <c r="C3421" s="74"/>
      <c r="D3421" s="74"/>
    </row>
    <row r="3422" spans="2:4" x14ac:dyDescent="0.3">
      <c r="B3422" s="74"/>
      <c r="C3422" s="74"/>
      <c r="D3422" s="74"/>
    </row>
    <row r="3423" spans="2:4" x14ac:dyDescent="0.3">
      <c r="B3423" s="74"/>
      <c r="C3423" s="74"/>
      <c r="D3423" s="74"/>
    </row>
    <row r="3424" spans="2:4" x14ac:dyDescent="0.3">
      <c r="B3424" s="74"/>
      <c r="C3424" s="74"/>
      <c r="D3424" s="74"/>
    </row>
    <row r="3425" spans="2:4" x14ac:dyDescent="0.3">
      <c r="B3425" s="74"/>
      <c r="C3425" s="74"/>
      <c r="D3425" s="74"/>
    </row>
    <row r="3426" spans="2:4" x14ac:dyDescent="0.3">
      <c r="B3426" s="74"/>
      <c r="C3426" s="74"/>
      <c r="D3426" s="74"/>
    </row>
    <row r="3427" spans="2:4" x14ac:dyDescent="0.3">
      <c r="B3427" s="74"/>
      <c r="C3427" s="74"/>
      <c r="D3427" s="74"/>
    </row>
    <row r="3428" spans="2:4" x14ac:dyDescent="0.3">
      <c r="B3428" s="74"/>
      <c r="C3428" s="74"/>
      <c r="D3428" s="74"/>
    </row>
    <row r="3429" spans="2:4" x14ac:dyDescent="0.3">
      <c r="B3429" s="74"/>
      <c r="C3429" s="74"/>
      <c r="D3429" s="74"/>
    </row>
    <row r="3430" spans="2:4" x14ac:dyDescent="0.3">
      <c r="B3430" s="74"/>
      <c r="C3430" s="74"/>
      <c r="D3430" s="74"/>
    </row>
    <row r="3431" spans="2:4" x14ac:dyDescent="0.3">
      <c r="B3431" s="74"/>
      <c r="C3431" s="74"/>
      <c r="D3431" s="74"/>
    </row>
    <row r="3432" spans="2:4" x14ac:dyDescent="0.3">
      <c r="B3432" s="74"/>
      <c r="C3432" s="74"/>
      <c r="D3432" s="74"/>
    </row>
    <row r="3433" spans="2:4" x14ac:dyDescent="0.3">
      <c r="B3433" s="74"/>
      <c r="C3433" s="74"/>
      <c r="D3433" s="74"/>
    </row>
    <row r="3434" spans="2:4" x14ac:dyDescent="0.3">
      <c r="B3434" s="74"/>
      <c r="C3434" s="74"/>
      <c r="D3434" s="74"/>
    </row>
    <row r="3435" spans="2:4" x14ac:dyDescent="0.3">
      <c r="B3435" s="74"/>
      <c r="C3435" s="74"/>
      <c r="D3435" s="74"/>
    </row>
    <row r="3436" spans="2:4" x14ac:dyDescent="0.3">
      <c r="B3436" s="74"/>
      <c r="C3436" s="74"/>
      <c r="D3436" s="74"/>
    </row>
    <row r="3437" spans="2:4" x14ac:dyDescent="0.3">
      <c r="B3437" s="74"/>
      <c r="C3437" s="74"/>
      <c r="D3437" s="74"/>
    </row>
    <row r="3438" spans="2:4" x14ac:dyDescent="0.3">
      <c r="B3438" s="74"/>
      <c r="C3438" s="74"/>
      <c r="D3438" s="74"/>
    </row>
    <row r="3439" spans="2:4" x14ac:dyDescent="0.3">
      <c r="B3439" s="74"/>
      <c r="C3439" s="74"/>
      <c r="D3439" s="74"/>
    </row>
    <row r="3440" spans="2:4" x14ac:dyDescent="0.3">
      <c r="B3440" s="74"/>
      <c r="C3440" s="74"/>
      <c r="D3440" s="74"/>
    </row>
    <row r="3441" spans="2:4" x14ac:dyDescent="0.3">
      <c r="B3441" s="74"/>
      <c r="C3441" s="74"/>
      <c r="D3441" s="74"/>
    </row>
    <row r="3442" spans="2:4" x14ac:dyDescent="0.3">
      <c r="B3442" s="74"/>
      <c r="C3442" s="74"/>
      <c r="D3442" s="74"/>
    </row>
    <row r="3443" spans="2:4" x14ac:dyDescent="0.3">
      <c r="B3443" s="74"/>
      <c r="C3443" s="74"/>
      <c r="D3443" s="74"/>
    </row>
    <row r="3444" spans="2:4" x14ac:dyDescent="0.3">
      <c r="B3444" s="74"/>
      <c r="C3444" s="74"/>
      <c r="D3444" s="74"/>
    </row>
    <row r="3445" spans="2:4" x14ac:dyDescent="0.3">
      <c r="B3445" s="74"/>
      <c r="C3445" s="74"/>
      <c r="D3445" s="74"/>
    </row>
    <row r="3446" spans="2:4" x14ac:dyDescent="0.3">
      <c r="B3446" s="74"/>
      <c r="C3446" s="74"/>
      <c r="D3446" s="74"/>
    </row>
    <row r="3447" spans="2:4" x14ac:dyDescent="0.3">
      <c r="B3447" s="74"/>
      <c r="C3447" s="74"/>
      <c r="D3447" s="74"/>
    </row>
    <row r="3448" spans="2:4" x14ac:dyDescent="0.3">
      <c r="B3448" s="74"/>
      <c r="C3448" s="74"/>
      <c r="D3448" s="74"/>
    </row>
    <row r="3449" spans="2:4" x14ac:dyDescent="0.3">
      <c r="B3449" s="74"/>
      <c r="C3449" s="74"/>
      <c r="D3449" s="74"/>
    </row>
    <row r="3450" spans="2:4" x14ac:dyDescent="0.3">
      <c r="B3450" s="74"/>
      <c r="C3450" s="74"/>
      <c r="D3450" s="74"/>
    </row>
    <row r="3451" spans="2:4" x14ac:dyDescent="0.3">
      <c r="B3451" s="74"/>
      <c r="C3451" s="74"/>
      <c r="D3451" s="74"/>
    </row>
    <row r="3452" spans="2:4" x14ac:dyDescent="0.3">
      <c r="B3452" s="74"/>
      <c r="C3452" s="74"/>
      <c r="D3452" s="74"/>
    </row>
    <row r="3453" spans="2:4" x14ac:dyDescent="0.3">
      <c r="B3453" s="74"/>
      <c r="C3453" s="74"/>
      <c r="D3453" s="74"/>
    </row>
    <row r="3454" spans="2:4" x14ac:dyDescent="0.3">
      <c r="B3454" s="74"/>
      <c r="C3454" s="74"/>
      <c r="D3454" s="74"/>
    </row>
    <row r="3455" spans="2:4" x14ac:dyDescent="0.3">
      <c r="B3455" s="74"/>
      <c r="C3455" s="74"/>
      <c r="D3455" s="74"/>
    </row>
    <row r="3456" spans="2:4" x14ac:dyDescent="0.3">
      <c r="B3456" s="74"/>
      <c r="C3456" s="74"/>
      <c r="D3456" s="74"/>
    </row>
    <row r="3457" spans="2:4" x14ac:dyDescent="0.3">
      <c r="B3457" s="74"/>
      <c r="C3457" s="74"/>
      <c r="D3457" s="74"/>
    </row>
    <row r="3458" spans="2:4" x14ac:dyDescent="0.3">
      <c r="B3458" s="74"/>
      <c r="C3458" s="74"/>
      <c r="D3458" s="74"/>
    </row>
    <row r="3459" spans="2:4" x14ac:dyDescent="0.3">
      <c r="B3459" s="74"/>
      <c r="C3459" s="74"/>
      <c r="D3459" s="74"/>
    </row>
    <row r="3460" spans="2:4" x14ac:dyDescent="0.3">
      <c r="B3460" s="74"/>
      <c r="C3460" s="74"/>
      <c r="D3460" s="74"/>
    </row>
    <row r="3461" spans="2:4" x14ac:dyDescent="0.3">
      <c r="B3461" s="74"/>
      <c r="C3461" s="74"/>
      <c r="D3461" s="74"/>
    </row>
    <row r="3462" spans="2:4" x14ac:dyDescent="0.3">
      <c r="B3462" s="74"/>
      <c r="C3462" s="74"/>
      <c r="D3462" s="74"/>
    </row>
    <row r="3463" spans="2:4" x14ac:dyDescent="0.3">
      <c r="B3463" s="74"/>
      <c r="C3463" s="74"/>
      <c r="D3463" s="74"/>
    </row>
    <row r="3464" spans="2:4" x14ac:dyDescent="0.3">
      <c r="B3464" s="74"/>
      <c r="C3464" s="74"/>
      <c r="D3464" s="74"/>
    </row>
    <row r="3465" spans="2:4" x14ac:dyDescent="0.3">
      <c r="B3465" s="74"/>
      <c r="C3465" s="74"/>
      <c r="D3465" s="74"/>
    </row>
    <row r="3466" spans="2:4" x14ac:dyDescent="0.3">
      <c r="B3466" s="74"/>
      <c r="C3466" s="74"/>
      <c r="D3466" s="74"/>
    </row>
    <row r="3467" spans="2:4" x14ac:dyDescent="0.3">
      <c r="B3467" s="74"/>
      <c r="C3467" s="74"/>
      <c r="D3467" s="74"/>
    </row>
    <row r="3468" spans="2:4" x14ac:dyDescent="0.3">
      <c r="B3468" s="74"/>
      <c r="C3468" s="74"/>
      <c r="D3468" s="74"/>
    </row>
    <row r="3469" spans="2:4" x14ac:dyDescent="0.3">
      <c r="B3469" s="74"/>
      <c r="C3469" s="74"/>
      <c r="D3469" s="74"/>
    </row>
    <row r="3470" spans="2:4" x14ac:dyDescent="0.3">
      <c r="B3470" s="74"/>
      <c r="C3470" s="74"/>
      <c r="D3470" s="74"/>
    </row>
    <row r="3471" spans="2:4" x14ac:dyDescent="0.3">
      <c r="B3471" s="74"/>
      <c r="C3471" s="74"/>
      <c r="D3471" s="74"/>
    </row>
    <row r="3472" spans="2:4" x14ac:dyDescent="0.3">
      <c r="B3472" s="74"/>
      <c r="C3472" s="74"/>
      <c r="D3472" s="74"/>
    </row>
    <row r="3473" spans="2:4" x14ac:dyDescent="0.3">
      <c r="B3473" s="74"/>
      <c r="C3473" s="74"/>
      <c r="D3473" s="74"/>
    </row>
    <row r="3474" spans="2:4" x14ac:dyDescent="0.3">
      <c r="B3474" s="74"/>
      <c r="C3474" s="74"/>
      <c r="D3474" s="74"/>
    </row>
    <row r="3475" spans="2:4" x14ac:dyDescent="0.3">
      <c r="B3475" s="74"/>
      <c r="C3475" s="74"/>
      <c r="D3475" s="74"/>
    </row>
    <row r="3476" spans="2:4" x14ac:dyDescent="0.3">
      <c r="B3476" s="74"/>
      <c r="C3476" s="74"/>
      <c r="D3476" s="74"/>
    </row>
    <row r="3477" spans="2:4" x14ac:dyDescent="0.3">
      <c r="B3477" s="74"/>
      <c r="C3477" s="74"/>
      <c r="D3477" s="74"/>
    </row>
    <row r="3478" spans="2:4" x14ac:dyDescent="0.3">
      <c r="B3478" s="74"/>
      <c r="C3478" s="74"/>
      <c r="D3478" s="74"/>
    </row>
    <row r="3479" spans="2:4" x14ac:dyDescent="0.3">
      <c r="B3479" s="74"/>
      <c r="C3479" s="74"/>
      <c r="D3479" s="74"/>
    </row>
    <row r="3480" spans="2:4" x14ac:dyDescent="0.3">
      <c r="B3480" s="74"/>
      <c r="C3480" s="74"/>
      <c r="D3480" s="74"/>
    </row>
    <row r="3481" spans="2:4" x14ac:dyDescent="0.3">
      <c r="B3481" s="74"/>
      <c r="C3481" s="74"/>
      <c r="D3481" s="74"/>
    </row>
    <row r="3482" spans="2:4" x14ac:dyDescent="0.3">
      <c r="B3482" s="74"/>
      <c r="C3482" s="74"/>
      <c r="D3482" s="74"/>
    </row>
    <row r="3483" spans="2:4" x14ac:dyDescent="0.3">
      <c r="B3483" s="74"/>
      <c r="C3483" s="74"/>
      <c r="D3483" s="74"/>
    </row>
    <row r="3484" spans="2:4" x14ac:dyDescent="0.3">
      <c r="B3484" s="74"/>
      <c r="C3484" s="74"/>
      <c r="D3484" s="74"/>
    </row>
    <row r="3485" spans="2:4" x14ac:dyDescent="0.3">
      <c r="B3485" s="74"/>
      <c r="C3485" s="74"/>
      <c r="D3485" s="74"/>
    </row>
    <row r="3486" spans="2:4" x14ac:dyDescent="0.3">
      <c r="B3486" s="74"/>
      <c r="C3486" s="74"/>
      <c r="D3486" s="74"/>
    </row>
    <row r="3487" spans="2:4" x14ac:dyDescent="0.3">
      <c r="B3487" s="74"/>
      <c r="C3487" s="74"/>
      <c r="D3487" s="74"/>
    </row>
    <row r="3488" spans="2:4" x14ac:dyDescent="0.3">
      <c r="B3488" s="74"/>
      <c r="C3488" s="74"/>
      <c r="D3488" s="74"/>
    </row>
    <row r="3489" spans="2:4" x14ac:dyDescent="0.3">
      <c r="B3489" s="74"/>
      <c r="C3489" s="74"/>
      <c r="D3489" s="74"/>
    </row>
    <row r="3490" spans="2:4" x14ac:dyDescent="0.3">
      <c r="B3490" s="74"/>
      <c r="C3490" s="74"/>
      <c r="D3490" s="74"/>
    </row>
    <row r="3491" spans="2:4" x14ac:dyDescent="0.3">
      <c r="B3491" s="74"/>
      <c r="C3491" s="74"/>
      <c r="D3491" s="74"/>
    </row>
    <row r="3492" spans="2:4" x14ac:dyDescent="0.3">
      <c r="B3492" s="74"/>
      <c r="C3492" s="74"/>
      <c r="D3492" s="74"/>
    </row>
    <row r="3493" spans="2:4" x14ac:dyDescent="0.3">
      <c r="B3493" s="74"/>
      <c r="C3493" s="74"/>
      <c r="D3493" s="74"/>
    </row>
    <row r="3494" spans="2:4" x14ac:dyDescent="0.3">
      <c r="B3494" s="74"/>
      <c r="C3494" s="74"/>
      <c r="D3494" s="74"/>
    </row>
    <row r="3495" spans="2:4" x14ac:dyDescent="0.3">
      <c r="B3495" s="74"/>
      <c r="C3495" s="74"/>
      <c r="D3495" s="74"/>
    </row>
    <row r="3496" spans="2:4" x14ac:dyDescent="0.3">
      <c r="B3496" s="74"/>
      <c r="C3496" s="74"/>
      <c r="D3496" s="74"/>
    </row>
    <row r="3497" spans="2:4" x14ac:dyDescent="0.3">
      <c r="B3497" s="74"/>
      <c r="C3497" s="74"/>
      <c r="D3497" s="74"/>
    </row>
    <row r="3498" spans="2:4" x14ac:dyDescent="0.3">
      <c r="B3498" s="74"/>
      <c r="C3498" s="74"/>
      <c r="D3498" s="74"/>
    </row>
    <row r="3499" spans="2:4" x14ac:dyDescent="0.3">
      <c r="B3499" s="74"/>
      <c r="C3499" s="74"/>
      <c r="D3499" s="74"/>
    </row>
    <row r="3500" spans="2:4" x14ac:dyDescent="0.3">
      <c r="B3500" s="74"/>
      <c r="C3500" s="74"/>
      <c r="D3500" s="74"/>
    </row>
    <row r="3501" spans="2:4" x14ac:dyDescent="0.3">
      <c r="B3501" s="74"/>
      <c r="C3501" s="74"/>
      <c r="D3501" s="74"/>
    </row>
    <row r="3502" spans="2:4" x14ac:dyDescent="0.3">
      <c r="B3502" s="74"/>
      <c r="C3502" s="74"/>
      <c r="D3502" s="74"/>
    </row>
    <row r="3503" spans="2:4" x14ac:dyDescent="0.3">
      <c r="B3503" s="74"/>
      <c r="C3503" s="74"/>
      <c r="D3503" s="74"/>
    </row>
    <row r="3504" spans="2:4" x14ac:dyDescent="0.3">
      <c r="B3504" s="74"/>
      <c r="C3504" s="74"/>
      <c r="D3504" s="74"/>
    </row>
    <row r="3505" spans="2:4" x14ac:dyDescent="0.3">
      <c r="B3505" s="74"/>
      <c r="C3505" s="74"/>
      <c r="D3505" s="74"/>
    </row>
    <row r="3506" spans="2:4" x14ac:dyDescent="0.3">
      <c r="B3506" s="74"/>
      <c r="C3506" s="74"/>
      <c r="D3506" s="74"/>
    </row>
    <row r="3507" spans="2:4" x14ac:dyDescent="0.3">
      <c r="B3507" s="74"/>
      <c r="C3507" s="74"/>
      <c r="D3507" s="74"/>
    </row>
    <row r="3508" spans="2:4" x14ac:dyDescent="0.3">
      <c r="B3508" s="74"/>
      <c r="C3508" s="74"/>
      <c r="D3508" s="74"/>
    </row>
    <row r="3509" spans="2:4" x14ac:dyDescent="0.3">
      <c r="B3509" s="74"/>
      <c r="C3509" s="74"/>
      <c r="D3509" s="74"/>
    </row>
    <row r="3510" spans="2:4" x14ac:dyDescent="0.3">
      <c r="B3510" s="74"/>
      <c r="C3510" s="74"/>
      <c r="D3510" s="74"/>
    </row>
    <row r="3511" spans="2:4" x14ac:dyDescent="0.3">
      <c r="B3511" s="74"/>
      <c r="C3511" s="74"/>
      <c r="D3511" s="74"/>
    </row>
    <row r="3512" spans="2:4" x14ac:dyDescent="0.3">
      <c r="B3512" s="74"/>
      <c r="C3512" s="74"/>
      <c r="D3512" s="74"/>
    </row>
    <row r="3513" spans="2:4" x14ac:dyDescent="0.3">
      <c r="B3513" s="74"/>
      <c r="C3513" s="74"/>
      <c r="D3513" s="74"/>
    </row>
    <row r="3514" spans="2:4" x14ac:dyDescent="0.3">
      <c r="B3514" s="74"/>
      <c r="C3514" s="74"/>
      <c r="D3514" s="74"/>
    </row>
    <row r="3515" spans="2:4" x14ac:dyDescent="0.3">
      <c r="B3515" s="74"/>
      <c r="C3515" s="74"/>
      <c r="D3515" s="74"/>
    </row>
    <row r="3516" spans="2:4" x14ac:dyDescent="0.3">
      <c r="B3516" s="74"/>
      <c r="C3516" s="74"/>
      <c r="D3516" s="74"/>
    </row>
    <row r="3517" spans="2:4" x14ac:dyDescent="0.3">
      <c r="B3517" s="74"/>
      <c r="C3517" s="74"/>
      <c r="D3517" s="74"/>
    </row>
    <row r="3518" spans="2:4" x14ac:dyDescent="0.3">
      <c r="B3518" s="74"/>
      <c r="C3518" s="74"/>
      <c r="D3518" s="74"/>
    </row>
    <row r="3519" spans="2:4" x14ac:dyDescent="0.3">
      <c r="B3519" s="74"/>
      <c r="C3519" s="74"/>
      <c r="D3519" s="74"/>
    </row>
    <row r="3520" spans="2:4" x14ac:dyDescent="0.3">
      <c r="B3520" s="74"/>
      <c r="C3520" s="74"/>
      <c r="D3520" s="74"/>
    </row>
    <row r="3521" spans="2:4" x14ac:dyDescent="0.3">
      <c r="B3521" s="74"/>
      <c r="C3521" s="74"/>
      <c r="D3521" s="74"/>
    </row>
    <row r="3522" spans="2:4" x14ac:dyDescent="0.3">
      <c r="B3522" s="74"/>
      <c r="C3522" s="74"/>
      <c r="D3522" s="74"/>
    </row>
    <row r="3523" spans="2:4" x14ac:dyDescent="0.3">
      <c r="B3523" s="74"/>
      <c r="C3523" s="74"/>
      <c r="D3523" s="74"/>
    </row>
    <row r="3524" spans="2:4" x14ac:dyDescent="0.3">
      <c r="B3524" s="74"/>
      <c r="C3524" s="74"/>
      <c r="D3524" s="74"/>
    </row>
    <row r="3525" spans="2:4" x14ac:dyDescent="0.3">
      <c r="B3525" s="74"/>
      <c r="C3525" s="74"/>
      <c r="D3525" s="74"/>
    </row>
    <row r="3526" spans="2:4" x14ac:dyDescent="0.3">
      <c r="B3526" s="74"/>
      <c r="C3526" s="74"/>
      <c r="D3526" s="74"/>
    </row>
    <row r="3527" spans="2:4" x14ac:dyDescent="0.3">
      <c r="B3527" s="74"/>
      <c r="C3527" s="74"/>
      <c r="D3527" s="74"/>
    </row>
    <row r="3528" spans="2:4" x14ac:dyDescent="0.3">
      <c r="B3528" s="74"/>
      <c r="C3528" s="74"/>
      <c r="D3528" s="74"/>
    </row>
    <row r="3529" spans="2:4" x14ac:dyDescent="0.3">
      <c r="B3529" s="74"/>
      <c r="C3529" s="74"/>
      <c r="D3529" s="74"/>
    </row>
    <row r="3530" spans="2:4" x14ac:dyDescent="0.3">
      <c r="B3530" s="74"/>
      <c r="C3530" s="74"/>
      <c r="D3530" s="74"/>
    </row>
    <row r="3531" spans="2:4" x14ac:dyDescent="0.3">
      <c r="B3531" s="74"/>
      <c r="C3531" s="74"/>
      <c r="D3531" s="74"/>
    </row>
    <row r="3532" spans="2:4" x14ac:dyDescent="0.3">
      <c r="B3532" s="74"/>
      <c r="C3532" s="74"/>
      <c r="D3532" s="74"/>
    </row>
    <row r="3533" spans="2:4" x14ac:dyDescent="0.3">
      <c r="B3533" s="74"/>
      <c r="C3533" s="74"/>
      <c r="D3533" s="74"/>
    </row>
    <row r="3534" spans="2:4" x14ac:dyDescent="0.3">
      <c r="B3534" s="74"/>
      <c r="C3534" s="74"/>
      <c r="D3534" s="74"/>
    </row>
    <row r="3535" spans="2:4" x14ac:dyDescent="0.3">
      <c r="B3535" s="74"/>
      <c r="C3535" s="74"/>
      <c r="D3535" s="74"/>
    </row>
    <row r="3536" spans="2:4" x14ac:dyDescent="0.3">
      <c r="B3536" s="74"/>
      <c r="C3536" s="74"/>
      <c r="D3536" s="74"/>
    </row>
    <row r="3537" spans="2:4" x14ac:dyDescent="0.3">
      <c r="B3537" s="74"/>
      <c r="C3537" s="74"/>
      <c r="D3537" s="74"/>
    </row>
    <row r="3538" spans="2:4" x14ac:dyDescent="0.3">
      <c r="B3538" s="74"/>
      <c r="C3538" s="74"/>
      <c r="D3538" s="74"/>
    </row>
    <row r="3539" spans="2:4" x14ac:dyDescent="0.3">
      <c r="B3539" s="74"/>
      <c r="C3539" s="74"/>
      <c r="D3539" s="74"/>
    </row>
    <row r="3540" spans="2:4" x14ac:dyDescent="0.3">
      <c r="B3540" s="74"/>
      <c r="C3540" s="74"/>
      <c r="D3540" s="74"/>
    </row>
    <row r="3541" spans="2:4" x14ac:dyDescent="0.3">
      <c r="B3541" s="74"/>
      <c r="C3541" s="74"/>
      <c r="D3541" s="74"/>
    </row>
    <row r="3542" spans="2:4" x14ac:dyDescent="0.3">
      <c r="B3542" s="74"/>
      <c r="C3542" s="74"/>
      <c r="D3542" s="74"/>
    </row>
    <row r="3543" spans="2:4" x14ac:dyDescent="0.3">
      <c r="B3543" s="74"/>
      <c r="C3543" s="74"/>
      <c r="D3543" s="74"/>
    </row>
    <row r="3544" spans="2:4" x14ac:dyDescent="0.3">
      <c r="B3544" s="74"/>
      <c r="C3544" s="74"/>
      <c r="D3544" s="74"/>
    </row>
    <row r="3545" spans="2:4" x14ac:dyDescent="0.3">
      <c r="B3545" s="74"/>
      <c r="C3545" s="74"/>
      <c r="D3545" s="74"/>
    </row>
    <row r="3546" spans="2:4" x14ac:dyDescent="0.3">
      <c r="B3546" s="74"/>
      <c r="C3546" s="74"/>
      <c r="D3546" s="74"/>
    </row>
    <row r="3547" spans="2:4" x14ac:dyDescent="0.3">
      <c r="B3547" s="74"/>
      <c r="C3547" s="74"/>
      <c r="D3547" s="74"/>
    </row>
    <row r="3548" spans="2:4" x14ac:dyDescent="0.3">
      <c r="B3548" s="74"/>
      <c r="C3548" s="74"/>
      <c r="D3548" s="74"/>
    </row>
    <row r="3549" spans="2:4" x14ac:dyDescent="0.3">
      <c r="B3549" s="74"/>
      <c r="C3549" s="74"/>
      <c r="D3549" s="74"/>
    </row>
    <row r="3550" spans="2:4" x14ac:dyDescent="0.3">
      <c r="B3550" s="74"/>
      <c r="C3550" s="74"/>
      <c r="D3550" s="74"/>
    </row>
    <row r="3551" spans="2:4" x14ac:dyDescent="0.3">
      <c r="B3551" s="74"/>
      <c r="C3551" s="74"/>
      <c r="D3551" s="74"/>
    </row>
    <row r="3552" spans="2:4" x14ac:dyDescent="0.3">
      <c r="B3552" s="74"/>
      <c r="C3552" s="74"/>
      <c r="D3552" s="74"/>
    </row>
    <row r="3553" spans="2:4" x14ac:dyDescent="0.3">
      <c r="B3553" s="74"/>
      <c r="C3553" s="74"/>
      <c r="D3553" s="74"/>
    </row>
    <row r="3554" spans="2:4" x14ac:dyDescent="0.3">
      <c r="B3554" s="74"/>
      <c r="C3554" s="74"/>
      <c r="D3554" s="74"/>
    </row>
    <row r="3555" spans="2:4" x14ac:dyDescent="0.3">
      <c r="B3555" s="74"/>
      <c r="C3555" s="74"/>
      <c r="D3555" s="74"/>
    </row>
    <row r="3556" spans="2:4" x14ac:dyDescent="0.3">
      <c r="B3556" s="74"/>
      <c r="C3556" s="74"/>
      <c r="D3556" s="74"/>
    </row>
    <row r="3557" spans="2:4" x14ac:dyDescent="0.3">
      <c r="B3557" s="74"/>
      <c r="C3557" s="74"/>
      <c r="D3557" s="74"/>
    </row>
    <row r="3558" spans="2:4" x14ac:dyDescent="0.3">
      <c r="B3558" s="74"/>
      <c r="C3558" s="74"/>
      <c r="D3558" s="74"/>
    </row>
    <row r="3559" spans="2:4" x14ac:dyDescent="0.3">
      <c r="B3559" s="74"/>
      <c r="C3559" s="74"/>
      <c r="D3559" s="74"/>
    </row>
    <row r="3560" spans="2:4" x14ac:dyDescent="0.3">
      <c r="B3560" s="74"/>
      <c r="C3560" s="74"/>
      <c r="D3560" s="74"/>
    </row>
    <row r="3561" spans="2:4" x14ac:dyDescent="0.3">
      <c r="B3561" s="74"/>
      <c r="C3561" s="74"/>
      <c r="D3561" s="74"/>
    </row>
    <row r="3562" spans="2:4" x14ac:dyDescent="0.3">
      <c r="B3562" s="74"/>
      <c r="C3562" s="74"/>
      <c r="D3562" s="74"/>
    </row>
    <row r="3563" spans="2:4" x14ac:dyDescent="0.3">
      <c r="B3563" s="74"/>
      <c r="C3563" s="74"/>
      <c r="D3563" s="74"/>
    </row>
    <row r="3564" spans="2:4" x14ac:dyDescent="0.3">
      <c r="B3564" s="74"/>
      <c r="C3564" s="74"/>
      <c r="D3564" s="74"/>
    </row>
    <row r="3565" spans="2:4" x14ac:dyDescent="0.3">
      <c r="B3565" s="74"/>
      <c r="C3565" s="74"/>
      <c r="D3565" s="74"/>
    </row>
    <row r="3566" spans="2:4" x14ac:dyDescent="0.3">
      <c r="B3566" s="74"/>
      <c r="C3566" s="74"/>
      <c r="D3566" s="74"/>
    </row>
    <row r="3567" spans="2:4" x14ac:dyDescent="0.3">
      <c r="B3567" s="74"/>
      <c r="C3567" s="74"/>
      <c r="D3567" s="74"/>
    </row>
    <row r="3568" spans="2:4" x14ac:dyDescent="0.3">
      <c r="B3568" s="74"/>
      <c r="C3568" s="74"/>
      <c r="D3568" s="74"/>
    </row>
    <row r="3569" spans="2:4" x14ac:dyDescent="0.3">
      <c r="B3569" s="74"/>
      <c r="C3569" s="74"/>
      <c r="D3569" s="74"/>
    </row>
    <row r="3570" spans="2:4" x14ac:dyDescent="0.3">
      <c r="B3570" s="74"/>
      <c r="C3570" s="74"/>
      <c r="D3570" s="74"/>
    </row>
    <row r="3571" spans="2:4" x14ac:dyDescent="0.3">
      <c r="B3571" s="74"/>
      <c r="C3571" s="74"/>
      <c r="D3571" s="74"/>
    </row>
    <row r="3572" spans="2:4" x14ac:dyDescent="0.3">
      <c r="B3572" s="74"/>
      <c r="C3572" s="74"/>
      <c r="D3572" s="74"/>
    </row>
    <row r="3573" spans="2:4" x14ac:dyDescent="0.3">
      <c r="B3573" s="74"/>
      <c r="C3573" s="74"/>
      <c r="D3573" s="74"/>
    </row>
    <row r="3574" spans="2:4" x14ac:dyDescent="0.3">
      <c r="B3574" s="74"/>
      <c r="C3574" s="74"/>
      <c r="D3574" s="74"/>
    </row>
    <row r="3575" spans="2:4" x14ac:dyDescent="0.3">
      <c r="B3575" s="74"/>
      <c r="C3575" s="74"/>
      <c r="D3575" s="74"/>
    </row>
    <row r="3576" spans="2:4" x14ac:dyDescent="0.3">
      <c r="B3576" s="74"/>
      <c r="C3576" s="74"/>
      <c r="D3576" s="74"/>
    </row>
    <row r="3577" spans="2:4" x14ac:dyDescent="0.3">
      <c r="B3577" s="74"/>
      <c r="C3577" s="74"/>
      <c r="D3577" s="74"/>
    </row>
    <row r="3578" spans="2:4" x14ac:dyDescent="0.3">
      <c r="B3578" s="74"/>
      <c r="C3578" s="74"/>
      <c r="D3578" s="74"/>
    </row>
    <row r="3579" spans="2:4" x14ac:dyDescent="0.3">
      <c r="B3579" s="74"/>
      <c r="C3579" s="74"/>
      <c r="D3579" s="74"/>
    </row>
    <row r="3580" spans="2:4" x14ac:dyDescent="0.3">
      <c r="B3580" s="74"/>
      <c r="C3580" s="74"/>
      <c r="D3580" s="74"/>
    </row>
    <row r="3581" spans="2:4" x14ac:dyDescent="0.3">
      <c r="B3581" s="74"/>
      <c r="C3581" s="74"/>
      <c r="D3581" s="74"/>
    </row>
    <row r="3582" spans="2:4" x14ac:dyDescent="0.3">
      <c r="B3582" s="74"/>
      <c r="C3582" s="74"/>
      <c r="D3582" s="74"/>
    </row>
    <row r="3583" spans="2:4" x14ac:dyDescent="0.3">
      <c r="B3583" s="74"/>
      <c r="C3583" s="74"/>
      <c r="D3583" s="74"/>
    </row>
    <row r="3584" spans="2:4" x14ac:dyDescent="0.3">
      <c r="B3584" s="74"/>
      <c r="C3584" s="74"/>
      <c r="D3584" s="74"/>
    </row>
    <row r="3585" spans="2:4" x14ac:dyDescent="0.3">
      <c r="B3585" s="74"/>
      <c r="C3585" s="74"/>
      <c r="D3585" s="74"/>
    </row>
    <row r="3586" spans="2:4" x14ac:dyDescent="0.3">
      <c r="B3586" s="74"/>
      <c r="C3586" s="74"/>
      <c r="D3586" s="74"/>
    </row>
    <row r="3587" spans="2:4" x14ac:dyDescent="0.3">
      <c r="B3587" s="74"/>
      <c r="C3587" s="74"/>
      <c r="D3587" s="74"/>
    </row>
    <row r="3588" spans="2:4" x14ac:dyDescent="0.3">
      <c r="B3588" s="74"/>
      <c r="C3588" s="74"/>
      <c r="D3588" s="74"/>
    </row>
    <row r="3589" spans="2:4" x14ac:dyDescent="0.3">
      <c r="B3589" s="74"/>
      <c r="C3589" s="74"/>
      <c r="D3589" s="74"/>
    </row>
    <row r="3590" spans="2:4" x14ac:dyDescent="0.3">
      <c r="B3590" s="74"/>
      <c r="C3590" s="74"/>
      <c r="D3590" s="74"/>
    </row>
    <row r="3591" spans="2:4" x14ac:dyDescent="0.3">
      <c r="B3591" s="74"/>
      <c r="C3591" s="74"/>
      <c r="D3591" s="74"/>
    </row>
    <row r="3592" spans="2:4" x14ac:dyDescent="0.3">
      <c r="B3592" s="74"/>
      <c r="C3592" s="74"/>
      <c r="D3592" s="74"/>
    </row>
    <row r="3593" spans="2:4" x14ac:dyDescent="0.3">
      <c r="B3593" s="74"/>
      <c r="C3593" s="74"/>
      <c r="D3593" s="74"/>
    </row>
    <row r="3594" spans="2:4" x14ac:dyDescent="0.3">
      <c r="B3594" s="74"/>
      <c r="C3594" s="74"/>
      <c r="D3594" s="74"/>
    </row>
    <row r="3595" spans="2:4" x14ac:dyDescent="0.3">
      <c r="B3595" s="74"/>
      <c r="C3595" s="74"/>
      <c r="D3595" s="74"/>
    </row>
    <row r="3596" spans="2:4" x14ac:dyDescent="0.3">
      <c r="B3596" s="74"/>
      <c r="C3596" s="74"/>
      <c r="D3596" s="74"/>
    </row>
    <row r="3597" spans="2:4" x14ac:dyDescent="0.3">
      <c r="B3597" s="74"/>
      <c r="C3597" s="74"/>
      <c r="D3597" s="74"/>
    </row>
    <row r="3598" spans="2:4" x14ac:dyDescent="0.3">
      <c r="B3598" s="74"/>
      <c r="C3598" s="74"/>
      <c r="D3598" s="74"/>
    </row>
    <row r="3599" spans="2:4" x14ac:dyDescent="0.3">
      <c r="B3599" s="74"/>
      <c r="C3599" s="74"/>
      <c r="D3599" s="74"/>
    </row>
    <row r="3600" spans="2:4" x14ac:dyDescent="0.3">
      <c r="B3600" s="74"/>
      <c r="C3600" s="74"/>
      <c r="D3600" s="74"/>
    </row>
    <row r="3601" spans="2:4" x14ac:dyDescent="0.3">
      <c r="B3601" s="74"/>
      <c r="C3601" s="74"/>
      <c r="D3601" s="74"/>
    </row>
    <row r="3602" spans="2:4" x14ac:dyDescent="0.3">
      <c r="B3602" s="74"/>
      <c r="C3602" s="74"/>
      <c r="D3602" s="74"/>
    </row>
    <row r="3603" spans="2:4" x14ac:dyDescent="0.3">
      <c r="B3603" s="74"/>
      <c r="C3603" s="74"/>
      <c r="D3603" s="74"/>
    </row>
    <row r="3604" spans="2:4" x14ac:dyDescent="0.3">
      <c r="B3604" s="74"/>
      <c r="C3604" s="74"/>
      <c r="D3604" s="74"/>
    </row>
    <row r="3605" spans="2:4" x14ac:dyDescent="0.3">
      <c r="B3605" s="74"/>
      <c r="C3605" s="74"/>
      <c r="D3605" s="74"/>
    </row>
    <row r="3606" spans="2:4" x14ac:dyDescent="0.3">
      <c r="B3606" s="74"/>
      <c r="C3606" s="74"/>
      <c r="D3606" s="74"/>
    </row>
    <row r="3607" spans="2:4" x14ac:dyDescent="0.3">
      <c r="B3607" s="74"/>
      <c r="C3607" s="74"/>
      <c r="D3607" s="74"/>
    </row>
    <row r="3608" spans="2:4" x14ac:dyDescent="0.3">
      <c r="B3608" s="74"/>
      <c r="C3608" s="74"/>
      <c r="D3608" s="74"/>
    </row>
    <row r="3609" spans="2:4" x14ac:dyDescent="0.3">
      <c r="B3609" s="74"/>
      <c r="C3609" s="74"/>
      <c r="D3609" s="74"/>
    </row>
    <row r="3610" spans="2:4" x14ac:dyDescent="0.3">
      <c r="B3610" s="74"/>
      <c r="C3610" s="74"/>
      <c r="D3610" s="74"/>
    </row>
    <row r="3611" spans="2:4" x14ac:dyDescent="0.3">
      <c r="B3611" s="74"/>
      <c r="C3611" s="74"/>
      <c r="D3611" s="74"/>
    </row>
    <row r="3612" spans="2:4" x14ac:dyDescent="0.3">
      <c r="B3612" s="74"/>
      <c r="C3612" s="74"/>
      <c r="D3612" s="74"/>
    </row>
    <row r="3613" spans="2:4" x14ac:dyDescent="0.3">
      <c r="B3613" s="74"/>
      <c r="C3613" s="74"/>
      <c r="D3613" s="74"/>
    </row>
    <row r="3614" spans="2:4" x14ac:dyDescent="0.3">
      <c r="B3614" s="74"/>
      <c r="C3614" s="74"/>
      <c r="D3614" s="74"/>
    </row>
    <row r="3615" spans="2:4" x14ac:dyDescent="0.3">
      <c r="B3615" s="74"/>
      <c r="C3615" s="74"/>
      <c r="D3615" s="74"/>
    </row>
    <row r="3616" spans="2:4" x14ac:dyDescent="0.3">
      <c r="B3616" s="74"/>
      <c r="C3616" s="74"/>
      <c r="D3616" s="74"/>
    </row>
    <row r="3617" spans="2:4" x14ac:dyDescent="0.3">
      <c r="B3617" s="74"/>
      <c r="C3617" s="74"/>
      <c r="D3617" s="74"/>
    </row>
    <row r="3618" spans="2:4" x14ac:dyDescent="0.3">
      <c r="B3618" s="74"/>
      <c r="C3618" s="74"/>
      <c r="D3618" s="74"/>
    </row>
    <row r="3619" spans="2:4" x14ac:dyDescent="0.3">
      <c r="B3619" s="74"/>
      <c r="C3619" s="74"/>
      <c r="D3619" s="74"/>
    </row>
    <row r="3620" spans="2:4" x14ac:dyDescent="0.3">
      <c r="B3620" s="74"/>
      <c r="C3620" s="74"/>
      <c r="D3620" s="74"/>
    </row>
    <row r="3621" spans="2:4" x14ac:dyDescent="0.3">
      <c r="B3621" s="74"/>
      <c r="C3621" s="74"/>
      <c r="D3621" s="74"/>
    </row>
    <row r="3622" spans="2:4" x14ac:dyDescent="0.3">
      <c r="B3622" s="74"/>
      <c r="C3622" s="74"/>
      <c r="D3622" s="74"/>
    </row>
    <row r="3623" spans="2:4" x14ac:dyDescent="0.3">
      <c r="B3623" s="74"/>
      <c r="C3623" s="74"/>
      <c r="D3623" s="74"/>
    </row>
    <row r="3624" spans="2:4" x14ac:dyDescent="0.3">
      <c r="B3624" s="74"/>
      <c r="C3624" s="74"/>
      <c r="D3624" s="74"/>
    </row>
    <row r="3625" spans="2:4" x14ac:dyDescent="0.3">
      <c r="B3625" s="74"/>
      <c r="C3625" s="74"/>
      <c r="D3625" s="74"/>
    </row>
    <row r="3626" spans="2:4" x14ac:dyDescent="0.3">
      <c r="B3626" s="74"/>
      <c r="C3626" s="74"/>
      <c r="D3626" s="74"/>
    </row>
    <row r="3627" spans="2:4" x14ac:dyDescent="0.3">
      <c r="B3627" s="74"/>
      <c r="C3627" s="74"/>
      <c r="D3627" s="74"/>
    </row>
    <row r="3628" spans="2:4" x14ac:dyDescent="0.3">
      <c r="B3628" s="74"/>
      <c r="C3628" s="74"/>
      <c r="D3628" s="74"/>
    </row>
    <row r="3629" spans="2:4" x14ac:dyDescent="0.3">
      <c r="B3629" s="74"/>
      <c r="C3629" s="74"/>
      <c r="D3629" s="74"/>
    </row>
    <row r="3630" spans="2:4" x14ac:dyDescent="0.3">
      <c r="B3630" s="74"/>
      <c r="C3630" s="74"/>
      <c r="D3630" s="74"/>
    </row>
    <row r="3631" spans="2:4" x14ac:dyDescent="0.3">
      <c r="B3631" s="74"/>
      <c r="C3631" s="74"/>
      <c r="D3631" s="74"/>
    </row>
    <row r="3632" spans="2:4" x14ac:dyDescent="0.3">
      <c r="B3632" s="74"/>
      <c r="C3632" s="74"/>
      <c r="D3632" s="74"/>
    </row>
    <row r="3633" spans="2:4" x14ac:dyDescent="0.3">
      <c r="B3633" s="74"/>
      <c r="C3633" s="74"/>
      <c r="D3633" s="74"/>
    </row>
    <row r="3634" spans="2:4" x14ac:dyDescent="0.3">
      <c r="B3634" s="74"/>
      <c r="C3634" s="74"/>
      <c r="D3634" s="74"/>
    </row>
    <row r="3635" spans="2:4" x14ac:dyDescent="0.3">
      <c r="B3635" s="74"/>
      <c r="C3635" s="74"/>
      <c r="D3635" s="74"/>
    </row>
    <row r="3636" spans="2:4" x14ac:dyDescent="0.3">
      <c r="B3636" s="74"/>
      <c r="C3636" s="74"/>
      <c r="D3636" s="74"/>
    </row>
    <row r="3637" spans="2:4" x14ac:dyDescent="0.3">
      <c r="B3637" s="74"/>
      <c r="C3637" s="74"/>
      <c r="D3637" s="74"/>
    </row>
    <row r="3638" spans="2:4" x14ac:dyDescent="0.3">
      <c r="B3638" s="74"/>
      <c r="C3638" s="74"/>
      <c r="D3638" s="74"/>
    </row>
    <row r="3639" spans="2:4" x14ac:dyDescent="0.3">
      <c r="B3639" s="74"/>
      <c r="C3639" s="74"/>
      <c r="D3639" s="74"/>
    </row>
    <row r="3640" spans="2:4" x14ac:dyDescent="0.3">
      <c r="B3640" s="74"/>
      <c r="C3640" s="74"/>
      <c r="D3640" s="74"/>
    </row>
    <row r="3641" spans="2:4" x14ac:dyDescent="0.3">
      <c r="B3641" s="74"/>
      <c r="C3641" s="74"/>
      <c r="D3641" s="74"/>
    </row>
    <row r="3642" spans="2:4" x14ac:dyDescent="0.3">
      <c r="B3642" s="74"/>
      <c r="C3642" s="74"/>
      <c r="D3642" s="74"/>
    </row>
    <row r="3643" spans="2:4" x14ac:dyDescent="0.3">
      <c r="B3643" s="74"/>
      <c r="C3643" s="74"/>
      <c r="D3643" s="74"/>
    </row>
    <row r="3644" spans="2:4" x14ac:dyDescent="0.3">
      <c r="B3644" s="74"/>
      <c r="C3644" s="74"/>
      <c r="D3644" s="74"/>
    </row>
    <row r="3645" spans="2:4" x14ac:dyDescent="0.3">
      <c r="B3645" s="74"/>
      <c r="C3645" s="74"/>
      <c r="D3645" s="74"/>
    </row>
    <row r="3646" spans="2:4" x14ac:dyDescent="0.3">
      <c r="B3646" s="74"/>
      <c r="C3646" s="74"/>
      <c r="D3646" s="74"/>
    </row>
    <row r="3647" spans="2:4" x14ac:dyDescent="0.3">
      <c r="B3647" s="74"/>
      <c r="C3647" s="74"/>
      <c r="D3647" s="74"/>
    </row>
    <row r="3648" spans="2:4" x14ac:dyDescent="0.3">
      <c r="B3648" s="74"/>
      <c r="C3648" s="74"/>
      <c r="D3648" s="74"/>
    </row>
    <row r="3649" spans="2:4" x14ac:dyDescent="0.3">
      <c r="B3649" s="74"/>
      <c r="C3649" s="74"/>
      <c r="D3649" s="74"/>
    </row>
    <row r="3650" spans="2:4" x14ac:dyDescent="0.3">
      <c r="B3650" s="74"/>
      <c r="C3650" s="74"/>
      <c r="D3650" s="74"/>
    </row>
    <row r="3651" spans="2:4" x14ac:dyDescent="0.3">
      <c r="B3651" s="74"/>
      <c r="C3651" s="74"/>
      <c r="D3651" s="74"/>
    </row>
    <row r="3652" spans="2:4" x14ac:dyDescent="0.3">
      <c r="B3652" s="74"/>
      <c r="C3652" s="74"/>
      <c r="D3652" s="74"/>
    </row>
    <row r="3653" spans="2:4" x14ac:dyDescent="0.3">
      <c r="B3653" s="74"/>
      <c r="C3653" s="74"/>
      <c r="D3653" s="74"/>
    </row>
    <row r="3654" spans="2:4" x14ac:dyDescent="0.3">
      <c r="B3654" s="74"/>
      <c r="C3654" s="74"/>
      <c r="D3654" s="74"/>
    </row>
    <row r="3655" spans="2:4" x14ac:dyDescent="0.3">
      <c r="B3655" s="74"/>
      <c r="C3655" s="74"/>
      <c r="D3655" s="74"/>
    </row>
    <row r="3656" spans="2:4" x14ac:dyDescent="0.3">
      <c r="B3656" s="74"/>
      <c r="C3656" s="74"/>
      <c r="D3656" s="74"/>
    </row>
    <row r="3657" spans="2:4" x14ac:dyDescent="0.3">
      <c r="B3657" s="74"/>
      <c r="C3657" s="74"/>
      <c r="D3657" s="74"/>
    </row>
    <row r="3658" spans="2:4" x14ac:dyDescent="0.3">
      <c r="B3658" s="74"/>
      <c r="C3658" s="74"/>
      <c r="D3658" s="74"/>
    </row>
    <row r="3659" spans="2:4" x14ac:dyDescent="0.3">
      <c r="B3659" s="74"/>
      <c r="C3659" s="74"/>
      <c r="D3659" s="74"/>
    </row>
    <row r="3660" spans="2:4" x14ac:dyDescent="0.3">
      <c r="B3660" s="74"/>
      <c r="C3660" s="74"/>
      <c r="D3660" s="74"/>
    </row>
    <row r="3661" spans="2:4" x14ac:dyDescent="0.3">
      <c r="B3661" s="74"/>
      <c r="C3661" s="74"/>
      <c r="D3661" s="74"/>
    </row>
    <row r="3662" spans="2:4" x14ac:dyDescent="0.3">
      <c r="B3662" s="74"/>
      <c r="C3662" s="74"/>
      <c r="D3662" s="74"/>
    </row>
    <row r="3663" spans="2:4" x14ac:dyDescent="0.3">
      <c r="B3663" s="74"/>
      <c r="C3663" s="74"/>
      <c r="D3663" s="74"/>
    </row>
    <row r="3664" spans="2:4" x14ac:dyDescent="0.3">
      <c r="B3664" s="74"/>
      <c r="C3664" s="74"/>
      <c r="D3664" s="74"/>
    </row>
    <row r="3665" spans="2:4" x14ac:dyDescent="0.3">
      <c r="B3665" s="74"/>
      <c r="C3665" s="74"/>
      <c r="D3665" s="74"/>
    </row>
    <row r="3666" spans="2:4" x14ac:dyDescent="0.3">
      <c r="B3666" s="74"/>
      <c r="C3666" s="74"/>
      <c r="D3666" s="74"/>
    </row>
    <row r="3667" spans="2:4" x14ac:dyDescent="0.3">
      <c r="B3667" s="74"/>
      <c r="C3667" s="74"/>
      <c r="D3667" s="74"/>
    </row>
    <row r="3668" spans="2:4" x14ac:dyDescent="0.3">
      <c r="B3668" s="74"/>
      <c r="C3668" s="74"/>
      <c r="D3668" s="74"/>
    </row>
    <row r="3669" spans="2:4" x14ac:dyDescent="0.3">
      <c r="B3669" s="74"/>
      <c r="C3669" s="74"/>
      <c r="D3669" s="74"/>
    </row>
    <row r="3670" spans="2:4" x14ac:dyDescent="0.3">
      <c r="B3670" s="74"/>
      <c r="C3670" s="74"/>
      <c r="D3670" s="74"/>
    </row>
    <row r="3671" spans="2:4" x14ac:dyDescent="0.3">
      <c r="B3671" s="74"/>
      <c r="C3671" s="74"/>
      <c r="D3671" s="74"/>
    </row>
    <row r="3672" spans="2:4" x14ac:dyDescent="0.3">
      <c r="B3672" s="74"/>
      <c r="C3672" s="74"/>
      <c r="D3672" s="74"/>
    </row>
    <row r="3673" spans="2:4" x14ac:dyDescent="0.3">
      <c r="B3673" s="74"/>
      <c r="C3673" s="74"/>
      <c r="D3673" s="74"/>
    </row>
    <row r="3674" spans="2:4" x14ac:dyDescent="0.3">
      <c r="B3674" s="74"/>
      <c r="C3674" s="74"/>
      <c r="D3674" s="74"/>
    </row>
    <row r="3675" spans="2:4" x14ac:dyDescent="0.3">
      <c r="B3675" s="74"/>
      <c r="C3675" s="74"/>
      <c r="D3675" s="74"/>
    </row>
    <row r="3676" spans="2:4" x14ac:dyDescent="0.3">
      <c r="B3676" s="74"/>
      <c r="C3676" s="74"/>
      <c r="D3676" s="74"/>
    </row>
    <row r="3677" spans="2:4" x14ac:dyDescent="0.3">
      <c r="B3677" s="74"/>
      <c r="C3677" s="74"/>
      <c r="D3677" s="74"/>
    </row>
    <row r="3678" spans="2:4" x14ac:dyDescent="0.3">
      <c r="B3678" s="74"/>
      <c r="C3678" s="74"/>
      <c r="D3678" s="74"/>
    </row>
    <row r="3679" spans="2:4" x14ac:dyDescent="0.3">
      <c r="B3679" s="74"/>
      <c r="C3679" s="74"/>
      <c r="D3679" s="74"/>
    </row>
    <row r="3680" spans="2:4" x14ac:dyDescent="0.3">
      <c r="B3680" s="74"/>
      <c r="C3680" s="74"/>
      <c r="D3680" s="74"/>
    </row>
    <row r="3681" spans="2:4" x14ac:dyDescent="0.3">
      <c r="B3681" s="74"/>
      <c r="C3681" s="74"/>
      <c r="D3681" s="74"/>
    </row>
    <row r="3682" spans="2:4" x14ac:dyDescent="0.3">
      <c r="B3682" s="74"/>
      <c r="C3682" s="74"/>
      <c r="D3682" s="74"/>
    </row>
    <row r="3683" spans="2:4" x14ac:dyDescent="0.3">
      <c r="B3683" s="74"/>
      <c r="C3683" s="74"/>
      <c r="D3683" s="74"/>
    </row>
    <row r="3684" spans="2:4" x14ac:dyDescent="0.3">
      <c r="B3684" s="74"/>
      <c r="C3684" s="74"/>
      <c r="D3684" s="74"/>
    </row>
    <row r="3685" spans="2:4" x14ac:dyDescent="0.3">
      <c r="B3685" s="74"/>
      <c r="C3685" s="74"/>
      <c r="D3685" s="74"/>
    </row>
    <row r="3686" spans="2:4" x14ac:dyDescent="0.3">
      <c r="B3686" s="74"/>
      <c r="C3686" s="74"/>
      <c r="D3686" s="74"/>
    </row>
    <row r="3687" spans="2:4" x14ac:dyDescent="0.3">
      <c r="B3687" s="74"/>
      <c r="C3687" s="74"/>
      <c r="D3687" s="74"/>
    </row>
    <row r="3688" spans="2:4" x14ac:dyDescent="0.3">
      <c r="B3688" s="74"/>
      <c r="C3688" s="74"/>
      <c r="D3688" s="74"/>
    </row>
    <row r="3689" spans="2:4" x14ac:dyDescent="0.3">
      <c r="B3689" s="74"/>
      <c r="C3689" s="74"/>
      <c r="D3689" s="74"/>
    </row>
    <row r="3690" spans="2:4" x14ac:dyDescent="0.3">
      <c r="B3690" s="74"/>
      <c r="C3690" s="74"/>
      <c r="D3690" s="74"/>
    </row>
    <row r="3691" spans="2:4" x14ac:dyDescent="0.3">
      <c r="B3691" s="74"/>
      <c r="C3691" s="74"/>
      <c r="D3691" s="74"/>
    </row>
    <row r="3692" spans="2:4" x14ac:dyDescent="0.3">
      <c r="B3692" s="74"/>
      <c r="C3692" s="74"/>
      <c r="D3692" s="74"/>
    </row>
    <row r="3693" spans="2:4" x14ac:dyDescent="0.3">
      <c r="B3693" s="74"/>
      <c r="C3693" s="74"/>
      <c r="D3693" s="74"/>
    </row>
    <row r="3694" spans="2:4" x14ac:dyDescent="0.3">
      <c r="B3694" s="74"/>
      <c r="C3694" s="74"/>
      <c r="D3694" s="74"/>
    </row>
    <row r="3695" spans="2:4" x14ac:dyDescent="0.3">
      <c r="B3695" s="74"/>
      <c r="C3695" s="74"/>
      <c r="D3695" s="74"/>
    </row>
    <row r="3696" spans="2:4" x14ac:dyDescent="0.3">
      <c r="B3696" s="74"/>
      <c r="C3696" s="74"/>
      <c r="D3696" s="74"/>
    </row>
    <row r="3697" spans="2:4" x14ac:dyDescent="0.3">
      <c r="B3697" s="74"/>
      <c r="C3697" s="74"/>
      <c r="D3697" s="74"/>
    </row>
    <row r="3698" spans="2:4" x14ac:dyDescent="0.3">
      <c r="B3698" s="74"/>
      <c r="C3698" s="74"/>
      <c r="D3698" s="74"/>
    </row>
    <row r="3699" spans="2:4" x14ac:dyDescent="0.3">
      <c r="B3699" s="74"/>
      <c r="C3699" s="74"/>
      <c r="D3699" s="74"/>
    </row>
    <row r="3700" spans="2:4" x14ac:dyDescent="0.3">
      <c r="B3700" s="74"/>
      <c r="C3700" s="74"/>
      <c r="D3700" s="74"/>
    </row>
    <row r="3701" spans="2:4" x14ac:dyDescent="0.3">
      <c r="B3701" s="74"/>
      <c r="C3701" s="74"/>
      <c r="D3701" s="74"/>
    </row>
    <row r="3702" spans="2:4" x14ac:dyDescent="0.3">
      <c r="B3702" s="74"/>
      <c r="C3702" s="74"/>
      <c r="D3702" s="74"/>
    </row>
    <row r="3703" spans="2:4" x14ac:dyDescent="0.3">
      <c r="B3703" s="74"/>
      <c r="C3703" s="74"/>
      <c r="D3703" s="74"/>
    </row>
    <row r="3704" spans="2:4" x14ac:dyDescent="0.3">
      <c r="B3704" s="74"/>
      <c r="C3704" s="74"/>
      <c r="D3704" s="74"/>
    </row>
    <row r="3705" spans="2:4" x14ac:dyDescent="0.3">
      <c r="B3705" s="74"/>
      <c r="C3705" s="74"/>
      <c r="D3705" s="74"/>
    </row>
    <row r="3706" spans="2:4" x14ac:dyDescent="0.3">
      <c r="B3706" s="74"/>
      <c r="C3706" s="74"/>
      <c r="D3706" s="74"/>
    </row>
    <row r="3707" spans="2:4" x14ac:dyDescent="0.3">
      <c r="B3707" s="74"/>
      <c r="C3707" s="74"/>
      <c r="D3707" s="74"/>
    </row>
    <row r="3708" spans="2:4" x14ac:dyDescent="0.3">
      <c r="B3708" s="74"/>
      <c r="C3708" s="74"/>
      <c r="D3708" s="74"/>
    </row>
    <row r="3709" spans="2:4" x14ac:dyDescent="0.3">
      <c r="B3709" s="74"/>
      <c r="C3709" s="74"/>
      <c r="D3709" s="74"/>
    </row>
    <row r="3710" spans="2:4" x14ac:dyDescent="0.3">
      <c r="B3710" s="74"/>
      <c r="C3710" s="74"/>
      <c r="D3710" s="74"/>
    </row>
    <row r="3711" spans="2:4" x14ac:dyDescent="0.3">
      <c r="B3711" s="74"/>
      <c r="C3711" s="74"/>
      <c r="D3711" s="74"/>
    </row>
    <row r="3712" spans="2:4" x14ac:dyDescent="0.3">
      <c r="B3712" s="74"/>
      <c r="C3712" s="74"/>
      <c r="D3712" s="74"/>
    </row>
    <row r="3713" spans="2:4" x14ac:dyDescent="0.3">
      <c r="B3713" s="74"/>
      <c r="C3713" s="74"/>
      <c r="D3713" s="74"/>
    </row>
    <row r="3714" spans="2:4" x14ac:dyDescent="0.3">
      <c r="B3714" s="74"/>
      <c r="C3714" s="74"/>
      <c r="D3714" s="74"/>
    </row>
    <row r="3715" spans="2:4" x14ac:dyDescent="0.3">
      <c r="B3715" s="74"/>
      <c r="C3715" s="74"/>
      <c r="D3715" s="74"/>
    </row>
    <row r="3716" spans="2:4" x14ac:dyDescent="0.3">
      <c r="B3716" s="74"/>
      <c r="C3716" s="74"/>
      <c r="D3716" s="74"/>
    </row>
    <row r="3717" spans="2:4" x14ac:dyDescent="0.3">
      <c r="B3717" s="74"/>
      <c r="C3717" s="74"/>
      <c r="D3717" s="74"/>
    </row>
    <row r="3718" spans="2:4" x14ac:dyDescent="0.3">
      <c r="B3718" s="74"/>
      <c r="C3718" s="74"/>
      <c r="D3718" s="74"/>
    </row>
    <row r="3719" spans="2:4" x14ac:dyDescent="0.3">
      <c r="B3719" s="74"/>
      <c r="C3719" s="74"/>
      <c r="D3719" s="74"/>
    </row>
    <row r="3720" spans="2:4" x14ac:dyDescent="0.3">
      <c r="B3720" s="74"/>
      <c r="C3720" s="74"/>
      <c r="D3720" s="74"/>
    </row>
    <row r="3721" spans="2:4" x14ac:dyDescent="0.3">
      <c r="B3721" s="74"/>
      <c r="C3721" s="74"/>
      <c r="D3721" s="74"/>
    </row>
    <row r="3722" spans="2:4" x14ac:dyDescent="0.3">
      <c r="B3722" s="74"/>
      <c r="C3722" s="74"/>
      <c r="D3722" s="74"/>
    </row>
    <row r="3723" spans="2:4" x14ac:dyDescent="0.3">
      <c r="B3723" s="74"/>
      <c r="C3723" s="74"/>
      <c r="D3723" s="74"/>
    </row>
    <row r="3724" spans="2:4" x14ac:dyDescent="0.3">
      <c r="B3724" s="74"/>
      <c r="C3724" s="74"/>
      <c r="D3724" s="74"/>
    </row>
    <row r="3725" spans="2:4" x14ac:dyDescent="0.3">
      <c r="B3725" s="74"/>
      <c r="C3725" s="74"/>
      <c r="D3725" s="74"/>
    </row>
    <row r="3726" spans="2:4" x14ac:dyDescent="0.3">
      <c r="B3726" s="74"/>
      <c r="C3726" s="74"/>
      <c r="D3726" s="74"/>
    </row>
    <row r="3727" spans="2:4" x14ac:dyDescent="0.3">
      <c r="B3727" s="74"/>
      <c r="C3727" s="74"/>
      <c r="D3727" s="74"/>
    </row>
    <row r="3728" spans="2:4" x14ac:dyDescent="0.3">
      <c r="B3728" s="74"/>
      <c r="C3728" s="74"/>
      <c r="D3728" s="74"/>
    </row>
    <row r="3729" spans="2:4" x14ac:dyDescent="0.3">
      <c r="B3729" s="74"/>
      <c r="C3729" s="74"/>
      <c r="D3729" s="74"/>
    </row>
    <row r="3730" spans="2:4" x14ac:dyDescent="0.3">
      <c r="B3730" s="74"/>
      <c r="C3730" s="74"/>
      <c r="D3730" s="74"/>
    </row>
    <row r="3731" spans="2:4" x14ac:dyDescent="0.3">
      <c r="B3731" s="74"/>
      <c r="C3731" s="74"/>
      <c r="D3731" s="74"/>
    </row>
    <row r="3732" spans="2:4" x14ac:dyDescent="0.3">
      <c r="B3732" s="74"/>
      <c r="C3732" s="74"/>
      <c r="D3732" s="74"/>
    </row>
    <row r="3733" spans="2:4" x14ac:dyDescent="0.3">
      <c r="B3733" s="74"/>
      <c r="C3733" s="74"/>
      <c r="D3733" s="74"/>
    </row>
    <row r="3734" spans="2:4" x14ac:dyDescent="0.3">
      <c r="B3734" s="74"/>
      <c r="C3734" s="74"/>
      <c r="D3734" s="74"/>
    </row>
    <row r="3735" spans="2:4" x14ac:dyDescent="0.3">
      <c r="B3735" s="74"/>
      <c r="C3735" s="74"/>
      <c r="D3735" s="74"/>
    </row>
    <row r="3736" spans="2:4" x14ac:dyDescent="0.3">
      <c r="B3736" s="74"/>
      <c r="C3736" s="74"/>
      <c r="D3736" s="74"/>
    </row>
    <row r="3737" spans="2:4" x14ac:dyDescent="0.3">
      <c r="B3737" s="74"/>
      <c r="C3737" s="74"/>
      <c r="D3737" s="74"/>
    </row>
    <row r="3738" spans="2:4" x14ac:dyDescent="0.3">
      <c r="B3738" s="74"/>
      <c r="C3738" s="74"/>
      <c r="D3738" s="74"/>
    </row>
    <row r="3739" spans="2:4" x14ac:dyDescent="0.3">
      <c r="B3739" s="74"/>
      <c r="C3739" s="74"/>
      <c r="D3739" s="74"/>
    </row>
    <row r="3740" spans="2:4" x14ac:dyDescent="0.3">
      <c r="B3740" s="74"/>
      <c r="C3740" s="74"/>
      <c r="D3740" s="74"/>
    </row>
    <row r="3741" spans="2:4" x14ac:dyDescent="0.3">
      <c r="B3741" s="74"/>
      <c r="C3741" s="74"/>
      <c r="D3741" s="74"/>
    </row>
    <row r="3742" spans="2:4" x14ac:dyDescent="0.3">
      <c r="B3742" s="74"/>
      <c r="C3742" s="74"/>
      <c r="D3742" s="74"/>
    </row>
    <row r="3743" spans="2:4" x14ac:dyDescent="0.3">
      <c r="B3743" s="74"/>
      <c r="C3743" s="74"/>
      <c r="D3743" s="74"/>
    </row>
    <row r="3744" spans="2:4" x14ac:dyDescent="0.3">
      <c r="B3744" s="74"/>
      <c r="C3744" s="74"/>
      <c r="D3744" s="74"/>
    </row>
    <row r="3745" spans="2:4" x14ac:dyDescent="0.3">
      <c r="B3745" s="74"/>
      <c r="C3745" s="74"/>
      <c r="D3745" s="74"/>
    </row>
    <row r="3746" spans="2:4" x14ac:dyDescent="0.3">
      <c r="B3746" s="74"/>
      <c r="C3746" s="74"/>
      <c r="D3746" s="74"/>
    </row>
    <row r="3747" spans="2:4" x14ac:dyDescent="0.3">
      <c r="B3747" s="74"/>
      <c r="C3747" s="74"/>
      <c r="D3747" s="74"/>
    </row>
    <row r="3748" spans="2:4" x14ac:dyDescent="0.3">
      <c r="B3748" s="74"/>
      <c r="C3748" s="74"/>
      <c r="D3748" s="74"/>
    </row>
    <row r="3749" spans="2:4" x14ac:dyDescent="0.3">
      <c r="B3749" s="74"/>
      <c r="C3749" s="74"/>
      <c r="D3749" s="74"/>
    </row>
    <row r="3750" spans="2:4" x14ac:dyDescent="0.3">
      <c r="B3750" s="74"/>
      <c r="C3750" s="74"/>
      <c r="D3750" s="74"/>
    </row>
    <row r="3751" spans="2:4" x14ac:dyDescent="0.3">
      <c r="B3751" s="74"/>
      <c r="C3751" s="74"/>
      <c r="D3751" s="74"/>
    </row>
    <row r="3752" spans="2:4" x14ac:dyDescent="0.3">
      <c r="B3752" s="74"/>
      <c r="C3752" s="74"/>
      <c r="D3752" s="74"/>
    </row>
    <row r="3753" spans="2:4" x14ac:dyDescent="0.3">
      <c r="B3753" s="74"/>
      <c r="C3753" s="74"/>
      <c r="D3753" s="74"/>
    </row>
    <row r="3754" spans="2:4" x14ac:dyDescent="0.3">
      <c r="B3754" s="74"/>
      <c r="C3754" s="74"/>
      <c r="D3754" s="74"/>
    </row>
    <row r="3755" spans="2:4" x14ac:dyDescent="0.3">
      <c r="B3755" s="74"/>
      <c r="C3755" s="74"/>
      <c r="D3755" s="74"/>
    </row>
    <row r="3756" spans="2:4" x14ac:dyDescent="0.3">
      <c r="B3756" s="74"/>
      <c r="C3756" s="74"/>
      <c r="D3756" s="74"/>
    </row>
    <row r="3757" spans="2:4" x14ac:dyDescent="0.3">
      <c r="B3757" s="74"/>
      <c r="C3757" s="74"/>
      <c r="D3757" s="74"/>
    </row>
    <row r="3758" spans="2:4" x14ac:dyDescent="0.3">
      <c r="B3758" s="74"/>
      <c r="C3758" s="74"/>
      <c r="D3758" s="74"/>
    </row>
    <row r="3759" spans="2:4" x14ac:dyDescent="0.3">
      <c r="B3759" s="74"/>
      <c r="C3759" s="74"/>
      <c r="D3759" s="74"/>
    </row>
    <row r="3760" spans="2:4" x14ac:dyDescent="0.3">
      <c r="B3760" s="74"/>
      <c r="C3760" s="74"/>
      <c r="D3760" s="74"/>
    </row>
    <row r="3761" spans="2:4" x14ac:dyDescent="0.3">
      <c r="B3761" s="74"/>
      <c r="C3761" s="74"/>
      <c r="D3761" s="74"/>
    </row>
    <row r="3762" spans="2:4" x14ac:dyDescent="0.3">
      <c r="B3762" s="74"/>
      <c r="C3762" s="74"/>
      <c r="D3762" s="74"/>
    </row>
    <row r="3763" spans="2:4" x14ac:dyDescent="0.3">
      <c r="B3763" s="74"/>
      <c r="C3763" s="74"/>
      <c r="D3763" s="74"/>
    </row>
    <row r="3764" spans="2:4" x14ac:dyDescent="0.3">
      <c r="B3764" s="74"/>
      <c r="C3764" s="74"/>
      <c r="D3764" s="74"/>
    </row>
    <row r="3765" spans="2:4" x14ac:dyDescent="0.3">
      <c r="B3765" s="74"/>
      <c r="C3765" s="74"/>
      <c r="D3765" s="74"/>
    </row>
    <row r="3766" spans="2:4" x14ac:dyDescent="0.3">
      <c r="B3766" s="74"/>
      <c r="C3766" s="74"/>
      <c r="D3766" s="74"/>
    </row>
    <row r="3767" spans="2:4" x14ac:dyDescent="0.3">
      <c r="B3767" s="74"/>
      <c r="C3767" s="74"/>
      <c r="D3767" s="74"/>
    </row>
    <row r="3768" spans="2:4" x14ac:dyDescent="0.3">
      <c r="B3768" s="74"/>
      <c r="C3768" s="74"/>
      <c r="D3768" s="74"/>
    </row>
    <row r="3769" spans="2:4" x14ac:dyDescent="0.3">
      <c r="B3769" s="74"/>
      <c r="C3769" s="74"/>
      <c r="D3769" s="74"/>
    </row>
    <row r="3770" spans="2:4" x14ac:dyDescent="0.3">
      <c r="B3770" s="74"/>
      <c r="C3770" s="74"/>
      <c r="D3770" s="74"/>
    </row>
    <row r="3771" spans="2:4" x14ac:dyDescent="0.3">
      <c r="B3771" s="74"/>
      <c r="C3771" s="74"/>
      <c r="D3771" s="74"/>
    </row>
    <row r="3772" spans="2:4" x14ac:dyDescent="0.3">
      <c r="B3772" s="74"/>
      <c r="C3772" s="74"/>
      <c r="D3772" s="74"/>
    </row>
    <row r="3773" spans="2:4" x14ac:dyDescent="0.3">
      <c r="B3773" s="74"/>
      <c r="C3773" s="74"/>
      <c r="D3773" s="74"/>
    </row>
    <row r="3774" spans="2:4" x14ac:dyDescent="0.3">
      <c r="B3774" s="74"/>
      <c r="C3774" s="74"/>
      <c r="D3774" s="74"/>
    </row>
    <row r="3775" spans="2:4" x14ac:dyDescent="0.3">
      <c r="B3775" s="74"/>
      <c r="C3775" s="74"/>
      <c r="D3775" s="74"/>
    </row>
    <row r="3776" spans="2:4" x14ac:dyDescent="0.3">
      <c r="B3776" s="74"/>
      <c r="C3776" s="74"/>
      <c r="D3776" s="74"/>
    </row>
    <row r="3777" spans="2:4" x14ac:dyDescent="0.3">
      <c r="B3777" s="74"/>
      <c r="C3777" s="74"/>
      <c r="D3777" s="74"/>
    </row>
    <row r="3778" spans="2:4" x14ac:dyDescent="0.3">
      <c r="B3778" s="74"/>
      <c r="C3778" s="74"/>
      <c r="D3778" s="74"/>
    </row>
    <row r="3779" spans="2:4" x14ac:dyDescent="0.3">
      <c r="B3779" s="74"/>
      <c r="C3779" s="74"/>
      <c r="D3779" s="74"/>
    </row>
    <row r="3780" spans="2:4" x14ac:dyDescent="0.3">
      <c r="B3780" s="74"/>
      <c r="C3780" s="74"/>
      <c r="D3780" s="74"/>
    </row>
    <row r="3781" spans="2:4" x14ac:dyDescent="0.3">
      <c r="B3781" s="74"/>
      <c r="C3781" s="74"/>
      <c r="D3781" s="74"/>
    </row>
    <row r="3782" spans="2:4" x14ac:dyDescent="0.3">
      <c r="B3782" s="74"/>
      <c r="C3782" s="74"/>
      <c r="D3782" s="74"/>
    </row>
    <row r="3783" spans="2:4" x14ac:dyDescent="0.3">
      <c r="B3783" s="74"/>
      <c r="C3783" s="74"/>
      <c r="D3783" s="74"/>
    </row>
    <row r="3784" spans="2:4" x14ac:dyDescent="0.3">
      <c r="B3784" s="74"/>
      <c r="C3784" s="74"/>
      <c r="D3784" s="74"/>
    </row>
    <row r="3785" spans="2:4" x14ac:dyDescent="0.3">
      <c r="B3785" s="74"/>
      <c r="C3785" s="74"/>
      <c r="D3785" s="74"/>
    </row>
    <row r="3786" spans="2:4" x14ac:dyDescent="0.3">
      <c r="B3786" s="74"/>
      <c r="C3786" s="74"/>
      <c r="D3786" s="74"/>
    </row>
    <row r="3787" spans="2:4" x14ac:dyDescent="0.3">
      <c r="B3787" s="74"/>
      <c r="C3787" s="74"/>
      <c r="D3787" s="74"/>
    </row>
    <row r="3788" spans="2:4" x14ac:dyDescent="0.3">
      <c r="B3788" s="74"/>
      <c r="C3788" s="74"/>
      <c r="D3788" s="74"/>
    </row>
    <row r="3789" spans="2:4" x14ac:dyDescent="0.3">
      <c r="B3789" s="74"/>
      <c r="C3789" s="74"/>
      <c r="D3789" s="74"/>
    </row>
    <row r="3790" spans="2:4" x14ac:dyDescent="0.3">
      <c r="B3790" s="74"/>
      <c r="C3790" s="74"/>
      <c r="D3790" s="74"/>
    </row>
    <row r="3791" spans="2:4" x14ac:dyDescent="0.3">
      <c r="B3791" s="74"/>
      <c r="C3791" s="74"/>
      <c r="D3791" s="74"/>
    </row>
    <row r="3792" spans="2:4" x14ac:dyDescent="0.3">
      <c r="B3792" s="74"/>
      <c r="C3792" s="74"/>
      <c r="D3792" s="74"/>
    </row>
    <row r="3793" spans="2:4" x14ac:dyDescent="0.3">
      <c r="B3793" s="74"/>
      <c r="C3793" s="74"/>
      <c r="D3793" s="74"/>
    </row>
    <row r="3794" spans="2:4" x14ac:dyDescent="0.3">
      <c r="B3794" s="74"/>
      <c r="C3794" s="74"/>
      <c r="D3794" s="74"/>
    </row>
    <row r="3795" spans="2:4" x14ac:dyDescent="0.3">
      <c r="B3795" s="74"/>
      <c r="C3795" s="74"/>
      <c r="D3795" s="74"/>
    </row>
    <row r="3796" spans="2:4" x14ac:dyDescent="0.3">
      <c r="B3796" s="74"/>
      <c r="C3796" s="74"/>
      <c r="D3796" s="74"/>
    </row>
    <row r="3797" spans="2:4" x14ac:dyDescent="0.3">
      <c r="B3797" s="74"/>
      <c r="C3797" s="74"/>
      <c r="D3797" s="74"/>
    </row>
    <row r="3798" spans="2:4" x14ac:dyDescent="0.3">
      <c r="B3798" s="74"/>
      <c r="C3798" s="74"/>
      <c r="D3798" s="74"/>
    </row>
    <row r="3799" spans="2:4" x14ac:dyDescent="0.3">
      <c r="B3799" s="74"/>
      <c r="C3799" s="74"/>
      <c r="D3799" s="74"/>
    </row>
    <row r="3800" spans="2:4" x14ac:dyDescent="0.3">
      <c r="B3800" s="74"/>
      <c r="C3800" s="74"/>
      <c r="D3800" s="74"/>
    </row>
    <row r="3801" spans="2:4" x14ac:dyDescent="0.3">
      <c r="B3801" s="74"/>
      <c r="C3801" s="74"/>
      <c r="D3801" s="74"/>
    </row>
    <row r="3802" spans="2:4" x14ac:dyDescent="0.3">
      <c r="B3802" s="74"/>
      <c r="C3802" s="74"/>
      <c r="D3802" s="74"/>
    </row>
    <row r="3803" spans="2:4" x14ac:dyDescent="0.3">
      <c r="B3803" s="74"/>
      <c r="C3803" s="74"/>
      <c r="D3803" s="74"/>
    </row>
    <row r="3804" spans="2:4" x14ac:dyDescent="0.3">
      <c r="B3804" s="74"/>
      <c r="C3804" s="74"/>
      <c r="D3804" s="74"/>
    </row>
    <row r="3805" spans="2:4" x14ac:dyDescent="0.3">
      <c r="B3805" s="74"/>
      <c r="C3805" s="74"/>
      <c r="D3805" s="74"/>
    </row>
    <row r="3806" spans="2:4" x14ac:dyDescent="0.3">
      <c r="B3806" s="74"/>
      <c r="C3806" s="74"/>
      <c r="D3806" s="74"/>
    </row>
    <row r="3807" spans="2:4" x14ac:dyDescent="0.3">
      <c r="B3807" s="74"/>
      <c r="C3807" s="74"/>
      <c r="D3807" s="74"/>
    </row>
    <row r="3808" spans="2:4" x14ac:dyDescent="0.3">
      <c r="B3808" s="74"/>
      <c r="C3808" s="74"/>
      <c r="D3808" s="74"/>
    </row>
    <row r="3809" spans="2:4" x14ac:dyDescent="0.3">
      <c r="B3809" s="74"/>
      <c r="C3809" s="74"/>
      <c r="D3809" s="74"/>
    </row>
    <row r="3810" spans="2:4" x14ac:dyDescent="0.3">
      <c r="B3810" s="74"/>
      <c r="C3810" s="74"/>
      <c r="D3810" s="74"/>
    </row>
    <row r="3811" spans="2:4" x14ac:dyDescent="0.3">
      <c r="B3811" s="74"/>
      <c r="C3811" s="74"/>
      <c r="D3811" s="74"/>
    </row>
    <row r="3812" spans="2:4" x14ac:dyDescent="0.3">
      <c r="B3812" s="74"/>
      <c r="C3812" s="74"/>
      <c r="D3812" s="74"/>
    </row>
    <row r="3813" spans="2:4" x14ac:dyDescent="0.3">
      <c r="B3813" s="74"/>
      <c r="C3813" s="74"/>
      <c r="D3813" s="74"/>
    </row>
    <row r="3814" spans="2:4" x14ac:dyDescent="0.3">
      <c r="B3814" s="74"/>
      <c r="C3814" s="74"/>
      <c r="D3814" s="74"/>
    </row>
    <row r="3815" spans="2:4" x14ac:dyDescent="0.3">
      <c r="B3815" s="74"/>
      <c r="C3815" s="74"/>
      <c r="D3815" s="74"/>
    </row>
    <row r="3816" spans="2:4" x14ac:dyDescent="0.3">
      <c r="B3816" s="74"/>
      <c r="C3816" s="74"/>
      <c r="D3816" s="74"/>
    </row>
    <row r="3817" spans="2:4" x14ac:dyDescent="0.3">
      <c r="B3817" s="74"/>
      <c r="C3817" s="74"/>
      <c r="D3817" s="74"/>
    </row>
    <row r="3818" spans="2:4" x14ac:dyDescent="0.3">
      <c r="B3818" s="74"/>
      <c r="C3818" s="74"/>
      <c r="D3818" s="74"/>
    </row>
    <row r="3819" spans="2:4" x14ac:dyDescent="0.3">
      <c r="B3819" s="74"/>
      <c r="C3819" s="74"/>
      <c r="D3819" s="74"/>
    </row>
    <row r="3820" spans="2:4" x14ac:dyDescent="0.3">
      <c r="B3820" s="74"/>
      <c r="C3820" s="74"/>
      <c r="D3820" s="74"/>
    </row>
    <row r="3821" spans="2:4" x14ac:dyDescent="0.3">
      <c r="B3821" s="74"/>
      <c r="C3821" s="74"/>
      <c r="D3821" s="74"/>
    </row>
    <row r="3822" spans="2:4" x14ac:dyDescent="0.3">
      <c r="B3822" s="74"/>
      <c r="C3822" s="74"/>
      <c r="D3822" s="74"/>
    </row>
    <row r="3823" spans="2:4" x14ac:dyDescent="0.3">
      <c r="B3823" s="74"/>
      <c r="C3823" s="74"/>
      <c r="D3823" s="74"/>
    </row>
    <row r="3824" spans="2:4" x14ac:dyDescent="0.3">
      <c r="B3824" s="74"/>
      <c r="C3824" s="74"/>
      <c r="D3824" s="74"/>
    </row>
    <row r="3825" spans="2:4" x14ac:dyDescent="0.3">
      <c r="B3825" s="74"/>
      <c r="C3825" s="74"/>
      <c r="D3825" s="74"/>
    </row>
    <row r="3826" spans="2:4" x14ac:dyDescent="0.3">
      <c r="B3826" s="74"/>
      <c r="C3826" s="74"/>
      <c r="D3826" s="74"/>
    </row>
    <row r="3827" spans="2:4" x14ac:dyDescent="0.3">
      <c r="B3827" s="74"/>
      <c r="C3827" s="74"/>
      <c r="D3827" s="74"/>
    </row>
    <row r="3828" spans="2:4" x14ac:dyDescent="0.3">
      <c r="B3828" s="74"/>
      <c r="C3828" s="74"/>
      <c r="D3828" s="74"/>
    </row>
    <row r="3829" spans="2:4" x14ac:dyDescent="0.3">
      <c r="B3829" s="74"/>
      <c r="C3829" s="74"/>
      <c r="D3829" s="74"/>
    </row>
    <row r="3830" spans="2:4" x14ac:dyDescent="0.3">
      <c r="B3830" s="74"/>
      <c r="C3830" s="74"/>
      <c r="D3830" s="74"/>
    </row>
    <row r="3831" spans="2:4" x14ac:dyDescent="0.3">
      <c r="B3831" s="74"/>
      <c r="C3831" s="74"/>
      <c r="D3831" s="74"/>
    </row>
    <row r="3832" spans="2:4" x14ac:dyDescent="0.3">
      <c r="B3832" s="74"/>
      <c r="C3832" s="74"/>
      <c r="D3832" s="74"/>
    </row>
    <row r="3833" spans="2:4" x14ac:dyDescent="0.3">
      <c r="B3833" s="74"/>
      <c r="C3833" s="74"/>
      <c r="D3833" s="74"/>
    </row>
    <row r="3834" spans="2:4" x14ac:dyDescent="0.3">
      <c r="B3834" s="74"/>
      <c r="C3834" s="74"/>
      <c r="D3834" s="74"/>
    </row>
    <row r="3835" spans="2:4" x14ac:dyDescent="0.3">
      <c r="B3835" s="74"/>
      <c r="C3835" s="74"/>
      <c r="D3835" s="74"/>
    </row>
    <row r="3836" spans="2:4" x14ac:dyDescent="0.3">
      <c r="B3836" s="74"/>
      <c r="C3836" s="74"/>
      <c r="D3836" s="74"/>
    </row>
    <row r="3837" spans="2:4" x14ac:dyDescent="0.3">
      <c r="B3837" s="74"/>
      <c r="C3837" s="74"/>
      <c r="D3837" s="74"/>
    </row>
    <row r="3838" spans="2:4" x14ac:dyDescent="0.3">
      <c r="B3838" s="74"/>
      <c r="C3838" s="74"/>
      <c r="D3838" s="74"/>
    </row>
    <row r="3839" spans="2:4" x14ac:dyDescent="0.3">
      <c r="B3839" s="74"/>
      <c r="C3839" s="74"/>
      <c r="D3839" s="74"/>
    </row>
    <row r="3840" spans="2:4" x14ac:dyDescent="0.3">
      <c r="B3840" s="74"/>
      <c r="C3840" s="74"/>
      <c r="D3840" s="74"/>
    </row>
    <row r="3841" spans="2:4" x14ac:dyDescent="0.3">
      <c r="B3841" s="74"/>
      <c r="C3841" s="74"/>
      <c r="D3841" s="74"/>
    </row>
    <row r="3842" spans="2:4" x14ac:dyDescent="0.3">
      <c r="B3842" s="74"/>
      <c r="C3842" s="74"/>
      <c r="D3842" s="74"/>
    </row>
    <row r="3843" spans="2:4" x14ac:dyDescent="0.3">
      <c r="B3843" s="74"/>
      <c r="C3843" s="74"/>
      <c r="D3843" s="74"/>
    </row>
    <row r="3844" spans="2:4" x14ac:dyDescent="0.3">
      <c r="B3844" s="74"/>
      <c r="C3844" s="74"/>
      <c r="D3844" s="74"/>
    </row>
    <row r="3845" spans="2:4" x14ac:dyDescent="0.3">
      <c r="B3845" s="74"/>
      <c r="C3845" s="74"/>
      <c r="D3845" s="74"/>
    </row>
    <row r="3846" spans="2:4" x14ac:dyDescent="0.3">
      <c r="B3846" s="74"/>
      <c r="C3846" s="74"/>
      <c r="D3846" s="74"/>
    </row>
    <row r="3847" spans="2:4" x14ac:dyDescent="0.3">
      <c r="B3847" s="74"/>
      <c r="C3847" s="74"/>
      <c r="D3847" s="74"/>
    </row>
    <row r="3848" spans="2:4" x14ac:dyDescent="0.3">
      <c r="B3848" s="74"/>
      <c r="C3848" s="74"/>
      <c r="D3848" s="74"/>
    </row>
    <row r="3849" spans="2:4" x14ac:dyDescent="0.3">
      <c r="B3849" s="74"/>
      <c r="C3849" s="74"/>
      <c r="D3849" s="74"/>
    </row>
    <row r="3850" spans="2:4" x14ac:dyDescent="0.3">
      <c r="B3850" s="74"/>
      <c r="C3850" s="74"/>
      <c r="D3850" s="74"/>
    </row>
    <row r="3851" spans="2:4" x14ac:dyDescent="0.3">
      <c r="B3851" s="74"/>
      <c r="C3851" s="74"/>
      <c r="D3851" s="74"/>
    </row>
    <row r="3852" spans="2:4" x14ac:dyDescent="0.3">
      <c r="B3852" s="74"/>
      <c r="C3852" s="74"/>
      <c r="D3852" s="74"/>
    </row>
    <row r="3853" spans="2:4" x14ac:dyDescent="0.3">
      <c r="B3853" s="74"/>
      <c r="C3853" s="74"/>
      <c r="D3853" s="74"/>
    </row>
    <row r="3854" spans="2:4" x14ac:dyDescent="0.3">
      <c r="B3854" s="74"/>
      <c r="C3854" s="74"/>
      <c r="D3854" s="74"/>
    </row>
    <row r="3855" spans="2:4" x14ac:dyDescent="0.3">
      <c r="B3855" s="74"/>
      <c r="C3855" s="74"/>
      <c r="D3855" s="74"/>
    </row>
    <row r="3856" spans="2:4" x14ac:dyDescent="0.3">
      <c r="B3856" s="74"/>
      <c r="C3856" s="74"/>
      <c r="D3856" s="74"/>
    </row>
    <row r="3857" spans="2:4" x14ac:dyDescent="0.3">
      <c r="B3857" s="74"/>
      <c r="C3857" s="74"/>
      <c r="D3857" s="74"/>
    </row>
    <row r="3858" spans="2:4" x14ac:dyDescent="0.3">
      <c r="B3858" s="74"/>
      <c r="C3858" s="74"/>
      <c r="D3858" s="74"/>
    </row>
    <row r="3859" spans="2:4" x14ac:dyDescent="0.3">
      <c r="B3859" s="74"/>
      <c r="C3859" s="74"/>
      <c r="D3859" s="74"/>
    </row>
    <row r="3860" spans="2:4" x14ac:dyDescent="0.3">
      <c r="B3860" s="74"/>
      <c r="C3860" s="74"/>
      <c r="D3860" s="74"/>
    </row>
    <row r="3861" spans="2:4" x14ac:dyDescent="0.3">
      <c r="B3861" s="74"/>
      <c r="C3861" s="74"/>
      <c r="D3861" s="74"/>
    </row>
    <row r="3862" spans="2:4" x14ac:dyDescent="0.3">
      <c r="B3862" s="74"/>
      <c r="C3862" s="74"/>
      <c r="D3862" s="74"/>
    </row>
    <row r="3863" spans="2:4" x14ac:dyDescent="0.3">
      <c r="B3863" s="74"/>
      <c r="C3863" s="74"/>
      <c r="D3863" s="74"/>
    </row>
    <row r="3864" spans="2:4" x14ac:dyDescent="0.3">
      <c r="B3864" s="74"/>
      <c r="C3864" s="74"/>
      <c r="D3864" s="74"/>
    </row>
    <row r="3865" spans="2:4" x14ac:dyDescent="0.3">
      <c r="B3865" s="74"/>
      <c r="C3865" s="74"/>
      <c r="D3865" s="74"/>
    </row>
    <row r="3866" spans="2:4" x14ac:dyDescent="0.3">
      <c r="B3866" s="74"/>
      <c r="C3866" s="74"/>
      <c r="D3866" s="74"/>
    </row>
    <row r="3867" spans="2:4" x14ac:dyDescent="0.3">
      <c r="B3867" s="74"/>
      <c r="C3867" s="74"/>
      <c r="D3867" s="74"/>
    </row>
    <row r="3868" spans="2:4" x14ac:dyDescent="0.3">
      <c r="B3868" s="74"/>
      <c r="C3868" s="74"/>
      <c r="D3868" s="74"/>
    </row>
    <row r="3869" spans="2:4" x14ac:dyDescent="0.3">
      <c r="B3869" s="74"/>
      <c r="C3869" s="74"/>
      <c r="D3869" s="74"/>
    </row>
    <row r="3870" spans="2:4" x14ac:dyDescent="0.3">
      <c r="B3870" s="74"/>
      <c r="C3870" s="74"/>
      <c r="D3870" s="74"/>
    </row>
    <row r="3871" spans="2:4" x14ac:dyDescent="0.3">
      <c r="B3871" s="74"/>
      <c r="C3871" s="74"/>
      <c r="D3871" s="74"/>
    </row>
    <row r="3872" spans="2:4" x14ac:dyDescent="0.3">
      <c r="B3872" s="74"/>
      <c r="C3872" s="74"/>
      <c r="D3872" s="74"/>
    </row>
    <row r="3873" spans="2:4" x14ac:dyDescent="0.3">
      <c r="B3873" s="74"/>
      <c r="C3873" s="74"/>
      <c r="D3873" s="74"/>
    </row>
    <row r="3874" spans="2:4" x14ac:dyDescent="0.3">
      <c r="B3874" s="74"/>
      <c r="C3874" s="74"/>
      <c r="D3874" s="74"/>
    </row>
    <row r="3875" spans="2:4" x14ac:dyDescent="0.3">
      <c r="B3875" s="74"/>
      <c r="C3875" s="74"/>
      <c r="D3875" s="74"/>
    </row>
    <row r="3876" spans="2:4" x14ac:dyDescent="0.3">
      <c r="B3876" s="74"/>
      <c r="C3876" s="74"/>
      <c r="D3876" s="74"/>
    </row>
    <row r="3877" spans="2:4" x14ac:dyDescent="0.3">
      <c r="B3877" s="74"/>
      <c r="C3877" s="74"/>
      <c r="D3877" s="74"/>
    </row>
    <row r="3878" spans="2:4" x14ac:dyDescent="0.3">
      <c r="B3878" s="74"/>
      <c r="C3878" s="74"/>
      <c r="D3878" s="74"/>
    </row>
    <row r="3879" spans="2:4" x14ac:dyDescent="0.3">
      <c r="B3879" s="74"/>
      <c r="C3879" s="74"/>
      <c r="D3879" s="74"/>
    </row>
    <row r="3880" spans="2:4" x14ac:dyDescent="0.3">
      <c r="B3880" s="74"/>
      <c r="C3880" s="74"/>
      <c r="D3880" s="74"/>
    </row>
    <row r="3881" spans="2:4" x14ac:dyDescent="0.3">
      <c r="B3881" s="74"/>
      <c r="C3881" s="74"/>
      <c r="D3881" s="74"/>
    </row>
    <row r="3882" spans="2:4" x14ac:dyDescent="0.3">
      <c r="B3882" s="74"/>
      <c r="C3882" s="74"/>
      <c r="D3882" s="74"/>
    </row>
    <row r="3883" spans="2:4" x14ac:dyDescent="0.3">
      <c r="B3883" s="74"/>
      <c r="C3883" s="74"/>
      <c r="D3883" s="74"/>
    </row>
    <row r="3884" spans="2:4" x14ac:dyDescent="0.3">
      <c r="B3884" s="74"/>
      <c r="C3884" s="74"/>
      <c r="D3884" s="74"/>
    </row>
    <row r="3885" spans="2:4" x14ac:dyDescent="0.3">
      <c r="B3885" s="74"/>
      <c r="C3885" s="74"/>
      <c r="D3885" s="74"/>
    </row>
    <row r="3886" spans="2:4" x14ac:dyDescent="0.3">
      <c r="B3886" s="74"/>
      <c r="C3886" s="74"/>
      <c r="D3886" s="74"/>
    </row>
    <row r="3887" spans="2:4" x14ac:dyDescent="0.3">
      <c r="B3887" s="74"/>
      <c r="C3887" s="74"/>
      <c r="D3887" s="74"/>
    </row>
    <row r="3888" spans="2:4" x14ac:dyDescent="0.3">
      <c r="B3888" s="74"/>
      <c r="C3888" s="74"/>
      <c r="D3888" s="74"/>
    </row>
    <row r="3889" spans="2:4" x14ac:dyDescent="0.3">
      <c r="B3889" s="74"/>
      <c r="C3889" s="74"/>
      <c r="D3889" s="74"/>
    </row>
    <row r="3890" spans="2:4" x14ac:dyDescent="0.3">
      <c r="B3890" s="74"/>
      <c r="C3890" s="74"/>
      <c r="D3890" s="74"/>
    </row>
    <row r="3891" spans="2:4" x14ac:dyDescent="0.3">
      <c r="B3891" s="74"/>
      <c r="C3891" s="74"/>
      <c r="D3891" s="74"/>
    </row>
    <row r="3892" spans="2:4" x14ac:dyDescent="0.3">
      <c r="B3892" s="74"/>
      <c r="C3892" s="74"/>
      <c r="D3892" s="74"/>
    </row>
    <row r="3893" spans="2:4" x14ac:dyDescent="0.3">
      <c r="B3893" s="74"/>
      <c r="C3893" s="74"/>
      <c r="D3893" s="74"/>
    </row>
    <row r="3894" spans="2:4" x14ac:dyDescent="0.3">
      <c r="B3894" s="74"/>
      <c r="C3894" s="74"/>
      <c r="D3894" s="74"/>
    </row>
    <row r="3895" spans="2:4" x14ac:dyDescent="0.3">
      <c r="B3895" s="74"/>
      <c r="C3895" s="74"/>
      <c r="D3895" s="74"/>
    </row>
    <row r="3896" spans="2:4" x14ac:dyDescent="0.3">
      <c r="B3896" s="74"/>
      <c r="C3896" s="74"/>
      <c r="D3896" s="74"/>
    </row>
    <row r="3897" spans="2:4" x14ac:dyDescent="0.3">
      <c r="B3897" s="74"/>
      <c r="C3897" s="74"/>
      <c r="D3897" s="74"/>
    </row>
    <row r="3898" spans="2:4" x14ac:dyDescent="0.3">
      <c r="B3898" s="74"/>
      <c r="C3898" s="74"/>
      <c r="D3898" s="74"/>
    </row>
    <row r="3899" spans="2:4" x14ac:dyDescent="0.3">
      <c r="B3899" s="74"/>
      <c r="C3899" s="74"/>
      <c r="D3899" s="74"/>
    </row>
    <row r="3900" spans="2:4" x14ac:dyDescent="0.3">
      <c r="B3900" s="74"/>
      <c r="C3900" s="74"/>
      <c r="D3900" s="74"/>
    </row>
    <row r="3901" spans="2:4" x14ac:dyDescent="0.3">
      <c r="B3901" s="74"/>
      <c r="C3901" s="74"/>
      <c r="D3901" s="74"/>
    </row>
    <row r="3902" spans="2:4" x14ac:dyDescent="0.3">
      <c r="B3902" s="74"/>
      <c r="C3902" s="74"/>
      <c r="D3902" s="74"/>
    </row>
    <row r="3903" spans="2:4" x14ac:dyDescent="0.3">
      <c r="B3903" s="74"/>
      <c r="C3903" s="74"/>
      <c r="D3903" s="74"/>
    </row>
    <row r="3904" spans="2:4" x14ac:dyDescent="0.3">
      <c r="B3904" s="74"/>
      <c r="C3904" s="74"/>
      <c r="D3904" s="74"/>
    </row>
    <row r="3905" spans="2:4" x14ac:dyDescent="0.3">
      <c r="B3905" s="74"/>
      <c r="C3905" s="74"/>
      <c r="D3905" s="74"/>
    </row>
    <row r="3906" spans="2:4" x14ac:dyDescent="0.3">
      <c r="B3906" s="74"/>
      <c r="C3906" s="74"/>
      <c r="D3906" s="74"/>
    </row>
    <row r="3907" spans="2:4" x14ac:dyDescent="0.3">
      <c r="B3907" s="74"/>
      <c r="C3907" s="74"/>
      <c r="D3907" s="74"/>
    </row>
    <row r="3908" spans="2:4" x14ac:dyDescent="0.3">
      <c r="B3908" s="74"/>
      <c r="C3908" s="74"/>
      <c r="D3908" s="74"/>
    </row>
    <row r="3909" spans="2:4" x14ac:dyDescent="0.3">
      <c r="B3909" s="74"/>
      <c r="C3909" s="74"/>
      <c r="D3909" s="74"/>
    </row>
    <row r="3910" spans="2:4" x14ac:dyDescent="0.3">
      <c r="B3910" s="74"/>
      <c r="C3910" s="74"/>
      <c r="D3910" s="74"/>
    </row>
    <row r="3911" spans="2:4" x14ac:dyDescent="0.3">
      <c r="B3911" s="74"/>
      <c r="C3911" s="74"/>
      <c r="D3911" s="74"/>
    </row>
    <row r="3912" spans="2:4" x14ac:dyDescent="0.3">
      <c r="B3912" s="74"/>
      <c r="C3912" s="74"/>
      <c r="D3912" s="74"/>
    </row>
    <row r="3913" spans="2:4" x14ac:dyDescent="0.3">
      <c r="B3913" s="74"/>
      <c r="C3913" s="74"/>
      <c r="D3913" s="74"/>
    </row>
    <row r="3914" spans="2:4" x14ac:dyDescent="0.3">
      <c r="B3914" s="74"/>
      <c r="C3914" s="74"/>
      <c r="D3914" s="74"/>
    </row>
    <row r="3915" spans="2:4" x14ac:dyDescent="0.3">
      <c r="B3915" s="74"/>
      <c r="C3915" s="74"/>
      <c r="D3915" s="74"/>
    </row>
    <row r="3916" spans="2:4" x14ac:dyDescent="0.3">
      <c r="B3916" s="74"/>
      <c r="C3916" s="74"/>
      <c r="D3916" s="74"/>
    </row>
    <row r="3917" spans="2:4" x14ac:dyDescent="0.3">
      <c r="B3917" s="74"/>
      <c r="C3917" s="74"/>
      <c r="D3917" s="74"/>
    </row>
    <row r="3918" spans="2:4" x14ac:dyDescent="0.3">
      <c r="B3918" s="74"/>
      <c r="C3918" s="74"/>
      <c r="D3918" s="74"/>
    </row>
    <row r="3919" spans="2:4" x14ac:dyDescent="0.3">
      <c r="B3919" s="74"/>
      <c r="C3919" s="74"/>
      <c r="D3919" s="74"/>
    </row>
    <row r="3920" spans="2:4" x14ac:dyDescent="0.3">
      <c r="B3920" s="74"/>
      <c r="C3920" s="74"/>
      <c r="D3920" s="74"/>
    </row>
  </sheetData>
  <autoFilter ref="A10:J323" xr:uid="{00000000-0009-0000-0000-000000000000}"/>
  <mergeCells count="4">
    <mergeCell ref="A1:G1"/>
    <mergeCell ref="E4:G4"/>
    <mergeCell ref="A8:G8"/>
    <mergeCell ref="B9:C9"/>
  </mergeCells>
  <conditionalFormatting sqref="E114:G115 G116:G122 E11:E113 E116:E324">
    <cfRule type="cellIs" dxfId="5" priority="121" stopIfTrue="1" operator="equal">
      <formula>"Pass"</formula>
    </cfRule>
    <cfRule type="cellIs" dxfId="4" priority="12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A941"/>
  <sheetViews>
    <sheetView zoomScale="85" zoomScaleNormal="85" workbookViewId="0">
      <pane ySplit="11" topLeftCell="A906" activePane="bottomLeft" state="frozen"/>
      <selection pane="bottomLeft" activeCell="Z943" sqref="Z943"/>
    </sheetView>
  </sheetViews>
  <sheetFormatPr defaultColWidth="9" defaultRowHeight="13.8" x14ac:dyDescent="0.3"/>
  <cols>
    <col min="1" max="2" width="12.19921875" style="101" customWidth="1"/>
    <col min="3" max="3" width="10.19921875" style="16" customWidth="1"/>
    <col min="4" max="4" width="9.09765625" style="16" customWidth="1"/>
    <col min="5" max="14" width="9" style="16"/>
    <col min="15" max="15" width="12.19921875" style="16" customWidth="1"/>
    <col min="16" max="18" width="9" style="16"/>
    <col min="19" max="19" width="10" style="16" customWidth="1"/>
    <col min="20" max="20" width="14.09765625" style="50" customWidth="1"/>
    <col min="21" max="21" width="23.09765625" style="49" customWidth="1"/>
    <col min="22" max="23" width="9" style="15"/>
    <col min="24" max="16384" width="9" style="16"/>
  </cols>
  <sheetData>
    <row r="1" spans="1:27" s="8" customFormat="1" x14ac:dyDescent="0.3">
      <c r="A1" s="102" t="s">
        <v>11</v>
      </c>
      <c r="B1" s="110"/>
      <c r="C1" s="5"/>
      <c r="D1" s="5"/>
      <c r="E1" s="5"/>
      <c r="F1" s="5"/>
      <c r="G1" s="5"/>
      <c r="H1" s="5"/>
      <c r="I1" s="5"/>
      <c r="J1" s="5"/>
      <c r="K1" s="5"/>
      <c r="L1" s="6"/>
      <c r="M1" s="5"/>
      <c r="N1" s="5"/>
      <c r="O1" s="5"/>
      <c r="P1" s="5"/>
      <c r="Q1" s="5"/>
      <c r="R1" s="5"/>
      <c r="S1" s="5"/>
      <c r="T1" s="6"/>
      <c r="U1" s="9"/>
      <c r="V1" s="7"/>
      <c r="W1" s="7"/>
    </row>
    <row r="2" spans="1:27" x14ac:dyDescent="0.3">
      <c r="A2" s="17" t="s">
        <v>258</v>
      </c>
      <c r="B2" s="111"/>
      <c r="C2" s="9"/>
      <c r="D2" s="10"/>
      <c r="E2" s="10"/>
      <c r="F2" s="10"/>
      <c r="G2" s="10"/>
      <c r="H2" s="10"/>
      <c r="I2" s="10"/>
      <c r="J2" s="10"/>
      <c r="K2" s="10"/>
      <c r="L2" s="11"/>
      <c r="M2" s="10"/>
      <c r="N2" s="12"/>
      <c r="O2" s="9"/>
      <c r="P2" s="9"/>
      <c r="Q2" s="9"/>
      <c r="R2" s="13"/>
      <c r="S2" s="12"/>
      <c r="T2" s="14" t="s">
        <v>259</v>
      </c>
      <c r="U2" s="66"/>
    </row>
    <row r="3" spans="1:27" x14ac:dyDescent="0.3">
      <c r="A3" s="17" t="s">
        <v>260</v>
      </c>
      <c r="B3" s="111"/>
      <c r="C3" s="18"/>
      <c r="D3" s="19"/>
      <c r="E3" s="19"/>
      <c r="F3" s="19"/>
      <c r="G3" s="19"/>
      <c r="H3" s="19"/>
      <c r="I3" s="19"/>
      <c r="J3" s="19"/>
      <c r="K3" s="19"/>
      <c r="L3" s="20"/>
      <c r="M3" s="19"/>
      <c r="N3" s="19"/>
      <c r="O3" s="13"/>
      <c r="P3" s="13"/>
      <c r="Q3" s="13"/>
      <c r="R3" s="13"/>
      <c r="S3" s="13"/>
      <c r="T3" s="21"/>
      <c r="U3" s="13"/>
    </row>
    <row r="4" spans="1:27" x14ac:dyDescent="0.3">
      <c r="A4" s="17" t="s">
        <v>261</v>
      </c>
      <c r="B4" s="111"/>
      <c r="C4" s="9"/>
      <c r="D4" s="10"/>
      <c r="E4" s="9"/>
      <c r="F4" s="19"/>
      <c r="G4" s="13" t="s">
        <v>262</v>
      </c>
      <c r="H4" s="13"/>
      <c r="I4" s="13"/>
      <c r="J4" s="13"/>
      <c r="K4" s="13"/>
      <c r="L4" s="21"/>
      <c r="M4" s="10"/>
      <c r="N4" s="10"/>
      <c r="O4" s="13"/>
      <c r="P4" s="13"/>
      <c r="Q4" s="13"/>
      <c r="R4" s="13"/>
      <c r="S4" s="13"/>
      <c r="T4" s="21"/>
      <c r="U4" s="13"/>
    </row>
    <row r="5" spans="1:27" x14ac:dyDescent="0.3">
      <c r="A5" s="17" t="s">
        <v>120</v>
      </c>
      <c r="B5" s="111"/>
      <c r="C5" s="13"/>
      <c r="D5" s="13"/>
      <c r="E5" s="13"/>
      <c r="F5" s="13"/>
      <c r="G5" s="13" t="s">
        <v>263</v>
      </c>
      <c r="H5" s="13"/>
      <c r="I5" s="13"/>
      <c r="J5" s="13"/>
      <c r="K5" s="13"/>
      <c r="L5" s="21"/>
      <c r="M5" s="22"/>
      <c r="N5" s="10"/>
      <c r="O5" s="13"/>
      <c r="P5" s="13"/>
      <c r="Q5" s="13"/>
      <c r="R5" s="13"/>
      <c r="S5" s="13"/>
      <c r="T5" s="21"/>
      <c r="U5" s="13"/>
    </row>
    <row r="6" spans="1:27" x14ac:dyDescent="0.3">
      <c r="A6" s="17" t="s">
        <v>264</v>
      </c>
      <c r="B6" s="111"/>
      <c r="C6" s="9"/>
      <c r="D6" s="10"/>
      <c r="E6" s="10"/>
      <c r="F6" s="10"/>
      <c r="G6" s="10"/>
      <c r="H6" s="10"/>
      <c r="I6" s="10"/>
      <c r="J6" s="10"/>
      <c r="K6" s="10"/>
      <c r="L6" s="11"/>
      <c r="M6" s="10"/>
      <c r="N6" s="10"/>
      <c r="O6" s="13"/>
      <c r="P6" s="23"/>
      <c r="Q6" s="23"/>
      <c r="R6" s="23"/>
      <c r="S6" s="24"/>
      <c r="T6" s="25"/>
      <c r="U6" s="87"/>
    </row>
    <row r="7" spans="1:27" x14ac:dyDescent="0.3">
      <c r="A7" s="103" t="s">
        <v>398</v>
      </c>
      <c r="B7" s="112"/>
      <c r="C7" s="13"/>
      <c r="D7" s="10"/>
      <c r="E7" s="10"/>
      <c r="F7" s="10"/>
      <c r="G7" s="10"/>
      <c r="H7" s="10"/>
      <c r="I7" s="10"/>
      <c r="J7" s="10"/>
      <c r="K7" s="10"/>
      <c r="L7" s="11"/>
      <c r="M7" s="10"/>
      <c r="N7" s="10"/>
      <c r="O7" s="13"/>
      <c r="P7" s="13"/>
      <c r="Q7" s="13"/>
      <c r="R7" s="13"/>
      <c r="S7" s="13"/>
      <c r="T7" s="21"/>
      <c r="U7" s="13"/>
    </row>
    <row r="8" spans="1:27" x14ac:dyDescent="0.3">
      <c r="A8" s="94"/>
      <c r="B8" s="107"/>
      <c r="D8" s="123" t="s">
        <v>304</v>
      </c>
      <c r="E8" s="124"/>
      <c r="F8" s="124"/>
      <c r="G8" s="124"/>
      <c r="H8" s="124"/>
      <c r="I8" s="124"/>
      <c r="J8" s="124"/>
      <c r="K8" s="124"/>
      <c r="L8" s="125"/>
      <c r="M8" s="10"/>
      <c r="N8" s="10"/>
      <c r="O8" s="13"/>
      <c r="P8" s="13"/>
      <c r="Q8" s="13"/>
      <c r="R8" s="13"/>
      <c r="S8" s="13"/>
      <c r="T8" s="21"/>
      <c r="U8" s="13"/>
    </row>
    <row r="9" spans="1:27" x14ac:dyDescent="0.3">
      <c r="A9" s="107"/>
      <c r="B9" s="107"/>
      <c r="C9" s="76" t="s">
        <v>428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-85</v>
      </c>
      <c r="J9" s="30">
        <v>-42.5</v>
      </c>
      <c r="K9" s="30">
        <v>42.5</v>
      </c>
      <c r="L9" s="30">
        <v>85</v>
      </c>
      <c r="M9" s="10"/>
      <c r="N9" s="10"/>
      <c r="O9" s="13"/>
      <c r="P9" s="13"/>
      <c r="Q9" s="13"/>
      <c r="R9" s="13"/>
      <c r="S9" s="13"/>
      <c r="T9" s="21"/>
      <c r="U9" s="13"/>
    </row>
    <row r="10" spans="1:27" ht="14.4" thickBot="1" x14ac:dyDescent="0.35">
      <c r="A10" s="107"/>
      <c r="B10" s="107"/>
      <c r="C10" s="55" t="s">
        <v>429</v>
      </c>
      <c r="D10" s="109">
        <v>85</v>
      </c>
      <c r="E10" s="109">
        <v>42.5</v>
      </c>
      <c r="F10" s="109">
        <v>0</v>
      </c>
      <c r="G10" s="109">
        <v>-42.5</v>
      </c>
      <c r="H10" s="109">
        <v>-85</v>
      </c>
      <c r="I10" s="109">
        <v>0</v>
      </c>
      <c r="J10" s="109">
        <v>0</v>
      </c>
      <c r="K10" s="109">
        <v>0</v>
      </c>
      <c r="L10" s="109">
        <v>0</v>
      </c>
      <c r="M10" s="10"/>
      <c r="N10" s="10"/>
      <c r="O10" s="13"/>
      <c r="P10" s="13"/>
      <c r="Q10" s="13"/>
      <c r="R10" s="13"/>
      <c r="S10" s="13"/>
      <c r="T10" s="21"/>
      <c r="U10" s="13"/>
    </row>
    <row r="11" spans="1:27" s="43" customFormat="1" ht="40.65" customHeight="1" thickBot="1" x14ac:dyDescent="0.35">
      <c r="A11" s="81" t="s">
        <v>270</v>
      </c>
      <c r="B11" s="116" t="s">
        <v>430</v>
      </c>
      <c r="C11" s="89" t="s">
        <v>303</v>
      </c>
      <c r="D11" s="82">
        <v>1</v>
      </c>
      <c r="E11" s="82">
        <v>2</v>
      </c>
      <c r="F11" s="82">
        <v>3</v>
      </c>
      <c r="G11" s="82">
        <v>4</v>
      </c>
      <c r="H11" s="82">
        <v>5</v>
      </c>
      <c r="I11" s="82">
        <v>6</v>
      </c>
      <c r="J11" s="82">
        <v>7</v>
      </c>
      <c r="K11" s="82">
        <v>8</v>
      </c>
      <c r="L11" s="82">
        <v>9</v>
      </c>
      <c r="M11" s="82" t="s">
        <v>121</v>
      </c>
      <c r="N11" s="82" t="s">
        <v>122</v>
      </c>
      <c r="O11" s="82" t="s">
        <v>252</v>
      </c>
      <c r="P11" s="82" t="s">
        <v>123</v>
      </c>
      <c r="Q11" s="82" t="s">
        <v>257</v>
      </c>
      <c r="R11" s="83" t="s">
        <v>14</v>
      </c>
      <c r="S11" s="82" t="s">
        <v>15</v>
      </c>
      <c r="T11" s="83" t="s">
        <v>292</v>
      </c>
      <c r="U11" s="83" t="s">
        <v>17</v>
      </c>
      <c r="V11" s="84" t="s">
        <v>124</v>
      </c>
      <c r="W11" s="84" t="s">
        <v>18</v>
      </c>
      <c r="X11" s="83" t="s">
        <v>125</v>
      </c>
      <c r="Y11" s="83" t="s">
        <v>19</v>
      </c>
      <c r="Z11" s="85" t="s">
        <v>413</v>
      </c>
      <c r="AA11" s="85" t="s">
        <v>269</v>
      </c>
    </row>
    <row r="12" spans="1:27" x14ac:dyDescent="0.3">
      <c r="A12" s="95">
        <v>42736</v>
      </c>
      <c r="B12" s="117" t="s">
        <v>431</v>
      </c>
      <c r="C12" s="90" t="s">
        <v>126</v>
      </c>
      <c r="D12" s="16">
        <v>29139.66</v>
      </c>
      <c r="E12" s="16">
        <v>28999.74</v>
      </c>
      <c r="F12" s="16">
        <v>29013.95</v>
      </c>
      <c r="G12" s="16">
        <v>29011.01</v>
      </c>
      <c r="H12" s="16">
        <v>29225.67</v>
      </c>
      <c r="I12" s="16">
        <v>29214.79</v>
      </c>
      <c r="J12" s="16">
        <v>29005.85</v>
      </c>
      <c r="K12" s="16">
        <v>29002.26</v>
      </c>
      <c r="L12" s="16">
        <v>29234.97</v>
      </c>
      <c r="M12" s="31">
        <f>IF((L13=""),"",MAX(D14:L14))</f>
        <v>9513.1200000000026</v>
      </c>
      <c r="N12" s="31">
        <f>IF(L13="","",MIN(D14:L14))</f>
        <v>8462.7600000000057</v>
      </c>
      <c r="O12" s="31">
        <f>IF((L14=""),"",AVERAGE(D14:L14))</f>
        <v>9029.75</v>
      </c>
      <c r="P12" s="31">
        <f>IF((L13=""),"",STDEV(D14:L14))</f>
        <v>340.70216080177431</v>
      </c>
      <c r="Q12" s="31">
        <f>IF((L13=""),"",P12/O12*100)</f>
        <v>3.7731073485065956</v>
      </c>
      <c r="R12" s="28" t="str">
        <f>IF(L13="","",IF(Q12&lt;Z12,IF(N12&gt;V12,IF(M12&lt;W12,"Pass","Fail"),"Fail"),"Fail"))</f>
        <v>Fail</v>
      </c>
      <c r="S12" s="91">
        <v>1400</v>
      </c>
      <c r="T12" s="56" t="s">
        <v>127</v>
      </c>
      <c r="V12" s="22">
        <v>9000</v>
      </c>
      <c r="W12" s="22">
        <v>15600</v>
      </c>
      <c r="X12" s="49">
        <v>8090</v>
      </c>
      <c r="Y12" s="49">
        <v>12070</v>
      </c>
      <c r="Z12" s="50">
        <v>6</v>
      </c>
      <c r="AA12" s="50">
        <v>6</v>
      </c>
    </row>
    <row r="13" spans="1:27" ht="15.75" customHeight="1" x14ac:dyDescent="0.3">
      <c r="A13" s="96"/>
      <c r="B13" s="96"/>
      <c r="C13" s="30" t="s">
        <v>128</v>
      </c>
      <c r="D13" s="16">
        <v>26260.14</v>
      </c>
      <c r="E13" s="16">
        <v>26025.23</v>
      </c>
      <c r="F13" s="16">
        <v>26015.61</v>
      </c>
      <c r="G13" s="16">
        <v>25926.85</v>
      </c>
      <c r="H13" s="16">
        <v>26111.56</v>
      </c>
      <c r="I13" s="16">
        <v>26393.87</v>
      </c>
      <c r="J13" s="16">
        <v>26039.01</v>
      </c>
      <c r="K13" s="16">
        <v>25922.45</v>
      </c>
      <c r="L13" s="16">
        <v>26063.93</v>
      </c>
      <c r="M13" s="31"/>
      <c r="N13" s="31"/>
      <c r="O13" s="31"/>
      <c r="P13" s="31"/>
      <c r="Q13" s="31"/>
      <c r="R13" s="32"/>
      <c r="S13" s="45"/>
      <c r="T13" s="56"/>
      <c r="V13" s="48"/>
      <c r="W13" s="48"/>
      <c r="X13" s="49"/>
      <c r="Y13" s="49"/>
      <c r="Z13" s="50"/>
      <c r="AA13" s="50"/>
    </row>
    <row r="14" spans="1:27" ht="16.5" customHeight="1" thickBot="1" x14ac:dyDescent="0.35">
      <c r="A14" s="96"/>
      <c r="B14" s="96"/>
      <c r="C14" s="34" t="s">
        <v>129</v>
      </c>
      <c r="D14" s="35">
        <f t="shared" ref="D14:L14" si="0">IF(((D12="")*AND(D13="")),"",(D12-D13)*3)</f>
        <v>8638.5600000000013</v>
      </c>
      <c r="E14" s="35">
        <f t="shared" si="0"/>
        <v>8923.5300000000061</v>
      </c>
      <c r="F14" s="35">
        <f t="shared" si="0"/>
        <v>8995.02</v>
      </c>
      <c r="G14" s="35">
        <f t="shared" si="0"/>
        <v>9252.48</v>
      </c>
      <c r="H14" s="35">
        <f t="shared" si="0"/>
        <v>9342.3299999999908</v>
      </c>
      <c r="I14" s="35">
        <f t="shared" si="0"/>
        <v>8462.7600000000057</v>
      </c>
      <c r="J14" s="35">
        <f t="shared" si="0"/>
        <v>8900.52</v>
      </c>
      <c r="K14" s="35">
        <f t="shared" si="0"/>
        <v>9239.429999999993</v>
      </c>
      <c r="L14" s="35">
        <f t="shared" si="0"/>
        <v>9513.1200000000026</v>
      </c>
      <c r="M14" s="36"/>
      <c r="N14" s="36"/>
      <c r="O14" s="36"/>
      <c r="P14" s="36"/>
      <c r="Q14" s="36"/>
      <c r="R14" s="37"/>
      <c r="S14" s="46"/>
      <c r="T14" s="57"/>
      <c r="U14" s="52"/>
      <c r="V14" s="51"/>
      <c r="W14" s="51"/>
      <c r="X14" s="52"/>
      <c r="Y14" s="52"/>
      <c r="Z14" s="53"/>
      <c r="AA14" s="53"/>
    </row>
    <row r="15" spans="1:27" x14ac:dyDescent="0.3">
      <c r="A15" s="97">
        <v>42741</v>
      </c>
      <c r="B15" s="117" t="s">
        <v>431</v>
      </c>
      <c r="C15" s="26" t="s">
        <v>126</v>
      </c>
      <c r="D15" s="16">
        <v>29171.19</v>
      </c>
      <c r="E15" s="16">
        <v>29014.37</v>
      </c>
      <c r="F15" s="16">
        <v>29060.21</v>
      </c>
      <c r="G15" s="16">
        <v>29027.24</v>
      </c>
      <c r="H15" s="16">
        <v>29282.080000000002</v>
      </c>
      <c r="I15" s="16">
        <v>29171.64</v>
      </c>
      <c r="J15" s="16">
        <v>29005.71</v>
      </c>
      <c r="K15" s="16">
        <v>29022.99</v>
      </c>
      <c r="L15" s="16">
        <v>29204.959999999999</v>
      </c>
      <c r="M15" s="27">
        <f>IF((L16=""),"",MAX(D17:L17))</f>
        <v>10018.319999999996</v>
      </c>
      <c r="N15" s="27">
        <f>IF(L16="","",MIN(D17:L17))</f>
        <v>8862.3900000000031</v>
      </c>
      <c r="O15" s="27">
        <f>IF((L17=""),"",AVERAGE(D17:L17))</f>
        <v>9436.9033333333318</v>
      </c>
      <c r="P15" s="27">
        <f>IF((L16=""),"",STDEV(D17:L17))</f>
        <v>369.20942749339497</v>
      </c>
      <c r="Q15" s="27">
        <f>IF((L16=""),"",P15/O15*100)</f>
        <v>3.9124002276176935</v>
      </c>
      <c r="R15" s="28" t="str">
        <f>IF(L16="","",IF(Q15&lt;Z15,IF(N15&gt;V15,IF(M15&lt;W15,"Pass","Fail"),"Fail"),"Fail"))</f>
        <v>Fail</v>
      </c>
      <c r="S15" s="44">
        <v>1335</v>
      </c>
      <c r="T15" s="55"/>
      <c r="U15" s="40"/>
      <c r="V15" s="54">
        <v>9000</v>
      </c>
      <c r="W15" s="22">
        <v>15600</v>
      </c>
      <c r="X15" s="40">
        <v>8090</v>
      </c>
      <c r="Y15" s="40">
        <v>12070</v>
      </c>
      <c r="Z15" s="47">
        <v>6</v>
      </c>
      <c r="AA15" s="47">
        <v>6</v>
      </c>
    </row>
    <row r="16" spans="1:27" ht="15.75" customHeight="1" x14ac:dyDescent="0.3">
      <c r="A16" s="96"/>
      <c r="B16" s="96"/>
      <c r="C16" s="30" t="s">
        <v>128</v>
      </c>
      <c r="D16" s="16">
        <v>26190.23</v>
      </c>
      <c r="E16" s="16">
        <v>25899.52</v>
      </c>
      <c r="F16" s="16">
        <v>25911.75</v>
      </c>
      <c r="G16" s="16">
        <v>25807.09</v>
      </c>
      <c r="H16" s="16">
        <v>26058.01</v>
      </c>
      <c r="I16" s="16">
        <v>26217.51</v>
      </c>
      <c r="J16" s="16">
        <v>25898.21</v>
      </c>
      <c r="K16" s="16">
        <v>25801.84</v>
      </c>
      <c r="L16" s="16">
        <v>25865.52</v>
      </c>
      <c r="M16" s="31"/>
      <c r="N16" s="31"/>
      <c r="O16" s="31"/>
      <c r="P16" s="31"/>
      <c r="Q16" s="31"/>
      <c r="R16" s="32"/>
      <c r="S16" s="45"/>
      <c r="T16" s="56"/>
      <c r="V16" s="48"/>
      <c r="W16" s="48"/>
      <c r="X16" s="49"/>
      <c r="Y16" s="49"/>
      <c r="Z16" s="50"/>
      <c r="AA16" s="50"/>
    </row>
    <row r="17" spans="1:27" ht="16.5" customHeight="1" thickBot="1" x14ac:dyDescent="0.35">
      <c r="A17" s="96"/>
      <c r="B17" s="96"/>
      <c r="C17" s="34" t="s">
        <v>129</v>
      </c>
      <c r="D17" s="35">
        <f t="shared" ref="D17:L17" si="1">IF(((D15="")*AND(D16="")),"",(D15-D16)*3)</f>
        <v>8942.8799999999974</v>
      </c>
      <c r="E17" s="35">
        <f t="shared" si="1"/>
        <v>9344.5499999999956</v>
      </c>
      <c r="F17" s="35">
        <f t="shared" si="1"/>
        <v>9445.3799999999974</v>
      </c>
      <c r="G17" s="35">
        <f t="shared" si="1"/>
        <v>9660.4500000000044</v>
      </c>
      <c r="H17" s="35">
        <f t="shared" si="1"/>
        <v>9672.21000000001</v>
      </c>
      <c r="I17" s="35">
        <f t="shared" si="1"/>
        <v>8862.3900000000031</v>
      </c>
      <c r="J17" s="35">
        <f t="shared" si="1"/>
        <v>9322.5</v>
      </c>
      <c r="K17" s="35">
        <f t="shared" si="1"/>
        <v>9663.4500000000044</v>
      </c>
      <c r="L17" s="35">
        <f t="shared" si="1"/>
        <v>10018.319999999996</v>
      </c>
      <c r="M17" s="36"/>
      <c r="N17" s="36"/>
      <c r="O17" s="36"/>
      <c r="P17" s="36"/>
      <c r="Q17" s="36"/>
      <c r="R17" s="37"/>
      <c r="S17" s="46"/>
      <c r="T17" s="57"/>
      <c r="U17" s="52"/>
      <c r="V17" s="51"/>
      <c r="W17" s="51"/>
      <c r="X17" s="52"/>
      <c r="Y17" s="52"/>
      <c r="Z17" s="53"/>
      <c r="AA17" s="53"/>
    </row>
    <row r="18" spans="1:27" x14ac:dyDescent="0.3">
      <c r="A18" s="97">
        <v>42745</v>
      </c>
      <c r="B18" s="117" t="s">
        <v>431</v>
      </c>
      <c r="C18" s="26" t="s">
        <v>126</v>
      </c>
      <c r="D18" s="16">
        <v>29014.55</v>
      </c>
      <c r="E18" s="16">
        <v>29005.58</v>
      </c>
      <c r="F18" s="16">
        <v>29045.9</v>
      </c>
      <c r="G18" s="16">
        <v>29002.93</v>
      </c>
      <c r="H18" s="16">
        <v>29140.65</v>
      </c>
      <c r="I18" s="16">
        <v>29078.17</v>
      </c>
      <c r="J18" s="16">
        <v>28991.41</v>
      </c>
      <c r="K18" s="16">
        <v>29012.01</v>
      </c>
      <c r="L18" s="16">
        <v>29253.56</v>
      </c>
      <c r="M18" s="27">
        <f>IF((L19=""),"",MAX(D20:L20))</f>
        <v>9641.7900000000009</v>
      </c>
      <c r="N18" s="27">
        <f>IF(L19="","",MIN(D20:L20))</f>
        <v>8529.2099999999991</v>
      </c>
      <c r="O18" s="27">
        <f>IF((L20=""),"",AVERAGE(D20:L20))</f>
        <v>9092.380000000001</v>
      </c>
      <c r="P18" s="27">
        <f>IF((L19=""),"",STDEV(D20:L20))</f>
        <v>324.40999025153371</v>
      </c>
      <c r="Q18" s="27">
        <f>IF((L19=""),"",P18/O18*100)</f>
        <v>3.5679326012719845</v>
      </c>
      <c r="R18" s="28" t="str">
        <f>IF(L19="","",IF(Q18&lt;Z18,IF(N18&gt;V18,IF(M18&lt;W18,"Pass","Fail"),"Fail"),"Fail"))</f>
        <v>Fail</v>
      </c>
      <c r="S18" s="29">
        <v>1159</v>
      </c>
      <c r="T18" s="55" t="s">
        <v>130</v>
      </c>
      <c r="U18" s="40"/>
      <c r="V18" s="54">
        <v>9000</v>
      </c>
      <c r="W18" s="22">
        <v>15600</v>
      </c>
      <c r="X18" s="40">
        <v>8090</v>
      </c>
      <c r="Y18" s="40">
        <v>12070</v>
      </c>
      <c r="Z18" s="47">
        <v>6</v>
      </c>
      <c r="AA18" s="47">
        <v>6</v>
      </c>
    </row>
    <row r="19" spans="1:27" ht="15.75" customHeight="1" x14ac:dyDescent="0.3">
      <c r="A19" s="96"/>
      <c r="B19" s="96"/>
      <c r="C19" s="30" t="s">
        <v>128</v>
      </c>
      <c r="D19" s="16">
        <v>26018.37</v>
      </c>
      <c r="E19" s="16">
        <v>26006.880000000001</v>
      </c>
      <c r="F19" s="16">
        <v>26036.61</v>
      </c>
      <c r="G19" s="16">
        <v>25916.44</v>
      </c>
      <c r="H19" s="16">
        <v>25926.720000000001</v>
      </c>
      <c r="I19" s="16">
        <v>26235.1</v>
      </c>
      <c r="J19" s="16">
        <v>26056.55</v>
      </c>
      <c r="K19" s="16">
        <v>25936.2</v>
      </c>
      <c r="L19" s="16">
        <v>26134.75</v>
      </c>
      <c r="M19" s="31"/>
      <c r="N19" s="31"/>
      <c r="O19" s="31"/>
      <c r="P19" s="31"/>
      <c r="Q19" s="31"/>
      <c r="R19" s="32"/>
      <c r="S19" s="33"/>
      <c r="T19" s="56"/>
      <c r="V19" s="48"/>
      <c r="W19" s="48"/>
      <c r="X19" s="49"/>
      <c r="Y19" s="49"/>
      <c r="Z19" s="50"/>
      <c r="AA19" s="50"/>
    </row>
    <row r="20" spans="1:27" ht="16.5" customHeight="1" thickBot="1" x14ac:dyDescent="0.35">
      <c r="A20" s="96"/>
      <c r="B20" s="96"/>
      <c r="C20" s="34" t="s">
        <v>129</v>
      </c>
      <c r="D20" s="35">
        <f t="shared" ref="D20:L20" si="2">IF(((D18="")*AND(D19="")),"",(D18-D19)*3)</f>
        <v>8988.5400000000009</v>
      </c>
      <c r="E20" s="35">
        <f t="shared" si="2"/>
        <v>8996.1000000000022</v>
      </c>
      <c r="F20" s="35">
        <f t="shared" si="2"/>
        <v>9027.8700000000026</v>
      </c>
      <c r="G20" s="35">
        <f t="shared" si="2"/>
        <v>9259.4700000000048</v>
      </c>
      <c r="H20" s="35">
        <f t="shared" si="2"/>
        <v>9641.7900000000009</v>
      </c>
      <c r="I20" s="35">
        <f t="shared" si="2"/>
        <v>8529.2099999999991</v>
      </c>
      <c r="J20" s="35">
        <f t="shared" si="2"/>
        <v>8804.5800000000017</v>
      </c>
      <c r="K20" s="35">
        <f t="shared" si="2"/>
        <v>9227.429999999993</v>
      </c>
      <c r="L20" s="35">
        <f t="shared" si="2"/>
        <v>9356.4300000000039</v>
      </c>
      <c r="M20" s="36"/>
      <c r="N20" s="36"/>
      <c r="O20" s="36"/>
      <c r="P20" s="36"/>
      <c r="Q20" s="36"/>
      <c r="R20" s="37"/>
      <c r="S20" s="38"/>
      <c r="T20" s="57"/>
      <c r="U20" s="52"/>
      <c r="V20" s="51"/>
      <c r="W20" s="51"/>
      <c r="X20" s="52"/>
      <c r="Y20" s="52"/>
      <c r="Z20" s="53"/>
      <c r="AA20" s="53"/>
    </row>
    <row r="21" spans="1:27" x14ac:dyDescent="0.3">
      <c r="A21" s="97">
        <v>42759</v>
      </c>
      <c r="B21" s="117" t="s">
        <v>431</v>
      </c>
      <c r="C21" s="26" t="s">
        <v>126</v>
      </c>
      <c r="D21" s="16">
        <v>29013.18</v>
      </c>
      <c r="E21" s="16">
        <v>28825.84</v>
      </c>
      <c r="F21" s="16">
        <v>28855</v>
      </c>
      <c r="G21" s="16">
        <v>28805.79</v>
      </c>
      <c r="H21" s="16">
        <v>29006.81</v>
      </c>
      <c r="I21" s="16">
        <v>28950.55</v>
      </c>
      <c r="J21" s="16">
        <v>28803.73</v>
      </c>
      <c r="K21" s="16">
        <v>28805.759999999998</v>
      </c>
      <c r="L21" s="16">
        <v>29049.27</v>
      </c>
      <c r="M21" s="27">
        <f>IF((L22=""),"",MAX(D23:L23))</f>
        <v>10267.740000000005</v>
      </c>
      <c r="N21" s="27">
        <f>IF(L22="","",MIN(D23:L23))</f>
        <v>9212.0400000000009</v>
      </c>
      <c r="O21" s="27">
        <f>IF((L23=""),"",AVERAGE(D23:L23))</f>
        <v>9830.9133333333339</v>
      </c>
      <c r="P21" s="27">
        <f>IF((L22=""),"",STDEV(D23:L23))</f>
        <v>323.28573193848331</v>
      </c>
      <c r="Q21" s="27">
        <f>IF((L22=""),"",P21/O21*100)</f>
        <v>3.2884608070170822</v>
      </c>
      <c r="R21" s="28" t="str">
        <f>IF(L22="","",IF(Q21&lt;Z21,IF(N21&gt;V21,IF(M21&lt;W21,"Pass","Fail"),"Fail"),"Fail"))</f>
        <v>Pass</v>
      </c>
      <c r="S21" s="29">
        <v>1159</v>
      </c>
      <c r="T21" s="55" t="s">
        <v>293</v>
      </c>
      <c r="U21" s="40" t="s">
        <v>294</v>
      </c>
      <c r="V21" s="54">
        <v>9000</v>
      </c>
      <c r="W21" s="22">
        <v>15600</v>
      </c>
      <c r="X21" s="40">
        <v>8090</v>
      </c>
      <c r="Y21" s="40">
        <v>12070</v>
      </c>
      <c r="Z21" s="47">
        <v>6</v>
      </c>
      <c r="AA21" s="47">
        <v>6</v>
      </c>
    </row>
    <row r="22" spans="1:27" ht="15.75" customHeight="1" x14ac:dyDescent="0.3">
      <c r="A22" s="96"/>
      <c r="B22" s="96"/>
      <c r="C22" s="30" t="s">
        <v>128</v>
      </c>
      <c r="D22" s="16">
        <v>25850.22</v>
      </c>
      <c r="E22" s="16">
        <v>25550.26</v>
      </c>
      <c r="F22" s="16">
        <v>25565.58</v>
      </c>
      <c r="G22" s="16">
        <v>25450.93</v>
      </c>
      <c r="H22" s="16">
        <v>25676.98</v>
      </c>
      <c r="I22" s="16">
        <v>25879.87</v>
      </c>
      <c r="J22" s="16">
        <v>25567.7</v>
      </c>
      <c r="K22" s="16">
        <v>25454.959999999999</v>
      </c>
      <c r="L22" s="16">
        <v>25626.69</v>
      </c>
      <c r="M22" s="31"/>
      <c r="N22" s="31"/>
      <c r="O22" s="31"/>
      <c r="P22" s="31"/>
      <c r="Q22" s="31"/>
      <c r="R22" s="32"/>
      <c r="S22" s="33"/>
      <c r="T22" s="56"/>
      <c r="V22" s="48"/>
      <c r="W22" s="48"/>
      <c r="X22" s="49"/>
      <c r="Y22" s="49"/>
      <c r="Z22" s="50"/>
      <c r="AA22" s="50"/>
    </row>
    <row r="23" spans="1:27" ht="16.5" customHeight="1" thickBot="1" x14ac:dyDescent="0.35">
      <c r="A23" s="96"/>
      <c r="B23" s="96"/>
      <c r="C23" s="34" t="s">
        <v>129</v>
      </c>
      <c r="D23" s="35">
        <f t="shared" ref="D23:L23" si="3">IF(((D21="")*AND(D22="")),"",(D21-D22)*3)</f>
        <v>9488.8799999999974</v>
      </c>
      <c r="E23" s="35">
        <f t="shared" si="3"/>
        <v>9826.7400000000052</v>
      </c>
      <c r="F23" s="35">
        <f t="shared" si="3"/>
        <v>9868.2599999999948</v>
      </c>
      <c r="G23" s="35">
        <f t="shared" si="3"/>
        <v>10064.580000000002</v>
      </c>
      <c r="H23" s="35">
        <f t="shared" si="3"/>
        <v>9989.4900000000052</v>
      </c>
      <c r="I23" s="35">
        <f t="shared" si="3"/>
        <v>9212.0400000000009</v>
      </c>
      <c r="J23" s="35">
        <f t="shared" si="3"/>
        <v>9708.0899999999965</v>
      </c>
      <c r="K23" s="35">
        <f t="shared" si="3"/>
        <v>10052.399999999998</v>
      </c>
      <c r="L23" s="35">
        <f t="shared" si="3"/>
        <v>10267.740000000005</v>
      </c>
      <c r="M23" s="36"/>
      <c r="N23" s="36"/>
      <c r="O23" s="36"/>
      <c r="P23" s="36"/>
      <c r="Q23" s="36"/>
      <c r="R23" s="37"/>
      <c r="S23" s="38"/>
      <c r="T23" s="57"/>
      <c r="U23" s="52"/>
      <c r="V23" s="51"/>
      <c r="W23" s="51"/>
      <c r="X23" s="52"/>
      <c r="Y23" s="52"/>
      <c r="Z23" s="53"/>
      <c r="AA23" s="53"/>
    </row>
    <row r="24" spans="1:27" x14ac:dyDescent="0.3">
      <c r="A24" s="97">
        <v>42764</v>
      </c>
      <c r="B24" s="117" t="s">
        <v>431</v>
      </c>
      <c r="C24" s="26" t="s">
        <v>126</v>
      </c>
      <c r="D24" s="16">
        <v>28985.360000000001</v>
      </c>
      <c r="E24" s="16">
        <v>28807.67</v>
      </c>
      <c r="F24" s="16">
        <v>28811.86</v>
      </c>
      <c r="G24" s="16">
        <v>28809.67</v>
      </c>
      <c r="H24" s="16">
        <v>29048.400000000001</v>
      </c>
      <c r="I24" s="16">
        <v>28966.720000000001</v>
      </c>
      <c r="J24" s="16">
        <v>28802.05</v>
      </c>
      <c r="K24" s="16">
        <v>28810.959999999999</v>
      </c>
      <c r="L24" s="16">
        <v>29050.41</v>
      </c>
      <c r="M24" s="27">
        <f>IF((L25=""),"",MAX(D26:L26))</f>
        <v>10430.339999999997</v>
      </c>
      <c r="N24" s="27">
        <f>IF(L25="","",MIN(D26:L26))</f>
        <v>9330.2099999999991</v>
      </c>
      <c r="O24" s="27">
        <f>IF((L26=""),"",AVERAGE(D26:L26))</f>
        <v>9934.5533333333315</v>
      </c>
      <c r="P24" s="27">
        <f>IF((L25=""),"",STDEV(D26:L26))</f>
        <v>334.43256779207297</v>
      </c>
      <c r="Q24" s="27">
        <f>IF((L25=""),"",P24/O24*100)</f>
        <v>3.3663573647539233</v>
      </c>
      <c r="R24" s="28" t="str">
        <f>IF(L25="","",IF(Q24&lt;Z24,IF(N24&gt;V24,IF(M24&lt;W24,"Pass","Fail"),"Fail"),"Fail"))</f>
        <v>Pass</v>
      </c>
      <c r="S24" s="29">
        <v>1400</v>
      </c>
      <c r="T24" s="55" t="s">
        <v>131</v>
      </c>
      <c r="U24" s="40"/>
      <c r="V24" s="54">
        <v>9000</v>
      </c>
      <c r="W24" s="22">
        <v>15600</v>
      </c>
      <c r="X24" s="40">
        <v>8090</v>
      </c>
      <c r="Y24" s="40">
        <v>12070</v>
      </c>
      <c r="Z24" s="47">
        <v>6</v>
      </c>
      <c r="AA24" s="47">
        <v>6</v>
      </c>
    </row>
    <row r="25" spans="1:27" ht="15.75" customHeight="1" x14ac:dyDescent="0.3">
      <c r="A25" s="96"/>
      <c r="B25" s="96"/>
      <c r="C25" s="30" t="s">
        <v>128</v>
      </c>
      <c r="D25" s="16">
        <v>25806.43</v>
      </c>
      <c r="E25" s="16">
        <v>25506.43</v>
      </c>
      <c r="F25" s="16">
        <v>25479.46</v>
      </c>
      <c r="G25" s="16">
        <v>25431.52</v>
      </c>
      <c r="H25" s="16">
        <v>25692.880000000001</v>
      </c>
      <c r="I25" s="16">
        <v>25856.65</v>
      </c>
      <c r="J25" s="16">
        <v>25521.07</v>
      </c>
      <c r="K25" s="16">
        <v>25421.37</v>
      </c>
      <c r="L25" s="16">
        <v>25573.63</v>
      </c>
      <c r="M25" s="31"/>
      <c r="N25" s="31"/>
      <c r="O25" s="31"/>
      <c r="P25" s="31"/>
      <c r="Q25" s="31"/>
      <c r="R25" s="32"/>
      <c r="S25" s="33"/>
      <c r="T25" s="56"/>
      <c r="V25" s="48"/>
      <c r="W25" s="48"/>
      <c r="X25" s="49"/>
      <c r="Y25" s="49"/>
      <c r="Z25" s="50"/>
      <c r="AA25" s="50"/>
    </row>
    <row r="26" spans="1:27" ht="16.5" customHeight="1" thickBot="1" x14ac:dyDescent="0.35">
      <c r="A26" s="96"/>
      <c r="B26" s="96"/>
      <c r="C26" s="34" t="s">
        <v>129</v>
      </c>
      <c r="D26" s="35">
        <f t="shared" ref="D26:L26" si="4">IF(((D24="")*AND(D25="")),"",(D24-D25)*3)</f>
        <v>9536.7900000000009</v>
      </c>
      <c r="E26" s="35">
        <f t="shared" si="4"/>
        <v>9903.7199999999939</v>
      </c>
      <c r="F26" s="35">
        <f t="shared" si="4"/>
        <v>9997.2000000000044</v>
      </c>
      <c r="G26" s="35">
        <f t="shared" si="4"/>
        <v>10134.449999999993</v>
      </c>
      <c r="H26" s="35">
        <f t="shared" si="4"/>
        <v>10066.560000000001</v>
      </c>
      <c r="I26" s="35">
        <f t="shared" si="4"/>
        <v>9330.2099999999991</v>
      </c>
      <c r="J26" s="35">
        <f t="shared" si="4"/>
        <v>9842.9399999999987</v>
      </c>
      <c r="K26" s="35">
        <f t="shared" si="4"/>
        <v>10168.77</v>
      </c>
      <c r="L26" s="35">
        <f t="shared" si="4"/>
        <v>10430.339999999997</v>
      </c>
      <c r="M26" s="36"/>
      <c r="N26" s="36"/>
      <c r="O26" s="36"/>
      <c r="P26" s="36"/>
      <c r="Q26" s="36"/>
      <c r="R26" s="37"/>
      <c r="S26" s="38"/>
      <c r="T26" s="57"/>
      <c r="U26" s="52"/>
      <c r="V26" s="51"/>
      <c r="W26" s="51"/>
      <c r="X26" s="52"/>
      <c r="Y26" s="52"/>
      <c r="Z26" s="53"/>
      <c r="AA26" s="53"/>
    </row>
    <row r="27" spans="1:27" x14ac:dyDescent="0.3">
      <c r="A27" s="97">
        <v>42768</v>
      </c>
      <c r="B27" s="117" t="s">
        <v>431</v>
      </c>
      <c r="C27" s="26" t="s">
        <v>126</v>
      </c>
      <c r="D27" s="16">
        <v>29002.46</v>
      </c>
      <c r="E27" s="16">
        <v>28805.75</v>
      </c>
      <c r="F27" s="16">
        <v>28796.68</v>
      </c>
      <c r="G27" s="16">
        <v>28798.51</v>
      </c>
      <c r="H27" s="16">
        <v>29024.71</v>
      </c>
      <c r="I27" s="16">
        <v>28954.720000000001</v>
      </c>
      <c r="J27" s="16">
        <v>28800.84</v>
      </c>
      <c r="K27" s="16">
        <v>28786.27</v>
      </c>
      <c r="L27" s="16">
        <v>28976.38</v>
      </c>
      <c r="M27" s="27">
        <f>IF((L28=""),"",MAX(D29:L29))</f>
        <v>9645.9900000000052</v>
      </c>
      <c r="N27" s="27">
        <f>IF(L28="","",MIN(D29:L29))</f>
        <v>8739.7799999999952</v>
      </c>
      <c r="O27" s="27">
        <f>IF((L29=""),"",AVERAGE(D29:L29))</f>
        <v>9254.093333333336</v>
      </c>
      <c r="P27" s="27">
        <f>IF((L28=""),"",STDEV(D29:L29))</f>
        <v>308.12131831471856</v>
      </c>
      <c r="Q27" s="27">
        <f>IF((L28=""),"",P27/O27*100)</f>
        <v>3.3295678703051603</v>
      </c>
      <c r="R27" s="28" t="str">
        <f>IF(L28="","",IF(Q27&lt;Z27,IF(N27&gt;V27,IF(M27&lt;W27,"Pass","Fail"),"Fail"),"Fail"))</f>
        <v>Fail</v>
      </c>
      <c r="S27" s="29">
        <v>1159</v>
      </c>
      <c r="T27" s="55" t="s">
        <v>132</v>
      </c>
      <c r="U27" s="40"/>
      <c r="V27" s="54">
        <v>9000</v>
      </c>
      <c r="W27" s="22">
        <v>15600</v>
      </c>
      <c r="X27" s="40">
        <v>8090</v>
      </c>
      <c r="Y27" s="40">
        <v>12070</v>
      </c>
      <c r="Z27" s="47">
        <v>6</v>
      </c>
      <c r="AA27" s="47">
        <v>6</v>
      </c>
    </row>
    <row r="28" spans="1:27" ht="15.75" customHeight="1" x14ac:dyDescent="0.3">
      <c r="A28" s="96"/>
      <c r="B28" s="96"/>
      <c r="C28" s="30" t="s">
        <v>128</v>
      </c>
      <c r="D28" s="16">
        <v>26089.200000000001</v>
      </c>
      <c r="E28" s="16">
        <v>25737.01</v>
      </c>
      <c r="F28" s="16">
        <v>25703.94</v>
      </c>
      <c r="G28" s="16">
        <v>25635.64</v>
      </c>
      <c r="H28" s="16">
        <v>25884.7</v>
      </c>
      <c r="I28" s="16">
        <v>26018.76</v>
      </c>
      <c r="J28" s="16">
        <v>25730.39</v>
      </c>
      <c r="K28" s="16">
        <v>25623.35</v>
      </c>
      <c r="L28" s="16">
        <v>25761.05</v>
      </c>
      <c r="M28" s="31"/>
      <c r="N28" s="31"/>
      <c r="O28" s="31"/>
      <c r="P28" s="31"/>
      <c r="Q28" s="31"/>
      <c r="R28" s="32"/>
      <c r="S28" s="33"/>
      <c r="T28" s="56"/>
      <c r="V28" s="48"/>
      <c r="W28" s="48"/>
      <c r="X28" s="49"/>
      <c r="Y28" s="49"/>
      <c r="Z28" s="50"/>
      <c r="AA28" s="50"/>
    </row>
    <row r="29" spans="1:27" ht="16.5" customHeight="1" thickBot="1" x14ac:dyDescent="0.35">
      <c r="A29" s="96"/>
      <c r="B29" s="96"/>
      <c r="C29" s="34" t="s">
        <v>129</v>
      </c>
      <c r="D29" s="35">
        <f t="shared" ref="D29:L29" si="5">IF(((D27="")*AND(D28="")),"",(D27-D28)*3)</f>
        <v>8739.7799999999952</v>
      </c>
      <c r="E29" s="35">
        <f t="shared" si="5"/>
        <v>9206.2200000000048</v>
      </c>
      <c r="F29" s="35">
        <f t="shared" si="5"/>
        <v>9278.2200000000048</v>
      </c>
      <c r="G29" s="35">
        <f t="shared" si="5"/>
        <v>9488.6099999999969</v>
      </c>
      <c r="H29" s="35">
        <f t="shared" si="5"/>
        <v>9420.0299999999952</v>
      </c>
      <c r="I29" s="35">
        <f t="shared" si="5"/>
        <v>8807.8800000000083</v>
      </c>
      <c r="J29" s="35">
        <f t="shared" si="5"/>
        <v>9211.3500000000022</v>
      </c>
      <c r="K29" s="35">
        <f t="shared" si="5"/>
        <v>9488.7600000000057</v>
      </c>
      <c r="L29" s="35">
        <f t="shared" si="5"/>
        <v>9645.9900000000052</v>
      </c>
      <c r="M29" s="36"/>
      <c r="N29" s="36"/>
      <c r="O29" s="36"/>
      <c r="P29" s="36"/>
      <c r="Q29" s="36"/>
      <c r="R29" s="37"/>
      <c r="S29" s="38"/>
      <c r="T29" s="57"/>
      <c r="U29" s="52"/>
      <c r="V29" s="51"/>
      <c r="W29" s="51"/>
      <c r="X29" s="52"/>
      <c r="Y29" s="52"/>
      <c r="Z29" s="53"/>
      <c r="AA29" s="53"/>
    </row>
    <row r="30" spans="1:27" x14ac:dyDescent="0.3">
      <c r="A30" s="97">
        <v>42772</v>
      </c>
      <c r="B30" s="117" t="s">
        <v>431</v>
      </c>
      <c r="C30" s="26" t="s">
        <v>126</v>
      </c>
      <c r="D30" s="16">
        <v>28899.98</v>
      </c>
      <c r="E30" s="16">
        <v>28756.41</v>
      </c>
      <c r="F30" s="16">
        <v>28767.59</v>
      </c>
      <c r="G30" s="16">
        <v>28766.66</v>
      </c>
      <c r="H30" s="16">
        <v>28964.35</v>
      </c>
      <c r="I30" s="16">
        <v>28933.23</v>
      </c>
      <c r="J30" s="16">
        <v>28759.27</v>
      </c>
      <c r="K30" s="16">
        <v>28758.19</v>
      </c>
      <c r="L30" s="16">
        <v>29011.58</v>
      </c>
      <c r="M30" s="27">
        <f>IF((L31=""),"",MAX(D32:L32))</f>
        <v>9675.3600000000079</v>
      </c>
      <c r="N30" s="27">
        <f>IF(L31="","",MIN(D32:L32))</f>
        <v>8721.5099999999948</v>
      </c>
      <c r="O30" s="27">
        <f>IF((L32=""),"",AVERAGE(D32:L32))</f>
        <v>9305.4433333333327</v>
      </c>
      <c r="P30" s="27">
        <f>IF((L31=""),"",STDEV(D32:L32))</f>
        <v>328.26512566064827</v>
      </c>
      <c r="Q30" s="27">
        <f>IF((L31=""),"",P30/O30*100)</f>
        <v>3.5276677736004154</v>
      </c>
      <c r="R30" s="28" t="str">
        <f>IF(L31="","",IF(Q30&lt;Z30,IF(N30&gt;V30,IF(M30&lt;W30,"Pass","Fail"),"Fail"),"Fail"))</f>
        <v>Fail</v>
      </c>
      <c r="S30" s="29"/>
      <c r="T30" s="55" t="s">
        <v>133</v>
      </c>
      <c r="U30" s="40"/>
      <c r="V30" s="54">
        <v>9000</v>
      </c>
      <c r="W30" s="22">
        <v>15600</v>
      </c>
      <c r="X30" s="40">
        <v>8090</v>
      </c>
      <c r="Y30" s="40">
        <v>12070</v>
      </c>
      <c r="Z30" s="47">
        <v>6</v>
      </c>
      <c r="AA30" s="47">
        <v>6</v>
      </c>
    </row>
    <row r="31" spans="1:27" ht="15.75" customHeight="1" x14ac:dyDescent="0.3">
      <c r="A31" s="96"/>
      <c r="B31" s="96"/>
      <c r="C31" s="30" t="s">
        <v>128</v>
      </c>
      <c r="D31" s="16">
        <v>25944.59</v>
      </c>
      <c r="E31" s="16">
        <v>25673.07</v>
      </c>
      <c r="F31" s="16">
        <v>25641.62</v>
      </c>
      <c r="G31" s="16">
        <v>25579.62</v>
      </c>
      <c r="H31" s="16">
        <v>25778.27</v>
      </c>
      <c r="I31" s="16">
        <v>26026.06</v>
      </c>
      <c r="J31" s="16">
        <v>25686.45</v>
      </c>
      <c r="K31" s="16">
        <v>25584.79</v>
      </c>
      <c r="L31" s="16">
        <v>25786.46</v>
      </c>
      <c r="M31" s="31"/>
      <c r="N31" s="31"/>
      <c r="O31" s="31"/>
      <c r="P31" s="31"/>
      <c r="Q31" s="31"/>
      <c r="R31" s="32"/>
      <c r="S31" s="33"/>
      <c r="T31" s="56"/>
      <c r="V31" s="48"/>
      <c r="W31" s="48"/>
      <c r="X31" s="49"/>
      <c r="Y31" s="49"/>
      <c r="Z31" s="50"/>
      <c r="AA31" s="50"/>
    </row>
    <row r="32" spans="1:27" ht="16.5" customHeight="1" thickBot="1" x14ac:dyDescent="0.35">
      <c r="A32" s="96"/>
      <c r="B32" s="96"/>
      <c r="C32" s="34" t="s">
        <v>129</v>
      </c>
      <c r="D32" s="35">
        <f t="shared" ref="D32:L32" si="6">IF(((D30="")*AND(D31="")),"",(D30-D31)*3)</f>
        <v>8866.1699999999983</v>
      </c>
      <c r="E32" s="35">
        <f t="shared" si="6"/>
        <v>9250.02</v>
      </c>
      <c r="F32" s="35">
        <f t="shared" si="6"/>
        <v>9377.9100000000035</v>
      </c>
      <c r="G32" s="35">
        <f t="shared" si="6"/>
        <v>9561.1200000000026</v>
      </c>
      <c r="H32" s="35">
        <f t="shared" si="6"/>
        <v>9558.2399999999943</v>
      </c>
      <c r="I32" s="35">
        <f t="shared" si="6"/>
        <v>8721.5099999999948</v>
      </c>
      <c r="J32" s="35">
        <f t="shared" si="6"/>
        <v>9218.4599999999991</v>
      </c>
      <c r="K32" s="35">
        <f t="shared" si="6"/>
        <v>9520.1999999999935</v>
      </c>
      <c r="L32" s="35">
        <f t="shared" si="6"/>
        <v>9675.3600000000079</v>
      </c>
      <c r="M32" s="36"/>
      <c r="N32" s="36"/>
      <c r="O32" s="36"/>
      <c r="P32" s="36"/>
      <c r="Q32" s="36"/>
      <c r="R32" s="37"/>
      <c r="S32" s="38"/>
      <c r="T32" s="57"/>
      <c r="U32" s="52"/>
      <c r="V32" s="51"/>
      <c r="W32" s="51"/>
      <c r="X32" s="52"/>
      <c r="Y32" s="52"/>
      <c r="Z32" s="53"/>
      <c r="AA32" s="53"/>
    </row>
    <row r="33" spans="1:27" x14ac:dyDescent="0.3">
      <c r="A33" s="97">
        <v>42779</v>
      </c>
      <c r="B33" s="117" t="s">
        <v>431</v>
      </c>
      <c r="C33" s="26" t="s">
        <v>126</v>
      </c>
      <c r="D33" s="16">
        <v>29075.34</v>
      </c>
      <c r="E33" s="16">
        <v>28897.16</v>
      </c>
      <c r="F33" s="16">
        <v>28929.34</v>
      </c>
      <c r="G33" s="16">
        <v>28873.040000000001</v>
      </c>
      <c r="H33" s="16">
        <v>29150.37</v>
      </c>
      <c r="I33" s="16">
        <v>29014.98</v>
      </c>
      <c r="J33" s="16">
        <v>28836.9</v>
      </c>
      <c r="K33" s="16">
        <v>28888.5</v>
      </c>
      <c r="L33" s="16">
        <v>29063.14</v>
      </c>
      <c r="M33" s="27">
        <f>IF((L34=""),"",MAX(D35:L35))</f>
        <v>8288.2199999999939</v>
      </c>
      <c r="N33" s="27">
        <f>IF(L34="","",MIN(D35:L35))</f>
        <v>7196.6999999999935</v>
      </c>
      <c r="O33" s="27">
        <f>IF((L35=""),"",AVERAGE(D35:L35))</f>
        <v>7753.0266666666657</v>
      </c>
      <c r="P33" s="27">
        <f>IF((L34=""),"",STDEV(D35:L35))</f>
        <v>340.56977284397902</v>
      </c>
      <c r="Q33" s="27">
        <f>IF((L34=""),"",P33/O33*100)</f>
        <v>4.3927331542431478</v>
      </c>
      <c r="R33" s="28" t="str">
        <f>IF(L34="","",IF(Q33&lt;Z33,IF(N33&gt;V33,IF(M33&lt;W33,"Pass","Fail"),"Fail"),"Fail"))</f>
        <v>Fail</v>
      </c>
      <c r="S33" s="29">
        <v>1335</v>
      </c>
      <c r="T33" s="55"/>
      <c r="U33" s="40"/>
      <c r="V33" s="54">
        <v>9000</v>
      </c>
      <c r="W33" s="22">
        <v>15600</v>
      </c>
      <c r="X33" s="40">
        <v>8090</v>
      </c>
      <c r="Y33" s="40">
        <v>12070</v>
      </c>
      <c r="Z33" s="47">
        <v>6</v>
      </c>
      <c r="AA33" s="47">
        <v>6</v>
      </c>
    </row>
    <row r="34" spans="1:27" ht="15.75" customHeight="1" x14ac:dyDescent="0.3">
      <c r="A34" s="96"/>
      <c r="B34" s="96"/>
      <c r="C34" s="30" t="s">
        <v>128</v>
      </c>
      <c r="D34" s="16">
        <v>26573.64</v>
      </c>
      <c r="E34" s="16">
        <v>26363.21</v>
      </c>
      <c r="F34" s="16">
        <v>26317.200000000001</v>
      </c>
      <c r="G34" s="16">
        <v>26203.46</v>
      </c>
      <c r="H34" s="16">
        <v>26495.9</v>
      </c>
      <c r="I34" s="16">
        <v>26616.080000000002</v>
      </c>
      <c r="J34" s="16">
        <v>26356.66</v>
      </c>
      <c r="K34" s="16">
        <v>26243.14</v>
      </c>
      <c r="L34" s="16">
        <v>26300.400000000001</v>
      </c>
      <c r="M34" s="31"/>
      <c r="N34" s="31"/>
      <c r="O34" s="31"/>
      <c r="P34" s="31"/>
      <c r="Q34" s="31"/>
      <c r="R34" s="32"/>
      <c r="S34" s="33"/>
      <c r="T34" s="56"/>
      <c r="V34" s="48"/>
      <c r="W34" s="48"/>
      <c r="X34" s="49"/>
      <c r="Y34" s="49"/>
      <c r="Z34" s="50"/>
      <c r="AA34" s="50"/>
    </row>
    <row r="35" spans="1:27" ht="16.5" customHeight="1" thickBot="1" x14ac:dyDescent="0.35">
      <c r="A35" s="96"/>
      <c r="B35" s="96"/>
      <c r="C35" s="34" t="s">
        <v>129</v>
      </c>
      <c r="D35" s="35">
        <f t="shared" ref="D35:L35" si="7">IF(((D33="")*AND(D34="")),"",(D33-D34)*3)</f>
        <v>7505.1000000000022</v>
      </c>
      <c r="E35" s="35">
        <f t="shared" si="7"/>
        <v>7601.8500000000022</v>
      </c>
      <c r="F35" s="35">
        <f t="shared" si="7"/>
        <v>7836.4199999999983</v>
      </c>
      <c r="G35" s="35">
        <f t="shared" si="7"/>
        <v>8008.7400000000052</v>
      </c>
      <c r="H35" s="35">
        <f t="shared" si="7"/>
        <v>7963.4099999999926</v>
      </c>
      <c r="I35" s="35">
        <f t="shared" si="7"/>
        <v>7196.6999999999935</v>
      </c>
      <c r="J35" s="35">
        <f t="shared" si="7"/>
        <v>7440.7200000000048</v>
      </c>
      <c r="K35" s="35">
        <f t="shared" si="7"/>
        <v>7936.0800000000017</v>
      </c>
      <c r="L35" s="35">
        <f t="shared" si="7"/>
        <v>8288.2199999999939</v>
      </c>
      <c r="M35" s="36"/>
      <c r="N35" s="36"/>
      <c r="O35" s="36"/>
      <c r="P35" s="36"/>
      <c r="Q35" s="36"/>
      <c r="R35" s="37"/>
      <c r="S35" s="38"/>
      <c r="T35" s="57"/>
      <c r="U35" s="52"/>
      <c r="V35" s="51"/>
      <c r="W35" s="51"/>
      <c r="X35" s="52"/>
      <c r="Y35" s="52"/>
      <c r="Z35" s="53"/>
      <c r="AA35" s="53"/>
    </row>
    <row r="36" spans="1:27" x14ac:dyDescent="0.3">
      <c r="A36" s="97">
        <v>42779</v>
      </c>
      <c r="B36" s="117" t="s">
        <v>431</v>
      </c>
      <c r="C36" s="26" t="s">
        <v>126</v>
      </c>
      <c r="D36" s="16">
        <v>29096.560000000001</v>
      </c>
      <c r="E36" s="16">
        <v>28907.85</v>
      </c>
      <c r="F36" s="16">
        <v>28901.14</v>
      </c>
      <c r="G36" s="16">
        <v>28900.85</v>
      </c>
      <c r="H36" s="16">
        <v>29094.959999999999</v>
      </c>
      <c r="I36" s="16">
        <v>29069.41</v>
      </c>
      <c r="J36" s="16">
        <v>28888.59</v>
      </c>
      <c r="K36" s="16">
        <v>28895.56</v>
      </c>
      <c r="L36" s="16">
        <v>29145.08</v>
      </c>
      <c r="M36" s="27">
        <f>IF((L37=""),"",MAX(D38:L38))</f>
        <v>9563.7900000000009</v>
      </c>
      <c r="N36" s="27">
        <f>IF(L37="","",MIN(D38:L38))</f>
        <v>8561.1299999999974</v>
      </c>
      <c r="O36" s="27">
        <f>IF((L38=""),"",AVERAGE(D38:L38))</f>
        <v>9168.7999999999975</v>
      </c>
      <c r="P36" s="27">
        <f>IF((L37=""),"",STDEV(D38:L38))</f>
        <v>323.13805590645023</v>
      </c>
      <c r="Q36" s="27">
        <f>IF((L37=""),"",P36/O36*100)</f>
        <v>3.5243222221713886</v>
      </c>
      <c r="R36" s="28" t="str">
        <f>IF(L37="","",IF(Q36&lt;Z36,IF(N36&gt;V36,IF(M36&lt;W36,"Pass","Fail"),"Fail"),"Fail"))</f>
        <v>Fail</v>
      </c>
      <c r="S36" s="29">
        <v>1335</v>
      </c>
      <c r="U36" s="55" t="s">
        <v>134</v>
      </c>
      <c r="V36" s="54">
        <v>9000</v>
      </c>
      <c r="W36" s="22">
        <v>15600</v>
      </c>
      <c r="X36" s="40">
        <v>8090</v>
      </c>
      <c r="Y36" s="40">
        <v>12070</v>
      </c>
      <c r="Z36" s="47">
        <v>6</v>
      </c>
      <c r="AA36" s="47">
        <v>6</v>
      </c>
    </row>
    <row r="37" spans="1:27" ht="15.75" customHeight="1" x14ac:dyDescent="0.3">
      <c r="A37" s="96"/>
      <c r="B37" s="96"/>
      <c r="C37" s="30" t="s">
        <v>128</v>
      </c>
      <c r="D37" s="16">
        <v>26145.09</v>
      </c>
      <c r="E37" s="16">
        <v>25859.86</v>
      </c>
      <c r="F37" s="16">
        <v>25849.32</v>
      </c>
      <c r="G37" s="16">
        <v>25773.919999999998</v>
      </c>
      <c r="H37" s="16">
        <v>25930.18</v>
      </c>
      <c r="I37" s="16">
        <v>26215.7</v>
      </c>
      <c r="J37" s="16">
        <v>25885.02</v>
      </c>
      <c r="K37" s="16">
        <v>25777.360000000001</v>
      </c>
      <c r="L37" s="16">
        <v>25957.15</v>
      </c>
      <c r="M37" s="31"/>
      <c r="N37" s="31"/>
      <c r="O37" s="31"/>
      <c r="P37" s="31"/>
      <c r="Q37" s="31"/>
      <c r="R37" s="32"/>
      <c r="S37" s="33"/>
      <c r="T37" s="56"/>
      <c r="V37" s="48"/>
      <c r="W37" s="48"/>
      <c r="X37" s="49"/>
      <c r="Y37" s="49"/>
      <c r="Z37" s="50"/>
      <c r="AA37" s="50"/>
    </row>
    <row r="38" spans="1:27" ht="16.5" customHeight="1" thickBot="1" x14ac:dyDescent="0.35">
      <c r="A38" s="96"/>
      <c r="B38" s="96"/>
      <c r="C38" s="34" t="s">
        <v>129</v>
      </c>
      <c r="D38" s="35">
        <f t="shared" ref="D38:L38" si="8">IF(((D36="")*AND(D37="")),"",(D36-D37)*3)</f>
        <v>8854.4100000000035</v>
      </c>
      <c r="E38" s="35">
        <f t="shared" si="8"/>
        <v>9143.9699999999939</v>
      </c>
      <c r="F38" s="35">
        <f t="shared" si="8"/>
        <v>9155.4599999999991</v>
      </c>
      <c r="G38" s="35">
        <f t="shared" si="8"/>
        <v>9380.7900000000009</v>
      </c>
      <c r="H38" s="35">
        <f t="shared" si="8"/>
        <v>9494.3399999999965</v>
      </c>
      <c r="I38" s="35">
        <f t="shared" si="8"/>
        <v>8561.1299999999974</v>
      </c>
      <c r="J38" s="35">
        <f t="shared" si="8"/>
        <v>9010.7099999999991</v>
      </c>
      <c r="K38" s="35">
        <f t="shared" si="8"/>
        <v>9354.6000000000022</v>
      </c>
      <c r="L38" s="35">
        <f t="shared" si="8"/>
        <v>9563.7900000000009</v>
      </c>
      <c r="M38" s="36"/>
      <c r="N38" s="36"/>
      <c r="O38" s="36"/>
      <c r="P38" s="36"/>
      <c r="Q38" s="36"/>
      <c r="R38" s="37"/>
      <c r="S38" s="38"/>
      <c r="T38" s="57"/>
      <c r="U38" s="52"/>
      <c r="V38" s="51"/>
      <c r="W38" s="51"/>
      <c r="X38" s="52"/>
      <c r="Y38" s="52"/>
      <c r="Z38" s="53"/>
      <c r="AA38" s="53"/>
    </row>
    <row r="39" spans="1:27" x14ac:dyDescent="0.3">
      <c r="A39" s="97">
        <v>42779</v>
      </c>
      <c r="B39" s="117" t="s">
        <v>431</v>
      </c>
      <c r="C39" s="26" t="s">
        <v>126</v>
      </c>
      <c r="D39" s="16">
        <v>29064.47</v>
      </c>
      <c r="E39" s="16">
        <v>28900.63</v>
      </c>
      <c r="F39" s="16">
        <v>28907.39</v>
      </c>
      <c r="G39" s="16">
        <v>28910.240000000002</v>
      </c>
      <c r="H39" s="16">
        <v>29062.95</v>
      </c>
      <c r="I39" s="16">
        <v>29071.94</v>
      </c>
      <c r="J39" s="16">
        <v>28899.57</v>
      </c>
      <c r="K39" s="16">
        <v>28900.75</v>
      </c>
      <c r="L39" s="16">
        <v>29170.68</v>
      </c>
      <c r="M39" s="27">
        <f>IF((L40=""),"",MAX(D41:L41))</f>
        <v>13906.470000000005</v>
      </c>
      <c r="N39" s="27">
        <f>IF(L40="","",MIN(D41:L41))</f>
        <v>11084.759999999995</v>
      </c>
      <c r="O39" s="27">
        <f>IF((L41=""),"",AVERAGE(D41:L41))</f>
        <v>12445.993333333332</v>
      </c>
      <c r="P39" s="27">
        <f>IF((L40=""),"",STDEV(D41:L41))</f>
        <v>813.15029580945497</v>
      </c>
      <c r="Q39" s="27">
        <f>IF((L40=""),"",P39/O39*100)</f>
        <v>6.5334302697370479</v>
      </c>
      <c r="R39" s="28" t="str">
        <f>IF(L40="","",IF(Q39&lt;Z39,IF(N39&gt;V39,IF(M39&lt;W39,"Pass","Fail"),"Fail"),"Fail"))</f>
        <v>Fail</v>
      </c>
      <c r="S39" s="29">
        <v>1400</v>
      </c>
      <c r="U39" s="55" t="s">
        <v>135</v>
      </c>
      <c r="V39" s="54">
        <v>9000</v>
      </c>
      <c r="W39" s="22">
        <v>15600</v>
      </c>
      <c r="X39" s="40">
        <v>8090</v>
      </c>
      <c r="Y39" s="40">
        <v>12070</v>
      </c>
      <c r="Z39" s="47">
        <v>6</v>
      </c>
      <c r="AA39" s="47">
        <v>6</v>
      </c>
    </row>
    <row r="40" spans="1:27" ht="15.75" customHeight="1" x14ac:dyDescent="0.3">
      <c r="A40" s="96"/>
      <c r="B40" s="96"/>
      <c r="C40" s="30" t="s">
        <v>128</v>
      </c>
      <c r="D40" s="16">
        <v>25209.4</v>
      </c>
      <c r="E40" s="16">
        <v>24818</v>
      </c>
      <c r="F40" s="16">
        <v>24703.05</v>
      </c>
      <c r="G40" s="16">
        <v>24637</v>
      </c>
      <c r="H40" s="16">
        <v>24427.46</v>
      </c>
      <c r="I40" s="16">
        <v>25377.02</v>
      </c>
      <c r="J40" s="16">
        <v>24838.240000000002</v>
      </c>
      <c r="K40" s="16">
        <v>24654.84</v>
      </c>
      <c r="L40" s="16">
        <v>24885.63</v>
      </c>
      <c r="M40" s="31"/>
      <c r="N40" s="31"/>
      <c r="O40" s="31"/>
      <c r="P40" s="31"/>
      <c r="Q40" s="31"/>
      <c r="R40" s="32"/>
      <c r="S40" s="33"/>
      <c r="T40" s="56"/>
      <c r="V40" s="48"/>
      <c r="W40" s="48"/>
      <c r="X40" s="49"/>
      <c r="Y40" s="49"/>
      <c r="Z40" s="50"/>
      <c r="AA40" s="50"/>
    </row>
    <row r="41" spans="1:27" ht="16.5" customHeight="1" thickBot="1" x14ac:dyDescent="0.35">
      <c r="A41" s="96"/>
      <c r="B41" s="96"/>
      <c r="C41" s="34" t="s">
        <v>129</v>
      </c>
      <c r="D41" s="35">
        <f t="shared" ref="D41:L41" si="9">IF(((D39="")*AND(D40="")),"",(D39-D40)*3)</f>
        <v>11565.21</v>
      </c>
      <c r="E41" s="35">
        <f t="shared" si="9"/>
        <v>12247.890000000003</v>
      </c>
      <c r="F41" s="35">
        <f t="shared" si="9"/>
        <v>12613.02</v>
      </c>
      <c r="G41" s="35">
        <f t="shared" si="9"/>
        <v>12819.720000000005</v>
      </c>
      <c r="H41" s="35">
        <f t="shared" si="9"/>
        <v>13906.470000000005</v>
      </c>
      <c r="I41" s="35">
        <f t="shared" si="9"/>
        <v>11084.759999999995</v>
      </c>
      <c r="J41" s="35">
        <f t="shared" si="9"/>
        <v>12183.989999999994</v>
      </c>
      <c r="K41" s="35">
        <f t="shared" si="9"/>
        <v>12737.73</v>
      </c>
      <c r="L41" s="35">
        <f t="shared" si="9"/>
        <v>12855.149999999998</v>
      </c>
      <c r="M41" s="36"/>
      <c r="N41" s="36"/>
      <c r="O41" s="36"/>
      <c r="P41" s="36"/>
      <c r="Q41" s="36"/>
      <c r="R41" s="37"/>
      <c r="S41" s="38"/>
      <c r="T41" s="57"/>
      <c r="U41" s="52"/>
      <c r="V41" s="51"/>
      <c r="W41" s="51"/>
      <c r="X41" s="52"/>
      <c r="Y41" s="52"/>
      <c r="Z41" s="53"/>
      <c r="AA41" s="53"/>
    </row>
    <row r="42" spans="1:27" x14ac:dyDescent="0.3">
      <c r="A42" s="97">
        <v>42779</v>
      </c>
      <c r="B42" s="117" t="s">
        <v>431</v>
      </c>
      <c r="C42" s="26" t="s">
        <v>126</v>
      </c>
      <c r="D42" s="16">
        <v>28760.73</v>
      </c>
      <c r="E42" s="16">
        <v>28732.15</v>
      </c>
      <c r="F42" s="16">
        <v>28725.61</v>
      </c>
      <c r="G42" s="16">
        <v>28708.58</v>
      </c>
      <c r="H42" s="16">
        <v>28786.09</v>
      </c>
      <c r="I42" s="16">
        <v>28929.84</v>
      </c>
      <c r="J42" s="16">
        <v>28738.45</v>
      </c>
      <c r="K42" s="16">
        <v>28720.48</v>
      </c>
      <c r="L42" s="16">
        <v>28976.36</v>
      </c>
      <c r="M42" s="27">
        <f>IF((L43=""),"",MAX(D44:L44))</f>
        <v>11845.439999999999</v>
      </c>
      <c r="N42" s="27">
        <f>IF(L43="","",MIN(D44:L44))</f>
        <v>10537.950000000004</v>
      </c>
      <c r="O42" s="27">
        <f>IF((L44=""),"",AVERAGE(D44:L44))</f>
        <v>11349.420000000004</v>
      </c>
      <c r="P42" s="27">
        <f>IF((L43=""),"",STDEV(D44:L44))</f>
        <v>407.93175945861265</v>
      </c>
      <c r="Q42" s="27">
        <f>IF((L43=""),"",P42/O42*100)</f>
        <v>3.5942960914179976</v>
      </c>
      <c r="R42" s="28" t="str">
        <f>IF(L43="","",IF(Q42&lt;Z42,IF(N42&gt;V42,IF(M42&lt;W42,"Pass","Fail"),"Fail"),"Fail"))</f>
        <v>Pass</v>
      </c>
      <c r="S42" s="29"/>
      <c r="U42" s="55" t="s">
        <v>136</v>
      </c>
      <c r="V42" s="54">
        <v>9000</v>
      </c>
      <c r="W42" s="22">
        <v>15600</v>
      </c>
      <c r="X42" s="40">
        <v>8090</v>
      </c>
      <c r="Y42" s="40">
        <v>12070</v>
      </c>
      <c r="Z42" s="47">
        <v>6</v>
      </c>
      <c r="AA42" s="47">
        <v>6</v>
      </c>
    </row>
    <row r="43" spans="1:27" ht="15.75" customHeight="1" x14ac:dyDescent="0.3">
      <c r="A43" s="96"/>
      <c r="B43" s="96"/>
      <c r="C43" s="30" t="s">
        <v>128</v>
      </c>
      <c r="D43" s="16">
        <v>24902.17</v>
      </c>
      <c r="E43" s="16">
        <v>25018.76</v>
      </c>
      <c r="F43" s="16">
        <v>24990.880000000001</v>
      </c>
      <c r="G43" s="16">
        <v>24774.73</v>
      </c>
      <c r="H43" s="16">
        <v>24990</v>
      </c>
      <c r="I43" s="16">
        <v>25417.19</v>
      </c>
      <c r="J43" s="16">
        <v>25039.07</v>
      </c>
      <c r="K43" s="16">
        <v>24869.35</v>
      </c>
      <c r="L43" s="16">
        <v>25027.88</v>
      </c>
      <c r="M43" s="31"/>
      <c r="N43" s="31"/>
      <c r="O43" s="31"/>
      <c r="P43" s="31"/>
      <c r="Q43" s="31"/>
      <c r="R43" s="32"/>
      <c r="S43" s="33"/>
      <c r="T43" s="56"/>
      <c r="V43" s="48"/>
      <c r="W43" s="48"/>
      <c r="X43" s="49"/>
      <c r="Y43" s="49"/>
      <c r="Z43" s="50"/>
      <c r="AA43" s="50"/>
    </row>
    <row r="44" spans="1:27" ht="16.5" customHeight="1" thickBot="1" x14ac:dyDescent="0.35">
      <c r="A44" s="96"/>
      <c r="B44" s="96"/>
      <c r="C44" s="34" t="s">
        <v>129</v>
      </c>
      <c r="D44" s="35">
        <f t="shared" ref="D44:L44" si="10">IF(((D42="")*AND(D43="")),"",(D42-D43)*3)</f>
        <v>11575.680000000004</v>
      </c>
      <c r="E44" s="35">
        <f t="shared" si="10"/>
        <v>11140.170000000009</v>
      </c>
      <c r="F44" s="35">
        <f t="shared" si="10"/>
        <v>11204.189999999999</v>
      </c>
      <c r="G44" s="35">
        <f t="shared" si="10"/>
        <v>11801.550000000007</v>
      </c>
      <c r="H44" s="35">
        <f t="shared" si="10"/>
        <v>11388.27</v>
      </c>
      <c r="I44" s="35">
        <f t="shared" si="10"/>
        <v>10537.950000000004</v>
      </c>
      <c r="J44" s="35">
        <f t="shared" si="10"/>
        <v>11098.140000000003</v>
      </c>
      <c r="K44" s="35">
        <f t="shared" si="10"/>
        <v>11553.390000000003</v>
      </c>
      <c r="L44" s="35">
        <f t="shared" si="10"/>
        <v>11845.439999999999</v>
      </c>
      <c r="M44" s="36"/>
      <c r="N44" s="36"/>
      <c r="O44" s="36"/>
      <c r="P44" s="36"/>
      <c r="Q44" s="36"/>
      <c r="R44" s="37"/>
      <c r="S44" s="38"/>
      <c r="T44" s="57"/>
      <c r="U44" s="52"/>
      <c r="V44" s="51"/>
      <c r="W44" s="51"/>
      <c r="X44" s="52"/>
      <c r="Y44" s="52"/>
      <c r="Z44" s="53"/>
      <c r="AA44" s="53"/>
    </row>
    <row r="45" spans="1:27" x14ac:dyDescent="0.3">
      <c r="A45" s="97">
        <v>42781</v>
      </c>
      <c r="B45" s="117" t="s">
        <v>431</v>
      </c>
      <c r="C45" s="26" t="s">
        <v>126</v>
      </c>
      <c r="D45" s="16">
        <v>28896.43</v>
      </c>
      <c r="E45" s="16">
        <v>28740.880000000001</v>
      </c>
      <c r="F45" s="16">
        <v>28763.86</v>
      </c>
      <c r="G45" s="16">
        <v>28733.53</v>
      </c>
      <c r="H45" s="16">
        <v>28963.759999999998</v>
      </c>
      <c r="I45" s="16">
        <v>28848.48</v>
      </c>
      <c r="J45" s="16">
        <v>28724.44</v>
      </c>
      <c r="K45" s="16">
        <v>28736.32</v>
      </c>
      <c r="L45" s="16">
        <v>28942.98</v>
      </c>
      <c r="M45" s="27">
        <f>IF((L46=""),"",MAX(D47:L47))</f>
        <v>12276.060000000001</v>
      </c>
      <c r="N45" s="27">
        <f>IF(L46="","",MIN(D47:L47))</f>
        <v>9636.9300000000039</v>
      </c>
      <c r="O45" s="27">
        <f>IF((L47=""),"",AVERAGE(D47:L47))</f>
        <v>10433.536666666665</v>
      </c>
      <c r="P45" s="27">
        <f>IF((L46=""),"",STDEV(D47:L47))</f>
        <v>746.59904286035555</v>
      </c>
      <c r="Q45" s="27">
        <f>IF((L46=""),"",P45/O45*100)</f>
        <v>7.1557619119278089</v>
      </c>
      <c r="R45" s="28" t="str">
        <f>IF(L46="","",IF(Q45&lt;Z45,IF(N45&gt;V45,IF(M45&lt;W45,"Pass","Fail"),"Fail"),"Fail"))</f>
        <v>Fail</v>
      </c>
      <c r="S45" s="29">
        <v>1400</v>
      </c>
      <c r="T45" s="55"/>
      <c r="U45" s="40"/>
      <c r="V45" s="54">
        <v>9000</v>
      </c>
      <c r="W45" s="22">
        <v>15600</v>
      </c>
      <c r="X45" s="40">
        <v>8090</v>
      </c>
      <c r="Y45" s="40">
        <v>12070</v>
      </c>
      <c r="Z45" s="47">
        <v>6</v>
      </c>
      <c r="AA45" s="47">
        <v>6</v>
      </c>
    </row>
    <row r="46" spans="1:27" ht="15.75" customHeight="1" x14ac:dyDescent="0.3">
      <c r="A46" s="96"/>
      <c r="B46" s="96"/>
      <c r="C46" s="30" t="s">
        <v>128</v>
      </c>
      <c r="D46" s="16">
        <v>25600.6</v>
      </c>
      <c r="E46" s="16">
        <v>25316.26</v>
      </c>
      <c r="F46" s="16">
        <v>25263.22</v>
      </c>
      <c r="G46" s="16">
        <v>25258.68</v>
      </c>
      <c r="H46" s="16">
        <v>25534.41</v>
      </c>
      <c r="I46" s="16">
        <v>25636.17</v>
      </c>
      <c r="J46" s="16">
        <v>25340.55</v>
      </c>
      <c r="K46" s="16">
        <v>25249.22</v>
      </c>
      <c r="L46" s="16">
        <v>24850.959999999999</v>
      </c>
      <c r="M46" s="31"/>
      <c r="N46" s="31"/>
      <c r="O46" s="31"/>
      <c r="P46" s="31"/>
      <c r="Q46" s="31"/>
      <c r="R46" s="32"/>
      <c r="S46" s="33"/>
      <c r="T46" s="56"/>
      <c r="V46" s="48"/>
      <c r="W46" s="48"/>
      <c r="X46" s="49"/>
      <c r="Y46" s="49"/>
      <c r="Z46" s="50"/>
      <c r="AA46" s="50"/>
    </row>
    <row r="47" spans="1:27" ht="16.5" customHeight="1" thickBot="1" x14ac:dyDescent="0.35">
      <c r="A47" s="96"/>
      <c r="B47" s="96"/>
      <c r="C47" s="34" t="s">
        <v>129</v>
      </c>
      <c r="D47" s="35">
        <f t="shared" ref="D47:L47" si="11">IF(((D45="")*AND(D46="")),"",(D45-D46)*3)</f>
        <v>9887.4900000000052</v>
      </c>
      <c r="E47" s="35">
        <f t="shared" si="11"/>
        <v>10273.860000000008</v>
      </c>
      <c r="F47" s="35">
        <f t="shared" si="11"/>
        <v>10501.919999999998</v>
      </c>
      <c r="G47" s="35">
        <f t="shared" si="11"/>
        <v>10424.549999999996</v>
      </c>
      <c r="H47" s="35">
        <f t="shared" si="11"/>
        <v>10288.049999999996</v>
      </c>
      <c r="I47" s="35">
        <f t="shared" si="11"/>
        <v>9636.9300000000039</v>
      </c>
      <c r="J47" s="35">
        <f t="shared" si="11"/>
        <v>10151.669999999998</v>
      </c>
      <c r="K47" s="35">
        <f t="shared" si="11"/>
        <v>10461.299999999996</v>
      </c>
      <c r="L47" s="35">
        <f t="shared" si="11"/>
        <v>12276.060000000001</v>
      </c>
      <c r="M47" s="36"/>
      <c r="N47" s="36"/>
      <c r="O47" s="36"/>
      <c r="P47" s="36"/>
      <c r="Q47" s="36"/>
      <c r="R47" s="37"/>
      <c r="S47" s="38"/>
      <c r="T47" s="57"/>
      <c r="U47" s="52"/>
      <c r="V47" s="51"/>
      <c r="W47" s="51"/>
      <c r="X47" s="52"/>
      <c r="Y47" s="52"/>
      <c r="Z47" s="53"/>
      <c r="AA47" s="53"/>
    </row>
    <row r="48" spans="1:27" x14ac:dyDescent="0.3">
      <c r="A48" s="97">
        <v>42783</v>
      </c>
      <c r="B48" s="117" t="s">
        <v>431</v>
      </c>
      <c r="C48" s="26" t="s">
        <v>126</v>
      </c>
      <c r="D48" s="16">
        <v>28924.11</v>
      </c>
      <c r="E48" s="16">
        <v>28760.6</v>
      </c>
      <c r="F48" s="16">
        <v>28747.59</v>
      </c>
      <c r="G48" s="16">
        <v>28751.79</v>
      </c>
      <c r="H48" s="16">
        <v>28965.52</v>
      </c>
      <c r="I48" s="16">
        <v>28903.1</v>
      </c>
      <c r="J48" s="16">
        <v>28734.47</v>
      </c>
      <c r="K48" s="16">
        <v>28762.13</v>
      </c>
      <c r="L48" s="16">
        <v>28996.61</v>
      </c>
      <c r="M48" s="27">
        <f>IF((L49=""),"",MAX(D50:L50))</f>
        <v>9712.02</v>
      </c>
      <c r="N48" s="27">
        <f>IF(L49="","",MIN(D50:L50))</f>
        <v>8800.9199999999983</v>
      </c>
      <c r="O48" s="27">
        <f>IF((L50=""),"",AVERAGE(D50:L50))</f>
        <v>9218.0800000000017</v>
      </c>
      <c r="P48" s="27">
        <f>IF((L49=""),"",STDEV(D50:L50))</f>
        <v>285.47091331692678</v>
      </c>
      <c r="Q48" s="27">
        <f>IF((L49=""),"",P48/O48*100)</f>
        <v>3.0968587093725239</v>
      </c>
      <c r="R48" s="28" t="str">
        <f>IF(L49="","",IF(Q48&lt;Z48,IF(N48&gt;V48,IF(M48&lt;W48,"Pass","Fail"),"Fail"),"Fail"))</f>
        <v>Fail</v>
      </c>
      <c r="S48" s="29">
        <v>1335</v>
      </c>
      <c r="T48" s="55" t="s">
        <v>137</v>
      </c>
      <c r="U48" s="56" t="s">
        <v>138</v>
      </c>
      <c r="V48" s="54">
        <v>9000</v>
      </c>
      <c r="W48" s="22">
        <v>15600</v>
      </c>
      <c r="X48" s="40">
        <v>8090</v>
      </c>
      <c r="Y48" s="40">
        <v>12070</v>
      </c>
      <c r="Z48" s="47">
        <v>6</v>
      </c>
      <c r="AA48" s="47">
        <v>6</v>
      </c>
    </row>
    <row r="49" spans="1:27" ht="15.75" customHeight="1" x14ac:dyDescent="0.3">
      <c r="A49" s="96"/>
      <c r="B49" s="96"/>
      <c r="C49" s="30" t="s">
        <v>128</v>
      </c>
      <c r="D49" s="16">
        <v>25970.48</v>
      </c>
      <c r="E49" s="16">
        <v>25703.360000000001</v>
      </c>
      <c r="F49" s="16">
        <v>25708.12</v>
      </c>
      <c r="G49" s="16">
        <v>25629.42</v>
      </c>
      <c r="H49" s="16">
        <v>25838.5</v>
      </c>
      <c r="I49" s="16">
        <v>25969.46</v>
      </c>
      <c r="J49" s="16">
        <v>25689.23</v>
      </c>
      <c r="K49" s="16">
        <v>25623.84</v>
      </c>
      <c r="L49" s="16">
        <v>25759.27</v>
      </c>
      <c r="M49" s="31"/>
      <c r="N49" s="31"/>
      <c r="O49" s="31"/>
      <c r="P49" s="31"/>
      <c r="Q49" s="31"/>
      <c r="R49" s="32"/>
      <c r="S49" s="33"/>
      <c r="V49" s="48"/>
      <c r="W49" s="48"/>
      <c r="X49" s="49"/>
      <c r="Y49" s="49"/>
      <c r="Z49" s="50"/>
      <c r="AA49" s="50"/>
    </row>
    <row r="50" spans="1:27" ht="16.5" customHeight="1" thickBot="1" x14ac:dyDescent="0.35">
      <c r="A50" s="96"/>
      <c r="B50" s="96"/>
      <c r="C50" s="34" t="s">
        <v>129</v>
      </c>
      <c r="D50" s="35">
        <f t="shared" ref="D50:L50" si="12">IF(((D48="")*AND(D49="")),"",(D48-D49)*3)</f>
        <v>8860.8900000000031</v>
      </c>
      <c r="E50" s="35">
        <f t="shared" si="12"/>
        <v>9171.7199999999939</v>
      </c>
      <c r="F50" s="35">
        <f t="shared" si="12"/>
        <v>9118.4100000000035</v>
      </c>
      <c r="G50" s="35">
        <f t="shared" si="12"/>
        <v>9367.1100000000079</v>
      </c>
      <c r="H50" s="35">
        <f t="shared" si="12"/>
        <v>9381.0600000000013</v>
      </c>
      <c r="I50" s="35">
        <f t="shared" si="12"/>
        <v>8800.9199999999983</v>
      </c>
      <c r="J50" s="35">
        <f t="shared" si="12"/>
        <v>9135.7200000000048</v>
      </c>
      <c r="K50" s="35">
        <f t="shared" si="12"/>
        <v>9414.8700000000026</v>
      </c>
      <c r="L50" s="35">
        <f t="shared" si="12"/>
        <v>9712.02</v>
      </c>
      <c r="M50" s="36"/>
      <c r="N50" s="36"/>
      <c r="O50" s="36"/>
      <c r="P50" s="36"/>
      <c r="Q50" s="36"/>
      <c r="R50" s="37"/>
      <c r="S50" s="38"/>
      <c r="T50" s="57"/>
      <c r="U50" s="52"/>
      <c r="V50" s="51"/>
      <c r="W50" s="51"/>
      <c r="X50" s="52"/>
      <c r="Y50" s="52"/>
      <c r="Z50" s="53"/>
      <c r="AA50" s="53"/>
    </row>
    <row r="51" spans="1:27" x14ac:dyDescent="0.3">
      <c r="A51" s="97">
        <v>42788</v>
      </c>
      <c r="B51" s="117" t="s">
        <v>431</v>
      </c>
      <c r="C51" s="26" t="s">
        <v>126</v>
      </c>
      <c r="D51" s="16">
        <v>29331.14</v>
      </c>
      <c r="E51" s="16">
        <v>29201.58</v>
      </c>
      <c r="F51" s="16">
        <v>29270.26</v>
      </c>
      <c r="G51" s="16">
        <v>29206.95</v>
      </c>
      <c r="H51" s="16">
        <v>29445.13</v>
      </c>
      <c r="I51" s="16">
        <v>29361.9</v>
      </c>
      <c r="J51" s="16">
        <v>29207.16</v>
      </c>
      <c r="K51" s="16">
        <v>29194.45</v>
      </c>
      <c r="L51" s="16">
        <v>29451.98</v>
      </c>
      <c r="M51" s="27">
        <f>IF((L52=""),"",MAX(D53:L53))</f>
        <v>12070.29</v>
      </c>
      <c r="N51" s="27">
        <f>IF(L52="","",MIN(D53:L53))</f>
        <v>11189.430000000004</v>
      </c>
      <c r="O51" s="27">
        <f>IF((L53=""),"",AVERAGE(D53:L53))</f>
        <v>11647.606666666668</v>
      </c>
      <c r="P51" s="27">
        <f>IF((L52=""),"",STDEV(D53:L53))</f>
        <v>262.19950748428226</v>
      </c>
      <c r="Q51" s="27">
        <f>IF((L52=""),"",P51/O51*100)</f>
        <v>2.2511020073733219</v>
      </c>
      <c r="R51" s="28" t="str">
        <f>IF(L52="","",IF(Q51&lt;Z51,IF(N51&gt;V51,IF(M51&lt;W51,"Pass","Fail"),"Fail"),"Fail"))</f>
        <v>Pass</v>
      </c>
      <c r="S51" s="29">
        <v>1400</v>
      </c>
      <c r="T51" s="55" t="s">
        <v>139</v>
      </c>
      <c r="U51" s="40"/>
      <c r="V51" s="54">
        <v>9000</v>
      </c>
      <c r="W51" s="22">
        <v>15600</v>
      </c>
      <c r="X51" s="40">
        <v>8090</v>
      </c>
      <c r="Y51" s="40">
        <v>12070</v>
      </c>
      <c r="Z51" s="47">
        <v>6</v>
      </c>
      <c r="AA51" s="47">
        <v>6</v>
      </c>
    </row>
    <row r="52" spans="1:27" ht="15.75" customHeight="1" x14ac:dyDescent="0.3">
      <c r="A52" s="96"/>
      <c r="B52" s="96"/>
      <c r="C52" s="30" t="s">
        <v>128</v>
      </c>
      <c r="D52" s="16">
        <v>25553.72</v>
      </c>
      <c r="E52" s="16">
        <v>25318.59</v>
      </c>
      <c r="F52" s="16">
        <v>25371.17</v>
      </c>
      <c r="G52" s="16">
        <v>25268.9</v>
      </c>
      <c r="H52" s="16">
        <v>25570.35</v>
      </c>
      <c r="I52" s="16">
        <v>25632.09</v>
      </c>
      <c r="J52" s="16">
        <v>25330.99</v>
      </c>
      <c r="K52" s="16">
        <v>25253.37</v>
      </c>
      <c r="L52" s="16">
        <v>25428.55</v>
      </c>
      <c r="M52" s="31"/>
      <c r="N52" s="31"/>
      <c r="O52" s="31"/>
      <c r="P52" s="31"/>
      <c r="Q52" s="31"/>
      <c r="R52" s="32"/>
      <c r="S52" s="33"/>
      <c r="T52" s="56"/>
      <c r="V52" s="48"/>
      <c r="W52" s="48"/>
      <c r="X52" s="49"/>
      <c r="Y52" s="49"/>
      <c r="Z52" s="50"/>
      <c r="AA52" s="50"/>
    </row>
    <row r="53" spans="1:27" ht="16.5" customHeight="1" thickBot="1" x14ac:dyDescent="0.35">
      <c r="A53" s="96"/>
      <c r="B53" s="96"/>
      <c r="C53" s="34" t="s">
        <v>129</v>
      </c>
      <c r="D53" s="35">
        <f t="shared" ref="D53:L53" si="13">IF(((D51="")*AND(D52="")),"",(D51-D52)*3)</f>
        <v>11332.259999999995</v>
      </c>
      <c r="E53" s="35">
        <f t="shared" si="13"/>
        <v>11648.970000000005</v>
      </c>
      <c r="F53" s="35">
        <f t="shared" si="13"/>
        <v>11697.27</v>
      </c>
      <c r="G53" s="35">
        <f t="shared" si="13"/>
        <v>11814.149999999998</v>
      </c>
      <c r="H53" s="35">
        <f t="shared" si="13"/>
        <v>11624.340000000007</v>
      </c>
      <c r="I53" s="35">
        <f t="shared" si="13"/>
        <v>11189.430000000004</v>
      </c>
      <c r="J53" s="35">
        <f t="shared" si="13"/>
        <v>11628.509999999995</v>
      </c>
      <c r="K53" s="35">
        <f t="shared" si="13"/>
        <v>11823.240000000005</v>
      </c>
      <c r="L53" s="35">
        <f t="shared" si="13"/>
        <v>12070.29</v>
      </c>
      <c r="M53" s="36"/>
      <c r="N53" s="36"/>
      <c r="O53" s="36"/>
      <c r="P53" s="36"/>
      <c r="Q53" s="36"/>
      <c r="R53" s="37"/>
      <c r="S53" s="38"/>
      <c r="T53" s="57"/>
      <c r="U53" s="52"/>
      <c r="V53" s="51"/>
      <c r="W53" s="51"/>
      <c r="X53" s="52"/>
      <c r="Y53" s="52"/>
      <c r="Z53" s="53"/>
      <c r="AA53" s="53"/>
    </row>
    <row r="54" spans="1:27" x14ac:dyDescent="0.3">
      <c r="A54" s="97">
        <v>42793</v>
      </c>
      <c r="B54" s="117" t="s">
        <v>431</v>
      </c>
      <c r="C54" s="26" t="s">
        <v>126</v>
      </c>
      <c r="D54" s="16">
        <v>29285.1</v>
      </c>
      <c r="E54" s="16">
        <v>29132.21</v>
      </c>
      <c r="F54" s="16">
        <v>29121.85</v>
      </c>
      <c r="G54" s="16">
        <v>29137.64</v>
      </c>
      <c r="H54" s="16">
        <v>29371.39</v>
      </c>
      <c r="I54" s="16">
        <v>29290.45</v>
      </c>
      <c r="J54" s="16">
        <v>29127.55</v>
      </c>
      <c r="K54" s="16">
        <v>29147.09</v>
      </c>
      <c r="L54" s="16">
        <v>29377.63</v>
      </c>
      <c r="M54" s="27">
        <f>IF((L55=""),"",MAX(D56:L56))</f>
        <v>11972.04</v>
      </c>
      <c r="N54" s="27">
        <f>IF(L55="","",MIN(D56:L56))</f>
        <v>11019.419999999998</v>
      </c>
      <c r="O54" s="27">
        <f>IF((L56=""),"",AVERAGE(D56:L56))</f>
        <v>11540.006666666663</v>
      </c>
      <c r="P54" s="27">
        <f>IF((L55=""),"",STDEV(D56:L56))</f>
        <v>299.32130821243084</v>
      </c>
      <c r="Q54" s="27">
        <f>IF((L55=""),"",P54/O54*100)</f>
        <v>2.5937706697953753</v>
      </c>
      <c r="R54" s="28" t="str">
        <f>IF(L55="","",IF(Q54&lt;Z54,IF(N54&gt;V54,IF(M54&lt;W54,"Pass","Fail"),"Fail"),"Fail"))</f>
        <v>Pass</v>
      </c>
      <c r="S54" s="29">
        <v>1400</v>
      </c>
      <c r="T54" s="55" t="s">
        <v>140</v>
      </c>
      <c r="U54" s="40"/>
      <c r="V54" s="54">
        <v>9000</v>
      </c>
      <c r="W54" s="22">
        <v>15600</v>
      </c>
      <c r="X54" s="40">
        <v>8090</v>
      </c>
      <c r="Y54" s="40">
        <v>12070</v>
      </c>
      <c r="Z54" s="47">
        <v>6</v>
      </c>
      <c r="AA54" s="47">
        <v>6</v>
      </c>
    </row>
    <row r="55" spans="1:27" ht="15.75" customHeight="1" x14ac:dyDescent="0.3">
      <c r="A55" s="96"/>
      <c r="B55" s="96"/>
      <c r="C55" s="30" t="s">
        <v>128</v>
      </c>
      <c r="D55" s="16">
        <v>25575.56</v>
      </c>
      <c r="E55" s="16">
        <v>25285.279999999999</v>
      </c>
      <c r="F55" s="16">
        <v>25244.57</v>
      </c>
      <c r="G55" s="16">
        <v>25231.94</v>
      </c>
      <c r="H55" s="16">
        <v>25518.36</v>
      </c>
      <c r="I55" s="16">
        <v>25617.31</v>
      </c>
      <c r="J55" s="16">
        <v>25284.7</v>
      </c>
      <c r="K55" s="16">
        <v>25226.22</v>
      </c>
      <c r="L55" s="16">
        <v>25386.95</v>
      </c>
      <c r="M55" s="31"/>
      <c r="N55" s="31"/>
      <c r="O55" s="31"/>
      <c r="P55" s="31"/>
      <c r="Q55" s="31"/>
      <c r="R55" s="32"/>
      <c r="S55" s="33"/>
      <c r="T55" s="56"/>
      <c r="V55" s="48"/>
      <c r="W55" s="48"/>
      <c r="X55" s="49"/>
      <c r="Y55" s="49"/>
      <c r="Z55" s="50"/>
      <c r="AA55" s="50"/>
    </row>
    <row r="56" spans="1:27" ht="16.5" customHeight="1" thickBot="1" x14ac:dyDescent="0.35">
      <c r="A56" s="96"/>
      <c r="B56" s="96"/>
      <c r="C56" s="34" t="s">
        <v>129</v>
      </c>
      <c r="D56" s="35">
        <f t="shared" ref="D56:L56" si="14">IF(((D54="")*AND(D55="")),"",(D54-D55)*3)</f>
        <v>11128.619999999992</v>
      </c>
      <c r="E56" s="35">
        <f t="shared" si="14"/>
        <v>11540.79</v>
      </c>
      <c r="F56" s="35">
        <f t="shared" si="14"/>
        <v>11631.839999999997</v>
      </c>
      <c r="G56" s="35">
        <f t="shared" si="14"/>
        <v>11717.100000000002</v>
      </c>
      <c r="H56" s="35">
        <f t="shared" si="14"/>
        <v>11559.089999999997</v>
      </c>
      <c r="I56" s="35">
        <f t="shared" si="14"/>
        <v>11019.419999999998</v>
      </c>
      <c r="J56" s="35">
        <f t="shared" si="14"/>
        <v>11528.549999999996</v>
      </c>
      <c r="K56" s="35">
        <f t="shared" si="14"/>
        <v>11762.609999999997</v>
      </c>
      <c r="L56" s="35">
        <f t="shared" si="14"/>
        <v>11972.04</v>
      </c>
      <c r="M56" s="36"/>
      <c r="N56" s="36"/>
      <c r="O56" s="36"/>
      <c r="P56" s="36"/>
      <c r="Q56" s="36"/>
      <c r="R56" s="37"/>
      <c r="S56" s="38"/>
      <c r="T56" s="57"/>
      <c r="U56" s="52"/>
      <c r="V56" s="51"/>
      <c r="W56" s="51"/>
      <c r="X56" s="52"/>
      <c r="Y56" s="52"/>
      <c r="Z56" s="53"/>
      <c r="AA56" s="53"/>
    </row>
    <row r="57" spans="1:27" x14ac:dyDescent="0.3">
      <c r="A57" s="97">
        <v>42800</v>
      </c>
      <c r="B57" s="117" t="s">
        <v>431</v>
      </c>
      <c r="C57" s="26" t="s">
        <v>126</v>
      </c>
      <c r="D57" s="16">
        <v>29248.17</v>
      </c>
      <c r="E57" s="16">
        <v>29070.959999999999</v>
      </c>
      <c r="F57" s="16">
        <v>29068.07</v>
      </c>
      <c r="G57" s="16">
        <v>29093.22</v>
      </c>
      <c r="H57" s="16">
        <v>29298.87</v>
      </c>
      <c r="I57" s="16">
        <v>29252.37</v>
      </c>
      <c r="J57" s="16">
        <v>29080.47</v>
      </c>
      <c r="K57" s="16">
        <v>29063.18</v>
      </c>
      <c r="L57" s="16">
        <v>29307.38</v>
      </c>
      <c r="M57" s="27">
        <f>IF((L58=""),"",MAX(D59:L59))</f>
        <v>9865.4700000000048</v>
      </c>
      <c r="N57" s="27">
        <f>IF(L58="","",MIN(D59:L59))</f>
        <v>9190.8599999999969</v>
      </c>
      <c r="O57" s="27">
        <f>IF((L59=""),"",AVERAGE(D59:L59))</f>
        <v>9611.9699999999993</v>
      </c>
      <c r="P57" s="27">
        <f>IF((L58=""),"",STDEV(D59:L59))</f>
        <v>230.15993108054428</v>
      </c>
      <c r="Q57" s="27">
        <f>IF((L58=""),"",P57/O57*100)</f>
        <v>2.3945136229154307</v>
      </c>
      <c r="R57" s="28" t="str">
        <f>IF(L58="","",IF(Q57&lt;Z57,IF(N57&gt;V57,IF(M57&lt;W57,"Pass","Fail"),"Fail"),"Fail"))</f>
        <v>Pass</v>
      </c>
      <c r="S57" s="29">
        <v>1400</v>
      </c>
      <c r="T57" s="55" t="s">
        <v>141</v>
      </c>
      <c r="U57" s="40"/>
      <c r="V57" s="54">
        <v>9000</v>
      </c>
      <c r="W57" s="22">
        <v>15600</v>
      </c>
      <c r="X57" s="40">
        <v>8090</v>
      </c>
      <c r="Y57" s="40">
        <v>12070</v>
      </c>
      <c r="Z57" s="47">
        <v>6</v>
      </c>
      <c r="AA57" s="47">
        <v>6</v>
      </c>
    </row>
    <row r="58" spans="1:27" ht="15.75" customHeight="1" x14ac:dyDescent="0.3">
      <c r="A58" s="96"/>
      <c r="B58" s="96"/>
      <c r="C58" s="30" t="s">
        <v>128</v>
      </c>
      <c r="D58" s="16">
        <v>26184.55</v>
      </c>
      <c r="E58" s="16">
        <v>25887.78</v>
      </c>
      <c r="F58" s="16">
        <v>25870.95</v>
      </c>
      <c r="G58" s="16">
        <v>25823.51</v>
      </c>
      <c r="H58" s="16">
        <v>26032.97</v>
      </c>
      <c r="I58" s="16">
        <v>26147.87</v>
      </c>
      <c r="J58" s="16">
        <v>25858.21</v>
      </c>
      <c r="K58" s="16">
        <v>25822.05</v>
      </c>
      <c r="L58" s="16">
        <v>26018.89</v>
      </c>
      <c r="M58" s="31"/>
      <c r="N58" s="31"/>
      <c r="O58" s="31"/>
      <c r="P58" s="31"/>
      <c r="Q58" s="31"/>
      <c r="R58" s="32"/>
      <c r="S58" s="33"/>
      <c r="T58" s="56"/>
      <c r="V58" s="48"/>
      <c r="W58" s="48"/>
      <c r="X58" s="49"/>
      <c r="Y58" s="49"/>
      <c r="Z58" s="50"/>
      <c r="AA58" s="50"/>
    </row>
    <row r="59" spans="1:27" ht="16.5" customHeight="1" thickBot="1" x14ac:dyDescent="0.35">
      <c r="A59" s="96"/>
      <c r="B59" s="96"/>
      <c r="C59" s="34" t="s">
        <v>129</v>
      </c>
      <c r="D59" s="35">
        <f t="shared" ref="D59:L59" si="15">IF(((D57="")*AND(D58="")),"",(D57-D58)*3)</f>
        <v>9190.8599999999969</v>
      </c>
      <c r="E59" s="35">
        <f t="shared" si="15"/>
        <v>9549.5400000000009</v>
      </c>
      <c r="F59" s="35">
        <f t="shared" si="15"/>
        <v>9591.3599999999969</v>
      </c>
      <c r="G59" s="35">
        <f t="shared" si="15"/>
        <v>9809.1300000000083</v>
      </c>
      <c r="H59" s="35">
        <f t="shared" si="15"/>
        <v>9797.6999999999935</v>
      </c>
      <c r="I59" s="35">
        <f t="shared" si="15"/>
        <v>9313.5</v>
      </c>
      <c r="J59" s="35">
        <f t="shared" si="15"/>
        <v>9666.7800000000061</v>
      </c>
      <c r="K59" s="35">
        <f t="shared" si="15"/>
        <v>9723.3900000000031</v>
      </c>
      <c r="L59" s="35">
        <f t="shared" si="15"/>
        <v>9865.4700000000048</v>
      </c>
      <c r="M59" s="36"/>
      <c r="N59" s="36"/>
      <c r="O59" s="36"/>
      <c r="P59" s="36"/>
      <c r="Q59" s="36"/>
      <c r="R59" s="37"/>
      <c r="S59" s="38"/>
      <c r="T59" s="57"/>
      <c r="U59" s="52"/>
      <c r="V59" s="51"/>
      <c r="W59" s="51"/>
      <c r="X59" s="52"/>
      <c r="Y59" s="52"/>
      <c r="Z59" s="53"/>
      <c r="AA59" s="53"/>
    </row>
    <row r="60" spans="1:27" x14ac:dyDescent="0.3">
      <c r="A60" s="97">
        <v>42804</v>
      </c>
      <c r="B60" s="117" t="s">
        <v>431</v>
      </c>
      <c r="C60" s="26" t="s">
        <v>126</v>
      </c>
      <c r="D60" s="16">
        <v>29242.62</v>
      </c>
      <c r="E60" s="16">
        <v>29032.74</v>
      </c>
      <c r="F60" s="16">
        <v>28918.38</v>
      </c>
      <c r="G60" s="16">
        <v>29039.69</v>
      </c>
      <c r="H60" s="16">
        <v>29223.99</v>
      </c>
      <c r="I60" s="16">
        <v>29238.21</v>
      </c>
      <c r="J60" s="16">
        <v>29056.69</v>
      </c>
      <c r="K60" s="16">
        <v>29032.36</v>
      </c>
      <c r="L60" s="16">
        <v>29207.03</v>
      </c>
      <c r="M60" s="27">
        <f>IF((L61=""),"",MAX(D62:L62))</f>
        <v>10984.29</v>
      </c>
      <c r="N60" s="27">
        <f>IF(L61="","",MIN(D62:L62))</f>
        <v>10132.140000000003</v>
      </c>
      <c r="O60" s="27">
        <f>IF((L62=""),"",AVERAGE(D62:L62))</f>
        <v>10589.263333333336</v>
      </c>
      <c r="P60" s="27">
        <f>IF((L61=""),"",STDEV(D62:L62))</f>
        <v>315.22156711589304</v>
      </c>
      <c r="Q60" s="27">
        <f>IF((L61=""),"",P60/O60*100)</f>
        <v>2.9768035527421923</v>
      </c>
      <c r="R60" s="28" t="str">
        <f>IF(L61="","",IF(Q60&lt;Z60,IF(N60&gt;V60,IF(M60&lt;W60,"Pass","Fail"),"Fail"),"Fail"))</f>
        <v>Pass</v>
      </c>
      <c r="S60" s="29">
        <v>1400</v>
      </c>
      <c r="T60" s="55" t="s">
        <v>142</v>
      </c>
      <c r="U60" s="40"/>
      <c r="V60" s="54">
        <v>9000</v>
      </c>
      <c r="W60" s="22">
        <v>15600</v>
      </c>
      <c r="X60" s="40">
        <v>8090</v>
      </c>
      <c r="Y60" s="40">
        <v>12070</v>
      </c>
      <c r="Z60" s="47">
        <v>6</v>
      </c>
      <c r="AA60" s="47">
        <v>6</v>
      </c>
    </row>
    <row r="61" spans="1:27" ht="15.75" customHeight="1" x14ac:dyDescent="0.3">
      <c r="A61" s="96"/>
      <c r="B61" s="96"/>
      <c r="C61" s="30" t="s">
        <v>128</v>
      </c>
      <c r="D61" s="16">
        <v>25811.26</v>
      </c>
      <c r="E61" s="16">
        <v>25530.76</v>
      </c>
      <c r="F61" s="16">
        <v>25541</v>
      </c>
      <c r="G61" s="16">
        <v>25423.19</v>
      </c>
      <c r="H61" s="16">
        <v>25633.94</v>
      </c>
      <c r="I61" s="16">
        <v>25837.21</v>
      </c>
      <c r="J61" s="16">
        <v>25488.240000000002</v>
      </c>
      <c r="K61" s="16">
        <v>25412.720000000001</v>
      </c>
      <c r="L61" s="16">
        <v>25545.599999999999</v>
      </c>
      <c r="M61" s="31"/>
      <c r="N61" s="31"/>
      <c r="O61" s="31"/>
      <c r="P61" s="31"/>
      <c r="Q61" s="31"/>
      <c r="R61" s="32"/>
      <c r="S61" s="33"/>
      <c r="T61" s="56"/>
      <c r="V61" s="48"/>
      <c r="W61" s="48"/>
      <c r="X61" s="49"/>
      <c r="Y61" s="49"/>
      <c r="Z61" s="50"/>
      <c r="AA61" s="50"/>
    </row>
    <row r="62" spans="1:27" ht="16.5" customHeight="1" thickBot="1" x14ac:dyDescent="0.35">
      <c r="A62" s="96"/>
      <c r="B62" s="96"/>
      <c r="C62" s="34" t="s">
        <v>129</v>
      </c>
      <c r="D62" s="35">
        <f t="shared" ref="D62:L62" si="16">IF(((D60="")*AND(D61="")),"",(D60-D61)*3)</f>
        <v>10294.080000000002</v>
      </c>
      <c r="E62" s="35">
        <f t="shared" si="16"/>
        <v>10505.94000000001</v>
      </c>
      <c r="F62" s="35">
        <f t="shared" si="16"/>
        <v>10132.140000000003</v>
      </c>
      <c r="G62" s="35">
        <f t="shared" si="16"/>
        <v>10849.5</v>
      </c>
      <c r="H62" s="35">
        <f t="shared" si="16"/>
        <v>10770.150000000009</v>
      </c>
      <c r="I62" s="35">
        <f t="shared" si="16"/>
        <v>10203</v>
      </c>
      <c r="J62" s="35">
        <f t="shared" si="16"/>
        <v>10705.349999999991</v>
      </c>
      <c r="K62" s="35">
        <f t="shared" si="16"/>
        <v>10858.919999999998</v>
      </c>
      <c r="L62" s="35">
        <f t="shared" si="16"/>
        <v>10984.29</v>
      </c>
      <c r="M62" s="36"/>
      <c r="N62" s="36"/>
      <c r="O62" s="36"/>
      <c r="P62" s="36"/>
      <c r="Q62" s="36"/>
      <c r="R62" s="37"/>
      <c r="S62" s="38"/>
      <c r="T62" s="57"/>
      <c r="U62" s="52"/>
      <c r="V62" s="51"/>
      <c r="W62" s="51"/>
      <c r="X62" s="52"/>
      <c r="Y62" s="52"/>
      <c r="Z62" s="53"/>
      <c r="AA62" s="53"/>
    </row>
    <row r="63" spans="1:27" x14ac:dyDescent="0.3">
      <c r="A63" s="97">
        <v>42814</v>
      </c>
      <c r="B63" s="117" t="s">
        <v>431</v>
      </c>
      <c r="C63" s="26" t="s">
        <v>126</v>
      </c>
      <c r="D63" s="16">
        <v>29105.15</v>
      </c>
      <c r="E63" s="16">
        <v>28931.84</v>
      </c>
      <c r="F63" s="16">
        <v>28942.04</v>
      </c>
      <c r="G63" s="16">
        <v>28945.97</v>
      </c>
      <c r="H63" s="16">
        <v>29165.45</v>
      </c>
      <c r="I63" s="16">
        <v>29120.37</v>
      </c>
      <c r="J63" s="16">
        <v>28942.560000000001</v>
      </c>
      <c r="K63" s="16">
        <v>28935.86</v>
      </c>
      <c r="L63" s="16">
        <v>29160.74</v>
      </c>
      <c r="M63" s="27">
        <f>IF((L64=""),"",MAX(D65:L65))</f>
        <v>11036.070000000007</v>
      </c>
      <c r="N63" s="27">
        <f>IF(L64="","",MIN(D65:L65))</f>
        <v>10183.649999999998</v>
      </c>
      <c r="O63" s="27">
        <f>IF((L65=""),"",AVERAGE(D65:L65))</f>
        <v>10628.203333333335</v>
      </c>
      <c r="P63" s="27">
        <f>IF((L64=""),"",STDEV(D65:L65))</f>
        <v>281.51347183572079</v>
      </c>
      <c r="Q63" s="27">
        <f>IF((L64=""),"",P63/O63*100)</f>
        <v>2.6487399893151031</v>
      </c>
      <c r="R63" s="28" t="str">
        <f>IF(L64="","",IF(Q63&lt;Z63,IF(N63&gt;V63,IF(M63&lt;W63,"Pass","Fail"),"Fail"),"Fail"))</f>
        <v>Pass</v>
      </c>
      <c r="S63" s="29">
        <v>1428</v>
      </c>
      <c r="T63" s="55" t="s">
        <v>143</v>
      </c>
      <c r="U63" s="40"/>
      <c r="V63" s="54">
        <v>9000</v>
      </c>
      <c r="W63" s="22">
        <v>15600</v>
      </c>
      <c r="X63" s="40">
        <v>8090</v>
      </c>
      <c r="Y63" s="40">
        <v>12070</v>
      </c>
      <c r="Z63" s="47">
        <v>6</v>
      </c>
      <c r="AA63" s="47">
        <v>6</v>
      </c>
    </row>
    <row r="64" spans="1:27" ht="15.75" customHeight="1" x14ac:dyDescent="0.3">
      <c r="A64" s="96"/>
      <c r="B64" s="96"/>
      <c r="C64" s="30" t="s">
        <v>128</v>
      </c>
      <c r="D64" s="16">
        <v>25706.65</v>
      </c>
      <c r="E64" s="16">
        <v>25401</v>
      </c>
      <c r="F64" s="16">
        <v>25388.48</v>
      </c>
      <c r="G64" s="16">
        <v>25341.279999999999</v>
      </c>
      <c r="H64" s="16">
        <v>25579.95</v>
      </c>
      <c r="I64" s="16">
        <v>25725.82</v>
      </c>
      <c r="J64" s="16">
        <v>25404.06</v>
      </c>
      <c r="K64" s="16">
        <v>25336.080000000002</v>
      </c>
      <c r="L64" s="16">
        <v>25482.05</v>
      </c>
      <c r="M64" s="31"/>
      <c r="N64" s="31"/>
      <c r="O64" s="31"/>
      <c r="P64" s="31"/>
      <c r="Q64" s="31"/>
      <c r="R64" s="32"/>
      <c r="S64" s="33"/>
      <c r="T64" s="56"/>
      <c r="V64" s="48"/>
      <c r="W64" s="48"/>
      <c r="X64" s="49"/>
      <c r="Y64" s="49"/>
      <c r="Z64" s="50"/>
      <c r="AA64" s="50"/>
    </row>
    <row r="65" spans="1:27" ht="16.5" customHeight="1" thickBot="1" x14ac:dyDescent="0.35">
      <c r="A65" s="96"/>
      <c r="B65" s="96"/>
      <c r="C65" s="34" t="s">
        <v>129</v>
      </c>
      <c r="D65" s="35">
        <f t="shared" ref="D65:L65" si="17">IF(((D63="")*AND(D64="")),"",(D63-D64)*3)</f>
        <v>10195.5</v>
      </c>
      <c r="E65" s="35">
        <f t="shared" si="17"/>
        <v>10592.52</v>
      </c>
      <c r="F65" s="35">
        <f t="shared" si="17"/>
        <v>10660.680000000004</v>
      </c>
      <c r="G65" s="35">
        <f t="shared" si="17"/>
        <v>10814.070000000007</v>
      </c>
      <c r="H65" s="35">
        <f t="shared" si="17"/>
        <v>10756.5</v>
      </c>
      <c r="I65" s="35">
        <f t="shared" si="17"/>
        <v>10183.649999999998</v>
      </c>
      <c r="J65" s="35">
        <f t="shared" si="17"/>
        <v>10615.5</v>
      </c>
      <c r="K65" s="35">
        <f t="shared" si="17"/>
        <v>10799.339999999997</v>
      </c>
      <c r="L65" s="35">
        <f t="shared" si="17"/>
        <v>11036.070000000007</v>
      </c>
      <c r="M65" s="36"/>
      <c r="N65" s="36"/>
      <c r="O65" s="36"/>
      <c r="P65" s="36"/>
      <c r="Q65" s="36"/>
      <c r="R65" s="37"/>
      <c r="S65" s="38"/>
      <c r="T65" s="57"/>
      <c r="U65" s="52"/>
      <c r="V65" s="51"/>
      <c r="W65" s="51"/>
      <c r="X65" s="52"/>
      <c r="Y65" s="52"/>
      <c r="Z65" s="53"/>
      <c r="AA65" s="53"/>
    </row>
    <row r="66" spans="1:27" x14ac:dyDescent="0.3">
      <c r="A66" s="97">
        <v>42830</v>
      </c>
      <c r="B66" s="117" t="s">
        <v>431</v>
      </c>
      <c r="C66" s="26" t="s">
        <v>126</v>
      </c>
      <c r="D66" s="16">
        <v>28978.5</v>
      </c>
      <c r="E66" s="16">
        <v>28855.88</v>
      </c>
      <c r="F66" s="16">
        <v>28890.400000000001</v>
      </c>
      <c r="G66" s="16">
        <v>28851.59</v>
      </c>
      <c r="H66" s="16">
        <v>29061.88</v>
      </c>
      <c r="I66" s="16">
        <v>28980.73</v>
      </c>
      <c r="J66" s="16">
        <v>28839.39</v>
      </c>
      <c r="K66" s="16">
        <v>28855.33</v>
      </c>
      <c r="L66" s="16">
        <v>29114.86</v>
      </c>
      <c r="M66" s="27">
        <f>IF((L67=""),"",MAX(D68:L68))</f>
        <v>10503.660000000003</v>
      </c>
      <c r="N66" s="27">
        <f>IF(L67="","",MIN(D68:L68))</f>
        <v>9493.9199999999983</v>
      </c>
      <c r="O66" s="27">
        <f>IF((L68=""),"",AVERAGE(D68:L68))</f>
        <v>10062.833333333336</v>
      </c>
      <c r="P66" s="27">
        <f>IF((L67=""),"",STDEV(D68:L68))</f>
        <v>296.12249944068952</v>
      </c>
      <c r="Q66" s="27">
        <f>IF((L67=""),"",P66/O66*100)</f>
        <v>2.9427348106797901</v>
      </c>
      <c r="R66" s="28" t="str">
        <f>IF(L67="","",IF(Q66&lt;Z66,IF(N66&gt;V66,IF(M66&lt;W66,"Pass","Fail"),"Fail"),"Fail"))</f>
        <v>Pass</v>
      </c>
      <c r="S66" s="29">
        <v>1335</v>
      </c>
      <c r="T66" s="55"/>
      <c r="U66" s="40"/>
      <c r="V66" s="54">
        <v>9000</v>
      </c>
      <c r="W66" s="22">
        <v>15600</v>
      </c>
      <c r="X66" s="40">
        <v>8090</v>
      </c>
      <c r="Y66" s="40">
        <v>12070</v>
      </c>
      <c r="Z66" s="47">
        <v>6</v>
      </c>
      <c r="AA66" s="47">
        <v>6</v>
      </c>
    </row>
    <row r="67" spans="1:27" ht="15.75" customHeight="1" x14ac:dyDescent="0.3">
      <c r="A67" s="96"/>
      <c r="B67" s="96"/>
      <c r="C67" s="30" t="s">
        <v>128</v>
      </c>
      <c r="D67" s="16">
        <v>25709.17</v>
      </c>
      <c r="E67" s="16">
        <v>25509.1</v>
      </c>
      <c r="F67" s="16">
        <v>25545.99</v>
      </c>
      <c r="G67" s="16">
        <v>25457.73</v>
      </c>
      <c r="H67" s="16">
        <v>25624.78</v>
      </c>
      <c r="I67" s="16">
        <v>25816.09</v>
      </c>
      <c r="J67" s="16">
        <v>25520.39</v>
      </c>
      <c r="K67" s="16">
        <v>25443.17</v>
      </c>
      <c r="L67" s="16">
        <v>25613.64</v>
      </c>
      <c r="M67" s="31"/>
      <c r="N67" s="31"/>
      <c r="O67" s="31"/>
      <c r="P67" s="31"/>
      <c r="Q67" s="31"/>
      <c r="R67" s="32"/>
      <c r="S67" s="33"/>
      <c r="T67" s="56"/>
      <c r="V67" s="48"/>
      <c r="W67" s="48"/>
      <c r="X67" s="49"/>
      <c r="Y67" s="49"/>
      <c r="Z67" s="50"/>
      <c r="AA67" s="50"/>
    </row>
    <row r="68" spans="1:27" ht="16.5" customHeight="1" thickBot="1" x14ac:dyDescent="0.35">
      <c r="A68" s="96"/>
      <c r="B68" s="96"/>
      <c r="C68" s="34" t="s">
        <v>129</v>
      </c>
      <c r="D68" s="35">
        <f t="shared" ref="D68:L68" si="18">IF(((D66="")*AND(D67="")),"",(D66-D67)*3)</f>
        <v>9807.9900000000052</v>
      </c>
      <c r="E68" s="35">
        <f t="shared" si="18"/>
        <v>10040.340000000007</v>
      </c>
      <c r="F68" s="35">
        <f t="shared" si="18"/>
        <v>10033.23</v>
      </c>
      <c r="G68" s="35">
        <f t="shared" si="18"/>
        <v>10181.580000000002</v>
      </c>
      <c r="H68" s="35">
        <f t="shared" si="18"/>
        <v>10311.300000000007</v>
      </c>
      <c r="I68" s="35">
        <f t="shared" si="18"/>
        <v>9493.9199999999983</v>
      </c>
      <c r="J68" s="35">
        <f t="shared" si="18"/>
        <v>9957</v>
      </c>
      <c r="K68" s="35">
        <f t="shared" si="18"/>
        <v>10236.48000000001</v>
      </c>
      <c r="L68" s="35">
        <f t="shared" si="18"/>
        <v>10503.660000000003</v>
      </c>
      <c r="M68" s="36"/>
      <c r="N68" s="36"/>
      <c r="O68" s="36"/>
      <c r="P68" s="36"/>
      <c r="Q68" s="36"/>
      <c r="R68" s="37"/>
      <c r="S68" s="38"/>
      <c r="T68" s="57"/>
      <c r="U68" s="52"/>
      <c r="V68" s="51"/>
      <c r="W68" s="51"/>
      <c r="X68" s="52"/>
      <c r="Y68" s="52"/>
      <c r="Z68" s="53"/>
      <c r="AA68" s="53"/>
    </row>
    <row r="69" spans="1:27" x14ac:dyDescent="0.3">
      <c r="A69" s="97">
        <v>42835</v>
      </c>
      <c r="B69" s="117" t="s">
        <v>431</v>
      </c>
      <c r="C69" s="26" t="s">
        <v>126</v>
      </c>
      <c r="D69" s="16">
        <v>29067.41</v>
      </c>
      <c r="E69" s="16">
        <v>28872.28</v>
      </c>
      <c r="F69" s="16">
        <v>28848.33</v>
      </c>
      <c r="G69" s="16">
        <v>28854.53</v>
      </c>
      <c r="H69" s="16">
        <v>29068.71</v>
      </c>
      <c r="I69" s="16">
        <v>29020.13</v>
      </c>
      <c r="J69" s="16">
        <v>28857.23</v>
      </c>
      <c r="K69" s="16">
        <v>28861.98</v>
      </c>
      <c r="L69" s="16">
        <v>29065.16</v>
      </c>
      <c r="M69" s="27">
        <f>IF((L70=""),"",MAX(D71:L71))</f>
        <v>10619.759999999995</v>
      </c>
      <c r="N69" s="27">
        <f>IF(L70="","",MIN(D71:L71))</f>
        <v>9738.9599999999991</v>
      </c>
      <c r="O69" s="27">
        <f>IF((L71=""),"",AVERAGE(D71:L71))</f>
        <v>10189.309999999998</v>
      </c>
      <c r="P69" s="27">
        <f>IF((L70=""),"",STDEV(D71:L71))</f>
        <v>275.82105802494328</v>
      </c>
      <c r="Q69" s="27">
        <f>IF((L70=""),"",P69/O69*100)</f>
        <v>2.7069650253544486</v>
      </c>
      <c r="R69" s="28" t="str">
        <f>IF(L70="","",IF(Q69&lt;Z69,IF(N69&gt;V69,IF(M69&lt;W69,"Pass","Fail"),"Fail"),"Fail"))</f>
        <v>Pass</v>
      </c>
      <c r="S69" s="29">
        <v>1400</v>
      </c>
      <c r="T69" s="55" t="s">
        <v>144</v>
      </c>
      <c r="U69" s="40"/>
      <c r="V69" s="54">
        <v>9000</v>
      </c>
      <c r="W69" s="22">
        <v>15600</v>
      </c>
      <c r="X69" s="40">
        <v>8090</v>
      </c>
      <c r="Y69" s="40">
        <v>12070</v>
      </c>
      <c r="Z69" s="47">
        <v>6</v>
      </c>
      <c r="AA69" s="47">
        <v>6</v>
      </c>
    </row>
    <row r="70" spans="1:27" ht="15.75" customHeight="1" x14ac:dyDescent="0.3">
      <c r="A70" s="96"/>
      <c r="B70" s="96"/>
      <c r="C70" s="30" t="s">
        <v>128</v>
      </c>
      <c r="D70" s="16">
        <v>25794.62</v>
      </c>
      <c r="E70" s="16">
        <v>25484.33</v>
      </c>
      <c r="F70" s="16">
        <v>25456.34</v>
      </c>
      <c r="G70" s="16">
        <v>25398.89</v>
      </c>
      <c r="H70" s="16">
        <v>25663.79</v>
      </c>
      <c r="I70" s="16">
        <v>25773.81</v>
      </c>
      <c r="J70" s="16">
        <v>25459.72</v>
      </c>
      <c r="K70" s="16">
        <v>25391.09</v>
      </c>
      <c r="L70" s="16">
        <v>25525.24</v>
      </c>
      <c r="M70" s="31"/>
      <c r="N70" s="31"/>
      <c r="O70" s="31"/>
      <c r="P70" s="31"/>
      <c r="Q70" s="31"/>
      <c r="R70" s="32"/>
      <c r="S70" s="33"/>
      <c r="T70" s="56"/>
      <c r="V70" s="48"/>
      <c r="W70" s="48"/>
      <c r="X70" s="49"/>
      <c r="Y70" s="49"/>
      <c r="Z70" s="50"/>
      <c r="AA70" s="50"/>
    </row>
    <row r="71" spans="1:27" ht="16.5" customHeight="1" thickBot="1" x14ac:dyDescent="0.35">
      <c r="A71" s="96"/>
      <c r="B71" s="96"/>
      <c r="C71" s="34" t="s">
        <v>129</v>
      </c>
      <c r="D71" s="35">
        <f t="shared" ref="D71:L71" si="19">IF(((D69="")*AND(D70="")),"",(D69-D70)*3)</f>
        <v>9818.3700000000026</v>
      </c>
      <c r="E71" s="35">
        <f t="shared" si="19"/>
        <v>10163.849999999991</v>
      </c>
      <c r="F71" s="35">
        <f t="shared" si="19"/>
        <v>10175.970000000005</v>
      </c>
      <c r="G71" s="35">
        <f t="shared" si="19"/>
        <v>10366.919999999998</v>
      </c>
      <c r="H71" s="35">
        <f t="shared" si="19"/>
        <v>10214.759999999995</v>
      </c>
      <c r="I71" s="35">
        <f t="shared" si="19"/>
        <v>9738.9599999999991</v>
      </c>
      <c r="J71" s="35">
        <f t="shared" si="19"/>
        <v>10192.529999999995</v>
      </c>
      <c r="K71" s="35">
        <f t="shared" si="19"/>
        <v>10412.669999999998</v>
      </c>
      <c r="L71" s="35">
        <f t="shared" si="19"/>
        <v>10619.759999999995</v>
      </c>
      <c r="M71" s="36"/>
      <c r="N71" s="36"/>
      <c r="O71" s="36"/>
      <c r="P71" s="36"/>
      <c r="Q71" s="36"/>
      <c r="R71" s="37"/>
      <c r="S71" s="38"/>
      <c r="T71" s="57"/>
      <c r="U71" s="52"/>
      <c r="V71" s="51"/>
      <c r="W71" s="51"/>
      <c r="X71" s="52"/>
      <c r="Y71" s="52"/>
      <c r="Z71" s="53"/>
      <c r="AA71" s="53"/>
    </row>
    <row r="72" spans="1:27" x14ac:dyDescent="0.3">
      <c r="A72" s="97">
        <v>42838</v>
      </c>
      <c r="B72" s="117" t="s">
        <v>431</v>
      </c>
      <c r="C72" s="26" t="s">
        <v>126</v>
      </c>
      <c r="D72" s="16">
        <v>28985.89</v>
      </c>
      <c r="E72" s="16">
        <v>28804.77</v>
      </c>
      <c r="F72" s="16">
        <v>28847.05</v>
      </c>
      <c r="G72" s="16">
        <v>28810.85</v>
      </c>
      <c r="H72" s="16">
        <v>28990.02</v>
      </c>
      <c r="I72" s="16">
        <v>28946.31</v>
      </c>
      <c r="J72" s="16">
        <v>28790.16</v>
      </c>
      <c r="K72" s="16">
        <v>28798.1</v>
      </c>
      <c r="L72" s="16">
        <v>29037.86</v>
      </c>
      <c r="M72" s="27">
        <f>IF((L73=""),"",MAX(D74:L74))</f>
        <v>10923.54</v>
      </c>
      <c r="N72" s="27">
        <f>IF(L73="","",MIN(D74:L74))</f>
        <v>10002.720000000005</v>
      </c>
      <c r="O72" s="27">
        <f>IF((L74=""),"",AVERAGE(D74:L74))</f>
        <v>10579.21</v>
      </c>
      <c r="P72" s="27">
        <f>IF((L73=""),"",STDEV(D74:L74))</f>
        <v>305.58665722671776</v>
      </c>
      <c r="Q72" s="27">
        <f>IF((L73=""),"",P72/O72*100)</f>
        <v>2.8885583822111269</v>
      </c>
      <c r="R72" s="28" t="str">
        <f>IF(L73="","",IF(Q72&lt;Z72,IF(N72&gt;V72,IF(M72&lt;W72,"Pass","Fail"),"Fail"),"Fail"))</f>
        <v>Pass</v>
      </c>
      <c r="S72" s="29">
        <v>1428</v>
      </c>
      <c r="T72" s="55"/>
      <c r="U72" s="40"/>
      <c r="V72" s="54">
        <v>9000</v>
      </c>
      <c r="W72" s="22">
        <v>15600</v>
      </c>
      <c r="X72" s="40">
        <v>8090</v>
      </c>
      <c r="Y72" s="40">
        <v>12070</v>
      </c>
      <c r="Z72" s="47">
        <v>6</v>
      </c>
      <c r="AA72" s="47">
        <v>6</v>
      </c>
    </row>
    <row r="73" spans="1:27" ht="15.75" customHeight="1" x14ac:dyDescent="0.3">
      <c r="A73" s="96"/>
      <c r="B73" s="96"/>
      <c r="C73" s="30" t="s">
        <v>128</v>
      </c>
      <c r="D73" s="16">
        <v>25585.24</v>
      </c>
      <c r="E73" s="16">
        <v>25283.66</v>
      </c>
      <c r="F73" s="16">
        <v>25305.24</v>
      </c>
      <c r="G73" s="16">
        <v>25201.57</v>
      </c>
      <c r="H73" s="16">
        <v>25389.200000000001</v>
      </c>
      <c r="I73" s="16">
        <v>25612.07</v>
      </c>
      <c r="J73" s="16">
        <v>25289.38</v>
      </c>
      <c r="K73" s="16">
        <v>25210.34</v>
      </c>
      <c r="L73" s="16">
        <v>25396.68</v>
      </c>
      <c r="M73" s="31"/>
      <c r="N73" s="31"/>
      <c r="O73" s="31"/>
      <c r="P73" s="31"/>
      <c r="Q73" s="31"/>
      <c r="R73" s="32"/>
      <c r="S73" s="33"/>
      <c r="T73" s="56"/>
      <c r="V73" s="48"/>
      <c r="W73" s="48"/>
      <c r="X73" s="49"/>
      <c r="Y73" s="49"/>
      <c r="Z73" s="50"/>
      <c r="AA73" s="50"/>
    </row>
    <row r="74" spans="1:27" ht="16.5" customHeight="1" thickBot="1" x14ac:dyDescent="0.35">
      <c r="A74" s="96"/>
      <c r="B74" s="96"/>
      <c r="C74" s="34" t="s">
        <v>129</v>
      </c>
      <c r="D74" s="35">
        <f t="shared" ref="D74:L74" si="20">IF(((D72="")*AND(D73="")),"",(D72-D73)*3)</f>
        <v>10201.949999999993</v>
      </c>
      <c r="E74" s="35">
        <f t="shared" si="20"/>
        <v>10563.330000000002</v>
      </c>
      <c r="F74" s="35">
        <f t="shared" si="20"/>
        <v>10625.429999999993</v>
      </c>
      <c r="G74" s="35">
        <f t="shared" si="20"/>
        <v>10827.839999999997</v>
      </c>
      <c r="H74" s="35">
        <f t="shared" si="20"/>
        <v>10802.46</v>
      </c>
      <c r="I74" s="35">
        <f t="shared" si="20"/>
        <v>10002.720000000005</v>
      </c>
      <c r="J74" s="35">
        <f t="shared" si="20"/>
        <v>10502.339999999997</v>
      </c>
      <c r="K74" s="35">
        <f t="shared" si="20"/>
        <v>10763.279999999995</v>
      </c>
      <c r="L74" s="35">
        <f t="shared" si="20"/>
        <v>10923.54</v>
      </c>
      <c r="M74" s="36"/>
      <c r="N74" s="36"/>
      <c r="O74" s="36"/>
      <c r="P74" s="36"/>
      <c r="Q74" s="36"/>
      <c r="R74" s="37"/>
      <c r="S74" s="38"/>
      <c r="T74" s="57"/>
      <c r="U74" s="52"/>
      <c r="V74" s="51"/>
      <c r="W74" s="51"/>
      <c r="X74" s="52"/>
      <c r="Y74" s="52"/>
      <c r="Z74" s="53"/>
      <c r="AA74" s="53"/>
    </row>
    <row r="75" spans="1:27" x14ac:dyDescent="0.3">
      <c r="A75" s="97">
        <v>42838</v>
      </c>
      <c r="B75" s="117" t="s">
        <v>431</v>
      </c>
      <c r="C75" s="26" t="s">
        <v>126</v>
      </c>
      <c r="D75" s="16">
        <v>29013.73</v>
      </c>
      <c r="E75" s="16">
        <v>28818.41</v>
      </c>
      <c r="F75" s="16">
        <v>28818.57</v>
      </c>
      <c r="G75" s="16">
        <v>28825.06</v>
      </c>
      <c r="H75" s="16">
        <v>29061.34</v>
      </c>
      <c r="I75" s="16">
        <v>28965.45</v>
      </c>
      <c r="J75" s="16">
        <v>28806.04</v>
      </c>
      <c r="K75" s="16">
        <v>28824.86</v>
      </c>
      <c r="L75" s="16">
        <v>29045.64</v>
      </c>
      <c r="M75" s="27">
        <f>IF((L76=""),"",MAX(D77:L77))</f>
        <v>10201.649999999998</v>
      </c>
      <c r="N75" s="27">
        <f>IF(L76="","",MIN(D77:L77))</f>
        <v>9300.0600000000013</v>
      </c>
      <c r="O75" s="27">
        <f>IF((L77=""),"",AVERAGE(D77:L77))</f>
        <v>9781.409999999998</v>
      </c>
      <c r="P75" s="27">
        <f>IF((L76=""),"",STDEV(D77:L77))</f>
        <v>271.71838799573339</v>
      </c>
      <c r="Q75" s="27">
        <f>IF((L76=""),"",P75/O75*100)</f>
        <v>2.777906130054189</v>
      </c>
      <c r="R75" s="28" t="str">
        <f>IF(L76="","",IF(Q75&lt;Z75,IF(N75&gt;V75,IF(M75&lt;W75,"Pass","Fail"),"Fail"),"Fail"))</f>
        <v>Pass</v>
      </c>
      <c r="S75" s="29">
        <v>1159</v>
      </c>
      <c r="T75" s="55" t="s">
        <v>145</v>
      </c>
      <c r="U75" s="40"/>
      <c r="V75" s="54">
        <v>9000</v>
      </c>
      <c r="W75" s="22">
        <v>15600</v>
      </c>
      <c r="X75" s="40">
        <v>8090</v>
      </c>
      <c r="Y75" s="40">
        <v>12070</v>
      </c>
      <c r="Z75" s="47">
        <v>6</v>
      </c>
      <c r="AA75" s="47">
        <v>6</v>
      </c>
    </row>
    <row r="76" spans="1:27" ht="15.75" customHeight="1" x14ac:dyDescent="0.3">
      <c r="A76" s="96"/>
      <c r="B76" s="96"/>
      <c r="C76" s="30" t="s">
        <v>128</v>
      </c>
      <c r="D76" s="16">
        <v>25865.18</v>
      </c>
      <c r="E76" s="16">
        <v>25552.52</v>
      </c>
      <c r="F76" s="16">
        <v>25554.48</v>
      </c>
      <c r="G76" s="16">
        <v>25514.85</v>
      </c>
      <c r="H76" s="16">
        <v>25784.79</v>
      </c>
      <c r="I76" s="16">
        <v>25865.43</v>
      </c>
      <c r="J76" s="16">
        <v>25557.54</v>
      </c>
      <c r="K76" s="16">
        <v>25494.99</v>
      </c>
      <c r="L76" s="16">
        <v>25645.09</v>
      </c>
      <c r="M76" s="31"/>
      <c r="N76" s="31"/>
      <c r="O76" s="31"/>
      <c r="P76" s="31"/>
      <c r="Q76" s="31"/>
      <c r="R76" s="32"/>
      <c r="S76" s="33"/>
      <c r="T76" s="56"/>
      <c r="V76" s="48"/>
      <c r="W76" s="48"/>
      <c r="X76" s="49"/>
      <c r="Y76" s="49"/>
      <c r="Z76" s="50"/>
      <c r="AA76" s="50"/>
    </row>
    <row r="77" spans="1:27" ht="16.5" customHeight="1" thickBot="1" x14ac:dyDescent="0.35">
      <c r="A77" s="96"/>
      <c r="B77" s="96"/>
      <c r="C77" s="34" t="s">
        <v>129</v>
      </c>
      <c r="D77" s="35">
        <f t="shared" ref="D77:L77" si="21">IF(((D75="")*AND(D76="")),"",(D75-D76)*3)</f>
        <v>9445.6499999999978</v>
      </c>
      <c r="E77" s="35">
        <f t="shared" si="21"/>
        <v>9797.6699999999983</v>
      </c>
      <c r="F77" s="35">
        <f t="shared" si="21"/>
        <v>9792.27</v>
      </c>
      <c r="G77" s="35">
        <f t="shared" si="21"/>
        <v>9930.6300000000083</v>
      </c>
      <c r="H77" s="35">
        <f t="shared" si="21"/>
        <v>9829.6499999999978</v>
      </c>
      <c r="I77" s="35">
        <f t="shared" si="21"/>
        <v>9300.0600000000013</v>
      </c>
      <c r="J77" s="35">
        <f t="shared" si="21"/>
        <v>9745.5</v>
      </c>
      <c r="K77" s="35">
        <f t="shared" si="21"/>
        <v>9989.6099999999969</v>
      </c>
      <c r="L77" s="35">
        <f t="shared" si="21"/>
        <v>10201.649999999998</v>
      </c>
      <c r="M77" s="36"/>
      <c r="N77" s="36"/>
      <c r="O77" s="36"/>
      <c r="P77" s="36"/>
      <c r="Q77" s="36"/>
      <c r="R77" s="37"/>
      <c r="S77" s="38"/>
      <c r="T77" s="57"/>
      <c r="U77" s="52"/>
      <c r="V77" s="51"/>
      <c r="W77" s="51"/>
      <c r="X77" s="52"/>
      <c r="Y77" s="52"/>
      <c r="Z77" s="53"/>
      <c r="AA77" s="53"/>
    </row>
    <row r="78" spans="1:27" x14ac:dyDescent="0.3">
      <c r="A78" s="97">
        <v>42843</v>
      </c>
      <c r="B78" s="117" t="s">
        <v>431</v>
      </c>
      <c r="C78" s="26" t="s">
        <v>126</v>
      </c>
      <c r="D78" s="16">
        <v>28950.63</v>
      </c>
      <c r="E78" s="16">
        <v>28809.27</v>
      </c>
      <c r="F78" s="16">
        <v>28867.4</v>
      </c>
      <c r="G78" s="16">
        <v>28827.81</v>
      </c>
      <c r="H78" s="16">
        <v>29066.89</v>
      </c>
      <c r="I78" s="16">
        <v>28959.3</v>
      </c>
      <c r="J78" s="16">
        <v>28804.95</v>
      </c>
      <c r="K78" s="16">
        <v>28813.91</v>
      </c>
      <c r="L78" s="16">
        <v>29043.01</v>
      </c>
      <c r="M78" s="27">
        <f>IF((L79=""),"",MAX(D80:L80))</f>
        <v>10495.469999999994</v>
      </c>
      <c r="N78" s="27">
        <f>IF(L79="","",MIN(D80:L80))</f>
        <v>9497.1599999999926</v>
      </c>
      <c r="O78" s="27">
        <f>IF((L80=""),"",AVERAGE(D80:L80))</f>
        <v>10047.960000000001</v>
      </c>
      <c r="P78" s="27">
        <f>IF((L79=""),"",STDEV(D80:L80))</f>
        <v>288.52095032250168</v>
      </c>
      <c r="Q78" s="27">
        <f>IF((L79=""),"",P78/O78*100)</f>
        <v>2.8714380861637752</v>
      </c>
      <c r="R78" s="28" t="str">
        <f>IF(L79="","",IF(Q78&lt;Z78,IF(N78&gt;V78,IF(M78&lt;W78,"Pass","Fail"),"Fail"),"Fail"))</f>
        <v>Pass</v>
      </c>
      <c r="S78" s="29">
        <v>1335</v>
      </c>
      <c r="T78" s="55"/>
      <c r="U78" s="40"/>
      <c r="V78" s="54">
        <v>9000</v>
      </c>
      <c r="W78" s="22">
        <v>15600</v>
      </c>
      <c r="X78" s="40">
        <v>8090</v>
      </c>
      <c r="Y78" s="40">
        <v>12070</v>
      </c>
      <c r="Z78" s="47">
        <v>6</v>
      </c>
      <c r="AA78" s="47">
        <v>6</v>
      </c>
    </row>
    <row r="79" spans="1:27" ht="15.75" customHeight="1" x14ac:dyDescent="0.3">
      <c r="A79" s="96"/>
      <c r="B79" s="96"/>
      <c r="C79" s="30" t="s">
        <v>128</v>
      </c>
      <c r="D79" s="16">
        <v>25700.12</v>
      </c>
      <c r="E79" s="16">
        <v>25442.91</v>
      </c>
      <c r="F79" s="16">
        <v>25512.17</v>
      </c>
      <c r="G79" s="16">
        <v>25440.38</v>
      </c>
      <c r="H79" s="16">
        <v>25691.61</v>
      </c>
      <c r="I79" s="16">
        <v>25793.58</v>
      </c>
      <c r="J79" s="16">
        <v>25481.26</v>
      </c>
      <c r="K79" s="16">
        <v>25392.74</v>
      </c>
      <c r="L79" s="16">
        <v>25544.52</v>
      </c>
      <c r="M79" s="31"/>
      <c r="N79" s="31"/>
      <c r="O79" s="31"/>
      <c r="P79" s="31"/>
      <c r="Q79" s="31"/>
      <c r="R79" s="32"/>
      <c r="S79" s="33"/>
      <c r="T79" s="56"/>
      <c r="V79" s="48"/>
      <c r="W79" s="48"/>
      <c r="X79" s="49"/>
      <c r="Y79" s="49"/>
      <c r="Z79" s="50"/>
      <c r="AA79" s="50"/>
    </row>
    <row r="80" spans="1:27" ht="16.5" customHeight="1" thickBot="1" x14ac:dyDescent="0.35">
      <c r="A80" s="96"/>
      <c r="B80" s="96"/>
      <c r="C80" s="34" t="s">
        <v>129</v>
      </c>
      <c r="D80" s="35">
        <f t="shared" ref="D80:L80" si="22">IF(((D78="")*AND(D79="")),"",(D78-D79)*3)</f>
        <v>9751.5300000000061</v>
      </c>
      <c r="E80" s="35">
        <f t="shared" si="22"/>
        <v>10099.080000000002</v>
      </c>
      <c r="F80" s="35">
        <f t="shared" si="22"/>
        <v>10065.69000000001</v>
      </c>
      <c r="G80" s="35">
        <f t="shared" si="22"/>
        <v>10162.290000000001</v>
      </c>
      <c r="H80" s="35">
        <f t="shared" si="22"/>
        <v>10125.839999999997</v>
      </c>
      <c r="I80" s="35">
        <f t="shared" si="22"/>
        <v>9497.1599999999926</v>
      </c>
      <c r="J80" s="35">
        <f t="shared" si="22"/>
        <v>9971.070000000007</v>
      </c>
      <c r="K80" s="35">
        <f t="shared" si="22"/>
        <v>10263.509999999995</v>
      </c>
      <c r="L80" s="35">
        <f t="shared" si="22"/>
        <v>10495.469999999994</v>
      </c>
      <c r="M80" s="36"/>
      <c r="N80" s="36"/>
      <c r="O80" s="36"/>
      <c r="P80" s="36"/>
      <c r="Q80" s="36"/>
      <c r="R80" s="37"/>
      <c r="S80" s="38"/>
      <c r="T80" s="57"/>
      <c r="U80" s="52"/>
      <c r="V80" s="51"/>
      <c r="W80" s="51"/>
      <c r="X80" s="52"/>
      <c r="Y80" s="52"/>
      <c r="Z80" s="53"/>
      <c r="AA80" s="53"/>
    </row>
    <row r="81" spans="1:27" x14ac:dyDescent="0.3">
      <c r="A81" s="97">
        <v>42846</v>
      </c>
      <c r="B81" s="117" t="s">
        <v>431</v>
      </c>
      <c r="C81" s="26" t="s">
        <v>126</v>
      </c>
      <c r="D81" s="16">
        <v>28932.78</v>
      </c>
      <c r="E81" s="16">
        <v>28764.22</v>
      </c>
      <c r="F81" s="16">
        <v>28756.58</v>
      </c>
      <c r="G81" s="16">
        <v>28765.25</v>
      </c>
      <c r="H81" s="16">
        <v>28989.67</v>
      </c>
      <c r="I81" s="16">
        <v>28952.22</v>
      </c>
      <c r="J81" s="16">
        <v>28763.02</v>
      </c>
      <c r="K81" s="16">
        <v>28753.43</v>
      </c>
      <c r="L81" s="16">
        <v>28982.25</v>
      </c>
      <c r="M81" s="27">
        <f>IF((L82=""),"",MAX(D83:L83))</f>
        <v>11013.299999999996</v>
      </c>
      <c r="N81" s="27">
        <f>IF(L82="","",MIN(D83:L83))</f>
        <v>9826.6500000000087</v>
      </c>
      <c r="O81" s="27">
        <f>IF((L83=""),"",AVERAGE(D83:L83))</f>
        <v>10347.870000000003</v>
      </c>
      <c r="P81" s="27">
        <f>IF((L82=""),"",STDEV(D83:L83))</f>
        <v>340.37061859096826</v>
      </c>
      <c r="Q81" s="27">
        <f>IF((L82=""),"",P81/O81*100)</f>
        <v>3.2892819352288751</v>
      </c>
      <c r="R81" s="28" t="str">
        <f>IF(L82="","",IF(Q81&lt;Z81,IF(N81&gt;V81,IF(M81&lt;W81,"Pass","Fail"),"Fail"),"Fail"))</f>
        <v>Pass</v>
      </c>
      <c r="S81" s="29">
        <v>1159</v>
      </c>
      <c r="T81" s="55" t="s">
        <v>146</v>
      </c>
      <c r="U81" s="40"/>
      <c r="V81" s="54">
        <v>9000</v>
      </c>
      <c r="W81" s="22">
        <v>15600</v>
      </c>
      <c r="X81" s="40">
        <v>8090</v>
      </c>
      <c r="Y81" s="40">
        <v>12070</v>
      </c>
      <c r="Z81" s="47">
        <v>6</v>
      </c>
      <c r="AA81" s="47">
        <v>6</v>
      </c>
    </row>
    <row r="82" spans="1:27" ht="15.75" customHeight="1" x14ac:dyDescent="0.3">
      <c r="A82" s="96"/>
      <c r="B82" s="96"/>
      <c r="C82" s="30" t="s">
        <v>128</v>
      </c>
      <c r="D82" s="16">
        <v>25590.43</v>
      </c>
      <c r="E82" s="16">
        <v>25330.18</v>
      </c>
      <c r="F82" s="16">
        <v>25345.09</v>
      </c>
      <c r="G82" s="16">
        <v>25278.38</v>
      </c>
      <c r="H82" s="16">
        <v>25508.26</v>
      </c>
      <c r="I82" s="16">
        <v>25676.67</v>
      </c>
      <c r="J82" s="16">
        <v>25352.46</v>
      </c>
      <c r="K82" s="16">
        <v>25223.19</v>
      </c>
      <c r="L82" s="16">
        <v>25311.15</v>
      </c>
      <c r="M82" s="31"/>
      <c r="N82" s="31"/>
      <c r="O82" s="31"/>
      <c r="P82" s="31"/>
      <c r="Q82" s="31"/>
      <c r="R82" s="32"/>
      <c r="S82" s="33"/>
      <c r="T82" s="56"/>
      <c r="V82" s="48"/>
      <c r="W82" s="48"/>
      <c r="X82" s="49"/>
      <c r="Y82" s="49"/>
      <c r="Z82" s="50"/>
      <c r="AA82" s="50"/>
    </row>
    <row r="83" spans="1:27" ht="16.5" customHeight="1" thickBot="1" x14ac:dyDescent="0.35">
      <c r="A83" s="96"/>
      <c r="B83" s="96"/>
      <c r="C83" s="34" t="s">
        <v>129</v>
      </c>
      <c r="D83" s="35">
        <f t="shared" ref="D83:L83" si="23">IF(((D81="")*AND(D82="")),"",(D81-D82)*3)</f>
        <v>10027.049999999996</v>
      </c>
      <c r="E83" s="35">
        <f t="shared" si="23"/>
        <v>10302.120000000003</v>
      </c>
      <c r="F83" s="35">
        <f t="shared" si="23"/>
        <v>10234.470000000005</v>
      </c>
      <c r="G83" s="35">
        <f t="shared" si="23"/>
        <v>10460.609999999997</v>
      </c>
      <c r="H83" s="35">
        <f t="shared" si="23"/>
        <v>10444.23</v>
      </c>
      <c r="I83" s="35">
        <f t="shared" si="23"/>
        <v>9826.6500000000087</v>
      </c>
      <c r="J83" s="35">
        <f t="shared" si="23"/>
        <v>10231.680000000004</v>
      </c>
      <c r="K83" s="35">
        <f t="shared" si="23"/>
        <v>10590.720000000005</v>
      </c>
      <c r="L83" s="35">
        <f t="shared" si="23"/>
        <v>11013.299999999996</v>
      </c>
      <c r="M83" s="36"/>
      <c r="N83" s="36"/>
      <c r="O83" s="36"/>
      <c r="P83" s="36"/>
      <c r="Q83" s="36"/>
      <c r="R83" s="37"/>
      <c r="S83" s="38"/>
      <c r="T83" s="57"/>
      <c r="U83" s="52"/>
      <c r="V83" s="51"/>
      <c r="W83" s="51"/>
      <c r="X83" s="52"/>
      <c r="Y83" s="52"/>
      <c r="Z83" s="53"/>
      <c r="AA83" s="53"/>
    </row>
    <row r="84" spans="1:27" x14ac:dyDescent="0.3">
      <c r="A84" s="97">
        <v>42850</v>
      </c>
      <c r="B84" s="117" t="s">
        <v>431</v>
      </c>
      <c r="C84" s="26" t="s">
        <v>126</v>
      </c>
      <c r="D84" s="16">
        <v>28938.21</v>
      </c>
      <c r="E84" s="16">
        <v>28806.74</v>
      </c>
      <c r="F84" s="16">
        <v>28847.23</v>
      </c>
      <c r="G84" s="16">
        <v>28756.21</v>
      </c>
      <c r="H84" s="16">
        <v>29011.56</v>
      </c>
      <c r="I84" s="16">
        <v>28999.72</v>
      </c>
      <c r="J84" s="16">
        <v>28766.68</v>
      </c>
      <c r="K84" s="16">
        <v>28770.05</v>
      </c>
      <c r="L84" s="16">
        <v>29053.64</v>
      </c>
      <c r="M84" s="27">
        <f>IF((L85=""),"",MAX(D86:L86))</f>
        <v>11878.350000000002</v>
      </c>
      <c r="N84" s="27">
        <f>IF(L85="","",MIN(D86:L86))</f>
        <v>10331.880000000008</v>
      </c>
      <c r="O84" s="27">
        <f>IF((L86=""),"",AVERAGE(D86:L86))</f>
        <v>11037.773333333333</v>
      </c>
      <c r="P84" s="27">
        <f>IF((L85=""),"",STDEV(D86:L86))</f>
        <v>472.6763182400822</v>
      </c>
      <c r="Q84" s="27">
        <f>IF((L85=""),"",P84/O84*100)</f>
        <v>4.2823521009679695</v>
      </c>
      <c r="R84" s="28" t="str">
        <f>IF(L85="","",IF(Q84&lt;Z84,IF(N84&gt;V84,IF(M84&lt;W84,"Pass","Fail"),"Fail"),"Fail"))</f>
        <v>Pass</v>
      </c>
      <c r="S84" s="29">
        <v>1335</v>
      </c>
      <c r="T84" s="55"/>
      <c r="U84" s="40"/>
      <c r="V84" s="54">
        <v>9000</v>
      </c>
      <c r="W84" s="22">
        <v>15600</v>
      </c>
      <c r="X84" s="40">
        <v>8090</v>
      </c>
      <c r="Y84" s="40">
        <v>12070</v>
      </c>
      <c r="Z84" s="47">
        <v>6</v>
      </c>
      <c r="AA84" s="47">
        <v>6</v>
      </c>
    </row>
    <row r="85" spans="1:27" ht="15.75" customHeight="1" x14ac:dyDescent="0.3">
      <c r="A85" s="96"/>
      <c r="B85" s="96"/>
      <c r="C85" s="30" t="s">
        <v>128</v>
      </c>
      <c r="D85" s="16">
        <v>25411.99</v>
      </c>
      <c r="E85" s="16">
        <v>25104.06</v>
      </c>
      <c r="F85" s="16">
        <v>25103.8</v>
      </c>
      <c r="G85" s="16">
        <v>25074.560000000001</v>
      </c>
      <c r="H85" s="16">
        <v>25372.47</v>
      </c>
      <c r="I85" s="16">
        <v>25555.759999999998</v>
      </c>
      <c r="J85" s="16">
        <v>25187.33</v>
      </c>
      <c r="K85" s="16">
        <v>24932.560000000001</v>
      </c>
      <c r="L85" s="16">
        <v>25094.19</v>
      </c>
      <c r="M85" s="31"/>
      <c r="N85" s="31"/>
      <c r="O85" s="31"/>
      <c r="P85" s="31"/>
      <c r="Q85" s="31"/>
      <c r="R85" s="32"/>
      <c r="S85" s="33"/>
      <c r="T85" s="56"/>
      <c r="V85" s="48"/>
      <c r="W85" s="48"/>
      <c r="X85" s="49"/>
      <c r="Y85" s="49"/>
      <c r="Z85" s="50"/>
      <c r="AA85" s="50"/>
    </row>
    <row r="86" spans="1:27" ht="16.5" customHeight="1" thickBot="1" x14ac:dyDescent="0.35">
      <c r="A86" s="96"/>
      <c r="B86" s="96"/>
      <c r="C86" s="34" t="s">
        <v>129</v>
      </c>
      <c r="D86" s="35">
        <f t="shared" ref="D86:L86" si="24">IF(((D84="")*AND(D85="")),"",(D84-D85)*3)</f>
        <v>10578.659999999993</v>
      </c>
      <c r="E86" s="35">
        <f t="shared" si="24"/>
        <v>11108.04</v>
      </c>
      <c r="F86" s="35">
        <f t="shared" si="24"/>
        <v>11230.29</v>
      </c>
      <c r="G86" s="35">
        <f t="shared" si="24"/>
        <v>11044.949999999993</v>
      </c>
      <c r="H86" s="35">
        <f t="shared" si="24"/>
        <v>10917.27</v>
      </c>
      <c r="I86" s="35">
        <f t="shared" si="24"/>
        <v>10331.880000000008</v>
      </c>
      <c r="J86" s="35">
        <f t="shared" si="24"/>
        <v>10738.049999999996</v>
      </c>
      <c r="K86" s="35">
        <f t="shared" si="24"/>
        <v>11512.469999999994</v>
      </c>
      <c r="L86" s="35">
        <f t="shared" si="24"/>
        <v>11878.350000000002</v>
      </c>
      <c r="M86" s="36"/>
      <c r="N86" s="36"/>
      <c r="O86" s="36"/>
      <c r="P86" s="36"/>
      <c r="Q86" s="36"/>
      <c r="R86" s="37"/>
      <c r="S86" s="38"/>
      <c r="T86" s="57"/>
      <c r="U86" s="52"/>
      <c r="V86" s="51"/>
      <c r="W86" s="51"/>
      <c r="X86" s="52"/>
      <c r="Y86" s="52"/>
      <c r="Z86" s="53"/>
      <c r="AA86" s="53"/>
    </row>
    <row r="87" spans="1:27" x14ac:dyDescent="0.3">
      <c r="A87" s="97">
        <v>42851</v>
      </c>
      <c r="B87" s="117" t="s">
        <v>431</v>
      </c>
      <c r="C87" s="26" t="s">
        <v>126</v>
      </c>
      <c r="D87" s="16">
        <v>29004.77</v>
      </c>
      <c r="E87" s="16">
        <v>28805.58</v>
      </c>
      <c r="F87" s="16">
        <v>28838.799999999999</v>
      </c>
      <c r="G87" s="16">
        <v>28781.72</v>
      </c>
      <c r="H87" s="16">
        <v>28983.14</v>
      </c>
      <c r="I87" s="16">
        <v>28970.16</v>
      </c>
      <c r="J87" s="16">
        <v>28795.55</v>
      </c>
      <c r="K87" s="16">
        <v>28767.37</v>
      </c>
      <c r="L87" s="16">
        <v>28930.46</v>
      </c>
      <c r="M87" s="27">
        <f>IF((L88=""),"",MAX(D89:L89))</f>
        <v>10755.54</v>
      </c>
      <c r="N87" s="27">
        <f>IF(L88="","",MIN(D89:L89))</f>
        <v>9079.2000000000044</v>
      </c>
      <c r="O87" s="27">
        <f>IF((L89=""),"",AVERAGE(D89:L89))</f>
        <v>9818.1066666666666</v>
      </c>
      <c r="P87" s="27">
        <f>IF((L88=""),"",STDEV(D89:L89))</f>
        <v>461.89519309037996</v>
      </c>
      <c r="Q87" s="27">
        <f>IF((L88=""),"",P87/O87*100)</f>
        <v>4.7045240877098502</v>
      </c>
      <c r="R87" s="28" t="str">
        <f>IF(L88="","",IF(Q87&lt;Z87,IF(N87&gt;V87,IF(M87&lt;W87,"Pass","Fail"),"Fail"),"Fail"))</f>
        <v>Pass</v>
      </c>
      <c r="S87" s="29">
        <v>1159</v>
      </c>
      <c r="T87" s="55" t="s">
        <v>147</v>
      </c>
      <c r="U87" s="40"/>
      <c r="V87" s="54">
        <v>9000</v>
      </c>
      <c r="W87" s="22">
        <v>15600</v>
      </c>
      <c r="X87" s="40">
        <v>8090</v>
      </c>
      <c r="Y87" s="40">
        <v>12070</v>
      </c>
      <c r="Z87" s="47">
        <v>6</v>
      </c>
      <c r="AA87" s="47">
        <v>6</v>
      </c>
    </row>
    <row r="88" spans="1:27" ht="15.75" customHeight="1" x14ac:dyDescent="0.3">
      <c r="A88" s="96"/>
      <c r="B88" s="96"/>
      <c r="C88" s="30" t="s">
        <v>128</v>
      </c>
      <c r="D88" s="16">
        <v>25839.29</v>
      </c>
      <c r="E88" s="16">
        <v>25529.24</v>
      </c>
      <c r="F88" s="16">
        <v>25574.15</v>
      </c>
      <c r="G88" s="16">
        <v>25477.18</v>
      </c>
      <c r="H88" s="16">
        <v>25763.59</v>
      </c>
      <c r="I88" s="16">
        <v>25943.759999999998</v>
      </c>
      <c r="J88" s="16">
        <v>25572.2</v>
      </c>
      <c r="K88" s="16">
        <v>25378.54</v>
      </c>
      <c r="L88" s="16">
        <v>25345.279999999999</v>
      </c>
      <c r="M88" s="31"/>
      <c r="N88" s="31"/>
      <c r="O88" s="31"/>
      <c r="P88" s="31"/>
      <c r="Q88" s="31"/>
      <c r="R88" s="32"/>
      <c r="S88" s="33"/>
      <c r="T88" s="56"/>
      <c r="V88" s="48"/>
      <c r="W88" s="48"/>
      <c r="X88" s="49"/>
      <c r="Y88" s="49"/>
      <c r="Z88" s="50"/>
      <c r="AA88" s="50"/>
    </row>
    <row r="89" spans="1:27" ht="16.5" customHeight="1" thickBot="1" x14ac:dyDescent="0.35">
      <c r="A89" s="96"/>
      <c r="B89" s="96"/>
      <c r="C89" s="34" t="s">
        <v>129</v>
      </c>
      <c r="D89" s="35">
        <f t="shared" ref="D89:L89" si="25">IF(((D87="")*AND(D88="")),"",(D87-D88)*3)</f>
        <v>9496.4399999999987</v>
      </c>
      <c r="E89" s="35">
        <f t="shared" si="25"/>
        <v>9829.02</v>
      </c>
      <c r="F89" s="35">
        <f t="shared" si="25"/>
        <v>9793.9499999999935</v>
      </c>
      <c r="G89" s="35">
        <f t="shared" si="25"/>
        <v>9913.6200000000026</v>
      </c>
      <c r="H89" s="35">
        <f t="shared" si="25"/>
        <v>9658.6499999999978</v>
      </c>
      <c r="I89" s="35">
        <f t="shared" si="25"/>
        <v>9079.2000000000044</v>
      </c>
      <c r="J89" s="35">
        <f t="shared" si="25"/>
        <v>9670.0499999999956</v>
      </c>
      <c r="K89" s="35">
        <f t="shared" si="25"/>
        <v>10166.489999999994</v>
      </c>
      <c r="L89" s="35">
        <f t="shared" si="25"/>
        <v>10755.54</v>
      </c>
      <c r="M89" s="36"/>
      <c r="N89" s="36"/>
      <c r="O89" s="36"/>
      <c r="P89" s="36"/>
      <c r="Q89" s="36"/>
      <c r="R89" s="37"/>
      <c r="S89" s="38"/>
      <c r="T89" s="57"/>
      <c r="U89" s="52"/>
      <c r="V89" s="51"/>
      <c r="W89" s="51"/>
      <c r="X89" s="52"/>
      <c r="Y89" s="52"/>
      <c r="Z89" s="53"/>
      <c r="AA89" s="53"/>
    </row>
    <row r="90" spans="1:27" x14ac:dyDescent="0.3">
      <c r="A90" s="97">
        <v>42856</v>
      </c>
      <c r="B90" s="117" t="s">
        <v>431</v>
      </c>
      <c r="C90" s="26" t="s">
        <v>126</v>
      </c>
      <c r="D90" s="16">
        <v>24219</v>
      </c>
      <c r="E90" s="16">
        <v>24706</v>
      </c>
      <c r="F90" s="16">
        <v>24839</v>
      </c>
      <c r="G90" s="16">
        <v>24677</v>
      </c>
      <c r="H90" s="16">
        <v>24107</v>
      </c>
      <c r="I90" s="16">
        <v>24178</v>
      </c>
      <c r="J90" s="16">
        <v>24700</v>
      </c>
      <c r="K90" s="16">
        <v>24658</v>
      </c>
      <c r="L90" s="16">
        <v>24122</v>
      </c>
      <c r="M90" s="27">
        <f>IF((L91=""),"",MAX(D92:L92))</f>
        <v>8916</v>
      </c>
      <c r="N90" s="27">
        <f>IF(L91="","",MIN(D92:L92))</f>
        <v>7659</v>
      </c>
      <c r="O90" s="27">
        <f>IF((L92=""),"",AVERAGE(D92:L92))</f>
        <v>8466.3333333333339</v>
      </c>
      <c r="P90" s="27">
        <f>IF((L91=""),"",STDEV(D92:L92))</f>
        <v>359.52607694018525</v>
      </c>
      <c r="Q90" s="27">
        <f>IF((L91=""),"",P90/O90*100)</f>
        <v>4.2465381740247876</v>
      </c>
      <c r="R90" s="28" t="str">
        <f>IF(L91="","",IF(Q90&lt;Z90,IF(N90&gt;V90,IF(M90&lt;W90,"Pass","Fail"),"Fail"),"Fail"))</f>
        <v>Fail</v>
      </c>
      <c r="S90" s="29">
        <v>121</v>
      </c>
      <c r="T90" s="55"/>
      <c r="U90" s="40"/>
      <c r="V90" s="54">
        <v>9000</v>
      </c>
      <c r="W90" s="22">
        <v>15600</v>
      </c>
      <c r="X90" s="40">
        <v>8090</v>
      </c>
      <c r="Y90" s="40">
        <v>12070</v>
      </c>
      <c r="Z90" s="47">
        <v>6</v>
      </c>
      <c r="AA90" s="47">
        <v>6</v>
      </c>
    </row>
    <row r="91" spans="1:27" ht="15.75" customHeight="1" x14ac:dyDescent="0.3">
      <c r="A91" s="96"/>
      <c r="B91" s="96"/>
      <c r="C91" s="30" t="s">
        <v>128</v>
      </c>
      <c r="D91" s="16">
        <v>21349</v>
      </c>
      <c r="E91" s="16">
        <v>21815</v>
      </c>
      <c r="F91" s="16">
        <v>22014</v>
      </c>
      <c r="G91" s="16">
        <v>21900</v>
      </c>
      <c r="H91" s="16">
        <v>21554</v>
      </c>
      <c r="I91" s="16">
        <v>21206</v>
      </c>
      <c r="J91" s="16">
        <v>21794</v>
      </c>
      <c r="K91" s="16">
        <v>21816</v>
      </c>
      <c r="L91" s="16">
        <v>21359</v>
      </c>
      <c r="M91" s="31"/>
      <c r="N91" s="31"/>
      <c r="O91" s="31"/>
      <c r="P91" s="31"/>
      <c r="Q91" s="31"/>
      <c r="R91" s="32"/>
      <c r="S91" s="33"/>
      <c r="T91" s="56"/>
      <c r="V91" s="48"/>
      <c r="W91" s="48"/>
      <c r="X91" s="49"/>
      <c r="Y91" s="49"/>
      <c r="Z91" s="50"/>
      <c r="AA91" s="50"/>
    </row>
    <row r="92" spans="1:27" ht="16.5" customHeight="1" thickBot="1" x14ac:dyDescent="0.35">
      <c r="A92" s="96"/>
      <c r="B92" s="96"/>
      <c r="C92" s="34" t="s">
        <v>129</v>
      </c>
      <c r="D92" s="35">
        <f t="shared" ref="D92:L92" si="26">IF(((D90="")*AND(D91="")),"",(D90-D91)*3)</f>
        <v>8610</v>
      </c>
      <c r="E92" s="35">
        <f t="shared" si="26"/>
        <v>8673</v>
      </c>
      <c r="F92" s="35">
        <f t="shared" si="26"/>
        <v>8475</v>
      </c>
      <c r="G92" s="35">
        <f t="shared" si="26"/>
        <v>8331</v>
      </c>
      <c r="H92" s="35">
        <f t="shared" si="26"/>
        <v>7659</v>
      </c>
      <c r="I92" s="35">
        <f t="shared" si="26"/>
        <v>8916</v>
      </c>
      <c r="J92" s="35">
        <f t="shared" si="26"/>
        <v>8718</v>
      </c>
      <c r="K92" s="35">
        <f t="shared" si="26"/>
        <v>8526</v>
      </c>
      <c r="L92" s="35">
        <f t="shared" si="26"/>
        <v>8289</v>
      </c>
      <c r="M92" s="36"/>
      <c r="N92" s="36"/>
      <c r="O92" s="36"/>
      <c r="P92" s="36"/>
      <c r="Q92" s="36"/>
      <c r="R92" s="37"/>
      <c r="S92" s="38"/>
      <c r="T92" s="57"/>
      <c r="U92" s="52"/>
      <c r="V92" s="51"/>
      <c r="W92" s="51"/>
      <c r="X92" s="52"/>
      <c r="Y92" s="52"/>
      <c r="Z92" s="53"/>
      <c r="AA92" s="53"/>
    </row>
    <row r="93" spans="1:27" x14ac:dyDescent="0.3">
      <c r="A93" s="97">
        <v>42857</v>
      </c>
      <c r="B93" s="117" t="s">
        <v>431</v>
      </c>
      <c r="C93" s="26" t="s">
        <v>126</v>
      </c>
      <c r="D93" s="16">
        <v>29414.19</v>
      </c>
      <c r="E93" s="16">
        <v>29222.99</v>
      </c>
      <c r="F93" s="16">
        <v>29281.94</v>
      </c>
      <c r="G93" s="16">
        <v>29229.93</v>
      </c>
      <c r="H93" s="16">
        <v>29455.11</v>
      </c>
      <c r="I93" s="16">
        <v>29348.23</v>
      </c>
      <c r="J93" s="16" t="s">
        <v>148</v>
      </c>
      <c r="K93" s="16">
        <v>29209.85</v>
      </c>
      <c r="L93" s="16">
        <v>29478.16</v>
      </c>
      <c r="M93" s="27" t="e">
        <f>IF((L94=""),"",MAX(D95:L95))</f>
        <v>#VALUE!</v>
      </c>
      <c r="N93" s="27" t="e">
        <f>IF(L94="","",MIN(D95:L95))</f>
        <v>#VALUE!</v>
      </c>
      <c r="O93" s="27" t="e">
        <f>IF((L95=""),"",AVERAGE(D95:L95))</f>
        <v>#VALUE!</v>
      </c>
      <c r="P93" s="27" t="e">
        <f>IF((L94=""),"",STDEV(D95:L95))</f>
        <v>#VALUE!</v>
      </c>
      <c r="Q93" s="27" t="e">
        <f>IF((L94=""),"",P93/O93*100)</f>
        <v>#VALUE!</v>
      </c>
      <c r="R93" s="28" t="e">
        <f>IF(L94="","",IF(Q93&lt;15,IF(O93&gt;9000,IF(O93&lt;15600,"Pass","Fail"),"Fail"),"Fail"))</f>
        <v>#VALUE!</v>
      </c>
      <c r="S93" s="29">
        <v>122</v>
      </c>
      <c r="T93" s="55"/>
      <c r="U93" s="40"/>
      <c r="V93" s="54">
        <v>9000</v>
      </c>
      <c r="W93" s="22">
        <v>15600</v>
      </c>
      <c r="X93" s="40">
        <v>8090</v>
      </c>
      <c r="Y93" s="40">
        <v>12070</v>
      </c>
      <c r="Z93" s="47">
        <v>6</v>
      </c>
      <c r="AA93" s="47">
        <v>6</v>
      </c>
    </row>
    <row r="94" spans="1:27" ht="15.75" customHeight="1" x14ac:dyDescent="0.3">
      <c r="A94" s="96"/>
      <c r="B94" s="96"/>
      <c r="C94" s="30" t="s">
        <v>128</v>
      </c>
      <c r="D94" s="16">
        <v>25681.52</v>
      </c>
      <c r="E94" s="16">
        <v>25530.799999999999</v>
      </c>
      <c r="F94" s="16">
        <v>25681.4</v>
      </c>
      <c r="G94" s="16">
        <v>25627.72</v>
      </c>
      <c r="H94" s="16">
        <v>26009.23</v>
      </c>
      <c r="I94" s="16">
        <v>25463.71</v>
      </c>
      <c r="J94" s="16">
        <v>25489.599999999999</v>
      </c>
      <c r="K94" s="16">
        <v>25599.8</v>
      </c>
      <c r="L94" s="16">
        <v>25959.48</v>
      </c>
      <c r="M94" s="31"/>
      <c r="N94" s="31"/>
      <c r="O94" s="31"/>
      <c r="P94" s="31"/>
      <c r="Q94" s="31"/>
      <c r="R94" s="32"/>
      <c r="S94" s="33"/>
      <c r="T94" s="56"/>
      <c r="V94" s="48"/>
      <c r="W94" s="48"/>
      <c r="X94" s="49"/>
      <c r="Y94" s="49"/>
      <c r="Z94" s="50"/>
      <c r="AA94" s="50"/>
    </row>
    <row r="95" spans="1:27" ht="16.5" customHeight="1" thickBot="1" x14ac:dyDescent="0.35">
      <c r="A95" s="96"/>
      <c r="B95" s="96"/>
      <c r="C95" s="34" t="s">
        <v>129</v>
      </c>
      <c r="D95" s="35">
        <f t="shared" ref="D95:L95" si="27">IF(((D93="")*AND(D94="")),"",(D93-D94)*3)</f>
        <v>11198.009999999995</v>
      </c>
      <c r="E95" s="35">
        <f t="shared" si="27"/>
        <v>11076.570000000007</v>
      </c>
      <c r="F95" s="35">
        <f t="shared" si="27"/>
        <v>10801.619999999992</v>
      </c>
      <c r="G95" s="35">
        <f t="shared" si="27"/>
        <v>10806.629999999997</v>
      </c>
      <c r="H95" s="35">
        <f t="shared" si="27"/>
        <v>10337.640000000003</v>
      </c>
      <c r="I95" s="35">
        <f t="shared" si="27"/>
        <v>11653.560000000001</v>
      </c>
      <c r="J95" s="35" t="e">
        <f t="shared" si="27"/>
        <v>#VALUE!</v>
      </c>
      <c r="K95" s="35">
        <f t="shared" si="27"/>
        <v>10830.149999999998</v>
      </c>
      <c r="L95" s="35">
        <f t="shared" si="27"/>
        <v>10556.04</v>
      </c>
      <c r="M95" s="36"/>
      <c r="N95" s="36"/>
      <c r="O95" s="36"/>
      <c r="P95" s="36"/>
      <c r="Q95" s="36"/>
      <c r="R95" s="37"/>
      <c r="S95" s="38"/>
      <c r="T95" s="57"/>
      <c r="U95" s="52"/>
      <c r="V95" s="51"/>
      <c r="W95" s="51"/>
      <c r="X95" s="52"/>
      <c r="Y95" s="52"/>
      <c r="Z95" s="53"/>
      <c r="AA95" s="53"/>
    </row>
    <row r="96" spans="1:27" x14ac:dyDescent="0.3">
      <c r="A96" s="97">
        <v>42858</v>
      </c>
      <c r="B96" s="117" t="s">
        <v>431</v>
      </c>
      <c r="C96" s="26" t="s">
        <v>126</v>
      </c>
      <c r="M96" s="27" t="str">
        <f>IF((L97=""),"",MAX(D98:L98))</f>
        <v/>
      </c>
      <c r="N96" s="27" t="str">
        <f>IF(L97="","",MIN(D98:L98))</f>
        <v/>
      </c>
      <c r="O96" s="27" t="str">
        <f>IF((L98=""),"",AVERAGE(D98:L98))</f>
        <v/>
      </c>
      <c r="P96" s="27" t="str">
        <f>IF((L97=""),"",STDEV(D98:L98))</f>
        <v/>
      </c>
      <c r="Q96" s="27" t="str">
        <f>IF((L97=""),"",P96/O96*100)</f>
        <v/>
      </c>
      <c r="R96" s="28" t="str">
        <f>IF(L97="","",IF(Q96&lt;15,IF(O96&gt;9000,IF(O96&lt;15600,"Pass","Fail"),"Fail"),"Fail"))</f>
        <v/>
      </c>
      <c r="S96" s="29">
        <v>123</v>
      </c>
      <c r="T96" s="55"/>
      <c r="U96" s="40"/>
      <c r="V96" s="54">
        <v>9000</v>
      </c>
      <c r="W96" s="22">
        <v>15600</v>
      </c>
      <c r="X96" s="40">
        <v>8090</v>
      </c>
      <c r="Y96" s="40">
        <v>12070</v>
      </c>
      <c r="Z96" s="47">
        <v>6</v>
      </c>
      <c r="AA96" s="47">
        <v>6</v>
      </c>
    </row>
    <row r="97" spans="1:27" ht="15.75" customHeight="1" x14ac:dyDescent="0.3">
      <c r="A97" s="96"/>
      <c r="B97" s="96"/>
      <c r="C97" s="30" t="s">
        <v>128</v>
      </c>
      <c r="M97" s="31"/>
      <c r="N97" s="31"/>
      <c r="O97" s="31"/>
      <c r="P97" s="31"/>
      <c r="Q97" s="31"/>
      <c r="R97" s="32"/>
      <c r="S97" s="33"/>
      <c r="T97" s="56"/>
      <c r="V97" s="48"/>
      <c r="W97" s="48"/>
      <c r="X97" s="49"/>
      <c r="Y97" s="49"/>
      <c r="Z97" s="50"/>
      <c r="AA97" s="50"/>
    </row>
    <row r="98" spans="1:27" ht="16.5" customHeight="1" thickBot="1" x14ac:dyDescent="0.35">
      <c r="A98" s="96"/>
      <c r="B98" s="96"/>
      <c r="C98" s="34" t="s">
        <v>129</v>
      </c>
      <c r="D98" s="35" t="str">
        <f t="shared" ref="D98:L98" si="28">IF(((D96="")*AND(D97="")),"",(D96-D97)*3)</f>
        <v/>
      </c>
      <c r="E98" s="35" t="str">
        <f t="shared" si="28"/>
        <v/>
      </c>
      <c r="F98" s="35" t="str">
        <f t="shared" si="28"/>
        <v/>
      </c>
      <c r="G98" s="35" t="str">
        <f t="shared" si="28"/>
        <v/>
      </c>
      <c r="H98" s="35" t="str">
        <f t="shared" si="28"/>
        <v/>
      </c>
      <c r="I98" s="35" t="str">
        <f t="shared" si="28"/>
        <v/>
      </c>
      <c r="J98" s="35" t="str">
        <f t="shared" si="28"/>
        <v/>
      </c>
      <c r="K98" s="35" t="str">
        <f t="shared" si="28"/>
        <v/>
      </c>
      <c r="L98" s="35" t="str">
        <f t="shared" si="28"/>
        <v/>
      </c>
      <c r="M98" s="36"/>
      <c r="N98" s="36"/>
      <c r="O98" s="36"/>
      <c r="P98" s="36"/>
      <c r="Q98" s="36"/>
      <c r="R98" s="37"/>
      <c r="S98" s="38"/>
      <c r="T98" s="57"/>
      <c r="U98" s="52"/>
      <c r="V98" s="51"/>
      <c r="W98" s="51"/>
      <c r="X98" s="52"/>
      <c r="Y98" s="52"/>
      <c r="Z98" s="53"/>
      <c r="AA98" s="53"/>
    </row>
    <row r="99" spans="1:27" x14ac:dyDescent="0.3">
      <c r="A99" s="97">
        <v>42859</v>
      </c>
      <c r="B99" s="117" t="s">
        <v>431</v>
      </c>
      <c r="C99" s="26" t="s">
        <v>126</v>
      </c>
      <c r="D99" s="16">
        <v>29414.19</v>
      </c>
      <c r="E99" s="16">
        <v>29222.99</v>
      </c>
      <c r="F99" s="16">
        <v>29281.94</v>
      </c>
      <c r="G99" s="16">
        <v>29229.93</v>
      </c>
      <c r="H99" s="16">
        <v>29455.11</v>
      </c>
      <c r="I99" s="16">
        <v>29348.23</v>
      </c>
      <c r="J99" s="16" t="s">
        <v>148</v>
      </c>
      <c r="K99" s="16">
        <v>29209.85</v>
      </c>
      <c r="L99" s="16">
        <v>29478.16</v>
      </c>
      <c r="M99" s="27" t="e">
        <f>IF((L100=""),"",MAX(D101:L101))</f>
        <v>#VALUE!</v>
      </c>
      <c r="N99" s="27" t="e">
        <f>IF(L100="","",MIN(D101:L101))</f>
        <v>#VALUE!</v>
      </c>
      <c r="O99" s="27" t="e">
        <f>IF((L101=""),"",AVERAGE(D101:L101))</f>
        <v>#VALUE!</v>
      </c>
      <c r="P99" s="27" t="e">
        <f>IF((L100=""),"",STDEV(D101:L101))</f>
        <v>#VALUE!</v>
      </c>
      <c r="Q99" s="27" t="e">
        <f>IF((L100=""),"",P99/O99*100)</f>
        <v>#VALUE!</v>
      </c>
      <c r="R99" s="28" t="e">
        <f>IF(L100="","",IF(Q99&lt;15,IF(O99&gt;9000,IF(O99&lt;15600,"Pass","Fail"),"Fail"),"Fail"))</f>
        <v>#VALUE!</v>
      </c>
      <c r="S99" s="29">
        <v>124</v>
      </c>
      <c r="T99" s="55"/>
      <c r="U99" s="40"/>
      <c r="V99" s="54">
        <v>9000</v>
      </c>
      <c r="W99" s="22">
        <v>15600</v>
      </c>
      <c r="X99" s="40">
        <v>8090</v>
      </c>
      <c r="Y99" s="40">
        <v>12070</v>
      </c>
      <c r="Z99" s="47">
        <v>6</v>
      </c>
      <c r="AA99" s="47">
        <v>6</v>
      </c>
    </row>
    <row r="100" spans="1:27" ht="15.75" customHeight="1" x14ac:dyDescent="0.3">
      <c r="A100" s="96"/>
      <c r="B100" s="96"/>
      <c r="C100" s="30" t="s">
        <v>128</v>
      </c>
      <c r="D100" s="16">
        <v>25681.52</v>
      </c>
      <c r="E100" s="16">
        <v>25530.799999999999</v>
      </c>
      <c r="F100" s="16">
        <v>25681.4</v>
      </c>
      <c r="G100" s="16">
        <v>25627.72</v>
      </c>
      <c r="H100" s="16">
        <v>26009.23</v>
      </c>
      <c r="I100" s="16">
        <v>25463.71</v>
      </c>
      <c r="J100" s="16">
        <v>25489.599999999999</v>
      </c>
      <c r="K100" s="16">
        <v>25599.8</v>
      </c>
      <c r="L100" s="16">
        <v>25959.48</v>
      </c>
      <c r="M100" s="31"/>
      <c r="N100" s="31"/>
      <c r="O100" s="31"/>
      <c r="P100" s="31"/>
      <c r="Q100" s="31"/>
      <c r="R100" s="32"/>
      <c r="S100" s="33"/>
      <c r="T100" s="56"/>
      <c r="V100" s="48"/>
      <c r="W100" s="48"/>
      <c r="X100" s="49"/>
      <c r="Y100" s="49"/>
      <c r="Z100" s="50"/>
      <c r="AA100" s="50"/>
    </row>
    <row r="101" spans="1:27" ht="16.5" customHeight="1" thickBot="1" x14ac:dyDescent="0.35">
      <c r="A101" s="96"/>
      <c r="B101" s="96"/>
      <c r="C101" s="34" t="s">
        <v>129</v>
      </c>
      <c r="D101" s="35">
        <f t="shared" ref="D101:L101" si="29">IF(((D99="")*AND(D100="")),"",(D99-D100)*3)</f>
        <v>11198.009999999995</v>
      </c>
      <c r="E101" s="35">
        <f t="shared" si="29"/>
        <v>11076.570000000007</v>
      </c>
      <c r="F101" s="35">
        <f t="shared" si="29"/>
        <v>10801.619999999992</v>
      </c>
      <c r="G101" s="35">
        <f t="shared" si="29"/>
        <v>10806.629999999997</v>
      </c>
      <c r="H101" s="35">
        <f t="shared" si="29"/>
        <v>10337.640000000003</v>
      </c>
      <c r="I101" s="35">
        <f t="shared" si="29"/>
        <v>11653.560000000001</v>
      </c>
      <c r="J101" s="35" t="e">
        <f>IF(((J99="")*AND(J100="")),"",(J99-J100)*3)</f>
        <v>#VALUE!</v>
      </c>
      <c r="K101" s="35">
        <f t="shared" si="29"/>
        <v>10830.149999999998</v>
      </c>
      <c r="L101" s="35">
        <f t="shared" si="29"/>
        <v>10556.04</v>
      </c>
      <c r="M101" s="36"/>
      <c r="N101" s="36"/>
      <c r="O101" s="36"/>
      <c r="P101" s="36"/>
      <c r="Q101" s="36"/>
      <c r="R101" s="37"/>
      <c r="S101" s="38"/>
      <c r="T101" s="57"/>
      <c r="U101" s="52"/>
      <c r="V101" s="51"/>
      <c r="W101" s="51"/>
      <c r="X101" s="52"/>
      <c r="Y101" s="52"/>
      <c r="Z101" s="53"/>
      <c r="AA101" s="53"/>
    </row>
    <row r="102" spans="1:27" x14ac:dyDescent="0.3">
      <c r="A102" s="97">
        <v>42862</v>
      </c>
      <c r="B102" s="117" t="s">
        <v>431</v>
      </c>
      <c r="C102" s="26" t="s">
        <v>126</v>
      </c>
      <c r="D102" s="16">
        <v>29276.78</v>
      </c>
      <c r="E102" s="16">
        <v>29117.88</v>
      </c>
      <c r="F102" s="16">
        <v>29118.92</v>
      </c>
      <c r="G102" s="16">
        <v>29142.34</v>
      </c>
      <c r="H102" s="16">
        <v>29352</v>
      </c>
      <c r="I102" s="16">
        <v>29304.7</v>
      </c>
      <c r="J102" s="16">
        <v>29129.84</v>
      </c>
      <c r="K102" s="16">
        <v>29111.61</v>
      </c>
      <c r="L102" s="16">
        <v>29347.37</v>
      </c>
      <c r="M102" s="27">
        <f>IF((L103=""),"",MAX(D104:L104))</f>
        <v>11374.169999999998</v>
      </c>
      <c r="N102" s="27">
        <f>IF(L103="","",MIN(D104:L104))</f>
        <v>10128.899999999998</v>
      </c>
      <c r="O102" s="27">
        <f>IF((L104=""),"",AVERAGE(D104:L104))</f>
        <v>10804.716666666665</v>
      </c>
      <c r="P102" s="27">
        <f>IF((L103=""),"",STDEV(D104:L104))</f>
        <v>381.78571034678691</v>
      </c>
      <c r="Q102" s="27">
        <f>IF((L103=""),"",P102/O102*100)</f>
        <v>3.5335096895657019</v>
      </c>
      <c r="R102" s="28" t="str">
        <f>IF(L103="","",IF(Q102&lt;Z102,IF(N102&gt;V102,IF(M102&lt;W102,"Pass","Fail"),"Fail"),"Fail"))</f>
        <v>Pass</v>
      </c>
      <c r="S102" s="29">
        <v>1428</v>
      </c>
      <c r="T102" s="55" t="s">
        <v>149</v>
      </c>
      <c r="U102" s="40"/>
      <c r="V102" s="54">
        <v>9000</v>
      </c>
      <c r="W102" s="22">
        <v>15600</v>
      </c>
      <c r="X102" s="40">
        <v>8090</v>
      </c>
      <c r="Y102" s="40">
        <v>12070</v>
      </c>
      <c r="Z102" s="47">
        <v>6</v>
      </c>
      <c r="AA102" s="47">
        <v>6</v>
      </c>
    </row>
    <row r="103" spans="1:27" ht="15.75" customHeight="1" x14ac:dyDescent="0.3">
      <c r="A103" s="96"/>
      <c r="B103" s="96"/>
      <c r="C103" s="30" t="s">
        <v>128</v>
      </c>
      <c r="D103" s="16">
        <v>25837.11</v>
      </c>
      <c r="E103" s="16">
        <v>25518.54</v>
      </c>
      <c r="F103" s="16">
        <v>25497.8</v>
      </c>
      <c r="G103" s="16">
        <v>25468</v>
      </c>
      <c r="H103" s="16">
        <v>25710.86</v>
      </c>
      <c r="I103" s="16">
        <v>25928.400000000001</v>
      </c>
      <c r="J103" s="16">
        <v>25553.72</v>
      </c>
      <c r="K103" s="16">
        <v>25416.880000000001</v>
      </c>
      <c r="L103" s="16">
        <v>25555.98</v>
      </c>
      <c r="M103" s="31"/>
      <c r="N103" s="31"/>
      <c r="O103" s="31"/>
      <c r="P103" s="31"/>
      <c r="Q103" s="31"/>
      <c r="R103" s="32"/>
      <c r="S103" s="33"/>
      <c r="T103" s="56"/>
      <c r="V103" s="48"/>
      <c r="W103" s="48"/>
      <c r="X103" s="49"/>
      <c r="Y103" s="49"/>
      <c r="Z103" s="50"/>
      <c r="AA103" s="50"/>
    </row>
    <row r="104" spans="1:27" ht="16.5" customHeight="1" thickBot="1" x14ac:dyDescent="0.35">
      <c r="A104" s="96"/>
      <c r="B104" s="96"/>
      <c r="C104" s="34" t="s">
        <v>129</v>
      </c>
      <c r="D104" s="35">
        <f t="shared" ref="D104:L104" si="30">IF(((D102="")*AND(D103="")),"",(D102-D103)*3)</f>
        <v>10319.009999999995</v>
      </c>
      <c r="E104" s="35">
        <f t="shared" si="30"/>
        <v>10798.02</v>
      </c>
      <c r="F104" s="35">
        <f t="shared" si="30"/>
        <v>10863.359999999997</v>
      </c>
      <c r="G104" s="35">
        <f t="shared" si="30"/>
        <v>11023.02</v>
      </c>
      <c r="H104" s="35">
        <f t="shared" si="30"/>
        <v>10923.419999999998</v>
      </c>
      <c r="I104" s="35">
        <f t="shared" si="30"/>
        <v>10128.899999999998</v>
      </c>
      <c r="J104" s="35">
        <f t="shared" si="30"/>
        <v>10728.359999999997</v>
      </c>
      <c r="K104" s="35">
        <f t="shared" si="30"/>
        <v>11084.189999999999</v>
      </c>
      <c r="L104" s="35">
        <f t="shared" si="30"/>
        <v>11374.169999999998</v>
      </c>
      <c r="M104" s="36"/>
      <c r="N104" s="36"/>
      <c r="O104" s="36"/>
      <c r="P104" s="36"/>
      <c r="Q104" s="36"/>
      <c r="R104" s="37"/>
      <c r="S104" s="38"/>
      <c r="T104" s="57"/>
      <c r="U104" s="52"/>
      <c r="V104" s="51"/>
      <c r="W104" s="51"/>
      <c r="X104" s="52"/>
      <c r="Y104" s="52"/>
      <c r="Z104" s="53"/>
      <c r="AA104" s="53"/>
    </row>
    <row r="105" spans="1:27" x14ac:dyDescent="0.3">
      <c r="A105" s="97">
        <v>42866</v>
      </c>
      <c r="B105" s="117" t="s">
        <v>431</v>
      </c>
      <c r="C105" s="26" t="s">
        <v>126</v>
      </c>
      <c r="D105" s="16">
        <v>29319.26</v>
      </c>
      <c r="E105" s="16">
        <v>29130.16</v>
      </c>
      <c r="F105" s="16">
        <v>29146.05</v>
      </c>
      <c r="G105" s="16">
        <v>29148.63</v>
      </c>
      <c r="H105" s="16">
        <v>29335.25</v>
      </c>
      <c r="I105" s="16">
        <v>29345.53</v>
      </c>
      <c r="J105" s="16">
        <v>29147.119999999999</v>
      </c>
      <c r="K105" s="16">
        <v>29133.61</v>
      </c>
      <c r="L105" s="16">
        <v>29328.22</v>
      </c>
      <c r="M105" s="27">
        <f>IF((L106=""),"",MAX(D107:L107))</f>
        <v>11849.759999999995</v>
      </c>
      <c r="N105" s="27">
        <f>IF(L106="","",MIN(D107:L107))</f>
        <v>10292.040000000001</v>
      </c>
      <c r="O105" s="27">
        <f>IF((L107=""),"",AVERAGE(D107:L107))</f>
        <v>11090.056666666667</v>
      </c>
      <c r="P105" s="27">
        <f>IF((L106=""),"",STDEV(D107:L107))</f>
        <v>445.16481787647888</v>
      </c>
      <c r="Q105" s="27">
        <f>IF((L106=""),"",P105/O105*100)</f>
        <v>4.0140896593838766</v>
      </c>
      <c r="R105" s="28" t="str">
        <f>IF(L106="","",IF(Q105&lt;Z105,IF(N105&gt;V105,IF(M105&lt;W105,"Pass","Fail"),"Fail"),"Fail"))</f>
        <v>Pass</v>
      </c>
      <c r="S105" s="29">
        <v>1428</v>
      </c>
      <c r="T105" s="55" t="s">
        <v>150</v>
      </c>
      <c r="U105" s="40"/>
      <c r="V105" s="54">
        <v>9000</v>
      </c>
      <c r="W105" s="22">
        <v>15600</v>
      </c>
      <c r="X105" s="40">
        <v>8090</v>
      </c>
      <c r="Y105" s="40">
        <v>12070</v>
      </c>
      <c r="Z105" s="47">
        <v>6</v>
      </c>
      <c r="AA105" s="47">
        <v>6</v>
      </c>
    </row>
    <row r="106" spans="1:27" ht="15.75" customHeight="1" x14ac:dyDescent="0.3">
      <c r="A106" s="96"/>
      <c r="B106" s="96"/>
      <c r="C106" s="30" t="s">
        <v>128</v>
      </c>
      <c r="D106" s="16">
        <v>25658.06</v>
      </c>
      <c r="E106" s="16">
        <v>25380.62</v>
      </c>
      <c r="F106" s="16">
        <v>25429.46</v>
      </c>
      <c r="G106" s="16">
        <v>25426.42</v>
      </c>
      <c r="H106" s="16">
        <v>25770.85</v>
      </c>
      <c r="I106" s="16">
        <v>25395.61</v>
      </c>
      <c r="J106" s="16">
        <v>25321.89</v>
      </c>
      <c r="K106" s="16">
        <v>25483.21</v>
      </c>
      <c r="L106" s="16">
        <v>25897.54</v>
      </c>
      <c r="M106" s="31"/>
      <c r="N106" s="31"/>
      <c r="O106" s="31"/>
      <c r="P106" s="31"/>
      <c r="Q106" s="31"/>
      <c r="R106" s="32"/>
      <c r="S106" s="33"/>
      <c r="T106" s="56"/>
      <c r="V106" s="48"/>
      <c r="W106" s="48"/>
      <c r="X106" s="49"/>
      <c r="Y106" s="49"/>
      <c r="Z106" s="50"/>
      <c r="AA106" s="50"/>
    </row>
    <row r="107" spans="1:27" ht="16.5" customHeight="1" thickBot="1" x14ac:dyDescent="0.35">
      <c r="A107" s="96"/>
      <c r="B107" s="96"/>
      <c r="C107" s="34" t="s">
        <v>129</v>
      </c>
      <c r="D107" s="35">
        <f t="shared" ref="D107:L107" si="31">IF(((D105="")*AND(D106="")),"",(D105-D106)*3)</f>
        <v>10983.599999999991</v>
      </c>
      <c r="E107" s="35">
        <f t="shared" si="31"/>
        <v>11248.620000000003</v>
      </c>
      <c r="F107" s="35">
        <f t="shared" si="31"/>
        <v>11149.77</v>
      </c>
      <c r="G107" s="35">
        <f t="shared" si="31"/>
        <v>11166.630000000008</v>
      </c>
      <c r="H107" s="35">
        <f t="shared" si="31"/>
        <v>10693.200000000004</v>
      </c>
      <c r="I107" s="35">
        <f t="shared" si="31"/>
        <v>11849.759999999995</v>
      </c>
      <c r="J107" s="35">
        <f t="shared" si="31"/>
        <v>11475.689999999999</v>
      </c>
      <c r="K107" s="35">
        <f t="shared" si="31"/>
        <v>10951.200000000004</v>
      </c>
      <c r="L107" s="35">
        <f t="shared" si="31"/>
        <v>10292.040000000001</v>
      </c>
      <c r="M107" s="36"/>
      <c r="N107" s="36"/>
      <c r="O107" s="36"/>
      <c r="P107" s="36"/>
      <c r="Q107" s="36"/>
      <c r="R107" s="37"/>
      <c r="S107" s="38"/>
      <c r="T107" s="57"/>
      <c r="U107" s="52"/>
      <c r="V107" s="51"/>
      <c r="W107" s="51"/>
      <c r="X107" s="52"/>
      <c r="Y107" s="52"/>
      <c r="Z107" s="53"/>
      <c r="AA107" s="53"/>
    </row>
    <row r="108" spans="1:27" x14ac:dyDescent="0.3">
      <c r="A108" s="97">
        <v>42870</v>
      </c>
      <c r="B108" s="117" t="s">
        <v>431</v>
      </c>
      <c r="C108" s="26" t="s">
        <v>126</v>
      </c>
      <c r="D108" s="16">
        <v>29232.69</v>
      </c>
      <c r="E108" s="16">
        <v>28988.35</v>
      </c>
      <c r="F108" s="16">
        <v>29062.17</v>
      </c>
      <c r="G108" s="16">
        <v>29080.77</v>
      </c>
      <c r="H108" s="16">
        <v>29253.84</v>
      </c>
      <c r="I108" s="16">
        <v>29290.880000000001</v>
      </c>
      <c r="J108" s="16">
        <v>29047.32</v>
      </c>
      <c r="K108" s="16">
        <v>29039.42</v>
      </c>
      <c r="L108" s="16">
        <v>29219.3</v>
      </c>
      <c r="M108" s="27">
        <f>IF((L109=""),"",MAX(D110:L110))</f>
        <v>11971.890000000003</v>
      </c>
      <c r="N108" s="27">
        <f>IF(L109="","",MIN(D110:L110))</f>
        <v>10340.700000000004</v>
      </c>
      <c r="O108" s="27">
        <f>IF((L110=""),"",AVERAGE(D110:L110))</f>
        <v>11166.64</v>
      </c>
      <c r="P108" s="27">
        <f>IF((L109=""),"",STDEV(D110:L110))</f>
        <v>476.83841649976114</v>
      </c>
      <c r="Q108" s="27">
        <f>IF((L109=""),"",P108/O108*100)</f>
        <v>4.2702049721291377</v>
      </c>
      <c r="R108" s="28" t="str">
        <f>IF(L109="","",IF(Q108&lt;Z108,IF(N108&gt;V108,IF(M108&lt;W108,"Pass","Fail"),"Fail"),"Fail"))</f>
        <v>Pass</v>
      </c>
      <c r="S108" s="29">
        <v>1159</v>
      </c>
      <c r="T108" s="55" t="s">
        <v>151</v>
      </c>
      <c r="U108" s="40"/>
      <c r="V108" s="54">
        <v>9000</v>
      </c>
      <c r="W108" s="22">
        <v>15600</v>
      </c>
      <c r="X108" s="40">
        <v>8090</v>
      </c>
      <c r="Y108" s="40">
        <v>12070</v>
      </c>
      <c r="Z108" s="47">
        <v>6</v>
      </c>
      <c r="AA108" s="47">
        <v>6</v>
      </c>
    </row>
    <row r="109" spans="1:27" ht="15.75" customHeight="1" x14ac:dyDescent="0.3">
      <c r="A109" s="96"/>
      <c r="B109" s="96"/>
      <c r="C109" s="30" t="s">
        <v>128</v>
      </c>
      <c r="D109" s="16">
        <v>25671.14</v>
      </c>
      <c r="E109" s="16">
        <v>25309.41</v>
      </c>
      <c r="F109" s="16">
        <v>25285.9</v>
      </c>
      <c r="G109" s="16">
        <v>25261.74</v>
      </c>
      <c r="H109" s="16">
        <v>25509.5</v>
      </c>
      <c r="I109" s="16">
        <v>25843.98</v>
      </c>
      <c r="J109" s="16">
        <v>25387.06</v>
      </c>
      <c r="K109" s="16">
        <v>25217.42</v>
      </c>
      <c r="L109" s="16">
        <v>25228.67</v>
      </c>
      <c r="M109" s="31"/>
      <c r="N109" s="31"/>
      <c r="O109" s="31"/>
      <c r="P109" s="31"/>
      <c r="Q109" s="31"/>
      <c r="R109" s="32"/>
      <c r="S109" s="33"/>
      <c r="T109" s="56"/>
      <c r="V109" s="48"/>
      <c r="W109" s="48"/>
      <c r="X109" s="49"/>
      <c r="Y109" s="49"/>
      <c r="Z109" s="50"/>
      <c r="AA109" s="50"/>
    </row>
    <row r="110" spans="1:27" ht="16.5" customHeight="1" thickBot="1" x14ac:dyDescent="0.35">
      <c r="A110" s="96"/>
      <c r="B110" s="96"/>
      <c r="C110" s="34" t="s">
        <v>129</v>
      </c>
      <c r="D110" s="35">
        <f t="shared" ref="D110:L110" si="32">IF(((D108="")*AND(D109="")),"",(D108-D109)*3)</f>
        <v>10684.649999999998</v>
      </c>
      <c r="E110" s="35">
        <f t="shared" si="32"/>
        <v>11036.819999999996</v>
      </c>
      <c r="F110" s="35">
        <f t="shared" si="32"/>
        <v>11328.80999999999</v>
      </c>
      <c r="G110" s="35">
        <f t="shared" si="32"/>
        <v>11457.089999999997</v>
      </c>
      <c r="H110" s="35">
        <f t="shared" si="32"/>
        <v>11233.02</v>
      </c>
      <c r="I110" s="35">
        <f t="shared" si="32"/>
        <v>10340.700000000004</v>
      </c>
      <c r="J110" s="35">
        <f t="shared" si="32"/>
        <v>10980.779999999995</v>
      </c>
      <c r="K110" s="35">
        <f t="shared" si="32"/>
        <v>11466</v>
      </c>
      <c r="L110" s="35">
        <f t="shared" si="32"/>
        <v>11971.890000000003</v>
      </c>
      <c r="M110" s="36"/>
      <c r="N110" s="36"/>
      <c r="O110" s="36"/>
      <c r="P110" s="36"/>
      <c r="Q110" s="36"/>
      <c r="R110" s="37"/>
      <c r="S110" s="38"/>
      <c r="T110" s="57"/>
      <c r="U110" s="52"/>
      <c r="V110" s="51"/>
      <c r="W110" s="51"/>
      <c r="X110" s="52"/>
      <c r="Y110" s="52"/>
      <c r="Z110" s="53"/>
      <c r="AA110" s="53"/>
    </row>
    <row r="111" spans="1:27" x14ac:dyDescent="0.3">
      <c r="A111" s="97">
        <v>42875</v>
      </c>
      <c r="B111" s="117" t="s">
        <v>431</v>
      </c>
      <c r="C111" s="26" t="s">
        <v>126</v>
      </c>
      <c r="D111" s="16">
        <v>29208.25</v>
      </c>
      <c r="E111" s="16">
        <v>29055.55</v>
      </c>
      <c r="F111" s="16">
        <v>29093.47</v>
      </c>
      <c r="G111" s="16">
        <v>29048.560000000001</v>
      </c>
      <c r="H111" s="16">
        <v>29271.49</v>
      </c>
      <c r="I111" s="16">
        <v>29183.05</v>
      </c>
      <c r="J111" s="16">
        <v>29051.96</v>
      </c>
      <c r="K111" s="16">
        <v>29044.49</v>
      </c>
      <c r="L111" s="16">
        <v>29274.6</v>
      </c>
      <c r="M111" s="27">
        <f>IF((L112=""),"",MAX(D113:L113))</f>
        <v>11785.409999999993</v>
      </c>
      <c r="N111" s="27">
        <f>IF(L112="","",MIN(D113:L113))</f>
        <v>10097.790000000001</v>
      </c>
      <c r="O111" s="27">
        <f>IF((L113=""),"",AVERAGE(D113:L113))</f>
        <v>10986.376666666667</v>
      </c>
      <c r="P111" s="27">
        <f>IF((L112=""),"",STDEV(D113:L113))</f>
        <v>471.39709497407767</v>
      </c>
      <c r="Q111" s="27">
        <f>IF((L112=""),"",P111/O111*100)</f>
        <v>4.2907421552760434</v>
      </c>
      <c r="R111" s="28" t="str">
        <f>IF(L112="","",IF(Q111&lt;Z111,IF(N111&gt;V111,IF(M111&lt;W111,"Pass","Fail"),"Fail"),"Fail"))</f>
        <v>Pass</v>
      </c>
      <c r="S111" s="29">
        <v>1428</v>
      </c>
      <c r="T111" s="55" t="s">
        <v>152</v>
      </c>
      <c r="U111" s="40"/>
      <c r="V111" s="54">
        <v>9000</v>
      </c>
      <c r="W111" s="22">
        <v>15600</v>
      </c>
      <c r="X111" s="40">
        <v>8090</v>
      </c>
      <c r="Y111" s="40">
        <v>12070</v>
      </c>
      <c r="Z111" s="47">
        <v>6</v>
      </c>
      <c r="AA111" s="47">
        <v>6</v>
      </c>
    </row>
    <row r="112" spans="1:27" ht="15.75" customHeight="1" x14ac:dyDescent="0.3">
      <c r="A112" s="96"/>
      <c r="B112" s="96"/>
      <c r="C112" s="30" t="s">
        <v>128</v>
      </c>
      <c r="D112" s="16">
        <v>25668.38</v>
      </c>
      <c r="E112" s="16">
        <v>25372.47</v>
      </c>
      <c r="F112" s="16">
        <v>25408.6</v>
      </c>
      <c r="G112" s="16">
        <v>25338.84</v>
      </c>
      <c r="H112" s="16">
        <v>25627.69</v>
      </c>
      <c r="I112" s="16">
        <v>25817.119999999999</v>
      </c>
      <c r="J112" s="16">
        <v>25443.05</v>
      </c>
      <c r="K112" s="16">
        <v>25250.01</v>
      </c>
      <c r="L112" s="16">
        <v>25346.13</v>
      </c>
      <c r="M112" s="31"/>
      <c r="N112" s="31"/>
      <c r="O112" s="31"/>
      <c r="P112" s="31"/>
      <c r="Q112" s="31"/>
      <c r="R112" s="32"/>
      <c r="S112" s="33"/>
      <c r="T112" s="56"/>
      <c r="V112" s="48"/>
      <c r="W112" s="48"/>
      <c r="X112" s="49"/>
      <c r="Y112" s="49"/>
      <c r="Z112" s="50"/>
      <c r="AA112" s="50"/>
    </row>
    <row r="113" spans="1:27" ht="16.5" customHeight="1" thickBot="1" x14ac:dyDescent="0.35">
      <c r="A113" s="96"/>
      <c r="B113" s="96"/>
      <c r="C113" s="34" t="s">
        <v>129</v>
      </c>
      <c r="D113" s="35">
        <f t="shared" ref="D113:L113" si="33">IF(((D111="")*AND(D112="")),"",(D111-D112)*3)</f>
        <v>10619.609999999997</v>
      </c>
      <c r="E113" s="35">
        <f t="shared" si="33"/>
        <v>11049.239999999994</v>
      </c>
      <c r="F113" s="35">
        <f t="shared" si="33"/>
        <v>11054.610000000008</v>
      </c>
      <c r="G113" s="35">
        <f t="shared" si="33"/>
        <v>11129.160000000003</v>
      </c>
      <c r="H113" s="35">
        <f t="shared" si="33"/>
        <v>10931.400000000009</v>
      </c>
      <c r="I113" s="35">
        <f t="shared" si="33"/>
        <v>10097.790000000001</v>
      </c>
      <c r="J113" s="35">
        <f t="shared" si="33"/>
        <v>10826.73</v>
      </c>
      <c r="K113" s="35">
        <f t="shared" si="33"/>
        <v>11383.44000000001</v>
      </c>
      <c r="L113" s="35">
        <f t="shared" si="33"/>
        <v>11785.409999999993</v>
      </c>
      <c r="M113" s="36"/>
      <c r="N113" s="36"/>
      <c r="O113" s="36"/>
      <c r="P113" s="36"/>
      <c r="Q113" s="36"/>
      <c r="R113" s="37"/>
      <c r="S113" s="38"/>
      <c r="T113" s="57"/>
      <c r="U113" s="52"/>
      <c r="V113" s="51"/>
      <c r="W113" s="51"/>
      <c r="X113" s="52"/>
      <c r="Y113" s="52"/>
      <c r="Z113" s="53"/>
      <c r="AA113" s="53"/>
    </row>
    <row r="114" spans="1:27" x14ac:dyDescent="0.3">
      <c r="A114" s="97">
        <v>42880</v>
      </c>
      <c r="B114" s="117" t="s">
        <v>431</v>
      </c>
      <c r="C114" s="26" t="s">
        <v>126</v>
      </c>
      <c r="D114" s="16">
        <v>29116</v>
      </c>
      <c r="E114" s="16">
        <v>28971</v>
      </c>
      <c r="F114" s="16">
        <v>28968</v>
      </c>
      <c r="G114" s="16">
        <v>28980</v>
      </c>
      <c r="H114" s="16">
        <v>29193</v>
      </c>
      <c r="I114" s="16">
        <v>29146</v>
      </c>
      <c r="J114" s="16">
        <v>28970</v>
      </c>
      <c r="K114" s="16">
        <v>28964</v>
      </c>
      <c r="L114" s="16">
        <v>29208</v>
      </c>
      <c r="M114" s="27">
        <f>IF((L115=""),"",MAX(D116:L116))</f>
        <v>9903</v>
      </c>
      <c r="N114" s="27">
        <f>IF(L115="","",MIN(D116:L116))</f>
        <v>8208</v>
      </c>
      <c r="O114" s="27">
        <f>IF((L116=""),"",AVERAGE(D116:L116))</f>
        <v>8935.6666666666661</v>
      </c>
      <c r="P114" s="27">
        <f>IF((L115=""),"",STDEV(D116:L116))</f>
        <v>527.13020213226253</v>
      </c>
      <c r="Q114" s="27">
        <f>IF((L115=""),"",P114/O114*100)</f>
        <v>5.8991703898115704</v>
      </c>
      <c r="R114" s="28" t="str">
        <f>IF(L115="","",IF(Q114&lt;Z114,IF(N114&gt;V114,IF(M114&lt;W114,"Pass","Fail"),"Fail"),"Fail"))</f>
        <v>Fail</v>
      </c>
      <c r="S114" s="29">
        <v>121</v>
      </c>
      <c r="T114" s="55"/>
      <c r="U114" s="40"/>
      <c r="V114" s="54">
        <v>9000</v>
      </c>
      <c r="W114" s="22">
        <v>15600</v>
      </c>
      <c r="X114" s="40">
        <v>8090</v>
      </c>
      <c r="Y114" s="40">
        <v>12070</v>
      </c>
      <c r="Z114" s="47">
        <v>6</v>
      </c>
      <c r="AA114" s="47">
        <v>6</v>
      </c>
    </row>
    <row r="115" spans="1:27" ht="15.75" customHeight="1" x14ac:dyDescent="0.3">
      <c r="A115" s="96"/>
      <c r="B115" s="96"/>
      <c r="C115" s="30" t="s">
        <v>128</v>
      </c>
      <c r="D115" s="16">
        <v>26325</v>
      </c>
      <c r="E115" s="16">
        <v>26037</v>
      </c>
      <c r="F115" s="16">
        <v>26039</v>
      </c>
      <c r="G115" s="16">
        <v>25931</v>
      </c>
      <c r="H115" s="16">
        <v>26138</v>
      </c>
      <c r="I115" s="16">
        <v>26410</v>
      </c>
      <c r="J115" s="16">
        <v>26091</v>
      </c>
      <c r="K115" s="16">
        <v>25831</v>
      </c>
      <c r="L115" s="16">
        <v>25907</v>
      </c>
      <c r="M115" s="31"/>
      <c r="N115" s="31"/>
      <c r="O115" s="31"/>
      <c r="P115" s="31"/>
      <c r="Q115" s="31"/>
      <c r="R115" s="32"/>
      <c r="S115" s="33"/>
      <c r="T115" s="56"/>
      <c r="V115" s="48"/>
      <c r="W115" s="48"/>
      <c r="X115" s="49"/>
      <c r="Y115" s="49"/>
      <c r="Z115" s="50"/>
      <c r="AA115" s="50"/>
    </row>
    <row r="116" spans="1:27" ht="16.5" customHeight="1" thickBot="1" x14ac:dyDescent="0.35">
      <c r="A116" s="96"/>
      <c r="B116" s="96"/>
      <c r="C116" s="34" t="s">
        <v>129</v>
      </c>
      <c r="D116" s="35">
        <f t="shared" ref="D116:L116" si="34">IF(((D114="")*AND(D115="")),"",(D114-D115)*3)</f>
        <v>8373</v>
      </c>
      <c r="E116" s="35">
        <f t="shared" si="34"/>
        <v>8802</v>
      </c>
      <c r="F116" s="35">
        <f t="shared" si="34"/>
        <v>8787</v>
      </c>
      <c r="G116" s="35">
        <f t="shared" si="34"/>
        <v>9147</v>
      </c>
      <c r="H116" s="35">
        <f t="shared" si="34"/>
        <v>9165</v>
      </c>
      <c r="I116" s="35">
        <f t="shared" si="34"/>
        <v>8208</v>
      </c>
      <c r="J116" s="35">
        <f t="shared" si="34"/>
        <v>8637</v>
      </c>
      <c r="K116" s="35">
        <f t="shared" si="34"/>
        <v>9399</v>
      </c>
      <c r="L116" s="35">
        <f t="shared" si="34"/>
        <v>9903</v>
      </c>
      <c r="M116" s="36"/>
      <c r="N116" s="36"/>
      <c r="O116" s="36"/>
      <c r="P116" s="36"/>
      <c r="Q116" s="36"/>
      <c r="R116" s="37"/>
      <c r="S116" s="38"/>
      <c r="T116" s="57"/>
      <c r="U116" s="52"/>
      <c r="V116" s="51"/>
      <c r="W116" s="51"/>
      <c r="X116" s="52"/>
      <c r="Y116" s="52"/>
      <c r="Z116" s="53"/>
      <c r="AA116" s="53"/>
    </row>
    <row r="117" spans="1:27" x14ac:dyDescent="0.3">
      <c r="A117" s="97">
        <v>42875</v>
      </c>
      <c r="B117" s="117" t="s">
        <v>431</v>
      </c>
      <c r="C117" s="26" t="s">
        <v>126</v>
      </c>
      <c r="D117" s="16">
        <v>29182</v>
      </c>
      <c r="E117" s="16">
        <v>28995</v>
      </c>
      <c r="F117" s="16">
        <v>29044</v>
      </c>
      <c r="G117" s="16">
        <v>28988</v>
      </c>
      <c r="H117" s="16">
        <v>29185</v>
      </c>
      <c r="I117" s="16">
        <v>29178</v>
      </c>
      <c r="J117" s="16">
        <v>29002</v>
      </c>
      <c r="K117" s="16">
        <v>29892</v>
      </c>
      <c r="L117" s="16">
        <v>29180</v>
      </c>
      <c r="M117" s="27">
        <f>IF((L118=""),"",MAX(D119:L119))</f>
        <v>13011</v>
      </c>
      <c r="N117" s="27">
        <f>IF(L118="","",MIN(D119:L119))</f>
        <v>9396</v>
      </c>
      <c r="O117" s="27">
        <f>IF((L119=""),"",AVERAGE(D119:L119))</f>
        <v>10302.333333333334</v>
      </c>
      <c r="P117" s="27">
        <f>IF((L118=""),"",STDEV(D119:L119))</f>
        <v>1074.8287072831652</v>
      </c>
      <c r="Q117" s="27">
        <f>IF((L118=""),"",P117/O117*100)</f>
        <v>10.432866735203984</v>
      </c>
      <c r="R117" s="28" t="str">
        <f>IF(L118="","",IF(Q117&lt;Z117,IF(N117&gt;V117,IF(M117&lt;W117,"Pass","Fail"),"Fail"),"Fail"))</f>
        <v>Fail</v>
      </c>
      <c r="S117" s="29"/>
      <c r="T117" s="55"/>
      <c r="U117" s="40"/>
      <c r="V117" s="54">
        <v>9000</v>
      </c>
      <c r="W117" s="22">
        <v>15600</v>
      </c>
      <c r="X117" s="40">
        <v>8090</v>
      </c>
      <c r="Y117" s="40">
        <v>12070</v>
      </c>
      <c r="Z117" s="47">
        <v>6</v>
      </c>
      <c r="AA117" s="47">
        <v>6</v>
      </c>
    </row>
    <row r="118" spans="1:27" ht="15.75" customHeight="1" x14ac:dyDescent="0.3">
      <c r="A118" s="96"/>
      <c r="B118" s="96"/>
      <c r="C118" s="30" t="s">
        <v>128</v>
      </c>
      <c r="D118" s="16">
        <v>25982</v>
      </c>
      <c r="E118" s="16">
        <v>25694</v>
      </c>
      <c r="F118" s="16">
        <v>25682</v>
      </c>
      <c r="G118" s="16">
        <v>25605</v>
      </c>
      <c r="H118" s="16">
        <v>25841</v>
      </c>
      <c r="I118" s="16">
        <v>26046</v>
      </c>
      <c r="J118" s="16">
        <v>25704</v>
      </c>
      <c r="K118" s="16">
        <v>25555</v>
      </c>
      <c r="L118" s="16">
        <v>25630</v>
      </c>
      <c r="M118" s="31"/>
      <c r="N118" s="31"/>
      <c r="O118" s="31"/>
      <c r="P118" s="31"/>
      <c r="Q118" s="31"/>
      <c r="R118" s="32"/>
      <c r="S118" s="33"/>
      <c r="T118" s="56"/>
      <c r="V118" s="48"/>
      <c r="W118" s="48"/>
      <c r="X118" s="49"/>
      <c r="Y118" s="49"/>
      <c r="Z118" s="50"/>
      <c r="AA118" s="50"/>
    </row>
    <row r="119" spans="1:27" ht="16.5" customHeight="1" thickBot="1" x14ac:dyDescent="0.35">
      <c r="A119" s="96"/>
      <c r="B119" s="96"/>
      <c r="C119" s="34" t="s">
        <v>129</v>
      </c>
      <c r="D119" s="35">
        <f t="shared" ref="D119:L119" si="35">IF(((D117="")*AND(D118="")),"",(D117-D118)*3)</f>
        <v>9600</v>
      </c>
      <c r="E119" s="35">
        <f t="shared" si="35"/>
        <v>9903</v>
      </c>
      <c r="F119" s="35">
        <f t="shared" si="35"/>
        <v>10086</v>
      </c>
      <c r="G119" s="35">
        <f t="shared" si="35"/>
        <v>10149</v>
      </c>
      <c r="H119" s="35">
        <f t="shared" si="35"/>
        <v>10032</v>
      </c>
      <c r="I119" s="35">
        <f t="shared" si="35"/>
        <v>9396</v>
      </c>
      <c r="J119" s="35">
        <f t="shared" si="35"/>
        <v>9894</v>
      </c>
      <c r="K119" s="35">
        <f t="shared" si="35"/>
        <v>13011</v>
      </c>
      <c r="L119" s="35">
        <f t="shared" si="35"/>
        <v>10650</v>
      </c>
      <c r="M119" s="36"/>
      <c r="N119" s="36"/>
      <c r="O119" s="36"/>
      <c r="P119" s="36"/>
      <c r="Q119" s="36"/>
      <c r="R119" s="37"/>
      <c r="S119" s="38"/>
      <c r="T119" s="57"/>
      <c r="U119" s="52"/>
      <c r="V119" s="51"/>
      <c r="W119" s="51"/>
      <c r="X119" s="52"/>
      <c r="Y119" s="52"/>
      <c r="Z119" s="53"/>
      <c r="AA119" s="53"/>
    </row>
    <row r="120" spans="1:27" x14ac:dyDescent="0.3">
      <c r="A120" s="97">
        <v>42887</v>
      </c>
      <c r="B120" s="117" t="s">
        <v>431</v>
      </c>
      <c r="C120" s="26" t="s">
        <v>126</v>
      </c>
      <c r="D120" s="16">
        <v>29118.15</v>
      </c>
      <c r="E120" s="16">
        <v>28948.59</v>
      </c>
      <c r="F120" s="16">
        <v>28993.37</v>
      </c>
      <c r="G120" s="16">
        <v>28951.85</v>
      </c>
      <c r="H120" s="16">
        <v>29137.82</v>
      </c>
      <c r="I120" s="16">
        <v>29120</v>
      </c>
      <c r="J120" s="16">
        <v>28938.03</v>
      </c>
      <c r="K120" s="16">
        <v>28940.83</v>
      </c>
      <c r="L120" s="16">
        <v>29137.21</v>
      </c>
      <c r="M120" s="27">
        <f>IF((L121=""),"",MAX(D122:L122))</f>
        <v>10242.48</v>
      </c>
      <c r="N120" s="27">
        <f>IF(L121="","",MIN(D122:L122))</f>
        <v>8570.3700000000026</v>
      </c>
      <c r="O120" s="27">
        <f>IF((L122=""),"",AVERAGE(D122:L122))</f>
        <v>9368.5833333333339</v>
      </c>
      <c r="P120" s="27">
        <f>IF((L121=""),"",STDEV(D122:L122))</f>
        <v>515.54071808150923</v>
      </c>
      <c r="Q120" s="27">
        <f>IF((L121=""),"",P120/O120*100)</f>
        <v>5.5028673998898006</v>
      </c>
      <c r="R120" s="28" t="str">
        <f>IF(L121="","",IF(Q120&lt;Z120,IF(N120&gt;V120,IF(M120&lt;W120,"Pass","Fail"),"Fail"),"Fail"))</f>
        <v>Fail</v>
      </c>
      <c r="S120" s="29">
        <v>1159</v>
      </c>
      <c r="T120" s="55" t="s">
        <v>153</v>
      </c>
      <c r="U120" s="40"/>
      <c r="V120" s="54">
        <v>9000</v>
      </c>
      <c r="W120" s="22">
        <v>15600</v>
      </c>
      <c r="X120" s="40">
        <v>8090</v>
      </c>
      <c r="Y120" s="40">
        <v>12070</v>
      </c>
      <c r="Z120" s="47">
        <v>6</v>
      </c>
      <c r="AA120" s="47">
        <v>6</v>
      </c>
    </row>
    <row r="121" spans="1:27" ht="15.75" customHeight="1" x14ac:dyDescent="0.3">
      <c r="A121" s="96"/>
      <c r="B121" s="96"/>
      <c r="C121" s="30" t="s">
        <v>128</v>
      </c>
      <c r="D121" s="16">
        <v>26177.46</v>
      </c>
      <c r="E121" s="16">
        <v>25872.68</v>
      </c>
      <c r="F121" s="16">
        <v>25899.54</v>
      </c>
      <c r="G121" s="16">
        <v>25738.22</v>
      </c>
      <c r="H121" s="16">
        <v>25913.279999999999</v>
      </c>
      <c r="I121" s="16">
        <v>26263.21</v>
      </c>
      <c r="J121" s="16">
        <v>25906.67</v>
      </c>
      <c r="K121" s="16">
        <v>25685.99</v>
      </c>
      <c r="L121" s="16">
        <v>25723.05</v>
      </c>
      <c r="M121" s="31"/>
      <c r="N121" s="31"/>
      <c r="O121" s="31"/>
      <c r="P121" s="31"/>
      <c r="Q121" s="31"/>
      <c r="R121" s="32"/>
      <c r="S121" s="33"/>
      <c r="T121" s="56"/>
      <c r="V121" s="48"/>
      <c r="W121" s="48"/>
      <c r="X121" s="49"/>
      <c r="Y121" s="49"/>
      <c r="Z121" s="50"/>
      <c r="AA121" s="50"/>
    </row>
    <row r="122" spans="1:27" ht="16.5" customHeight="1" thickBot="1" x14ac:dyDescent="0.35">
      <c r="A122" s="96"/>
      <c r="B122" s="96"/>
      <c r="C122" s="34" t="s">
        <v>129</v>
      </c>
      <c r="D122" s="35">
        <f t="shared" ref="D122:L122" si="36">IF(((D120="")*AND(D121="")),"",(D120-D121)*3)</f>
        <v>8822.070000000007</v>
      </c>
      <c r="E122" s="35">
        <f t="shared" si="36"/>
        <v>9227.73</v>
      </c>
      <c r="F122" s="35">
        <f t="shared" si="36"/>
        <v>9281.4899999999943</v>
      </c>
      <c r="G122" s="35">
        <f t="shared" si="36"/>
        <v>9640.8899999999921</v>
      </c>
      <c r="H122" s="35">
        <f t="shared" si="36"/>
        <v>9673.6200000000026</v>
      </c>
      <c r="I122" s="35">
        <f t="shared" si="36"/>
        <v>8570.3700000000026</v>
      </c>
      <c r="J122" s="35">
        <f t="shared" si="36"/>
        <v>9094.0800000000017</v>
      </c>
      <c r="K122" s="35">
        <f t="shared" si="36"/>
        <v>9764.52</v>
      </c>
      <c r="L122" s="35">
        <f t="shared" si="36"/>
        <v>10242.48</v>
      </c>
      <c r="M122" s="36"/>
      <c r="N122" s="36"/>
      <c r="O122" s="36"/>
      <c r="P122" s="36"/>
      <c r="Q122" s="36"/>
      <c r="R122" s="37"/>
      <c r="S122" s="38"/>
      <c r="T122" s="57"/>
      <c r="U122" s="52"/>
      <c r="V122" s="51"/>
      <c r="W122" s="51"/>
      <c r="X122" s="52"/>
      <c r="Y122" s="52"/>
      <c r="Z122" s="53"/>
      <c r="AA122" s="53"/>
    </row>
    <row r="123" spans="1:27" x14ac:dyDescent="0.3">
      <c r="A123" s="97">
        <v>42891</v>
      </c>
      <c r="B123" s="117" t="s">
        <v>431</v>
      </c>
      <c r="C123" s="26" t="s">
        <v>126</v>
      </c>
      <c r="D123" s="16">
        <v>29110</v>
      </c>
      <c r="E123" s="16">
        <v>28905</v>
      </c>
      <c r="F123" s="16">
        <v>28888</v>
      </c>
      <c r="G123" s="16">
        <v>28879</v>
      </c>
      <c r="H123" s="16">
        <v>29127</v>
      </c>
      <c r="I123" s="16">
        <v>29051</v>
      </c>
      <c r="J123" s="16">
        <v>28892</v>
      </c>
      <c r="K123" s="16">
        <v>28891</v>
      </c>
      <c r="L123" s="16">
        <v>29131</v>
      </c>
      <c r="M123" s="27">
        <f>IF((L124=""),"",MAX(D125:L125))</f>
        <v>10641</v>
      </c>
      <c r="N123" s="27">
        <f>IF(L124="","",MIN(D125:L125))</f>
        <v>8976</v>
      </c>
      <c r="O123" s="27">
        <f>IF((L125=""),"",AVERAGE(D125:L125))</f>
        <v>9821.3333333333339</v>
      </c>
      <c r="P123" s="27">
        <f>IF((L124=""),"",STDEV(D125:L125))</f>
        <v>479.08454368722857</v>
      </c>
      <c r="Q123" s="27">
        <f>IF((L124=""),"",P123/O123*100)</f>
        <v>4.8779990193513632</v>
      </c>
      <c r="R123" s="28" t="str">
        <f>IF(L124="","",IF(Q123&lt;Z123,IF(N123&gt;V123,IF(M123&lt;W123,"Pass","Fail"),"Fail"),"Fail"))</f>
        <v>Fail</v>
      </c>
      <c r="S123" s="29">
        <v>1335</v>
      </c>
      <c r="T123" s="55"/>
      <c r="U123" s="40"/>
      <c r="V123" s="54">
        <v>9000</v>
      </c>
      <c r="W123" s="22">
        <v>15600</v>
      </c>
      <c r="X123" s="40">
        <v>8090</v>
      </c>
      <c r="Y123" s="40">
        <v>12070</v>
      </c>
      <c r="Z123" s="47">
        <v>6</v>
      </c>
      <c r="AA123" s="47">
        <v>6</v>
      </c>
    </row>
    <row r="124" spans="1:27" ht="15.75" customHeight="1" x14ac:dyDescent="0.3">
      <c r="A124" s="96"/>
      <c r="B124" s="96"/>
      <c r="C124" s="30" t="s">
        <v>128</v>
      </c>
      <c r="D124" s="16">
        <v>25949</v>
      </c>
      <c r="E124" s="16">
        <v>25652</v>
      </c>
      <c r="F124" s="16">
        <v>25657</v>
      </c>
      <c r="G124" s="16">
        <v>25544</v>
      </c>
      <c r="H124" s="16">
        <v>25748</v>
      </c>
      <c r="I124" s="16">
        <v>26059</v>
      </c>
      <c r="J124" s="16">
        <v>25709</v>
      </c>
      <c r="K124" s="16">
        <v>25508</v>
      </c>
      <c r="L124" s="16">
        <v>25584</v>
      </c>
      <c r="M124" s="31"/>
      <c r="N124" s="31"/>
      <c r="O124" s="31"/>
      <c r="P124" s="31"/>
      <c r="Q124" s="31"/>
      <c r="R124" s="32"/>
      <c r="S124" s="33"/>
      <c r="T124" s="56"/>
      <c r="V124" s="48"/>
      <c r="W124" s="48"/>
      <c r="X124" s="49"/>
      <c r="Y124" s="49"/>
      <c r="Z124" s="50"/>
      <c r="AA124" s="50"/>
    </row>
    <row r="125" spans="1:27" ht="16.5" customHeight="1" thickBot="1" x14ac:dyDescent="0.35">
      <c r="A125" s="96"/>
      <c r="B125" s="96"/>
      <c r="C125" s="34" t="s">
        <v>129</v>
      </c>
      <c r="D125" s="35">
        <f t="shared" ref="D125:L125" si="37">IF(((D123="")*AND(D124="")),"",(D123-D124)*3)</f>
        <v>9483</v>
      </c>
      <c r="E125" s="35">
        <f t="shared" si="37"/>
        <v>9759</v>
      </c>
      <c r="F125" s="35">
        <f t="shared" si="37"/>
        <v>9693</v>
      </c>
      <c r="G125" s="35">
        <f t="shared" si="37"/>
        <v>10005</v>
      </c>
      <c r="H125" s="35">
        <f t="shared" si="37"/>
        <v>10137</v>
      </c>
      <c r="I125" s="35">
        <f t="shared" si="37"/>
        <v>8976</v>
      </c>
      <c r="J125" s="35">
        <f t="shared" si="37"/>
        <v>9549</v>
      </c>
      <c r="K125" s="35">
        <f t="shared" si="37"/>
        <v>10149</v>
      </c>
      <c r="L125" s="35">
        <f t="shared" si="37"/>
        <v>10641</v>
      </c>
      <c r="M125" s="36"/>
      <c r="N125" s="36"/>
      <c r="O125" s="36"/>
      <c r="P125" s="36"/>
      <c r="Q125" s="36"/>
      <c r="R125" s="37"/>
      <c r="S125" s="38"/>
      <c r="T125" s="57"/>
      <c r="U125" s="52"/>
      <c r="V125" s="51"/>
      <c r="W125" s="51"/>
      <c r="X125" s="52"/>
      <c r="Y125" s="52"/>
      <c r="Z125" s="53"/>
      <c r="AA125" s="53"/>
    </row>
    <row r="126" spans="1:27" x14ac:dyDescent="0.3">
      <c r="A126" s="97">
        <v>42895</v>
      </c>
      <c r="B126" s="117" t="s">
        <v>431</v>
      </c>
      <c r="C126" s="26" t="s">
        <v>126</v>
      </c>
      <c r="D126" s="16">
        <v>29085</v>
      </c>
      <c r="E126" s="16">
        <v>28902</v>
      </c>
      <c r="F126" s="16">
        <v>28890</v>
      </c>
      <c r="G126" s="16">
        <v>28889</v>
      </c>
      <c r="H126" s="16">
        <v>29111</v>
      </c>
      <c r="I126" s="16">
        <v>29083</v>
      </c>
      <c r="J126" s="16">
        <v>28887</v>
      </c>
      <c r="K126" s="16">
        <v>28890</v>
      </c>
      <c r="L126" s="16">
        <v>29120</v>
      </c>
      <c r="M126" s="27">
        <f>IF((L127=""),"",MAX(D128:L128))</f>
        <v>9942</v>
      </c>
      <c r="N126" s="27">
        <f>IF(L127="","",MIN(D128:L128))</f>
        <v>8442</v>
      </c>
      <c r="O126" s="27">
        <f>IF((L128=""),"",AVERAGE(D128:L128))</f>
        <v>9148.6666666666661</v>
      </c>
      <c r="P126" s="27">
        <f>IF((L127=""),"",STDEV(D128:L128))</f>
        <v>450.47502705477473</v>
      </c>
      <c r="Q126" s="27">
        <f>IF((L127=""),"",P126/O126*100)</f>
        <v>4.9239418536920656</v>
      </c>
      <c r="R126" s="28" t="str">
        <f>IF(L127="","",IF(Q126&lt;Z126,IF(N126&gt;V126,IF(M126&lt;W126,"Pass","Fail"),"Fail"),"Fail"))</f>
        <v>Fail</v>
      </c>
      <c r="S126" s="29">
        <v>121</v>
      </c>
      <c r="T126" s="55"/>
      <c r="U126" s="40"/>
      <c r="V126" s="54">
        <v>9000</v>
      </c>
      <c r="W126" s="22">
        <v>15600</v>
      </c>
      <c r="X126" s="40">
        <v>8090</v>
      </c>
      <c r="Y126" s="40">
        <v>12070</v>
      </c>
      <c r="Z126" s="47">
        <v>6</v>
      </c>
      <c r="AA126" s="47">
        <v>6</v>
      </c>
    </row>
    <row r="127" spans="1:27" ht="15.75" customHeight="1" x14ac:dyDescent="0.3">
      <c r="A127" s="96"/>
      <c r="B127" s="96"/>
      <c r="C127" s="30" t="s">
        <v>128</v>
      </c>
      <c r="D127" s="16">
        <v>26159</v>
      </c>
      <c r="E127" s="16">
        <v>25884</v>
      </c>
      <c r="F127" s="16">
        <v>25891</v>
      </c>
      <c r="G127" s="16">
        <v>25773</v>
      </c>
      <c r="H127" s="16">
        <v>25967</v>
      </c>
      <c r="I127" s="16">
        <v>26269</v>
      </c>
      <c r="J127" s="16">
        <v>25936</v>
      </c>
      <c r="K127" s="16">
        <v>25726</v>
      </c>
      <c r="L127" s="16">
        <v>25806</v>
      </c>
      <c r="M127" s="31"/>
      <c r="N127" s="31"/>
      <c r="O127" s="31"/>
      <c r="P127" s="31"/>
      <c r="Q127" s="31"/>
      <c r="R127" s="32"/>
      <c r="S127" s="33"/>
      <c r="T127" s="56"/>
      <c r="V127" s="48"/>
      <c r="W127" s="48"/>
      <c r="X127" s="49"/>
      <c r="Y127" s="49"/>
      <c r="Z127" s="50"/>
      <c r="AA127" s="50"/>
    </row>
    <row r="128" spans="1:27" ht="16.5" customHeight="1" thickBot="1" x14ac:dyDescent="0.35">
      <c r="A128" s="96"/>
      <c r="B128" s="96"/>
      <c r="C128" s="34" t="s">
        <v>129</v>
      </c>
      <c r="D128" s="35">
        <f t="shared" ref="D128:L128" si="38">IF(((D126="")*AND(D127="")),"",(D126-D127)*3)</f>
        <v>8778</v>
      </c>
      <c r="E128" s="35">
        <f t="shared" si="38"/>
        <v>9054</v>
      </c>
      <c r="F128" s="35">
        <f t="shared" si="38"/>
        <v>8997</v>
      </c>
      <c r="G128" s="35">
        <f t="shared" si="38"/>
        <v>9348</v>
      </c>
      <c r="H128" s="35">
        <f t="shared" si="38"/>
        <v>9432</v>
      </c>
      <c r="I128" s="35">
        <f t="shared" si="38"/>
        <v>8442</v>
      </c>
      <c r="J128" s="35">
        <f t="shared" si="38"/>
        <v>8853</v>
      </c>
      <c r="K128" s="35">
        <f t="shared" si="38"/>
        <v>9492</v>
      </c>
      <c r="L128" s="35">
        <f t="shared" si="38"/>
        <v>9942</v>
      </c>
      <c r="M128" s="36"/>
      <c r="N128" s="36"/>
      <c r="O128" s="36"/>
      <c r="P128" s="36"/>
      <c r="Q128" s="36"/>
      <c r="R128" s="37"/>
      <c r="S128" s="38"/>
      <c r="T128" s="57"/>
      <c r="U128" s="52"/>
      <c r="V128" s="51"/>
      <c r="W128" s="51"/>
      <c r="X128" s="52"/>
      <c r="Y128" s="52"/>
      <c r="Z128" s="53"/>
      <c r="AA128" s="53"/>
    </row>
    <row r="129" spans="1:27" x14ac:dyDescent="0.3">
      <c r="A129" s="97">
        <v>42905</v>
      </c>
      <c r="B129" s="117" t="s">
        <v>431</v>
      </c>
      <c r="C129" s="26" t="s">
        <v>126</v>
      </c>
      <c r="D129" s="16">
        <v>29384</v>
      </c>
      <c r="E129" s="16">
        <v>29218</v>
      </c>
      <c r="F129" s="16">
        <v>29260</v>
      </c>
      <c r="G129" s="16">
        <v>29214</v>
      </c>
      <c r="H129" s="16">
        <v>29410</v>
      </c>
      <c r="I129" s="16">
        <v>29370</v>
      </c>
      <c r="J129" s="16">
        <v>29196</v>
      </c>
      <c r="K129" s="16">
        <v>29224</v>
      </c>
      <c r="L129" s="16">
        <v>29485</v>
      </c>
      <c r="M129" s="27">
        <f>IF((L130=""),"",MAX(D131:L131))</f>
        <v>12543</v>
      </c>
      <c r="N129" s="27">
        <f>IF(L130="","",MIN(D131:L131))</f>
        <v>11067</v>
      </c>
      <c r="O129" s="27">
        <f>IF((L131=""),"",AVERAGE(D131:L131))</f>
        <v>11759.333333333334</v>
      </c>
      <c r="P129" s="27">
        <f>IF((L130=""),"",STDEV(D131:L131))</f>
        <v>474.20828756992427</v>
      </c>
      <c r="Q129" s="27">
        <f>IF((L130=""),"",P129/O129*100)</f>
        <v>4.0326120038261033</v>
      </c>
      <c r="R129" s="28" t="str">
        <f>IF(L130="","",IF(Q129&lt;Z129,IF(N129&gt;V129,IF(M129&lt;W129,"Pass","Fail"),"Fail"),"Fail"))</f>
        <v>Pass</v>
      </c>
      <c r="S129" s="29">
        <v>1159</v>
      </c>
      <c r="T129" s="56" t="s">
        <v>155</v>
      </c>
      <c r="U129" s="55" t="s">
        <v>154</v>
      </c>
      <c r="V129" s="54">
        <v>9000</v>
      </c>
      <c r="W129" s="22">
        <v>15600</v>
      </c>
      <c r="X129" s="40">
        <v>8090</v>
      </c>
      <c r="Y129" s="40">
        <v>12070</v>
      </c>
      <c r="Z129" s="47">
        <v>6</v>
      </c>
      <c r="AA129" s="47">
        <v>6</v>
      </c>
    </row>
    <row r="130" spans="1:27" ht="15.75" customHeight="1" x14ac:dyDescent="0.3">
      <c r="A130" s="96"/>
      <c r="B130" s="96"/>
      <c r="C130" s="30" t="s">
        <v>128</v>
      </c>
      <c r="D130" s="16">
        <v>25695</v>
      </c>
      <c r="E130" s="16">
        <v>25348</v>
      </c>
      <c r="F130" s="16">
        <v>25391</v>
      </c>
      <c r="G130" s="16">
        <v>25190</v>
      </c>
      <c r="H130" s="16">
        <v>25392</v>
      </c>
      <c r="I130" s="16">
        <v>25642</v>
      </c>
      <c r="J130" s="16">
        <v>25331</v>
      </c>
      <c r="K130" s="16">
        <v>25190</v>
      </c>
      <c r="L130" s="16">
        <v>25304</v>
      </c>
      <c r="M130" s="31"/>
      <c r="N130" s="31"/>
      <c r="O130" s="31"/>
      <c r="P130" s="31"/>
      <c r="Q130" s="31"/>
      <c r="R130" s="32"/>
      <c r="S130" s="33"/>
      <c r="T130" s="16"/>
      <c r="V130" s="48"/>
      <c r="W130" s="48"/>
      <c r="X130" s="49"/>
      <c r="Y130" s="49"/>
      <c r="Z130" s="50"/>
      <c r="AA130" s="50"/>
    </row>
    <row r="131" spans="1:27" ht="16.5" customHeight="1" thickBot="1" x14ac:dyDescent="0.35">
      <c r="A131" s="96"/>
      <c r="B131" s="96"/>
      <c r="C131" s="34" t="s">
        <v>129</v>
      </c>
      <c r="D131" s="35">
        <f t="shared" ref="D131:L131" si="39">IF(((D129="")*AND(D130="")),"",(D129-D130)*3)</f>
        <v>11067</v>
      </c>
      <c r="E131" s="35">
        <f t="shared" si="39"/>
        <v>11610</v>
      </c>
      <c r="F131" s="35">
        <f t="shared" si="39"/>
        <v>11607</v>
      </c>
      <c r="G131" s="35">
        <f t="shared" si="39"/>
        <v>12072</v>
      </c>
      <c r="H131" s="35">
        <f t="shared" si="39"/>
        <v>12054</v>
      </c>
      <c r="I131" s="35">
        <f t="shared" si="39"/>
        <v>11184</v>
      </c>
      <c r="J131" s="35">
        <f t="shared" si="39"/>
        <v>11595</v>
      </c>
      <c r="K131" s="35">
        <f t="shared" si="39"/>
        <v>12102</v>
      </c>
      <c r="L131" s="35">
        <f t="shared" si="39"/>
        <v>12543</v>
      </c>
      <c r="M131" s="36"/>
      <c r="N131" s="36"/>
      <c r="O131" s="36"/>
      <c r="P131" s="36"/>
      <c r="Q131" s="36"/>
      <c r="R131" s="37"/>
      <c r="S131" s="38"/>
      <c r="T131" s="57"/>
      <c r="U131" s="52"/>
      <c r="V131" s="51"/>
      <c r="W131" s="51"/>
      <c r="X131" s="52"/>
      <c r="Y131" s="52"/>
      <c r="Z131" s="53"/>
      <c r="AA131" s="53"/>
    </row>
    <row r="132" spans="1:27" x14ac:dyDescent="0.3">
      <c r="A132" s="97">
        <v>42909</v>
      </c>
      <c r="B132" s="117" t="s">
        <v>431</v>
      </c>
      <c r="C132" s="26" t="s">
        <v>126</v>
      </c>
      <c r="D132" s="16">
        <v>29334</v>
      </c>
      <c r="E132" s="16">
        <v>29135</v>
      </c>
      <c r="F132" s="16">
        <v>29126</v>
      </c>
      <c r="G132" s="16">
        <v>29115</v>
      </c>
      <c r="H132" s="16">
        <v>29327</v>
      </c>
      <c r="I132" s="16">
        <v>29285</v>
      </c>
      <c r="J132" s="16">
        <v>29112</v>
      </c>
      <c r="K132" s="16">
        <v>29126</v>
      </c>
      <c r="L132" s="16">
        <v>29361</v>
      </c>
      <c r="M132" s="27">
        <f>IF((L133=""),"",MAX(D134:L134))</f>
        <v>11430</v>
      </c>
      <c r="N132" s="27">
        <f>IF(L133="","",MIN(D134:L134))</f>
        <v>9378</v>
      </c>
      <c r="O132" s="27">
        <f>IF((L134=""),"",AVERAGE(D134:L134))</f>
        <v>10369.666666666666</v>
      </c>
      <c r="P132" s="27">
        <f>IF((L133=""),"",STDEV(D134:L134))</f>
        <v>575.86543567052195</v>
      </c>
      <c r="Q132" s="27">
        <f>IF((L133=""),"",P132/O132*100)</f>
        <v>5.5533649651598118</v>
      </c>
      <c r="R132" s="28" t="str">
        <f>IF(L133="","",IF(Q132&lt;Z132,IF(N132&gt;V132,IF(M132&lt;W132,"Pass","Fail"),"Fail"),"Fail"))</f>
        <v>Pass</v>
      </c>
      <c r="S132" s="29">
        <v>1159</v>
      </c>
      <c r="T132" s="55" t="s">
        <v>156</v>
      </c>
      <c r="U132" s="40"/>
      <c r="V132" s="54">
        <v>9000</v>
      </c>
      <c r="W132" s="22">
        <v>15600</v>
      </c>
      <c r="X132" s="40">
        <v>8090</v>
      </c>
      <c r="Y132" s="40">
        <v>12070</v>
      </c>
      <c r="Z132" s="47">
        <v>6</v>
      </c>
      <c r="AA132" s="47">
        <v>6</v>
      </c>
    </row>
    <row r="133" spans="1:27" ht="15.75" customHeight="1" x14ac:dyDescent="0.3">
      <c r="A133" s="96"/>
      <c r="B133" s="96"/>
      <c r="C133" s="30" t="s">
        <v>128</v>
      </c>
      <c r="D133" s="16">
        <v>26010</v>
      </c>
      <c r="E133" s="16">
        <v>25693</v>
      </c>
      <c r="F133" s="16">
        <v>25698</v>
      </c>
      <c r="G133" s="16">
        <v>25594</v>
      </c>
      <c r="H133" s="16">
        <v>25825</v>
      </c>
      <c r="I133" s="16">
        <v>26159</v>
      </c>
      <c r="J133" s="16">
        <v>25766</v>
      </c>
      <c r="K133" s="16">
        <v>25516</v>
      </c>
      <c r="L133" s="16">
        <v>25551</v>
      </c>
      <c r="M133" s="31"/>
      <c r="N133" s="31"/>
      <c r="O133" s="31"/>
      <c r="P133" s="31"/>
      <c r="Q133" s="31"/>
      <c r="R133" s="32"/>
      <c r="S133" s="33"/>
      <c r="T133" s="56"/>
      <c r="V133" s="48"/>
      <c r="W133" s="48"/>
      <c r="X133" s="49"/>
      <c r="Y133" s="49"/>
      <c r="Z133" s="50"/>
      <c r="AA133" s="50"/>
    </row>
    <row r="134" spans="1:27" ht="16.5" customHeight="1" thickBot="1" x14ac:dyDescent="0.35">
      <c r="A134" s="96"/>
      <c r="B134" s="96"/>
      <c r="C134" s="34" t="s">
        <v>129</v>
      </c>
      <c r="D134" s="35">
        <f t="shared" ref="D134:L134" si="40">IF(((D132="")*AND(D133="")),"",(D132-D133)*3)</f>
        <v>9972</v>
      </c>
      <c r="E134" s="35">
        <f t="shared" si="40"/>
        <v>10326</v>
      </c>
      <c r="F134" s="35">
        <f t="shared" si="40"/>
        <v>10284</v>
      </c>
      <c r="G134" s="35">
        <f t="shared" si="40"/>
        <v>10563</v>
      </c>
      <c r="H134" s="35">
        <f t="shared" si="40"/>
        <v>10506</v>
      </c>
      <c r="I134" s="35">
        <f t="shared" si="40"/>
        <v>9378</v>
      </c>
      <c r="J134" s="35">
        <f t="shared" si="40"/>
        <v>10038</v>
      </c>
      <c r="K134" s="35">
        <f t="shared" si="40"/>
        <v>10830</v>
      </c>
      <c r="L134" s="35">
        <f t="shared" si="40"/>
        <v>11430</v>
      </c>
      <c r="M134" s="36"/>
      <c r="N134" s="36"/>
      <c r="O134" s="36"/>
      <c r="P134" s="36"/>
      <c r="Q134" s="36"/>
      <c r="R134" s="37"/>
      <c r="S134" s="38"/>
      <c r="T134" s="57"/>
      <c r="U134" s="52"/>
      <c r="V134" s="51"/>
      <c r="W134" s="51"/>
      <c r="X134" s="52"/>
      <c r="Y134" s="52"/>
      <c r="Z134" s="53"/>
      <c r="AA134" s="53"/>
    </row>
    <row r="135" spans="1:27" x14ac:dyDescent="0.3">
      <c r="A135" s="97">
        <v>42915</v>
      </c>
      <c r="B135" s="117" t="s">
        <v>431</v>
      </c>
      <c r="C135" s="26" t="s">
        <v>126</v>
      </c>
      <c r="D135" s="16">
        <v>29276.03</v>
      </c>
      <c r="E135" s="16">
        <v>29104.69</v>
      </c>
      <c r="F135" s="16">
        <v>29076.560000000001</v>
      </c>
      <c r="G135" s="16">
        <v>29090.07</v>
      </c>
      <c r="H135" s="16">
        <v>29319.35</v>
      </c>
      <c r="I135" s="16">
        <v>29267.06</v>
      </c>
      <c r="J135" s="16">
        <v>29083.599999999999</v>
      </c>
      <c r="K135" s="16">
        <v>29098.880000000001</v>
      </c>
      <c r="L135" s="16">
        <v>29354.13</v>
      </c>
      <c r="M135" s="27">
        <f>IF((L136=""),"",MAX(D137:L137))</f>
        <v>10750.170000000009</v>
      </c>
      <c r="N135" s="27">
        <f>IF(L136="","",MIN(D137:L137))</f>
        <v>9159.27</v>
      </c>
      <c r="O135" s="27">
        <f>IF((L137=""),"",AVERAGE(D137:L137))</f>
        <v>9983.7000000000025</v>
      </c>
      <c r="P135" s="27">
        <f>IF((L136=""),"",STDEV(D137:L137))</f>
        <v>475.40571943867184</v>
      </c>
      <c r="Q135" s="27">
        <f>IF((L136=""),"",P135/O135*100)</f>
        <v>4.7618189592903608</v>
      </c>
      <c r="R135" s="28" t="str">
        <f>IF(L136="","",IF(Q135&lt;Z135,IF(N135&gt;V135,IF(M135&lt;W135,"Pass","Fail"),"Fail"),"Fail"))</f>
        <v>Pass</v>
      </c>
      <c r="S135" s="29">
        <v>64</v>
      </c>
      <c r="T135" s="55"/>
      <c r="U135" s="40"/>
      <c r="V135" s="54">
        <v>9000</v>
      </c>
      <c r="W135" s="22">
        <v>15600</v>
      </c>
      <c r="X135" s="40">
        <v>8090</v>
      </c>
      <c r="Y135" s="40">
        <v>12070</v>
      </c>
      <c r="Z135" s="47">
        <v>6</v>
      </c>
      <c r="AA135" s="47">
        <v>6</v>
      </c>
    </row>
    <row r="136" spans="1:27" ht="15.75" customHeight="1" x14ac:dyDescent="0.3">
      <c r="A136" s="96"/>
      <c r="B136" s="96"/>
      <c r="C136" s="30" t="s">
        <v>128</v>
      </c>
      <c r="D136" s="16">
        <v>25863.17</v>
      </c>
      <c r="E136" s="16">
        <v>25684.04</v>
      </c>
      <c r="F136" s="16">
        <v>25778.37</v>
      </c>
      <c r="G136" s="16">
        <v>25773.599999999999</v>
      </c>
      <c r="H136" s="16">
        <v>26151.19</v>
      </c>
      <c r="I136" s="16">
        <v>25683.67</v>
      </c>
      <c r="J136" s="16">
        <v>25642.67</v>
      </c>
      <c r="K136" s="16">
        <v>25841.52</v>
      </c>
      <c r="L136" s="16">
        <v>26301.040000000001</v>
      </c>
      <c r="M136" s="31"/>
      <c r="N136" s="31"/>
      <c r="O136" s="31"/>
      <c r="P136" s="31"/>
      <c r="Q136" s="31"/>
      <c r="R136" s="32"/>
      <c r="S136" s="33"/>
      <c r="T136" s="56"/>
      <c r="V136" s="48"/>
      <c r="W136" s="48"/>
      <c r="X136" s="49"/>
      <c r="Y136" s="49"/>
      <c r="Z136" s="50"/>
      <c r="AA136" s="50"/>
    </row>
    <row r="137" spans="1:27" ht="16.5" customHeight="1" thickBot="1" x14ac:dyDescent="0.35">
      <c r="A137" s="96"/>
      <c r="B137" s="96"/>
      <c r="C137" s="34" t="s">
        <v>129</v>
      </c>
      <c r="D137" s="35">
        <f t="shared" ref="D137:L137" si="41">IF(((D135="")*AND(D136="")),"",(D135-D136)*3)</f>
        <v>10238.580000000002</v>
      </c>
      <c r="E137" s="35">
        <f t="shared" si="41"/>
        <v>10261.949999999993</v>
      </c>
      <c r="F137" s="35">
        <f t="shared" si="41"/>
        <v>9894.570000000007</v>
      </c>
      <c r="G137" s="35">
        <f t="shared" si="41"/>
        <v>9949.4100000000035</v>
      </c>
      <c r="H137" s="35">
        <f t="shared" si="41"/>
        <v>9504.48</v>
      </c>
      <c r="I137" s="35">
        <f t="shared" si="41"/>
        <v>10750.170000000009</v>
      </c>
      <c r="J137" s="35">
        <f t="shared" si="41"/>
        <v>10322.790000000001</v>
      </c>
      <c r="K137" s="35">
        <f t="shared" si="41"/>
        <v>9772.0800000000017</v>
      </c>
      <c r="L137" s="35">
        <f t="shared" si="41"/>
        <v>9159.27</v>
      </c>
      <c r="M137" s="36"/>
      <c r="N137" s="36"/>
      <c r="O137" s="36"/>
      <c r="P137" s="36"/>
      <c r="Q137" s="36"/>
      <c r="R137" s="37"/>
      <c r="S137" s="38"/>
      <c r="T137" s="57"/>
      <c r="U137" s="52"/>
      <c r="V137" s="51"/>
      <c r="W137" s="51"/>
      <c r="X137" s="52"/>
      <c r="Y137" s="52"/>
      <c r="Z137" s="53"/>
      <c r="AA137" s="53"/>
    </row>
    <row r="138" spans="1:27" x14ac:dyDescent="0.3">
      <c r="A138" s="97">
        <v>42915</v>
      </c>
      <c r="B138" s="117" t="s">
        <v>431</v>
      </c>
      <c r="C138" s="26" t="s">
        <v>126</v>
      </c>
      <c r="D138" s="16">
        <v>29227.4</v>
      </c>
      <c r="E138" s="16">
        <v>29041.31</v>
      </c>
      <c r="F138" s="16">
        <v>29091.86</v>
      </c>
      <c r="G138" s="16">
        <v>29043.77</v>
      </c>
      <c r="H138" s="16">
        <v>29222.82</v>
      </c>
      <c r="I138" s="16">
        <v>29194.34</v>
      </c>
      <c r="J138" s="16">
        <v>29035.5</v>
      </c>
      <c r="K138" s="16">
        <v>29029.07</v>
      </c>
      <c r="L138" s="16">
        <v>29268.62</v>
      </c>
      <c r="M138" s="27">
        <f>IF((L139=""),"",MAX(D140:L140))</f>
        <v>10761.779999999995</v>
      </c>
      <c r="N138" s="27">
        <f>IF(L139="","",MIN(D140:L140))</f>
        <v>9209.1600000000035</v>
      </c>
      <c r="O138" s="27">
        <f>IF((L140=""),"",AVERAGE(D140:L140))</f>
        <v>10007.186666666668</v>
      </c>
      <c r="P138" s="27">
        <f>IF((L139=""),"",STDEV(D140:L140))</f>
        <v>456.68968134828481</v>
      </c>
      <c r="Q138" s="27">
        <f>IF((L139=""),"",P138/O138*100)</f>
        <v>4.5636170939979603</v>
      </c>
      <c r="R138" s="28" t="str">
        <f>IF(L139="","",IF(Q138&lt;Z138,IF(N138&gt;V138,IF(M138&lt;W138,"Pass","Fail"),"Fail"),"Fail"))</f>
        <v>Pass</v>
      </c>
      <c r="S138" s="29">
        <v>1428</v>
      </c>
      <c r="T138" s="55" t="s">
        <v>157</v>
      </c>
      <c r="U138" s="40"/>
      <c r="V138" s="54">
        <v>9000</v>
      </c>
      <c r="W138" s="22">
        <v>15600</v>
      </c>
      <c r="X138" s="40">
        <v>8090</v>
      </c>
      <c r="Y138" s="40">
        <v>12070</v>
      </c>
      <c r="Z138" s="47">
        <v>6</v>
      </c>
      <c r="AA138" s="47">
        <v>6</v>
      </c>
    </row>
    <row r="139" spans="1:27" ht="15.75" customHeight="1" x14ac:dyDescent="0.3">
      <c r="A139" s="96"/>
      <c r="B139" s="96"/>
      <c r="C139" s="30" t="s">
        <v>128</v>
      </c>
      <c r="D139" s="16">
        <v>26045.53</v>
      </c>
      <c r="E139" s="16">
        <v>25720.85</v>
      </c>
      <c r="F139" s="16">
        <v>25777.53</v>
      </c>
      <c r="G139" s="16">
        <v>25622.6</v>
      </c>
      <c r="H139" s="16">
        <v>25812.11</v>
      </c>
      <c r="I139" s="16">
        <v>26124.62</v>
      </c>
      <c r="J139" s="16">
        <v>25758.36</v>
      </c>
      <c r="K139" s="16">
        <v>25590.17</v>
      </c>
      <c r="L139" s="16">
        <v>25681.360000000001</v>
      </c>
      <c r="M139" s="31"/>
      <c r="N139" s="31"/>
      <c r="O139" s="31"/>
      <c r="P139" s="31"/>
      <c r="Q139" s="31"/>
      <c r="R139" s="32"/>
      <c r="S139" s="33"/>
      <c r="T139" s="56"/>
      <c r="V139" s="48"/>
      <c r="W139" s="48"/>
      <c r="X139" s="49"/>
      <c r="Y139" s="49"/>
      <c r="Z139" s="50"/>
      <c r="AA139" s="50"/>
    </row>
    <row r="140" spans="1:27" ht="16.5" customHeight="1" thickBot="1" x14ac:dyDescent="0.35">
      <c r="A140" s="96"/>
      <c r="B140" s="96"/>
      <c r="C140" s="34" t="s">
        <v>129</v>
      </c>
      <c r="D140" s="35">
        <f t="shared" ref="D140:L140" si="42">IF(((D138="")*AND(D139="")),"",(D138-D139)*3)</f>
        <v>9545.6100000000079</v>
      </c>
      <c r="E140" s="35">
        <f t="shared" si="42"/>
        <v>9961.3800000000083</v>
      </c>
      <c r="F140" s="35">
        <f t="shared" si="42"/>
        <v>9942.9900000000052</v>
      </c>
      <c r="G140" s="35">
        <f t="shared" si="42"/>
        <v>10263.510000000006</v>
      </c>
      <c r="H140" s="35">
        <f t="shared" si="42"/>
        <v>10232.129999999997</v>
      </c>
      <c r="I140" s="35">
        <f t="shared" si="42"/>
        <v>9209.1600000000035</v>
      </c>
      <c r="J140" s="35">
        <f t="shared" si="42"/>
        <v>9831.4199999999983</v>
      </c>
      <c r="K140" s="35">
        <f t="shared" si="42"/>
        <v>10316.700000000004</v>
      </c>
      <c r="L140" s="35">
        <f t="shared" si="42"/>
        <v>10761.779999999995</v>
      </c>
      <c r="M140" s="36"/>
      <c r="N140" s="36"/>
      <c r="O140" s="36"/>
      <c r="P140" s="36"/>
      <c r="Q140" s="36"/>
      <c r="R140" s="37"/>
      <c r="S140" s="38"/>
      <c r="T140" s="57"/>
      <c r="U140" s="52"/>
      <c r="V140" s="51"/>
      <c r="W140" s="51"/>
      <c r="X140" s="52"/>
      <c r="Y140" s="52"/>
      <c r="Z140" s="53"/>
      <c r="AA140" s="53"/>
    </row>
    <row r="141" spans="1:27" x14ac:dyDescent="0.3">
      <c r="A141" s="97">
        <v>42923</v>
      </c>
      <c r="B141" s="117" t="s">
        <v>431</v>
      </c>
      <c r="C141" s="26" t="s">
        <v>126</v>
      </c>
      <c r="D141" s="16">
        <v>29247.01</v>
      </c>
      <c r="E141" s="16">
        <v>29040.79</v>
      </c>
      <c r="F141" s="16">
        <v>29100</v>
      </c>
      <c r="G141" s="16">
        <v>29018.84</v>
      </c>
      <c r="H141" s="16">
        <v>29215.29</v>
      </c>
      <c r="I141" s="16">
        <v>29180.16</v>
      </c>
      <c r="J141" s="16">
        <v>29010.55</v>
      </c>
      <c r="K141" s="16">
        <v>29027.06</v>
      </c>
      <c r="L141" s="16">
        <v>29227.07</v>
      </c>
      <c r="M141" s="27">
        <f>IF((L142=""),"",MAX(D143:L143))</f>
        <v>10580.819999999996</v>
      </c>
      <c r="N141" s="27">
        <f>IF(L142="","",MIN(D143:L143))</f>
        <v>8956.5900000000074</v>
      </c>
      <c r="O141" s="27">
        <f>IF((L143=""),"",AVERAGE(D143:L143))</f>
        <v>9656.4866666666712</v>
      </c>
      <c r="P141" s="27">
        <f>IF((L142=""),"",STDEV(D143:L143))</f>
        <v>503.61143513625393</v>
      </c>
      <c r="Q141" s="27">
        <f>IF((L142=""),"",P141/O141*100)</f>
        <v>5.2152656811993081</v>
      </c>
      <c r="R141" s="28" t="str">
        <f>IF(L142="","",IF(Q141&lt;Z141,IF(N141&gt;V141,IF(M141&lt;W141,"Pass","Fail"),"Fail"),"Fail"))</f>
        <v>Fail</v>
      </c>
      <c r="S141" s="29">
        <v>1428</v>
      </c>
      <c r="T141" s="55" t="s">
        <v>158</v>
      </c>
      <c r="U141" s="40"/>
      <c r="V141" s="54">
        <v>9000</v>
      </c>
      <c r="W141" s="22">
        <v>15600</v>
      </c>
      <c r="X141" s="40">
        <v>8090</v>
      </c>
      <c r="Y141" s="40">
        <v>12070</v>
      </c>
      <c r="Z141" s="47">
        <v>6</v>
      </c>
      <c r="AA141" s="47">
        <v>6</v>
      </c>
    </row>
    <row r="142" spans="1:27" ht="15.75" customHeight="1" x14ac:dyDescent="0.3">
      <c r="A142" s="96"/>
      <c r="B142" s="96"/>
      <c r="C142" s="30" t="s">
        <v>128</v>
      </c>
      <c r="D142" s="16">
        <v>25931.46</v>
      </c>
      <c r="E142" s="16">
        <v>25733.37</v>
      </c>
      <c r="F142" s="16">
        <v>25912.2</v>
      </c>
      <c r="G142" s="16">
        <v>25860.67</v>
      </c>
      <c r="H142" s="16">
        <v>26229.759999999998</v>
      </c>
      <c r="I142" s="16">
        <v>25653.22</v>
      </c>
      <c r="J142" s="16">
        <v>25699.62</v>
      </c>
      <c r="K142" s="16">
        <v>25861.64</v>
      </c>
      <c r="L142" s="16">
        <v>26215.37</v>
      </c>
      <c r="M142" s="31"/>
      <c r="N142" s="31"/>
      <c r="O142" s="31"/>
      <c r="P142" s="31"/>
      <c r="Q142" s="31"/>
      <c r="R142" s="32"/>
      <c r="S142" s="33"/>
      <c r="T142" s="56"/>
      <c r="V142" s="48"/>
      <c r="W142" s="48"/>
      <c r="X142" s="49"/>
      <c r="Y142" s="49"/>
      <c r="Z142" s="50"/>
      <c r="AA142" s="50"/>
    </row>
    <row r="143" spans="1:27" ht="16.5" customHeight="1" thickBot="1" x14ac:dyDescent="0.35">
      <c r="A143" s="96"/>
      <c r="B143" s="96"/>
      <c r="C143" s="34" t="s">
        <v>129</v>
      </c>
      <c r="D143" s="35">
        <f t="shared" ref="D143:L143" si="43">IF(((D141="")*AND(D142="")),"",(D141-D142)*3)</f>
        <v>9946.6499999999978</v>
      </c>
      <c r="E143" s="35">
        <f t="shared" si="43"/>
        <v>9922.2600000000057</v>
      </c>
      <c r="F143" s="35">
        <f t="shared" si="43"/>
        <v>9563.3999999999978</v>
      </c>
      <c r="G143" s="35">
        <f t="shared" si="43"/>
        <v>9474.5100000000057</v>
      </c>
      <c r="H143" s="35">
        <f t="shared" si="43"/>
        <v>8956.5900000000074</v>
      </c>
      <c r="I143" s="35">
        <f t="shared" si="43"/>
        <v>10580.819999999996</v>
      </c>
      <c r="J143" s="35">
        <f t="shared" si="43"/>
        <v>9932.7900000000009</v>
      </c>
      <c r="K143" s="35">
        <f t="shared" si="43"/>
        <v>9496.2600000000057</v>
      </c>
      <c r="L143" s="35">
        <f t="shared" si="43"/>
        <v>9035.1000000000022</v>
      </c>
      <c r="M143" s="36"/>
      <c r="N143" s="36"/>
      <c r="O143" s="36"/>
      <c r="P143" s="36"/>
      <c r="Q143" s="36"/>
      <c r="R143" s="37"/>
      <c r="S143" s="38"/>
      <c r="T143" s="57"/>
      <c r="U143" s="52"/>
      <c r="V143" s="51"/>
      <c r="W143" s="51"/>
      <c r="X143" s="52"/>
      <c r="Y143" s="52"/>
      <c r="Z143" s="53"/>
      <c r="AA143" s="53"/>
    </row>
    <row r="144" spans="1:27" x14ac:dyDescent="0.3">
      <c r="A144" s="97">
        <v>42933</v>
      </c>
      <c r="B144" s="117" t="s">
        <v>431</v>
      </c>
      <c r="C144" s="26" t="s">
        <v>126</v>
      </c>
      <c r="D144" s="16">
        <v>29108.83</v>
      </c>
      <c r="E144" s="16">
        <v>28938.04</v>
      </c>
      <c r="F144" s="16">
        <v>28918.400000000001</v>
      </c>
      <c r="G144" s="16">
        <v>28938.29</v>
      </c>
      <c r="H144" s="16">
        <v>29160.75</v>
      </c>
      <c r="I144" s="16">
        <v>29128.04</v>
      </c>
      <c r="J144" s="16">
        <v>28935.66</v>
      </c>
      <c r="K144" s="16">
        <v>28926.63</v>
      </c>
      <c r="L144" s="16">
        <v>29145.06</v>
      </c>
      <c r="M144" s="27">
        <f>IF((L145=""),"",MAX(D146:L146))</f>
        <v>10484.910000000003</v>
      </c>
      <c r="N144" s="27">
        <f>IF(L145="","",MIN(D146:L146))</f>
        <v>8838.570000000007</v>
      </c>
      <c r="O144" s="27">
        <f>IF((L146=""),"",AVERAGE(D146:L146))</f>
        <v>9578.3966666666711</v>
      </c>
      <c r="P144" s="27">
        <f>IF((L145=""),"",STDEV(D146:L146))</f>
        <v>498.08495723621155</v>
      </c>
      <c r="Q144" s="27">
        <f>IF((L145=""),"",P144/O144*100)</f>
        <v>5.200086972484379</v>
      </c>
      <c r="R144" s="28" t="str">
        <f>IF(L145="","",IF(Q144&lt;Z144,IF(N144&gt;V144,IF(M144&lt;W144,"Pass","Fail"),"Fail"),"Fail"))</f>
        <v>Fail</v>
      </c>
      <c r="S144" s="29">
        <v>102</v>
      </c>
      <c r="T144" s="55" t="s">
        <v>159</v>
      </c>
      <c r="U144" s="40"/>
      <c r="V144" s="54">
        <v>9000</v>
      </c>
      <c r="W144" s="22">
        <v>15600</v>
      </c>
      <c r="X144" s="40">
        <v>8090</v>
      </c>
      <c r="Y144" s="40">
        <v>12070</v>
      </c>
      <c r="Z144" s="47">
        <v>6</v>
      </c>
      <c r="AA144" s="47">
        <v>6</v>
      </c>
    </row>
    <row r="145" spans="1:27" ht="15.75" customHeight="1" x14ac:dyDescent="0.3">
      <c r="A145" s="96"/>
      <c r="B145" s="96"/>
      <c r="C145" s="30" t="s">
        <v>128</v>
      </c>
      <c r="D145" s="16">
        <v>26053.47</v>
      </c>
      <c r="E145" s="16">
        <v>25804.84</v>
      </c>
      <c r="F145" s="16">
        <v>25792.14</v>
      </c>
      <c r="G145" s="16">
        <v>25672.23</v>
      </c>
      <c r="H145" s="16">
        <v>25845.68</v>
      </c>
      <c r="I145" s="16">
        <v>26181.85</v>
      </c>
      <c r="J145" s="16">
        <v>25839.42</v>
      </c>
      <c r="K145" s="16">
        <v>25624.79</v>
      </c>
      <c r="L145" s="16">
        <v>25650.09</v>
      </c>
      <c r="M145" s="31"/>
      <c r="N145" s="31"/>
      <c r="O145" s="31"/>
      <c r="P145" s="31"/>
      <c r="Q145" s="31"/>
      <c r="R145" s="32"/>
      <c r="S145" s="33"/>
      <c r="T145" s="56"/>
      <c r="V145" s="48"/>
      <c r="W145" s="48"/>
      <c r="X145" s="49"/>
      <c r="Y145" s="49"/>
      <c r="Z145" s="50"/>
      <c r="AA145" s="50"/>
    </row>
    <row r="146" spans="1:27" ht="16.5" customHeight="1" thickBot="1" x14ac:dyDescent="0.35">
      <c r="A146" s="96"/>
      <c r="B146" s="96"/>
      <c r="C146" s="34" t="s">
        <v>129</v>
      </c>
      <c r="D146" s="35">
        <f t="shared" ref="D146:L146" si="44">IF(((D144="")*AND(D145="")),"",(D144-D145)*3)</f>
        <v>9166.0800000000017</v>
      </c>
      <c r="E146" s="35">
        <f t="shared" si="44"/>
        <v>9399.6000000000022</v>
      </c>
      <c r="F146" s="35">
        <f t="shared" si="44"/>
        <v>9378.7800000000061</v>
      </c>
      <c r="G146" s="35">
        <f t="shared" si="44"/>
        <v>9798.1800000000039</v>
      </c>
      <c r="H146" s="35">
        <f t="shared" si="44"/>
        <v>9945.2099999999991</v>
      </c>
      <c r="I146" s="35">
        <f t="shared" si="44"/>
        <v>8838.570000000007</v>
      </c>
      <c r="J146" s="35">
        <f t="shared" si="44"/>
        <v>9288.7200000000048</v>
      </c>
      <c r="K146" s="35">
        <f t="shared" si="44"/>
        <v>9905.52</v>
      </c>
      <c r="L146" s="35">
        <f t="shared" si="44"/>
        <v>10484.910000000003</v>
      </c>
      <c r="M146" s="36"/>
      <c r="N146" s="36"/>
      <c r="O146" s="36"/>
      <c r="P146" s="36"/>
      <c r="Q146" s="36"/>
      <c r="R146" s="37"/>
      <c r="S146" s="38"/>
      <c r="T146" s="57"/>
      <c r="U146" s="52"/>
      <c r="V146" s="51"/>
      <c r="W146" s="51"/>
      <c r="X146" s="52"/>
      <c r="Y146" s="52"/>
      <c r="Z146" s="53"/>
      <c r="AA146" s="53"/>
    </row>
    <row r="147" spans="1:27" x14ac:dyDescent="0.3">
      <c r="A147" s="97">
        <v>42937</v>
      </c>
      <c r="B147" s="117" t="s">
        <v>431</v>
      </c>
      <c r="C147" s="26" t="s">
        <v>126</v>
      </c>
      <c r="D147" s="16">
        <v>29057.17</v>
      </c>
      <c r="E147" s="16">
        <v>28928.43</v>
      </c>
      <c r="F147" s="16">
        <v>28902.720000000001</v>
      </c>
      <c r="G147" s="16">
        <v>28914.09</v>
      </c>
      <c r="H147" s="16">
        <v>29081.83</v>
      </c>
      <c r="I147" s="16">
        <v>29102.75</v>
      </c>
      <c r="J147" s="16">
        <v>28915.08</v>
      </c>
      <c r="K147" s="16">
        <v>28923.66</v>
      </c>
      <c r="L147" s="16">
        <v>29157.3</v>
      </c>
      <c r="M147" s="27">
        <f>IF((L148=""),"",MAX(D149:L149))</f>
        <v>10339.529999999995</v>
      </c>
      <c r="N147" s="27">
        <f>IF(L148="","",MIN(D149:L149))</f>
        <v>8936.7900000000009</v>
      </c>
      <c r="O147" s="27">
        <f>IF((L149=""),"",AVERAGE(D149:L149))</f>
        <v>9501.5133333333306</v>
      </c>
      <c r="P147" s="27">
        <f>IF((L148=""),"",STDEV(D149:L149))</f>
        <v>465.88357105075056</v>
      </c>
      <c r="Q147" s="27">
        <f>IF((L148=""),"",P147/O147*100)</f>
        <v>4.903256509848088</v>
      </c>
      <c r="R147" s="28" t="str">
        <f>IF(L148="","",IF(Q147&lt;Z147,IF(N147&gt;V147,IF(M147&lt;W147,"Pass","Fail"),"Fail"),"Fail"))</f>
        <v>Fail</v>
      </c>
      <c r="S147" s="29">
        <v>1428</v>
      </c>
      <c r="T147" s="55"/>
      <c r="U147" s="40"/>
      <c r="V147" s="54">
        <v>9000</v>
      </c>
      <c r="W147" s="22">
        <v>15600</v>
      </c>
      <c r="X147" s="40">
        <v>8090</v>
      </c>
      <c r="Y147" s="40">
        <v>12070</v>
      </c>
      <c r="Z147" s="47">
        <v>6</v>
      </c>
      <c r="AA147" s="47">
        <v>6</v>
      </c>
    </row>
    <row r="148" spans="1:27" ht="15.75" customHeight="1" x14ac:dyDescent="0.3">
      <c r="A148" s="96"/>
      <c r="B148" s="96"/>
      <c r="C148" s="30" t="s">
        <v>128</v>
      </c>
      <c r="D148" s="16">
        <v>25745.59</v>
      </c>
      <c r="E148" s="16">
        <v>25687.58</v>
      </c>
      <c r="F148" s="16">
        <v>25808.97</v>
      </c>
      <c r="G148" s="16">
        <v>25808.7</v>
      </c>
      <c r="H148" s="16">
        <v>26102.9</v>
      </c>
      <c r="I148" s="16">
        <v>25656.240000000002</v>
      </c>
      <c r="J148" s="16">
        <v>25674.799999999999</v>
      </c>
      <c r="K148" s="16">
        <v>25816.38</v>
      </c>
      <c r="L148" s="16">
        <v>26177.33</v>
      </c>
      <c r="M148" s="31"/>
      <c r="N148" s="31"/>
      <c r="O148" s="31"/>
      <c r="P148" s="31"/>
      <c r="Q148" s="31"/>
      <c r="R148" s="32"/>
      <c r="S148" s="33"/>
      <c r="T148" s="56"/>
      <c r="V148" s="48"/>
      <c r="W148" s="48"/>
      <c r="X148" s="49"/>
      <c r="Y148" s="49"/>
      <c r="Z148" s="50"/>
      <c r="AA148" s="50"/>
    </row>
    <row r="149" spans="1:27" ht="16.5" customHeight="1" thickBot="1" x14ac:dyDescent="0.35">
      <c r="A149" s="96"/>
      <c r="B149" s="96"/>
      <c r="C149" s="34" t="s">
        <v>129</v>
      </c>
      <c r="D149" s="35">
        <f t="shared" ref="D149:L149" si="45">IF(((D147="")*AND(D148="")),"",(D147-D148)*3)</f>
        <v>9934.7399999999943</v>
      </c>
      <c r="E149" s="35">
        <f t="shared" si="45"/>
        <v>9722.5499999999956</v>
      </c>
      <c r="F149" s="35">
        <f t="shared" si="45"/>
        <v>9281.25</v>
      </c>
      <c r="G149" s="35">
        <f t="shared" si="45"/>
        <v>9316.1699999999983</v>
      </c>
      <c r="H149" s="35">
        <f t="shared" si="45"/>
        <v>8936.7900000000009</v>
      </c>
      <c r="I149" s="35">
        <f t="shared" si="45"/>
        <v>10339.529999999995</v>
      </c>
      <c r="J149" s="35">
        <f t="shared" si="45"/>
        <v>9720.8400000000074</v>
      </c>
      <c r="K149" s="35">
        <f t="shared" si="45"/>
        <v>9321.8399999999965</v>
      </c>
      <c r="L149" s="35">
        <f t="shared" si="45"/>
        <v>8939.9099999999926</v>
      </c>
      <c r="M149" s="36"/>
      <c r="N149" s="36"/>
      <c r="O149" s="36"/>
      <c r="P149" s="36"/>
      <c r="Q149" s="36"/>
      <c r="R149" s="37"/>
      <c r="S149" s="38"/>
      <c r="T149" s="57"/>
      <c r="U149" s="52"/>
      <c r="V149" s="51"/>
      <c r="W149" s="51"/>
      <c r="X149" s="52"/>
      <c r="Y149" s="52"/>
      <c r="Z149" s="53"/>
      <c r="AA149" s="53"/>
    </row>
    <row r="150" spans="1:27" x14ac:dyDescent="0.3">
      <c r="A150" s="97">
        <v>42940</v>
      </c>
      <c r="B150" s="117" t="s">
        <v>431</v>
      </c>
      <c r="C150" s="26" t="s">
        <v>126</v>
      </c>
      <c r="D150" s="16">
        <v>29060.65</v>
      </c>
      <c r="E150" s="16">
        <v>28888.45</v>
      </c>
      <c r="F150" s="16">
        <v>28875.17</v>
      </c>
      <c r="G150" s="16">
        <v>28885.98</v>
      </c>
      <c r="H150" s="16">
        <v>29084.38</v>
      </c>
      <c r="I150" s="16">
        <v>29049.96</v>
      </c>
      <c r="J150" s="16">
        <v>28875.72</v>
      </c>
      <c r="K150" s="16">
        <v>28898.37</v>
      </c>
      <c r="L150" s="16">
        <v>29117.11</v>
      </c>
      <c r="M150" s="27">
        <f>IF((L151=""),"",MAX(D152:L152))</f>
        <v>10455.330000000002</v>
      </c>
      <c r="N150" s="27">
        <f>IF(L151="","",MIN(D152:L152))</f>
        <v>8874.48</v>
      </c>
      <c r="O150" s="27">
        <f>IF((L152=""),"",AVERAGE(D152:L152))</f>
        <v>9546.6666666666679</v>
      </c>
      <c r="P150" s="27">
        <f>IF((L151=""),"",STDEV(D152:L152))</f>
        <v>478.49647328898823</v>
      </c>
      <c r="Q150" s="27">
        <f>IF((L151=""),"",P150/O150*100)</f>
        <v>5.0121837285857698</v>
      </c>
      <c r="R150" s="28" t="str">
        <f>IF(L151="","",IF(Q150&lt;Z150,IF(N150&gt;V150,IF(M150&lt;W150,"Pass","Fail"),"Fail"),"Fail"))</f>
        <v>Fail</v>
      </c>
      <c r="S150" s="29">
        <v>121</v>
      </c>
      <c r="T150" s="55" t="s">
        <v>160</v>
      </c>
      <c r="U150" s="40"/>
      <c r="V150" s="54">
        <v>9000</v>
      </c>
      <c r="W150" s="22">
        <v>15600</v>
      </c>
      <c r="X150" s="40">
        <v>8090</v>
      </c>
      <c r="Y150" s="40">
        <v>12070</v>
      </c>
      <c r="Z150" s="47">
        <v>6</v>
      </c>
      <c r="AA150" s="47">
        <v>6</v>
      </c>
    </row>
    <row r="151" spans="1:27" ht="15.75" customHeight="1" x14ac:dyDescent="0.3">
      <c r="A151" s="96"/>
      <c r="B151" s="96"/>
      <c r="C151" s="30" t="s">
        <v>128</v>
      </c>
      <c r="D151" s="16">
        <v>26026.35</v>
      </c>
      <c r="E151" s="16">
        <v>25757.4</v>
      </c>
      <c r="F151" s="16">
        <v>25766.69</v>
      </c>
      <c r="G151" s="16">
        <v>25638.53</v>
      </c>
      <c r="H151" s="16">
        <v>25800.9</v>
      </c>
      <c r="I151" s="16">
        <v>26091.8</v>
      </c>
      <c r="J151" s="16">
        <v>25771.25</v>
      </c>
      <c r="K151" s="16">
        <v>25610.87</v>
      </c>
      <c r="L151" s="16">
        <v>25632</v>
      </c>
      <c r="M151" s="31"/>
      <c r="N151" s="31"/>
      <c r="O151" s="31"/>
      <c r="P151" s="31"/>
      <c r="Q151" s="31"/>
      <c r="R151" s="32"/>
      <c r="S151" s="33"/>
      <c r="T151" s="56"/>
      <c r="V151" s="48"/>
      <c r="W151" s="48"/>
      <c r="X151" s="49"/>
      <c r="Y151" s="49"/>
      <c r="Z151" s="50"/>
      <c r="AA151" s="50"/>
    </row>
    <row r="152" spans="1:27" ht="16.5" customHeight="1" thickBot="1" x14ac:dyDescent="0.35">
      <c r="A152" s="96"/>
      <c r="B152" s="96"/>
      <c r="C152" s="34" t="s">
        <v>129</v>
      </c>
      <c r="D152" s="35">
        <f t="shared" ref="D152:L152" si="46">IF(((D150="")*AND(D151="")),"",(D150-D151)*3)</f>
        <v>9102.9000000000087</v>
      </c>
      <c r="E152" s="35">
        <f t="shared" si="46"/>
        <v>9393.1499999999978</v>
      </c>
      <c r="F152" s="35">
        <f t="shared" si="46"/>
        <v>9325.4399999999987</v>
      </c>
      <c r="G152" s="35">
        <f t="shared" si="46"/>
        <v>9742.3500000000022</v>
      </c>
      <c r="H152" s="35">
        <f t="shared" si="46"/>
        <v>9850.4399999999987</v>
      </c>
      <c r="I152" s="35">
        <f t="shared" si="46"/>
        <v>8874.48</v>
      </c>
      <c r="J152" s="35">
        <f t="shared" si="46"/>
        <v>9313.4100000000035</v>
      </c>
      <c r="K152" s="35">
        <f t="shared" si="46"/>
        <v>9862.5</v>
      </c>
      <c r="L152" s="35">
        <f t="shared" si="46"/>
        <v>10455.330000000002</v>
      </c>
      <c r="M152" s="36"/>
      <c r="N152" s="36"/>
      <c r="O152" s="36"/>
      <c r="P152" s="36"/>
      <c r="Q152" s="36"/>
      <c r="R152" s="37"/>
      <c r="S152" s="38"/>
      <c r="T152" s="57"/>
      <c r="U152" s="52"/>
      <c r="V152" s="51"/>
      <c r="W152" s="51"/>
      <c r="X152" s="52"/>
      <c r="Y152" s="52"/>
      <c r="Z152" s="53"/>
      <c r="AA152" s="53"/>
    </row>
    <row r="153" spans="1:27" x14ac:dyDescent="0.3">
      <c r="A153" s="97">
        <v>42944</v>
      </c>
      <c r="B153" s="117" t="s">
        <v>431</v>
      </c>
      <c r="C153" s="26" t="s">
        <v>126</v>
      </c>
      <c r="D153" s="16">
        <v>29124.11</v>
      </c>
      <c r="E153" s="16">
        <v>28923.22</v>
      </c>
      <c r="F153" s="16">
        <v>28896</v>
      </c>
      <c r="G153" s="16">
        <v>28900.27</v>
      </c>
      <c r="H153" s="16">
        <v>29111.439999999999</v>
      </c>
      <c r="I153" s="16">
        <v>29084.03</v>
      </c>
      <c r="J153" s="16">
        <v>28903.13</v>
      </c>
      <c r="K153" s="16">
        <v>28905.57</v>
      </c>
      <c r="L153" s="16">
        <v>29108.62</v>
      </c>
      <c r="M153" s="27">
        <f>IF((L154=""),"",MAX(D155:L155))</f>
        <v>10657.259999999995</v>
      </c>
      <c r="N153" s="27">
        <f>IF(L154="","",MIN(D155:L155))</f>
        <v>8970.8100000000013</v>
      </c>
      <c r="O153" s="27">
        <f>IF((L155=""),"",AVERAGE(D155:L155))</f>
        <v>9763.01</v>
      </c>
      <c r="P153" s="27">
        <f>IF((L154=""),"",STDEV(D155:L155))</f>
        <v>471.70104261067468</v>
      </c>
      <c r="Q153" s="27">
        <f>IF((L154=""),"",P153/O153*100)</f>
        <v>4.831512439408284</v>
      </c>
      <c r="R153" s="28" t="str">
        <f>IF(L154="","",IF(Q153&lt;Z153,IF(N153&gt;V153,IF(M153&lt;W153,"Pass","Fail"),"Fail"),"Fail"))</f>
        <v>Fail</v>
      </c>
      <c r="S153" s="29">
        <v>102</v>
      </c>
      <c r="T153" s="55" t="s">
        <v>161</v>
      </c>
      <c r="U153" s="40"/>
      <c r="V153" s="54">
        <v>9000</v>
      </c>
      <c r="W153" s="22">
        <v>15600</v>
      </c>
      <c r="X153" s="40">
        <v>8090</v>
      </c>
      <c r="Y153" s="40">
        <v>12070</v>
      </c>
      <c r="Z153" s="47">
        <v>6</v>
      </c>
      <c r="AA153" s="47">
        <v>6</v>
      </c>
    </row>
    <row r="154" spans="1:27" ht="15.75" customHeight="1" x14ac:dyDescent="0.3">
      <c r="A154" s="96"/>
      <c r="B154" s="96"/>
      <c r="C154" s="30" t="s">
        <v>128</v>
      </c>
      <c r="D154" s="16">
        <v>25972.68</v>
      </c>
      <c r="E154" s="16">
        <v>25688.46</v>
      </c>
      <c r="F154" s="16">
        <v>25683.26</v>
      </c>
      <c r="G154" s="16">
        <v>25592.68</v>
      </c>
      <c r="H154" s="16">
        <v>25797.65</v>
      </c>
      <c r="I154" s="16">
        <v>26093.759999999998</v>
      </c>
      <c r="J154" s="16">
        <v>25740.04</v>
      </c>
      <c r="K154" s="16">
        <v>25542.63</v>
      </c>
      <c r="L154" s="16">
        <v>25556.2</v>
      </c>
      <c r="M154" s="31"/>
      <c r="N154" s="31"/>
      <c r="O154" s="31"/>
      <c r="P154" s="31"/>
      <c r="Q154" s="31"/>
      <c r="R154" s="32"/>
      <c r="S154" s="33"/>
      <c r="T154" s="56"/>
      <c r="V154" s="48"/>
      <c r="W154" s="48"/>
      <c r="X154" s="49"/>
      <c r="Y154" s="49"/>
      <c r="Z154" s="50"/>
      <c r="AA154" s="50"/>
    </row>
    <row r="155" spans="1:27" ht="16.5" customHeight="1" thickBot="1" x14ac:dyDescent="0.35">
      <c r="A155" s="96"/>
      <c r="B155" s="96"/>
      <c r="C155" s="34" t="s">
        <v>129</v>
      </c>
      <c r="D155" s="35">
        <f t="shared" ref="D155:L155" si="47">IF(((D153="")*AND(D154="")),"",(D153-D154)*3)</f>
        <v>9454.2900000000009</v>
      </c>
      <c r="E155" s="35">
        <f t="shared" si="47"/>
        <v>9704.2800000000061</v>
      </c>
      <c r="F155" s="35">
        <f t="shared" si="47"/>
        <v>9638.2200000000048</v>
      </c>
      <c r="G155" s="35">
        <f t="shared" si="47"/>
        <v>9922.77</v>
      </c>
      <c r="H155" s="35">
        <f t="shared" si="47"/>
        <v>9941.3699999999917</v>
      </c>
      <c r="I155" s="35">
        <f t="shared" si="47"/>
        <v>8970.8100000000013</v>
      </c>
      <c r="J155" s="35">
        <f t="shared" si="47"/>
        <v>9489.27</v>
      </c>
      <c r="K155" s="35">
        <f t="shared" si="47"/>
        <v>10088.819999999996</v>
      </c>
      <c r="L155" s="35">
        <f t="shared" si="47"/>
        <v>10657.259999999995</v>
      </c>
      <c r="M155" s="36"/>
      <c r="N155" s="36"/>
      <c r="O155" s="36"/>
      <c r="P155" s="36"/>
      <c r="Q155" s="36"/>
      <c r="R155" s="37"/>
      <c r="S155" s="38"/>
      <c r="T155" s="57"/>
      <c r="U155" s="52"/>
      <c r="V155" s="51"/>
      <c r="W155" s="51"/>
      <c r="X155" s="52"/>
      <c r="Y155" s="52"/>
      <c r="Z155" s="53"/>
      <c r="AA155" s="53"/>
    </row>
    <row r="156" spans="1:27" x14ac:dyDescent="0.3">
      <c r="A156" s="97">
        <v>42948</v>
      </c>
      <c r="B156" s="117" t="s">
        <v>431</v>
      </c>
      <c r="C156" s="26" t="s">
        <v>126</v>
      </c>
      <c r="D156" s="16">
        <v>29341.4</v>
      </c>
      <c r="E156" s="16">
        <v>29181.41</v>
      </c>
      <c r="F156" s="16">
        <v>29240.080000000002</v>
      </c>
      <c r="G156" s="16">
        <v>29192.82</v>
      </c>
      <c r="H156" s="16">
        <v>29441.74</v>
      </c>
      <c r="I156" s="16">
        <v>29345.15</v>
      </c>
      <c r="J156" s="16">
        <v>29187.13</v>
      </c>
      <c r="K156" s="16">
        <v>29175.75</v>
      </c>
      <c r="L156" s="16">
        <v>29419.57</v>
      </c>
      <c r="M156" s="27">
        <f>IF((L157=""),"",MAX(D158:L158))</f>
        <v>10393.589999999997</v>
      </c>
      <c r="N156" s="27">
        <f>IF(L157="","",MIN(D158:L158))</f>
        <v>8799.8700000000026</v>
      </c>
      <c r="O156" s="27">
        <f>IF((L158=""),"",AVERAGE(D158:L158))</f>
        <v>9497.9699999999993</v>
      </c>
      <c r="P156" s="27">
        <f>IF((L157=""),"",STDEV(D158:L158))</f>
        <v>478.40841553007704</v>
      </c>
      <c r="Q156" s="27">
        <f>IF((L157=""),"",P156/O156*100)</f>
        <v>5.0369543758305939</v>
      </c>
      <c r="R156" s="28" t="str">
        <f>IF(L157="","",IF(Q156&lt;Z156,IF(N156&gt;V156,IF(M156&lt;W156,"Pass","Fail"),"Fail"),"Fail"))</f>
        <v>Fail</v>
      </c>
      <c r="S156" s="29">
        <v>1159</v>
      </c>
      <c r="T156" s="55" t="s">
        <v>162</v>
      </c>
      <c r="U156" s="40"/>
      <c r="V156" s="54">
        <v>9000</v>
      </c>
      <c r="W156" s="22">
        <v>15600</v>
      </c>
      <c r="X156" s="40">
        <v>8090</v>
      </c>
      <c r="Y156" s="40">
        <v>12070</v>
      </c>
      <c r="Z156" s="47">
        <v>6</v>
      </c>
      <c r="AA156" s="47">
        <v>6</v>
      </c>
    </row>
    <row r="157" spans="1:27" ht="15.75" customHeight="1" x14ac:dyDescent="0.3">
      <c r="A157" s="96"/>
      <c r="B157" s="96"/>
      <c r="C157" s="30" t="s">
        <v>128</v>
      </c>
      <c r="D157" s="16">
        <v>26303.4</v>
      </c>
      <c r="E157" s="16">
        <v>26066.49</v>
      </c>
      <c r="F157" s="16">
        <v>26133.68</v>
      </c>
      <c r="G157" s="16">
        <v>25961.66</v>
      </c>
      <c r="H157" s="16">
        <v>26168.97</v>
      </c>
      <c r="I157" s="16">
        <v>26411.86</v>
      </c>
      <c r="J157" s="16">
        <v>26125.54</v>
      </c>
      <c r="K157" s="16">
        <v>25904.5</v>
      </c>
      <c r="L157" s="16">
        <v>25955.040000000001</v>
      </c>
      <c r="M157" s="31"/>
      <c r="N157" s="31"/>
      <c r="O157" s="31"/>
      <c r="P157" s="31"/>
      <c r="Q157" s="31"/>
      <c r="R157" s="32"/>
      <c r="S157" s="33"/>
      <c r="T157" s="56"/>
      <c r="V157" s="48"/>
      <c r="W157" s="48"/>
      <c r="X157" s="49"/>
      <c r="Y157" s="49"/>
      <c r="Z157" s="50"/>
      <c r="AA157" s="50"/>
    </row>
    <row r="158" spans="1:27" ht="16.5" customHeight="1" thickBot="1" x14ac:dyDescent="0.35">
      <c r="A158" s="96"/>
      <c r="B158" s="96"/>
      <c r="C158" s="34" t="s">
        <v>129</v>
      </c>
      <c r="D158" s="35">
        <f t="shared" ref="D158:L158" si="48">IF(((D156="")*AND(D157="")),"",(D156-D157)*3)</f>
        <v>9114</v>
      </c>
      <c r="E158" s="35">
        <f t="shared" si="48"/>
        <v>9344.7599999999948</v>
      </c>
      <c r="F158" s="35">
        <f t="shared" si="48"/>
        <v>9319.2000000000044</v>
      </c>
      <c r="G158" s="35">
        <f t="shared" si="48"/>
        <v>9693.48</v>
      </c>
      <c r="H158" s="35">
        <f t="shared" si="48"/>
        <v>9818.3100000000013</v>
      </c>
      <c r="I158" s="35">
        <f t="shared" si="48"/>
        <v>8799.8700000000026</v>
      </c>
      <c r="J158" s="35">
        <f t="shared" si="48"/>
        <v>9184.77</v>
      </c>
      <c r="K158" s="35">
        <f t="shared" si="48"/>
        <v>9813.75</v>
      </c>
      <c r="L158" s="35">
        <f t="shared" si="48"/>
        <v>10393.589999999997</v>
      </c>
      <c r="M158" s="36"/>
      <c r="N158" s="36"/>
      <c r="O158" s="36"/>
      <c r="P158" s="36"/>
      <c r="Q158" s="36"/>
      <c r="R158" s="37"/>
      <c r="S158" s="38"/>
      <c r="T158" s="57"/>
      <c r="U158" s="52"/>
      <c r="V158" s="51"/>
      <c r="W158" s="51"/>
      <c r="X158" s="52"/>
      <c r="Y158" s="52"/>
      <c r="Z158" s="53"/>
      <c r="AA158" s="53"/>
    </row>
    <row r="159" spans="1:27" x14ac:dyDescent="0.3">
      <c r="A159" s="97">
        <v>42952</v>
      </c>
      <c r="B159" s="117" t="s">
        <v>431</v>
      </c>
      <c r="C159" s="26" t="s">
        <v>126</v>
      </c>
      <c r="D159" s="16">
        <v>29073.64</v>
      </c>
      <c r="E159" s="16">
        <v>28879.81</v>
      </c>
      <c r="F159" s="16">
        <v>28922.49</v>
      </c>
      <c r="G159" s="16">
        <v>28872.63</v>
      </c>
      <c r="H159" s="16">
        <v>29048.49</v>
      </c>
      <c r="I159" s="16">
        <v>28991.279999999999</v>
      </c>
      <c r="J159" s="16">
        <v>28862.25</v>
      </c>
      <c r="K159" s="16">
        <v>28878.85</v>
      </c>
      <c r="L159" s="16">
        <v>29121.34</v>
      </c>
      <c r="M159" s="27">
        <f>IF((L160=""),"",MAX(D161:L161))</f>
        <v>11435.069999999996</v>
      </c>
      <c r="N159" s="27">
        <f>IF(L160="","",MIN(D161:L161))</f>
        <v>9875.1599999999926</v>
      </c>
      <c r="O159" s="27">
        <f>IF((L161=""),"",AVERAGE(D161:L161))</f>
        <v>10587.009999999998</v>
      </c>
      <c r="P159" s="27">
        <f>IF((L160=""),"",STDEV(D161:L161))</f>
        <v>428.99332153892595</v>
      </c>
      <c r="Q159" s="27">
        <f>IF((L160=""),"",P159/O159*100)</f>
        <v>4.0520725071472121</v>
      </c>
      <c r="R159" s="28" t="str">
        <f>IF(L160="","",IF(Q159&lt;Z159,IF(N159&gt;V159,IF(M159&lt;W159,"Pass","Fail"),"Fail"),"Fail"))</f>
        <v>Pass</v>
      </c>
      <c r="S159" s="29">
        <v>1534</v>
      </c>
      <c r="T159" s="55"/>
      <c r="U159" s="40"/>
      <c r="V159" s="54">
        <v>9000</v>
      </c>
      <c r="W159" s="22">
        <v>15600</v>
      </c>
      <c r="X159" s="40">
        <v>8090</v>
      </c>
      <c r="Y159" s="40">
        <v>12070</v>
      </c>
      <c r="Z159" s="47">
        <v>6</v>
      </c>
      <c r="AA159" s="47">
        <v>6</v>
      </c>
    </row>
    <row r="160" spans="1:27" ht="15.75" customHeight="1" x14ac:dyDescent="0.3">
      <c r="A160" s="96"/>
      <c r="B160" s="96"/>
      <c r="C160" s="30" t="s">
        <v>128</v>
      </c>
      <c r="D160" s="16">
        <v>25637.41</v>
      </c>
      <c r="E160" s="16">
        <v>25376.25</v>
      </c>
      <c r="F160" s="16">
        <v>25434.54</v>
      </c>
      <c r="G160" s="16">
        <v>25285.63</v>
      </c>
      <c r="H160" s="16">
        <v>25477.87</v>
      </c>
      <c r="I160" s="16">
        <v>25699.56</v>
      </c>
      <c r="J160" s="16">
        <v>25401.07</v>
      </c>
      <c r="K160" s="16">
        <v>25267.77</v>
      </c>
      <c r="L160" s="16">
        <v>25309.65</v>
      </c>
      <c r="M160" s="31"/>
      <c r="N160" s="31"/>
      <c r="O160" s="31"/>
      <c r="P160" s="31"/>
      <c r="Q160" s="31"/>
      <c r="R160" s="32"/>
      <c r="S160" s="33"/>
      <c r="T160" s="56"/>
      <c r="V160" s="48"/>
      <c r="W160" s="48"/>
      <c r="X160" s="49"/>
      <c r="Y160" s="49"/>
      <c r="Z160" s="50"/>
      <c r="AA160" s="50"/>
    </row>
    <row r="161" spans="1:27" ht="16.5" customHeight="1" thickBot="1" x14ac:dyDescent="0.35">
      <c r="A161" s="96"/>
      <c r="B161" s="96"/>
      <c r="C161" s="34" t="s">
        <v>129</v>
      </c>
      <c r="D161" s="35">
        <f t="shared" ref="D161:L161" si="49">IF(((D159="")*AND(D160="")),"",(D159-D160)*3)</f>
        <v>10308.689999999999</v>
      </c>
      <c r="E161" s="35">
        <f t="shared" si="49"/>
        <v>10510.680000000004</v>
      </c>
      <c r="F161" s="35">
        <f t="shared" si="49"/>
        <v>10463.850000000002</v>
      </c>
      <c r="G161" s="35">
        <f t="shared" si="49"/>
        <v>10761</v>
      </c>
      <c r="H161" s="35">
        <f t="shared" si="49"/>
        <v>10711.860000000008</v>
      </c>
      <c r="I161" s="35">
        <f t="shared" si="49"/>
        <v>9875.1599999999926</v>
      </c>
      <c r="J161" s="35">
        <f t="shared" si="49"/>
        <v>10383.540000000001</v>
      </c>
      <c r="K161" s="35">
        <f t="shared" si="49"/>
        <v>10833.239999999994</v>
      </c>
      <c r="L161" s="35">
        <f t="shared" si="49"/>
        <v>11435.069999999996</v>
      </c>
      <c r="M161" s="36"/>
      <c r="N161" s="36"/>
      <c r="O161" s="36"/>
      <c r="P161" s="36"/>
      <c r="Q161" s="36"/>
      <c r="R161" s="37"/>
      <c r="S161" s="38"/>
      <c r="T161" s="57"/>
      <c r="U161" s="52"/>
      <c r="V161" s="51"/>
      <c r="W161" s="51"/>
      <c r="X161" s="52"/>
      <c r="Y161" s="52"/>
      <c r="Z161" s="53"/>
      <c r="AA161" s="53"/>
    </row>
    <row r="162" spans="1:27" x14ac:dyDescent="0.3">
      <c r="A162" s="97">
        <v>42954</v>
      </c>
      <c r="B162" s="117" t="s">
        <v>431</v>
      </c>
      <c r="C162" s="26" t="s">
        <v>126</v>
      </c>
      <c r="D162" s="16">
        <v>29331.66</v>
      </c>
      <c r="E162" s="16">
        <v>29116.71</v>
      </c>
      <c r="F162" s="16">
        <v>29122.67</v>
      </c>
      <c r="G162" s="16">
        <v>29103.23</v>
      </c>
      <c r="H162" s="16">
        <v>29359.05</v>
      </c>
      <c r="I162" s="16">
        <v>29297.66</v>
      </c>
      <c r="J162" s="16">
        <v>29114.38</v>
      </c>
      <c r="K162" s="16">
        <v>29094.67</v>
      </c>
      <c r="L162" s="16">
        <v>29313.33</v>
      </c>
      <c r="M162" s="27">
        <f>IF((L163=""),"",MAX(D164:L164))</f>
        <v>10256.220000000005</v>
      </c>
      <c r="N162" s="27">
        <f>IF(L163="","",MIN(D164:L164))</f>
        <v>8756.5499999999956</v>
      </c>
      <c r="O162" s="27">
        <f>IF((L164=""),"",AVERAGE(D164:L164))</f>
        <v>9534.0433333333294</v>
      </c>
      <c r="P162" s="27">
        <f>IF((L163=""),"",STDEV(D164:L164))</f>
        <v>454.85145473550023</v>
      </c>
      <c r="Q162" s="27">
        <f>IF((L163=""),"",P162/O162*100)</f>
        <v>4.770813796757448</v>
      </c>
      <c r="R162" s="28" t="str">
        <f>IF(L163="","",IF(Q162&lt;Z162,IF(N162&gt;V162,IF(M162&lt;W162,"Pass","Fail"),"Fail"),"Fail"))</f>
        <v>Fail</v>
      </c>
      <c r="S162" s="29">
        <v>1428</v>
      </c>
      <c r="T162" s="55" t="s">
        <v>295</v>
      </c>
      <c r="U162" s="56" t="s">
        <v>163</v>
      </c>
      <c r="V162" s="54">
        <v>9000</v>
      </c>
      <c r="W162" s="22">
        <v>15600</v>
      </c>
      <c r="X162" s="40">
        <v>8090</v>
      </c>
      <c r="Y162" s="40">
        <v>12070</v>
      </c>
      <c r="Z162" s="47">
        <v>6</v>
      </c>
      <c r="AA162" s="47">
        <v>6</v>
      </c>
    </row>
    <row r="163" spans="1:27" ht="15.75" customHeight="1" x14ac:dyDescent="0.3">
      <c r="A163" s="96"/>
      <c r="B163" s="96"/>
      <c r="C163" s="30" t="s">
        <v>128</v>
      </c>
      <c r="D163" s="16">
        <v>26251.46</v>
      </c>
      <c r="E163" s="16">
        <v>25984.04</v>
      </c>
      <c r="F163" s="16">
        <v>25998.11</v>
      </c>
      <c r="G163" s="16">
        <v>25833.43</v>
      </c>
      <c r="H163" s="16">
        <v>26042.11</v>
      </c>
      <c r="I163" s="16">
        <v>26378.81</v>
      </c>
      <c r="J163" s="16">
        <v>26034.91</v>
      </c>
      <c r="K163" s="16">
        <v>25833.77</v>
      </c>
      <c r="L163" s="16">
        <v>25894.59</v>
      </c>
      <c r="M163" s="31"/>
      <c r="N163" s="31"/>
      <c r="O163" s="31"/>
      <c r="P163" s="31"/>
      <c r="Q163" s="31"/>
      <c r="R163" s="32"/>
      <c r="S163" s="33"/>
      <c r="V163" s="48"/>
      <c r="W163" s="48"/>
      <c r="X163" s="49"/>
      <c r="Y163" s="49"/>
      <c r="Z163" s="50"/>
      <c r="AA163" s="50"/>
    </row>
    <row r="164" spans="1:27" ht="16.5" customHeight="1" thickBot="1" x14ac:dyDescent="0.35">
      <c r="A164" s="96"/>
      <c r="B164" s="96"/>
      <c r="C164" s="34" t="s">
        <v>129</v>
      </c>
      <c r="D164" s="35">
        <f t="shared" ref="D164:L164" si="50">IF(((D162="")*AND(D163="")),"",(D162-D163)*3)</f>
        <v>9240.6000000000022</v>
      </c>
      <c r="E164" s="35">
        <f t="shared" si="50"/>
        <v>9398.0099999999948</v>
      </c>
      <c r="F164" s="35">
        <f t="shared" si="50"/>
        <v>9373.679999999993</v>
      </c>
      <c r="G164" s="35">
        <f t="shared" si="50"/>
        <v>9809.3999999999978</v>
      </c>
      <c r="H164" s="35">
        <f t="shared" si="50"/>
        <v>9950.8199999999961</v>
      </c>
      <c r="I164" s="35">
        <f t="shared" si="50"/>
        <v>8756.5499999999956</v>
      </c>
      <c r="J164" s="35">
        <f t="shared" si="50"/>
        <v>9238.4100000000035</v>
      </c>
      <c r="K164" s="35">
        <f t="shared" si="50"/>
        <v>9782.6999999999935</v>
      </c>
      <c r="L164" s="35">
        <f t="shared" si="50"/>
        <v>10256.220000000005</v>
      </c>
      <c r="M164" s="36"/>
      <c r="N164" s="36"/>
      <c r="O164" s="36"/>
      <c r="P164" s="36"/>
      <c r="Q164" s="36"/>
      <c r="R164" s="37"/>
      <c r="S164" s="38"/>
      <c r="T164" s="57"/>
      <c r="U164" s="52"/>
      <c r="V164" s="51"/>
      <c r="W164" s="51"/>
      <c r="X164" s="52"/>
      <c r="Y164" s="52"/>
      <c r="Z164" s="53"/>
      <c r="AA164" s="53"/>
    </row>
    <row r="165" spans="1:27" x14ac:dyDescent="0.3">
      <c r="A165" s="97">
        <v>42957</v>
      </c>
      <c r="B165" s="117" t="s">
        <v>431</v>
      </c>
      <c r="C165" s="26" t="s">
        <v>126</v>
      </c>
      <c r="D165" s="16">
        <v>28969.24</v>
      </c>
      <c r="E165" s="16">
        <v>28838.85</v>
      </c>
      <c r="F165" s="16">
        <v>28842.01</v>
      </c>
      <c r="G165" s="16">
        <v>28829.34</v>
      </c>
      <c r="H165" s="16">
        <v>29046.62</v>
      </c>
      <c r="I165" s="16">
        <v>29116.63</v>
      </c>
      <c r="J165" s="16">
        <v>28843.23</v>
      </c>
      <c r="K165" s="16">
        <v>28816.71</v>
      </c>
      <c r="L165" s="16">
        <v>29091.18</v>
      </c>
      <c r="M165" s="27">
        <f>IF((L166=""),"",MAX(D167:L167))</f>
        <v>10470.540000000001</v>
      </c>
      <c r="N165" s="27">
        <f>IF(L166="","",MIN(D167:L167))</f>
        <v>8533.5300000000061</v>
      </c>
      <c r="O165" s="27">
        <f>IF((L167=""),"",AVERAGE(D167:L167))</f>
        <v>9121</v>
      </c>
      <c r="P165" s="27">
        <f>IF((L166=""),"",STDEV(D167:L167))</f>
        <v>603.36967660796461</v>
      </c>
      <c r="Q165" s="27">
        <f>IF((L166=""),"",P165/O165*100)</f>
        <v>6.6151702292288634</v>
      </c>
      <c r="R165" s="28" t="str">
        <f>IF(L166="","",IF(Q165&lt;Z165,IF(N165&gt;V165,IF(M165&lt;W165,"Pass","Fail"),"Fail"),"Fail"))</f>
        <v>Fail</v>
      </c>
      <c r="S165" s="29">
        <v>1428</v>
      </c>
      <c r="T165" s="55" t="s">
        <v>296</v>
      </c>
      <c r="U165" s="40" t="s">
        <v>297</v>
      </c>
      <c r="V165" s="54">
        <v>9000</v>
      </c>
      <c r="W165" s="22">
        <v>15600</v>
      </c>
      <c r="X165" s="40">
        <v>8090</v>
      </c>
      <c r="Y165" s="40">
        <v>12070</v>
      </c>
      <c r="Z165" s="47">
        <v>6</v>
      </c>
      <c r="AA165" s="47">
        <v>6</v>
      </c>
    </row>
    <row r="166" spans="1:27" ht="15.75" customHeight="1" x14ac:dyDescent="0.3">
      <c r="A166" s="96"/>
      <c r="B166" s="96"/>
      <c r="C166" s="30" t="s">
        <v>128</v>
      </c>
      <c r="D166" s="16">
        <v>26124.73</v>
      </c>
      <c r="E166" s="16">
        <v>25892.42</v>
      </c>
      <c r="F166" s="16">
        <v>25905.29</v>
      </c>
      <c r="G166" s="16">
        <v>25754.59</v>
      </c>
      <c r="H166" s="16">
        <v>25862.959999999999</v>
      </c>
      <c r="I166" s="16">
        <v>26257.040000000001</v>
      </c>
      <c r="J166" s="16">
        <v>25890.95</v>
      </c>
      <c r="K166" s="16">
        <v>25741.83</v>
      </c>
      <c r="L166" s="16">
        <v>25601</v>
      </c>
      <c r="M166" s="31"/>
      <c r="N166" s="31"/>
      <c r="O166" s="31"/>
      <c r="P166" s="31"/>
      <c r="Q166" s="31"/>
      <c r="R166" s="32"/>
      <c r="S166" s="33"/>
      <c r="T166" s="56"/>
      <c r="V166" s="48"/>
      <c r="W166" s="48"/>
      <c r="X166" s="49"/>
      <c r="Y166" s="49"/>
      <c r="Z166" s="50"/>
      <c r="AA166" s="50"/>
    </row>
    <row r="167" spans="1:27" ht="16.5" customHeight="1" thickBot="1" x14ac:dyDescent="0.35">
      <c r="A167" s="96"/>
      <c r="B167" s="96"/>
      <c r="C167" s="34" t="s">
        <v>129</v>
      </c>
      <c r="D167" s="35">
        <f t="shared" ref="D167:L167" si="51">IF(((D165="")*AND(D166="")),"",(D165-D166)*3)</f>
        <v>8533.5300000000061</v>
      </c>
      <c r="E167" s="35">
        <f t="shared" si="51"/>
        <v>8839.2900000000009</v>
      </c>
      <c r="F167" s="35">
        <f t="shared" si="51"/>
        <v>8810.1599999999926</v>
      </c>
      <c r="G167" s="35">
        <f t="shared" si="51"/>
        <v>9224.25</v>
      </c>
      <c r="H167" s="35">
        <f t="shared" si="51"/>
        <v>9550.98</v>
      </c>
      <c r="I167" s="35">
        <f t="shared" si="51"/>
        <v>8578.77</v>
      </c>
      <c r="J167" s="35">
        <f t="shared" si="51"/>
        <v>8856.8399999999965</v>
      </c>
      <c r="K167" s="35">
        <f t="shared" si="51"/>
        <v>9224.6399999999921</v>
      </c>
      <c r="L167" s="35">
        <f t="shared" si="51"/>
        <v>10470.540000000001</v>
      </c>
      <c r="M167" s="36"/>
      <c r="N167" s="36"/>
      <c r="O167" s="36"/>
      <c r="P167" s="36"/>
      <c r="Q167" s="36"/>
      <c r="R167" s="37"/>
      <c r="S167" s="38"/>
      <c r="T167" s="57"/>
      <c r="U167" s="52"/>
      <c r="V167" s="51"/>
      <c r="W167" s="51"/>
      <c r="X167" s="52"/>
      <c r="Y167" s="52"/>
      <c r="Z167" s="53"/>
      <c r="AA167" s="53"/>
    </row>
    <row r="168" spans="1:27" x14ac:dyDescent="0.3">
      <c r="A168" s="97">
        <v>42969</v>
      </c>
      <c r="B168" s="117" t="s">
        <v>431</v>
      </c>
      <c r="C168" s="26" t="s">
        <v>126</v>
      </c>
      <c r="D168" s="16">
        <v>28936.14</v>
      </c>
      <c r="E168" s="16">
        <v>28815.5</v>
      </c>
      <c r="F168" s="16">
        <v>28865.48</v>
      </c>
      <c r="G168" s="16">
        <v>28828.76</v>
      </c>
      <c r="H168" s="16">
        <v>29035.41</v>
      </c>
      <c r="I168" s="16">
        <v>28997.56</v>
      </c>
      <c r="J168" s="16">
        <v>28810.43</v>
      </c>
      <c r="K168" s="16">
        <v>28810.55</v>
      </c>
      <c r="L168" s="16">
        <v>29040.46</v>
      </c>
      <c r="M168" s="27">
        <f>IF((L169=""),"",MAX(D170:L170))</f>
        <v>9865.4699999999939</v>
      </c>
      <c r="N168" s="27">
        <f>IF(L169="","",MIN(D170:L170))</f>
        <v>8128.4399999999987</v>
      </c>
      <c r="O168" s="27">
        <f>IF((L170=""),"",AVERAGE(D170:L170))</f>
        <v>8989.18</v>
      </c>
      <c r="P168" s="27">
        <f>IF((L169=""),"",STDEV(D170:L170))</f>
        <v>527.09578555514724</v>
      </c>
      <c r="Q168" s="27">
        <f>IF((L169=""),"",P168/O168*100)</f>
        <v>5.8636692730054047</v>
      </c>
      <c r="R168" s="28" t="str">
        <f>IF(L169="","",IF(Q168&lt;Z168,IF(N168&gt;V168,IF(M168&lt;W168,"Pass","Fail"),"Fail"),"Fail"))</f>
        <v>Fail</v>
      </c>
      <c r="S168" s="29">
        <v>1159</v>
      </c>
      <c r="T168" s="55"/>
      <c r="U168" s="40"/>
      <c r="V168" s="54">
        <v>9000</v>
      </c>
      <c r="W168" s="22">
        <v>15600</v>
      </c>
      <c r="X168" s="40">
        <v>8090</v>
      </c>
      <c r="Y168" s="40">
        <v>12070</v>
      </c>
      <c r="Z168" s="47">
        <v>6</v>
      </c>
      <c r="AA168" s="47">
        <v>6</v>
      </c>
    </row>
    <row r="169" spans="1:27" ht="15.75" customHeight="1" x14ac:dyDescent="0.3">
      <c r="A169" s="96"/>
      <c r="B169" s="96"/>
      <c r="C169" s="30" t="s">
        <v>128</v>
      </c>
      <c r="D169" s="16">
        <v>26097.01</v>
      </c>
      <c r="E169" s="16">
        <v>25858.639999999999</v>
      </c>
      <c r="F169" s="16">
        <v>25911.87</v>
      </c>
      <c r="G169" s="16">
        <v>25740.44</v>
      </c>
      <c r="H169" s="16">
        <v>25914.37</v>
      </c>
      <c r="I169" s="16">
        <v>26288.080000000002</v>
      </c>
      <c r="J169" s="16">
        <v>25921.42</v>
      </c>
      <c r="K169" s="16">
        <v>25688.95</v>
      </c>
      <c r="L169" s="16">
        <v>25751.97</v>
      </c>
      <c r="M169" s="31"/>
      <c r="N169" s="31"/>
      <c r="O169" s="31"/>
      <c r="P169" s="31"/>
      <c r="Q169" s="31"/>
      <c r="R169" s="32"/>
      <c r="S169" s="33"/>
      <c r="T169" s="56"/>
      <c r="V169" s="48"/>
      <c r="W169" s="48"/>
      <c r="X169" s="49"/>
      <c r="Y169" s="49"/>
      <c r="Z169" s="50"/>
      <c r="AA169" s="50"/>
    </row>
    <row r="170" spans="1:27" ht="16.5" customHeight="1" thickBot="1" x14ac:dyDescent="0.35">
      <c r="A170" s="96"/>
      <c r="B170" s="96"/>
      <c r="C170" s="34" t="s">
        <v>129</v>
      </c>
      <c r="D170" s="35">
        <f t="shared" ref="D170:L170" si="52">IF(((D168="")*AND(D169="")),"",(D168-D169)*3)</f>
        <v>8517.3900000000031</v>
      </c>
      <c r="E170" s="35">
        <f t="shared" si="52"/>
        <v>8870.5800000000017</v>
      </c>
      <c r="F170" s="35">
        <f t="shared" si="52"/>
        <v>8860.8300000000017</v>
      </c>
      <c r="G170" s="35">
        <f t="shared" si="52"/>
        <v>9264.9599999999991</v>
      </c>
      <c r="H170" s="35">
        <f t="shared" si="52"/>
        <v>9363.1200000000026</v>
      </c>
      <c r="I170" s="35">
        <f t="shared" si="52"/>
        <v>8128.4399999999987</v>
      </c>
      <c r="J170" s="35">
        <f t="shared" si="52"/>
        <v>8667.0300000000061</v>
      </c>
      <c r="K170" s="35">
        <f t="shared" si="52"/>
        <v>9364.7999999999956</v>
      </c>
      <c r="L170" s="35">
        <f t="shared" si="52"/>
        <v>9865.4699999999939</v>
      </c>
      <c r="M170" s="36"/>
      <c r="N170" s="36"/>
      <c r="O170" s="36"/>
      <c r="P170" s="36"/>
      <c r="Q170" s="36"/>
      <c r="R170" s="37"/>
      <c r="S170" s="38"/>
      <c r="T170" s="57"/>
      <c r="U170" s="52"/>
      <c r="V170" s="51"/>
      <c r="W170" s="51"/>
      <c r="X170" s="52"/>
      <c r="Y170" s="52"/>
      <c r="Z170" s="53"/>
      <c r="AA170" s="53"/>
    </row>
    <row r="171" spans="1:27" x14ac:dyDescent="0.3">
      <c r="A171" s="97">
        <v>42969</v>
      </c>
      <c r="B171" s="117" t="s">
        <v>431</v>
      </c>
      <c r="C171" s="26" t="s">
        <v>126</v>
      </c>
      <c r="D171" s="16">
        <v>29175</v>
      </c>
      <c r="E171" s="16">
        <v>29011</v>
      </c>
      <c r="F171" s="16">
        <v>29055</v>
      </c>
      <c r="G171" s="16">
        <v>29017</v>
      </c>
      <c r="H171" s="16">
        <v>29231</v>
      </c>
      <c r="I171" s="16">
        <v>29173</v>
      </c>
      <c r="J171" s="16">
        <v>28995</v>
      </c>
      <c r="K171" s="16">
        <v>29009</v>
      </c>
      <c r="L171" s="16">
        <v>29190</v>
      </c>
      <c r="M171" s="27">
        <f>IF((L172=""),"",MAX(D173:L173))</f>
        <v>9507</v>
      </c>
      <c r="N171" s="27">
        <f>IF(L172="","",MIN(D173:L173))</f>
        <v>8124</v>
      </c>
      <c r="O171" s="27">
        <f>IF((L173=""),"",AVERAGE(D173:L173))</f>
        <v>9067.3333333333339</v>
      </c>
      <c r="P171" s="27">
        <f>IF((L172=""),"",STDEV(D173:L173))</f>
        <v>448.36480682587035</v>
      </c>
      <c r="Q171" s="27">
        <f>IF((L172=""),"",P171/O171*100)</f>
        <v>4.9448364843673662</v>
      </c>
      <c r="R171" s="28" t="str">
        <f>IF(L172="","",IF(Q171&lt;Z171,IF(N171&gt;V171,IF(M171&lt;W171,"Pass","Fail"),"Fail"),"Fail"))</f>
        <v>Fail</v>
      </c>
      <c r="S171" s="29">
        <v>1159</v>
      </c>
      <c r="T171" s="55" t="s">
        <v>298</v>
      </c>
      <c r="U171" s="40" t="s">
        <v>299</v>
      </c>
      <c r="V171" s="54">
        <v>9000</v>
      </c>
      <c r="W171" s="22">
        <v>15600</v>
      </c>
      <c r="X171" s="40">
        <v>8090</v>
      </c>
      <c r="Y171" s="40">
        <v>12070</v>
      </c>
      <c r="Z171" s="47">
        <v>6</v>
      </c>
      <c r="AA171" s="47">
        <v>6</v>
      </c>
    </row>
    <row r="172" spans="1:27" ht="15.75" customHeight="1" x14ac:dyDescent="0.3">
      <c r="A172" s="96"/>
      <c r="B172" s="96"/>
      <c r="C172" s="30" t="s">
        <v>128</v>
      </c>
      <c r="D172" s="16">
        <v>26467</v>
      </c>
      <c r="E172" s="16">
        <v>26079</v>
      </c>
      <c r="F172" s="16">
        <v>26018</v>
      </c>
      <c r="G172" s="16">
        <v>25871</v>
      </c>
      <c r="H172" s="16">
        <v>26082</v>
      </c>
      <c r="I172" s="16">
        <v>26247</v>
      </c>
      <c r="J172" s="16">
        <v>25979</v>
      </c>
      <c r="K172" s="16">
        <v>25890</v>
      </c>
      <c r="L172" s="16">
        <v>26021</v>
      </c>
      <c r="M172" s="31"/>
      <c r="N172" s="31"/>
      <c r="O172" s="31"/>
      <c r="P172" s="31"/>
      <c r="Q172" s="31"/>
      <c r="R172" s="32"/>
      <c r="S172" s="33"/>
      <c r="T172" s="56"/>
      <c r="V172" s="48"/>
      <c r="W172" s="48"/>
      <c r="X172" s="49"/>
      <c r="Y172" s="49"/>
      <c r="Z172" s="50"/>
      <c r="AA172" s="50"/>
    </row>
    <row r="173" spans="1:27" ht="16.5" customHeight="1" thickBot="1" x14ac:dyDescent="0.35">
      <c r="A173" s="96"/>
      <c r="B173" s="96"/>
      <c r="C173" s="34" t="s">
        <v>129</v>
      </c>
      <c r="D173" s="35">
        <f t="shared" ref="D173:L173" si="53">IF(((D171="")*AND(D172="")),"",(D171-D172)*3)</f>
        <v>8124</v>
      </c>
      <c r="E173" s="35">
        <f t="shared" si="53"/>
        <v>8796</v>
      </c>
      <c r="F173" s="35">
        <f t="shared" si="53"/>
        <v>9111</v>
      </c>
      <c r="G173" s="35">
        <f t="shared" si="53"/>
        <v>9438</v>
      </c>
      <c r="H173" s="35">
        <f t="shared" si="53"/>
        <v>9447</v>
      </c>
      <c r="I173" s="35">
        <f t="shared" si="53"/>
        <v>8778</v>
      </c>
      <c r="J173" s="35">
        <f t="shared" si="53"/>
        <v>9048</v>
      </c>
      <c r="K173" s="35">
        <f t="shared" si="53"/>
        <v>9357</v>
      </c>
      <c r="L173" s="35">
        <f t="shared" si="53"/>
        <v>9507</v>
      </c>
      <c r="M173" s="36"/>
      <c r="N173" s="36"/>
      <c r="O173" s="36"/>
      <c r="P173" s="36"/>
      <c r="Q173" s="36"/>
      <c r="R173" s="37"/>
      <c r="S173" s="38"/>
      <c r="T173" s="57"/>
      <c r="U173" s="52"/>
      <c r="V173" s="51"/>
      <c r="W173" s="51"/>
      <c r="X173" s="52"/>
      <c r="Y173" s="52"/>
      <c r="Z173" s="53"/>
      <c r="AA173" s="53"/>
    </row>
    <row r="174" spans="1:27" x14ac:dyDescent="0.3">
      <c r="A174" s="97">
        <v>42970</v>
      </c>
      <c r="B174" s="117" t="s">
        <v>431</v>
      </c>
      <c r="C174" s="26" t="s">
        <v>126</v>
      </c>
      <c r="D174" s="16">
        <v>29258.09</v>
      </c>
      <c r="E174" s="16">
        <v>29048.79</v>
      </c>
      <c r="F174" s="16">
        <v>29074.87</v>
      </c>
      <c r="G174" s="16">
        <v>29029.46</v>
      </c>
      <c r="H174" s="16">
        <v>29215.74</v>
      </c>
      <c r="I174" s="16">
        <v>29193.09</v>
      </c>
      <c r="J174" s="16">
        <v>29028.5</v>
      </c>
      <c r="K174" s="16">
        <v>29017.27</v>
      </c>
      <c r="L174" s="16">
        <v>29241.13</v>
      </c>
      <c r="M174" s="27">
        <f>IF((L175=""),"",MAX(D176:L176))</f>
        <v>9700.4100000000035</v>
      </c>
      <c r="N174" s="27">
        <f>IF(L175="","",MIN(D176:L176))</f>
        <v>8274.7200000000048</v>
      </c>
      <c r="O174" s="27">
        <f>IF((L176=""),"",AVERAGE(D176:L176))</f>
        <v>8979.0999999999985</v>
      </c>
      <c r="P174" s="27">
        <f>IF((L175=""),"",STDEV(D176:L176))</f>
        <v>467.72862781210995</v>
      </c>
      <c r="Q174" s="27">
        <f>IF((L175=""),"",P174/O174*100)</f>
        <v>5.2090813980478003</v>
      </c>
      <c r="R174" s="28" t="str">
        <f>IF(L175="","",IF(Q174&lt;Z174,IF(N174&gt;V174,IF(M174&lt;W174,"Pass","Fail"),"Fail"),"Fail"))</f>
        <v>Fail</v>
      </c>
      <c r="S174" s="29">
        <v>1159</v>
      </c>
      <c r="T174" s="16"/>
      <c r="U174" s="55" t="s">
        <v>164</v>
      </c>
      <c r="V174" s="54">
        <v>9000</v>
      </c>
      <c r="W174" s="22">
        <v>15600</v>
      </c>
      <c r="X174" s="40">
        <v>8090</v>
      </c>
      <c r="Y174" s="40">
        <v>12070</v>
      </c>
      <c r="Z174" s="47">
        <v>6</v>
      </c>
      <c r="AA174" s="47">
        <v>6</v>
      </c>
    </row>
    <row r="175" spans="1:27" ht="15.75" customHeight="1" x14ac:dyDescent="0.3">
      <c r="A175" s="96"/>
      <c r="B175" s="96"/>
      <c r="C175" s="30" t="s">
        <v>128</v>
      </c>
      <c r="D175" s="16">
        <v>26437.09</v>
      </c>
      <c r="E175" s="16">
        <v>26111.73</v>
      </c>
      <c r="F175" s="16">
        <v>26119.59</v>
      </c>
      <c r="G175" s="16">
        <v>25931.08</v>
      </c>
      <c r="H175" s="16">
        <v>26088.080000000002</v>
      </c>
      <c r="I175" s="16">
        <v>26434.85</v>
      </c>
      <c r="J175" s="16">
        <v>26120.12</v>
      </c>
      <c r="K175" s="16">
        <v>25919.439999999999</v>
      </c>
      <c r="L175" s="16">
        <v>26007.66</v>
      </c>
      <c r="M175" s="31"/>
      <c r="N175" s="31"/>
      <c r="O175" s="31"/>
      <c r="P175" s="31"/>
      <c r="Q175" s="31"/>
      <c r="R175" s="32"/>
      <c r="S175" s="33"/>
      <c r="T175" s="56"/>
      <c r="V175" s="48"/>
      <c r="W175" s="48"/>
      <c r="X175" s="49"/>
      <c r="Y175" s="49"/>
      <c r="Z175" s="50"/>
      <c r="AA175" s="50"/>
    </row>
    <row r="176" spans="1:27" ht="16.5" customHeight="1" thickBot="1" x14ac:dyDescent="0.35">
      <c r="A176" s="96"/>
      <c r="B176" s="96"/>
      <c r="C176" s="34" t="s">
        <v>129</v>
      </c>
      <c r="D176" s="35">
        <f t="shared" ref="D176:L176" si="54">IF(((D174="")*AND(D175="")),"",(D174-D175)*3)</f>
        <v>8463</v>
      </c>
      <c r="E176" s="35">
        <f t="shared" si="54"/>
        <v>8811.1800000000039</v>
      </c>
      <c r="F176" s="35">
        <f t="shared" si="54"/>
        <v>8865.8399999999965</v>
      </c>
      <c r="G176" s="35">
        <f t="shared" si="54"/>
        <v>9295.1399999999921</v>
      </c>
      <c r="H176" s="35">
        <f t="shared" si="54"/>
        <v>9382.98</v>
      </c>
      <c r="I176" s="35">
        <f t="shared" si="54"/>
        <v>8274.7200000000048</v>
      </c>
      <c r="J176" s="35">
        <f t="shared" si="54"/>
        <v>8725.1400000000031</v>
      </c>
      <c r="K176" s="35">
        <f t="shared" si="54"/>
        <v>9293.4900000000052</v>
      </c>
      <c r="L176" s="35">
        <f t="shared" si="54"/>
        <v>9700.4100000000035</v>
      </c>
      <c r="M176" s="36"/>
      <c r="N176" s="36"/>
      <c r="O176" s="36"/>
      <c r="P176" s="36"/>
      <c r="Q176" s="36"/>
      <c r="R176" s="37"/>
      <c r="S176" s="38"/>
      <c r="T176" s="57"/>
      <c r="U176" s="52"/>
      <c r="V176" s="51"/>
      <c r="W176" s="51"/>
      <c r="X176" s="52"/>
      <c r="Y176" s="52"/>
      <c r="Z176" s="53"/>
      <c r="AA176" s="53"/>
    </row>
    <row r="177" spans="1:27" x14ac:dyDescent="0.3">
      <c r="A177" s="97">
        <v>42970</v>
      </c>
      <c r="B177" s="117" t="s">
        <v>431</v>
      </c>
      <c r="C177" s="26" t="s">
        <v>126</v>
      </c>
      <c r="D177" s="16">
        <v>29200.39</v>
      </c>
      <c r="E177" s="16">
        <v>29035.67</v>
      </c>
      <c r="F177" s="16">
        <v>29024.31</v>
      </c>
      <c r="G177" s="16">
        <v>29040.560000000001</v>
      </c>
      <c r="H177" s="16">
        <v>29275.55</v>
      </c>
      <c r="I177" s="16">
        <v>29224.38</v>
      </c>
      <c r="J177" s="16">
        <v>29020.83</v>
      </c>
      <c r="K177" s="16">
        <v>29025.439999999999</v>
      </c>
      <c r="L177" s="16">
        <v>29253.57</v>
      </c>
      <c r="M177" s="27">
        <f>IF((L178=""),"",MAX(D179:L179))</f>
        <v>15819.629999999997</v>
      </c>
      <c r="N177" s="27">
        <f>IF(L178="","",MIN(D179:L179))</f>
        <v>12386.760000000006</v>
      </c>
      <c r="O177" s="27">
        <f>IF((L179=""),"",AVERAGE(D179:L179))</f>
        <v>14267.833333333334</v>
      </c>
      <c r="P177" s="27">
        <f>IF((L178=""),"",STDEV(D179:L179))</f>
        <v>1041.3736440154394</v>
      </c>
      <c r="Q177" s="27">
        <f>IF((L178=""),"",P177/O177*100)</f>
        <v>7.2987511115827397</v>
      </c>
      <c r="R177" s="28" t="str">
        <f>IF(L178="","",IF(Q177&lt;Z177,IF(N177&gt;V177,IF(M177&lt;W177,"Pass","Fail"),"Fail"),"Fail"))</f>
        <v>Fail</v>
      </c>
      <c r="S177" s="29">
        <v>1159</v>
      </c>
      <c r="T177" s="16"/>
      <c r="U177" s="55" t="s">
        <v>165</v>
      </c>
      <c r="V177" s="54">
        <v>9000</v>
      </c>
      <c r="W177" s="22">
        <v>15600</v>
      </c>
      <c r="X177" s="40">
        <v>8090</v>
      </c>
      <c r="Y177" s="40">
        <v>12070</v>
      </c>
      <c r="Z177" s="47">
        <v>6</v>
      </c>
      <c r="AA177" s="47">
        <v>6</v>
      </c>
    </row>
    <row r="178" spans="1:27" ht="15.75" customHeight="1" x14ac:dyDescent="0.3">
      <c r="A178" s="96"/>
      <c r="B178" s="96"/>
      <c r="C178" s="30" t="s">
        <v>128</v>
      </c>
      <c r="D178" s="16">
        <v>24792.07</v>
      </c>
      <c r="E178" s="16">
        <v>24342.68</v>
      </c>
      <c r="F178" s="16">
        <v>24219.95</v>
      </c>
      <c r="G178" s="16">
        <v>24064.86</v>
      </c>
      <c r="H178" s="16">
        <v>24368.22</v>
      </c>
      <c r="I178" s="16">
        <v>25095.46</v>
      </c>
      <c r="J178" s="16">
        <v>24437.88</v>
      </c>
      <c r="K178" s="16">
        <v>23995.72</v>
      </c>
      <c r="L178" s="16">
        <v>23980.36</v>
      </c>
      <c r="M178" s="31"/>
      <c r="N178" s="31"/>
      <c r="O178" s="31"/>
      <c r="P178" s="31"/>
      <c r="Q178" s="31"/>
      <c r="R178" s="32"/>
      <c r="S178" s="33"/>
      <c r="T178" s="56"/>
      <c r="V178" s="48"/>
      <c r="W178" s="48"/>
      <c r="X178" s="49"/>
      <c r="Y178" s="49"/>
      <c r="Z178" s="50"/>
      <c r="AA178" s="50"/>
    </row>
    <row r="179" spans="1:27" ht="16.5" customHeight="1" thickBot="1" x14ac:dyDescent="0.35">
      <c r="A179" s="96"/>
      <c r="B179" s="96"/>
      <c r="C179" s="34" t="s">
        <v>129</v>
      </c>
      <c r="D179" s="35">
        <f t="shared" ref="D179:L179" si="55">IF(((D177="")*AND(D178="")),"",(D177-D178)*3)</f>
        <v>13224.96</v>
      </c>
      <c r="E179" s="35">
        <f t="shared" si="55"/>
        <v>14078.969999999994</v>
      </c>
      <c r="F179" s="35">
        <f t="shared" si="55"/>
        <v>14413.080000000002</v>
      </c>
      <c r="G179" s="35">
        <f t="shared" si="55"/>
        <v>14927.100000000002</v>
      </c>
      <c r="H179" s="35">
        <f t="shared" si="55"/>
        <v>14721.989999999994</v>
      </c>
      <c r="I179" s="35">
        <f t="shared" si="55"/>
        <v>12386.760000000006</v>
      </c>
      <c r="J179" s="35">
        <f t="shared" si="55"/>
        <v>13748.850000000002</v>
      </c>
      <c r="K179" s="35">
        <f t="shared" si="55"/>
        <v>15089.159999999993</v>
      </c>
      <c r="L179" s="35">
        <f t="shared" si="55"/>
        <v>15819.629999999997</v>
      </c>
      <c r="M179" s="36"/>
      <c r="N179" s="36"/>
      <c r="O179" s="36"/>
      <c r="P179" s="36"/>
      <c r="Q179" s="36"/>
      <c r="R179" s="37"/>
      <c r="S179" s="38"/>
      <c r="T179" s="57"/>
      <c r="U179" s="52"/>
      <c r="V179" s="51"/>
      <c r="W179" s="51"/>
      <c r="X179" s="52"/>
      <c r="Y179" s="52"/>
      <c r="Z179" s="53"/>
      <c r="AA179" s="53"/>
    </row>
    <row r="180" spans="1:27" x14ac:dyDescent="0.3">
      <c r="A180" s="97">
        <v>42970</v>
      </c>
      <c r="B180" s="117" t="s">
        <v>431</v>
      </c>
      <c r="C180" s="26" t="s">
        <v>126</v>
      </c>
      <c r="D180" s="16">
        <v>29171.13</v>
      </c>
      <c r="E180" s="16">
        <v>29022.94</v>
      </c>
      <c r="F180" s="16">
        <v>29076.63</v>
      </c>
      <c r="G180" s="16">
        <v>29016.43</v>
      </c>
      <c r="H180" s="16">
        <v>29246.7</v>
      </c>
      <c r="I180" s="16">
        <v>29169.18</v>
      </c>
      <c r="J180" s="16">
        <v>28993.439999999999</v>
      </c>
      <c r="K180" s="16">
        <v>29016.55</v>
      </c>
      <c r="L180" s="16">
        <v>29251.86</v>
      </c>
      <c r="M180" s="27">
        <f>IF((L181=""),"",MAX(D182:L182))</f>
        <v>9993.8100000000013</v>
      </c>
      <c r="N180" s="27">
        <f>IF(L181="","",MIN(D182:L182))</f>
        <v>8432.8799999999974</v>
      </c>
      <c r="O180" s="27">
        <f>IF((L182=""),"",AVERAGE(D182:L182))</f>
        <v>9253.8166666666675</v>
      </c>
      <c r="P180" s="27">
        <f>IF((L181=""),"",STDEV(D182:L182))</f>
        <v>481.12963141444629</v>
      </c>
      <c r="Q180" s="27">
        <f>IF((L181=""),"",P180/O180*100)</f>
        <v>5.1992561420363081</v>
      </c>
      <c r="R180" s="28" t="str">
        <f>IF(L181="","",IF(Q180&lt;Z180,IF(N180&gt;V180,IF(M180&lt;W180,"Pass","Fail"),"Fail"),"Fail"))</f>
        <v>Fail</v>
      </c>
      <c r="S180" s="29">
        <v>102</v>
      </c>
      <c r="T180" s="16"/>
      <c r="U180" s="55" t="s">
        <v>166</v>
      </c>
      <c r="V180" s="54">
        <v>9000</v>
      </c>
      <c r="W180" s="22">
        <v>15600</v>
      </c>
      <c r="X180" s="40">
        <v>8090</v>
      </c>
      <c r="Y180" s="40">
        <v>12070</v>
      </c>
      <c r="Z180" s="47">
        <v>6</v>
      </c>
      <c r="AA180" s="47">
        <v>6</v>
      </c>
    </row>
    <row r="181" spans="1:27" ht="15.75" customHeight="1" x14ac:dyDescent="0.3">
      <c r="A181" s="96"/>
      <c r="B181" s="96"/>
      <c r="C181" s="30" t="s">
        <v>128</v>
      </c>
      <c r="D181" s="16">
        <v>26257.11</v>
      </c>
      <c r="E181" s="16">
        <v>25957.7</v>
      </c>
      <c r="F181" s="16">
        <v>26012.03</v>
      </c>
      <c r="G181" s="16">
        <v>25830.92</v>
      </c>
      <c r="H181" s="16">
        <v>26066.12</v>
      </c>
      <c r="I181" s="16">
        <v>26358.22</v>
      </c>
      <c r="J181" s="16">
        <v>25988.73</v>
      </c>
      <c r="K181" s="16">
        <v>25811.99</v>
      </c>
      <c r="L181" s="16">
        <v>25920.59</v>
      </c>
      <c r="M181" s="31"/>
      <c r="N181" s="31"/>
      <c r="O181" s="31"/>
      <c r="P181" s="31"/>
      <c r="Q181" s="31"/>
      <c r="R181" s="32"/>
      <c r="S181" s="33"/>
      <c r="T181" s="56"/>
      <c r="V181" s="48"/>
      <c r="W181" s="48"/>
      <c r="X181" s="49"/>
      <c r="Y181" s="49"/>
      <c r="Z181" s="50"/>
      <c r="AA181" s="50"/>
    </row>
    <row r="182" spans="1:27" ht="16.5" customHeight="1" thickBot="1" x14ac:dyDescent="0.35">
      <c r="A182" s="96"/>
      <c r="B182" s="96"/>
      <c r="C182" s="34" t="s">
        <v>129</v>
      </c>
      <c r="D182" s="35">
        <f t="shared" ref="D182:L182" si="56">IF(((D180="")*AND(D181="")),"",(D180-D181)*3)</f>
        <v>8742.0600000000013</v>
      </c>
      <c r="E182" s="35">
        <f t="shared" si="56"/>
        <v>9195.7199999999939</v>
      </c>
      <c r="F182" s="35">
        <f t="shared" si="56"/>
        <v>9193.8000000000065</v>
      </c>
      <c r="G182" s="35">
        <f t="shared" si="56"/>
        <v>9556.5300000000061</v>
      </c>
      <c r="H182" s="35">
        <f t="shared" si="56"/>
        <v>9541.7400000000052</v>
      </c>
      <c r="I182" s="35">
        <f t="shared" si="56"/>
        <v>8432.8799999999974</v>
      </c>
      <c r="J182" s="35">
        <f t="shared" si="56"/>
        <v>9014.1299999999974</v>
      </c>
      <c r="K182" s="35">
        <f t="shared" si="56"/>
        <v>9613.679999999993</v>
      </c>
      <c r="L182" s="35">
        <f t="shared" si="56"/>
        <v>9993.8100000000013</v>
      </c>
      <c r="M182" s="36"/>
      <c r="N182" s="36"/>
      <c r="O182" s="36"/>
      <c r="P182" s="36"/>
      <c r="Q182" s="36"/>
      <c r="R182" s="37"/>
      <c r="S182" s="38"/>
      <c r="T182" s="57"/>
      <c r="U182" s="52"/>
      <c r="V182" s="51"/>
      <c r="W182" s="51"/>
      <c r="X182" s="52"/>
      <c r="Y182" s="52"/>
      <c r="Z182" s="53"/>
      <c r="AA182" s="53"/>
    </row>
    <row r="183" spans="1:27" x14ac:dyDescent="0.3">
      <c r="A183" s="97">
        <v>42971</v>
      </c>
      <c r="B183" s="117" t="s">
        <v>431</v>
      </c>
      <c r="C183" s="26" t="s">
        <v>126</v>
      </c>
      <c r="D183" s="16">
        <v>29264.91</v>
      </c>
      <c r="E183" s="16">
        <v>29046.01</v>
      </c>
      <c r="F183" s="16">
        <v>29033.96</v>
      </c>
      <c r="G183" s="16">
        <v>29026.86</v>
      </c>
      <c r="H183" s="16">
        <v>29261.58</v>
      </c>
      <c r="I183" s="16">
        <v>29209.57</v>
      </c>
      <c r="J183" s="16">
        <v>29037.96</v>
      </c>
      <c r="K183" s="16">
        <v>29019.14</v>
      </c>
      <c r="L183" s="16">
        <v>29232.27</v>
      </c>
      <c r="M183" s="27">
        <f>IF((L184=""),"",MAX(D185:L185))</f>
        <v>13421.430000000004</v>
      </c>
      <c r="N183" s="27">
        <f>IF(L184="","",MIN(D185:L185))</f>
        <v>11245.23</v>
      </c>
      <c r="O183" s="27">
        <f>IF((L185=""),"",AVERAGE(D185:L185))</f>
        <v>12418.89</v>
      </c>
      <c r="P183" s="27">
        <f>IF((L184=""),"",STDEV(D185:L185))</f>
        <v>617.60819430687707</v>
      </c>
      <c r="Q183" s="27">
        <f>IF((L184=""),"",P183/O183*100)</f>
        <v>4.973135234363756</v>
      </c>
      <c r="R183" s="28" t="str">
        <f>IF(L184="","",IF(Q183&lt;Z183,IF(N183&gt;V183,IF(M183&lt;W183,"Pass","Fail"),"Fail"),"Fail"))</f>
        <v>Pass</v>
      </c>
      <c r="S183" s="29">
        <v>1159</v>
      </c>
      <c r="T183" s="16"/>
      <c r="U183" s="55" t="s">
        <v>167</v>
      </c>
      <c r="V183" s="54">
        <v>9000</v>
      </c>
      <c r="W183" s="22">
        <v>15600</v>
      </c>
      <c r="X183" s="40">
        <v>8090</v>
      </c>
      <c r="Y183" s="40">
        <v>12070</v>
      </c>
      <c r="Z183" s="47">
        <v>6</v>
      </c>
      <c r="AA183" s="47">
        <v>6</v>
      </c>
    </row>
    <row r="184" spans="1:27" ht="15.75" customHeight="1" x14ac:dyDescent="0.3">
      <c r="A184" s="96"/>
      <c r="B184" s="96"/>
      <c r="C184" s="30" t="s">
        <v>128</v>
      </c>
      <c r="D184" s="16">
        <v>25262.78</v>
      </c>
      <c r="E184" s="16">
        <v>24944.02</v>
      </c>
      <c r="F184" s="16">
        <v>24936.06</v>
      </c>
      <c r="G184" s="16">
        <v>24765.13</v>
      </c>
      <c r="H184" s="16">
        <v>25002.16</v>
      </c>
      <c r="I184" s="16">
        <v>25461.16</v>
      </c>
      <c r="J184" s="16">
        <v>24988.37</v>
      </c>
      <c r="K184" s="16">
        <v>24757.45</v>
      </c>
      <c r="L184" s="16">
        <v>24758.46</v>
      </c>
      <c r="M184" s="31"/>
      <c r="N184" s="31"/>
      <c r="O184" s="31"/>
      <c r="P184" s="31"/>
      <c r="Q184" s="31"/>
      <c r="R184" s="32"/>
      <c r="S184" s="33"/>
      <c r="T184" s="56"/>
      <c r="V184" s="48"/>
      <c r="W184" s="48"/>
      <c r="X184" s="49"/>
      <c r="Y184" s="49"/>
      <c r="Z184" s="50"/>
      <c r="AA184" s="50"/>
    </row>
    <row r="185" spans="1:27" ht="16.5" customHeight="1" thickBot="1" x14ac:dyDescent="0.35">
      <c r="A185" s="96"/>
      <c r="B185" s="96"/>
      <c r="C185" s="34" t="s">
        <v>129</v>
      </c>
      <c r="D185" s="35">
        <f t="shared" ref="D185:L185" si="57">IF(((D183="")*AND(D184="")),"",(D183-D184)*3)</f>
        <v>12006.390000000003</v>
      </c>
      <c r="E185" s="35">
        <f t="shared" si="57"/>
        <v>12305.969999999994</v>
      </c>
      <c r="F185" s="35">
        <f t="shared" si="57"/>
        <v>12293.699999999993</v>
      </c>
      <c r="G185" s="35">
        <f t="shared" si="57"/>
        <v>12785.189999999999</v>
      </c>
      <c r="H185" s="35">
        <f t="shared" si="57"/>
        <v>12778.260000000006</v>
      </c>
      <c r="I185" s="35">
        <f t="shared" si="57"/>
        <v>11245.23</v>
      </c>
      <c r="J185" s="35">
        <f t="shared" si="57"/>
        <v>12148.77</v>
      </c>
      <c r="K185" s="35">
        <f t="shared" si="57"/>
        <v>12785.069999999996</v>
      </c>
      <c r="L185" s="35">
        <f t="shared" si="57"/>
        <v>13421.430000000004</v>
      </c>
      <c r="M185" s="36"/>
      <c r="N185" s="36"/>
      <c r="O185" s="36"/>
      <c r="P185" s="36"/>
      <c r="Q185" s="36"/>
      <c r="R185" s="37"/>
      <c r="S185" s="38"/>
      <c r="T185" s="57"/>
      <c r="U185" s="52"/>
      <c r="V185" s="51"/>
      <c r="W185" s="51"/>
      <c r="X185" s="52"/>
      <c r="Y185" s="52"/>
      <c r="Z185" s="53"/>
      <c r="AA185" s="53"/>
    </row>
    <row r="186" spans="1:27" x14ac:dyDescent="0.3">
      <c r="A186" s="97">
        <v>42975</v>
      </c>
      <c r="B186" s="117" t="s">
        <v>431</v>
      </c>
      <c r="C186" s="26" t="s">
        <v>126</v>
      </c>
      <c r="D186" s="16">
        <v>29199.8</v>
      </c>
      <c r="E186" s="16">
        <v>28985.13</v>
      </c>
      <c r="F186" s="16">
        <v>28985.32</v>
      </c>
      <c r="G186" s="16">
        <v>28996.639999999999</v>
      </c>
      <c r="H186" s="16">
        <v>29244.93</v>
      </c>
      <c r="I186" s="16">
        <v>29162.51</v>
      </c>
      <c r="J186" s="16">
        <v>28982.16</v>
      </c>
      <c r="K186" s="16">
        <v>28982.73</v>
      </c>
      <c r="L186" s="16">
        <v>29208.14</v>
      </c>
      <c r="M186" s="27">
        <f>IF((L187=""),"",MAX(D188:L188))</f>
        <v>10502.46</v>
      </c>
      <c r="N186" s="27">
        <f>IF(L187="","",MIN(D188:L188))</f>
        <v>9110.2199999999939</v>
      </c>
      <c r="O186" s="27">
        <f>IF((L188=""),"",AVERAGE(D188:L188))</f>
        <v>9826.1299999999974</v>
      </c>
      <c r="P186" s="27">
        <f>IF((L187=""),"",STDEV(D188:L188))</f>
        <v>429.49709757459476</v>
      </c>
      <c r="Q186" s="27">
        <f>IF((L187=""),"",P186/O186*100)</f>
        <v>4.3709690139922319</v>
      </c>
      <c r="R186" s="28" t="str">
        <f>IF(L187="","",IF(Q186&lt;Z186,IF(N186&gt;V186,IF(M186&lt;W186,"Pass","Fail"),"Fail"),"Fail"))</f>
        <v>Pass</v>
      </c>
      <c r="S186" s="29">
        <v>1428</v>
      </c>
      <c r="T186" s="55"/>
      <c r="U186" s="40"/>
      <c r="V186" s="54">
        <v>9000</v>
      </c>
      <c r="W186" s="22">
        <v>15600</v>
      </c>
      <c r="X186" s="40">
        <v>8090</v>
      </c>
      <c r="Y186" s="40">
        <v>12070</v>
      </c>
      <c r="Z186" s="47">
        <v>6</v>
      </c>
      <c r="AA186" s="47">
        <v>6</v>
      </c>
    </row>
    <row r="187" spans="1:27" ht="15.75" customHeight="1" x14ac:dyDescent="0.3">
      <c r="A187" s="96"/>
      <c r="B187" s="96"/>
      <c r="C187" s="30" t="s">
        <v>128</v>
      </c>
      <c r="D187" s="16">
        <v>26064.87</v>
      </c>
      <c r="E187" s="16">
        <v>25739.71</v>
      </c>
      <c r="F187" s="16">
        <v>25751.14</v>
      </c>
      <c r="G187" s="16">
        <v>25633.79</v>
      </c>
      <c r="H187" s="16">
        <v>25856.89</v>
      </c>
      <c r="I187" s="16">
        <v>26125.77</v>
      </c>
      <c r="J187" s="16">
        <v>25775.79</v>
      </c>
      <c r="K187" s="16">
        <v>25613.69</v>
      </c>
      <c r="L187" s="16">
        <v>25707.32</v>
      </c>
      <c r="M187" s="31"/>
      <c r="N187" s="31"/>
      <c r="O187" s="31"/>
      <c r="P187" s="31"/>
      <c r="Q187" s="31"/>
      <c r="R187" s="32"/>
      <c r="S187" s="33"/>
      <c r="T187" s="56"/>
      <c r="V187" s="48"/>
      <c r="W187" s="48"/>
      <c r="X187" s="49"/>
      <c r="Y187" s="49"/>
      <c r="Z187" s="50"/>
      <c r="AA187" s="50"/>
    </row>
    <row r="188" spans="1:27" ht="16.5" customHeight="1" thickBot="1" x14ac:dyDescent="0.35">
      <c r="A188" s="96"/>
      <c r="B188" s="96"/>
      <c r="C188" s="34" t="s">
        <v>129</v>
      </c>
      <c r="D188" s="35">
        <f t="shared" ref="D188:L188" si="58">IF(((D186="")*AND(D187="")),"",(D186-D187)*3)</f>
        <v>9404.7900000000009</v>
      </c>
      <c r="E188" s="35">
        <f t="shared" si="58"/>
        <v>9736.2600000000057</v>
      </c>
      <c r="F188" s="35">
        <f t="shared" si="58"/>
        <v>9702.5400000000009</v>
      </c>
      <c r="G188" s="35">
        <f t="shared" si="58"/>
        <v>10088.549999999996</v>
      </c>
      <c r="H188" s="35">
        <f t="shared" si="58"/>
        <v>10164.120000000003</v>
      </c>
      <c r="I188" s="35">
        <f t="shared" si="58"/>
        <v>9110.2199999999939</v>
      </c>
      <c r="J188" s="35">
        <f t="shared" si="58"/>
        <v>9619.1099999999969</v>
      </c>
      <c r="K188" s="35">
        <f t="shared" si="58"/>
        <v>10107.120000000003</v>
      </c>
      <c r="L188" s="35">
        <f t="shared" si="58"/>
        <v>10502.46</v>
      </c>
      <c r="M188" s="36"/>
      <c r="N188" s="36"/>
      <c r="O188" s="36"/>
      <c r="P188" s="36"/>
      <c r="Q188" s="36"/>
      <c r="R188" s="37"/>
      <c r="S188" s="38"/>
      <c r="T188" s="57"/>
      <c r="U188" s="52"/>
      <c r="V188" s="51"/>
      <c r="W188" s="51"/>
      <c r="X188" s="52"/>
      <c r="Y188" s="52"/>
      <c r="Z188" s="53"/>
      <c r="AA188" s="53"/>
    </row>
    <row r="189" spans="1:27" x14ac:dyDescent="0.3">
      <c r="A189" s="97">
        <v>42982</v>
      </c>
      <c r="B189" s="117" t="s">
        <v>431</v>
      </c>
      <c r="C189" s="26" t="s">
        <v>126</v>
      </c>
      <c r="D189" s="16">
        <v>29221</v>
      </c>
      <c r="E189" s="16">
        <v>28981</v>
      </c>
      <c r="F189" s="16">
        <v>29026</v>
      </c>
      <c r="G189" s="16">
        <v>28970</v>
      </c>
      <c r="H189" s="16">
        <v>29161</v>
      </c>
      <c r="I189" s="16">
        <v>29171</v>
      </c>
      <c r="J189" s="16">
        <v>28999</v>
      </c>
      <c r="K189" s="16">
        <v>28958</v>
      </c>
      <c r="L189" s="16">
        <v>29113</v>
      </c>
      <c r="M189" s="27">
        <f>IF((L190=""),"",MAX(D191:L191))</f>
        <v>10647</v>
      </c>
      <c r="N189" s="27">
        <f>IF(L190="","",MIN(D191:L191))</f>
        <v>9438</v>
      </c>
      <c r="O189" s="27">
        <f>IF((L191=""),"",AVERAGE(D191:L191))</f>
        <v>10075.333333333334</v>
      </c>
      <c r="P189" s="27">
        <f>IF((L190=""),"",STDEV(D191:L191))</f>
        <v>379.32242222151854</v>
      </c>
      <c r="Q189" s="27">
        <f>IF((L190=""),"",P189/O189*100)</f>
        <v>3.7648622598575909</v>
      </c>
      <c r="R189" s="28" t="str">
        <f>IF(L190="","",IF(Q189&lt;Z189,IF(N189&gt;V189,IF(M189&lt;W189,"Pass","Fail"),"Fail"),"Fail"))</f>
        <v>Pass</v>
      </c>
      <c r="S189" s="29">
        <v>1335</v>
      </c>
      <c r="T189" s="55" t="s">
        <v>168</v>
      </c>
      <c r="U189" s="40"/>
      <c r="V189" s="54">
        <v>9000</v>
      </c>
      <c r="W189" s="22">
        <v>15600</v>
      </c>
      <c r="X189" s="40">
        <v>8090</v>
      </c>
      <c r="Y189" s="40">
        <v>12070</v>
      </c>
      <c r="Z189" s="47">
        <v>6</v>
      </c>
      <c r="AA189" s="47">
        <v>6</v>
      </c>
    </row>
    <row r="190" spans="1:27" ht="15.75" customHeight="1" x14ac:dyDescent="0.3">
      <c r="A190" s="96"/>
      <c r="B190" s="96"/>
      <c r="C190" s="30" t="s">
        <v>128</v>
      </c>
      <c r="D190" s="16">
        <v>25705</v>
      </c>
      <c r="E190" s="16">
        <v>25580</v>
      </c>
      <c r="F190" s="16">
        <v>25727</v>
      </c>
      <c r="G190" s="16">
        <v>25631</v>
      </c>
      <c r="H190" s="16">
        <v>25893</v>
      </c>
      <c r="I190" s="16">
        <v>26025</v>
      </c>
      <c r="J190" s="16">
        <v>25707</v>
      </c>
      <c r="K190" s="16">
        <v>25542</v>
      </c>
      <c r="L190" s="16">
        <v>25564</v>
      </c>
      <c r="M190" s="31"/>
      <c r="N190" s="31"/>
      <c r="O190" s="31"/>
      <c r="P190" s="31"/>
      <c r="Q190" s="31"/>
      <c r="R190" s="32"/>
      <c r="S190" s="33"/>
      <c r="T190" s="56"/>
      <c r="V190" s="48"/>
      <c r="W190" s="48"/>
      <c r="X190" s="49"/>
      <c r="Y190" s="49"/>
      <c r="Z190" s="50"/>
      <c r="AA190" s="50"/>
    </row>
    <row r="191" spans="1:27" ht="16.5" customHeight="1" thickBot="1" x14ac:dyDescent="0.35">
      <c r="A191" s="96"/>
      <c r="B191" s="96"/>
      <c r="C191" s="34" t="s">
        <v>129</v>
      </c>
      <c r="D191" s="35">
        <f t="shared" ref="D191:L191" si="59">IF(((D189="")*AND(D190="")),"",(D189-D190)*3)</f>
        <v>10548</v>
      </c>
      <c r="E191" s="35">
        <f t="shared" si="59"/>
        <v>10203</v>
      </c>
      <c r="F191" s="35">
        <f t="shared" si="59"/>
        <v>9897</v>
      </c>
      <c r="G191" s="35">
        <f t="shared" si="59"/>
        <v>10017</v>
      </c>
      <c r="H191" s="35">
        <f t="shared" si="59"/>
        <v>9804</v>
      </c>
      <c r="I191" s="35">
        <f t="shared" si="59"/>
        <v>9438</v>
      </c>
      <c r="J191" s="35">
        <f t="shared" si="59"/>
        <v>9876</v>
      </c>
      <c r="K191" s="35">
        <f t="shared" si="59"/>
        <v>10248</v>
      </c>
      <c r="L191" s="35">
        <f t="shared" si="59"/>
        <v>10647</v>
      </c>
      <c r="M191" s="36"/>
      <c r="N191" s="36"/>
      <c r="O191" s="36"/>
      <c r="P191" s="36"/>
      <c r="Q191" s="36"/>
      <c r="R191" s="37"/>
      <c r="S191" s="38"/>
      <c r="T191" s="57"/>
      <c r="U191" s="52"/>
      <c r="V191" s="51"/>
      <c r="W191" s="51"/>
      <c r="X191" s="52"/>
      <c r="Y191" s="52"/>
      <c r="Z191" s="53"/>
      <c r="AA191" s="53"/>
    </row>
    <row r="192" spans="1:27" x14ac:dyDescent="0.3">
      <c r="A192" s="97">
        <v>42989</v>
      </c>
      <c r="B192" s="117" t="s">
        <v>431</v>
      </c>
      <c r="C192" s="26" t="s">
        <v>126</v>
      </c>
      <c r="D192" s="16">
        <v>29064.23</v>
      </c>
      <c r="E192" s="16">
        <v>28911.51</v>
      </c>
      <c r="F192" s="16">
        <v>28952.720000000001</v>
      </c>
      <c r="G192" s="16">
        <v>28911.52</v>
      </c>
      <c r="H192" s="16">
        <v>29154.75</v>
      </c>
      <c r="I192" s="16">
        <v>29027.93</v>
      </c>
      <c r="J192" s="16">
        <v>28886.05</v>
      </c>
      <c r="K192" s="16">
        <v>28910.12</v>
      </c>
      <c r="L192" s="16">
        <v>29173.84</v>
      </c>
      <c r="M192" s="27">
        <f>IF((L193=""),"",MAX(D194:L194))</f>
        <v>10453.379999999997</v>
      </c>
      <c r="N192" s="27">
        <f>IF(L193="","",MIN(D194:L194))</f>
        <v>8881.7999999999956</v>
      </c>
      <c r="O192" s="27">
        <f>IF((L194=""),"",AVERAGE(D194:L194))</f>
        <v>9676.1399999999976</v>
      </c>
      <c r="P192" s="27">
        <f>IF((L193=""),"",STDEV(D194:L194))</f>
        <v>471.8989124272282</v>
      </c>
      <c r="Q192" s="27">
        <f>IF((L193=""),"",P192/O192*100)</f>
        <v>4.8769334923557155</v>
      </c>
      <c r="R192" s="28" t="str">
        <f>IF(L193="","",IF(Q192&lt;Z192,IF(N192&gt;V192,IF(M192&lt;W192,"Pass","Fail"),"Fail"),"Fail"))</f>
        <v>Fail</v>
      </c>
      <c r="S192" s="29">
        <v>102</v>
      </c>
      <c r="T192" s="16"/>
      <c r="U192" s="55" t="s">
        <v>169</v>
      </c>
      <c r="V192" s="54">
        <v>9000</v>
      </c>
      <c r="W192" s="22">
        <v>15600</v>
      </c>
      <c r="X192" s="40">
        <v>8090</v>
      </c>
      <c r="Y192" s="40">
        <v>12070</v>
      </c>
      <c r="Z192" s="47">
        <v>6</v>
      </c>
      <c r="AA192" s="47">
        <v>6</v>
      </c>
    </row>
    <row r="193" spans="1:27" ht="15.75" customHeight="1" x14ac:dyDescent="0.3">
      <c r="A193" s="96"/>
      <c r="B193" s="96"/>
      <c r="C193" s="30" t="s">
        <v>128</v>
      </c>
      <c r="D193" s="16">
        <v>25967.27</v>
      </c>
      <c r="E193" s="16">
        <v>25715.55</v>
      </c>
      <c r="F193" s="16">
        <v>25776.240000000002</v>
      </c>
      <c r="G193" s="16">
        <v>25595.19</v>
      </c>
      <c r="H193" s="16">
        <v>25798.06</v>
      </c>
      <c r="I193" s="16">
        <v>26067.33</v>
      </c>
      <c r="J193" s="16">
        <v>25753.34</v>
      </c>
      <c r="K193" s="16">
        <v>25601.89</v>
      </c>
      <c r="L193" s="16">
        <v>25689.38</v>
      </c>
      <c r="M193" s="31"/>
      <c r="N193" s="31"/>
      <c r="O193" s="31"/>
      <c r="P193" s="31"/>
      <c r="Q193" s="31"/>
      <c r="R193" s="32"/>
      <c r="S193" s="33"/>
      <c r="T193" s="56"/>
      <c r="V193" s="48"/>
      <c r="W193" s="48"/>
      <c r="X193" s="49"/>
      <c r="Y193" s="49"/>
      <c r="Z193" s="50"/>
      <c r="AA193" s="50"/>
    </row>
    <row r="194" spans="1:27" ht="16.5" customHeight="1" thickBot="1" x14ac:dyDescent="0.35">
      <c r="A194" s="96"/>
      <c r="B194" s="96"/>
      <c r="C194" s="34" t="s">
        <v>129</v>
      </c>
      <c r="D194" s="35">
        <f t="shared" ref="D194:L194" si="60">IF(((D192="")*AND(D193="")),"",(D192-D193)*3)</f>
        <v>9290.8799999999974</v>
      </c>
      <c r="E194" s="35">
        <f t="shared" si="60"/>
        <v>9587.8799999999974</v>
      </c>
      <c r="F194" s="35">
        <f t="shared" si="60"/>
        <v>9529.4399999999987</v>
      </c>
      <c r="G194" s="35">
        <f t="shared" si="60"/>
        <v>9948.9900000000052</v>
      </c>
      <c r="H194" s="35">
        <f t="shared" si="60"/>
        <v>10070.069999999996</v>
      </c>
      <c r="I194" s="35">
        <f t="shared" si="60"/>
        <v>8881.7999999999956</v>
      </c>
      <c r="J194" s="35">
        <f t="shared" si="60"/>
        <v>9398.1299999999974</v>
      </c>
      <c r="K194" s="35">
        <f t="shared" si="60"/>
        <v>9924.6899999999987</v>
      </c>
      <c r="L194" s="35">
        <f t="shared" si="60"/>
        <v>10453.379999999997</v>
      </c>
      <c r="M194" s="36"/>
      <c r="N194" s="36"/>
      <c r="O194" s="36"/>
      <c r="P194" s="36"/>
      <c r="Q194" s="36"/>
      <c r="R194" s="37"/>
      <c r="S194" s="38"/>
      <c r="T194" s="57"/>
      <c r="U194" s="52"/>
      <c r="V194" s="51"/>
      <c r="W194" s="51"/>
      <c r="X194" s="52"/>
      <c r="Y194" s="52"/>
      <c r="Z194" s="53"/>
      <c r="AA194" s="53"/>
    </row>
    <row r="195" spans="1:27" x14ac:dyDescent="0.3">
      <c r="A195" s="97">
        <v>42989</v>
      </c>
      <c r="B195" s="117" t="s">
        <v>431</v>
      </c>
      <c r="C195" s="26" t="s">
        <v>126</v>
      </c>
      <c r="D195" s="16">
        <v>29345.26</v>
      </c>
      <c r="E195" s="16">
        <v>29139.24</v>
      </c>
      <c r="F195" s="16">
        <v>29138.15</v>
      </c>
      <c r="G195" s="16">
        <v>29129.9</v>
      </c>
      <c r="H195" s="16">
        <v>29378.28</v>
      </c>
      <c r="I195" s="16">
        <v>29293</v>
      </c>
      <c r="J195" s="16">
        <v>29120.9</v>
      </c>
      <c r="K195" s="16">
        <v>29136.880000000001</v>
      </c>
      <c r="L195" s="16">
        <v>29382.44</v>
      </c>
      <c r="M195" s="27">
        <f>IF((L196=""),"",MAX(D197:L197))</f>
        <v>11689.740000000005</v>
      </c>
      <c r="N195" s="27">
        <f>IF(L196="","",MIN(D197:L197))</f>
        <v>10261.529999999995</v>
      </c>
      <c r="O195" s="27">
        <f>IF((L197=""),"",AVERAGE(D197:L197))</f>
        <v>11009.626666666671</v>
      </c>
      <c r="P195" s="27">
        <f>IF((L196=""),"",STDEV(D197:L197))</f>
        <v>438.88931637145231</v>
      </c>
      <c r="Q195" s="27">
        <f>IF((L196=""),"",P195/O195*100)</f>
        <v>3.9864141597122171</v>
      </c>
      <c r="R195" s="28" t="str">
        <f>IF(L196="","",IF(Q195&lt;Z195,IF(N195&gt;V195,IF(M195&lt;W195,"Pass","Fail"),"Fail"),"Fail"))</f>
        <v>Pass</v>
      </c>
      <c r="S195" s="29">
        <v>121</v>
      </c>
      <c r="T195" s="55" t="s">
        <v>170</v>
      </c>
      <c r="U195" s="40"/>
      <c r="V195" s="54">
        <v>9000</v>
      </c>
      <c r="W195" s="22">
        <v>15600</v>
      </c>
      <c r="X195" s="40">
        <v>8090</v>
      </c>
      <c r="Y195" s="40">
        <v>12070</v>
      </c>
      <c r="Z195" s="47">
        <v>6</v>
      </c>
      <c r="AA195" s="47">
        <v>6</v>
      </c>
    </row>
    <row r="196" spans="1:27" ht="15.75" customHeight="1" x14ac:dyDescent="0.3">
      <c r="A196" s="96"/>
      <c r="B196" s="96"/>
      <c r="C196" s="30" t="s">
        <v>128</v>
      </c>
      <c r="D196" s="16">
        <v>25537.24</v>
      </c>
      <c r="E196" s="16">
        <v>25368.13</v>
      </c>
      <c r="F196" s="16">
        <v>25497.32</v>
      </c>
      <c r="G196" s="16">
        <v>25495.91</v>
      </c>
      <c r="H196" s="16">
        <v>25835.71</v>
      </c>
      <c r="I196" s="16">
        <v>25396.42</v>
      </c>
      <c r="J196" s="16">
        <v>25393.72</v>
      </c>
      <c r="K196" s="16">
        <v>25548.79</v>
      </c>
      <c r="L196" s="16">
        <v>25961.93</v>
      </c>
      <c r="M196" s="31"/>
      <c r="N196" s="31"/>
      <c r="O196" s="31"/>
      <c r="P196" s="31"/>
      <c r="Q196" s="31"/>
      <c r="R196" s="32"/>
      <c r="S196" s="33"/>
      <c r="T196" s="56"/>
      <c r="V196" s="48"/>
      <c r="W196" s="48"/>
      <c r="X196" s="49"/>
      <c r="Y196" s="49"/>
      <c r="Z196" s="50"/>
      <c r="AA196" s="50"/>
    </row>
    <row r="197" spans="1:27" ht="16.5" customHeight="1" thickBot="1" x14ac:dyDescent="0.35">
      <c r="A197" s="96"/>
      <c r="B197" s="96"/>
      <c r="C197" s="34" t="s">
        <v>129</v>
      </c>
      <c r="D197" s="35">
        <f t="shared" ref="D197:L197" si="61">IF(((D195="")*AND(D196="")),"",(D195-D196)*3)</f>
        <v>11424.05999999999</v>
      </c>
      <c r="E197" s="35">
        <f t="shared" si="61"/>
        <v>11313.330000000002</v>
      </c>
      <c r="F197" s="35">
        <f t="shared" si="61"/>
        <v>10922.490000000005</v>
      </c>
      <c r="G197" s="35">
        <f t="shared" si="61"/>
        <v>10901.970000000005</v>
      </c>
      <c r="H197" s="35">
        <f t="shared" si="61"/>
        <v>10627.71</v>
      </c>
      <c r="I197" s="35">
        <f t="shared" si="61"/>
        <v>11689.740000000005</v>
      </c>
      <c r="J197" s="35">
        <f t="shared" si="61"/>
        <v>11181.54</v>
      </c>
      <c r="K197" s="35">
        <f t="shared" si="61"/>
        <v>10764.27</v>
      </c>
      <c r="L197" s="35">
        <f t="shared" si="61"/>
        <v>10261.529999999995</v>
      </c>
      <c r="M197" s="36"/>
      <c r="N197" s="36"/>
      <c r="O197" s="36"/>
      <c r="P197" s="36"/>
      <c r="Q197" s="36"/>
      <c r="R197" s="37"/>
      <c r="S197" s="38"/>
      <c r="T197" s="57"/>
      <c r="U197" s="52"/>
      <c r="V197" s="51"/>
      <c r="W197" s="51"/>
      <c r="X197" s="52"/>
      <c r="Y197" s="52"/>
      <c r="Z197" s="53"/>
      <c r="AA197" s="53"/>
    </row>
    <row r="198" spans="1:27" x14ac:dyDescent="0.3">
      <c r="A198" s="97">
        <v>42993</v>
      </c>
      <c r="B198" s="117" t="s">
        <v>431</v>
      </c>
      <c r="C198" s="26" t="s">
        <v>126</v>
      </c>
      <c r="D198" s="16">
        <v>29284.92</v>
      </c>
      <c r="E198" s="16">
        <v>29094.02</v>
      </c>
      <c r="F198" s="16">
        <v>29079.03</v>
      </c>
      <c r="G198" s="16">
        <v>29081.34</v>
      </c>
      <c r="H198" s="16">
        <v>29340.71</v>
      </c>
      <c r="I198" s="16">
        <v>29247.29</v>
      </c>
      <c r="J198" s="16">
        <v>29075.71</v>
      </c>
      <c r="K198" s="16">
        <v>29079.18</v>
      </c>
      <c r="L198" s="16">
        <v>29299.66</v>
      </c>
      <c r="M198" s="27">
        <f>IF((L199=""),"",MAX(D200:L200))</f>
        <v>11405.009999999995</v>
      </c>
      <c r="N198" s="27">
        <f>IF(L199="","",MIN(D200:L200))</f>
        <v>9958.3799999999974</v>
      </c>
      <c r="O198" s="27">
        <f>IF((L200=""),"",AVERAGE(D200:L200))</f>
        <v>10722.686666666665</v>
      </c>
      <c r="P198" s="27">
        <f>IF((L199=""),"",STDEV(D200:L200))</f>
        <v>434.31741560752539</v>
      </c>
      <c r="Q198" s="27">
        <f>IF((L199=""),"",P198/O198*100)</f>
        <v>4.0504532969118321</v>
      </c>
      <c r="R198" s="28" t="str">
        <f>IF(L199="","",IF(Q198&lt;Z198,IF(N198&gt;V198,IF(M198&lt;W198,"Pass","Fail"),"Fail"),"Fail"))</f>
        <v>Pass</v>
      </c>
      <c r="S198" s="29">
        <v>1159</v>
      </c>
      <c r="T198" s="55"/>
      <c r="U198" s="40"/>
      <c r="V198" s="54">
        <v>9000</v>
      </c>
      <c r="W198" s="22">
        <v>15600</v>
      </c>
      <c r="X198" s="40">
        <v>8090</v>
      </c>
      <c r="Y198" s="40">
        <v>12070</v>
      </c>
      <c r="Z198" s="47">
        <v>6</v>
      </c>
      <c r="AA198" s="47">
        <v>6</v>
      </c>
    </row>
    <row r="199" spans="1:27" ht="15.75" customHeight="1" x14ac:dyDescent="0.3">
      <c r="A199" s="96"/>
      <c r="B199" s="96"/>
      <c r="C199" s="30" t="s">
        <v>128</v>
      </c>
      <c r="D199" s="16">
        <v>25835.41</v>
      </c>
      <c r="E199" s="16">
        <v>25545.86</v>
      </c>
      <c r="F199" s="16">
        <v>25529.09</v>
      </c>
      <c r="G199" s="16">
        <v>25421.93</v>
      </c>
      <c r="H199" s="16">
        <v>25641.21</v>
      </c>
      <c r="I199" s="16">
        <v>25927.83</v>
      </c>
      <c r="J199" s="16">
        <v>25580.44</v>
      </c>
      <c r="K199" s="16">
        <v>25434.04</v>
      </c>
      <c r="L199" s="16">
        <v>25497.99</v>
      </c>
      <c r="M199" s="31"/>
      <c r="N199" s="31"/>
      <c r="O199" s="31"/>
      <c r="P199" s="31"/>
      <c r="Q199" s="31"/>
      <c r="R199" s="32"/>
      <c r="S199" s="33"/>
      <c r="T199" s="56"/>
      <c r="V199" s="48"/>
      <c r="W199" s="48"/>
      <c r="X199" s="49"/>
      <c r="Y199" s="49"/>
      <c r="Z199" s="50"/>
      <c r="AA199" s="50"/>
    </row>
    <row r="200" spans="1:27" ht="16.5" customHeight="1" thickBot="1" x14ac:dyDescent="0.35">
      <c r="A200" s="96"/>
      <c r="B200" s="96"/>
      <c r="C200" s="34" t="s">
        <v>129</v>
      </c>
      <c r="D200" s="35">
        <f t="shared" ref="D200:L200" si="62">IF(((D198="")*AND(D199="")),"",(D198-D199)*3)</f>
        <v>10348.529999999995</v>
      </c>
      <c r="E200" s="35">
        <f t="shared" si="62"/>
        <v>10644.48</v>
      </c>
      <c r="F200" s="35">
        <f t="shared" si="62"/>
        <v>10649.819999999996</v>
      </c>
      <c r="G200" s="35">
        <f t="shared" si="62"/>
        <v>10978.23</v>
      </c>
      <c r="H200" s="35">
        <f t="shared" si="62"/>
        <v>11098.5</v>
      </c>
      <c r="I200" s="35">
        <f t="shared" si="62"/>
        <v>9958.3799999999974</v>
      </c>
      <c r="J200" s="35">
        <f t="shared" si="62"/>
        <v>10485.810000000001</v>
      </c>
      <c r="K200" s="35">
        <f t="shared" si="62"/>
        <v>10935.419999999998</v>
      </c>
      <c r="L200" s="35">
        <f t="shared" si="62"/>
        <v>11405.009999999995</v>
      </c>
      <c r="M200" s="36"/>
      <c r="N200" s="36"/>
      <c r="O200" s="36"/>
      <c r="P200" s="36"/>
      <c r="Q200" s="36"/>
      <c r="R200" s="37"/>
      <c r="S200" s="38"/>
      <c r="T200" s="57"/>
      <c r="U200" s="52"/>
      <c r="V200" s="51"/>
      <c r="W200" s="51"/>
      <c r="X200" s="52"/>
      <c r="Y200" s="52"/>
      <c r="Z200" s="53"/>
      <c r="AA200" s="53"/>
    </row>
    <row r="201" spans="1:27" x14ac:dyDescent="0.3">
      <c r="A201" s="97">
        <v>42997</v>
      </c>
      <c r="B201" s="117" t="s">
        <v>431</v>
      </c>
      <c r="C201" s="26" t="s">
        <v>126</v>
      </c>
      <c r="D201" s="16">
        <v>29249.16</v>
      </c>
      <c r="E201" s="16">
        <v>29037.86</v>
      </c>
      <c r="F201" s="16">
        <v>29048.31</v>
      </c>
      <c r="G201" s="16">
        <v>29055.98</v>
      </c>
      <c r="H201" s="16">
        <v>29315.64</v>
      </c>
      <c r="I201" s="16">
        <v>29186.67</v>
      </c>
      <c r="J201" s="16">
        <v>29033.43</v>
      </c>
      <c r="K201" s="16">
        <v>29058.3</v>
      </c>
      <c r="L201" s="16">
        <v>29283.09</v>
      </c>
      <c r="M201" s="27">
        <f>IF((L202=""),"",MAX(D203:L203))</f>
        <v>11089.140000000003</v>
      </c>
      <c r="N201" s="27">
        <f>IF(L202="","",MIN(D203:L203))</f>
        <v>9483.2399999999943</v>
      </c>
      <c r="O201" s="27">
        <f>IF((L203=""),"",AVERAGE(D203:L203))</f>
        <v>10305.046666666663</v>
      </c>
      <c r="P201" s="27">
        <f>IF((L202=""),"",STDEV(D203:L203))</f>
        <v>497.75578306535101</v>
      </c>
      <c r="Q201" s="27">
        <f>IF((L202=""),"",P201/O201*100)</f>
        <v>4.8302137696806602</v>
      </c>
      <c r="R201" s="28" t="str">
        <f>IF(L202="","",IF(Q201&lt;Z201,IF(N201&gt;V201,IF(M201&lt;W201,"Pass","Fail"),"Fail"),"Fail"))</f>
        <v>Pass</v>
      </c>
      <c r="S201" s="29">
        <v>1428</v>
      </c>
      <c r="T201" s="55" t="s">
        <v>171</v>
      </c>
      <c r="U201" s="40"/>
      <c r="V201" s="54">
        <v>9000</v>
      </c>
      <c r="W201" s="22">
        <v>15600</v>
      </c>
      <c r="X201" s="40">
        <v>8090</v>
      </c>
      <c r="Y201" s="40">
        <v>12070</v>
      </c>
      <c r="Z201" s="47">
        <v>6</v>
      </c>
      <c r="AA201" s="47">
        <v>6</v>
      </c>
    </row>
    <row r="202" spans="1:27" ht="15.75" customHeight="1" x14ac:dyDescent="0.3">
      <c r="A202" s="96"/>
      <c r="B202" s="96"/>
      <c r="C202" s="30" t="s">
        <v>128</v>
      </c>
      <c r="D202" s="16">
        <v>25973.24</v>
      </c>
      <c r="E202" s="16">
        <v>25650.799999999999</v>
      </c>
      <c r="F202" s="16">
        <v>25651.599999999999</v>
      </c>
      <c r="G202" s="16">
        <v>25517.68</v>
      </c>
      <c r="H202" s="16">
        <v>25737.81</v>
      </c>
      <c r="I202" s="16">
        <v>26025.59</v>
      </c>
      <c r="J202" s="16">
        <v>25683.79</v>
      </c>
      <c r="K202" s="16">
        <v>25526.080000000002</v>
      </c>
      <c r="L202" s="16">
        <v>25586.71</v>
      </c>
      <c r="M202" s="31"/>
      <c r="N202" s="31"/>
      <c r="O202" s="31"/>
      <c r="P202" s="31"/>
      <c r="Q202" s="31"/>
      <c r="R202" s="32"/>
      <c r="S202" s="33"/>
      <c r="T202" s="56"/>
      <c r="V202" s="48"/>
      <c r="W202" s="48"/>
      <c r="X202" s="49"/>
      <c r="Y202" s="49"/>
      <c r="Z202" s="50"/>
      <c r="AA202" s="50"/>
    </row>
    <row r="203" spans="1:27" ht="16.5" customHeight="1" thickBot="1" x14ac:dyDescent="0.35">
      <c r="A203" s="96"/>
      <c r="B203" s="96"/>
      <c r="C203" s="34" t="s">
        <v>129</v>
      </c>
      <c r="D203" s="35">
        <f t="shared" ref="D203:L203" si="63">IF(((D201="")*AND(D202="")),"",(D201-D202)*3)</f>
        <v>9827.7599999999948</v>
      </c>
      <c r="E203" s="35">
        <f t="shared" si="63"/>
        <v>10161.180000000004</v>
      </c>
      <c r="F203" s="35">
        <f t="shared" si="63"/>
        <v>10190.130000000008</v>
      </c>
      <c r="G203" s="35">
        <f t="shared" si="63"/>
        <v>10614.899999999998</v>
      </c>
      <c r="H203" s="35">
        <f t="shared" si="63"/>
        <v>10733.489999999994</v>
      </c>
      <c r="I203" s="35">
        <f t="shared" si="63"/>
        <v>9483.2399999999943</v>
      </c>
      <c r="J203" s="35">
        <f t="shared" si="63"/>
        <v>10048.919999999998</v>
      </c>
      <c r="K203" s="35">
        <f t="shared" si="63"/>
        <v>10596.659999999993</v>
      </c>
      <c r="L203" s="35">
        <f t="shared" si="63"/>
        <v>11089.140000000003</v>
      </c>
      <c r="M203" s="36"/>
      <c r="N203" s="36"/>
      <c r="O203" s="36"/>
      <c r="P203" s="36"/>
      <c r="Q203" s="36"/>
      <c r="R203" s="37"/>
      <c r="S203" s="38"/>
      <c r="T203" s="57"/>
      <c r="U203" s="52"/>
      <c r="V203" s="51"/>
      <c r="W203" s="51"/>
      <c r="X203" s="52"/>
      <c r="Y203" s="52"/>
      <c r="Z203" s="53"/>
      <c r="AA203" s="53"/>
    </row>
    <row r="204" spans="1:27" x14ac:dyDescent="0.3">
      <c r="A204" s="97">
        <v>42998</v>
      </c>
      <c r="B204" s="117" t="s">
        <v>431</v>
      </c>
      <c r="C204" s="26" t="s">
        <v>126</v>
      </c>
      <c r="D204" s="16">
        <v>29363.56</v>
      </c>
      <c r="E204" s="16">
        <v>29188.97</v>
      </c>
      <c r="F204" s="16">
        <v>29237.08</v>
      </c>
      <c r="G204" s="16">
        <v>29175.03</v>
      </c>
      <c r="H204" s="16">
        <v>29354.19</v>
      </c>
      <c r="I204" s="16">
        <v>29367.85</v>
      </c>
      <c r="J204" s="16">
        <v>29186.560000000001</v>
      </c>
      <c r="K204" s="16">
        <v>29159.69</v>
      </c>
      <c r="L204" s="16">
        <v>29335.69</v>
      </c>
      <c r="M204" s="27">
        <f>IF((L205=""),"",MAX(D206:L206))</f>
        <v>11915.219999999994</v>
      </c>
      <c r="N204" s="27">
        <f>IF(L205="","",MIN(D206:L206))</f>
        <v>11371.439999999999</v>
      </c>
      <c r="O204" s="27">
        <f>IF((L206=""),"",AVERAGE(D206:L206))</f>
        <v>11662.879999999997</v>
      </c>
      <c r="P204" s="27">
        <f>IF((L205=""),"",STDEV(D206:L206))</f>
        <v>180.17704792786481</v>
      </c>
      <c r="Q204" s="27">
        <f>IF((L205=""),"",P204/O204*100)</f>
        <v>1.5448761191735219</v>
      </c>
      <c r="R204" s="28" t="str">
        <f>IF(L205="","",IF(Q204&lt;Z204,IF(N204&gt;V204,IF(M204&lt;W204,"Pass","Fail"),"Fail"),"Fail"))</f>
        <v>Pass</v>
      </c>
      <c r="S204" s="29">
        <v>64</v>
      </c>
      <c r="T204" s="55"/>
      <c r="U204" s="40"/>
      <c r="V204" s="54">
        <v>9000</v>
      </c>
      <c r="W204" s="22">
        <v>15600</v>
      </c>
      <c r="X204" s="40">
        <v>8090</v>
      </c>
      <c r="Y204" s="40">
        <v>12070</v>
      </c>
      <c r="Z204" s="47">
        <v>6</v>
      </c>
      <c r="AA204" s="47">
        <v>6</v>
      </c>
    </row>
    <row r="205" spans="1:27" ht="15.75" customHeight="1" x14ac:dyDescent="0.3">
      <c r="A205" s="96"/>
      <c r="B205" s="96"/>
      <c r="C205" s="30" t="s">
        <v>128</v>
      </c>
      <c r="D205" s="16">
        <v>25573.08</v>
      </c>
      <c r="E205" s="16">
        <v>25285.360000000001</v>
      </c>
      <c r="F205" s="16">
        <v>25330.42</v>
      </c>
      <c r="G205" s="16">
        <v>25203.29</v>
      </c>
      <c r="H205" s="16">
        <v>25485.9</v>
      </c>
      <c r="I205" s="16">
        <v>25558.68</v>
      </c>
      <c r="J205" s="16">
        <v>25314.09</v>
      </c>
      <c r="K205" s="16">
        <v>25246.95</v>
      </c>
      <c r="L205" s="16">
        <v>25382.21</v>
      </c>
      <c r="M205" s="31"/>
      <c r="N205" s="31"/>
      <c r="O205" s="31"/>
      <c r="P205" s="31"/>
      <c r="Q205" s="31"/>
      <c r="R205" s="32"/>
      <c r="S205" s="33"/>
      <c r="T205" s="56"/>
      <c r="V205" s="48"/>
      <c r="W205" s="48"/>
      <c r="X205" s="49"/>
      <c r="Y205" s="49"/>
      <c r="Z205" s="50"/>
      <c r="AA205" s="50"/>
    </row>
    <row r="206" spans="1:27" ht="16.5" customHeight="1" thickBot="1" x14ac:dyDescent="0.35">
      <c r="A206" s="96"/>
      <c r="B206" s="96"/>
      <c r="C206" s="34" t="s">
        <v>129</v>
      </c>
      <c r="D206" s="35">
        <f t="shared" ref="D206:L206" si="64">IF(((D204="")*AND(D205="")),"",(D204-D205)*3)</f>
        <v>11371.439999999999</v>
      </c>
      <c r="E206" s="35">
        <f t="shared" si="64"/>
        <v>11710.830000000002</v>
      </c>
      <c r="F206" s="35">
        <f t="shared" si="64"/>
        <v>11719.98000000001</v>
      </c>
      <c r="G206" s="35">
        <f t="shared" si="64"/>
        <v>11915.219999999994</v>
      </c>
      <c r="H206" s="35">
        <f t="shared" si="64"/>
        <v>11604.869999999992</v>
      </c>
      <c r="I206" s="35">
        <f t="shared" si="64"/>
        <v>11427.509999999995</v>
      </c>
      <c r="J206" s="35">
        <f t="shared" si="64"/>
        <v>11617.410000000003</v>
      </c>
      <c r="K206" s="35">
        <f t="shared" si="64"/>
        <v>11738.219999999994</v>
      </c>
      <c r="L206" s="35">
        <f t="shared" si="64"/>
        <v>11860.439999999999</v>
      </c>
      <c r="M206" s="36"/>
      <c r="N206" s="36"/>
      <c r="O206" s="36"/>
      <c r="P206" s="36"/>
      <c r="Q206" s="36"/>
      <c r="R206" s="37"/>
      <c r="S206" s="38"/>
      <c r="T206" s="57"/>
      <c r="U206" s="52"/>
      <c r="V206" s="51"/>
      <c r="W206" s="51"/>
      <c r="X206" s="52"/>
      <c r="Y206" s="52"/>
      <c r="Z206" s="53"/>
      <c r="AA206" s="53"/>
    </row>
    <row r="207" spans="1:27" x14ac:dyDescent="0.3">
      <c r="A207" s="97">
        <v>43003</v>
      </c>
      <c r="B207" s="117" t="s">
        <v>431</v>
      </c>
      <c r="C207" s="26" t="s">
        <v>126</v>
      </c>
      <c r="D207" s="16">
        <v>29225.05</v>
      </c>
      <c r="E207" s="16">
        <v>29028.19</v>
      </c>
      <c r="F207" s="16">
        <v>29030.47</v>
      </c>
      <c r="G207" s="16">
        <v>29035.27</v>
      </c>
      <c r="H207" s="16">
        <v>29322.31</v>
      </c>
      <c r="I207" s="16">
        <v>29210.44</v>
      </c>
      <c r="J207" s="16">
        <v>29036.75</v>
      </c>
      <c r="K207" s="16">
        <v>29016.54</v>
      </c>
      <c r="L207" s="16">
        <v>29236.959999999999</v>
      </c>
      <c r="M207" s="27">
        <f>IF((L208=""),"",MAX(D209:L209))</f>
        <v>11402.969999999994</v>
      </c>
      <c r="N207" s="27">
        <f>IF(L208="","",MIN(D209:L209))</f>
        <v>10095.810000000001</v>
      </c>
      <c r="O207" s="27">
        <f>IF((L209=""),"",AVERAGE(D209:L209))</f>
        <v>10788.5</v>
      </c>
      <c r="P207" s="27">
        <f>IF((L208=""),"",STDEV(D209:L209))</f>
        <v>396.15047567180738</v>
      </c>
      <c r="Q207" s="27">
        <f>IF((L208=""),"",P207/O207*100)</f>
        <v>3.6719699279029281</v>
      </c>
      <c r="R207" s="28" t="str">
        <f>IF(L208="","",IF(Q207&lt;Z207,IF(N207&gt;V207,IF(M207&lt;W207,"Pass","Fail"),"Fail"),"Fail"))</f>
        <v>Pass</v>
      </c>
      <c r="S207" s="29" t="s">
        <v>47</v>
      </c>
      <c r="T207" s="55" t="s">
        <v>172</v>
      </c>
      <c r="U207" s="40"/>
      <c r="V207" s="54">
        <v>9000</v>
      </c>
      <c r="W207" s="22">
        <v>15600</v>
      </c>
      <c r="X207" s="40">
        <v>8090</v>
      </c>
      <c r="Y207" s="40">
        <v>12070</v>
      </c>
      <c r="Z207" s="47">
        <v>6</v>
      </c>
      <c r="AA207" s="47">
        <v>6</v>
      </c>
    </row>
    <row r="208" spans="1:27" ht="15.75" customHeight="1" x14ac:dyDescent="0.3">
      <c r="A208" s="96"/>
      <c r="B208" s="96"/>
      <c r="C208" s="30" t="s">
        <v>128</v>
      </c>
      <c r="D208" s="16">
        <v>25764.29</v>
      </c>
      <c r="E208" s="16">
        <v>25460.91</v>
      </c>
      <c r="F208" s="16">
        <v>25470.62</v>
      </c>
      <c r="G208" s="16">
        <v>25351.13</v>
      </c>
      <c r="H208" s="16">
        <v>25619.9</v>
      </c>
      <c r="I208" s="16">
        <v>25845.17</v>
      </c>
      <c r="J208" s="16">
        <v>25470.12</v>
      </c>
      <c r="K208" s="16">
        <v>25358.37</v>
      </c>
      <c r="L208" s="16">
        <v>25435.97</v>
      </c>
      <c r="M208" s="31"/>
      <c r="N208" s="31"/>
      <c r="O208" s="31"/>
      <c r="P208" s="31"/>
      <c r="Q208" s="31"/>
      <c r="R208" s="32"/>
      <c r="S208" s="33"/>
      <c r="T208" s="56"/>
      <c r="V208" s="48"/>
      <c r="W208" s="48"/>
      <c r="X208" s="49"/>
      <c r="Y208" s="49"/>
      <c r="Z208" s="50"/>
      <c r="AA208" s="50"/>
    </row>
    <row r="209" spans="1:27" ht="16.5" customHeight="1" thickBot="1" x14ac:dyDescent="0.35">
      <c r="A209" s="96"/>
      <c r="B209" s="96"/>
      <c r="C209" s="34" t="s">
        <v>129</v>
      </c>
      <c r="D209" s="35">
        <f t="shared" ref="D209:L209" si="65">IF(((D207="")*AND(D208="")),"",(D207-D208)*3)</f>
        <v>10382.279999999995</v>
      </c>
      <c r="E209" s="35">
        <f t="shared" si="65"/>
        <v>10701.839999999997</v>
      </c>
      <c r="F209" s="35">
        <f t="shared" si="65"/>
        <v>10679.550000000007</v>
      </c>
      <c r="G209" s="35">
        <f t="shared" si="65"/>
        <v>11052.419999999998</v>
      </c>
      <c r="H209" s="35">
        <f t="shared" si="65"/>
        <v>11107.23</v>
      </c>
      <c r="I209" s="35">
        <f t="shared" si="65"/>
        <v>10095.810000000001</v>
      </c>
      <c r="J209" s="35">
        <f t="shared" si="65"/>
        <v>10699.890000000003</v>
      </c>
      <c r="K209" s="35">
        <f t="shared" si="65"/>
        <v>10974.510000000006</v>
      </c>
      <c r="L209" s="35">
        <f t="shared" si="65"/>
        <v>11402.969999999994</v>
      </c>
      <c r="M209" s="36"/>
      <c r="N209" s="36"/>
      <c r="O209" s="36"/>
      <c r="P209" s="36"/>
      <c r="Q209" s="36"/>
      <c r="R209" s="37"/>
      <c r="S209" s="38"/>
      <c r="T209" s="57"/>
      <c r="U209" s="52"/>
      <c r="V209" s="51"/>
      <c r="W209" s="51"/>
      <c r="X209" s="52"/>
      <c r="Y209" s="52"/>
      <c r="Z209" s="53"/>
      <c r="AA209" s="53"/>
    </row>
    <row r="210" spans="1:27" x14ac:dyDescent="0.3">
      <c r="A210" s="97">
        <v>43007</v>
      </c>
      <c r="B210" s="117" t="s">
        <v>431</v>
      </c>
      <c r="C210" s="26" t="s">
        <v>126</v>
      </c>
      <c r="D210" s="16">
        <v>29232.82</v>
      </c>
      <c r="E210" s="16">
        <v>29035.57</v>
      </c>
      <c r="F210" s="16">
        <v>29104.16</v>
      </c>
      <c r="G210" s="16">
        <v>29050.080000000002</v>
      </c>
      <c r="H210" s="16">
        <v>29273.599999999999</v>
      </c>
      <c r="I210" s="16">
        <v>29204.2</v>
      </c>
      <c r="J210" s="16">
        <v>29033.5</v>
      </c>
      <c r="K210" s="16">
        <v>29034.400000000001</v>
      </c>
      <c r="L210" s="16">
        <v>29227.23</v>
      </c>
      <c r="M210" s="27">
        <f>IF((L211=""),"",MAX(D212:L212))</f>
        <v>22067.79</v>
      </c>
      <c r="N210" s="27">
        <f>IF(L211="","",MIN(D212:L212))</f>
        <v>16848.030000000006</v>
      </c>
      <c r="O210" s="27">
        <f>IF((L212=""),"",AVERAGE(D212:L212))</f>
        <v>19960.963333333333</v>
      </c>
      <c r="P210" s="27">
        <f>IF((L211=""),"",STDEV(D212:L212))</f>
        <v>1756.0129929758484</v>
      </c>
      <c r="Q210" s="27">
        <f>IF((L211=""),"",P210/O210*100)</f>
        <v>8.7972357027650894</v>
      </c>
      <c r="R210" s="28" t="str">
        <f>IF(L211="","",IF(Q210&lt;Z210,IF(N210&gt;V210,IF(M210&lt;W210,"Pass","Fail"),"Fail"),"Fail"))</f>
        <v>Fail</v>
      </c>
      <c r="S210" s="29">
        <v>1159</v>
      </c>
      <c r="T210" s="55"/>
      <c r="U210" s="40"/>
      <c r="V210" s="54">
        <v>9000</v>
      </c>
      <c r="W210" s="22">
        <v>15600</v>
      </c>
      <c r="X210" s="40">
        <v>8090</v>
      </c>
      <c r="Y210" s="40">
        <v>12070</v>
      </c>
      <c r="Z210" s="47">
        <v>6</v>
      </c>
      <c r="AA210" s="47">
        <v>6</v>
      </c>
    </row>
    <row r="211" spans="1:27" ht="15.75" customHeight="1" x14ac:dyDescent="0.3">
      <c r="A211" s="96"/>
      <c r="B211" s="96"/>
      <c r="C211" s="30" t="s">
        <v>128</v>
      </c>
      <c r="D211" s="16">
        <v>23330.080000000002</v>
      </c>
      <c r="E211" s="16">
        <v>22481.68</v>
      </c>
      <c r="F211" s="16">
        <v>22159.47</v>
      </c>
      <c r="G211" s="16">
        <v>22001.7</v>
      </c>
      <c r="H211" s="16">
        <v>22269.61</v>
      </c>
      <c r="I211" s="16">
        <v>23588.19</v>
      </c>
      <c r="J211" s="16">
        <v>22638.6</v>
      </c>
      <c r="K211" s="16">
        <v>21972.04</v>
      </c>
      <c r="L211" s="16">
        <v>21871.3</v>
      </c>
      <c r="M211" s="31"/>
      <c r="N211" s="31"/>
      <c r="O211" s="31"/>
      <c r="P211" s="31"/>
      <c r="Q211" s="31"/>
      <c r="R211" s="32"/>
      <c r="S211" s="33"/>
      <c r="T211" s="56"/>
      <c r="V211" s="48"/>
      <c r="W211" s="48"/>
      <c r="X211" s="49"/>
      <c r="Y211" s="49"/>
      <c r="Z211" s="50"/>
      <c r="AA211" s="50"/>
    </row>
    <row r="212" spans="1:27" ht="16.5" customHeight="1" thickBot="1" x14ac:dyDescent="0.35">
      <c r="A212" s="96"/>
      <c r="B212" s="96"/>
      <c r="C212" s="34" t="s">
        <v>129</v>
      </c>
      <c r="D212" s="35">
        <f t="shared" ref="D212:L212" si="66">IF(((D210="")*AND(D211="")),"",(D210-D211)*3)</f>
        <v>17708.219999999994</v>
      </c>
      <c r="E212" s="35">
        <f t="shared" si="66"/>
        <v>19661.669999999998</v>
      </c>
      <c r="F212" s="35">
        <f t="shared" si="66"/>
        <v>20834.069999999996</v>
      </c>
      <c r="G212" s="35">
        <f t="shared" si="66"/>
        <v>21145.140000000003</v>
      </c>
      <c r="H212" s="35">
        <f t="shared" si="66"/>
        <v>21011.969999999994</v>
      </c>
      <c r="I212" s="35">
        <f t="shared" si="66"/>
        <v>16848.030000000006</v>
      </c>
      <c r="J212" s="35">
        <f t="shared" si="66"/>
        <v>19184.700000000004</v>
      </c>
      <c r="K212" s="35">
        <f t="shared" si="66"/>
        <v>21187.08</v>
      </c>
      <c r="L212" s="35">
        <f t="shared" si="66"/>
        <v>22067.79</v>
      </c>
      <c r="M212" s="36"/>
      <c r="N212" s="36"/>
      <c r="O212" s="36"/>
      <c r="P212" s="36"/>
      <c r="Q212" s="36"/>
      <c r="R212" s="37"/>
      <c r="S212" s="38"/>
      <c r="T212" s="57"/>
      <c r="U212" s="52"/>
      <c r="V212" s="51"/>
      <c r="W212" s="51"/>
      <c r="X212" s="52"/>
      <c r="Y212" s="52"/>
      <c r="Z212" s="53"/>
      <c r="AA212" s="53"/>
    </row>
    <row r="213" spans="1:27" x14ac:dyDescent="0.3">
      <c r="A213" s="97">
        <v>43007</v>
      </c>
      <c r="B213" s="117" t="s">
        <v>431</v>
      </c>
      <c r="C213" s="26" t="s">
        <v>126</v>
      </c>
      <c r="D213" s="16">
        <v>29227.9</v>
      </c>
      <c r="E213" s="16">
        <v>29075.22</v>
      </c>
      <c r="F213" s="16">
        <v>29022.400000000001</v>
      </c>
      <c r="G213" s="16">
        <v>29016.91</v>
      </c>
      <c r="H213" s="16">
        <v>29216.45</v>
      </c>
      <c r="I213" s="16">
        <v>29194.58</v>
      </c>
      <c r="J213" s="16">
        <v>29004.12</v>
      </c>
      <c r="K213" s="16">
        <v>29025.15</v>
      </c>
      <c r="L213" s="16">
        <v>29309.33</v>
      </c>
      <c r="M213" s="27">
        <f>IF((L214=""),"",MAX(D215:L215))</f>
        <v>13430.490000000005</v>
      </c>
      <c r="N213" s="27">
        <f>IF(L214="","",MIN(D215:L215))</f>
        <v>11253.75</v>
      </c>
      <c r="O213" s="27">
        <f>IF((L215=""),"",AVERAGE(D215:L215))</f>
        <v>12469.116666666667</v>
      </c>
      <c r="P213" s="27">
        <f>IF((L214=""),"",STDEV(D215:L215))</f>
        <v>691.00089723169128</v>
      </c>
      <c r="Q213" s="27">
        <f>IF((L214=""),"",P213/O213*100)</f>
        <v>5.5416988685246986</v>
      </c>
      <c r="R213" s="28" t="str">
        <f>IF(L214="","",IF(Q213&lt;Z213,IF(N213&gt;V213,IF(M213&lt;W213,"Pass","Fail"),"Fail"),"Fail"))</f>
        <v>Pass</v>
      </c>
      <c r="S213" s="29">
        <v>1159</v>
      </c>
      <c r="T213" s="55" t="s">
        <v>173</v>
      </c>
      <c r="U213" s="40"/>
      <c r="V213" s="54">
        <v>9000</v>
      </c>
      <c r="W213" s="22">
        <v>15600</v>
      </c>
      <c r="X213" s="40">
        <v>8090</v>
      </c>
      <c r="Y213" s="40">
        <v>12070</v>
      </c>
      <c r="Z213" s="47">
        <v>6</v>
      </c>
      <c r="AA213" s="47">
        <v>6</v>
      </c>
    </row>
    <row r="214" spans="1:27" ht="15.75" customHeight="1" x14ac:dyDescent="0.3">
      <c r="A214" s="96"/>
      <c r="B214" s="96"/>
      <c r="C214" s="30" t="s">
        <v>128</v>
      </c>
      <c r="D214" s="16">
        <v>25341.74</v>
      </c>
      <c r="E214" s="16">
        <v>24910.19</v>
      </c>
      <c r="F214" s="16">
        <v>24868.880000000001</v>
      </c>
      <c r="G214" s="16">
        <v>24685.96</v>
      </c>
      <c r="H214" s="16">
        <v>24953.32</v>
      </c>
      <c r="I214" s="16">
        <v>25443.33</v>
      </c>
      <c r="J214" s="16">
        <v>24955.91</v>
      </c>
      <c r="K214" s="16">
        <v>24692.880000000001</v>
      </c>
      <c r="L214" s="16">
        <v>24832.5</v>
      </c>
      <c r="M214" s="31"/>
      <c r="N214" s="31"/>
      <c r="O214" s="31"/>
      <c r="P214" s="31"/>
      <c r="Q214" s="31"/>
      <c r="R214" s="32"/>
      <c r="S214" s="33"/>
      <c r="T214" s="56"/>
      <c r="V214" s="48"/>
      <c r="W214" s="48"/>
      <c r="X214" s="49"/>
      <c r="Y214" s="49"/>
      <c r="Z214" s="50"/>
      <c r="AA214" s="50"/>
    </row>
    <row r="215" spans="1:27" ht="16.5" customHeight="1" thickBot="1" x14ac:dyDescent="0.35">
      <c r="A215" s="96"/>
      <c r="B215" s="96"/>
      <c r="C215" s="34" t="s">
        <v>129</v>
      </c>
      <c r="D215" s="35">
        <f t="shared" ref="D215:L215" si="67">IF(((D213="")*AND(D214="")),"",(D213-D214)*3)</f>
        <v>11658.48</v>
      </c>
      <c r="E215" s="35">
        <f t="shared" si="67"/>
        <v>12495.090000000007</v>
      </c>
      <c r="F215" s="35">
        <f t="shared" si="67"/>
        <v>12460.560000000001</v>
      </c>
      <c r="G215" s="35">
        <f t="shared" si="67"/>
        <v>12992.850000000002</v>
      </c>
      <c r="H215" s="35">
        <f t="shared" si="67"/>
        <v>12789.390000000003</v>
      </c>
      <c r="I215" s="35">
        <f t="shared" si="67"/>
        <v>11253.75</v>
      </c>
      <c r="J215" s="35">
        <f t="shared" si="67"/>
        <v>12144.629999999997</v>
      </c>
      <c r="K215" s="35">
        <f t="shared" si="67"/>
        <v>12996.810000000001</v>
      </c>
      <c r="L215" s="35">
        <f t="shared" si="67"/>
        <v>13430.490000000005</v>
      </c>
      <c r="M215" s="36"/>
      <c r="N215" s="36"/>
      <c r="O215" s="36"/>
      <c r="P215" s="36"/>
      <c r="Q215" s="36"/>
      <c r="R215" s="37"/>
      <c r="S215" s="38"/>
      <c r="T215" s="57"/>
      <c r="U215" s="52"/>
      <c r="V215" s="51"/>
      <c r="W215" s="51"/>
      <c r="X215" s="52"/>
      <c r="Y215" s="52"/>
      <c r="Z215" s="53"/>
      <c r="AA215" s="53"/>
    </row>
    <row r="216" spans="1:27" x14ac:dyDescent="0.3">
      <c r="A216" s="97">
        <v>43007</v>
      </c>
      <c r="B216" s="117" t="s">
        <v>431</v>
      </c>
      <c r="C216" s="26" t="s">
        <v>126</v>
      </c>
      <c r="D216" s="16">
        <v>29164.5</v>
      </c>
      <c r="E216" s="16">
        <v>28990.36</v>
      </c>
      <c r="F216" s="16">
        <v>29052.93</v>
      </c>
      <c r="G216" s="16">
        <v>28994.25</v>
      </c>
      <c r="H216" s="16">
        <v>29202.799999999999</v>
      </c>
      <c r="I216" s="16">
        <v>29184.83</v>
      </c>
      <c r="J216" s="16">
        <v>28997.84</v>
      </c>
      <c r="K216" s="16">
        <v>28981.24</v>
      </c>
      <c r="L216" s="16">
        <v>29159.73</v>
      </c>
      <c r="M216" s="27">
        <f>IF((L217=""),"",MAX(D218:L218))</f>
        <v>13019.550000000007</v>
      </c>
      <c r="N216" s="27">
        <f>IF(L217="","",MIN(D218:L218))</f>
        <v>10824.089999999997</v>
      </c>
      <c r="O216" s="27">
        <f>IF((L218=""),"",AVERAGE(D218:L218))</f>
        <v>11962.003333333334</v>
      </c>
      <c r="P216" s="27">
        <f>IF((L217=""),"",STDEV(D218:L218))</f>
        <v>674.07356442008745</v>
      </c>
      <c r="Q216" s="27">
        <f>IF((L217=""),"",P216/O216*100)</f>
        <v>5.635122693384587</v>
      </c>
      <c r="R216" s="28" t="str">
        <f>IF(L217="","",IF(Q216&lt;Z216,IF(N216&gt;V216,IF(M216&lt;W216,"Pass","Fail"),"Fail"),"Fail"))</f>
        <v>Pass</v>
      </c>
      <c r="S216" s="29" t="s">
        <v>174</v>
      </c>
      <c r="T216" s="55"/>
      <c r="U216" s="40"/>
      <c r="V216" s="54">
        <v>9000</v>
      </c>
      <c r="W216" s="22">
        <v>15600</v>
      </c>
      <c r="X216" s="40">
        <v>8090</v>
      </c>
      <c r="Y216" s="40">
        <v>12070</v>
      </c>
      <c r="Z216" s="47">
        <v>6</v>
      </c>
      <c r="AA216" s="47">
        <v>6</v>
      </c>
    </row>
    <row r="217" spans="1:27" ht="15.75" customHeight="1" x14ac:dyDescent="0.3">
      <c r="A217" s="96"/>
      <c r="B217" s="96"/>
      <c r="C217" s="30" t="s">
        <v>128</v>
      </c>
      <c r="D217" s="16">
        <v>25079.11</v>
      </c>
      <c r="E217" s="16">
        <v>24856.9</v>
      </c>
      <c r="F217" s="16">
        <v>25046.83</v>
      </c>
      <c r="G217" s="16">
        <v>25035.07</v>
      </c>
      <c r="H217" s="16">
        <v>25454.73</v>
      </c>
      <c r="I217" s="16">
        <v>24844.98</v>
      </c>
      <c r="J217" s="16">
        <v>24843.38</v>
      </c>
      <c r="K217" s="16">
        <v>25129.77</v>
      </c>
      <c r="L217" s="16">
        <v>25551.7</v>
      </c>
      <c r="M217" s="31"/>
      <c r="N217" s="31"/>
      <c r="O217" s="31"/>
      <c r="P217" s="31"/>
      <c r="Q217" s="31"/>
      <c r="R217" s="32"/>
      <c r="S217" s="33"/>
      <c r="T217" s="56"/>
      <c r="V217" s="48"/>
      <c r="W217" s="48"/>
      <c r="X217" s="49"/>
      <c r="Y217" s="49"/>
      <c r="Z217" s="50"/>
      <c r="AA217" s="50"/>
    </row>
    <row r="218" spans="1:27" ht="16.5" customHeight="1" thickBot="1" x14ac:dyDescent="0.35">
      <c r="A218" s="96"/>
      <c r="B218" s="96"/>
      <c r="C218" s="34" t="s">
        <v>129</v>
      </c>
      <c r="D218" s="35">
        <f t="shared" ref="D218:L218" si="68">IF(((D216="")*AND(D217="")),"",(D216-D217)*3)</f>
        <v>12256.169999999998</v>
      </c>
      <c r="E218" s="35">
        <f t="shared" si="68"/>
        <v>12400.379999999997</v>
      </c>
      <c r="F218" s="35">
        <f t="shared" si="68"/>
        <v>12018.299999999996</v>
      </c>
      <c r="G218" s="35">
        <f t="shared" si="68"/>
        <v>11877.54</v>
      </c>
      <c r="H218" s="35">
        <f t="shared" si="68"/>
        <v>11244.21</v>
      </c>
      <c r="I218" s="35">
        <f t="shared" si="68"/>
        <v>13019.550000000007</v>
      </c>
      <c r="J218" s="35">
        <f t="shared" si="68"/>
        <v>12463.379999999997</v>
      </c>
      <c r="K218" s="35">
        <f t="shared" si="68"/>
        <v>11554.410000000003</v>
      </c>
      <c r="L218" s="35">
        <f t="shared" si="68"/>
        <v>10824.089999999997</v>
      </c>
      <c r="M218" s="36"/>
      <c r="N218" s="36"/>
      <c r="O218" s="36"/>
      <c r="P218" s="36"/>
      <c r="Q218" s="36"/>
      <c r="R218" s="37"/>
      <c r="S218" s="38"/>
      <c r="T218" s="57"/>
      <c r="U218" s="52"/>
      <c r="V218" s="51"/>
      <c r="W218" s="51"/>
      <c r="X218" s="52"/>
      <c r="Y218" s="52"/>
      <c r="Z218" s="53"/>
      <c r="AA218" s="53"/>
    </row>
    <row r="219" spans="1:27" x14ac:dyDescent="0.3">
      <c r="A219" s="97">
        <v>43010</v>
      </c>
      <c r="B219" s="117" t="s">
        <v>431</v>
      </c>
      <c r="C219" s="26" t="s">
        <v>126</v>
      </c>
      <c r="D219" s="16">
        <v>29198.959999999999</v>
      </c>
      <c r="E219" s="16">
        <v>29022.39</v>
      </c>
      <c r="F219" s="16">
        <v>29092.57</v>
      </c>
      <c r="G219" s="16">
        <v>29024.76</v>
      </c>
      <c r="H219" s="16">
        <v>29231.13</v>
      </c>
      <c r="I219" s="16">
        <v>29205.66</v>
      </c>
      <c r="J219" s="16">
        <v>29039.78</v>
      </c>
      <c r="K219" s="16">
        <v>29025.53</v>
      </c>
      <c r="L219" s="16">
        <v>29201.25</v>
      </c>
      <c r="M219" s="27">
        <f>IF((L220=""),"",MAX(D221:L221))</f>
        <v>11368.680000000004</v>
      </c>
      <c r="N219" s="27">
        <f>IF(L220="","",MIN(D221:L221))</f>
        <v>9830.9700000000048</v>
      </c>
      <c r="O219" s="27">
        <f>IF((L221=""),"",AVERAGE(D221:L221))</f>
        <v>10645.996666666666</v>
      </c>
      <c r="P219" s="27">
        <f>IF((L220=""),"",STDEV(D221:L221))</f>
        <v>478.62101450417026</v>
      </c>
      <c r="Q219" s="27">
        <f>IF((L220=""),"",P219/O219*100)</f>
        <v>4.4957839974040663</v>
      </c>
      <c r="R219" s="28" t="str">
        <f>IF(L220="","",IF(Q219&lt;Z219,IF(N219&gt;V219,IF(M219&lt;W219,"Pass","Fail"),"Fail"),"Fail"))</f>
        <v>Pass</v>
      </c>
      <c r="S219" s="29">
        <v>1159</v>
      </c>
      <c r="T219" s="55" t="s">
        <v>175</v>
      </c>
      <c r="U219" s="40"/>
      <c r="V219" s="54">
        <v>9000</v>
      </c>
      <c r="W219" s="22">
        <v>15600</v>
      </c>
      <c r="X219" s="40">
        <v>8090</v>
      </c>
      <c r="Y219" s="40">
        <v>12070</v>
      </c>
      <c r="Z219" s="47">
        <v>6</v>
      </c>
      <c r="AA219" s="47">
        <v>6</v>
      </c>
    </row>
    <row r="220" spans="1:27" ht="15.75" customHeight="1" x14ac:dyDescent="0.3">
      <c r="A220" s="96"/>
      <c r="B220" s="96"/>
      <c r="C220" s="30" t="s">
        <v>128</v>
      </c>
      <c r="D220" s="16">
        <v>25824.240000000002</v>
      </c>
      <c r="E220" s="16">
        <v>25511.15</v>
      </c>
      <c r="F220" s="16">
        <v>25523.99</v>
      </c>
      <c r="G220" s="16">
        <v>25386.1</v>
      </c>
      <c r="H220" s="16">
        <v>25552.32</v>
      </c>
      <c r="I220" s="16">
        <v>25928.67</v>
      </c>
      <c r="J220" s="16">
        <v>25575.78</v>
      </c>
      <c r="K220" s="16">
        <v>25390.1</v>
      </c>
      <c r="L220" s="16">
        <v>25411.69</v>
      </c>
      <c r="M220" s="31"/>
      <c r="N220" s="31"/>
      <c r="O220" s="31"/>
      <c r="P220" s="31"/>
      <c r="Q220" s="31"/>
      <c r="R220" s="32"/>
      <c r="S220" s="33"/>
      <c r="T220" s="56"/>
      <c r="V220" s="48"/>
      <c r="W220" s="48"/>
      <c r="X220" s="49"/>
      <c r="Y220" s="49"/>
      <c r="Z220" s="50"/>
      <c r="AA220" s="50"/>
    </row>
    <row r="221" spans="1:27" ht="16.5" customHeight="1" thickBot="1" x14ac:dyDescent="0.35">
      <c r="A221" s="96"/>
      <c r="B221" s="96"/>
      <c r="C221" s="34" t="s">
        <v>129</v>
      </c>
      <c r="D221" s="35">
        <f t="shared" ref="D221:L221" si="69">IF(((D219="")*AND(D220="")),"",(D219-D220)*3)</f>
        <v>10124.159999999993</v>
      </c>
      <c r="E221" s="35">
        <f t="shared" si="69"/>
        <v>10533.719999999994</v>
      </c>
      <c r="F221" s="35">
        <f t="shared" si="69"/>
        <v>10705.739999999994</v>
      </c>
      <c r="G221" s="35">
        <f t="shared" si="69"/>
        <v>10915.98</v>
      </c>
      <c r="H221" s="35">
        <f t="shared" si="69"/>
        <v>11036.430000000004</v>
      </c>
      <c r="I221" s="35">
        <f t="shared" si="69"/>
        <v>9830.9700000000048</v>
      </c>
      <c r="J221" s="35">
        <f t="shared" si="69"/>
        <v>10392</v>
      </c>
      <c r="K221" s="35">
        <f t="shared" si="69"/>
        <v>10906.29</v>
      </c>
      <c r="L221" s="35">
        <f t="shared" si="69"/>
        <v>11368.680000000004</v>
      </c>
      <c r="M221" s="36"/>
      <c r="N221" s="36"/>
      <c r="O221" s="36"/>
      <c r="P221" s="36"/>
      <c r="Q221" s="36"/>
      <c r="R221" s="37"/>
      <c r="S221" s="38"/>
      <c r="T221" s="57"/>
      <c r="U221" s="52"/>
      <c r="V221" s="51"/>
      <c r="W221" s="51"/>
      <c r="X221" s="52"/>
      <c r="Y221" s="52"/>
      <c r="Z221" s="53"/>
      <c r="AA221" s="53"/>
    </row>
    <row r="222" spans="1:27" x14ac:dyDescent="0.3">
      <c r="A222" s="97">
        <v>43011</v>
      </c>
      <c r="B222" s="117" t="s">
        <v>431</v>
      </c>
      <c r="C222" s="26" t="s">
        <v>126</v>
      </c>
      <c r="D222" s="16">
        <v>29123.51</v>
      </c>
      <c r="E222" s="16">
        <v>28984.76</v>
      </c>
      <c r="F222" s="16">
        <v>29053.1</v>
      </c>
      <c r="G222" s="16">
        <v>29004.14</v>
      </c>
      <c r="H222" s="16">
        <v>29228.73</v>
      </c>
      <c r="I222" s="16">
        <v>29172.63</v>
      </c>
      <c r="J222" s="16">
        <v>28986.99</v>
      </c>
      <c r="K222" s="16">
        <v>28977.58</v>
      </c>
      <c r="L222" s="16">
        <v>29179.13</v>
      </c>
      <c r="M222" s="27">
        <f>IF((L223=""),"",MAX(D224:L224))</f>
        <v>11219.52</v>
      </c>
      <c r="N222" s="27">
        <f>IF(L223="","",MIN(D224:L224))</f>
        <v>9742.4700000000048</v>
      </c>
      <c r="O222" s="27">
        <f>IF((L224=""),"",AVERAGE(D224:L224))</f>
        <v>10533.986666666666</v>
      </c>
      <c r="P222" s="27">
        <f>IF((L223=""),"",STDEV(D224:L224))</f>
        <v>500.05582643340955</v>
      </c>
      <c r="Q222" s="27">
        <f>IF((L223=""),"",P222/O222*100)</f>
        <v>4.7470710022423566</v>
      </c>
      <c r="R222" s="28" t="str">
        <f>IF(L223="","",IF(Q222&lt;Z222,IF(N222&gt;V222,IF(M222&lt;W222,"Pass","Fail"),"Fail"),"Fail"))</f>
        <v>Pass</v>
      </c>
      <c r="S222" s="29" t="s">
        <v>176</v>
      </c>
      <c r="T222" s="55" t="s">
        <v>177</v>
      </c>
      <c r="U222" s="40"/>
      <c r="V222" s="54">
        <v>9000</v>
      </c>
      <c r="W222" s="22">
        <v>15600</v>
      </c>
      <c r="X222" s="40">
        <v>8090</v>
      </c>
      <c r="Y222" s="40">
        <v>12070</v>
      </c>
      <c r="Z222" s="47">
        <v>6</v>
      </c>
      <c r="AA222" s="47">
        <v>6</v>
      </c>
    </row>
    <row r="223" spans="1:27" ht="15.75" customHeight="1" x14ac:dyDescent="0.3">
      <c r="A223" s="96"/>
      <c r="B223" s="96"/>
      <c r="C223" s="30" t="s">
        <v>128</v>
      </c>
      <c r="D223" s="16">
        <v>25775.63</v>
      </c>
      <c r="E223" s="16">
        <v>25496.54</v>
      </c>
      <c r="F223" s="16">
        <v>25578.06</v>
      </c>
      <c r="G223" s="16">
        <v>25377.16</v>
      </c>
      <c r="H223" s="16">
        <v>25544.639999999999</v>
      </c>
      <c r="I223" s="16">
        <v>25925.14</v>
      </c>
      <c r="J223" s="16">
        <v>25609.52</v>
      </c>
      <c r="K223" s="16">
        <v>25362.63</v>
      </c>
      <c r="L223" s="16">
        <v>25439.29</v>
      </c>
      <c r="M223" s="31"/>
      <c r="N223" s="31"/>
      <c r="O223" s="31"/>
      <c r="P223" s="31"/>
      <c r="Q223" s="31"/>
      <c r="R223" s="32"/>
      <c r="S223" s="33"/>
      <c r="T223" s="56"/>
      <c r="V223" s="48"/>
      <c r="W223" s="48"/>
      <c r="X223" s="49"/>
      <c r="Y223" s="49"/>
      <c r="Z223" s="50"/>
      <c r="AA223" s="50"/>
    </row>
    <row r="224" spans="1:27" ht="16.5" customHeight="1" thickBot="1" x14ac:dyDescent="0.35">
      <c r="A224" s="96"/>
      <c r="B224" s="96"/>
      <c r="C224" s="34" t="s">
        <v>129</v>
      </c>
      <c r="D224" s="35">
        <f t="shared" ref="D224:L224" si="70">IF(((D222="")*AND(D223="")),"",(D222-D223)*3)</f>
        <v>10043.639999999992</v>
      </c>
      <c r="E224" s="35">
        <f t="shared" si="70"/>
        <v>10464.659999999993</v>
      </c>
      <c r="F224" s="35">
        <f t="shared" si="70"/>
        <v>10425.119999999992</v>
      </c>
      <c r="G224" s="35">
        <f t="shared" si="70"/>
        <v>10880.939999999999</v>
      </c>
      <c r="H224" s="35">
        <f t="shared" si="70"/>
        <v>11052.27</v>
      </c>
      <c r="I224" s="35">
        <f t="shared" si="70"/>
        <v>9742.4700000000048</v>
      </c>
      <c r="J224" s="35">
        <f t="shared" si="70"/>
        <v>10132.410000000003</v>
      </c>
      <c r="K224" s="35">
        <f t="shared" si="70"/>
        <v>10844.850000000002</v>
      </c>
      <c r="L224" s="35">
        <f t="shared" si="70"/>
        <v>11219.52</v>
      </c>
      <c r="M224" s="36"/>
      <c r="N224" s="36"/>
      <c r="O224" s="36"/>
      <c r="P224" s="36"/>
      <c r="Q224" s="36"/>
      <c r="R224" s="37"/>
      <c r="S224" s="38"/>
      <c r="T224" s="57"/>
      <c r="U224" s="52"/>
      <c r="V224" s="51"/>
      <c r="W224" s="51"/>
      <c r="X224" s="52"/>
      <c r="Y224" s="52"/>
      <c r="Z224" s="53"/>
      <c r="AA224" s="53"/>
    </row>
    <row r="225" spans="1:27" x14ac:dyDescent="0.3">
      <c r="A225" s="97">
        <v>43012</v>
      </c>
      <c r="B225" s="117" t="s">
        <v>431</v>
      </c>
      <c r="C225" s="26" t="s">
        <v>126</v>
      </c>
      <c r="D225" s="16">
        <v>29454.49</v>
      </c>
      <c r="E225" s="16">
        <v>29279.09</v>
      </c>
      <c r="F225" s="16">
        <v>29299.24</v>
      </c>
      <c r="G225" s="16">
        <v>29272.54</v>
      </c>
      <c r="H225" s="16">
        <v>29515</v>
      </c>
      <c r="I225" s="16">
        <v>29429.53</v>
      </c>
      <c r="J225" s="16">
        <v>29258.66</v>
      </c>
      <c r="K225" s="16">
        <v>29268.61</v>
      </c>
      <c r="L225" s="16">
        <v>29522.9</v>
      </c>
      <c r="M225" s="27">
        <f>IF((L226=""),"",MAX(D227:L227))</f>
        <v>11826</v>
      </c>
      <c r="N225" s="27">
        <f>IF(L226="","",MIN(D227:L227))</f>
        <v>10212.449999999993</v>
      </c>
      <c r="O225" s="27">
        <f>IF((L227=""),"",AVERAGE(D227:L227))</f>
        <v>10984.833333333334</v>
      </c>
      <c r="P225" s="27">
        <f>IF((L226=""),"",STDEV(D227:L227))</f>
        <v>506.57783084142221</v>
      </c>
      <c r="Q225" s="27">
        <f>IF((L226=""),"",P225/O225*100)</f>
        <v>4.6116114416066587</v>
      </c>
      <c r="R225" s="28" t="str">
        <f>IF(L226="","",IF(Q225&lt;Z225,IF(N225&gt;V225,IF(M225&lt;W225,"Pass","Fail"),"Fail"),"Fail"))</f>
        <v>Pass</v>
      </c>
      <c r="S225" s="29">
        <v>121</v>
      </c>
      <c r="T225" s="55"/>
      <c r="U225" s="40"/>
      <c r="V225" s="54">
        <v>9000</v>
      </c>
      <c r="W225" s="22">
        <v>15600</v>
      </c>
      <c r="X225" s="40">
        <v>8090</v>
      </c>
      <c r="Y225" s="40">
        <v>12070</v>
      </c>
      <c r="Z225" s="47">
        <v>6</v>
      </c>
      <c r="AA225" s="47">
        <v>6</v>
      </c>
    </row>
    <row r="226" spans="1:27" ht="15.75" customHeight="1" x14ac:dyDescent="0.3">
      <c r="A226" s="96"/>
      <c r="B226" s="96"/>
      <c r="C226" s="30" t="s">
        <v>128</v>
      </c>
      <c r="D226" s="16">
        <v>25933.15</v>
      </c>
      <c r="E226" s="16">
        <v>25623.09</v>
      </c>
      <c r="F226" s="16">
        <v>25683.85</v>
      </c>
      <c r="G226" s="16">
        <v>25518.31</v>
      </c>
      <c r="H226" s="16">
        <v>25732.560000000001</v>
      </c>
      <c r="I226" s="16">
        <v>26025.38</v>
      </c>
      <c r="J226" s="16">
        <v>25755.57</v>
      </c>
      <c r="K226" s="16">
        <v>25492.75</v>
      </c>
      <c r="L226" s="16">
        <v>25580.9</v>
      </c>
      <c r="M226" s="31"/>
      <c r="N226" s="31"/>
      <c r="O226" s="31"/>
      <c r="P226" s="31"/>
      <c r="Q226" s="31"/>
      <c r="R226" s="32"/>
      <c r="S226" s="33"/>
      <c r="T226" s="56"/>
      <c r="V226" s="48"/>
      <c r="W226" s="48"/>
      <c r="X226" s="49"/>
      <c r="Y226" s="49"/>
      <c r="Z226" s="50"/>
      <c r="AA226" s="50"/>
    </row>
    <row r="227" spans="1:27" ht="16.5" customHeight="1" thickBot="1" x14ac:dyDescent="0.35">
      <c r="A227" s="96"/>
      <c r="B227" s="96"/>
      <c r="C227" s="34" t="s">
        <v>129</v>
      </c>
      <c r="D227" s="35">
        <f t="shared" ref="D227:L227" si="71">IF(((D225="")*AND(D226="")),"",(D225-D226)*3)</f>
        <v>10564.02</v>
      </c>
      <c r="E227" s="35">
        <f t="shared" si="71"/>
        <v>10968</v>
      </c>
      <c r="F227" s="35">
        <f t="shared" si="71"/>
        <v>10846.170000000009</v>
      </c>
      <c r="G227" s="35">
        <f t="shared" si="71"/>
        <v>11262.689999999999</v>
      </c>
      <c r="H227" s="35">
        <f t="shared" si="71"/>
        <v>11347.319999999996</v>
      </c>
      <c r="I227" s="35">
        <f t="shared" si="71"/>
        <v>10212.449999999993</v>
      </c>
      <c r="J227" s="35">
        <f t="shared" si="71"/>
        <v>10509.27</v>
      </c>
      <c r="K227" s="35">
        <f t="shared" si="71"/>
        <v>11327.580000000002</v>
      </c>
      <c r="L227" s="35">
        <f t="shared" si="71"/>
        <v>11826</v>
      </c>
      <c r="M227" s="36"/>
      <c r="N227" s="36"/>
      <c r="O227" s="36"/>
      <c r="P227" s="36"/>
      <c r="Q227" s="36"/>
      <c r="R227" s="37"/>
      <c r="S227" s="38"/>
      <c r="T227" s="57"/>
      <c r="U227" s="52"/>
      <c r="V227" s="51"/>
      <c r="W227" s="51"/>
      <c r="X227" s="52"/>
      <c r="Y227" s="52"/>
      <c r="Z227" s="53"/>
      <c r="AA227" s="53"/>
    </row>
    <row r="228" spans="1:27" x14ac:dyDescent="0.3">
      <c r="A228" s="97">
        <v>43017</v>
      </c>
      <c r="B228" s="117" t="s">
        <v>431</v>
      </c>
      <c r="C228" s="26" t="s">
        <v>126</v>
      </c>
      <c r="D228" s="16">
        <v>29403.4</v>
      </c>
      <c r="E228" s="16">
        <v>29225.73</v>
      </c>
      <c r="F228" s="16">
        <v>29302.33</v>
      </c>
      <c r="G228" s="16">
        <v>29250.12</v>
      </c>
      <c r="H228" s="16">
        <v>29454.26</v>
      </c>
      <c r="I228" s="16">
        <v>29412.46</v>
      </c>
      <c r="J228" s="16">
        <v>29226.74</v>
      </c>
      <c r="K228" s="16">
        <v>29240.57</v>
      </c>
      <c r="L228" s="16">
        <v>29450.94</v>
      </c>
      <c r="M228" s="27">
        <f>IF((L229=""),"",MAX(D230:L230))</f>
        <v>11997.449999999993</v>
      </c>
      <c r="N228" s="27">
        <f>IF(L229="","",MIN(D230:L230))</f>
        <v>10375.469999999994</v>
      </c>
      <c r="O228" s="27">
        <f>IF((L230=""),"",AVERAGE(D230:L230))</f>
        <v>11170.79</v>
      </c>
      <c r="P228" s="27">
        <f>IF((L229=""),"",STDEV(D230:L230))</f>
        <v>519.74656189338748</v>
      </c>
      <c r="Q228" s="27">
        <f>IF((L229=""),"",P228/O228*100)</f>
        <v>4.6527287854608979</v>
      </c>
      <c r="R228" s="28" t="str">
        <f>IF(L229="","",IF(Q228&lt;Z228,IF(N228&gt;V228,IF(M228&lt;W228,"Pass","Fail"),"Fail"),"Fail"))</f>
        <v>Pass</v>
      </c>
      <c r="S228" s="29">
        <v>1428</v>
      </c>
      <c r="T228" s="55" t="s">
        <v>178</v>
      </c>
      <c r="U228" s="40"/>
      <c r="V228" s="54">
        <v>9000</v>
      </c>
      <c r="W228" s="22">
        <v>15600</v>
      </c>
      <c r="X228" s="40">
        <v>8090</v>
      </c>
      <c r="Y228" s="40">
        <v>12070</v>
      </c>
      <c r="Z228" s="47">
        <v>6</v>
      </c>
      <c r="AA228" s="47">
        <v>6</v>
      </c>
    </row>
    <row r="229" spans="1:27" ht="15.75" customHeight="1" x14ac:dyDescent="0.3">
      <c r="A229" s="96"/>
      <c r="B229" s="96"/>
      <c r="C229" s="30" t="s">
        <v>128</v>
      </c>
      <c r="D229" s="16">
        <v>25852.14</v>
      </c>
      <c r="E229" s="16">
        <v>25542.48</v>
      </c>
      <c r="F229" s="16">
        <v>25599.91</v>
      </c>
      <c r="G229" s="16">
        <v>25420.62</v>
      </c>
      <c r="H229" s="16">
        <v>25591.45</v>
      </c>
      <c r="I229" s="16">
        <v>25953.97</v>
      </c>
      <c r="J229" s="16">
        <v>25639.1</v>
      </c>
      <c r="K229" s="16">
        <v>25402.720000000001</v>
      </c>
      <c r="L229" s="16">
        <v>25451.79</v>
      </c>
      <c r="M229" s="31"/>
      <c r="N229" s="31"/>
      <c r="O229" s="31"/>
      <c r="P229" s="31"/>
      <c r="Q229" s="31"/>
      <c r="R229" s="32"/>
      <c r="S229" s="33"/>
      <c r="T229" s="56"/>
      <c r="V229" s="48"/>
      <c r="W229" s="48"/>
      <c r="X229" s="49"/>
      <c r="Y229" s="49"/>
      <c r="Z229" s="50"/>
      <c r="AA229" s="50"/>
    </row>
    <row r="230" spans="1:27" ht="16.5" customHeight="1" thickBot="1" x14ac:dyDescent="0.35">
      <c r="A230" s="96"/>
      <c r="B230" s="96"/>
      <c r="C230" s="34" t="s">
        <v>129</v>
      </c>
      <c r="D230" s="35">
        <f t="shared" ref="D230:L230" si="72">IF(((D228="")*AND(D229="")),"",(D228-D229)*3)</f>
        <v>10653.780000000006</v>
      </c>
      <c r="E230" s="35">
        <f t="shared" si="72"/>
        <v>11049.75</v>
      </c>
      <c r="F230" s="35">
        <f t="shared" si="72"/>
        <v>11107.260000000006</v>
      </c>
      <c r="G230" s="35">
        <f t="shared" si="72"/>
        <v>11488.5</v>
      </c>
      <c r="H230" s="35">
        <f t="shared" si="72"/>
        <v>11588.429999999993</v>
      </c>
      <c r="I230" s="35">
        <f t="shared" si="72"/>
        <v>10375.469999999994</v>
      </c>
      <c r="J230" s="35">
        <f t="shared" si="72"/>
        <v>10762.920000000009</v>
      </c>
      <c r="K230" s="35">
        <f t="shared" si="72"/>
        <v>11513.549999999996</v>
      </c>
      <c r="L230" s="35">
        <f t="shared" si="72"/>
        <v>11997.449999999993</v>
      </c>
      <c r="M230" s="36"/>
      <c r="N230" s="36"/>
      <c r="O230" s="36"/>
      <c r="P230" s="36"/>
      <c r="Q230" s="36"/>
      <c r="R230" s="37"/>
      <c r="S230" s="38"/>
      <c r="T230" s="57"/>
      <c r="U230" s="52"/>
      <c r="V230" s="51"/>
      <c r="W230" s="51"/>
      <c r="X230" s="52"/>
      <c r="Y230" s="52"/>
      <c r="Z230" s="53"/>
      <c r="AA230" s="53"/>
    </row>
    <row r="231" spans="1:27" x14ac:dyDescent="0.3">
      <c r="A231" s="97">
        <v>43023</v>
      </c>
      <c r="B231" s="117" t="s">
        <v>431</v>
      </c>
      <c r="C231" s="26" t="s">
        <v>126</v>
      </c>
      <c r="D231" s="16">
        <v>29295.63</v>
      </c>
      <c r="E231" s="16">
        <v>29136.46</v>
      </c>
      <c r="F231" s="16">
        <v>29151.74</v>
      </c>
      <c r="G231" s="16">
        <v>29173.31</v>
      </c>
      <c r="H231" s="16">
        <v>29429.74</v>
      </c>
      <c r="I231" s="16">
        <v>29288.37</v>
      </c>
      <c r="J231" s="16">
        <v>29140.93</v>
      </c>
      <c r="K231" s="16">
        <v>29158.46</v>
      </c>
      <c r="L231" s="16">
        <v>29382.11</v>
      </c>
      <c r="M231" s="27">
        <f>IF((L232=""),"",MAX(D233:L233))</f>
        <v>10926.870000000003</v>
      </c>
      <c r="N231" s="27">
        <f>IF(L232="","",MIN(D233:L233))</f>
        <v>9389.429999999993</v>
      </c>
      <c r="O231" s="27">
        <f>IF((L233=""),"",AVERAGE(D233:L233))</f>
        <v>10164.113333333333</v>
      </c>
      <c r="P231" s="27">
        <f>IF((L232=""),"",STDEV(D233:L233))</f>
        <v>498.99616205939196</v>
      </c>
      <c r="Q231" s="27">
        <f>IF((L232=""),"",P231/O231*100)</f>
        <v>4.9093919527926557</v>
      </c>
      <c r="R231" s="28" t="str">
        <f>IF(L232="","",IF(Q231&lt;Z231,IF(N231&gt;V231,IF(M231&lt;W231,"Pass","Fail"),"Fail"),"Fail"))</f>
        <v>Pass</v>
      </c>
      <c r="S231" s="29">
        <v>121</v>
      </c>
      <c r="T231" s="55"/>
      <c r="U231" s="40"/>
      <c r="V231" s="54">
        <v>9000</v>
      </c>
      <c r="W231" s="22">
        <v>15600</v>
      </c>
      <c r="X231" s="40">
        <v>8090</v>
      </c>
      <c r="Y231" s="40">
        <v>12070</v>
      </c>
      <c r="Z231" s="47">
        <v>6</v>
      </c>
      <c r="AA231" s="47">
        <v>6</v>
      </c>
    </row>
    <row r="232" spans="1:27" ht="15.75" customHeight="1" x14ac:dyDescent="0.3">
      <c r="A232" s="96"/>
      <c r="B232" s="96"/>
      <c r="C232" s="30" t="s">
        <v>128</v>
      </c>
      <c r="D232" s="16">
        <v>26074.81</v>
      </c>
      <c r="E232" s="16">
        <v>25770.5</v>
      </c>
      <c r="F232" s="16">
        <v>25794.86</v>
      </c>
      <c r="G232" s="16">
        <v>25681.48</v>
      </c>
      <c r="H232" s="16">
        <v>25914.67</v>
      </c>
      <c r="I232" s="16">
        <v>26158.560000000001</v>
      </c>
      <c r="J232" s="16">
        <v>25885.81</v>
      </c>
      <c r="K232" s="16">
        <v>25643.9</v>
      </c>
      <c r="L232" s="16">
        <v>25739.82</v>
      </c>
      <c r="M232" s="31"/>
      <c r="N232" s="31"/>
      <c r="O232" s="31"/>
      <c r="P232" s="31"/>
      <c r="Q232" s="31"/>
      <c r="R232" s="32"/>
      <c r="S232" s="33"/>
      <c r="T232" s="56"/>
      <c r="V232" s="48"/>
      <c r="W232" s="48"/>
      <c r="X232" s="49"/>
      <c r="Y232" s="49"/>
      <c r="Z232" s="50"/>
      <c r="AA232" s="50"/>
    </row>
    <row r="233" spans="1:27" ht="16.5" customHeight="1" thickBot="1" x14ac:dyDescent="0.35">
      <c r="A233" s="96"/>
      <c r="B233" s="96"/>
      <c r="C233" s="34" t="s">
        <v>129</v>
      </c>
      <c r="D233" s="35">
        <f t="shared" ref="D233:L233" si="73">IF(((D231="")*AND(D232="")),"",(D231-D232)*3)</f>
        <v>9662.4599999999991</v>
      </c>
      <c r="E233" s="35">
        <f t="shared" si="73"/>
        <v>10097.879999999997</v>
      </c>
      <c r="F233" s="35">
        <f t="shared" si="73"/>
        <v>10070.640000000003</v>
      </c>
      <c r="G233" s="35">
        <f t="shared" si="73"/>
        <v>10475.490000000005</v>
      </c>
      <c r="H233" s="35">
        <f t="shared" si="73"/>
        <v>10545.21000000001</v>
      </c>
      <c r="I233" s="35">
        <f t="shared" si="73"/>
        <v>9389.429999999993</v>
      </c>
      <c r="J233" s="35">
        <f t="shared" si="73"/>
        <v>9765.3599999999969</v>
      </c>
      <c r="K233" s="35">
        <f t="shared" si="73"/>
        <v>10543.679999999993</v>
      </c>
      <c r="L233" s="35">
        <f t="shared" si="73"/>
        <v>10926.870000000003</v>
      </c>
      <c r="M233" s="36"/>
      <c r="N233" s="36"/>
      <c r="O233" s="36"/>
      <c r="P233" s="36"/>
      <c r="Q233" s="36"/>
      <c r="R233" s="37"/>
      <c r="S233" s="38"/>
      <c r="T233" s="57"/>
      <c r="U233" s="52"/>
      <c r="V233" s="51"/>
      <c r="W233" s="51"/>
      <c r="X233" s="52"/>
      <c r="Y233" s="52"/>
      <c r="Z233" s="53"/>
      <c r="AA233" s="53"/>
    </row>
    <row r="234" spans="1:27" x14ac:dyDescent="0.3">
      <c r="A234" s="97">
        <v>43028</v>
      </c>
      <c r="B234" s="117" t="s">
        <v>431</v>
      </c>
      <c r="C234" s="26" t="s">
        <v>126</v>
      </c>
      <c r="D234" s="16">
        <v>29278.46</v>
      </c>
      <c r="E234" s="16">
        <v>29129.17</v>
      </c>
      <c r="F234" s="16">
        <v>29176.57</v>
      </c>
      <c r="G234" s="16">
        <v>29132.22</v>
      </c>
      <c r="H234" s="16">
        <v>29383.74</v>
      </c>
      <c r="I234" s="16">
        <v>29272.78</v>
      </c>
      <c r="J234" s="16">
        <v>29100.49</v>
      </c>
      <c r="K234" s="16">
        <v>29127.38</v>
      </c>
      <c r="L234" s="16">
        <v>29378.32</v>
      </c>
      <c r="M234" s="27">
        <f>IF((L235=""),"",MAX(D236:L236))</f>
        <v>11439.509999999995</v>
      </c>
      <c r="N234" s="27">
        <f>IF(L235="","",MIN(D236:L236))</f>
        <v>9933.5099999999948</v>
      </c>
      <c r="O234" s="27">
        <f>IF((L236=""),"",AVERAGE(D236:L236))</f>
        <v>10662.306666666667</v>
      </c>
      <c r="P234" s="27">
        <f>IF((L235=""),"",STDEV(D236:L236))</f>
        <v>461.96829869591829</v>
      </c>
      <c r="Q234" s="27">
        <f>IF((L235=""),"",P234/O234*100)</f>
        <v>4.332723801127945</v>
      </c>
      <c r="R234" s="28" t="str">
        <f>IF(L235="","",IF(Q234&lt;Z234,IF(N234&gt;V234,IF(M234&lt;W234,"Pass","Fail"),"Fail"),"Fail"))</f>
        <v>Pass</v>
      </c>
      <c r="S234" s="29">
        <v>121</v>
      </c>
      <c r="T234" s="55"/>
      <c r="U234" s="40"/>
      <c r="V234" s="54">
        <v>9000</v>
      </c>
      <c r="W234" s="22">
        <v>15600</v>
      </c>
      <c r="X234" s="40">
        <v>8090</v>
      </c>
      <c r="Y234" s="40">
        <v>12070</v>
      </c>
      <c r="Z234" s="47">
        <v>6</v>
      </c>
      <c r="AA234" s="47">
        <v>6</v>
      </c>
    </row>
    <row r="235" spans="1:27" ht="15.75" customHeight="1" x14ac:dyDescent="0.3">
      <c r="A235" s="96"/>
      <c r="B235" s="96"/>
      <c r="C235" s="30" t="s">
        <v>128</v>
      </c>
      <c r="D235" s="16">
        <v>25838.58</v>
      </c>
      <c r="E235" s="16">
        <v>25580.47</v>
      </c>
      <c r="F235" s="16">
        <v>25656.01</v>
      </c>
      <c r="G235" s="16">
        <v>25496.32</v>
      </c>
      <c r="H235" s="16">
        <v>25726.17</v>
      </c>
      <c r="I235" s="16">
        <v>25961.61</v>
      </c>
      <c r="J235" s="16">
        <v>25694.62</v>
      </c>
      <c r="K235" s="16">
        <v>25473.279999999999</v>
      </c>
      <c r="L235" s="16">
        <v>25565.15</v>
      </c>
      <c r="M235" s="31"/>
      <c r="N235" s="31"/>
      <c r="O235" s="31"/>
      <c r="P235" s="31"/>
      <c r="Q235" s="31"/>
      <c r="R235" s="32"/>
      <c r="S235" s="33"/>
      <c r="T235" s="56"/>
      <c r="V235" s="48"/>
      <c r="W235" s="48"/>
      <c r="X235" s="49"/>
      <c r="Y235" s="49"/>
      <c r="Z235" s="50"/>
      <c r="AA235" s="50"/>
    </row>
    <row r="236" spans="1:27" ht="16.5" customHeight="1" thickBot="1" x14ac:dyDescent="0.35">
      <c r="A236" s="96"/>
      <c r="B236" s="96"/>
      <c r="C236" s="34" t="s">
        <v>129</v>
      </c>
      <c r="D236" s="35">
        <f t="shared" ref="D236:L236" si="74">IF(((D234="")*AND(D235="")),"",(D234-D235)*3)</f>
        <v>10319.639999999992</v>
      </c>
      <c r="E236" s="35">
        <f t="shared" si="74"/>
        <v>10646.099999999991</v>
      </c>
      <c r="F236" s="35">
        <f t="shared" si="74"/>
        <v>10561.680000000004</v>
      </c>
      <c r="G236" s="35">
        <f t="shared" si="74"/>
        <v>10907.700000000004</v>
      </c>
      <c r="H236" s="35">
        <f t="shared" si="74"/>
        <v>10972.71000000001</v>
      </c>
      <c r="I236" s="35">
        <f t="shared" si="74"/>
        <v>9933.5099999999948</v>
      </c>
      <c r="J236" s="35">
        <f t="shared" si="74"/>
        <v>10217.610000000008</v>
      </c>
      <c r="K236" s="35">
        <f t="shared" si="74"/>
        <v>10962.300000000007</v>
      </c>
      <c r="L236" s="35">
        <f t="shared" si="74"/>
        <v>11439.509999999995</v>
      </c>
      <c r="M236" s="36"/>
      <c r="N236" s="36"/>
      <c r="O236" s="36"/>
      <c r="P236" s="36"/>
      <c r="Q236" s="36"/>
      <c r="R236" s="37"/>
      <c r="S236" s="38"/>
      <c r="T236" s="57"/>
      <c r="U236" s="52"/>
      <c r="V236" s="51"/>
      <c r="W236" s="51"/>
      <c r="X236" s="52"/>
      <c r="Y236" s="52"/>
      <c r="Z236" s="53"/>
      <c r="AA236" s="53"/>
    </row>
    <row r="237" spans="1:27" x14ac:dyDescent="0.3">
      <c r="A237" s="97">
        <v>43032</v>
      </c>
      <c r="B237" s="117" t="s">
        <v>431</v>
      </c>
      <c r="C237" s="26" t="s">
        <v>126</v>
      </c>
      <c r="D237" s="16">
        <v>29238.29</v>
      </c>
      <c r="E237" s="16">
        <v>29054.84</v>
      </c>
      <c r="F237" s="16">
        <v>29072.11</v>
      </c>
      <c r="G237" s="16">
        <v>29072.74</v>
      </c>
      <c r="H237" s="16">
        <v>29308.29</v>
      </c>
      <c r="I237" s="16">
        <v>29230.19</v>
      </c>
      <c r="J237" s="16">
        <v>29057.5</v>
      </c>
      <c r="K237" s="16">
        <v>29068.97</v>
      </c>
      <c r="L237" s="16">
        <v>29287.93</v>
      </c>
      <c r="M237" s="27">
        <f>IF((L238=""),"",MAX(D239:L239))</f>
        <v>11731.589999999997</v>
      </c>
      <c r="N237" s="27">
        <f>IF(L238="","",MIN(D239:L239))</f>
        <v>10220.579999999991</v>
      </c>
      <c r="O237" s="27">
        <f>IF((L239=""),"",AVERAGE(D239:L239))</f>
        <v>10926.610000000002</v>
      </c>
      <c r="P237" s="27">
        <f>IF((L238=""),"",STDEV(D239:L239))</f>
        <v>453.63502072150578</v>
      </c>
      <c r="Q237" s="27">
        <f>IF((L238=""),"",P237/O237*100)</f>
        <v>4.1516538132275764</v>
      </c>
      <c r="R237" s="28" t="str">
        <f>IF(L238="","",IF(Q237&lt;Z237,IF(N237&gt;V237,IF(M237&lt;W237,"Pass","Fail"),"Fail"),"Fail"))</f>
        <v>Pass</v>
      </c>
      <c r="S237" s="29">
        <v>1159</v>
      </c>
      <c r="T237" s="55"/>
      <c r="U237" s="40"/>
      <c r="V237" s="54">
        <v>9000</v>
      </c>
      <c r="W237" s="22">
        <v>15600</v>
      </c>
      <c r="X237" s="40">
        <v>8090</v>
      </c>
      <c r="Y237" s="40">
        <v>12070</v>
      </c>
      <c r="Z237" s="47">
        <v>6</v>
      </c>
      <c r="AA237" s="47">
        <v>6</v>
      </c>
    </row>
    <row r="238" spans="1:27" ht="15.75" customHeight="1" x14ac:dyDescent="0.3">
      <c r="A238" s="96"/>
      <c r="B238" s="96"/>
      <c r="C238" s="30" t="s">
        <v>128</v>
      </c>
      <c r="D238" s="16">
        <v>25704.76</v>
      </c>
      <c r="E238" s="16">
        <v>25429.55</v>
      </c>
      <c r="F238" s="16">
        <v>25470.58</v>
      </c>
      <c r="G238" s="16">
        <v>25356.39</v>
      </c>
      <c r="H238" s="16">
        <v>25584.94</v>
      </c>
      <c r="I238" s="16">
        <v>25823.33</v>
      </c>
      <c r="J238" s="16">
        <v>25547.67</v>
      </c>
      <c r="K238" s="16">
        <v>25316.41</v>
      </c>
      <c r="L238" s="16">
        <v>25377.4</v>
      </c>
      <c r="M238" s="31"/>
      <c r="N238" s="31"/>
      <c r="O238" s="31"/>
      <c r="P238" s="31"/>
      <c r="Q238" s="31"/>
      <c r="R238" s="32"/>
      <c r="S238" s="33"/>
      <c r="T238" s="56"/>
      <c r="V238" s="48"/>
      <c r="W238" s="48"/>
      <c r="X238" s="49"/>
      <c r="Y238" s="49"/>
      <c r="Z238" s="50"/>
      <c r="AA238" s="50"/>
    </row>
    <row r="239" spans="1:27" ht="16.5" customHeight="1" thickBot="1" x14ac:dyDescent="0.35">
      <c r="A239" s="96"/>
      <c r="B239" s="96"/>
      <c r="C239" s="34" t="s">
        <v>129</v>
      </c>
      <c r="D239" s="35">
        <f t="shared" ref="D239:L239" si="75">IF(((D237="")*AND(D238="")),"",(D237-D238)*3)</f>
        <v>10600.590000000007</v>
      </c>
      <c r="E239" s="35">
        <f t="shared" si="75"/>
        <v>10875.870000000003</v>
      </c>
      <c r="F239" s="35">
        <f t="shared" si="75"/>
        <v>10804.589999999997</v>
      </c>
      <c r="G239" s="35">
        <f t="shared" si="75"/>
        <v>11149.050000000007</v>
      </c>
      <c r="H239" s="35">
        <f t="shared" si="75"/>
        <v>11170.050000000007</v>
      </c>
      <c r="I239" s="35">
        <f t="shared" si="75"/>
        <v>10220.579999999991</v>
      </c>
      <c r="J239" s="35">
        <f t="shared" si="75"/>
        <v>10529.490000000005</v>
      </c>
      <c r="K239" s="35">
        <f t="shared" si="75"/>
        <v>11257.680000000004</v>
      </c>
      <c r="L239" s="35">
        <f t="shared" si="75"/>
        <v>11731.589999999997</v>
      </c>
      <c r="M239" s="36"/>
      <c r="N239" s="36"/>
      <c r="O239" s="36"/>
      <c r="P239" s="36"/>
      <c r="Q239" s="36"/>
      <c r="R239" s="37"/>
      <c r="S239" s="38"/>
      <c r="T239" s="57"/>
      <c r="U239" s="52"/>
      <c r="V239" s="51"/>
      <c r="W239" s="51"/>
      <c r="X239" s="52"/>
      <c r="Y239" s="52"/>
      <c r="Z239" s="53"/>
      <c r="AA239" s="53"/>
    </row>
    <row r="240" spans="1:27" x14ac:dyDescent="0.3">
      <c r="A240" s="97">
        <v>43038</v>
      </c>
      <c r="B240" s="117" t="s">
        <v>431</v>
      </c>
      <c r="C240" s="26" t="s">
        <v>126</v>
      </c>
      <c r="D240" s="16">
        <v>29278.5</v>
      </c>
      <c r="E240" s="16">
        <v>29084.75</v>
      </c>
      <c r="F240" s="16">
        <v>29081.97</v>
      </c>
      <c r="G240" s="16">
        <v>29067.79</v>
      </c>
      <c r="H240" s="16">
        <v>29226.94</v>
      </c>
      <c r="I240" s="16">
        <v>29265.84</v>
      </c>
      <c r="J240" s="16">
        <v>29063.73</v>
      </c>
      <c r="K240" s="16">
        <v>29085.57</v>
      </c>
      <c r="L240" s="16">
        <v>29287.08</v>
      </c>
      <c r="M240" s="27">
        <f>IF((L241=""),"",MAX(D242:L242))</f>
        <v>10670.73</v>
      </c>
      <c r="N240" s="27">
        <f>IF(L241="","",MIN(D242:L242))</f>
        <v>9345.7200000000048</v>
      </c>
      <c r="O240" s="27">
        <f>IF((L242=""),"",AVERAGE(D242:L242))</f>
        <v>9937.9766666666674</v>
      </c>
      <c r="P240" s="27">
        <f>IF((L241=""),"",STDEV(D242:L242))</f>
        <v>465.8009395922237</v>
      </c>
      <c r="Q240" s="27">
        <f>IF((L241=""),"",P240/O240*100)</f>
        <v>4.6870802298679539</v>
      </c>
      <c r="R240" s="28" t="str">
        <f>IF(L241="","",IF(Q240&lt;Z240,IF(N240&gt;V240,IF(M240&lt;W240,"Pass","Fail"),"Fail"),"Fail"))</f>
        <v>Pass</v>
      </c>
      <c r="S240" s="29">
        <v>64</v>
      </c>
      <c r="T240" s="55"/>
      <c r="U240" s="40"/>
      <c r="V240" s="54">
        <v>9000</v>
      </c>
      <c r="W240" s="22">
        <v>15600</v>
      </c>
      <c r="X240" s="40">
        <v>8090</v>
      </c>
      <c r="Y240" s="40">
        <v>12070</v>
      </c>
      <c r="Z240" s="47">
        <v>6</v>
      </c>
      <c r="AA240" s="47">
        <v>6</v>
      </c>
    </row>
    <row r="241" spans="1:27" ht="15.75" customHeight="1" x14ac:dyDescent="0.3">
      <c r="A241" s="96"/>
      <c r="B241" s="96"/>
      <c r="C241" s="30" t="s">
        <v>128</v>
      </c>
      <c r="D241" s="16">
        <v>25833.58</v>
      </c>
      <c r="E241" s="16">
        <v>25666.81</v>
      </c>
      <c r="F241" s="16">
        <v>25816.51</v>
      </c>
      <c r="G241" s="16">
        <v>25786.74</v>
      </c>
      <c r="H241" s="16">
        <v>26111.119999999999</v>
      </c>
      <c r="I241" s="16">
        <v>25708.93</v>
      </c>
      <c r="J241" s="16">
        <v>25646.71</v>
      </c>
      <c r="K241" s="16">
        <v>25886</v>
      </c>
      <c r="L241" s="16">
        <v>26171.84</v>
      </c>
      <c r="M241" s="31"/>
      <c r="N241" s="31"/>
      <c r="O241" s="31"/>
      <c r="P241" s="31"/>
      <c r="Q241" s="31"/>
      <c r="R241" s="32"/>
      <c r="S241" s="33"/>
      <c r="T241" s="56"/>
      <c r="V241" s="48"/>
      <c r="W241" s="48"/>
      <c r="X241" s="49"/>
      <c r="Y241" s="49"/>
      <c r="Z241" s="50"/>
      <c r="AA241" s="50"/>
    </row>
    <row r="242" spans="1:27" ht="16.5" customHeight="1" thickBot="1" x14ac:dyDescent="0.35">
      <c r="A242" s="96"/>
      <c r="B242" s="96"/>
      <c r="C242" s="34" t="s">
        <v>129</v>
      </c>
      <c r="D242" s="35">
        <f t="shared" ref="D242:L242" si="76">IF(((D240="")*AND(D241="")),"",(D240-D241)*3)</f>
        <v>10334.759999999995</v>
      </c>
      <c r="E242" s="35">
        <f t="shared" si="76"/>
        <v>10253.819999999996</v>
      </c>
      <c r="F242" s="35">
        <f t="shared" si="76"/>
        <v>9796.3800000000083</v>
      </c>
      <c r="G242" s="35">
        <f t="shared" si="76"/>
        <v>9843.1499999999978</v>
      </c>
      <c r="H242" s="35">
        <f t="shared" si="76"/>
        <v>9347.4599999999991</v>
      </c>
      <c r="I242" s="35">
        <f t="shared" si="76"/>
        <v>10670.73</v>
      </c>
      <c r="J242" s="35">
        <f t="shared" si="76"/>
        <v>10251.060000000001</v>
      </c>
      <c r="K242" s="35">
        <f t="shared" si="76"/>
        <v>9598.7099999999991</v>
      </c>
      <c r="L242" s="35">
        <f t="shared" si="76"/>
        <v>9345.7200000000048</v>
      </c>
      <c r="M242" s="36"/>
      <c r="N242" s="36"/>
      <c r="O242" s="36"/>
      <c r="P242" s="36"/>
      <c r="Q242" s="36"/>
      <c r="R242" s="37"/>
      <c r="S242" s="38"/>
      <c r="T242" s="57"/>
      <c r="U242" s="52"/>
      <c r="V242" s="51"/>
      <c r="W242" s="51"/>
      <c r="X242" s="52"/>
      <c r="Y242" s="52"/>
      <c r="Z242" s="53"/>
      <c r="AA242" s="53"/>
    </row>
    <row r="243" spans="1:27" x14ac:dyDescent="0.3">
      <c r="A243" s="97">
        <v>43040</v>
      </c>
      <c r="B243" s="117" t="s">
        <v>431</v>
      </c>
      <c r="C243" s="26" t="s">
        <v>126</v>
      </c>
      <c r="D243" s="16">
        <v>29233.8</v>
      </c>
      <c r="E243" s="16">
        <v>29054.15</v>
      </c>
      <c r="F243" s="16">
        <v>29047.98</v>
      </c>
      <c r="G243" s="16">
        <v>29048.7</v>
      </c>
      <c r="H243" s="16">
        <v>29264.93</v>
      </c>
      <c r="I243" s="16">
        <v>29194.31</v>
      </c>
      <c r="J243" s="16">
        <v>29039.24</v>
      </c>
      <c r="K243" s="16">
        <v>29044.78</v>
      </c>
      <c r="L243" s="16">
        <v>29287.78</v>
      </c>
      <c r="M243" s="27">
        <f>IF((L244=""),"",MAX(D245:L245))</f>
        <v>10304.370000000003</v>
      </c>
      <c r="N243" s="27">
        <f>IF(L244="","",MIN(D245:L245))</f>
        <v>9078.1199999999917</v>
      </c>
      <c r="O243" s="27">
        <f>IF((L245=""),"",AVERAGE(D245:L245))</f>
        <v>9700.4233333333341</v>
      </c>
      <c r="P243" s="27">
        <f>IF((L244=""),"",STDEV(D245:L245))</f>
        <v>414.48508947850343</v>
      </c>
      <c r="Q243" s="27">
        <f>IF((L244=""),"",P243/O243*100)</f>
        <v>4.2728556809909337</v>
      </c>
      <c r="R243" s="28" t="str">
        <f>IF(L244="","",IF(Q243&lt;Z243,IF(N243&gt;V243,IF(M243&lt;W243,"Pass","Fail"),"Fail"),"Fail"))</f>
        <v>Pass</v>
      </c>
      <c r="S243" s="29">
        <v>1335</v>
      </c>
      <c r="T243" s="55"/>
      <c r="U243" s="40"/>
      <c r="V243" s="54">
        <v>9000</v>
      </c>
      <c r="W243" s="22">
        <v>15600</v>
      </c>
      <c r="X243" s="40">
        <v>8090</v>
      </c>
      <c r="Y243" s="40">
        <v>12070</v>
      </c>
      <c r="Z243" s="47">
        <v>6</v>
      </c>
      <c r="AA243" s="47">
        <v>6</v>
      </c>
    </row>
    <row r="244" spans="1:27" ht="15.75" customHeight="1" x14ac:dyDescent="0.3">
      <c r="A244" s="96"/>
      <c r="B244" s="96"/>
      <c r="C244" s="30" t="s">
        <v>128</v>
      </c>
      <c r="D244" s="16">
        <v>25871.439999999999</v>
      </c>
      <c r="E244" s="16">
        <v>25726.11</v>
      </c>
      <c r="F244" s="16">
        <v>25866.959999999999</v>
      </c>
      <c r="G244" s="16">
        <v>25815.83</v>
      </c>
      <c r="H244" s="16">
        <v>26151.94</v>
      </c>
      <c r="I244" s="16">
        <v>25759.52</v>
      </c>
      <c r="J244" s="16">
        <v>25715.03</v>
      </c>
      <c r="K244" s="16">
        <v>25945.83</v>
      </c>
      <c r="L244" s="16">
        <v>26261.74</v>
      </c>
      <c r="M244" s="31"/>
      <c r="N244" s="31"/>
      <c r="O244" s="31"/>
      <c r="P244" s="31"/>
      <c r="Q244" s="31"/>
      <c r="R244" s="32"/>
      <c r="S244" s="33"/>
      <c r="T244" s="56"/>
      <c r="V244" s="48"/>
      <c r="W244" s="48"/>
      <c r="X244" s="49"/>
      <c r="Y244" s="49"/>
      <c r="Z244" s="50"/>
      <c r="AA244" s="50"/>
    </row>
    <row r="245" spans="1:27" ht="16.5" customHeight="1" thickBot="1" x14ac:dyDescent="0.35">
      <c r="A245" s="96"/>
      <c r="B245" s="96"/>
      <c r="C245" s="34" t="s">
        <v>129</v>
      </c>
      <c r="D245" s="35">
        <f t="shared" ref="D245:L245" si="77">IF(((D243="")*AND(D244="")),"",(D243-D244)*3)</f>
        <v>10087.080000000002</v>
      </c>
      <c r="E245" s="35">
        <f t="shared" si="77"/>
        <v>9984.1200000000026</v>
      </c>
      <c r="F245" s="35">
        <f t="shared" si="77"/>
        <v>9543.0600000000013</v>
      </c>
      <c r="G245" s="35">
        <f t="shared" si="77"/>
        <v>9698.6099999999969</v>
      </c>
      <c r="H245" s="35">
        <f t="shared" si="77"/>
        <v>9338.9700000000048</v>
      </c>
      <c r="I245" s="35">
        <f t="shared" si="77"/>
        <v>10304.370000000003</v>
      </c>
      <c r="J245" s="35">
        <f t="shared" si="77"/>
        <v>9972.6300000000083</v>
      </c>
      <c r="K245" s="35">
        <f t="shared" si="77"/>
        <v>9296.8499999999913</v>
      </c>
      <c r="L245" s="35">
        <f t="shared" si="77"/>
        <v>9078.1199999999917</v>
      </c>
      <c r="M245" s="36"/>
      <c r="N245" s="36"/>
      <c r="O245" s="36"/>
      <c r="P245" s="36"/>
      <c r="Q245" s="36"/>
      <c r="R245" s="37"/>
      <c r="S245" s="38"/>
      <c r="T245" s="57"/>
      <c r="U245" s="52"/>
      <c r="V245" s="51"/>
      <c r="W245" s="51"/>
      <c r="X245" s="52"/>
      <c r="Y245" s="52"/>
      <c r="Z245" s="53"/>
      <c r="AA245" s="53"/>
    </row>
    <row r="246" spans="1:27" x14ac:dyDescent="0.3">
      <c r="A246" s="97">
        <v>43042</v>
      </c>
      <c r="B246" s="117" t="s">
        <v>431</v>
      </c>
      <c r="C246" s="26" t="s">
        <v>126</v>
      </c>
      <c r="D246" s="16">
        <v>29184.48</v>
      </c>
      <c r="E246" s="16">
        <v>29020.28</v>
      </c>
      <c r="F246" s="16">
        <v>29051.97</v>
      </c>
      <c r="G246" s="16">
        <v>29018.82</v>
      </c>
      <c r="H246" s="16">
        <v>29275.03</v>
      </c>
      <c r="I246" s="16">
        <v>29155.4</v>
      </c>
      <c r="J246" s="16">
        <v>29022.62</v>
      </c>
      <c r="K246" s="16">
        <v>29020.44</v>
      </c>
      <c r="L246" s="16">
        <v>29266.87</v>
      </c>
      <c r="M246" s="27">
        <f>IF((L247=""),"",MAX(D248:L248))</f>
        <v>10435.799999999996</v>
      </c>
      <c r="N246" s="27">
        <f>IF(L247="","",MIN(D248:L248))</f>
        <v>9071.8500000000022</v>
      </c>
      <c r="O246" s="27">
        <f>IF((L248=""),"",AVERAGE(D248:L248))</f>
        <v>9723.486666666664</v>
      </c>
      <c r="P246" s="27">
        <f>IF((L247=""),"",STDEV(D248:L248))</f>
        <v>448.39109826132756</v>
      </c>
      <c r="Q246" s="27">
        <f>IF((L247=""),"",P246/O246*100)</f>
        <v>4.6114229764768293</v>
      </c>
      <c r="R246" s="28" t="str">
        <f>IF(L247="","",IF(Q246&lt;Z246,IF(N246&gt;V246,IF(M246&lt;W246,"Pass","Fail"),"Fail"),"Fail"))</f>
        <v>Pass</v>
      </c>
      <c r="S246" s="29">
        <v>121</v>
      </c>
      <c r="T246" s="55"/>
      <c r="U246" s="40"/>
      <c r="V246" s="54">
        <v>9000</v>
      </c>
      <c r="W246" s="22">
        <v>15600</v>
      </c>
      <c r="X246" s="40">
        <v>8090</v>
      </c>
      <c r="Y246" s="40">
        <v>12070</v>
      </c>
      <c r="Z246" s="47">
        <v>6</v>
      </c>
      <c r="AA246" s="47">
        <v>6</v>
      </c>
    </row>
    <row r="247" spans="1:27" ht="15.75" customHeight="1" x14ac:dyDescent="0.3">
      <c r="A247" s="96"/>
      <c r="B247" s="96"/>
      <c r="C247" s="30" t="s">
        <v>128</v>
      </c>
      <c r="D247" s="16">
        <v>26086.81</v>
      </c>
      <c r="E247" s="16">
        <v>25790</v>
      </c>
      <c r="F247" s="16">
        <v>25859.72</v>
      </c>
      <c r="G247" s="16">
        <v>25688.78</v>
      </c>
      <c r="H247" s="16">
        <v>25905.8</v>
      </c>
      <c r="I247" s="16">
        <v>26131.45</v>
      </c>
      <c r="J247" s="16">
        <v>25914.98</v>
      </c>
      <c r="K247" s="16">
        <v>25679.64</v>
      </c>
      <c r="L247" s="16">
        <v>25788.27</v>
      </c>
      <c r="M247" s="31"/>
      <c r="N247" s="31"/>
      <c r="O247" s="31"/>
      <c r="P247" s="31"/>
      <c r="Q247" s="31"/>
      <c r="R247" s="32"/>
      <c r="S247" s="33"/>
      <c r="T247" s="56"/>
      <c r="V247" s="48"/>
      <c r="W247" s="48"/>
      <c r="X247" s="49"/>
      <c r="Y247" s="49"/>
      <c r="Z247" s="50"/>
      <c r="AA247" s="50"/>
    </row>
    <row r="248" spans="1:27" ht="16.5" customHeight="1" thickBot="1" x14ac:dyDescent="0.35">
      <c r="A248" s="96"/>
      <c r="B248" s="96"/>
      <c r="C248" s="34" t="s">
        <v>129</v>
      </c>
      <c r="D248" s="35">
        <f t="shared" ref="D248:L248" si="78">IF(((D246="")*AND(D247="")),"",(D246-D247)*3)</f>
        <v>9293.0099999999948</v>
      </c>
      <c r="E248" s="35">
        <f t="shared" si="78"/>
        <v>9690.8399999999965</v>
      </c>
      <c r="F248" s="35">
        <f t="shared" si="78"/>
        <v>9576.75</v>
      </c>
      <c r="G248" s="35">
        <f t="shared" si="78"/>
        <v>9990.1200000000026</v>
      </c>
      <c r="H248" s="35">
        <f t="shared" si="78"/>
        <v>10107.689999999999</v>
      </c>
      <c r="I248" s="35">
        <f t="shared" si="78"/>
        <v>9071.8500000000022</v>
      </c>
      <c r="J248" s="35">
        <f t="shared" si="78"/>
        <v>9322.9199999999983</v>
      </c>
      <c r="K248" s="35">
        <f t="shared" si="78"/>
        <v>10022.399999999998</v>
      </c>
      <c r="L248" s="35">
        <f t="shared" si="78"/>
        <v>10435.799999999996</v>
      </c>
      <c r="M248" s="36"/>
      <c r="N248" s="36"/>
      <c r="O248" s="36"/>
      <c r="P248" s="36"/>
      <c r="Q248" s="36"/>
      <c r="R248" s="37"/>
      <c r="S248" s="38"/>
      <c r="T248" s="57"/>
      <c r="U248" s="52"/>
      <c r="V248" s="51"/>
      <c r="W248" s="51"/>
      <c r="X248" s="52"/>
      <c r="Y248" s="52"/>
      <c r="Z248" s="53"/>
      <c r="AA248" s="53"/>
    </row>
    <row r="249" spans="1:27" x14ac:dyDescent="0.3">
      <c r="A249" s="97">
        <v>43046</v>
      </c>
      <c r="B249" s="117" t="s">
        <v>431</v>
      </c>
      <c r="C249" s="26" t="s">
        <v>126</v>
      </c>
      <c r="D249" s="16">
        <v>29371.279999999999</v>
      </c>
      <c r="E249" s="16">
        <v>29181.49</v>
      </c>
      <c r="F249" s="16">
        <v>29210.04</v>
      </c>
      <c r="G249" s="16">
        <v>29161.45</v>
      </c>
      <c r="H249" s="16">
        <v>29347.57</v>
      </c>
      <c r="I249" s="16">
        <v>29335.74</v>
      </c>
      <c r="J249" s="16">
        <v>29168.07</v>
      </c>
      <c r="K249" s="16">
        <v>29179.13</v>
      </c>
      <c r="L249" s="16">
        <v>29443.89</v>
      </c>
      <c r="M249" s="27">
        <f>IF((L250=""),"",MAX(D251:L251))</f>
        <v>11503.080000000002</v>
      </c>
      <c r="N249" s="27">
        <f>IF(L250="","",MIN(D251:L251))</f>
        <v>10202.790000000001</v>
      </c>
      <c r="O249" s="27">
        <f>IF((L251=""),"",AVERAGE(D251:L251))</f>
        <v>10806.673333333334</v>
      </c>
      <c r="P249" s="27">
        <f>IF((L250=""),"",STDEV(D251:L251))</f>
        <v>393.80191175259819</v>
      </c>
      <c r="Q249" s="27">
        <f>IF((L250=""),"",P249/O249*100)</f>
        <v>3.644062327098486</v>
      </c>
      <c r="R249" s="28" t="str">
        <f>IF(L250="","",IF(Q249&lt;Z249,IF(N249&gt;V249,IF(M249&lt;W249,"Pass","Fail"),"Fail"),"Fail"))</f>
        <v>Pass</v>
      </c>
      <c r="S249" s="29">
        <v>1335</v>
      </c>
      <c r="T249" s="55"/>
      <c r="U249" s="40"/>
      <c r="V249" s="54">
        <v>9000</v>
      </c>
      <c r="W249" s="22">
        <v>15600</v>
      </c>
      <c r="X249" s="40">
        <v>8090</v>
      </c>
      <c r="Y249" s="40">
        <v>12070</v>
      </c>
      <c r="Z249" s="47">
        <v>6</v>
      </c>
      <c r="AA249" s="47">
        <v>6</v>
      </c>
    </row>
    <row r="250" spans="1:27" ht="15.75" customHeight="1" x14ac:dyDescent="0.3">
      <c r="A250" s="96"/>
      <c r="B250" s="96"/>
      <c r="C250" s="30" t="s">
        <v>128</v>
      </c>
      <c r="D250" s="16">
        <v>25872.93</v>
      </c>
      <c r="E250" s="16">
        <v>25587.51</v>
      </c>
      <c r="F250" s="16">
        <v>25644.86</v>
      </c>
      <c r="G250" s="16">
        <v>25489.75</v>
      </c>
      <c r="H250" s="16">
        <v>25685.31</v>
      </c>
      <c r="I250" s="16">
        <v>25934.81</v>
      </c>
      <c r="J250" s="16">
        <v>25678.02</v>
      </c>
      <c r="K250" s="16">
        <v>25475.919999999998</v>
      </c>
      <c r="L250" s="16">
        <v>25609.53</v>
      </c>
      <c r="M250" s="31"/>
      <c r="N250" s="31"/>
      <c r="O250" s="31"/>
      <c r="P250" s="31"/>
      <c r="Q250" s="31"/>
      <c r="R250" s="32"/>
      <c r="S250" s="33"/>
      <c r="T250" s="56"/>
      <c r="V250" s="48"/>
      <c r="W250" s="48"/>
      <c r="X250" s="49"/>
      <c r="Y250" s="49"/>
      <c r="Z250" s="50"/>
      <c r="AA250" s="50"/>
    </row>
    <row r="251" spans="1:27" ht="16.5" customHeight="1" thickBot="1" x14ac:dyDescent="0.35">
      <c r="A251" s="96"/>
      <c r="B251" s="96"/>
      <c r="C251" s="34" t="s">
        <v>129</v>
      </c>
      <c r="D251" s="35">
        <f t="shared" ref="D251:L251" si="79">IF(((D249="")*AND(D250="")),"",(D249-D250)*3)</f>
        <v>10495.049999999996</v>
      </c>
      <c r="E251" s="35">
        <f t="shared" si="79"/>
        <v>10781.94000000001</v>
      </c>
      <c r="F251" s="35">
        <f t="shared" si="79"/>
        <v>10695.54</v>
      </c>
      <c r="G251" s="35">
        <f t="shared" si="79"/>
        <v>11015.100000000002</v>
      </c>
      <c r="H251" s="35">
        <f t="shared" si="79"/>
        <v>10986.779999999995</v>
      </c>
      <c r="I251" s="35">
        <f t="shared" si="79"/>
        <v>10202.790000000001</v>
      </c>
      <c r="J251" s="35">
        <f t="shared" si="79"/>
        <v>10470.149999999998</v>
      </c>
      <c r="K251" s="35">
        <f t="shared" si="79"/>
        <v>11109.630000000008</v>
      </c>
      <c r="L251" s="35">
        <f t="shared" si="79"/>
        <v>11503.080000000002</v>
      </c>
      <c r="M251" s="36"/>
      <c r="N251" s="36"/>
      <c r="O251" s="36"/>
      <c r="P251" s="36"/>
      <c r="Q251" s="36"/>
      <c r="R251" s="37"/>
      <c r="S251" s="38"/>
      <c r="T251" s="57"/>
      <c r="U251" s="52"/>
      <c r="V251" s="51"/>
      <c r="W251" s="51"/>
      <c r="X251" s="52"/>
      <c r="Y251" s="52"/>
      <c r="Z251" s="53"/>
      <c r="AA251" s="53"/>
    </row>
    <row r="252" spans="1:27" x14ac:dyDescent="0.3">
      <c r="A252" s="97">
        <v>43052</v>
      </c>
      <c r="B252" s="117" t="s">
        <v>431</v>
      </c>
      <c r="C252" s="26" t="s">
        <v>126</v>
      </c>
      <c r="D252" s="16">
        <v>29307.21</v>
      </c>
      <c r="E252" s="16">
        <v>29128.03</v>
      </c>
      <c r="F252" s="16">
        <v>29188.15</v>
      </c>
      <c r="G252" s="16">
        <v>29146.12</v>
      </c>
      <c r="H252" s="16">
        <v>29359.07</v>
      </c>
      <c r="I252" s="16">
        <v>29299.09</v>
      </c>
      <c r="J252" s="16">
        <v>29130.99</v>
      </c>
      <c r="K252" s="16">
        <v>29128.29</v>
      </c>
      <c r="L252" s="16">
        <v>29317.71</v>
      </c>
      <c r="M252" s="27">
        <f>IF((L253=""),"",MAX(D254:L254))</f>
        <v>11264.879999999997</v>
      </c>
      <c r="N252" s="27">
        <f>IF(L253="","",MIN(D254:L254))</f>
        <v>10118.069999999996</v>
      </c>
      <c r="O252" s="27">
        <f>IF((L254=""),"",AVERAGE(D254:L254))</f>
        <v>10719.403333333332</v>
      </c>
      <c r="P252" s="27">
        <f>IF((L253=""),"",STDEV(D254:L254))</f>
        <v>348.64316141292755</v>
      </c>
      <c r="Q252" s="27">
        <f>IF((L253=""),"",P252/O252*100)</f>
        <v>3.2524493255028277</v>
      </c>
      <c r="R252" s="28" t="str">
        <f>IF(L253="","",IF(Q252&lt;Z252,IF(N252&gt;V252,IF(M252&lt;W252,"Pass","Fail"),"Fail"),"Fail"))</f>
        <v>Pass</v>
      </c>
      <c r="S252" s="29">
        <v>102</v>
      </c>
      <c r="T252" s="55" t="s">
        <v>179</v>
      </c>
      <c r="U252" s="40"/>
      <c r="V252" s="54">
        <v>9000</v>
      </c>
      <c r="W252" s="22">
        <v>15600</v>
      </c>
      <c r="X252" s="40">
        <v>8090</v>
      </c>
      <c r="Y252" s="40">
        <v>12070</v>
      </c>
      <c r="Z252" s="47">
        <v>6</v>
      </c>
      <c r="AA252" s="47">
        <v>6</v>
      </c>
    </row>
    <row r="253" spans="1:27" ht="15.75" customHeight="1" x14ac:dyDescent="0.3">
      <c r="A253" s="96"/>
      <c r="B253" s="96"/>
      <c r="C253" s="30" t="s">
        <v>128</v>
      </c>
      <c r="D253" s="16">
        <v>25662.89</v>
      </c>
      <c r="E253" s="16">
        <v>25472.6</v>
      </c>
      <c r="F253" s="16">
        <v>25640.62</v>
      </c>
      <c r="G253" s="16">
        <v>25567.89</v>
      </c>
      <c r="H253" s="16">
        <v>25860.81</v>
      </c>
      <c r="I253" s="16">
        <v>25544.13</v>
      </c>
      <c r="J253" s="16">
        <v>25488.43</v>
      </c>
      <c r="K253" s="16">
        <v>25664.06</v>
      </c>
      <c r="L253" s="16">
        <v>25945.02</v>
      </c>
      <c r="M253" s="31"/>
      <c r="N253" s="31"/>
      <c r="O253" s="31"/>
      <c r="P253" s="31"/>
      <c r="Q253" s="31"/>
      <c r="R253" s="32"/>
      <c r="S253" s="33"/>
      <c r="T253" s="56"/>
      <c r="V253" s="48"/>
      <c r="W253" s="48"/>
      <c r="X253" s="49"/>
      <c r="Y253" s="49"/>
      <c r="Z253" s="50"/>
      <c r="AA253" s="50"/>
    </row>
    <row r="254" spans="1:27" ht="16.5" customHeight="1" thickBot="1" x14ac:dyDescent="0.35">
      <c r="A254" s="96"/>
      <c r="B254" s="96"/>
      <c r="C254" s="34" t="s">
        <v>129</v>
      </c>
      <c r="D254" s="35">
        <f t="shared" ref="D254:L254" si="80">IF(((D252="")*AND(D253="")),"",(D252-D253)*3)</f>
        <v>10932.96</v>
      </c>
      <c r="E254" s="35">
        <f t="shared" si="80"/>
        <v>10966.29</v>
      </c>
      <c r="F254" s="35">
        <f t="shared" si="80"/>
        <v>10642.590000000007</v>
      </c>
      <c r="G254" s="35">
        <f t="shared" si="80"/>
        <v>10734.689999999999</v>
      </c>
      <c r="H254" s="35">
        <f t="shared" si="80"/>
        <v>10494.779999999995</v>
      </c>
      <c r="I254" s="35">
        <f t="shared" si="80"/>
        <v>11264.879999999997</v>
      </c>
      <c r="J254" s="35">
        <f t="shared" si="80"/>
        <v>10927.680000000004</v>
      </c>
      <c r="K254" s="35">
        <f t="shared" si="80"/>
        <v>10392.689999999999</v>
      </c>
      <c r="L254" s="35">
        <f t="shared" si="80"/>
        <v>10118.069999999996</v>
      </c>
      <c r="M254" s="36"/>
      <c r="N254" s="36"/>
      <c r="O254" s="36"/>
      <c r="P254" s="36"/>
      <c r="Q254" s="36"/>
      <c r="R254" s="37"/>
      <c r="S254" s="38"/>
      <c r="T254" s="57"/>
      <c r="U254" s="52"/>
      <c r="V254" s="51"/>
      <c r="W254" s="51"/>
      <c r="X254" s="52"/>
      <c r="Y254" s="52"/>
      <c r="Z254" s="53"/>
      <c r="AA254" s="53"/>
    </row>
    <row r="255" spans="1:27" x14ac:dyDescent="0.3">
      <c r="A255" s="97">
        <v>43053</v>
      </c>
      <c r="B255" s="117" t="s">
        <v>431</v>
      </c>
      <c r="C255" s="26" t="s">
        <v>126</v>
      </c>
      <c r="D255" s="16">
        <v>29121.599999999999</v>
      </c>
      <c r="E255" s="16">
        <v>28932.16</v>
      </c>
      <c r="F255" s="16">
        <v>28923.75</v>
      </c>
      <c r="G255" s="16">
        <v>28918.76</v>
      </c>
      <c r="H255" s="16">
        <v>29112.52</v>
      </c>
      <c r="I255" s="16">
        <v>29104.02</v>
      </c>
      <c r="J255" s="16">
        <v>28915.9</v>
      </c>
      <c r="K255" s="16">
        <v>28914.16</v>
      </c>
      <c r="L255" s="16">
        <v>29154.94</v>
      </c>
      <c r="M255" s="27">
        <f>IF((L256=""),"",MAX(D257:L257))</f>
        <v>10053.029999999995</v>
      </c>
      <c r="N255" s="27">
        <f>IF(L256="","",MIN(D257:L257))</f>
        <v>8761.9199999999983</v>
      </c>
      <c r="O255" s="27">
        <f>IF((L257=""),"",AVERAGE(D257:L257))</f>
        <v>9312.536666666665</v>
      </c>
      <c r="P255" s="27">
        <f>IF((L256=""),"",STDEV(D257:L257))</f>
        <v>427.56516515029506</v>
      </c>
      <c r="Q255" s="27">
        <f>IF((L256=""),"",P255/O255*100)</f>
        <v>4.5912857093032846</v>
      </c>
      <c r="R255" s="28" t="str">
        <f>IF(L256="","",IF(Q255&lt;Z255,IF(N255&gt;V255,IF(M255&lt;W255,"Pass","Fail"),"Fail"),"Fail"))</f>
        <v>Fail</v>
      </c>
      <c r="S255" s="29" t="s">
        <v>47</v>
      </c>
      <c r="T255" s="16"/>
      <c r="U255" s="55" t="s">
        <v>180</v>
      </c>
      <c r="V255" s="54">
        <v>9000</v>
      </c>
      <c r="W255" s="22">
        <v>15600</v>
      </c>
      <c r="X255" s="40">
        <v>8090</v>
      </c>
      <c r="Y255" s="40">
        <v>12070</v>
      </c>
      <c r="Z255" s="47">
        <v>6</v>
      </c>
      <c r="AA255" s="47">
        <v>6</v>
      </c>
    </row>
    <row r="256" spans="1:27" ht="15.75" customHeight="1" x14ac:dyDescent="0.3">
      <c r="A256" s="96"/>
      <c r="B256" s="96"/>
      <c r="C256" s="30" t="s">
        <v>128</v>
      </c>
      <c r="D256" s="16">
        <v>26153.69</v>
      </c>
      <c r="E256" s="16">
        <v>25853.919999999998</v>
      </c>
      <c r="F256" s="16">
        <v>25869.13</v>
      </c>
      <c r="G256" s="16">
        <v>25745.43</v>
      </c>
      <c r="H256" s="16">
        <v>25894.18</v>
      </c>
      <c r="I256" s="16">
        <v>26183.38</v>
      </c>
      <c r="J256" s="16">
        <v>25946.97</v>
      </c>
      <c r="K256" s="16">
        <v>25709.57</v>
      </c>
      <c r="L256" s="16">
        <v>25803.93</v>
      </c>
      <c r="M256" s="31"/>
      <c r="N256" s="31"/>
      <c r="O256" s="31"/>
      <c r="P256" s="31"/>
      <c r="Q256" s="31"/>
      <c r="R256" s="32"/>
      <c r="S256" s="33"/>
      <c r="T256" s="56"/>
      <c r="V256" s="48"/>
      <c r="W256" s="48"/>
      <c r="X256" s="49"/>
      <c r="Y256" s="49"/>
      <c r="Z256" s="50"/>
      <c r="AA256" s="50"/>
    </row>
    <row r="257" spans="1:27" ht="16.5" customHeight="1" thickBot="1" x14ac:dyDescent="0.35">
      <c r="A257" s="96"/>
      <c r="B257" s="96"/>
      <c r="C257" s="34" t="s">
        <v>129</v>
      </c>
      <c r="D257" s="35">
        <f t="shared" ref="D257:L257" si="81">IF(((D255="")*AND(D256="")),"",(D255-D256)*3)</f>
        <v>8903.73</v>
      </c>
      <c r="E257" s="35">
        <f t="shared" si="81"/>
        <v>9234.7200000000048</v>
      </c>
      <c r="F257" s="35">
        <f t="shared" si="81"/>
        <v>9163.8599999999969</v>
      </c>
      <c r="G257" s="35">
        <f t="shared" si="81"/>
        <v>9519.9899999999943</v>
      </c>
      <c r="H257" s="35">
        <f t="shared" si="81"/>
        <v>9655.02</v>
      </c>
      <c r="I257" s="35">
        <f t="shared" si="81"/>
        <v>8761.9199999999983</v>
      </c>
      <c r="J257" s="35">
        <f t="shared" si="81"/>
        <v>8906.7900000000009</v>
      </c>
      <c r="K257" s="35">
        <f t="shared" si="81"/>
        <v>9613.77</v>
      </c>
      <c r="L257" s="35">
        <f t="shared" si="81"/>
        <v>10053.029999999995</v>
      </c>
      <c r="M257" s="36"/>
      <c r="N257" s="36"/>
      <c r="O257" s="36"/>
      <c r="P257" s="36"/>
      <c r="Q257" s="36"/>
      <c r="R257" s="37"/>
      <c r="S257" s="38"/>
      <c r="T257" s="57"/>
      <c r="U257" s="52"/>
      <c r="V257" s="51"/>
      <c r="W257" s="51"/>
      <c r="X257" s="52"/>
      <c r="Y257" s="52"/>
      <c r="Z257" s="53"/>
      <c r="AA257" s="53"/>
    </row>
    <row r="258" spans="1:27" x14ac:dyDescent="0.3">
      <c r="A258" s="97">
        <v>43053</v>
      </c>
      <c r="B258" s="117" t="s">
        <v>431</v>
      </c>
      <c r="C258" s="26" t="s">
        <v>126</v>
      </c>
      <c r="D258" s="16">
        <v>29538.89</v>
      </c>
      <c r="E258" s="16">
        <v>29321.81</v>
      </c>
      <c r="F258" s="16">
        <v>29372.93</v>
      </c>
      <c r="G258" s="16">
        <v>29308.42</v>
      </c>
      <c r="H258" s="16">
        <v>29506.81</v>
      </c>
      <c r="I258" s="16">
        <v>29477.14</v>
      </c>
      <c r="J258" s="16">
        <v>29308.81</v>
      </c>
      <c r="K258" s="16">
        <v>29313.74</v>
      </c>
      <c r="L258" s="16">
        <v>29491.91</v>
      </c>
      <c r="M258" s="27">
        <f>IF((L259=""),"",MAX(D260:L260))</f>
        <v>11038.109999999997</v>
      </c>
      <c r="N258" s="27">
        <f>IF(L259="","",MIN(D260:L260))</f>
        <v>9584.6099999999969</v>
      </c>
      <c r="O258" s="27">
        <f>IF((L260=""),"",AVERAGE(D260:L260))</f>
        <v>10365.450000000003</v>
      </c>
      <c r="P258" s="27">
        <f>IF((L259=""),"",STDEV(D260:L260))</f>
        <v>442.97330627815484</v>
      </c>
      <c r="Q258" s="27">
        <f>IF((L259=""),"",P258/O258*100)</f>
        <v>4.2735559602154725</v>
      </c>
      <c r="R258" s="28" t="str">
        <f>IF(L259="","",IF(Q258&lt;Z258,IF(N258&gt;V258,IF(M258&lt;W258,"Pass","Fail"),"Fail"),"Fail"))</f>
        <v>Pass</v>
      </c>
      <c r="S258" s="29">
        <v>102</v>
      </c>
      <c r="T258" s="16"/>
      <c r="U258" s="55" t="s">
        <v>181</v>
      </c>
      <c r="V258" s="54">
        <v>9000</v>
      </c>
      <c r="W258" s="22">
        <v>15600</v>
      </c>
      <c r="X258" s="40">
        <v>8090</v>
      </c>
      <c r="Y258" s="40">
        <v>12070</v>
      </c>
      <c r="Z258" s="47">
        <v>6</v>
      </c>
      <c r="AA258" s="47">
        <v>6</v>
      </c>
    </row>
    <row r="259" spans="1:27" ht="15.75" customHeight="1" x14ac:dyDescent="0.3">
      <c r="A259" s="96"/>
      <c r="B259" s="96"/>
      <c r="C259" s="30" t="s">
        <v>128</v>
      </c>
      <c r="D259" s="16">
        <v>26142.799999999999</v>
      </c>
      <c r="E259" s="16">
        <v>25852.19</v>
      </c>
      <c r="F259" s="16">
        <v>25976.55</v>
      </c>
      <c r="G259" s="16">
        <v>25780.63</v>
      </c>
      <c r="H259" s="16">
        <v>25945.72</v>
      </c>
      <c r="I259" s="16">
        <v>26282.27</v>
      </c>
      <c r="J259" s="16">
        <v>25999.7</v>
      </c>
      <c r="K259" s="16">
        <v>25751.71</v>
      </c>
      <c r="L259" s="16">
        <v>25812.54</v>
      </c>
      <c r="M259" s="31"/>
      <c r="N259" s="31"/>
      <c r="O259" s="31"/>
      <c r="P259" s="31"/>
      <c r="Q259" s="31"/>
      <c r="R259" s="32"/>
      <c r="S259" s="33"/>
      <c r="T259" s="56"/>
      <c r="V259" s="48"/>
      <c r="W259" s="48"/>
      <c r="X259" s="49"/>
      <c r="Y259" s="49"/>
      <c r="Z259" s="50"/>
      <c r="AA259" s="50"/>
    </row>
    <row r="260" spans="1:27" ht="16.5" customHeight="1" thickBot="1" x14ac:dyDescent="0.35">
      <c r="A260" s="96"/>
      <c r="B260" s="96"/>
      <c r="C260" s="34" t="s">
        <v>129</v>
      </c>
      <c r="D260" s="35">
        <f t="shared" ref="D260:L260" si="82">IF(((D258="")*AND(D259="")),"",(D258-D259)*3)</f>
        <v>10188.27</v>
      </c>
      <c r="E260" s="35">
        <f t="shared" si="82"/>
        <v>10408.860000000008</v>
      </c>
      <c r="F260" s="35">
        <f t="shared" si="82"/>
        <v>10189.140000000003</v>
      </c>
      <c r="G260" s="35">
        <f t="shared" si="82"/>
        <v>10583.369999999992</v>
      </c>
      <c r="H260" s="35">
        <f t="shared" si="82"/>
        <v>10683.27</v>
      </c>
      <c r="I260" s="35">
        <f t="shared" si="82"/>
        <v>9584.6099999999969</v>
      </c>
      <c r="J260" s="35">
        <f t="shared" si="82"/>
        <v>9927.3300000000017</v>
      </c>
      <c r="K260" s="35">
        <f t="shared" si="82"/>
        <v>10686.090000000007</v>
      </c>
      <c r="L260" s="35">
        <f t="shared" si="82"/>
        <v>11038.109999999997</v>
      </c>
      <c r="M260" s="36"/>
      <c r="N260" s="36"/>
      <c r="O260" s="36"/>
      <c r="P260" s="36"/>
      <c r="Q260" s="36"/>
      <c r="R260" s="37"/>
      <c r="S260" s="38"/>
      <c r="T260" s="57"/>
      <c r="U260" s="52"/>
      <c r="V260" s="51"/>
      <c r="W260" s="51"/>
      <c r="X260" s="52"/>
      <c r="Y260" s="52"/>
      <c r="Z260" s="53"/>
      <c r="AA260" s="53"/>
    </row>
    <row r="261" spans="1:27" x14ac:dyDescent="0.3">
      <c r="A261" s="97">
        <v>43056</v>
      </c>
      <c r="B261" s="117" t="s">
        <v>431</v>
      </c>
      <c r="C261" s="26" t="s">
        <v>126</v>
      </c>
      <c r="D261" s="16">
        <v>29459</v>
      </c>
      <c r="E261" s="16">
        <v>29253</v>
      </c>
      <c r="F261" s="16">
        <v>29311</v>
      </c>
      <c r="G261" s="16">
        <v>29276</v>
      </c>
      <c r="H261" s="16">
        <v>29453</v>
      </c>
      <c r="I261" s="16">
        <v>29445</v>
      </c>
      <c r="J261" s="16">
        <v>29263</v>
      </c>
      <c r="K261" s="16">
        <v>29267</v>
      </c>
      <c r="L261" s="16">
        <v>29443</v>
      </c>
      <c r="M261" s="27">
        <f>IF((L262=""),"",MAX(D263:L263))</f>
        <v>10704</v>
      </c>
      <c r="N261" s="27">
        <f>IF(L262="","",MIN(D263:L263))</f>
        <v>9501</v>
      </c>
      <c r="O261" s="27">
        <f>IF((L263=""),"",AVERAGE(D263:L263))</f>
        <v>9953.6666666666661</v>
      </c>
      <c r="P261" s="27">
        <f>IF((L262=""),"",STDEV(D263:L263))</f>
        <v>417.07133682381004</v>
      </c>
      <c r="Q261" s="27">
        <f>IF((L262=""),"",P261/O261*100)</f>
        <v>4.1901276262396783</v>
      </c>
      <c r="R261" s="28" t="str">
        <f>IF(L262="","",IF(Q261&lt;Z261,IF(N261&gt;V261,IF(M261&lt;W261,"Pass","Fail"),"Fail"),"Fail"))</f>
        <v>Pass</v>
      </c>
      <c r="S261" s="29">
        <v>121</v>
      </c>
      <c r="T261" s="16"/>
      <c r="U261" s="55" t="s">
        <v>182</v>
      </c>
      <c r="V261" s="54">
        <v>9000</v>
      </c>
      <c r="W261" s="22">
        <v>15600</v>
      </c>
      <c r="X261" s="40">
        <v>8090</v>
      </c>
      <c r="Y261" s="40">
        <v>12070</v>
      </c>
      <c r="Z261" s="47">
        <v>6</v>
      </c>
      <c r="AA261" s="47">
        <v>6</v>
      </c>
    </row>
    <row r="262" spans="1:27" ht="15.75" customHeight="1" x14ac:dyDescent="0.3">
      <c r="A262" s="96"/>
      <c r="B262" s="96"/>
      <c r="C262" s="30" t="s">
        <v>128</v>
      </c>
      <c r="D262" s="16">
        <v>26010</v>
      </c>
      <c r="E262" s="16">
        <v>25866</v>
      </c>
      <c r="F262" s="16">
        <v>26080</v>
      </c>
      <c r="G262" s="16">
        <v>25990</v>
      </c>
      <c r="H262" s="16">
        <v>26265</v>
      </c>
      <c r="I262" s="16">
        <v>25877</v>
      </c>
      <c r="J262" s="16">
        <v>25869</v>
      </c>
      <c r="K262" s="16">
        <v>26076</v>
      </c>
      <c r="L262" s="16">
        <v>26276</v>
      </c>
      <c r="M262" s="31"/>
      <c r="N262" s="31"/>
      <c r="O262" s="31"/>
      <c r="P262" s="31"/>
      <c r="Q262" s="31"/>
      <c r="R262" s="32"/>
      <c r="S262" s="33"/>
      <c r="T262" s="56"/>
      <c r="V262" s="48"/>
      <c r="W262" s="48"/>
      <c r="X262" s="49"/>
      <c r="Y262" s="49"/>
      <c r="Z262" s="50"/>
      <c r="AA262" s="50"/>
    </row>
    <row r="263" spans="1:27" ht="16.5" customHeight="1" thickBot="1" x14ac:dyDescent="0.35">
      <c r="A263" s="96"/>
      <c r="B263" s="96"/>
      <c r="C263" s="34" t="s">
        <v>129</v>
      </c>
      <c r="D263" s="35">
        <f t="shared" ref="D263:L263" si="83">IF(((D261="")*AND(D262="")),"",(D261-D262)*3)</f>
        <v>10347</v>
      </c>
      <c r="E263" s="35">
        <f t="shared" si="83"/>
        <v>10161</v>
      </c>
      <c r="F263" s="35">
        <f t="shared" si="83"/>
        <v>9693</v>
      </c>
      <c r="G263" s="35">
        <f t="shared" si="83"/>
        <v>9858</v>
      </c>
      <c r="H263" s="35">
        <f t="shared" si="83"/>
        <v>9564</v>
      </c>
      <c r="I263" s="35">
        <f t="shared" si="83"/>
        <v>10704</v>
      </c>
      <c r="J263" s="35">
        <f t="shared" si="83"/>
        <v>10182</v>
      </c>
      <c r="K263" s="35">
        <f t="shared" si="83"/>
        <v>9573</v>
      </c>
      <c r="L263" s="35">
        <f t="shared" si="83"/>
        <v>9501</v>
      </c>
      <c r="M263" s="36"/>
      <c r="N263" s="36"/>
      <c r="O263" s="36"/>
      <c r="P263" s="36"/>
      <c r="Q263" s="36"/>
      <c r="R263" s="37"/>
      <c r="S263" s="38"/>
      <c r="T263" s="57"/>
      <c r="U263" s="52"/>
      <c r="V263" s="51"/>
      <c r="W263" s="51"/>
      <c r="X263" s="52"/>
      <c r="Y263" s="52"/>
      <c r="Z263" s="53"/>
      <c r="AA263" s="53"/>
    </row>
    <row r="264" spans="1:27" x14ac:dyDescent="0.3">
      <c r="A264" s="97">
        <v>43060</v>
      </c>
      <c r="B264" s="117" t="s">
        <v>431</v>
      </c>
      <c r="C264" s="26" t="s">
        <v>126</v>
      </c>
      <c r="D264" s="16">
        <v>29380.79</v>
      </c>
      <c r="E264" s="16">
        <v>29238.83</v>
      </c>
      <c r="F264" s="16">
        <v>29297.89</v>
      </c>
      <c r="G264" s="16">
        <v>29254.76</v>
      </c>
      <c r="H264" s="16">
        <v>29476.63</v>
      </c>
      <c r="I264" s="16">
        <v>29387.87</v>
      </c>
      <c r="J264" s="16">
        <v>29225.17</v>
      </c>
      <c r="K264" s="16">
        <v>29233.7</v>
      </c>
      <c r="L264" s="16">
        <v>29422.07</v>
      </c>
      <c r="M264" s="27">
        <f>IF((L265=""),"",MAX(D266:L266))</f>
        <v>11512.589999999997</v>
      </c>
      <c r="N264" s="27">
        <f>IF(L265="","",MIN(D266:L266))</f>
        <v>10259.429999999993</v>
      </c>
      <c r="O264" s="27">
        <f>IF((L266=""),"",AVERAGE(D266:L266))</f>
        <v>10833.749999999998</v>
      </c>
      <c r="P264" s="27">
        <f>IF((L265=""),"",STDEV(D266:L266))</f>
        <v>404.09626167536067</v>
      </c>
      <c r="Q264" s="27">
        <f>IF((L265=""),"",P264/O264*100)</f>
        <v>3.7299758779311012</v>
      </c>
      <c r="R264" s="28" t="str">
        <f>IF(L265="","",IF(Q264&lt;Z264,IF(N264&gt;V264,IF(M264&lt;W264,"Pass","Fail"),"Fail"),"Fail"))</f>
        <v>Pass</v>
      </c>
      <c r="S264" s="29">
        <v>1428</v>
      </c>
      <c r="T264" s="16"/>
      <c r="U264" s="55" t="s">
        <v>183</v>
      </c>
      <c r="V264" s="54">
        <v>9000</v>
      </c>
      <c r="W264" s="22">
        <v>15600</v>
      </c>
      <c r="X264" s="40">
        <v>8090</v>
      </c>
      <c r="Y264" s="40">
        <v>12070</v>
      </c>
      <c r="Z264" s="47">
        <v>6</v>
      </c>
      <c r="AA264" s="47">
        <v>6</v>
      </c>
    </row>
    <row r="265" spans="1:27" ht="15.75" customHeight="1" x14ac:dyDescent="0.3">
      <c r="A265" s="96"/>
      <c r="B265" s="96"/>
      <c r="C265" s="30" t="s">
        <v>128</v>
      </c>
      <c r="D265" s="16">
        <v>25864.87</v>
      </c>
      <c r="E265" s="16">
        <v>25664.27</v>
      </c>
      <c r="F265" s="16">
        <v>25722.46</v>
      </c>
      <c r="G265" s="16">
        <v>25569.85</v>
      </c>
      <c r="H265" s="16">
        <v>25733.89</v>
      </c>
      <c r="I265" s="16">
        <v>25968.06</v>
      </c>
      <c r="J265" s="16">
        <v>25750.65</v>
      </c>
      <c r="K265" s="16">
        <v>25557.87</v>
      </c>
      <c r="L265" s="16">
        <v>25584.54</v>
      </c>
      <c r="M265" s="31"/>
      <c r="N265" s="31"/>
      <c r="O265" s="31"/>
      <c r="P265" s="31"/>
      <c r="Q265" s="31"/>
      <c r="R265" s="32"/>
      <c r="S265" s="33"/>
      <c r="T265" s="56"/>
      <c r="V265" s="48"/>
      <c r="W265" s="48"/>
      <c r="X265" s="49"/>
      <c r="Y265" s="49"/>
      <c r="Z265" s="50"/>
      <c r="AA265" s="50"/>
    </row>
    <row r="266" spans="1:27" ht="16.5" customHeight="1" thickBot="1" x14ac:dyDescent="0.35">
      <c r="A266" s="96"/>
      <c r="B266" s="96"/>
      <c r="C266" s="34" t="s">
        <v>129</v>
      </c>
      <c r="D266" s="35">
        <f t="shared" ref="D266:L266" si="84">IF(((D264="")*AND(D265="")),"",(D264-D265)*3)</f>
        <v>10547.760000000006</v>
      </c>
      <c r="E266" s="35">
        <f t="shared" si="84"/>
        <v>10723.680000000004</v>
      </c>
      <c r="F266" s="35">
        <f t="shared" si="84"/>
        <v>10726.29</v>
      </c>
      <c r="G266" s="35">
        <f t="shared" si="84"/>
        <v>11054.73</v>
      </c>
      <c r="H266" s="35">
        <f t="shared" si="84"/>
        <v>11228.220000000005</v>
      </c>
      <c r="I266" s="35">
        <f t="shared" si="84"/>
        <v>10259.429999999993</v>
      </c>
      <c r="J266" s="35">
        <f t="shared" si="84"/>
        <v>10423.55999999999</v>
      </c>
      <c r="K266" s="35">
        <f t="shared" si="84"/>
        <v>11027.490000000005</v>
      </c>
      <c r="L266" s="35">
        <f t="shared" si="84"/>
        <v>11512.589999999997</v>
      </c>
      <c r="M266" s="36"/>
      <c r="N266" s="36"/>
      <c r="O266" s="36"/>
      <c r="P266" s="36"/>
      <c r="Q266" s="36"/>
      <c r="R266" s="37"/>
      <c r="S266" s="38"/>
      <c r="T266" s="57"/>
      <c r="U266" s="52"/>
      <c r="V266" s="51"/>
      <c r="W266" s="51"/>
      <c r="X266" s="52"/>
      <c r="Y266" s="52"/>
      <c r="Z266" s="53"/>
      <c r="AA266" s="53"/>
    </row>
    <row r="267" spans="1:27" x14ac:dyDescent="0.3">
      <c r="A267" s="97">
        <v>43063</v>
      </c>
      <c r="B267" s="117" t="s">
        <v>431</v>
      </c>
      <c r="C267" s="26" t="s">
        <v>126</v>
      </c>
      <c r="D267" s="16">
        <v>29341.58</v>
      </c>
      <c r="E267" s="16">
        <v>29198.45</v>
      </c>
      <c r="F267" s="16">
        <v>29198.55</v>
      </c>
      <c r="G267" s="16">
        <v>29214.09</v>
      </c>
      <c r="H267" s="16">
        <v>29410.05</v>
      </c>
      <c r="I267" s="16">
        <v>29400.13</v>
      </c>
      <c r="J267" s="16">
        <v>29211.84</v>
      </c>
      <c r="K267" s="16">
        <v>29202.12</v>
      </c>
      <c r="L267" s="16">
        <v>29417.15</v>
      </c>
      <c r="M267" s="27">
        <f>IF((L268=""),"",MAX(D269:L269))</f>
        <v>12319.080000000002</v>
      </c>
      <c r="N267" s="27">
        <f>IF(L268="","",MIN(D269:L269))</f>
        <v>11016.48</v>
      </c>
      <c r="O267" s="27">
        <f>IF((L269=""),"",AVERAGE(D269:L269))</f>
        <v>11601.276666666665</v>
      </c>
      <c r="P267" s="27">
        <f>IF((L268=""),"",STDEV(D269:L269))</f>
        <v>409.91349639283618</v>
      </c>
      <c r="Q267" s="27">
        <f>IF((L268=""),"",P267/O267*100)</f>
        <v>3.5333481665049757</v>
      </c>
      <c r="R267" s="28" t="str">
        <f>IF(L268="","",IF(Q267&lt;Z267,IF(N267&gt;V267,IF(M267&lt;W267,"Pass","Fail"),"Fail"),"Fail"))</f>
        <v>Pass</v>
      </c>
      <c r="S267" s="29">
        <v>1428</v>
      </c>
      <c r="T267" s="16"/>
      <c r="U267" s="55" t="s">
        <v>184</v>
      </c>
      <c r="V267" s="54">
        <v>9000</v>
      </c>
      <c r="W267" s="22">
        <v>15600</v>
      </c>
      <c r="X267" s="40">
        <v>8090</v>
      </c>
      <c r="Y267" s="40">
        <v>12070</v>
      </c>
      <c r="Z267" s="47">
        <v>6</v>
      </c>
      <c r="AA267" s="47">
        <v>6</v>
      </c>
    </row>
    <row r="268" spans="1:27" ht="15.75" customHeight="1" x14ac:dyDescent="0.3">
      <c r="A268" s="96"/>
      <c r="B268" s="96"/>
      <c r="C268" s="30" t="s">
        <v>128</v>
      </c>
      <c r="D268" s="16">
        <v>25552.22</v>
      </c>
      <c r="E268" s="16">
        <v>25357.01</v>
      </c>
      <c r="F268" s="16">
        <v>25386.61</v>
      </c>
      <c r="G268" s="16">
        <v>25289.58</v>
      </c>
      <c r="H268" s="16">
        <v>25427.22</v>
      </c>
      <c r="I268" s="16">
        <v>25727.97</v>
      </c>
      <c r="J268" s="16">
        <v>25488.11</v>
      </c>
      <c r="K268" s="16">
        <v>25250.62</v>
      </c>
      <c r="L268" s="16">
        <v>25310.79</v>
      </c>
      <c r="M268" s="31"/>
      <c r="N268" s="31"/>
      <c r="O268" s="31"/>
      <c r="P268" s="31"/>
      <c r="Q268" s="31"/>
      <c r="R268" s="32"/>
      <c r="S268" s="33"/>
      <c r="T268" s="56"/>
      <c r="V268" s="48"/>
      <c r="W268" s="48"/>
      <c r="X268" s="49"/>
      <c r="Y268" s="49"/>
      <c r="Z268" s="50"/>
      <c r="AA268" s="50"/>
    </row>
    <row r="269" spans="1:27" ht="16.5" customHeight="1" thickBot="1" x14ac:dyDescent="0.35">
      <c r="A269" s="96"/>
      <c r="B269" s="96"/>
      <c r="C269" s="34" t="s">
        <v>129</v>
      </c>
      <c r="D269" s="35">
        <f t="shared" ref="D269:L269" si="85">IF(((D267="")*AND(D268="")),"",(D267-D268)*3)</f>
        <v>11368.080000000002</v>
      </c>
      <c r="E269" s="35">
        <f t="shared" si="85"/>
        <v>11524.320000000007</v>
      </c>
      <c r="F269" s="35">
        <f t="shared" si="85"/>
        <v>11435.819999999996</v>
      </c>
      <c r="G269" s="35">
        <f t="shared" si="85"/>
        <v>11773.529999999995</v>
      </c>
      <c r="H269" s="35">
        <f t="shared" si="85"/>
        <v>11948.489999999994</v>
      </c>
      <c r="I269" s="35">
        <f t="shared" si="85"/>
        <v>11016.48</v>
      </c>
      <c r="J269" s="35">
        <f t="shared" si="85"/>
        <v>11171.189999999999</v>
      </c>
      <c r="K269" s="35">
        <f t="shared" si="85"/>
        <v>11854.5</v>
      </c>
      <c r="L269" s="35">
        <f t="shared" si="85"/>
        <v>12319.080000000002</v>
      </c>
      <c r="M269" s="36"/>
      <c r="N269" s="36"/>
      <c r="O269" s="36"/>
      <c r="P269" s="36"/>
      <c r="Q269" s="36"/>
      <c r="R269" s="37"/>
      <c r="S269" s="38"/>
      <c r="T269" s="57"/>
      <c r="U269" s="52"/>
      <c r="V269" s="51"/>
      <c r="W269" s="51"/>
      <c r="X269" s="52"/>
      <c r="Y269" s="52"/>
      <c r="Z269" s="53"/>
      <c r="AA269" s="53"/>
    </row>
    <row r="270" spans="1:27" x14ac:dyDescent="0.3">
      <c r="A270" s="97">
        <v>43063</v>
      </c>
      <c r="B270" s="117" t="s">
        <v>431</v>
      </c>
      <c r="C270" s="26" t="s">
        <v>126</v>
      </c>
      <c r="D270" s="16">
        <v>29535.27</v>
      </c>
      <c r="E270" s="16">
        <v>29345.91</v>
      </c>
      <c r="F270" s="16">
        <v>29414.32</v>
      </c>
      <c r="G270" s="16">
        <v>29337.37</v>
      </c>
      <c r="H270" s="16">
        <v>29528.37</v>
      </c>
      <c r="I270" s="16">
        <v>29456.54</v>
      </c>
      <c r="J270" s="16">
        <v>29321.07</v>
      </c>
      <c r="K270" s="16">
        <v>29345.83</v>
      </c>
      <c r="L270" s="16">
        <v>29565.91</v>
      </c>
      <c r="M270" s="27">
        <f>IF((L271=""),"",MAX(D272:L272))</f>
        <v>12010.02</v>
      </c>
      <c r="N270" s="27">
        <f>IF(L271="","",MIN(D272:L272))</f>
        <v>10601.220000000005</v>
      </c>
      <c r="O270" s="27">
        <f>IF((L272=""),"",AVERAGE(D272:L272))</f>
        <v>11284.916666666668</v>
      </c>
      <c r="P270" s="27">
        <f>IF((L271=""),"",STDEV(D272:L272))</f>
        <v>427.99679566557393</v>
      </c>
      <c r="Q270" s="27">
        <f>IF((L271=""),"",P270/O270*100)</f>
        <v>3.7926447160198244</v>
      </c>
      <c r="R270" s="28" t="str">
        <f>IF(L271="","",IF(Q270&lt;Z270,IF(N270&gt;V270,IF(M270&lt;W270,"Pass","Fail"),"Fail"),"Fail"))</f>
        <v>Pass</v>
      </c>
      <c r="S270" s="29">
        <v>1335</v>
      </c>
      <c r="T270" s="16"/>
      <c r="U270" s="55" t="s">
        <v>185</v>
      </c>
      <c r="V270" s="54">
        <v>9000</v>
      </c>
      <c r="W270" s="22">
        <v>15600</v>
      </c>
      <c r="X270" s="40">
        <v>8090</v>
      </c>
      <c r="Y270" s="40">
        <v>12070</v>
      </c>
      <c r="Z270" s="47">
        <v>6</v>
      </c>
      <c r="AA270" s="47">
        <v>6</v>
      </c>
    </row>
    <row r="271" spans="1:27" ht="15.75" customHeight="1" x14ac:dyDescent="0.3">
      <c r="A271" s="96"/>
      <c r="B271" s="96"/>
      <c r="C271" s="30" t="s">
        <v>128</v>
      </c>
      <c r="D271" s="16">
        <v>25853.439999999999</v>
      </c>
      <c r="E271" s="16">
        <v>25594.7</v>
      </c>
      <c r="F271" s="16">
        <v>25681.11</v>
      </c>
      <c r="G271" s="16">
        <v>25506.22</v>
      </c>
      <c r="H271" s="16">
        <v>25700.44</v>
      </c>
      <c r="I271" s="16">
        <v>25922.799999999999</v>
      </c>
      <c r="J271" s="16">
        <v>25708.09</v>
      </c>
      <c r="K271" s="16">
        <v>25466.47</v>
      </c>
      <c r="L271" s="16">
        <v>25562.57</v>
      </c>
      <c r="M271" s="31"/>
      <c r="N271" s="31"/>
      <c r="O271" s="31"/>
      <c r="P271" s="31"/>
      <c r="Q271" s="31"/>
      <c r="R271" s="32"/>
      <c r="S271" s="33"/>
      <c r="T271" s="56"/>
      <c r="V271" s="48"/>
      <c r="W271" s="48"/>
      <c r="X271" s="49"/>
      <c r="Y271" s="49"/>
      <c r="Z271" s="50"/>
      <c r="AA271" s="50"/>
    </row>
    <row r="272" spans="1:27" ht="16.5" customHeight="1" thickBot="1" x14ac:dyDescent="0.35">
      <c r="A272" s="96"/>
      <c r="B272" s="96"/>
      <c r="C272" s="34" t="s">
        <v>129</v>
      </c>
      <c r="D272" s="35">
        <f t="shared" ref="D272:L272" si="86">IF(((D270="")*AND(D271="")),"",(D270-D271)*3)</f>
        <v>11045.490000000005</v>
      </c>
      <c r="E272" s="35">
        <f t="shared" si="86"/>
        <v>11253.629999999997</v>
      </c>
      <c r="F272" s="35">
        <f t="shared" si="86"/>
        <v>11199.629999999997</v>
      </c>
      <c r="G272" s="35">
        <f t="shared" si="86"/>
        <v>11493.449999999993</v>
      </c>
      <c r="H272" s="35">
        <f t="shared" si="86"/>
        <v>11483.79</v>
      </c>
      <c r="I272" s="35">
        <f t="shared" si="86"/>
        <v>10601.220000000005</v>
      </c>
      <c r="J272" s="35">
        <f t="shared" si="86"/>
        <v>10838.939999999999</v>
      </c>
      <c r="K272" s="35">
        <f t="shared" si="86"/>
        <v>11638.080000000002</v>
      </c>
      <c r="L272" s="35">
        <f t="shared" si="86"/>
        <v>12010.02</v>
      </c>
      <c r="M272" s="36"/>
      <c r="N272" s="36"/>
      <c r="O272" s="36"/>
      <c r="P272" s="36"/>
      <c r="Q272" s="36"/>
      <c r="R272" s="37"/>
      <c r="S272" s="38"/>
      <c r="T272" s="57"/>
      <c r="U272" s="52"/>
      <c r="V272" s="51"/>
      <c r="W272" s="51"/>
      <c r="X272" s="52"/>
      <c r="Y272" s="52"/>
      <c r="Z272" s="53"/>
      <c r="AA272" s="53"/>
    </row>
    <row r="273" spans="1:27" x14ac:dyDescent="0.3">
      <c r="A273" s="97">
        <v>43063</v>
      </c>
      <c r="B273" s="117" t="s">
        <v>431</v>
      </c>
      <c r="C273" s="26" t="s">
        <v>126</v>
      </c>
      <c r="D273" s="16">
        <v>29485.27</v>
      </c>
      <c r="E273" s="16">
        <v>29331.29</v>
      </c>
      <c r="F273" s="16">
        <v>29325.88</v>
      </c>
      <c r="G273" s="16">
        <v>29331.24</v>
      </c>
      <c r="H273" s="16">
        <v>29546.84</v>
      </c>
      <c r="I273" s="16">
        <v>29491.06</v>
      </c>
      <c r="J273" s="16">
        <v>29323.99</v>
      </c>
      <c r="K273" s="16">
        <v>29327.05</v>
      </c>
      <c r="L273" s="16">
        <v>29544.25</v>
      </c>
      <c r="M273" s="27">
        <f>IF((L274=""),"",MAX(D275:L275))</f>
        <v>10950.450000000004</v>
      </c>
      <c r="N273" s="27">
        <f>IF(L274="","",MIN(D275:L275))</f>
        <v>9498.6600000000035</v>
      </c>
      <c r="O273" s="27">
        <f>IF((L275=""),"",AVERAGE(D275:L275))</f>
        <v>10177.813333333337</v>
      </c>
      <c r="P273" s="27">
        <f>IF((L274=""),"",STDEV(D275:L275))</f>
        <v>456.34069742353699</v>
      </c>
      <c r="Q273" s="27">
        <f>IF((L274=""),"",P273/O273*100)</f>
        <v>4.483681145231623</v>
      </c>
      <c r="R273" s="28" t="str">
        <f>IF(L274="","",IF(Q273&lt;Z273,IF(N273&gt;V273,IF(M273&lt;W273,"Pass","Fail"),"Fail"),"Fail"))</f>
        <v>Pass</v>
      </c>
      <c r="S273" s="29">
        <v>121</v>
      </c>
      <c r="T273" s="16"/>
      <c r="U273" s="55" t="s">
        <v>186</v>
      </c>
      <c r="V273" s="54">
        <v>9000</v>
      </c>
      <c r="W273" s="22">
        <v>15600</v>
      </c>
      <c r="X273" s="40">
        <v>8090</v>
      </c>
      <c r="Y273" s="40">
        <v>12070</v>
      </c>
      <c r="Z273" s="47">
        <v>6</v>
      </c>
      <c r="AA273" s="47">
        <v>6</v>
      </c>
    </row>
    <row r="274" spans="1:27" ht="15.75" customHeight="1" x14ac:dyDescent="0.3">
      <c r="A274" s="96"/>
      <c r="B274" s="96"/>
      <c r="C274" s="30" t="s">
        <v>128</v>
      </c>
      <c r="D274" s="16">
        <v>26215.86</v>
      </c>
      <c r="E274" s="16">
        <v>25951.94</v>
      </c>
      <c r="F274" s="16">
        <v>25966.01</v>
      </c>
      <c r="G274" s="16">
        <v>25866.28</v>
      </c>
      <c r="H274" s="16">
        <v>26082.55</v>
      </c>
      <c r="I274" s="16">
        <v>26324.84</v>
      </c>
      <c r="J274" s="16">
        <v>26077.07</v>
      </c>
      <c r="K274" s="16">
        <v>25794.78</v>
      </c>
      <c r="L274" s="16">
        <v>25894.1</v>
      </c>
      <c r="M274" s="31"/>
      <c r="N274" s="31"/>
      <c r="O274" s="31"/>
      <c r="P274" s="31"/>
      <c r="Q274" s="31"/>
      <c r="R274" s="32"/>
      <c r="S274" s="33"/>
      <c r="T274" s="56"/>
      <c r="V274" s="48"/>
      <c r="W274" s="48"/>
      <c r="X274" s="49"/>
      <c r="Y274" s="49"/>
      <c r="Z274" s="50"/>
      <c r="AA274" s="50"/>
    </row>
    <row r="275" spans="1:27" ht="16.5" customHeight="1" thickBot="1" x14ac:dyDescent="0.35">
      <c r="A275" s="96"/>
      <c r="B275" s="96"/>
      <c r="C275" s="34" t="s">
        <v>129</v>
      </c>
      <c r="D275" s="35">
        <f t="shared" ref="D275:L275" si="87">IF(((D273="")*AND(D274="")),"",(D273-D274)*3)</f>
        <v>9808.23</v>
      </c>
      <c r="E275" s="35">
        <f t="shared" si="87"/>
        <v>10138.050000000007</v>
      </c>
      <c r="F275" s="35">
        <f t="shared" si="87"/>
        <v>10079.610000000008</v>
      </c>
      <c r="G275" s="35">
        <f t="shared" si="87"/>
        <v>10394.880000000008</v>
      </c>
      <c r="H275" s="35">
        <f t="shared" si="87"/>
        <v>10392.870000000003</v>
      </c>
      <c r="I275" s="35">
        <f t="shared" si="87"/>
        <v>9498.6600000000035</v>
      </c>
      <c r="J275" s="35">
        <f t="shared" si="87"/>
        <v>9740.7600000000057</v>
      </c>
      <c r="K275" s="35">
        <f t="shared" si="87"/>
        <v>10596.810000000001</v>
      </c>
      <c r="L275" s="35">
        <f t="shared" si="87"/>
        <v>10950.450000000004</v>
      </c>
      <c r="M275" s="36"/>
      <c r="N275" s="36"/>
      <c r="O275" s="36"/>
      <c r="P275" s="36"/>
      <c r="Q275" s="36"/>
      <c r="R275" s="37"/>
      <c r="S275" s="38"/>
      <c r="T275" s="57"/>
      <c r="U275" s="52"/>
      <c r="V275" s="51"/>
      <c r="W275" s="51"/>
      <c r="X275" s="52"/>
      <c r="Y275" s="52"/>
      <c r="Z275" s="53"/>
      <c r="AA275" s="53"/>
    </row>
    <row r="276" spans="1:27" x14ac:dyDescent="0.3">
      <c r="A276" s="97">
        <v>43068</v>
      </c>
      <c r="B276" s="117" t="s">
        <v>431</v>
      </c>
      <c r="C276" s="26" t="s">
        <v>126</v>
      </c>
      <c r="D276" s="16">
        <v>29411.56</v>
      </c>
      <c r="E276" s="16">
        <v>29249.599999999999</v>
      </c>
      <c r="F276" s="16">
        <v>29310.27</v>
      </c>
      <c r="G276" s="16">
        <v>29251.45</v>
      </c>
      <c r="H276" s="16">
        <v>29510.67</v>
      </c>
      <c r="I276" s="16">
        <v>29382.78</v>
      </c>
      <c r="J276" s="16">
        <v>29242.07</v>
      </c>
      <c r="K276" s="16">
        <v>29242</v>
      </c>
      <c r="L276" s="16">
        <v>29494.33</v>
      </c>
      <c r="M276" s="27">
        <f>IF((L277=""),"",MAX(D278:L278))</f>
        <v>10548.450000000004</v>
      </c>
      <c r="N276" s="27">
        <f>IF(L277="","",MIN(D278:L278))</f>
        <v>9277.3199999999961</v>
      </c>
      <c r="O276" s="27">
        <f>IF((L278=""),"",AVERAGE(D278:L278))</f>
        <v>9829.0133333333324</v>
      </c>
      <c r="P276" s="27">
        <f>IF((L277=""),"",STDEV(D278:L278))</f>
        <v>411.96343560442511</v>
      </c>
      <c r="Q276" s="27">
        <f>IF((L277=""),"",P276/O276*100)</f>
        <v>4.1912999976032701</v>
      </c>
      <c r="R276" s="28" t="str">
        <f>IF(L277="","",IF(Q276&lt;Z276,IF(N276&gt;V276,IF(M276&lt;W276,"Pass","Fail"),"Fail"),"Fail"))</f>
        <v>Pass</v>
      </c>
      <c r="S276" s="29">
        <v>1335</v>
      </c>
      <c r="T276" s="55" t="s">
        <v>187</v>
      </c>
      <c r="U276" s="40"/>
      <c r="V276" s="54">
        <v>9000</v>
      </c>
      <c r="W276" s="22">
        <v>15600</v>
      </c>
      <c r="X276" s="40">
        <v>8090</v>
      </c>
      <c r="Y276" s="40">
        <v>12070</v>
      </c>
      <c r="Z276" s="47">
        <v>6</v>
      </c>
      <c r="AA276" s="47">
        <v>6</v>
      </c>
    </row>
    <row r="277" spans="1:27" ht="15.75" customHeight="1" x14ac:dyDescent="0.3">
      <c r="A277" s="96"/>
      <c r="B277" s="96"/>
      <c r="C277" s="30" t="s">
        <v>128</v>
      </c>
      <c r="D277" s="16">
        <v>26270.25</v>
      </c>
      <c r="E277" s="16">
        <v>25977.19</v>
      </c>
      <c r="F277" s="16">
        <v>26060.12</v>
      </c>
      <c r="G277" s="16">
        <v>25910.21</v>
      </c>
      <c r="H277" s="16">
        <v>26181.26</v>
      </c>
      <c r="I277" s="16">
        <v>26290.34</v>
      </c>
      <c r="J277" s="16">
        <v>26099.58</v>
      </c>
      <c r="K277" s="16">
        <v>25840.560000000001</v>
      </c>
      <c r="L277" s="16">
        <v>25978.18</v>
      </c>
      <c r="M277" s="31"/>
      <c r="N277" s="31"/>
      <c r="O277" s="31"/>
      <c r="P277" s="31"/>
      <c r="Q277" s="31"/>
      <c r="R277" s="32"/>
      <c r="S277" s="33"/>
      <c r="T277" s="56"/>
      <c r="V277" s="48"/>
      <c r="W277" s="48"/>
      <c r="X277" s="49"/>
      <c r="Y277" s="49"/>
      <c r="Z277" s="50"/>
      <c r="AA277" s="50"/>
    </row>
    <row r="278" spans="1:27" ht="16.5" customHeight="1" thickBot="1" x14ac:dyDescent="0.35">
      <c r="A278" s="96"/>
      <c r="B278" s="96"/>
      <c r="C278" s="34" t="s">
        <v>129</v>
      </c>
      <c r="D278" s="35">
        <f t="shared" ref="D278:L278" si="88">IF(((D276="")*AND(D277="")),"",(D276-D277)*3)</f>
        <v>9423.9300000000039</v>
      </c>
      <c r="E278" s="35">
        <f t="shared" si="88"/>
        <v>9817.23</v>
      </c>
      <c r="F278" s="35">
        <f t="shared" si="88"/>
        <v>9750.4500000000044</v>
      </c>
      <c r="G278" s="35">
        <f t="shared" si="88"/>
        <v>10023.720000000005</v>
      </c>
      <c r="H278" s="35">
        <f t="shared" si="88"/>
        <v>9988.23</v>
      </c>
      <c r="I278" s="35">
        <f t="shared" si="88"/>
        <v>9277.3199999999961</v>
      </c>
      <c r="J278" s="35">
        <f t="shared" si="88"/>
        <v>9427.4699999999939</v>
      </c>
      <c r="K278" s="35">
        <f t="shared" si="88"/>
        <v>10204.319999999996</v>
      </c>
      <c r="L278" s="35">
        <f t="shared" si="88"/>
        <v>10548.450000000004</v>
      </c>
      <c r="M278" s="36"/>
      <c r="N278" s="36"/>
      <c r="O278" s="36"/>
      <c r="P278" s="36"/>
      <c r="Q278" s="36"/>
      <c r="R278" s="37"/>
      <c r="S278" s="38"/>
      <c r="T278" s="57"/>
      <c r="U278" s="52"/>
      <c r="V278" s="51"/>
      <c r="W278" s="51"/>
      <c r="X278" s="52"/>
      <c r="Y278" s="52"/>
      <c r="Z278" s="53"/>
      <c r="AA278" s="53"/>
    </row>
    <row r="279" spans="1:27" x14ac:dyDescent="0.3">
      <c r="A279" s="97">
        <v>43043</v>
      </c>
      <c r="B279" s="117" t="s">
        <v>431</v>
      </c>
      <c r="C279" s="26" t="s">
        <v>126</v>
      </c>
      <c r="D279" s="16">
        <v>29324.05</v>
      </c>
      <c r="E279" s="16">
        <v>29174.59</v>
      </c>
      <c r="F279" s="16">
        <v>29244.16</v>
      </c>
      <c r="G279" s="16">
        <v>29185</v>
      </c>
      <c r="H279" s="16">
        <v>29401.17</v>
      </c>
      <c r="I279" s="16">
        <v>29322.79</v>
      </c>
      <c r="J279" s="16">
        <v>29159.95</v>
      </c>
      <c r="K279" s="16">
        <v>29177.51</v>
      </c>
      <c r="L279" s="16">
        <v>29377.72</v>
      </c>
      <c r="M279" s="27">
        <f>IF((L280=""),"",MAX(D281:L281))</f>
        <v>9796.4399999999987</v>
      </c>
      <c r="N279" s="27">
        <f>IF(L280="","",MIN(D281:L281))</f>
        <v>8618.0699999999961</v>
      </c>
      <c r="O279" s="27">
        <f>IF((L281=""),"",AVERAGE(D281:L281))</f>
        <v>9137.2233333333334</v>
      </c>
      <c r="P279" s="27">
        <f>IF((L280=""),"",STDEV(D281:L281))</f>
        <v>408.99512570445114</v>
      </c>
      <c r="Q279" s="27">
        <f>IF((L280=""),"",P279/O279*100)</f>
        <v>4.476142376999845</v>
      </c>
      <c r="R279" s="28" t="str">
        <f>IF(L280="","",IF(Q279&lt;Z279,IF(N279&gt;V279,IF(M279&lt;W279,"Pass","Fail"),"Fail"),"Fail"))</f>
        <v>Fail</v>
      </c>
      <c r="S279" s="29">
        <v>1428</v>
      </c>
      <c r="T279" s="16"/>
      <c r="U279" s="55" t="s">
        <v>169</v>
      </c>
      <c r="V279" s="54">
        <v>9000</v>
      </c>
      <c r="W279" s="22">
        <v>15600</v>
      </c>
      <c r="X279" s="40">
        <v>8090</v>
      </c>
      <c r="Y279" s="40">
        <v>12070</v>
      </c>
      <c r="Z279" s="47">
        <v>6</v>
      </c>
      <c r="AA279" s="47">
        <v>6</v>
      </c>
    </row>
    <row r="280" spans="1:27" ht="15.75" customHeight="1" x14ac:dyDescent="0.3">
      <c r="A280" s="96"/>
      <c r="B280" s="96"/>
      <c r="C280" s="30" t="s">
        <v>128</v>
      </c>
      <c r="D280" s="16">
        <v>26198.720000000001</v>
      </c>
      <c r="E280" s="16">
        <v>26049.62</v>
      </c>
      <c r="F280" s="16">
        <v>26219.279999999999</v>
      </c>
      <c r="G280" s="16">
        <v>26170.1</v>
      </c>
      <c r="H280" s="16">
        <v>26528.48</v>
      </c>
      <c r="I280" s="16">
        <v>26057.31</v>
      </c>
      <c r="J280" s="16">
        <v>25987.08</v>
      </c>
      <c r="K280" s="16">
        <v>26251.77</v>
      </c>
      <c r="L280" s="16">
        <v>26492.91</v>
      </c>
      <c r="M280" s="31"/>
      <c r="N280" s="31"/>
      <c r="O280" s="31"/>
      <c r="P280" s="31"/>
      <c r="Q280" s="31"/>
      <c r="R280" s="32"/>
      <c r="S280" s="33"/>
      <c r="T280" s="56"/>
      <c r="V280" s="48"/>
      <c r="W280" s="48"/>
      <c r="X280" s="49"/>
      <c r="Y280" s="49"/>
      <c r="Z280" s="50"/>
      <c r="AA280" s="50"/>
    </row>
    <row r="281" spans="1:27" ht="16.5" customHeight="1" thickBot="1" x14ac:dyDescent="0.35">
      <c r="A281" s="96"/>
      <c r="B281" s="96"/>
      <c r="C281" s="34" t="s">
        <v>129</v>
      </c>
      <c r="D281" s="35">
        <f t="shared" ref="D281:L281" si="89">IF(((D279="")*AND(D280="")),"",(D279-D280)*3)</f>
        <v>9375.9899999999943</v>
      </c>
      <c r="E281" s="35">
        <f t="shared" si="89"/>
        <v>9374.9100000000035</v>
      </c>
      <c r="F281" s="35">
        <f t="shared" si="89"/>
        <v>9074.6400000000031</v>
      </c>
      <c r="G281" s="35">
        <f t="shared" si="89"/>
        <v>9044.7000000000044</v>
      </c>
      <c r="H281" s="35">
        <f t="shared" si="89"/>
        <v>8618.0699999999961</v>
      </c>
      <c r="I281" s="35">
        <f t="shared" si="89"/>
        <v>9796.4399999999987</v>
      </c>
      <c r="J281" s="35">
        <f t="shared" si="89"/>
        <v>9518.6099999999969</v>
      </c>
      <c r="K281" s="35">
        <f t="shared" si="89"/>
        <v>8777.2199999999939</v>
      </c>
      <c r="L281" s="35">
        <f t="shared" si="89"/>
        <v>8654.4300000000039</v>
      </c>
      <c r="M281" s="36"/>
      <c r="N281" s="36"/>
      <c r="O281" s="36"/>
      <c r="P281" s="36"/>
      <c r="Q281" s="36"/>
      <c r="R281" s="37"/>
      <c r="S281" s="38"/>
      <c r="T281" s="57"/>
      <c r="U281" s="52"/>
      <c r="V281" s="51"/>
      <c r="W281" s="51"/>
      <c r="X281" s="52"/>
      <c r="Y281" s="52"/>
      <c r="Z281" s="53"/>
      <c r="AA281" s="53"/>
    </row>
    <row r="282" spans="1:27" x14ac:dyDescent="0.3">
      <c r="A282" s="97">
        <v>43073</v>
      </c>
      <c r="B282" s="117" t="s">
        <v>431</v>
      </c>
      <c r="C282" s="26" t="s">
        <v>126</v>
      </c>
      <c r="D282" s="16">
        <v>29578.5</v>
      </c>
      <c r="E282" s="16">
        <v>29401.05</v>
      </c>
      <c r="F282" s="16">
        <v>29453.71</v>
      </c>
      <c r="G282" s="16">
        <v>29385.85</v>
      </c>
      <c r="H282" s="16">
        <v>29564.58</v>
      </c>
      <c r="I282" s="16">
        <v>29499.85</v>
      </c>
      <c r="J282" s="16">
        <v>29373.119999999999</v>
      </c>
      <c r="K282" s="16">
        <v>29390.29</v>
      </c>
      <c r="L282" s="16">
        <v>29621.59</v>
      </c>
      <c r="M282" s="27">
        <f>IF((L283=""),"",MAX(D284:L284))</f>
        <v>11356.919999999998</v>
      </c>
      <c r="N282" s="27">
        <f>IF(L283="","",MIN(D284:L284))</f>
        <v>10137.75</v>
      </c>
      <c r="O282" s="27">
        <f>IF((L284=""),"",AVERAGE(D284:L284))</f>
        <v>10776.626666666663</v>
      </c>
      <c r="P282" s="27">
        <f>IF((L283=""),"",STDEV(D284:L284))</f>
        <v>392.28511404334557</v>
      </c>
      <c r="Q282" s="27">
        <f>IF((L283=""),"",P282/O282*100)</f>
        <v>3.6401475728645978</v>
      </c>
      <c r="R282" s="28" t="str">
        <f>IF(L283="","",IF(Q282&lt;Z282,IF(N282&gt;V282,IF(M282&lt;W282,"Pass","Fail"),"Fail"),"Fail"))</f>
        <v>Pass</v>
      </c>
      <c r="S282" s="29">
        <v>102</v>
      </c>
      <c r="T282" s="55"/>
      <c r="U282" s="40"/>
      <c r="V282" s="54">
        <v>9000</v>
      </c>
      <c r="W282" s="22">
        <v>15600</v>
      </c>
      <c r="X282" s="40">
        <v>8090</v>
      </c>
      <c r="Y282" s="40">
        <v>12070</v>
      </c>
      <c r="Z282" s="47">
        <v>6</v>
      </c>
      <c r="AA282" s="47">
        <v>6</v>
      </c>
    </row>
    <row r="283" spans="1:27" ht="15.75" customHeight="1" x14ac:dyDescent="0.3">
      <c r="A283" s="96"/>
      <c r="B283" s="96"/>
      <c r="C283" s="30" t="s">
        <v>128</v>
      </c>
      <c r="D283" s="16">
        <v>26108.74</v>
      </c>
      <c r="E283" s="16">
        <v>25788.79</v>
      </c>
      <c r="F283" s="16">
        <v>25862.46</v>
      </c>
      <c r="G283" s="16">
        <v>25717.77</v>
      </c>
      <c r="H283" s="16">
        <v>25921.47</v>
      </c>
      <c r="I283" s="16">
        <v>26120.6</v>
      </c>
      <c r="J283" s="16">
        <v>25905.88</v>
      </c>
      <c r="K283" s="16">
        <v>25677</v>
      </c>
      <c r="L283" s="16">
        <v>25835.95</v>
      </c>
      <c r="M283" s="31"/>
      <c r="N283" s="31"/>
      <c r="O283" s="31"/>
      <c r="P283" s="31"/>
      <c r="Q283" s="31"/>
      <c r="R283" s="32"/>
      <c r="S283" s="33"/>
      <c r="T283" s="56"/>
      <c r="V283" s="48"/>
      <c r="W283" s="48"/>
      <c r="X283" s="49"/>
      <c r="Y283" s="49"/>
      <c r="Z283" s="50"/>
      <c r="AA283" s="50"/>
    </row>
    <row r="284" spans="1:27" ht="16.5" customHeight="1" thickBot="1" x14ac:dyDescent="0.35">
      <c r="A284" s="96"/>
      <c r="B284" s="96"/>
      <c r="C284" s="34" t="s">
        <v>129</v>
      </c>
      <c r="D284" s="35">
        <f t="shared" ref="D284:L284" si="90">IF(((D282="")*AND(D283="")),"",(D282-D283)*3)</f>
        <v>10409.279999999995</v>
      </c>
      <c r="E284" s="35">
        <f t="shared" si="90"/>
        <v>10836.779999999995</v>
      </c>
      <c r="F284" s="35">
        <f t="shared" si="90"/>
        <v>10773.75</v>
      </c>
      <c r="G284" s="35">
        <f t="shared" si="90"/>
        <v>11004.239999999994</v>
      </c>
      <c r="H284" s="35">
        <f t="shared" si="90"/>
        <v>10929.330000000002</v>
      </c>
      <c r="I284" s="35">
        <f t="shared" si="90"/>
        <v>10137.75</v>
      </c>
      <c r="J284" s="35">
        <f t="shared" si="90"/>
        <v>10401.719999999994</v>
      </c>
      <c r="K284" s="35">
        <f t="shared" si="90"/>
        <v>11139.870000000003</v>
      </c>
      <c r="L284" s="35">
        <f t="shared" si="90"/>
        <v>11356.919999999998</v>
      </c>
      <c r="M284" s="36"/>
      <c r="N284" s="36"/>
      <c r="O284" s="36"/>
      <c r="P284" s="36"/>
      <c r="Q284" s="36"/>
      <c r="R284" s="37"/>
      <c r="S284" s="38"/>
      <c r="T284" s="57"/>
      <c r="U284" s="52"/>
      <c r="V284" s="51"/>
      <c r="W284" s="51"/>
      <c r="X284" s="52"/>
      <c r="Y284" s="52"/>
      <c r="Z284" s="53"/>
      <c r="AA284" s="53"/>
    </row>
    <row r="285" spans="1:27" x14ac:dyDescent="0.3">
      <c r="A285" s="97">
        <v>43076</v>
      </c>
      <c r="B285" s="117" t="s">
        <v>431</v>
      </c>
      <c r="C285" s="26" t="s">
        <v>126</v>
      </c>
      <c r="D285" s="16">
        <v>29293.75</v>
      </c>
      <c r="E285" s="16">
        <v>29155.54</v>
      </c>
      <c r="F285" s="16">
        <v>29221.919999999998</v>
      </c>
      <c r="G285" s="16">
        <v>29132.32</v>
      </c>
      <c r="H285" s="16">
        <v>29337.77</v>
      </c>
      <c r="I285" s="16">
        <v>29290.81</v>
      </c>
      <c r="J285" s="16">
        <v>29136.51</v>
      </c>
      <c r="K285" s="16">
        <v>29153.5</v>
      </c>
      <c r="L285" s="16">
        <v>29357.98</v>
      </c>
      <c r="M285" s="27">
        <f>IF((L286=""),"",MAX(D287:L287))</f>
        <v>10269.990000000005</v>
      </c>
      <c r="N285" s="27">
        <f>IF(L286="","",MIN(D287:L287))</f>
        <v>8964.6899999999987</v>
      </c>
      <c r="O285" s="27">
        <f>IF((L287=""),"",AVERAGE(D287:L287))</f>
        <v>9582.19</v>
      </c>
      <c r="P285" s="27">
        <f>IF((L286=""),"",STDEV(D287:L287))</f>
        <v>421.13773604962296</v>
      </c>
      <c r="Q285" s="27">
        <f>IF((L286=""),"",P285/O285*100)</f>
        <v>4.3950050672093006</v>
      </c>
      <c r="R285" s="28" t="str">
        <f>IF(L286="","",IF(Q285&lt;Z285,IF(N285&gt;V285,IF(M285&lt;W285,"Pass","Fail"),"Fail"),"Fail"))</f>
        <v>Fail</v>
      </c>
      <c r="S285" s="29">
        <v>103</v>
      </c>
      <c r="T285" s="55"/>
      <c r="U285" s="40"/>
      <c r="V285" s="54">
        <v>9000</v>
      </c>
      <c r="W285" s="22">
        <v>15600</v>
      </c>
      <c r="X285" s="40">
        <v>8090</v>
      </c>
      <c r="Y285" s="40">
        <v>12070</v>
      </c>
      <c r="Z285" s="47">
        <v>6</v>
      </c>
      <c r="AA285" s="47">
        <v>6</v>
      </c>
    </row>
    <row r="286" spans="1:27" ht="15.75" customHeight="1" x14ac:dyDescent="0.3">
      <c r="A286" s="96"/>
      <c r="B286" s="96"/>
      <c r="C286" s="30" t="s">
        <v>128</v>
      </c>
      <c r="D286" s="16">
        <v>26045.75</v>
      </c>
      <c r="E286" s="16">
        <v>25875.62</v>
      </c>
      <c r="F286" s="16">
        <v>26026.3</v>
      </c>
      <c r="G286" s="16">
        <v>25967.08</v>
      </c>
      <c r="H286" s="16">
        <v>26349.54</v>
      </c>
      <c r="I286" s="16">
        <v>25867.48</v>
      </c>
      <c r="J286" s="16">
        <v>25817.17</v>
      </c>
      <c r="K286" s="16">
        <v>26060.14</v>
      </c>
      <c r="L286" s="16">
        <v>26324.45</v>
      </c>
      <c r="M286" s="31"/>
      <c r="N286" s="31"/>
      <c r="O286" s="31"/>
      <c r="P286" s="31"/>
      <c r="Q286" s="31"/>
      <c r="R286" s="32"/>
      <c r="S286" s="33"/>
      <c r="T286" s="56"/>
      <c r="V286" s="48"/>
      <c r="W286" s="48"/>
      <c r="X286" s="49"/>
      <c r="Y286" s="49"/>
      <c r="Z286" s="50"/>
      <c r="AA286" s="50"/>
    </row>
    <row r="287" spans="1:27" ht="16.5" customHeight="1" thickBot="1" x14ac:dyDescent="0.35">
      <c r="A287" s="96"/>
      <c r="B287" s="96"/>
      <c r="C287" s="34" t="s">
        <v>129</v>
      </c>
      <c r="D287" s="35">
        <f t="shared" ref="D287:L287" si="91">IF(((D285="")*AND(D286="")),"",(D285-D286)*3)</f>
        <v>9744</v>
      </c>
      <c r="E287" s="35">
        <f t="shared" si="91"/>
        <v>9839.7600000000057</v>
      </c>
      <c r="F287" s="35">
        <f t="shared" si="91"/>
        <v>9586.8599999999969</v>
      </c>
      <c r="G287" s="35">
        <f t="shared" si="91"/>
        <v>9495.7199999999939</v>
      </c>
      <c r="H287" s="35">
        <f t="shared" si="91"/>
        <v>8964.6899999999987</v>
      </c>
      <c r="I287" s="35">
        <f t="shared" si="91"/>
        <v>10269.990000000005</v>
      </c>
      <c r="J287" s="35">
        <f t="shared" si="91"/>
        <v>9958.02</v>
      </c>
      <c r="K287" s="35">
        <f t="shared" si="91"/>
        <v>9280.0800000000017</v>
      </c>
      <c r="L287" s="35">
        <f t="shared" si="91"/>
        <v>9100.5899999999965</v>
      </c>
      <c r="M287" s="36"/>
      <c r="N287" s="36"/>
      <c r="O287" s="36"/>
      <c r="P287" s="36"/>
      <c r="Q287" s="36"/>
      <c r="R287" s="37"/>
      <c r="S287" s="38"/>
      <c r="T287" s="57"/>
      <c r="U287" s="52"/>
      <c r="V287" s="51"/>
      <c r="W287" s="51"/>
      <c r="X287" s="52"/>
      <c r="Y287" s="52"/>
      <c r="Z287" s="53"/>
      <c r="AA287" s="53"/>
    </row>
    <row r="288" spans="1:27" x14ac:dyDescent="0.3">
      <c r="A288" s="97">
        <v>43081</v>
      </c>
      <c r="B288" s="117" t="s">
        <v>431</v>
      </c>
      <c r="C288" s="26" t="s">
        <v>126</v>
      </c>
      <c r="D288" s="16">
        <v>29323.21</v>
      </c>
      <c r="E288" s="16">
        <v>29152.19</v>
      </c>
      <c r="F288" s="16">
        <v>29214.82</v>
      </c>
      <c r="G288" s="16">
        <v>29166.43</v>
      </c>
      <c r="H288" s="16">
        <v>29424.36</v>
      </c>
      <c r="I288" s="16">
        <v>29306.86</v>
      </c>
      <c r="J288" s="16">
        <v>29148.94</v>
      </c>
      <c r="K288" s="16">
        <v>29155.27</v>
      </c>
      <c r="L288" s="16">
        <v>29393.21</v>
      </c>
      <c r="M288" s="27">
        <f>IF((L289=""),"",MAX(D290:L290))</f>
        <v>10146.899999999998</v>
      </c>
      <c r="N288" s="27">
        <f>IF(L289="","",MIN(D290:L290))</f>
        <v>8952.2099999999991</v>
      </c>
      <c r="O288" s="27">
        <f>IF((L290=""),"",AVERAGE(D290:L290))</f>
        <v>9461.5566666666637</v>
      </c>
      <c r="P288" s="27">
        <f>IF((L289=""),"",STDEV(D290:L290))</f>
        <v>407.13488532671823</v>
      </c>
      <c r="Q288" s="27">
        <f>IF((L289=""),"",P288/O288*100)</f>
        <v>4.3030433539659088</v>
      </c>
      <c r="R288" s="28" t="str">
        <f>IF(L289="","",IF(Q288&lt;Z288,IF(N288&gt;V288,IF(M288&lt;W288,"Pass","Fail"),"Fail"),"Fail"))</f>
        <v>Fail</v>
      </c>
      <c r="S288" s="29">
        <v>1159</v>
      </c>
      <c r="T288" s="16"/>
      <c r="U288" s="55" t="s">
        <v>188</v>
      </c>
      <c r="V288" s="54">
        <v>9000</v>
      </c>
      <c r="W288" s="22">
        <v>15600</v>
      </c>
      <c r="X288" s="40">
        <v>8090</v>
      </c>
      <c r="Y288" s="40">
        <v>12070</v>
      </c>
      <c r="Z288" s="47">
        <v>6</v>
      </c>
      <c r="AA288" s="47">
        <v>6</v>
      </c>
    </row>
    <row r="289" spans="1:27" ht="15.75" customHeight="1" x14ac:dyDescent="0.3">
      <c r="A289" s="96"/>
      <c r="B289" s="96"/>
      <c r="C289" s="30" t="s">
        <v>128</v>
      </c>
      <c r="D289" s="16">
        <v>26339.14</v>
      </c>
      <c r="E289" s="16">
        <v>26018.49</v>
      </c>
      <c r="F289" s="16">
        <v>26084.11</v>
      </c>
      <c r="G289" s="16">
        <v>25938.02</v>
      </c>
      <c r="H289" s="16">
        <v>26209.06</v>
      </c>
      <c r="I289" s="16">
        <v>26309.97</v>
      </c>
      <c r="J289" s="16">
        <v>26117.59</v>
      </c>
      <c r="K289" s="16">
        <v>25873.33</v>
      </c>
      <c r="L289" s="16">
        <v>26010.91</v>
      </c>
      <c r="M289" s="31"/>
      <c r="N289" s="31"/>
      <c r="O289" s="31"/>
      <c r="P289" s="31"/>
      <c r="Q289" s="31"/>
      <c r="R289" s="32"/>
      <c r="S289" s="33"/>
      <c r="T289" s="56"/>
      <c r="V289" s="48"/>
      <c r="W289" s="48"/>
      <c r="X289" s="49"/>
      <c r="Y289" s="49"/>
      <c r="Z289" s="50"/>
      <c r="AA289" s="50"/>
    </row>
    <row r="290" spans="1:27" ht="16.5" customHeight="1" thickBot="1" x14ac:dyDescent="0.35">
      <c r="A290" s="96"/>
      <c r="B290" s="96"/>
      <c r="C290" s="34" t="s">
        <v>129</v>
      </c>
      <c r="D290" s="35">
        <f t="shared" ref="D290:L290" si="92">IF(((D288="")*AND(D289="")),"",(D288-D289)*3)</f>
        <v>8952.2099999999991</v>
      </c>
      <c r="E290" s="35">
        <f t="shared" si="92"/>
        <v>9401.0999999999913</v>
      </c>
      <c r="F290" s="35">
        <f t="shared" si="92"/>
        <v>9392.1299999999974</v>
      </c>
      <c r="G290" s="35">
        <f t="shared" si="92"/>
        <v>9685.23</v>
      </c>
      <c r="H290" s="35">
        <f t="shared" si="92"/>
        <v>9645.8999999999978</v>
      </c>
      <c r="I290" s="35">
        <f t="shared" si="92"/>
        <v>8990.6699999999983</v>
      </c>
      <c r="J290" s="35">
        <f t="shared" si="92"/>
        <v>9094.0499999999956</v>
      </c>
      <c r="K290" s="35">
        <f t="shared" si="92"/>
        <v>9845.8199999999961</v>
      </c>
      <c r="L290" s="35">
        <f t="shared" si="92"/>
        <v>10146.899999999998</v>
      </c>
      <c r="M290" s="36"/>
      <c r="N290" s="36"/>
      <c r="O290" s="36"/>
      <c r="P290" s="36"/>
      <c r="Q290" s="36"/>
      <c r="R290" s="37"/>
      <c r="S290" s="38"/>
      <c r="T290" s="57"/>
      <c r="U290" s="52"/>
      <c r="V290" s="51"/>
      <c r="W290" s="51"/>
      <c r="X290" s="52"/>
      <c r="Y290" s="52"/>
      <c r="Z290" s="53"/>
      <c r="AA290" s="53"/>
    </row>
    <row r="291" spans="1:27" x14ac:dyDescent="0.3">
      <c r="A291" s="97">
        <v>43085</v>
      </c>
      <c r="B291" s="117" t="s">
        <v>431</v>
      </c>
      <c r="C291" s="26" t="s">
        <v>126</v>
      </c>
      <c r="D291" s="16">
        <v>29325.98</v>
      </c>
      <c r="E291" s="16">
        <v>29133.78</v>
      </c>
      <c r="F291" s="16">
        <v>29141.88</v>
      </c>
      <c r="G291" s="16">
        <v>29143.09</v>
      </c>
      <c r="H291" s="16">
        <v>29366.18</v>
      </c>
      <c r="I291" s="16">
        <v>29278.87</v>
      </c>
      <c r="J291" s="16">
        <v>29119.93</v>
      </c>
      <c r="K291" s="16">
        <v>29126.959999999999</v>
      </c>
      <c r="L291" s="16">
        <v>29377.759999999998</v>
      </c>
      <c r="M291" s="27">
        <f>IF((L292=""),"",MAX(D293:L293))</f>
        <v>10506.299999999996</v>
      </c>
      <c r="N291" s="27">
        <f>IF(L292="","",MIN(D293:L293))</f>
        <v>9322.7099999999991</v>
      </c>
      <c r="O291" s="27">
        <f>IF((L293=""),"",AVERAGE(D293:L293))</f>
        <v>9907.5166666666664</v>
      </c>
      <c r="P291" s="27">
        <f>IF((L292=""),"",STDEV(D293:L293))</f>
        <v>400.66541643246291</v>
      </c>
      <c r="Q291" s="27">
        <f>IF((L292=""),"",P291/O291*100)</f>
        <v>4.0440549323573816</v>
      </c>
      <c r="R291" s="28" t="str">
        <f>IF(L292="","",IF(Q291&lt;Z291,IF(N291&gt;V291,IF(M291&lt;W291,"Pass","Fail"),"Fail"),"Fail"))</f>
        <v>Pass</v>
      </c>
      <c r="S291" s="29">
        <v>121</v>
      </c>
      <c r="T291" s="55"/>
      <c r="U291" s="40"/>
      <c r="V291" s="54">
        <v>9000</v>
      </c>
      <c r="W291" s="22">
        <v>15600</v>
      </c>
      <c r="X291" s="40">
        <v>8090</v>
      </c>
      <c r="Y291" s="40">
        <v>12070</v>
      </c>
      <c r="Z291" s="47">
        <v>6</v>
      </c>
      <c r="AA291" s="47">
        <v>6</v>
      </c>
    </row>
    <row r="292" spans="1:27" ht="15.75" customHeight="1" x14ac:dyDescent="0.3">
      <c r="A292" s="96"/>
      <c r="B292" s="96"/>
      <c r="C292" s="30" t="s">
        <v>128</v>
      </c>
      <c r="D292" s="16">
        <v>26190.62</v>
      </c>
      <c r="E292" s="16">
        <v>25838.81</v>
      </c>
      <c r="F292" s="16">
        <v>25836.54</v>
      </c>
      <c r="G292" s="16">
        <v>25755.71</v>
      </c>
      <c r="H292" s="16">
        <v>26000.959999999999</v>
      </c>
      <c r="I292" s="16">
        <v>26171.3</v>
      </c>
      <c r="J292" s="16">
        <v>25920.6</v>
      </c>
      <c r="K292" s="16">
        <v>25701.68</v>
      </c>
      <c r="L292" s="16">
        <v>25875.66</v>
      </c>
      <c r="M292" s="31"/>
      <c r="N292" s="31"/>
      <c r="O292" s="31"/>
      <c r="P292" s="31"/>
      <c r="Q292" s="31"/>
      <c r="R292" s="32"/>
      <c r="S292" s="33"/>
      <c r="T292" s="56"/>
      <c r="V292" s="48"/>
      <c r="W292" s="48"/>
      <c r="X292" s="49"/>
      <c r="Y292" s="49"/>
      <c r="Z292" s="50"/>
      <c r="AA292" s="50"/>
    </row>
    <row r="293" spans="1:27" ht="16.5" customHeight="1" thickBot="1" x14ac:dyDescent="0.35">
      <c r="A293" s="96"/>
      <c r="B293" s="96"/>
      <c r="C293" s="34" t="s">
        <v>129</v>
      </c>
      <c r="D293" s="35">
        <f t="shared" ref="D293:L293" si="93">IF(((D291="")*AND(D292="")),"",(D291-D292)*3)</f>
        <v>9406.0800000000017</v>
      </c>
      <c r="E293" s="35">
        <f t="shared" si="93"/>
        <v>9884.9099999999926</v>
      </c>
      <c r="F293" s="35">
        <f t="shared" si="93"/>
        <v>9916.02</v>
      </c>
      <c r="G293" s="35">
        <f t="shared" si="93"/>
        <v>10162.140000000003</v>
      </c>
      <c r="H293" s="35">
        <f t="shared" si="93"/>
        <v>10095.660000000003</v>
      </c>
      <c r="I293" s="35">
        <f t="shared" si="93"/>
        <v>9322.7099999999991</v>
      </c>
      <c r="J293" s="35">
        <f t="shared" si="93"/>
        <v>9597.9900000000052</v>
      </c>
      <c r="K293" s="35">
        <f t="shared" si="93"/>
        <v>10275.839999999997</v>
      </c>
      <c r="L293" s="35">
        <f t="shared" si="93"/>
        <v>10506.299999999996</v>
      </c>
      <c r="M293" s="36"/>
      <c r="N293" s="36"/>
      <c r="O293" s="36"/>
      <c r="P293" s="36"/>
      <c r="Q293" s="36"/>
      <c r="R293" s="37"/>
      <c r="S293" s="38"/>
      <c r="T293" s="57"/>
      <c r="U293" s="52"/>
      <c r="V293" s="51"/>
      <c r="W293" s="51"/>
      <c r="X293" s="52"/>
      <c r="Y293" s="52"/>
      <c r="Z293" s="53"/>
      <c r="AA293" s="53"/>
    </row>
    <row r="294" spans="1:27" x14ac:dyDescent="0.3">
      <c r="A294" s="97">
        <v>43090</v>
      </c>
      <c r="B294" s="117" t="s">
        <v>431</v>
      </c>
      <c r="C294" s="26" t="s">
        <v>126</v>
      </c>
      <c r="D294" s="16">
        <v>29238.75</v>
      </c>
      <c r="E294" s="16">
        <v>29107.59</v>
      </c>
      <c r="F294" s="16">
        <v>29151.279999999999</v>
      </c>
      <c r="G294" s="16">
        <v>29107.74</v>
      </c>
      <c r="H294" s="16">
        <v>29324.75</v>
      </c>
      <c r="I294" s="16">
        <v>29256.23</v>
      </c>
      <c r="J294" s="16">
        <v>29085.84</v>
      </c>
      <c r="K294" s="16">
        <v>29108.35</v>
      </c>
      <c r="L294" s="16">
        <v>29338.45</v>
      </c>
      <c r="M294" s="27">
        <f>IF((L295=""),"",MAX(D296:L296))</f>
        <v>9914.4900000000052</v>
      </c>
      <c r="N294" s="27">
        <f>IF(L295="","",MIN(D296:L296))</f>
        <v>8688.8999999999978</v>
      </c>
      <c r="O294" s="27">
        <f>IF((L296=""),"",AVERAGE(D296:L296))</f>
        <v>9207.0999999999985</v>
      </c>
      <c r="P294" s="27">
        <f>IF((L295=""),"",STDEV(D296:L296))</f>
        <v>416.09883173953028</v>
      </c>
      <c r="Q294" s="27">
        <f>IF((L295=""),"",P294/O294*100)</f>
        <v>4.5193256480273956</v>
      </c>
      <c r="R294" s="28" t="str">
        <f>IF(L295="","",IF(Q294&lt;Z294,IF(N294&gt;V294,IF(M294&lt;W294,"Pass","Fail"),"Fail"),"Fail"))</f>
        <v>Fail</v>
      </c>
      <c r="S294" s="29">
        <v>1335</v>
      </c>
      <c r="T294" s="55"/>
      <c r="U294" s="40"/>
      <c r="V294" s="54">
        <v>9000</v>
      </c>
      <c r="W294" s="22">
        <v>15600</v>
      </c>
      <c r="X294" s="40">
        <v>8090</v>
      </c>
      <c r="Y294" s="40">
        <v>12070</v>
      </c>
      <c r="Z294" s="47">
        <v>6</v>
      </c>
      <c r="AA294" s="47">
        <v>6</v>
      </c>
    </row>
    <row r="295" spans="1:27" ht="15.75" customHeight="1" x14ac:dyDescent="0.3">
      <c r="A295" s="96"/>
      <c r="B295" s="96"/>
      <c r="C295" s="30" t="s">
        <v>128</v>
      </c>
      <c r="D295" s="16">
        <v>26327.81</v>
      </c>
      <c r="E295" s="16">
        <v>26030.959999999999</v>
      </c>
      <c r="F295" s="16">
        <v>26093.119999999999</v>
      </c>
      <c r="G295" s="16">
        <v>25969.119999999999</v>
      </c>
      <c r="H295" s="16">
        <v>26245.45</v>
      </c>
      <c r="I295" s="16">
        <v>26359.93</v>
      </c>
      <c r="J295" s="16">
        <v>26145.74</v>
      </c>
      <c r="K295" s="16">
        <v>25891.93</v>
      </c>
      <c r="L295" s="16">
        <v>26033.62</v>
      </c>
      <c r="M295" s="31"/>
      <c r="N295" s="31"/>
      <c r="O295" s="31"/>
      <c r="P295" s="31"/>
      <c r="Q295" s="31"/>
      <c r="R295" s="32"/>
      <c r="S295" s="33"/>
      <c r="T295" s="56"/>
      <c r="V295" s="48"/>
      <c r="W295" s="48"/>
      <c r="X295" s="49"/>
      <c r="Y295" s="49"/>
      <c r="Z295" s="50"/>
      <c r="AA295" s="50"/>
    </row>
    <row r="296" spans="1:27" ht="16.5" customHeight="1" thickBot="1" x14ac:dyDescent="0.35">
      <c r="A296" s="96"/>
      <c r="B296" s="96"/>
      <c r="C296" s="34" t="s">
        <v>129</v>
      </c>
      <c r="D296" s="35">
        <f t="shared" ref="D296:L296" si="94">IF(((D294="")*AND(D295="")),"",(D294-D295)*3)</f>
        <v>8732.8199999999961</v>
      </c>
      <c r="E296" s="35">
        <f t="shared" si="94"/>
        <v>9229.8900000000031</v>
      </c>
      <c r="F296" s="35">
        <f t="shared" si="94"/>
        <v>9174.48</v>
      </c>
      <c r="G296" s="35">
        <f t="shared" si="94"/>
        <v>9415.8600000000079</v>
      </c>
      <c r="H296" s="35">
        <f t="shared" si="94"/>
        <v>9237.8999999999978</v>
      </c>
      <c r="I296" s="35">
        <f t="shared" si="94"/>
        <v>8688.8999999999978</v>
      </c>
      <c r="J296" s="35">
        <f t="shared" si="94"/>
        <v>8820.2999999999956</v>
      </c>
      <c r="K296" s="35">
        <f t="shared" si="94"/>
        <v>9649.2599999999948</v>
      </c>
      <c r="L296" s="35">
        <f t="shared" si="94"/>
        <v>9914.4900000000052</v>
      </c>
      <c r="M296" s="36"/>
      <c r="N296" s="36"/>
      <c r="O296" s="36"/>
      <c r="P296" s="36"/>
      <c r="Q296" s="36"/>
      <c r="R296" s="37"/>
      <c r="S296" s="38"/>
      <c r="T296" s="57"/>
      <c r="U296" s="52"/>
      <c r="V296" s="51"/>
      <c r="W296" s="51"/>
      <c r="X296" s="52"/>
      <c r="Y296" s="52"/>
      <c r="Z296" s="53"/>
      <c r="AA296" s="53"/>
    </row>
    <row r="297" spans="1:27" x14ac:dyDescent="0.3">
      <c r="A297" s="97">
        <v>43095</v>
      </c>
      <c r="B297" s="117" t="s">
        <v>431</v>
      </c>
      <c r="C297" s="26" t="s">
        <v>126</v>
      </c>
      <c r="D297" s="16">
        <v>29230.720000000001</v>
      </c>
      <c r="E297" s="16">
        <v>29037.31</v>
      </c>
      <c r="F297" s="16">
        <v>29037.13</v>
      </c>
      <c r="G297" s="16">
        <v>29025.67</v>
      </c>
      <c r="H297" s="16">
        <v>29268.26</v>
      </c>
      <c r="I297" s="16">
        <v>29214.71</v>
      </c>
      <c r="J297" s="16">
        <v>29017.8</v>
      </c>
      <c r="K297" s="16">
        <v>29029.8</v>
      </c>
      <c r="L297" s="16">
        <v>29291.59</v>
      </c>
      <c r="M297" s="27">
        <f>IF((L298=""),"",MAX(D299:L299))</f>
        <v>10321.560000000001</v>
      </c>
      <c r="N297" s="27">
        <f>IF(L298="","",MIN(D299:L299))</f>
        <v>9269.5499999999956</v>
      </c>
      <c r="O297" s="27">
        <f>IF((L299=""),"",AVERAGE(D299:L299))</f>
        <v>9858.4800000000032</v>
      </c>
      <c r="P297" s="27">
        <f>IF((L298=""),"",STDEV(D299:L299))</f>
        <v>348.59115995676251</v>
      </c>
      <c r="Q297" s="27">
        <f>IF((L298=""),"",P297/O297*100)</f>
        <v>3.5359523979027441</v>
      </c>
      <c r="R297" s="28" t="str">
        <f>IF(L298="","",IF(Q297&lt;Z297,IF(N297&gt;V297,IF(M297&lt;W297,"Pass","Fail"),"Fail"),"Fail"))</f>
        <v>Pass</v>
      </c>
      <c r="S297" s="29">
        <v>64</v>
      </c>
      <c r="T297" s="55"/>
      <c r="U297" s="40"/>
      <c r="V297" s="54">
        <v>9000</v>
      </c>
      <c r="W297" s="22">
        <v>15600</v>
      </c>
      <c r="X297" s="40">
        <v>8090</v>
      </c>
      <c r="Y297" s="40">
        <v>12070</v>
      </c>
      <c r="Z297" s="47">
        <v>6</v>
      </c>
      <c r="AA297" s="47">
        <v>6</v>
      </c>
    </row>
    <row r="298" spans="1:27" ht="15.75" customHeight="1" x14ac:dyDescent="0.3">
      <c r="A298" s="96"/>
      <c r="B298" s="96"/>
      <c r="C298" s="30" t="s">
        <v>128</v>
      </c>
      <c r="D298" s="16">
        <v>25903.43</v>
      </c>
      <c r="E298" s="16">
        <v>25659.51</v>
      </c>
      <c r="F298" s="16">
        <v>25744.42</v>
      </c>
      <c r="G298" s="16">
        <v>25739.59</v>
      </c>
      <c r="H298" s="16">
        <v>26178.41</v>
      </c>
      <c r="I298" s="16">
        <v>25774.19</v>
      </c>
      <c r="J298" s="16">
        <v>25621.1</v>
      </c>
      <c r="K298" s="16">
        <v>25818.39</v>
      </c>
      <c r="L298" s="16">
        <v>26138.51</v>
      </c>
      <c r="M298" s="31"/>
      <c r="N298" s="31"/>
      <c r="O298" s="31"/>
      <c r="P298" s="31"/>
      <c r="Q298" s="31"/>
      <c r="R298" s="32"/>
      <c r="S298" s="33"/>
      <c r="T298" s="56"/>
      <c r="V298" s="48"/>
      <c r="W298" s="48"/>
      <c r="X298" s="49"/>
      <c r="Y298" s="49"/>
      <c r="Z298" s="50"/>
      <c r="AA298" s="50"/>
    </row>
    <row r="299" spans="1:27" ht="16.5" customHeight="1" thickBot="1" x14ac:dyDescent="0.35">
      <c r="A299" s="96"/>
      <c r="B299" s="96"/>
      <c r="C299" s="34" t="s">
        <v>129</v>
      </c>
      <c r="D299" s="35">
        <f t="shared" ref="D299:L299" si="95">IF(((D297="")*AND(D298="")),"",(D297-D298)*3)</f>
        <v>9981.8700000000026</v>
      </c>
      <c r="E299" s="35">
        <f t="shared" si="95"/>
        <v>10133.400000000009</v>
      </c>
      <c r="F299" s="35">
        <f t="shared" si="95"/>
        <v>9878.1300000000083</v>
      </c>
      <c r="G299" s="35">
        <f t="shared" si="95"/>
        <v>9858.2399999999943</v>
      </c>
      <c r="H299" s="35">
        <f t="shared" si="95"/>
        <v>9269.5499999999956</v>
      </c>
      <c r="I299" s="35">
        <f t="shared" si="95"/>
        <v>10321.560000000001</v>
      </c>
      <c r="J299" s="35">
        <f t="shared" si="95"/>
        <v>10190.100000000002</v>
      </c>
      <c r="K299" s="35">
        <f t="shared" si="95"/>
        <v>9634.23</v>
      </c>
      <c r="L299" s="35">
        <f t="shared" si="95"/>
        <v>9459.2400000000052</v>
      </c>
      <c r="M299" s="36"/>
      <c r="N299" s="36"/>
      <c r="O299" s="36"/>
      <c r="P299" s="36"/>
      <c r="Q299" s="36"/>
      <c r="R299" s="37"/>
      <c r="S299" s="38"/>
      <c r="T299" s="57"/>
      <c r="U299" s="52"/>
      <c r="V299" s="51"/>
      <c r="W299" s="51"/>
      <c r="X299" s="52"/>
      <c r="Y299" s="52"/>
      <c r="Z299" s="53"/>
      <c r="AA299" s="53"/>
    </row>
    <row r="300" spans="1:27" x14ac:dyDescent="0.3">
      <c r="A300" s="97">
        <v>43097</v>
      </c>
      <c r="B300" s="117" t="s">
        <v>431</v>
      </c>
      <c r="C300" s="26" t="s">
        <v>126</v>
      </c>
      <c r="D300" s="16">
        <v>29234.639999999999</v>
      </c>
      <c r="E300" s="16">
        <v>29022.68</v>
      </c>
      <c r="F300" s="16">
        <v>29021.5</v>
      </c>
      <c r="G300" s="16">
        <v>29011.38</v>
      </c>
      <c r="H300" s="16">
        <v>29246.87</v>
      </c>
      <c r="I300" s="16">
        <v>29191.8</v>
      </c>
      <c r="J300" s="16">
        <v>29016.19</v>
      </c>
      <c r="K300" s="16">
        <v>29020.25</v>
      </c>
      <c r="L300" s="16">
        <v>29249.9</v>
      </c>
      <c r="M300" s="27">
        <f>IF((L301=""),"",MAX(D302:L302))</f>
        <v>8546.2200000000048</v>
      </c>
      <c r="N300" s="27">
        <f>IF(L301="","",MIN(D302:L302))</f>
        <v>7361.4599999999991</v>
      </c>
      <c r="O300" s="27">
        <f>IF((L302=""),"",AVERAGE(D302:L302))</f>
        <v>7819.8899999999976</v>
      </c>
      <c r="P300" s="27">
        <f>IF((L301=""),"",STDEV(D302:L302))</f>
        <v>389.29632672297646</v>
      </c>
      <c r="Q300" s="27">
        <f>IF((L301=""),"",P300/O300*100)</f>
        <v>4.9782839237249705</v>
      </c>
      <c r="R300" s="28" t="str">
        <f>IF(L301="","",IF(Q300&lt;Z300,IF(N300&gt;V300,IF(M300&lt;W300,"Pass","Fail"),"Fail"),"Fail"))</f>
        <v>Fail</v>
      </c>
      <c r="S300" s="29">
        <v>64</v>
      </c>
      <c r="T300" s="55"/>
      <c r="U300" s="40"/>
      <c r="V300" s="54">
        <v>9000</v>
      </c>
      <c r="W300" s="22">
        <v>15600</v>
      </c>
      <c r="X300" s="40">
        <v>8090</v>
      </c>
      <c r="Y300" s="40">
        <v>12070</v>
      </c>
      <c r="Z300" s="47">
        <v>6</v>
      </c>
      <c r="AA300" s="47">
        <v>6</v>
      </c>
    </row>
    <row r="301" spans="1:27" ht="15.75" customHeight="1" x14ac:dyDescent="0.3">
      <c r="A301" s="96"/>
      <c r="B301" s="96"/>
      <c r="C301" s="30" t="s">
        <v>128</v>
      </c>
      <c r="D301" s="16">
        <v>26704.560000000001</v>
      </c>
      <c r="E301" s="16">
        <v>26389.55</v>
      </c>
      <c r="F301" s="16">
        <v>26466.13</v>
      </c>
      <c r="G301" s="16">
        <v>26377.59</v>
      </c>
      <c r="H301" s="16">
        <v>26645.8</v>
      </c>
      <c r="I301" s="16">
        <v>26737.98</v>
      </c>
      <c r="J301" s="16">
        <v>26560.54</v>
      </c>
      <c r="K301" s="16">
        <v>26272.23</v>
      </c>
      <c r="L301" s="16">
        <v>26401.16</v>
      </c>
      <c r="M301" s="31"/>
      <c r="N301" s="31"/>
      <c r="O301" s="31"/>
      <c r="P301" s="31"/>
      <c r="Q301" s="31"/>
      <c r="R301" s="32"/>
      <c r="S301" s="33"/>
      <c r="T301" s="56"/>
      <c r="V301" s="48"/>
      <c r="W301" s="48"/>
      <c r="X301" s="49"/>
      <c r="Y301" s="49"/>
      <c r="Z301" s="50"/>
      <c r="AA301" s="50"/>
    </row>
    <row r="302" spans="1:27" ht="16.5" customHeight="1" thickBot="1" x14ac:dyDescent="0.35">
      <c r="A302" s="96"/>
      <c r="B302" s="96"/>
      <c r="C302" s="34" t="s">
        <v>129</v>
      </c>
      <c r="D302" s="35">
        <f t="shared" ref="D302:L302" si="96">IF(((D300="")*AND(D301="")),"",(D300-D301)*3)</f>
        <v>7590.2399999999943</v>
      </c>
      <c r="E302" s="35">
        <f t="shared" si="96"/>
        <v>7899.3900000000031</v>
      </c>
      <c r="F302" s="35">
        <f t="shared" si="96"/>
        <v>7666.1099999999969</v>
      </c>
      <c r="G302" s="35">
        <f t="shared" si="96"/>
        <v>7901.3700000000026</v>
      </c>
      <c r="H302" s="35">
        <f t="shared" si="96"/>
        <v>7803.2099999999991</v>
      </c>
      <c r="I302" s="35">
        <f t="shared" si="96"/>
        <v>7361.4599999999991</v>
      </c>
      <c r="J302" s="35">
        <f t="shared" si="96"/>
        <v>7366.9499999999935</v>
      </c>
      <c r="K302" s="35">
        <f t="shared" si="96"/>
        <v>8244.0600000000013</v>
      </c>
      <c r="L302" s="35">
        <f t="shared" si="96"/>
        <v>8546.2200000000048</v>
      </c>
      <c r="M302" s="36"/>
      <c r="N302" s="36"/>
      <c r="O302" s="36"/>
      <c r="P302" s="36"/>
      <c r="Q302" s="36"/>
      <c r="R302" s="37"/>
      <c r="S302" s="38"/>
      <c r="T302" s="57"/>
      <c r="U302" s="52"/>
      <c r="V302" s="51"/>
      <c r="W302" s="51"/>
      <c r="X302" s="52"/>
      <c r="Y302" s="52"/>
      <c r="Z302" s="53"/>
      <c r="AA302" s="53"/>
    </row>
    <row r="303" spans="1:27" x14ac:dyDescent="0.3">
      <c r="A303" s="97">
        <v>43097</v>
      </c>
      <c r="B303" s="117" t="s">
        <v>431</v>
      </c>
      <c r="C303" s="26" t="s">
        <v>126</v>
      </c>
      <c r="D303" s="16">
        <v>29223.62</v>
      </c>
      <c r="E303" s="16">
        <v>29035.84</v>
      </c>
      <c r="F303" s="16">
        <v>29112.69</v>
      </c>
      <c r="G303" s="16">
        <v>29052.87</v>
      </c>
      <c r="H303" s="16">
        <v>29283.4</v>
      </c>
      <c r="I303" s="16">
        <v>29203.06</v>
      </c>
      <c r="J303" s="16">
        <v>29044.45</v>
      </c>
      <c r="K303" s="16">
        <v>29041.69</v>
      </c>
      <c r="L303" s="16">
        <v>29256.31</v>
      </c>
      <c r="M303" s="27">
        <f>IF((L304=""),"",MAX(D305:L305))</f>
        <v>11517.600000000002</v>
      </c>
      <c r="N303" s="27">
        <f>IF(L304="","",MIN(D305:L305))</f>
        <v>10264.890000000003</v>
      </c>
      <c r="O303" s="27">
        <f>IF((L305=""),"",AVERAGE(D305:L305))</f>
        <v>10873.700000000003</v>
      </c>
      <c r="P303" s="27">
        <f>IF((L304=""),"",STDEV(D305:L305))</f>
        <v>374.60821974430684</v>
      </c>
      <c r="Q303" s="27">
        <f>IF((L304=""),"",P303/O303*100)</f>
        <v>3.4450851112712946</v>
      </c>
      <c r="R303" s="28" t="str">
        <f>IF(L304="","",IF(Q303&lt;Z303,IF(N303&gt;V303,IF(M303&lt;W303,"Pass","Fail"),"Fail"),"Fail"))</f>
        <v>Pass</v>
      </c>
      <c r="S303" s="29">
        <v>64</v>
      </c>
      <c r="T303" s="55"/>
      <c r="U303" s="40"/>
      <c r="V303" s="54">
        <v>9000</v>
      </c>
      <c r="W303" s="22">
        <v>15600</v>
      </c>
      <c r="X303" s="40">
        <v>8090</v>
      </c>
      <c r="Y303" s="40">
        <v>12070</v>
      </c>
      <c r="Z303" s="47">
        <v>6</v>
      </c>
      <c r="AA303" s="47">
        <v>6</v>
      </c>
    </row>
    <row r="304" spans="1:27" ht="15.75" customHeight="1" x14ac:dyDescent="0.3">
      <c r="A304" s="96"/>
      <c r="B304" s="96"/>
      <c r="C304" s="30" t="s">
        <v>128</v>
      </c>
      <c r="D304" s="16">
        <v>25711.599999999999</v>
      </c>
      <c r="E304" s="16">
        <v>25407.67</v>
      </c>
      <c r="F304" s="16">
        <v>25472.2</v>
      </c>
      <c r="G304" s="16">
        <v>25378.23</v>
      </c>
      <c r="H304" s="16">
        <v>25649</v>
      </c>
      <c r="I304" s="16">
        <v>25781.43</v>
      </c>
      <c r="J304" s="16">
        <v>25513.39</v>
      </c>
      <c r="K304" s="16">
        <v>25302.2</v>
      </c>
      <c r="L304" s="16">
        <v>25417.11</v>
      </c>
      <c r="M304" s="31"/>
      <c r="N304" s="31"/>
      <c r="O304" s="31"/>
      <c r="P304" s="31"/>
      <c r="Q304" s="31"/>
      <c r="R304" s="32"/>
      <c r="S304" s="33"/>
      <c r="T304" s="56"/>
      <c r="V304" s="48"/>
      <c r="W304" s="48"/>
      <c r="X304" s="49"/>
      <c r="Y304" s="49"/>
      <c r="Z304" s="50"/>
      <c r="AA304" s="50"/>
    </row>
    <row r="305" spans="1:27" ht="16.5" customHeight="1" thickBot="1" x14ac:dyDescent="0.35">
      <c r="A305" s="96"/>
      <c r="B305" s="96"/>
      <c r="C305" s="34" t="s">
        <v>129</v>
      </c>
      <c r="D305" s="35">
        <f t="shared" ref="D305:L305" si="97">IF(((D303="")*AND(D304="")),"",(D303-D304)*3)</f>
        <v>10536.060000000001</v>
      </c>
      <c r="E305" s="35">
        <f t="shared" si="97"/>
        <v>10884.510000000006</v>
      </c>
      <c r="F305" s="35">
        <f t="shared" si="97"/>
        <v>10921.469999999994</v>
      </c>
      <c r="G305" s="35">
        <f t="shared" si="97"/>
        <v>11023.919999999998</v>
      </c>
      <c r="H305" s="35">
        <f t="shared" si="97"/>
        <v>10903.200000000004</v>
      </c>
      <c r="I305" s="35">
        <f t="shared" si="97"/>
        <v>10264.890000000003</v>
      </c>
      <c r="J305" s="35">
        <f t="shared" si="97"/>
        <v>10593.180000000004</v>
      </c>
      <c r="K305" s="35">
        <f t="shared" si="97"/>
        <v>11218.469999999994</v>
      </c>
      <c r="L305" s="35">
        <f t="shared" si="97"/>
        <v>11517.600000000002</v>
      </c>
      <c r="M305" s="36"/>
      <c r="N305" s="36"/>
      <c r="O305" s="36"/>
      <c r="P305" s="36"/>
      <c r="Q305" s="36"/>
      <c r="R305" s="37"/>
      <c r="S305" s="38"/>
      <c r="T305" s="57"/>
      <c r="U305" s="52"/>
      <c r="V305" s="51"/>
      <c r="W305" s="51"/>
      <c r="X305" s="52"/>
      <c r="Y305" s="52"/>
      <c r="Z305" s="53"/>
      <c r="AA305" s="53"/>
    </row>
    <row r="306" spans="1:27" x14ac:dyDescent="0.3">
      <c r="A306" s="97">
        <v>43099</v>
      </c>
      <c r="B306" s="117" t="s">
        <v>431</v>
      </c>
      <c r="C306" s="26" t="s">
        <v>126</v>
      </c>
      <c r="D306" s="16">
        <v>29226.77</v>
      </c>
      <c r="E306" s="16">
        <v>29921.89</v>
      </c>
      <c r="F306" s="16">
        <v>29469.77</v>
      </c>
      <c r="G306" s="16">
        <v>29020.98</v>
      </c>
      <c r="H306" s="16">
        <v>29220.23</v>
      </c>
      <c r="I306" s="16">
        <v>31223.08</v>
      </c>
      <c r="J306" s="16">
        <v>30596.77</v>
      </c>
      <c r="K306" s="16">
        <v>29031.71</v>
      </c>
      <c r="L306" s="16">
        <v>29261.16</v>
      </c>
      <c r="M306" s="27">
        <f>IF((L307=""),"",MAX(D308:L308))</f>
        <v>10136.910000000003</v>
      </c>
      <c r="N306" s="27">
        <f>IF(L307="","",MIN(D308:L308))</f>
        <v>9265.0800000000017</v>
      </c>
      <c r="O306" s="27">
        <f>IF((L308=""),"",AVERAGE(D308:L308))</f>
        <v>9733.2300000000032</v>
      </c>
      <c r="P306" s="27">
        <f>IF((L307=""),"",STDEV(D308:L308))</f>
        <v>274.93526719938967</v>
      </c>
      <c r="Q306" s="27">
        <f>IF((L307=""),"",P306/O306*100)</f>
        <v>2.824707391065346</v>
      </c>
      <c r="R306" s="28" t="str">
        <f>IF(L307="","",IF(Q306&lt;Z306,IF(N306&gt;V306,IF(M306&lt;W306,"Pass","Fail"),"Fail"),"Fail"))</f>
        <v>Pass</v>
      </c>
      <c r="S306" s="29">
        <v>121</v>
      </c>
      <c r="T306" s="16"/>
      <c r="U306" s="55" t="s">
        <v>189</v>
      </c>
      <c r="V306" s="54">
        <v>9000</v>
      </c>
      <c r="W306" s="22">
        <v>15600</v>
      </c>
      <c r="X306" s="40">
        <v>8090</v>
      </c>
      <c r="Y306" s="40">
        <v>12070</v>
      </c>
      <c r="Z306" s="47">
        <v>6</v>
      </c>
      <c r="AA306" s="47">
        <v>6</v>
      </c>
    </row>
    <row r="307" spans="1:27" ht="15.75" customHeight="1" x14ac:dyDescent="0.3">
      <c r="A307" s="96"/>
      <c r="B307" s="96"/>
      <c r="C307" s="30" t="s">
        <v>128</v>
      </c>
      <c r="D307" s="16">
        <v>26022.04</v>
      </c>
      <c r="E307" s="16">
        <v>26600.1</v>
      </c>
      <c r="F307" s="16">
        <v>26241.46</v>
      </c>
      <c r="G307" s="16">
        <v>25752.5</v>
      </c>
      <c r="H307" s="16">
        <v>25946.37</v>
      </c>
      <c r="I307" s="16">
        <v>28134.720000000001</v>
      </c>
      <c r="J307" s="16">
        <v>27462.92</v>
      </c>
      <c r="K307" s="16">
        <v>25730.37</v>
      </c>
      <c r="L307" s="16">
        <v>25882.19</v>
      </c>
      <c r="M307" s="31"/>
      <c r="N307" s="31"/>
      <c r="O307" s="31"/>
      <c r="P307" s="31"/>
      <c r="Q307" s="31"/>
      <c r="R307" s="32"/>
      <c r="S307" s="33"/>
      <c r="T307" s="56"/>
      <c r="V307" s="48"/>
      <c r="W307" s="48"/>
      <c r="X307" s="49"/>
      <c r="Y307" s="49"/>
      <c r="Z307" s="50"/>
      <c r="AA307" s="50"/>
    </row>
    <row r="308" spans="1:27" ht="16.5" customHeight="1" thickBot="1" x14ac:dyDescent="0.35">
      <c r="A308" s="96"/>
      <c r="B308" s="96"/>
      <c r="C308" s="34" t="s">
        <v>129</v>
      </c>
      <c r="D308" s="35">
        <f t="shared" ref="D308:L308" si="98">IF(((D306="")*AND(D307="")),"",(D306-D307)*3)</f>
        <v>9614.1899999999987</v>
      </c>
      <c r="E308" s="35">
        <f t="shared" si="98"/>
        <v>9965.3700000000026</v>
      </c>
      <c r="F308" s="35">
        <f t="shared" si="98"/>
        <v>9684.9300000000039</v>
      </c>
      <c r="G308" s="35">
        <f t="shared" si="98"/>
        <v>9805.4399999999987</v>
      </c>
      <c r="H308" s="35">
        <f t="shared" si="98"/>
        <v>9821.5800000000017</v>
      </c>
      <c r="I308" s="35">
        <f t="shared" si="98"/>
        <v>9265.0800000000017</v>
      </c>
      <c r="J308" s="35">
        <f t="shared" si="98"/>
        <v>9401.5500000000065</v>
      </c>
      <c r="K308" s="35">
        <f t="shared" si="98"/>
        <v>9904.02</v>
      </c>
      <c r="L308" s="35">
        <f t="shared" si="98"/>
        <v>10136.910000000003</v>
      </c>
      <c r="M308" s="36"/>
      <c r="N308" s="36"/>
      <c r="O308" s="36"/>
      <c r="P308" s="36"/>
      <c r="Q308" s="36"/>
      <c r="R308" s="37"/>
      <c r="S308" s="38"/>
      <c r="T308" s="57"/>
      <c r="U308" s="52"/>
      <c r="V308" s="51"/>
      <c r="W308" s="51"/>
      <c r="X308" s="52"/>
      <c r="Y308" s="52"/>
      <c r="Z308" s="53"/>
      <c r="AA308" s="53"/>
    </row>
    <row r="309" spans="1:27" x14ac:dyDescent="0.3">
      <c r="A309" s="97">
        <v>43106</v>
      </c>
      <c r="B309" s="117" t="s">
        <v>431</v>
      </c>
      <c r="C309" s="26" t="s">
        <v>126</v>
      </c>
      <c r="D309" s="16">
        <v>29155.33</v>
      </c>
      <c r="E309" s="16">
        <v>28967.47</v>
      </c>
      <c r="F309" s="16">
        <v>28965.38</v>
      </c>
      <c r="G309" s="16">
        <v>28976.11</v>
      </c>
      <c r="H309" s="16">
        <v>29208.14</v>
      </c>
      <c r="I309" s="16">
        <v>29169.02</v>
      </c>
      <c r="J309" s="16">
        <v>28971.21</v>
      </c>
      <c r="K309" s="16">
        <v>28967.439999999999</v>
      </c>
      <c r="L309" s="16">
        <v>29220.74</v>
      </c>
      <c r="M309" s="27">
        <f>IF((L310=""),"",MAX(D311:L311))</f>
        <v>9146.73</v>
      </c>
      <c r="N309" s="27">
        <f>IF(L310="","",MIN(D311:L311))</f>
        <v>8204.9100000000035</v>
      </c>
      <c r="O309" s="27">
        <f>IF((L311=""),"",AVERAGE(D311:L311))</f>
        <v>8597.4066666666677</v>
      </c>
      <c r="P309" s="27">
        <f>IF((L310=""),"",STDEV(D311:L311))</f>
        <v>312.63583663745129</v>
      </c>
      <c r="Q309" s="27">
        <f>IF((L310=""),"",P309/O309*100)</f>
        <v>3.6363969829365357</v>
      </c>
      <c r="R309" s="28" t="str">
        <f>IF(L310="","",IF(Q309&lt;Z309,IF(N309&gt;V309,IF(M309&lt;W309,"Pass","Fail"),"Fail"),"Fail"))</f>
        <v>Fail</v>
      </c>
      <c r="S309" s="29">
        <v>102</v>
      </c>
      <c r="T309" s="55"/>
      <c r="U309" s="40"/>
      <c r="V309" s="54">
        <v>9000</v>
      </c>
      <c r="W309" s="22">
        <v>15600</v>
      </c>
      <c r="X309" s="40">
        <v>8090</v>
      </c>
      <c r="Y309" s="40">
        <v>12070</v>
      </c>
      <c r="Z309" s="47">
        <v>6</v>
      </c>
      <c r="AA309" s="47">
        <v>6</v>
      </c>
    </row>
    <row r="310" spans="1:27" ht="15.75" customHeight="1" x14ac:dyDescent="0.3">
      <c r="A310" s="96"/>
      <c r="B310" s="96"/>
      <c r="C310" s="30" t="s">
        <v>128</v>
      </c>
      <c r="D310" s="16">
        <v>26387.919999999998</v>
      </c>
      <c r="E310" s="16">
        <v>26097.19</v>
      </c>
      <c r="F310" s="16">
        <v>26108.720000000001</v>
      </c>
      <c r="G310" s="16">
        <v>26066.080000000002</v>
      </c>
      <c r="H310" s="16">
        <v>26321.58</v>
      </c>
      <c r="I310" s="16">
        <v>26434.05</v>
      </c>
      <c r="J310" s="16">
        <v>26221.97</v>
      </c>
      <c r="K310" s="16">
        <v>25999.279999999999</v>
      </c>
      <c r="L310" s="16">
        <v>26171.83</v>
      </c>
      <c r="M310" s="31"/>
      <c r="N310" s="31"/>
      <c r="O310" s="31"/>
      <c r="P310" s="31"/>
      <c r="Q310" s="31"/>
      <c r="R310" s="32"/>
      <c r="S310" s="33"/>
      <c r="T310" s="56"/>
      <c r="V310" s="48"/>
      <c r="W310" s="48"/>
      <c r="X310" s="49"/>
      <c r="Y310" s="49"/>
      <c r="Z310" s="50"/>
      <c r="AA310" s="50"/>
    </row>
    <row r="311" spans="1:27" ht="16.5" customHeight="1" thickBot="1" x14ac:dyDescent="0.35">
      <c r="A311" s="96"/>
      <c r="B311" s="96"/>
      <c r="C311" s="34" t="s">
        <v>129</v>
      </c>
      <c r="D311" s="35">
        <f t="shared" ref="D311:L311" si="99">IF(((D309="")*AND(D310="")),"",(D309-D310)*3)</f>
        <v>8302.2300000000105</v>
      </c>
      <c r="E311" s="35">
        <f t="shared" si="99"/>
        <v>8610.8400000000074</v>
      </c>
      <c r="F311" s="35">
        <f t="shared" si="99"/>
        <v>8569.98</v>
      </c>
      <c r="G311" s="35">
        <f t="shared" si="99"/>
        <v>8730.0899999999965</v>
      </c>
      <c r="H311" s="35">
        <f t="shared" si="99"/>
        <v>8659.679999999993</v>
      </c>
      <c r="I311" s="35">
        <f t="shared" si="99"/>
        <v>8204.9100000000035</v>
      </c>
      <c r="J311" s="35">
        <f t="shared" si="99"/>
        <v>8247.7199999999939</v>
      </c>
      <c r="K311" s="35">
        <f t="shared" si="99"/>
        <v>8904.48</v>
      </c>
      <c r="L311" s="35">
        <f t="shared" si="99"/>
        <v>9146.73</v>
      </c>
      <c r="M311" s="36"/>
      <c r="N311" s="36"/>
      <c r="O311" s="36"/>
      <c r="P311" s="36"/>
      <c r="Q311" s="36"/>
      <c r="R311" s="37"/>
      <c r="S311" s="38"/>
      <c r="T311" s="57"/>
      <c r="U311" s="52"/>
      <c r="V311" s="51"/>
      <c r="W311" s="51"/>
      <c r="X311" s="52"/>
      <c r="Y311" s="52"/>
      <c r="Z311" s="53"/>
      <c r="AA311" s="53"/>
    </row>
    <row r="312" spans="1:27" x14ac:dyDescent="0.3">
      <c r="A312" s="97">
        <v>43106</v>
      </c>
      <c r="B312" s="117" t="s">
        <v>431</v>
      </c>
      <c r="C312" s="26" t="s">
        <v>126</v>
      </c>
      <c r="D312" s="16">
        <v>29167.599999999999</v>
      </c>
      <c r="E312" s="16">
        <v>28976.720000000001</v>
      </c>
      <c r="F312" s="16">
        <v>29016.93</v>
      </c>
      <c r="G312" s="16">
        <v>28948.41</v>
      </c>
      <c r="H312" s="16">
        <v>29145.96</v>
      </c>
      <c r="I312" s="16">
        <v>29111.77</v>
      </c>
      <c r="J312" s="16">
        <v>28952.2</v>
      </c>
      <c r="K312" s="16">
        <v>28960.26</v>
      </c>
      <c r="L312" s="16">
        <v>29206.67</v>
      </c>
      <c r="M312" s="27">
        <f>IF((L313=""),"",MAX(D314:L314))</f>
        <v>8248.28999999999</v>
      </c>
      <c r="N312" s="27">
        <f>IF(L313="","",MIN(D314:L314))</f>
        <v>7107.1800000000039</v>
      </c>
      <c r="O312" s="27">
        <f>IF((L314=""),"",AVERAGE(D314:L314))</f>
        <v>7730.4633333333331</v>
      </c>
      <c r="P312" s="27">
        <f>IF((L313=""),"",STDEV(D314:L314))</f>
        <v>375.07733006007965</v>
      </c>
      <c r="Q312" s="27">
        <f>IF((L313=""),"",P312/O312*100)</f>
        <v>4.8519385434863498</v>
      </c>
      <c r="R312" s="28" t="str">
        <f>IF(L313="","",IF(Q312&lt;Z312,IF(N312&gt;V312,IF(M312&lt;W312,"Pass","Fail"),"Fail"),"Fail"))</f>
        <v>Fail</v>
      </c>
      <c r="S312" s="29">
        <v>102</v>
      </c>
      <c r="T312" s="16"/>
      <c r="U312" s="55" t="s">
        <v>265</v>
      </c>
      <c r="V312" s="54">
        <v>9000</v>
      </c>
      <c r="W312" s="22">
        <v>15600</v>
      </c>
      <c r="X312" s="40">
        <v>8090</v>
      </c>
      <c r="Y312" s="40">
        <v>12070</v>
      </c>
      <c r="Z312" s="47">
        <v>6</v>
      </c>
      <c r="AA312" s="47">
        <v>6</v>
      </c>
    </row>
    <row r="313" spans="1:27" ht="15.75" customHeight="1" x14ac:dyDescent="0.3">
      <c r="A313" s="96"/>
      <c r="B313" s="96"/>
      <c r="C313" s="30" t="s">
        <v>128</v>
      </c>
      <c r="D313" s="16">
        <v>26643.18</v>
      </c>
      <c r="E313" s="16">
        <v>26357.98</v>
      </c>
      <c r="F313" s="16">
        <v>26472.27</v>
      </c>
      <c r="G313" s="16">
        <v>26318.52</v>
      </c>
      <c r="H313" s="16">
        <v>26509.41</v>
      </c>
      <c r="I313" s="16">
        <v>26742.71</v>
      </c>
      <c r="J313" s="16">
        <v>26533.52</v>
      </c>
      <c r="K313" s="16">
        <v>26260.3</v>
      </c>
      <c r="L313" s="16">
        <v>26457.24</v>
      </c>
      <c r="M313" s="31"/>
      <c r="N313" s="31"/>
      <c r="O313" s="31"/>
      <c r="P313" s="31"/>
      <c r="Q313" s="31"/>
      <c r="R313" s="32"/>
      <c r="S313" s="33"/>
      <c r="T313" s="16"/>
      <c r="U313" s="56"/>
      <c r="V313" s="48"/>
      <c r="W313" s="48"/>
      <c r="X313" s="49"/>
      <c r="Y313" s="49"/>
      <c r="Z313" s="50"/>
      <c r="AA313" s="50"/>
    </row>
    <row r="314" spans="1:27" ht="16.5" customHeight="1" thickBot="1" x14ac:dyDescent="0.35">
      <c r="A314" s="96"/>
      <c r="B314" s="96"/>
      <c r="C314" s="34" t="s">
        <v>129</v>
      </c>
      <c r="D314" s="35">
        <f t="shared" ref="D314:L314" si="100">IF(((D312="")*AND(D313="")),"",(D312-D313)*3)</f>
        <v>7573.2599999999948</v>
      </c>
      <c r="E314" s="35">
        <f t="shared" si="100"/>
        <v>7856.2200000000048</v>
      </c>
      <c r="F314" s="35">
        <f t="shared" si="100"/>
        <v>7633.98</v>
      </c>
      <c r="G314" s="35">
        <f t="shared" si="100"/>
        <v>7889.6699999999983</v>
      </c>
      <c r="H314" s="35">
        <f t="shared" si="100"/>
        <v>7909.6499999999978</v>
      </c>
      <c r="I314" s="35">
        <f t="shared" si="100"/>
        <v>7107.1800000000039</v>
      </c>
      <c r="J314" s="35">
        <f t="shared" si="100"/>
        <v>7256.0400000000009</v>
      </c>
      <c r="K314" s="35">
        <f t="shared" si="100"/>
        <v>8099.8799999999974</v>
      </c>
      <c r="L314" s="35">
        <f t="shared" si="100"/>
        <v>8248.28999999999</v>
      </c>
      <c r="M314" s="36"/>
      <c r="N314" s="36"/>
      <c r="O314" s="36"/>
      <c r="P314" s="36"/>
      <c r="Q314" s="36"/>
      <c r="R314" s="37"/>
      <c r="S314" s="38"/>
      <c r="T314" s="16"/>
      <c r="U314" s="57"/>
      <c r="V314" s="51"/>
      <c r="W314" s="51"/>
      <c r="X314" s="52"/>
      <c r="Y314" s="52"/>
      <c r="Z314" s="53"/>
      <c r="AA314" s="53"/>
    </row>
    <row r="315" spans="1:27" x14ac:dyDescent="0.3">
      <c r="A315" s="97">
        <v>43106</v>
      </c>
      <c r="B315" s="117" t="s">
        <v>431</v>
      </c>
      <c r="C315" s="26" t="s">
        <v>126</v>
      </c>
      <c r="D315" s="16">
        <v>29144.68</v>
      </c>
      <c r="E315" s="16">
        <v>28974.9</v>
      </c>
      <c r="F315" s="16">
        <v>28963.63</v>
      </c>
      <c r="G315" s="16">
        <v>29079.39</v>
      </c>
      <c r="H315" s="16">
        <v>29212.92</v>
      </c>
      <c r="I315" s="16">
        <v>29159.09</v>
      </c>
      <c r="J315" s="16">
        <v>28960.93</v>
      </c>
      <c r="K315" s="16">
        <v>30241.07</v>
      </c>
      <c r="L315" s="16">
        <v>29206</v>
      </c>
      <c r="M315" s="27">
        <f>IF((L316=""),"",MAX(D317:L317))</f>
        <v>8374.2599999999948</v>
      </c>
      <c r="N315" s="27">
        <f>IF(L316="","",MIN(D317:L317))</f>
        <v>7203.75</v>
      </c>
      <c r="O315" s="27">
        <f>IF((L317=""),"",AVERAGE(D317:L317))</f>
        <v>7714.2366666666658</v>
      </c>
      <c r="P315" s="27">
        <f>IF((L316=""),"",STDEV(D317:L317))</f>
        <v>371.65966118210844</v>
      </c>
      <c r="Q315" s="27">
        <f>IF((L316=""),"",P315/O315*100)</f>
        <v>4.8178410546834209</v>
      </c>
      <c r="R315" s="28" t="str">
        <f>IF(L316="","",IF(Q315&lt;Z315,IF(N315&gt;V315,IF(M315&lt;W315,"Pass","Fail"),"Fail"),"Fail"))</f>
        <v>Fail</v>
      </c>
      <c r="S315" s="29">
        <v>102</v>
      </c>
      <c r="T315" s="16"/>
      <c r="U315" s="55" t="s">
        <v>266</v>
      </c>
      <c r="V315" s="54">
        <v>9000</v>
      </c>
      <c r="W315" s="22">
        <v>15600</v>
      </c>
      <c r="X315" s="40">
        <v>8090</v>
      </c>
      <c r="Y315" s="40">
        <v>12070</v>
      </c>
      <c r="Z315" s="47">
        <v>6</v>
      </c>
      <c r="AA315" s="47">
        <v>6</v>
      </c>
    </row>
    <row r="316" spans="1:27" ht="15.75" customHeight="1" x14ac:dyDescent="0.3">
      <c r="A316" s="96"/>
      <c r="B316" s="96"/>
      <c r="C316" s="30" t="s">
        <v>128</v>
      </c>
      <c r="D316" s="16">
        <v>26602.15</v>
      </c>
      <c r="E316" s="16">
        <v>26365.87</v>
      </c>
      <c r="F316" s="16">
        <v>26455.99</v>
      </c>
      <c r="G316" s="16">
        <v>26501.24</v>
      </c>
      <c r="H316" s="16">
        <v>26650.62</v>
      </c>
      <c r="I316" s="16">
        <v>26723.45</v>
      </c>
      <c r="J316" s="16">
        <v>26559.68</v>
      </c>
      <c r="K316" s="16">
        <v>27526.32</v>
      </c>
      <c r="L316" s="16">
        <v>26414.58</v>
      </c>
      <c r="M316" s="31"/>
      <c r="N316" s="31"/>
      <c r="O316" s="31"/>
      <c r="P316" s="31"/>
      <c r="Q316" s="31"/>
      <c r="R316" s="32"/>
      <c r="S316" s="33"/>
      <c r="T316" s="16"/>
      <c r="U316" s="56"/>
      <c r="V316" s="48"/>
      <c r="W316" s="48"/>
      <c r="X316" s="49"/>
      <c r="Y316" s="49"/>
      <c r="Z316" s="50"/>
      <c r="AA316" s="50"/>
    </row>
    <row r="317" spans="1:27" ht="16.5" customHeight="1" thickBot="1" x14ac:dyDescent="0.35">
      <c r="A317" s="96"/>
      <c r="B317" s="96"/>
      <c r="C317" s="34" t="s">
        <v>129</v>
      </c>
      <c r="D317" s="35">
        <f t="shared" ref="D317:L317" si="101">IF(((D315="")*AND(D316="")),"",(D315-D316)*3)</f>
        <v>7627.5899999999965</v>
      </c>
      <c r="E317" s="35">
        <f t="shared" si="101"/>
        <v>7827.0900000000074</v>
      </c>
      <c r="F317" s="35">
        <f t="shared" si="101"/>
        <v>7522.9199999999983</v>
      </c>
      <c r="G317" s="35">
        <f t="shared" si="101"/>
        <v>7734.4499999999935</v>
      </c>
      <c r="H317" s="35">
        <f t="shared" si="101"/>
        <v>7686.8999999999978</v>
      </c>
      <c r="I317" s="35">
        <f t="shared" si="101"/>
        <v>7306.9199999999983</v>
      </c>
      <c r="J317" s="35">
        <f t="shared" si="101"/>
        <v>7203.75</v>
      </c>
      <c r="K317" s="35">
        <f t="shared" si="101"/>
        <v>8144.25</v>
      </c>
      <c r="L317" s="35">
        <f t="shared" si="101"/>
        <v>8374.2599999999948</v>
      </c>
      <c r="M317" s="36"/>
      <c r="N317" s="36"/>
      <c r="O317" s="36"/>
      <c r="P317" s="36"/>
      <c r="Q317" s="36"/>
      <c r="R317" s="37"/>
      <c r="S317" s="38"/>
      <c r="T317" s="16"/>
      <c r="U317" s="57"/>
      <c r="V317" s="51"/>
      <c r="W317" s="51"/>
      <c r="X317" s="52"/>
      <c r="Y317" s="52"/>
      <c r="Z317" s="53"/>
      <c r="AA317" s="53"/>
    </row>
    <row r="318" spans="1:27" x14ac:dyDescent="0.3">
      <c r="A318" s="97">
        <v>43106</v>
      </c>
      <c r="B318" s="117" t="s">
        <v>431</v>
      </c>
      <c r="C318" s="26" t="s">
        <v>126</v>
      </c>
      <c r="D318" s="16">
        <v>29427.09</v>
      </c>
      <c r="E318" s="16">
        <v>29214.03</v>
      </c>
      <c r="F318" s="16">
        <v>29273.68</v>
      </c>
      <c r="G318" s="16">
        <v>29204.45</v>
      </c>
      <c r="H318" s="16">
        <v>29411.87</v>
      </c>
      <c r="I318" s="16">
        <v>29339.69</v>
      </c>
      <c r="J318" s="16">
        <v>29184.26</v>
      </c>
      <c r="K318" s="16">
        <v>29212.37</v>
      </c>
      <c r="L318" s="16">
        <v>29456.71</v>
      </c>
      <c r="M318" s="27">
        <f>IF((L319=""),"",MAX(D320:L320))</f>
        <v>9005.6099999999969</v>
      </c>
      <c r="N318" s="27">
        <f>IF(L319="","",MIN(D320:L320))</f>
        <v>7978.1099999999969</v>
      </c>
      <c r="O318" s="27">
        <f>IF((L320=""),"",AVERAGE(D320:L320))</f>
        <v>8462.4233333333323</v>
      </c>
      <c r="P318" s="27">
        <f>IF((L319=""),"",STDEV(D320:L320))</f>
        <v>335.80476038912849</v>
      </c>
      <c r="Q318" s="27">
        <f>IF((L319=""),"",P318/O318*100)</f>
        <v>3.9681867375554187</v>
      </c>
      <c r="R318" s="28" t="str">
        <f>IF(L319="","",IF(Q318&lt;Z318,IF(N318&gt;V318,IF(M318&lt;W318,"Pass","Fail"),"Fail"),"Fail"))</f>
        <v>Fail</v>
      </c>
      <c r="S318" s="29">
        <v>102</v>
      </c>
      <c r="T318" s="16"/>
      <c r="U318" s="55" t="s">
        <v>267</v>
      </c>
      <c r="V318" s="54">
        <v>9000</v>
      </c>
      <c r="W318" s="22">
        <v>15600</v>
      </c>
      <c r="X318" s="40">
        <v>8090</v>
      </c>
      <c r="Y318" s="40">
        <v>12070</v>
      </c>
      <c r="Z318" s="47">
        <v>6</v>
      </c>
      <c r="AA318" s="47">
        <v>6</v>
      </c>
    </row>
    <row r="319" spans="1:27" ht="15.75" customHeight="1" x14ac:dyDescent="0.3">
      <c r="A319" s="96"/>
      <c r="B319" s="96"/>
      <c r="C319" s="30" t="s">
        <v>128</v>
      </c>
      <c r="D319" s="16">
        <v>26631.91</v>
      </c>
      <c r="E319" s="16">
        <v>26357.59</v>
      </c>
      <c r="F319" s="16">
        <v>26503.360000000001</v>
      </c>
      <c r="G319" s="16">
        <v>26351.08</v>
      </c>
      <c r="H319" s="16">
        <v>26568.11</v>
      </c>
      <c r="I319" s="16">
        <v>26667.98</v>
      </c>
      <c r="J319" s="16">
        <v>26524.89</v>
      </c>
      <c r="K319" s="16">
        <v>26277.119999999999</v>
      </c>
      <c r="L319" s="16">
        <v>26454.84</v>
      </c>
      <c r="M319" s="31"/>
      <c r="N319" s="31"/>
      <c r="O319" s="31"/>
      <c r="P319" s="31"/>
      <c r="Q319" s="31"/>
      <c r="R319" s="32"/>
      <c r="S319" s="33"/>
      <c r="T319" s="16"/>
      <c r="U319" s="56"/>
      <c r="V319" s="48"/>
      <c r="W319" s="48"/>
      <c r="X319" s="49"/>
      <c r="Y319" s="49"/>
      <c r="Z319" s="50"/>
      <c r="AA319" s="50"/>
    </row>
    <row r="320" spans="1:27" ht="16.5" customHeight="1" thickBot="1" x14ac:dyDescent="0.35">
      <c r="A320" s="96"/>
      <c r="B320" s="96"/>
      <c r="C320" s="34" t="s">
        <v>129</v>
      </c>
      <c r="D320" s="35">
        <f t="shared" ref="D320:L320" si="102">IF(((D318="")*AND(D319="")),"",(D318-D319)*3)</f>
        <v>8385.5400000000009</v>
      </c>
      <c r="E320" s="35">
        <f t="shared" si="102"/>
        <v>8569.3199999999961</v>
      </c>
      <c r="F320" s="35">
        <f t="shared" si="102"/>
        <v>8310.9599999999991</v>
      </c>
      <c r="G320" s="35">
        <f t="shared" si="102"/>
        <v>8560.1099999999969</v>
      </c>
      <c r="H320" s="35">
        <f t="shared" si="102"/>
        <v>8531.2799999999952</v>
      </c>
      <c r="I320" s="35">
        <f t="shared" si="102"/>
        <v>8015.1299999999974</v>
      </c>
      <c r="J320" s="35">
        <f t="shared" si="102"/>
        <v>7978.1099999999969</v>
      </c>
      <c r="K320" s="35">
        <f t="shared" si="102"/>
        <v>8805.75</v>
      </c>
      <c r="L320" s="35">
        <f t="shared" si="102"/>
        <v>9005.6099999999969</v>
      </c>
      <c r="M320" s="36"/>
      <c r="N320" s="36"/>
      <c r="O320" s="36"/>
      <c r="P320" s="36"/>
      <c r="Q320" s="36"/>
      <c r="R320" s="37"/>
      <c r="S320" s="38"/>
      <c r="T320" s="16"/>
      <c r="U320" s="57"/>
      <c r="V320" s="51"/>
      <c r="W320" s="51"/>
      <c r="X320" s="52"/>
      <c r="Y320" s="52"/>
      <c r="Z320" s="53"/>
      <c r="AA320" s="53"/>
    </row>
    <row r="321" spans="1:27" x14ac:dyDescent="0.3">
      <c r="A321" s="97">
        <v>43106</v>
      </c>
      <c r="B321" s="117" t="s">
        <v>431</v>
      </c>
      <c r="C321" s="26" t="s">
        <v>126</v>
      </c>
      <c r="D321" s="16">
        <v>29395.75</v>
      </c>
      <c r="E321" s="16">
        <v>29210.44</v>
      </c>
      <c r="F321" s="16">
        <v>29224.67</v>
      </c>
      <c r="G321" s="16">
        <v>29191.34</v>
      </c>
      <c r="H321" s="16">
        <v>29402.9</v>
      </c>
      <c r="I321" s="16">
        <v>29392.81</v>
      </c>
      <c r="J321" s="16">
        <v>29195.040000000001</v>
      </c>
      <c r="K321" s="16">
        <v>29193.439999999999</v>
      </c>
      <c r="L321" s="16">
        <v>29419.72</v>
      </c>
      <c r="M321" s="27">
        <f>IF((L322=""),"",MAX(D323:L323))</f>
        <v>11177.220000000005</v>
      </c>
      <c r="N321" s="27">
        <f>IF(L322="","",MIN(D323:L323))</f>
        <v>10159.560000000001</v>
      </c>
      <c r="O321" s="27">
        <f>IF((L323=""),"",AVERAGE(D323:L323))</f>
        <v>10671.970000000001</v>
      </c>
      <c r="P321" s="27">
        <f>IF((L322=""),"",STDEV(D323:L323))</f>
        <v>324.60717413513839</v>
      </c>
      <c r="Q321" s="27">
        <f>IF((L322=""),"",P321/O321*100)</f>
        <v>3.0416799722557162</v>
      </c>
      <c r="R321" s="28" t="str">
        <f>IF(L322="","",IF(Q321&lt;Z321,IF(N321&gt;V321,IF(M321&lt;W321,"Pass","Fail"),"Fail"),"Fail"))</f>
        <v>Pass</v>
      </c>
      <c r="S321" s="29">
        <v>102</v>
      </c>
      <c r="T321" s="16"/>
      <c r="U321" s="88" t="s">
        <v>300</v>
      </c>
      <c r="V321" s="54">
        <v>9000</v>
      </c>
      <c r="W321" s="22">
        <v>15600</v>
      </c>
      <c r="X321" s="40">
        <v>8090</v>
      </c>
      <c r="Y321" s="40">
        <v>12070</v>
      </c>
      <c r="Z321" s="47">
        <v>6</v>
      </c>
      <c r="AA321" s="47">
        <v>6</v>
      </c>
    </row>
    <row r="322" spans="1:27" ht="15.75" customHeight="1" x14ac:dyDescent="0.3">
      <c r="A322" s="96"/>
      <c r="B322" s="96"/>
      <c r="C322" s="30" t="s">
        <v>128</v>
      </c>
      <c r="D322" s="16">
        <v>25792.69</v>
      </c>
      <c r="E322" s="16">
        <v>25585.02</v>
      </c>
      <c r="F322" s="16">
        <v>25674.25</v>
      </c>
      <c r="G322" s="16">
        <v>25623.42</v>
      </c>
      <c r="H322" s="16">
        <v>25956.71</v>
      </c>
      <c r="I322" s="16">
        <v>25667.07</v>
      </c>
      <c r="J322" s="16">
        <v>25547.86</v>
      </c>
      <c r="K322" s="16">
        <v>25729.98</v>
      </c>
      <c r="L322" s="16">
        <v>26033.200000000001</v>
      </c>
      <c r="M322" s="31"/>
      <c r="N322" s="31"/>
      <c r="O322" s="31"/>
      <c r="P322" s="31"/>
      <c r="Q322" s="31"/>
      <c r="R322" s="32"/>
      <c r="S322" s="33"/>
      <c r="T322" s="16"/>
      <c r="U322" s="56"/>
      <c r="V322" s="48"/>
      <c r="W322" s="48"/>
      <c r="X322" s="49"/>
      <c r="Y322" s="49"/>
      <c r="Z322" s="50"/>
      <c r="AA322" s="50"/>
    </row>
    <row r="323" spans="1:27" ht="16.5" customHeight="1" thickBot="1" x14ac:dyDescent="0.35">
      <c r="A323" s="96"/>
      <c r="B323" s="96"/>
      <c r="C323" s="34" t="s">
        <v>129</v>
      </c>
      <c r="D323" s="35">
        <f t="shared" ref="D323:L323" si="103">IF(((D321="")*AND(D322="")),"",(D321-D322)*3)</f>
        <v>10809.180000000004</v>
      </c>
      <c r="E323" s="35">
        <f t="shared" si="103"/>
        <v>10876.259999999995</v>
      </c>
      <c r="F323" s="35">
        <f t="shared" si="103"/>
        <v>10651.259999999995</v>
      </c>
      <c r="G323" s="35">
        <f t="shared" si="103"/>
        <v>10703.760000000006</v>
      </c>
      <c r="H323" s="35">
        <f t="shared" si="103"/>
        <v>10338.570000000007</v>
      </c>
      <c r="I323" s="35">
        <f t="shared" si="103"/>
        <v>11177.220000000005</v>
      </c>
      <c r="J323" s="35">
        <f t="shared" si="103"/>
        <v>10941.54</v>
      </c>
      <c r="K323" s="35">
        <f t="shared" si="103"/>
        <v>10390.379999999997</v>
      </c>
      <c r="L323" s="35">
        <f t="shared" si="103"/>
        <v>10159.560000000001</v>
      </c>
      <c r="M323" s="36"/>
      <c r="N323" s="36"/>
      <c r="O323" s="36"/>
      <c r="P323" s="36"/>
      <c r="Q323" s="36"/>
      <c r="R323" s="37"/>
      <c r="S323" s="38"/>
      <c r="T323" s="16"/>
      <c r="U323" s="57"/>
      <c r="V323" s="51"/>
      <c r="W323" s="51"/>
      <c r="X323" s="52"/>
      <c r="Y323" s="52"/>
      <c r="Z323" s="53"/>
      <c r="AA323" s="53"/>
    </row>
    <row r="324" spans="1:27" x14ac:dyDescent="0.3">
      <c r="A324" s="97">
        <v>43109</v>
      </c>
      <c r="B324" s="117" t="s">
        <v>431</v>
      </c>
      <c r="C324" s="26" t="s">
        <v>126</v>
      </c>
      <c r="D324" s="16">
        <v>29168.87</v>
      </c>
      <c r="E324" s="16">
        <v>28960.92</v>
      </c>
      <c r="F324" s="16">
        <v>28971.54</v>
      </c>
      <c r="G324" s="16">
        <v>28976.7</v>
      </c>
      <c r="H324" s="16">
        <v>29236.17</v>
      </c>
      <c r="I324" s="16">
        <v>29142.87</v>
      </c>
      <c r="J324" s="16">
        <v>28955.75</v>
      </c>
      <c r="K324" s="16">
        <v>28969.4</v>
      </c>
      <c r="L324" s="16">
        <v>29206.13</v>
      </c>
      <c r="M324" s="27">
        <f>IF((L325=""),"",MAX(D326:L326))</f>
        <v>9555.3900000000031</v>
      </c>
      <c r="N324" s="27">
        <f>IF(L325="","",MIN(D326:L326))</f>
        <v>8541.8999999999978</v>
      </c>
      <c r="O324" s="27">
        <f>IF((L326=""),"",AVERAGE(D326:L326))</f>
        <v>8974.5933333333305</v>
      </c>
      <c r="P324" s="27">
        <f>IF((L325=""),"",STDEV(D326:L326))</f>
        <v>331.81633903411279</v>
      </c>
      <c r="Q324" s="27">
        <f>IF((L325=""),"",P324/O324*100)</f>
        <v>3.6972855115527565</v>
      </c>
      <c r="R324" s="28" t="str">
        <f>IF(L325="","",IF(Q324&lt;Z324,IF(N324&gt;V324,IF(M324&lt;W324,"Pass","Fail"),"Fail"),"Fail"))</f>
        <v>Fail</v>
      </c>
      <c r="S324" s="29"/>
      <c r="T324" s="55"/>
      <c r="U324" s="40"/>
      <c r="V324" s="54">
        <v>9000</v>
      </c>
      <c r="W324" s="22">
        <v>15600</v>
      </c>
      <c r="X324" s="40">
        <v>8090</v>
      </c>
      <c r="Y324" s="40">
        <v>12070</v>
      </c>
      <c r="Z324" s="47">
        <v>6</v>
      </c>
      <c r="AA324" s="47">
        <v>6</v>
      </c>
    </row>
    <row r="325" spans="1:27" ht="15.75" customHeight="1" x14ac:dyDescent="0.3">
      <c r="A325" s="96"/>
      <c r="B325" s="96"/>
      <c r="C325" s="30" t="s">
        <v>128</v>
      </c>
      <c r="D325" s="16">
        <v>26279.57</v>
      </c>
      <c r="E325" s="16">
        <v>25961.15</v>
      </c>
      <c r="F325" s="16">
        <v>26006.720000000001</v>
      </c>
      <c r="G325" s="16">
        <v>25940.34</v>
      </c>
      <c r="H325" s="16">
        <v>26218.77</v>
      </c>
      <c r="I325" s="16">
        <v>26295.57</v>
      </c>
      <c r="J325" s="16">
        <v>26077.200000000001</v>
      </c>
      <c r="K325" s="16">
        <v>25864.25</v>
      </c>
      <c r="L325" s="16">
        <v>26021</v>
      </c>
      <c r="M325" s="31"/>
      <c r="N325" s="31"/>
      <c r="O325" s="31"/>
      <c r="P325" s="31"/>
      <c r="Q325" s="31"/>
      <c r="R325" s="32"/>
      <c r="S325" s="33"/>
      <c r="T325" s="56"/>
      <c r="V325" s="48"/>
      <c r="W325" s="48"/>
      <c r="X325" s="49"/>
      <c r="Y325" s="49"/>
      <c r="Z325" s="50"/>
      <c r="AA325" s="50"/>
    </row>
    <row r="326" spans="1:27" ht="16.5" customHeight="1" thickBot="1" x14ac:dyDescent="0.35">
      <c r="A326" s="96"/>
      <c r="B326" s="96"/>
      <c r="C326" s="34" t="s">
        <v>129</v>
      </c>
      <c r="D326" s="35">
        <f t="shared" ref="D326:L326" si="104">IF(((D324="")*AND(D325="")),"",(D324-D325)*3)</f>
        <v>8667.8999999999978</v>
      </c>
      <c r="E326" s="35">
        <f t="shared" si="104"/>
        <v>8999.3099999999904</v>
      </c>
      <c r="F326" s="35">
        <f t="shared" si="104"/>
        <v>8894.4599999999991</v>
      </c>
      <c r="G326" s="35">
        <f t="shared" si="104"/>
        <v>9109.0800000000017</v>
      </c>
      <c r="H326" s="35">
        <f t="shared" si="104"/>
        <v>9052.1999999999935</v>
      </c>
      <c r="I326" s="35">
        <f t="shared" si="104"/>
        <v>8541.8999999999978</v>
      </c>
      <c r="J326" s="35">
        <f t="shared" si="104"/>
        <v>8635.6499999999978</v>
      </c>
      <c r="K326" s="35">
        <f t="shared" si="104"/>
        <v>9315.4500000000044</v>
      </c>
      <c r="L326" s="35">
        <f t="shared" si="104"/>
        <v>9555.3900000000031</v>
      </c>
      <c r="M326" s="36"/>
      <c r="N326" s="36"/>
      <c r="O326" s="36"/>
      <c r="P326" s="36"/>
      <c r="Q326" s="36"/>
      <c r="R326" s="37"/>
      <c r="S326" s="38"/>
      <c r="T326" s="57"/>
      <c r="U326" s="52"/>
      <c r="V326" s="51"/>
      <c r="W326" s="51"/>
      <c r="X326" s="52"/>
      <c r="Y326" s="52"/>
      <c r="Z326" s="53"/>
      <c r="AA326" s="53"/>
    </row>
    <row r="327" spans="1:27" x14ac:dyDescent="0.3">
      <c r="A327" s="97">
        <v>43109</v>
      </c>
      <c r="B327" s="117" t="s">
        <v>431</v>
      </c>
      <c r="C327" s="26" t="s">
        <v>126</v>
      </c>
      <c r="D327" s="16">
        <v>29169.81</v>
      </c>
      <c r="E327" s="16">
        <v>28975.5</v>
      </c>
      <c r="F327" s="16">
        <v>29023.08</v>
      </c>
      <c r="G327" s="16">
        <v>28963.46</v>
      </c>
      <c r="H327" s="16">
        <v>29204.15</v>
      </c>
      <c r="I327" s="16">
        <v>29143.19</v>
      </c>
      <c r="J327" s="16">
        <v>28956.89</v>
      </c>
      <c r="K327" s="16">
        <v>28962.73</v>
      </c>
      <c r="L327" s="16">
        <v>29176.74</v>
      </c>
      <c r="M327" s="27">
        <f>IF((L328=""),"",MAX(D329:L329))</f>
        <v>10891.830000000002</v>
      </c>
      <c r="N327" s="27">
        <f>IF(L328="","",MIN(D329:L329))</f>
        <v>9725.3999999999978</v>
      </c>
      <c r="O327" s="27">
        <f>IF((L329=""),"",AVERAGE(D329:L329))</f>
        <v>10356.893333333333</v>
      </c>
      <c r="P327" s="27">
        <f>IF((L328=""),"",STDEV(D329:L329))</f>
        <v>362.11789199099394</v>
      </c>
      <c r="Q327" s="27">
        <f>IF((L328=""),"",P327/O327*100)</f>
        <v>3.4963949162779242</v>
      </c>
      <c r="R327" s="28" t="str">
        <f>IF(L328="","",IF(Q327&lt;Z327,IF(N327&gt;V327,IF(M327&lt;W327,"Pass","Fail"),"Fail"),"Fail"))</f>
        <v>Pass</v>
      </c>
      <c r="S327" s="29">
        <v>121</v>
      </c>
      <c r="U327" s="55" t="s">
        <v>190</v>
      </c>
      <c r="V327" s="54">
        <v>9000</v>
      </c>
      <c r="W327" s="22">
        <v>15600</v>
      </c>
      <c r="X327" s="40">
        <v>8090</v>
      </c>
      <c r="Y327" s="40">
        <v>12070</v>
      </c>
      <c r="Z327" s="47">
        <v>6</v>
      </c>
      <c r="AA327" s="47">
        <v>6</v>
      </c>
    </row>
    <row r="328" spans="1:27" ht="15.75" customHeight="1" x14ac:dyDescent="0.3">
      <c r="A328" s="96"/>
      <c r="B328" s="96"/>
      <c r="C328" s="30" t="s">
        <v>128</v>
      </c>
      <c r="D328" s="16">
        <v>25820.59</v>
      </c>
      <c r="E328" s="16">
        <v>25513.67</v>
      </c>
      <c r="F328" s="16">
        <v>25549.88</v>
      </c>
      <c r="G328" s="16">
        <v>25443.42</v>
      </c>
      <c r="H328" s="16">
        <v>25723.23</v>
      </c>
      <c r="I328" s="16">
        <v>25901.39</v>
      </c>
      <c r="J328" s="16">
        <v>25609.58</v>
      </c>
      <c r="K328" s="16">
        <v>25396.98</v>
      </c>
      <c r="L328" s="16">
        <v>25546.13</v>
      </c>
      <c r="M328" s="31"/>
      <c r="N328" s="31"/>
      <c r="O328" s="31"/>
      <c r="P328" s="31"/>
      <c r="Q328" s="31"/>
      <c r="R328" s="32"/>
      <c r="S328" s="33"/>
      <c r="T328" s="56"/>
      <c r="V328" s="48"/>
      <c r="W328" s="48"/>
      <c r="X328" s="49"/>
      <c r="Y328" s="49"/>
      <c r="Z328" s="50"/>
      <c r="AA328" s="50"/>
    </row>
    <row r="329" spans="1:27" ht="16.5" customHeight="1" thickBot="1" x14ac:dyDescent="0.35">
      <c r="A329" s="96"/>
      <c r="B329" s="96"/>
      <c r="C329" s="34" t="s">
        <v>129</v>
      </c>
      <c r="D329" s="35">
        <f t="shared" ref="D329:L329" si="105">IF(((D327="")*AND(D328="")),"",(D327-D328)*3)</f>
        <v>10047.660000000003</v>
      </c>
      <c r="E329" s="35">
        <f t="shared" si="105"/>
        <v>10385.490000000005</v>
      </c>
      <c r="F329" s="35">
        <f t="shared" si="105"/>
        <v>10419.600000000002</v>
      </c>
      <c r="G329" s="35">
        <f t="shared" si="105"/>
        <v>10560.120000000003</v>
      </c>
      <c r="H329" s="35">
        <f t="shared" si="105"/>
        <v>10442.760000000006</v>
      </c>
      <c r="I329" s="35">
        <f t="shared" si="105"/>
        <v>9725.3999999999978</v>
      </c>
      <c r="J329" s="35">
        <f t="shared" si="105"/>
        <v>10041.929999999993</v>
      </c>
      <c r="K329" s="35">
        <f t="shared" si="105"/>
        <v>10697.25</v>
      </c>
      <c r="L329" s="35">
        <f t="shared" si="105"/>
        <v>10891.830000000002</v>
      </c>
      <c r="M329" s="36"/>
      <c r="N329" s="36"/>
      <c r="O329" s="36"/>
      <c r="P329" s="36"/>
      <c r="Q329" s="36"/>
      <c r="R329" s="37"/>
      <c r="S329" s="38"/>
      <c r="T329" s="57"/>
      <c r="U329" s="52"/>
      <c r="V329" s="51"/>
      <c r="W329" s="51"/>
      <c r="X329" s="52"/>
      <c r="Y329" s="52"/>
      <c r="Z329" s="53"/>
      <c r="AA329" s="53"/>
    </row>
    <row r="330" spans="1:27" x14ac:dyDescent="0.3">
      <c r="A330" s="97">
        <v>43111</v>
      </c>
      <c r="B330" s="117" t="s">
        <v>431</v>
      </c>
      <c r="C330" s="26" t="s">
        <v>126</v>
      </c>
      <c r="D330" s="16">
        <v>29164.77</v>
      </c>
      <c r="E330" s="16">
        <v>28944.46</v>
      </c>
      <c r="F330" s="16">
        <v>28940.66</v>
      </c>
      <c r="G330" s="16">
        <v>28931.38</v>
      </c>
      <c r="H330" s="16">
        <v>29180.58</v>
      </c>
      <c r="I330" s="16">
        <v>29134.7</v>
      </c>
      <c r="J330" s="16">
        <v>28938.18</v>
      </c>
      <c r="K330" s="16">
        <v>28934.49</v>
      </c>
      <c r="L330" s="16">
        <v>29181.39</v>
      </c>
      <c r="M330" s="27">
        <f>IF((L331=""),"",MAX(D332:L332))</f>
        <v>9597.5400000000009</v>
      </c>
      <c r="N330" s="27">
        <f>IF(L331="","",MIN(D332:L332))</f>
        <v>8536.77</v>
      </c>
      <c r="O330" s="27">
        <f>IF((L332=""),"",AVERAGE(D332:L332))</f>
        <v>9059.963333333335</v>
      </c>
      <c r="P330" s="27">
        <f>IF((L331=""),"",STDEV(D332:L332))</f>
        <v>379.95445430998814</v>
      </c>
      <c r="Q330" s="27">
        <f>IF((L331=""),"",P330/O330*100)</f>
        <v>4.1937747464392396</v>
      </c>
      <c r="R330" s="28" t="str">
        <f>IF(L331="","",IF(Q330&lt;Z330,IF(N330&gt;V330,IF(M330&lt;W330,"Pass","Fail"),"Fail"),"Fail"))</f>
        <v>Fail</v>
      </c>
      <c r="S330" s="29">
        <v>121</v>
      </c>
      <c r="U330" s="55" t="s">
        <v>191</v>
      </c>
      <c r="V330" s="54">
        <v>9000</v>
      </c>
      <c r="W330" s="22">
        <v>15600</v>
      </c>
      <c r="X330" s="40">
        <v>8090</v>
      </c>
      <c r="Y330" s="40">
        <v>12070</v>
      </c>
      <c r="Z330" s="47">
        <v>6</v>
      </c>
      <c r="AA330" s="47">
        <v>6</v>
      </c>
    </row>
    <row r="331" spans="1:27" ht="15.75" customHeight="1" x14ac:dyDescent="0.3">
      <c r="A331" s="96"/>
      <c r="B331" s="96"/>
      <c r="C331" s="30" t="s">
        <v>128</v>
      </c>
      <c r="D331" s="16">
        <v>26019.64</v>
      </c>
      <c r="E331" s="16">
        <v>25835.37</v>
      </c>
      <c r="F331" s="16">
        <v>25953.360000000001</v>
      </c>
      <c r="G331" s="16">
        <v>25950.12</v>
      </c>
      <c r="H331" s="16">
        <v>26334.99</v>
      </c>
      <c r="I331" s="16">
        <v>25935.52</v>
      </c>
      <c r="J331" s="16">
        <v>25820.87</v>
      </c>
      <c r="K331" s="16">
        <v>26027.99</v>
      </c>
      <c r="L331" s="16">
        <v>26292.86</v>
      </c>
      <c r="M331" s="31"/>
      <c r="N331" s="31"/>
      <c r="O331" s="31"/>
      <c r="P331" s="31"/>
      <c r="Q331" s="31"/>
      <c r="R331" s="32"/>
      <c r="S331" s="33"/>
      <c r="T331" s="56"/>
      <c r="V331" s="48"/>
      <c r="W331" s="48"/>
      <c r="X331" s="49"/>
      <c r="Y331" s="49"/>
      <c r="Z331" s="50"/>
      <c r="AA331" s="50"/>
    </row>
    <row r="332" spans="1:27" ht="16.5" customHeight="1" thickBot="1" x14ac:dyDescent="0.35">
      <c r="A332" s="96"/>
      <c r="B332" s="96"/>
      <c r="C332" s="34" t="s">
        <v>129</v>
      </c>
      <c r="D332" s="35">
        <f t="shared" ref="D332:L332" si="106">IF(((D330="")*AND(D331="")),"",(D330-D331)*3)</f>
        <v>9435.3900000000031</v>
      </c>
      <c r="E332" s="35">
        <f t="shared" si="106"/>
        <v>9327.27</v>
      </c>
      <c r="F332" s="35">
        <f t="shared" si="106"/>
        <v>8961.8999999999978</v>
      </c>
      <c r="G332" s="35">
        <f t="shared" si="106"/>
        <v>8943.7800000000061</v>
      </c>
      <c r="H332" s="35">
        <f t="shared" si="106"/>
        <v>8536.77</v>
      </c>
      <c r="I332" s="35">
        <f t="shared" si="106"/>
        <v>9597.5400000000009</v>
      </c>
      <c r="J332" s="35">
        <f t="shared" si="106"/>
        <v>9351.9300000000039</v>
      </c>
      <c r="K332" s="35">
        <f t="shared" si="106"/>
        <v>8719.5</v>
      </c>
      <c r="L332" s="35">
        <f t="shared" si="106"/>
        <v>8665.5899999999965</v>
      </c>
      <c r="M332" s="36"/>
      <c r="N332" s="36"/>
      <c r="O332" s="36"/>
      <c r="P332" s="36"/>
      <c r="Q332" s="36"/>
      <c r="R332" s="37"/>
      <c r="S332" s="38"/>
      <c r="T332" s="57"/>
      <c r="U332" s="52"/>
      <c r="V332" s="51"/>
      <c r="W332" s="51"/>
      <c r="X332" s="52"/>
      <c r="Y332" s="52"/>
      <c r="Z332" s="53"/>
      <c r="AA332" s="53"/>
    </row>
    <row r="333" spans="1:27" x14ac:dyDescent="0.3">
      <c r="A333" s="97">
        <v>43111</v>
      </c>
      <c r="B333" s="117" t="s">
        <v>431</v>
      </c>
      <c r="C333" s="26" t="s">
        <v>126</v>
      </c>
      <c r="D333" s="16">
        <v>29321.68</v>
      </c>
      <c r="E333" s="16">
        <v>29159.19</v>
      </c>
      <c r="F333" s="16">
        <v>29217.09</v>
      </c>
      <c r="G333" s="16">
        <v>29142.95</v>
      </c>
      <c r="H333" s="16">
        <v>29358.55</v>
      </c>
      <c r="I333" s="16">
        <v>29303.200000000001</v>
      </c>
      <c r="J333" s="16">
        <v>29130.98</v>
      </c>
      <c r="K333" s="16">
        <v>29161.15</v>
      </c>
      <c r="L333" s="16">
        <v>29375.4</v>
      </c>
      <c r="M333" s="27">
        <f>IF((L334=""),"",MAX(D335:L335))</f>
        <v>10809.21</v>
      </c>
      <c r="N333" s="27">
        <f>IF(L334="","",MIN(D335:L335))</f>
        <v>9744.6000000000022</v>
      </c>
      <c r="O333" s="27">
        <f>IF((L335=""),"",AVERAGE(D335:L335))</f>
        <v>10334.136666666665</v>
      </c>
      <c r="P333" s="27">
        <f>IF((L334=""),"",STDEV(D335:L335))</f>
        <v>351.96501278536175</v>
      </c>
      <c r="Q333" s="27">
        <f>IF((L334=""),"",P333/O333*100)</f>
        <v>3.4058482497202163</v>
      </c>
      <c r="R333" s="28" t="str">
        <f>IF(L334="","",IF(Q333&lt;Z333,IF(N333&gt;V333,IF(M333&lt;W333,"Pass","Fail"),"Fail"),"Fail"))</f>
        <v>Pass</v>
      </c>
      <c r="S333" s="29">
        <v>121</v>
      </c>
      <c r="U333" s="55" t="s">
        <v>192</v>
      </c>
      <c r="V333" s="54">
        <v>9000</v>
      </c>
      <c r="W333" s="22">
        <v>15600</v>
      </c>
      <c r="X333" s="40">
        <v>8090</v>
      </c>
      <c r="Y333" s="40">
        <v>12070</v>
      </c>
      <c r="Z333" s="47">
        <v>6</v>
      </c>
      <c r="AA333" s="47">
        <v>6</v>
      </c>
    </row>
    <row r="334" spans="1:27" ht="15.75" customHeight="1" x14ac:dyDescent="0.3">
      <c r="A334" s="96"/>
      <c r="B334" s="96"/>
      <c r="C334" s="30" t="s">
        <v>128</v>
      </c>
      <c r="D334" s="16">
        <v>25995.06</v>
      </c>
      <c r="E334" s="16">
        <v>25716.21</v>
      </c>
      <c r="F334" s="16">
        <v>25753.19</v>
      </c>
      <c r="G334" s="16">
        <v>25625.88</v>
      </c>
      <c r="H334" s="16">
        <v>25862.45</v>
      </c>
      <c r="I334" s="16">
        <v>26055</v>
      </c>
      <c r="J334" s="16">
        <v>25788.55</v>
      </c>
      <c r="K334" s="16">
        <v>25599.11</v>
      </c>
      <c r="L334" s="16">
        <v>25772.33</v>
      </c>
      <c r="M334" s="31"/>
      <c r="N334" s="31"/>
      <c r="O334" s="31"/>
      <c r="P334" s="31"/>
      <c r="Q334" s="31"/>
      <c r="R334" s="32"/>
      <c r="S334" s="33"/>
      <c r="T334" s="56"/>
      <c r="V334" s="48"/>
      <c r="W334" s="48"/>
      <c r="X334" s="49"/>
      <c r="Y334" s="49"/>
      <c r="Z334" s="50"/>
      <c r="AA334" s="50"/>
    </row>
    <row r="335" spans="1:27" ht="16.5" customHeight="1" thickBot="1" x14ac:dyDescent="0.35">
      <c r="A335" s="96"/>
      <c r="B335" s="96"/>
      <c r="C335" s="34" t="s">
        <v>129</v>
      </c>
      <c r="D335" s="35">
        <f t="shared" ref="D335:L335" si="107">IF(((D333="")*AND(D334="")),"",(D333-D334)*3)</f>
        <v>9979.8599999999969</v>
      </c>
      <c r="E335" s="35">
        <f t="shared" si="107"/>
        <v>10328.939999999999</v>
      </c>
      <c r="F335" s="35">
        <f t="shared" si="107"/>
        <v>10391.700000000004</v>
      </c>
      <c r="G335" s="35">
        <f t="shared" si="107"/>
        <v>10551.21</v>
      </c>
      <c r="H335" s="35">
        <f t="shared" si="107"/>
        <v>10488.299999999996</v>
      </c>
      <c r="I335" s="35">
        <f t="shared" si="107"/>
        <v>9744.6000000000022</v>
      </c>
      <c r="J335" s="35">
        <f t="shared" si="107"/>
        <v>10027.290000000001</v>
      </c>
      <c r="K335" s="35">
        <f t="shared" si="107"/>
        <v>10686.120000000003</v>
      </c>
      <c r="L335" s="35">
        <f t="shared" si="107"/>
        <v>10809.21</v>
      </c>
      <c r="M335" s="36"/>
      <c r="N335" s="36"/>
      <c r="O335" s="36"/>
      <c r="P335" s="36"/>
      <c r="Q335" s="36"/>
      <c r="R335" s="37"/>
      <c r="S335" s="38"/>
      <c r="T335" s="57"/>
      <c r="U335" s="52"/>
      <c r="V335" s="51"/>
      <c r="W335" s="51"/>
      <c r="X335" s="52"/>
      <c r="Y335" s="52"/>
      <c r="Z335" s="53"/>
      <c r="AA335" s="53"/>
    </row>
    <row r="336" spans="1:27" x14ac:dyDescent="0.3">
      <c r="A336" s="97">
        <v>43115</v>
      </c>
      <c r="B336" s="117" t="s">
        <v>431</v>
      </c>
      <c r="C336" s="26" t="s">
        <v>126</v>
      </c>
      <c r="D336" s="16">
        <v>29159.63</v>
      </c>
      <c r="E336" s="16">
        <v>28999.89</v>
      </c>
      <c r="F336" s="16">
        <v>29050.69</v>
      </c>
      <c r="G336" s="16">
        <v>28977.759999999998</v>
      </c>
      <c r="H336" s="16">
        <v>29190.02</v>
      </c>
      <c r="I336" s="16">
        <v>29157.96</v>
      </c>
      <c r="J336" s="16">
        <v>28974.75</v>
      </c>
      <c r="K336" s="16">
        <v>28976.54</v>
      </c>
      <c r="L336" s="16">
        <v>29194.15</v>
      </c>
      <c r="M336" s="27">
        <f>IF((L337=""),"",MAX(D338:L338))</f>
        <v>9490.77</v>
      </c>
      <c r="N336" s="27">
        <f>IF(L337="","",MIN(D338:L338))</f>
        <v>8270.9399999999987</v>
      </c>
      <c r="O336" s="27">
        <f>IF((L338=""),"",AVERAGE(D338:L338))</f>
        <v>8868.3733333333312</v>
      </c>
      <c r="P336" s="27">
        <f>IF((L337=""),"",STDEV(D338:L338))</f>
        <v>439.96740975895125</v>
      </c>
      <c r="Q336" s="27">
        <f>IF((L337=""),"",P336/O336*100)</f>
        <v>4.9610835405999074</v>
      </c>
      <c r="R336" s="28" t="str">
        <f>IF(L337="","",IF(Q336&lt;Z336,IF(N336&gt;V336,IF(M336&lt;W336,"Pass","Fail"),"Fail"),"Fail"))</f>
        <v>Fail</v>
      </c>
      <c r="S336" s="29">
        <v>1159</v>
      </c>
      <c r="T336" s="55"/>
      <c r="U336" s="40"/>
      <c r="V336" s="54">
        <v>9000</v>
      </c>
      <c r="W336" s="22">
        <v>15600</v>
      </c>
      <c r="X336" s="40">
        <v>8090</v>
      </c>
      <c r="Y336" s="40">
        <v>12070</v>
      </c>
      <c r="Z336" s="47">
        <v>6</v>
      </c>
      <c r="AA336" s="47">
        <v>6</v>
      </c>
    </row>
    <row r="337" spans="1:27" ht="15.75" customHeight="1" x14ac:dyDescent="0.3">
      <c r="A337" s="96"/>
      <c r="B337" s="96"/>
      <c r="C337" s="30" t="s">
        <v>128</v>
      </c>
      <c r="D337" s="16">
        <v>26402.65</v>
      </c>
      <c r="E337" s="16">
        <v>26091.55</v>
      </c>
      <c r="F337" s="16">
        <v>26108.22</v>
      </c>
      <c r="G337" s="16">
        <v>25908.22</v>
      </c>
      <c r="H337" s="16">
        <v>26106.37</v>
      </c>
      <c r="I337" s="16">
        <v>26360.31</v>
      </c>
      <c r="J337" s="16">
        <v>26160.23</v>
      </c>
      <c r="K337" s="16">
        <v>25908.16</v>
      </c>
      <c r="L337" s="16">
        <v>26030.560000000001</v>
      </c>
      <c r="M337" s="31"/>
      <c r="N337" s="31"/>
      <c r="O337" s="31"/>
      <c r="P337" s="31"/>
      <c r="Q337" s="31"/>
      <c r="R337" s="32"/>
      <c r="S337" s="33"/>
      <c r="T337" s="56"/>
      <c r="V337" s="48"/>
      <c r="W337" s="48"/>
      <c r="X337" s="49"/>
      <c r="Y337" s="49"/>
      <c r="Z337" s="50"/>
      <c r="AA337" s="50"/>
    </row>
    <row r="338" spans="1:27" ht="16.5" customHeight="1" thickBot="1" x14ac:dyDescent="0.35">
      <c r="A338" s="96"/>
      <c r="B338" s="96"/>
      <c r="C338" s="34" t="s">
        <v>129</v>
      </c>
      <c r="D338" s="35">
        <f t="shared" ref="D338:L338" si="108">IF(((D336="")*AND(D337="")),"",(D336-D337)*3)</f>
        <v>8270.9399999999987</v>
      </c>
      <c r="E338" s="35">
        <f t="shared" si="108"/>
        <v>8725.02</v>
      </c>
      <c r="F338" s="35">
        <f t="shared" si="108"/>
        <v>8827.4099999999926</v>
      </c>
      <c r="G338" s="35">
        <f t="shared" si="108"/>
        <v>9208.6199999999917</v>
      </c>
      <c r="H338" s="35">
        <f t="shared" si="108"/>
        <v>9250.9500000000044</v>
      </c>
      <c r="I338" s="35">
        <f t="shared" si="108"/>
        <v>8392.9499999999935</v>
      </c>
      <c r="J338" s="35">
        <f t="shared" si="108"/>
        <v>8443.5600000000013</v>
      </c>
      <c r="K338" s="35">
        <f t="shared" si="108"/>
        <v>9205.1400000000031</v>
      </c>
      <c r="L338" s="35">
        <f t="shared" si="108"/>
        <v>9490.77</v>
      </c>
      <c r="M338" s="36"/>
      <c r="N338" s="36"/>
      <c r="O338" s="36"/>
      <c r="P338" s="36"/>
      <c r="Q338" s="36"/>
      <c r="R338" s="37"/>
      <c r="S338" s="38"/>
      <c r="T338" s="57"/>
      <c r="U338" s="52"/>
      <c r="V338" s="51"/>
      <c r="W338" s="51"/>
      <c r="X338" s="52"/>
      <c r="Y338" s="52"/>
      <c r="Z338" s="53"/>
      <c r="AA338" s="53"/>
    </row>
    <row r="339" spans="1:27" x14ac:dyDescent="0.3">
      <c r="A339" s="97">
        <v>43115</v>
      </c>
      <c r="B339" s="117" t="s">
        <v>431</v>
      </c>
      <c r="C339" s="26" t="s">
        <v>126</v>
      </c>
      <c r="D339" s="16">
        <v>29300.71</v>
      </c>
      <c r="E339" s="16">
        <v>29164.55</v>
      </c>
      <c r="F339" s="16">
        <v>29159.11</v>
      </c>
      <c r="G339" s="16">
        <v>29167.53</v>
      </c>
      <c r="H339" s="16">
        <v>29361.87</v>
      </c>
      <c r="I339" s="16">
        <v>29309.86</v>
      </c>
      <c r="J339" s="16">
        <v>29149.78</v>
      </c>
      <c r="K339" s="16">
        <v>29152.86</v>
      </c>
      <c r="L339" s="16">
        <v>29344.92</v>
      </c>
      <c r="M339" s="27">
        <f>IF((L340=""),"",MAX(D341:L341))</f>
        <v>10870.71</v>
      </c>
      <c r="N339" s="27">
        <f>IF(L340="","",MIN(D341:L341))</f>
        <v>9728.4900000000052</v>
      </c>
      <c r="O339" s="27">
        <f>IF((L341=""),"",AVERAGE(D341:L341))</f>
        <v>10355.226666666664</v>
      </c>
      <c r="P339" s="27">
        <f>IF((L340=""),"",STDEV(D341:L341))</f>
        <v>418.55471464313956</v>
      </c>
      <c r="Q339" s="27">
        <f>IF((L340=""),"",P339/O339*100)</f>
        <v>4.0419657446076149</v>
      </c>
      <c r="R339" s="28" t="str">
        <f>IF(L340="","",IF(Q339&lt;Z339,IF(N339&gt;V339,IF(M339&lt;W339,"Pass","Fail"),"Fail"),"Fail"))</f>
        <v>Pass</v>
      </c>
      <c r="S339" s="29">
        <v>1159</v>
      </c>
      <c r="T339" s="55" t="s">
        <v>193</v>
      </c>
      <c r="U339" s="40"/>
      <c r="V339" s="54">
        <v>9000</v>
      </c>
      <c r="W339" s="22">
        <v>15600</v>
      </c>
      <c r="X339" s="40">
        <v>8090</v>
      </c>
      <c r="Y339" s="40">
        <v>12070</v>
      </c>
      <c r="Z339" s="47">
        <v>6</v>
      </c>
      <c r="AA339" s="47">
        <v>6</v>
      </c>
    </row>
    <row r="340" spans="1:27" ht="15.75" customHeight="1" x14ac:dyDescent="0.3">
      <c r="A340" s="96"/>
      <c r="B340" s="96"/>
      <c r="C340" s="30" t="s">
        <v>128</v>
      </c>
      <c r="D340" s="16">
        <v>26022.97</v>
      </c>
      <c r="E340" s="16">
        <v>25719.31</v>
      </c>
      <c r="F340" s="16">
        <v>25717.7</v>
      </c>
      <c r="G340" s="16">
        <v>25603.66</v>
      </c>
      <c r="H340" s="16">
        <v>25789.09</v>
      </c>
      <c r="I340" s="16">
        <v>26067.03</v>
      </c>
      <c r="J340" s="16">
        <v>25812.22</v>
      </c>
      <c r="K340" s="16">
        <v>25592.18</v>
      </c>
      <c r="L340" s="16">
        <v>25721.35</v>
      </c>
      <c r="M340" s="31"/>
      <c r="N340" s="31"/>
      <c r="O340" s="31"/>
      <c r="P340" s="31"/>
      <c r="Q340" s="31"/>
      <c r="R340" s="32"/>
      <c r="S340" s="33"/>
      <c r="T340" s="56"/>
      <c r="V340" s="48"/>
      <c r="W340" s="48"/>
      <c r="X340" s="49"/>
      <c r="Y340" s="49"/>
      <c r="Z340" s="50"/>
      <c r="AA340" s="50"/>
    </row>
    <row r="341" spans="1:27" ht="16.5" customHeight="1" thickBot="1" x14ac:dyDescent="0.35">
      <c r="A341" s="96"/>
      <c r="B341" s="96"/>
      <c r="C341" s="34" t="s">
        <v>129</v>
      </c>
      <c r="D341" s="35">
        <f t="shared" ref="D341:L341" si="109">IF(((D339="")*AND(D340="")),"",(D339-D340)*3)</f>
        <v>9833.2199999999939</v>
      </c>
      <c r="E341" s="35">
        <f t="shared" si="109"/>
        <v>10335.719999999994</v>
      </c>
      <c r="F341" s="35">
        <f t="shared" si="109"/>
        <v>10324.23</v>
      </c>
      <c r="G341" s="35">
        <f t="shared" si="109"/>
        <v>10691.609999999997</v>
      </c>
      <c r="H341" s="35">
        <f t="shared" si="109"/>
        <v>10718.339999999997</v>
      </c>
      <c r="I341" s="35">
        <f t="shared" si="109"/>
        <v>9728.4900000000052</v>
      </c>
      <c r="J341" s="35">
        <f t="shared" si="109"/>
        <v>10012.679999999993</v>
      </c>
      <c r="K341" s="35">
        <f t="shared" si="109"/>
        <v>10682.04</v>
      </c>
      <c r="L341" s="35">
        <f t="shared" si="109"/>
        <v>10870.71</v>
      </c>
      <c r="M341" s="36"/>
      <c r="N341" s="36"/>
      <c r="O341" s="36"/>
      <c r="P341" s="36"/>
      <c r="Q341" s="36"/>
      <c r="R341" s="37"/>
      <c r="S341" s="38"/>
      <c r="T341" s="57"/>
      <c r="U341" s="52"/>
      <c r="V341" s="51"/>
      <c r="W341" s="51"/>
      <c r="X341" s="52"/>
      <c r="Y341" s="52"/>
      <c r="Z341" s="53"/>
      <c r="AA341" s="53"/>
    </row>
    <row r="342" spans="1:27" x14ac:dyDescent="0.3">
      <c r="A342" s="97">
        <v>43121</v>
      </c>
      <c r="B342" s="117" t="s">
        <v>431</v>
      </c>
      <c r="C342" s="26" t="s">
        <v>126</v>
      </c>
      <c r="D342" s="16">
        <v>29222.21</v>
      </c>
      <c r="E342" s="16">
        <v>29048.87</v>
      </c>
      <c r="F342" s="16">
        <v>29033.279999999999</v>
      </c>
      <c r="G342" s="16">
        <v>29029.86</v>
      </c>
      <c r="H342" s="16">
        <v>29251</v>
      </c>
      <c r="I342" s="16">
        <v>29214.5</v>
      </c>
      <c r="J342" s="16">
        <v>29020.1</v>
      </c>
      <c r="K342" s="16">
        <v>29031.54</v>
      </c>
      <c r="L342" s="16">
        <v>29269.46</v>
      </c>
      <c r="M342" s="27">
        <f>IF((L343=""),"",MAX(D344:L344))</f>
        <v>10396.379999999997</v>
      </c>
      <c r="N342" s="27">
        <f>IF(L343="","",MIN(D344:L344))</f>
        <v>9117.7200000000048</v>
      </c>
      <c r="O342" s="27">
        <f>IF((L344=""),"",AVERAGE(D344:L344))</f>
        <v>9802.9233333333323</v>
      </c>
      <c r="P342" s="27">
        <f>IF((L343=""),"",STDEV(D344:L344))</f>
        <v>420.06480503012727</v>
      </c>
      <c r="Q342" s="27">
        <f>IF((L343=""),"",P342/O342*100)</f>
        <v>4.285097319916412</v>
      </c>
      <c r="R342" s="28" t="str">
        <f>IF(L343="","",IF(Q342&lt;Z342,IF(N342&gt;V342,IF(M342&lt;W342,"Pass","Fail"),"Fail"),"Fail"))</f>
        <v>Pass</v>
      </c>
      <c r="S342" s="29">
        <v>1159</v>
      </c>
      <c r="T342" s="55" t="s">
        <v>194</v>
      </c>
      <c r="U342" s="40"/>
      <c r="V342" s="54">
        <v>9000</v>
      </c>
      <c r="W342" s="22">
        <v>15600</v>
      </c>
      <c r="X342" s="40">
        <v>8090</v>
      </c>
      <c r="Y342" s="40">
        <v>12070</v>
      </c>
      <c r="Z342" s="47">
        <v>6</v>
      </c>
      <c r="AA342" s="47">
        <v>6</v>
      </c>
    </row>
    <row r="343" spans="1:27" ht="15.75" customHeight="1" x14ac:dyDescent="0.3">
      <c r="A343" s="96"/>
      <c r="B343" s="96"/>
      <c r="C343" s="30" t="s">
        <v>128</v>
      </c>
      <c r="D343" s="16">
        <v>26096.17</v>
      </c>
      <c r="E343" s="16">
        <v>25781.34</v>
      </c>
      <c r="F343" s="16">
        <v>25762.82</v>
      </c>
      <c r="G343" s="16">
        <v>25675.49</v>
      </c>
      <c r="H343" s="16">
        <v>25892.36</v>
      </c>
      <c r="I343" s="16">
        <v>26175.26</v>
      </c>
      <c r="J343" s="16">
        <v>25878.35</v>
      </c>
      <c r="K343" s="16">
        <v>25646.26</v>
      </c>
      <c r="L343" s="16">
        <v>25804</v>
      </c>
      <c r="M343" s="31"/>
      <c r="N343" s="31"/>
      <c r="O343" s="31"/>
      <c r="P343" s="31"/>
      <c r="Q343" s="31"/>
      <c r="R343" s="32"/>
      <c r="S343" s="33"/>
      <c r="T343" s="56"/>
      <c r="V343" s="48"/>
      <c r="W343" s="48"/>
      <c r="X343" s="49"/>
      <c r="Y343" s="49"/>
      <c r="Z343" s="50"/>
      <c r="AA343" s="50"/>
    </row>
    <row r="344" spans="1:27" ht="16.5" customHeight="1" thickBot="1" x14ac:dyDescent="0.35">
      <c r="A344" s="96"/>
      <c r="B344" s="96"/>
      <c r="C344" s="34" t="s">
        <v>129</v>
      </c>
      <c r="D344" s="35">
        <f t="shared" ref="D344:L344" si="110">IF(((D342="")*AND(D343="")),"",(D342-D343)*3)</f>
        <v>9378.1200000000026</v>
      </c>
      <c r="E344" s="35">
        <f t="shared" si="110"/>
        <v>9802.5899999999965</v>
      </c>
      <c r="F344" s="35">
        <f t="shared" si="110"/>
        <v>9811.3799999999974</v>
      </c>
      <c r="G344" s="35">
        <f t="shared" si="110"/>
        <v>10063.109999999997</v>
      </c>
      <c r="H344" s="35">
        <f t="shared" si="110"/>
        <v>10075.919999999998</v>
      </c>
      <c r="I344" s="35">
        <f t="shared" si="110"/>
        <v>9117.7200000000048</v>
      </c>
      <c r="J344" s="35">
        <f t="shared" si="110"/>
        <v>9425.25</v>
      </c>
      <c r="K344" s="35">
        <f t="shared" si="110"/>
        <v>10155.840000000007</v>
      </c>
      <c r="L344" s="35">
        <f t="shared" si="110"/>
        <v>10396.379999999997</v>
      </c>
      <c r="M344" s="36"/>
      <c r="N344" s="36"/>
      <c r="O344" s="36"/>
      <c r="P344" s="36"/>
      <c r="Q344" s="36"/>
      <c r="R344" s="37"/>
      <c r="S344" s="38"/>
      <c r="T344" s="57"/>
      <c r="U344" s="52"/>
      <c r="V344" s="51"/>
      <c r="W344" s="51"/>
      <c r="X344" s="52"/>
      <c r="Y344" s="52"/>
      <c r="Z344" s="53"/>
      <c r="AA344" s="53"/>
    </row>
    <row r="345" spans="1:27" x14ac:dyDescent="0.3">
      <c r="A345" s="97">
        <v>43125</v>
      </c>
      <c r="B345" s="117" t="s">
        <v>431</v>
      </c>
      <c r="C345" s="26" t="s">
        <v>126</v>
      </c>
      <c r="D345" s="16">
        <v>29434.63</v>
      </c>
      <c r="E345" s="16">
        <v>29256.720000000001</v>
      </c>
      <c r="F345" s="16">
        <v>29322.84</v>
      </c>
      <c r="G345" s="16">
        <v>29252.97</v>
      </c>
      <c r="H345" s="16">
        <v>29441.66</v>
      </c>
      <c r="I345" s="16">
        <v>29451</v>
      </c>
      <c r="J345" s="16">
        <v>29258.01</v>
      </c>
      <c r="K345" s="16">
        <v>29249.22</v>
      </c>
      <c r="L345" s="16">
        <v>29455.119999999999</v>
      </c>
      <c r="M345" s="27">
        <f>IF((L346=""),"",MAX(D347:L347))</f>
        <v>9637.3500000000022</v>
      </c>
      <c r="N345" s="27">
        <f>IF(L346="","",MIN(D347:L347))</f>
        <v>8473.4100000000035</v>
      </c>
      <c r="O345" s="27">
        <f>IF((L347=""),"",AVERAGE(D347:L347))</f>
        <v>9140.463333333335</v>
      </c>
      <c r="P345" s="27">
        <f>IF((L346=""),"",STDEV(D347:L347))</f>
        <v>377.61575275006743</v>
      </c>
      <c r="Q345" s="27">
        <f>IF((L346=""),"",P345/O345*100)</f>
        <v>4.1312539526632381</v>
      </c>
      <c r="R345" s="28" t="str">
        <f>IF(L346="","",IF(Q345&lt;Z345,IF(N345&gt;V345,IF(M345&lt;W345,"Pass","Fail"),"Fail"),"Fail"))</f>
        <v>Fail</v>
      </c>
      <c r="S345" s="29">
        <v>102</v>
      </c>
      <c r="T345" s="55"/>
      <c r="U345" s="40"/>
      <c r="V345" s="54">
        <v>9000</v>
      </c>
      <c r="W345" s="22">
        <v>15600</v>
      </c>
      <c r="X345" s="40">
        <v>8090</v>
      </c>
      <c r="Y345" s="40">
        <v>12070</v>
      </c>
      <c r="Z345" s="47">
        <v>6</v>
      </c>
      <c r="AA345" s="47">
        <v>6</v>
      </c>
    </row>
    <row r="346" spans="1:27" ht="15.75" customHeight="1" x14ac:dyDescent="0.3">
      <c r="A346" s="96"/>
      <c r="B346" s="96"/>
      <c r="C346" s="30" t="s">
        <v>128</v>
      </c>
      <c r="D346" s="16">
        <v>26281.43</v>
      </c>
      <c r="E346" s="16">
        <v>26101.73</v>
      </c>
      <c r="F346" s="16">
        <v>26294.799999999999</v>
      </c>
      <c r="G346" s="16">
        <v>26258.49</v>
      </c>
      <c r="H346" s="16">
        <v>26617.19</v>
      </c>
      <c r="I346" s="16">
        <v>26238.55</v>
      </c>
      <c r="J346" s="16">
        <v>26121.07</v>
      </c>
      <c r="K346" s="16">
        <v>26288.240000000002</v>
      </c>
      <c r="L346" s="16">
        <v>26499.279999999999</v>
      </c>
      <c r="M346" s="31"/>
      <c r="N346" s="31"/>
      <c r="O346" s="31"/>
      <c r="P346" s="31"/>
      <c r="Q346" s="31"/>
      <c r="R346" s="32"/>
      <c r="S346" s="33"/>
      <c r="T346" s="56"/>
      <c r="V346" s="48"/>
      <c r="W346" s="48"/>
      <c r="X346" s="49"/>
      <c r="Y346" s="49"/>
      <c r="Z346" s="50"/>
      <c r="AA346" s="50"/>
    </row>
    <row r="347" spans="1:27" ht="16.5" customHeight="1" thickBot="1" x14ac:dyDescent="0.35">
      <c r="A347" s="96"/>
      <c r="B347" s="96"/>
      <c r="C347" s="34" t="s">
        <v>129</v>
      </c>
      <c r="D347" s="35">
        <f t="shared" ref="D347:L347" si="111">IF(((D345="")*AND(D346="")),"",(D345-D346)*3)</f>
        <v>9459.6000000000022</v>
      </c>
      <c r="E347" s="35">
        <f t="shared" si="111"/>
        <v>9464.9700000000048</v>
      </c>
      <c r="F347" s="35">
        <f t="shared" si="111"/>
        <v>9084.1200000000026</v>
      </c>
      <c r="G347" s="35">
        <f t="shared" si="111"/>
        <v>8983.4399999999987</v>
      </c>
      <c r="H347" s="35">
        <f t="shared" si="111"/>
        <v>8473.4100000000035</v>
      </c>
      <c r="I347" s="35">
        <f t="shared" si="111"/>
        <v>9637.3500000000022</v>
      </c>
      <c r="J347" s="35">
        <f t="shared" si="111"/>
        <v>9410.8199999999961</v>
      </c>
      <c r="K347" s="35">
        <f t="shared" si="111"/>
        <v>8882.9399999999987</v>
      </c>
      <c r="L347" s="35">
        <f t="shared" si="111"/>
        <v>8867.52</v>
      </c>
      <c r="M347" s="36"/>
      <c r="N347" s="36"/>
      <c r="O347" s="36"/>
      <c r="P347" s="36"/>
      <c r="Q347" s="36"/>
      <c r="R347" s="37"/>
      <c r="S347" s="38"/>
      <c r="T347" s="57"/>
      <c r="U347" s="52"/>
      <c r="V347" s="51"/>
      <c r="W347" s="51"/>
      <c r="X347" s="52"/>
      <c r="Y347" s="52"/>
      <c r="Z347" s="53"/>
      <c r="AA347" s="53"/>
    </row>
    <row r="348" spans="1:27" x14ac:dyDescent="0.3">
      <c r="A348" s="97">
        <v>43129</v>
      </c>
      <c r="B348" s="117" t="s">
        <v>431</v>
      </c>
      <c r="C348" s="26" t="s">
        <v>126</v>
      </c>
      <c r="D348" s="16">
        <v>29369.54</v>
      </c>
      <c r="E348" s="16">
        <v>29206.25</v>
      </c>
      <c r="F348" s="16">
        <v>29279.93</v>
      </c>
      <c r="G348" s="16">
        <v>29218.53</v>
      </c>
      <c r="H348" s="16">
        <v>29425.78</v>
      </c>
      <c r="I348" s="16">
        <v>29366.43</v>
      </c>
      <c r="J348" s="16">
        <v>29197.68</v>
      </c>
      <c r="K348" s="16">
        <v>29225.08</v>
      </c>
      <c r="L348" s="16">
        <v>29434.58</v>
      </c>
      <c r="M348" s="27">
        <f>IF((L349=""),"",MAX(D350:L350))</f>
        <v>10185.030000000006</v>
      </c>
      <c r="N348" s="27">
        <f>IF(L349="","",MIN(D350:L350))</f>
        <v>9132.3599999999969</v>
      </c>
      <c r="O348" s="27">
        <f>IF((L350=""),"",AVERAGE(D350:L350))</f>
        <v>9669.760000000002</v>
      </c>
      <c r="P348" s="27">
        <f>IF((L349=""),"",STDEV(D350:L350))</f>
        <v>391.74481024003552</v>
      </c>
      <c r="Q348" s="27">
        <f>IF((L349=""),"",P348/O348*100)</f>
        <v>4.0512361241647721</v>
      </c>
      <c r="R348" s="28" t="str">
        <f>IF(L349="","",IF(Q348&lt;Z348,IF(N348&gt;V348,IF(M348&lt;W348,"Pass","Fail"),"Fail"),"Fail"))</f>
        <v>Pass</v>
      </c>
      <c r="S348" s="29" t="s">
        <v>67</v>
      </c>
      <c r="T348" s="55" t="s">
        <v>195</v>
      </c>
      <c r="U348" s="40"/>
      <c r="V348" s="54">
        <v>9000</v>
      </c>
      <c r="W348" s="22">
        <v>15600</v>
      </c>
      <c r="X348" s="40">
        <v>8090</v>
      </c>
      <c r="Y348" s="40">
        <v>12070</v>
      </c>
      <c r="Z348" s="47">
        <v>6</v>
      </c>
      <c r="AA348" s="47">
        <v>6</v>
      </c>
    </row>
    <row r="349" spans="1:27" ht="15.75" customHeight="1" x14ac:dyDescent="0.3">
      <c r="A349" s="96"/>
      <c r="B349" s="96"/>
      <c r="C349" s="30" t="s">
        <v>128</v>
      </c>
      <c r="D349" s="16">
        <v>26308.47</v>
      </c>
      <c r="E349" s="16">
        <v>26008.17</v>
      </c>
      <c r="F349" s="16">
        <v>26069.13</v>
      </c>
      <c r="G349" s="16">
        <v>25889.17</v>
      </c>
      <c r="H349" s="16">
        <v>26103.69</v>
      </c>
      <c r="I349" s="16">
        <v>26322.31</v>
      </c>
      <c r="J349" s="16">
        <v>26088.85</v>
      </c>
      <c r="K349" s="16">
        <v>25885.16</v>
      </c>
      <c r="L349" s="16">
        <v>26039.57</v>
      </c>
      <c r="M349" s="31"/>
      <c r="N349" s="31"/>
      <c r="O349" s="31"/>
      <c r="P349" s="31"/>
      <c r="Q349" s="31"/>
      <c r="R349" s="32"/>
      <c r="S349" s="33"/>
      <c r="T349" s="56"/>
      <c r="V349" s="48"/>
      <c r="W349" s="48"/>
      <c r="X349" s="49"/>
      <c r="Y349" s="49"/>
      <c r="Z349" s="50"/>
      <c r="AA349" s="50"/>
    </row>
    <row r="350" spans="1:27" ht="16.5" customHeight="1" thickBot="1" x14ac:dyDescent="0.35">
      <c r="A350" s="96"/>
      <c r="B350" s="96"/>
      <c r="C350" s="34" t="s">
        <v>129</v>
      </c>
      <c r="D350" s="35">
        <f t="shared" ref="D350:L350" si="112">IF(((D348="")*AND(D349="")),"",(D348-D349)*3)</f>
        <v>9183.2099999999991</v>
      </c>
      <c r="E350" s="35">
        <f t="shared" si="112"/>
        <v>9594.2400000000052</v>
      </c>
      <c r="F350" s="35">
        <f t="shared" si="112"/>
        <v>9632.3999999999978</v>
      </c>
      <c r="G350" s="35">
        <f t="shared" si="112"/>
        <v>9988.0800000000017</v>
      </c>
      <c r="H350" s="35">
        <f t="shared" si="112"/>
        <v>9966.27</v>
      </c>
      <c r="I350" s="35">
        <f t="shared" si="112"/>
        <v>9132.3599999999969</v>
      </c>
      <c r="J350" s="35">
        <f t="shared" si="112"/>
        <v>9326.4900000000052</v>
      </c>
      <c r="K350" s="35">
        <f t="shared" si="112"/>
        <v>10019.760000000006</v>
      </c>
      <c r="L350" s="35">
        <f t="shared" si="112"/>
        <v>10185.030000000006</v>
      </c>
      <c r="M350" s="36"/>
      <c r="N350" s="36"/>
      <c r="O350" s="36"/>
      <c r="P350" s="36"/>
      <c r="Q350" s="36"/>
      <c r="R350" s="37"/>
      <c r="S350" s="38"/>
      <c r="T350" s="57"/>
      <c r="U350" s="52"/>
      <c r="V350" s="51"/>
      <c r="W350" s="51"/>
      <c r="X350" s="52"/>
      <c r="Y350" s="52"/>
      <c r="Z350" s="53"/>
      <c r="AA350" s="53"/>
    </row>
    <row r="351" spans="1:27" x14ac:dyDescent="0.3">
      <c r="A351" s="97">
        <v>43133</v>
      </c>
      <c r="B351" s="117" t="s">
        <v>431</v>
      </c>
      <c r="C351" s="26" t="s">
        <v>126</v>
      </c>
      <c r="D351" s="16">
        <v>29317.82</v>
      </c>
      <c r="E351" s="16">
        <v>29134.21</v>
      </c>
      <c r="F351" s="16">
        <v>29147.3</v>
      </c>
      <c r="G351" s="16">
        <v>29149.03</v>
      </c>
      <c r="H351" s="16">
        <v>29360.23</v>
      </c>
      <c r="I351" s="16">
        <v>29345.62</v>
      </c>
      <c r="J351" s="16">
        <v>29140.720000000001</v>
      </c>
      <c r="K351" s="16">
        <v>29143.13</v>
      </c>
      <c r="L351" s="16">
        <v>29402.86</v>
      </c>
      <c r="M351" s="27">
        <f>IF((L352=""),"",MAX(D353:L353))</f>
        <v>11032.140000000003</v>
      </c>
      <c r="N351" s="27">
        <f>IF(L352="","",MIN(D353:L353))</f>
        <v>10202.73</v>
      </c>
      <c r="O351" s="27">
        <f>IF((L353=""),"",AVERAGE(D353:L353))</f>
        <v>10617.376666666667</v>
      </c>
      <c r="P351" s="27">
        <f>IF((L352=""),"",STDEV(D353:L353))</f>
        <v>300.64178680782237</v>
      </c>
      <c r="Q351" s="27">
        <f>IF((L352=""),"",P351/O351*100)</f>
        <v>2.8316014044381554</v>
      </c>
      <c r="R351" s="28" t="str">
        <f>IF(L352="","",IF(Q351&lt;Z351,IF(N351&gt;V351,IF(M351&lt;W351,"Pass","Fail"),"Fail"),"Fail"))</f>
        <v>Pass</v>
      </c>
      <c r="S351" s="29">
        <v>1335</v>
      </c>
      <c r="T351" s="55" t="s">
        <v>196</v>
      </c>
      <c r="U351" s="40"/>
      <c r="V351" s="54">
        <v>9000</v>
      </c>
      <c r="W351" s="22">
        <v>15600</v>
      </c>
      <c r="X351" s="40">
        <v>8090</v>
      </c>
      <c r="Y351" s="40">
        <v>12070</v>
      </c>
      <c r="Z351" s="47">
        <v>6</v>
      </c>
      <c r="AA351" s="47">
        <v>6</v>
      </c>
    </row>
    <row r="352" spans="1:27" ht="15.75" customHeight="1" x14ac:dyDescent="0.3">
      <c r="A352" s="96"/>
      <c r="B352" s="96"/>
      <c r="C352" s="30" t="s">
        <v>128</v>
      </c>
      <c r="D352" s="16">
        <v>25910.84</v>
      </c>
      <c r="E352" s="16">
        <v>25618.77</v>
      </c>
      <c r="F352" s="16">
        <v>25608.41</v>
      </c>
      <c r="G352" s="16">
        <v>25526.91</v>
      </c>
      <c r="H352" s="16">
        <v>25745.75</v>
      </c>
      <c r="I352" s="16">
        <v>25944.71</v>
      </c>
      <c r="J352" s="16">
        <v>25678.69</v>
      </c>
      <c r="K352" s="16">
        <v>25529.23</v>
      </c>
      <c r="L352" s="16">
        <v>25725.48</v>
      </c>
      <c r="M352" s="31"/>
      <c r="N352" s="31"/>
      <c r="O352" s="31"/>
      <c r="P352" s="31"/>
      <c r="Q352" s="31"/>
      <c r="R352" s="32"/>
      <c r="S352" s="33"/>
      <c r="T352" s="56"/>
      <c r="V352" s="48"/>
      <c r="W352" s="48"/>
      <c r="X352" s="49"/>
      <c r="Y352" s="49"/>
      <c r="Z352" s="50"/>
      <c r="AA352" s="50"/>
    </row>
    <row r="353" spans="1:27" ht="16.5" customHeight="1" thickBot="1" x14ac:dyDescent="0.35">
      <c r="A353" s="96"/>
      <c r="B353" s="96"/>
      <c r="C353" s="34" t="s">
        <v>129</v>
      </c>
      <c r="D353" s="35">
        <f t="shared" ref="D353:L353" si="113">IF(((D351="")*AND(D352="")),"",(D351-D352)*3)</f>
        <v>10220.939999999999</v>
      </c>
      <c r="E353" s="35">
        <f t="shared" si="113"/>
        <v>10546.319999999996</v>
      </c>
      <c r="F353" s="35">
        <f t="shared" si="113"/>
        <v>10616.669999999998</v>
      </c>
      <c r="G353" s="35">
        <f t="shared" si="113"/>
        <v>10866.359999999997</v>
      </c>
      <c r="H353" s="35">
        <f t="shared" si="113"/>
        <v>10843.439999999999</v>
      </c>
      <c r="I353" s="35">
        <f t="shared" si="113"/>
        <v>10202.73</v>
      </c>
      <c r="J353" s="35">
        <f t="shared" si="113"/>
        <v>10386.090000000007</v>
      </c>
      <c r="K353" s="35">
        <f t="shared" si="113"/>
        <v>10841.700000000004</v>
      </c>
      <c r="L353" s="35">
        <f t="shared" si="113"/>
        <v>11032.140000000003</v>
      </c>
      <c r="M353" s="36"/>
      <c r="N353" s="36"/>
      <c r="O353" s="36"/>
      <c r="P353" s="36"/>
      <c r="Q353" s="36"/>
      <c r="R353" s="37"/>
      <c r="S353" s="38"/>
      <c r="T353" s="57"/>
      <c r="U353" s="52"/>
      <c r="V353" s="51"/>
      <c r="W353" s="51"/>
      <c r="X353" s="52"/>
      <c r="Y353" s="52"/>
      <c r="Z353" s="53"/>
      <c r="AA353" s="53"/>
    </row>
    <row r="354" spans="1:27" x14ac:dyDescent="0.3">
      <c r="A354" s="97">
        <v>43133</v>
      </c>
      <c r="B354" s="117" t="s">
        <v>431</v>
      </c>
      <c r="C354" s="26" t="s">
        <v>126</v>
      </c>
      <c r="D354" s="16">
        <v>29337.09</v>
      </c>
      <c r="E354" s="16">
        <v>29159.86</v>
      </c>
      <c r="F354" s="16">
        <v>29146.75</v>
      </c>
      <c r="G354" s="16">
        <v>29123.200000000001</v>
      </c>
      <c r="H354" s="16">
        <v>29335.05</v>
      </c>
      <c r="I354" s="16">
        <v>29293.45</v>
      </c>
      <c r="J354" s="16">
        <v>29126.41</v>
      </c>
      <c r="K354" s="16">
        <v>29144.92</v>
      </c>
      <c r="L354" s="16">
        <v>29391.360000000001</v>
      </c>
      <c r="M354" s="27">
        <f>IF((L355=""),"",MAX(D356:L356))</f>
        <v>10260.870000000003</v>
      </c>
      <c r="N354" s="27">
        <f>IF(L355="","",MIN(D356:L356))</f>
        <v>9497.5499999999956</v>
      </c>
      <c r="O354" s="27">
        <f>IF((L356=""),"",AVERAGE(D356:L356))</f>
        <v>9940.090000000002</v>
      </c>
      <c r="P354" s="27">
        <f>IF((L355=""),"",STDEV(D356:L356))</f>
        <v>274.37045344752602</v>
      </c>
      <c r="Q354" s="27">
        <f>IF((L355=""),"",P354/O354*100)</f>
        <v>2.7602411391398465</v>
      </c>
      <c r="R354" s="28" t="str">
        <f>IF(L355="","",IF(Q354&lt;Z354,IF(N354&gt;V354,IF(M354&lt;W354,"Pass","Fail"),"Fail"),"Fail"))</f>
        <v>Pass</v>
      </c>
      <c r="S354" s="29">
        <v>1335</v>
      </c>
      <c r="U354" s="55" t="s">
        <v>197</v>
      </c>
      <c r="V354" s="54">
        <v>9000</v>
      </c>
      <c r="W354" s="22">
        <v>15600</v>
      </c>
      <c r="X354" s="40">
        <v>8090</v>
      </c>
      <c r="Y354" s="40">
        <v>12070</v>
      </c>
      <c r="Z354" s="47">
        <v>6</v>
      </c>
      <c r="AA354" s="47">
        <v>6</v>
      </c>
    </row>
    <row r="355" spans="1:27" ht="15.75" customHeight="1" x14ac:dyDescent="0.3">
      <c r="A355" s="96"/>
      <c r="B355" s="96"/>
      <c r="C355" s="30" t="s">
        <v>128</v>
      </c>
      <c r="D355" s="16">
        <v>25929.01</v>
      </c>
      <c r="E355" s="16">
        <v>25739.57</v>
      </c>
      <c r="F355" s="16">
        <v>25830.63</v>
      </c>
      <c r="G355" s="16">
        <v>25809.98</v>
      </c>
      <c r="H355" s="16">
        <v>26169.200000000001</v>
      </c>
      <c r="I355" s="16">
        <v>25926.29</v>
      </c>
      <c r="J355" s="16">
        <v>25744.73</v>
      </c>
      <c r="K355" s="16">
        <v>25896.63</v>
      </c>
      <c r="L355" s="16">
        <v>26191.78</v>
      </c>
      <c r="M355" s="31"/>
      <c r="N355" s="31"/>
      <c r="O355" s="31"/>
      <c r="P355" s="31"/>
      <c r="Q355" s="31"/>
      <c r="R355" s="32"/>
      <c r="S355" s="33"/>
      <c r="T355" s="56"/>
      <c r="V355" s="48"/>
      <c r="W355" s="48"/>
      <c r="X355" s="49"/>
      <c r="Y355" s="49"/>
      <c r="Z355" s="50"/>
      <c r="AA355" s="50"/>
    </row>
    <row r="356" spans="1:27" ht="16.5" customHeight="1" thickBot="1" x14ac:dyDescent="0.35">
      <c r="A356" s="96"/>
      <c r="B356" s="96"/>
      <c r="C356" s="34" t="s">
        <v>129</v>
      </c>
      <c r="D356" s="35">
        <f t="shared" ref="D356:L356" si="114">IF(((D354="")*AND(D355="")),"",(D354-D355)*3)</f>
        <v>10224.240000000005</v>
      </c>
      <c r="E356" s="35">
        <f t="shared" si="114"/>
        <v>10260.870000000003</v>
      </c>
      <c r="F356" s="35">
        <f t="shared" si="114"/>
        <v>9948.3599999999969</v>
      </c>
      <c r="G356" s="35">
        <f t="shared" si="114"/>
        <v>9939.6600000000035</v>
      </c>
      <c r="H356" s="35">
        <f t="shared" si="114"/>
        <v>9497.5499999999956</v>
      </c>
      <c r="I356" s="35">
        <f t="shared" si="114"/>
        <v>10101.48</v>
      </c>
      <c r="J356" s="35">
        <f t="shared" si="114"/>
        <v>10145.040000000001</v>
      </c>
      <c r="K356" s="35">
        <f t="shared" si="114"/>
        <v>9744.8699999999917</v>
      </c>
      <c r="L356" s="35">
        <f t="shared" si="114"/>
        <v>9598.7400000000052</v>
      </c>
      <c r="M356" s="36"/>
      <c r="N356" s="36"/>
      <c r="O356" s="36"/>
      <c r="P356" s="36"/>
      <c r="Q356" s="36"/>
      <c r="R356" s="37"/>
      <c r="S356" s="38"/>
      <c r="T356" s="57"/>
      <c r="U356" s="52"/>
      <c r="V356" s="51"/>
      <c r="W356" s="51"/>
      <c r="X356" s="52"/>
      <c r="Y356" s="52"/>
      <c r="Z356" s="53"/>
      <c r="AA356" s="53"/>
    </row>
    <row r="357" spans="1:27" x14ac:dyDescent="0.3">
      <c r="A357" s="97">
        <v>43137</v>
      </c>
      <c r="B357" s="117" t="s">
        <v>431</v>
      </c>
      <c r="C357" s="26" t="s">
        <v>126</v>
      </c>
      <c r="D357" s="16">
        <v>29313.91</v>
      </c>
      <c r="E357" s="16">
        <v>29128.91</v>
      </c>
      <c r="F357" s="16">
        <v>29183.360000000001</v>
      </c>
      <c r="G357" s="16">
        <v>29115.37</v>
      </c>
      <c r="H357" s="16">
        <v>29343.07</v>
      </c>
      <c r="I357" s="16">
        <v>29306.37</v>
      </c>
      <c r="J357" s="16">
        <v>29114.06</v>
      </c>
      <c r="K357" s="16">
        <v>29132.02</v>
      </c>
      <c r="L357" s="16">
        <v>29421.08</v>
      </c>
      <c r="M357" s="27">
        <f>IF((L358=""),"",MAX(D359:L359))</f>
        <v>9677.8500000000022</v>
      </c>
      <c r="N357" s="27">
        <f>IF(L358="","",MIN(D359:L359))</f>
        <v>8469.9900000000052</v>
      </c>
      <c r="O357" s="27">
        <f>IF((L359=""),"",AVERAGE(D359:L359))</f>
        <v>9036.8866666666654</v>
      </c>
      <c r="P357" s="27">
        <f>IF((L358=""),"",STDEV(D359:L359))</f>
        <v>401.20431668291013</v>
      </c>
      <c r="Q357" s="27">
        <f>IF((L358=""),"",P357/O357*100)</f>
        <v>4.4396298358237338</v>
      </c>
      <c r="R357" s="28" t="str">
        <f>IF(L358="","",IF(Q357&lt;Z357,IF(N357&gt;V357,IF(M357&lt;W357,"Pass","Fail"),"Fail"),"Fail"))</f>
        <v>Fail</v>
      </c>
      <c r="S357" s="29">
        <v>1519</v>
      </c>
      <c r="T357" s="55"/>
      <c r="U357" s="40"/>
      <c r="V357" s="54">
        <v>9000</v>
      </c>
      <c r="W357" s="22">
        <v>15600</v>
      </c>
      <c r="X357" s="40">
        <v>8090</v>
      </c>
      <c r="Y357" s="40">
        <v>12070</v>
      </c>
      <c r="Z357" s="47">
        <v>6</v>
      </c>
      <c r="AA357" s="47">
        <v>6</v>
      </c>
    </row>
    <row r="358" spans="1:27" ht="15.75" customHeight="1" x14ac:dyDescent="0.3">
      <c r="A358" s="96"/>
      <c r="B358" s="96"/>
      <c r="C358" s="30" t="s">
        <v>128</v>
      </c>
      <c r="D358" s="16">
        <v>26458.74</v>
      </c>
      <c r="E358" s="16">
        <v>26101.96</v>
      </c>
      <c r="F358" s="16">
        <v>26151.22</v>
      </c>
      <c r="G358" s="16">
        <v>26048.45</v>
      </c>
      <c r="H358" s="16">
        <v>26369.49</v>
      </c>
      <c r="I358" s="16">
        <v>26372.6</v>
      </c>
      <c r="J358" s="16">
        <v>26290.73</v>
      </c>
      <c r="K358" s="16">
        <v>25959.17</v>
      </c>
      <c r="L358" s="16">
        <v>26195.13</v>
      </c>
      <c r="M358" s="31"/>
      <c r="N358" s="31"/>
      <c r="O358" s="31"/>
      <c r="P358" s="31"/>
      <c r="Q358" s="31"/>
      <c r="R358" s="32"/>
      <c r="S358" s="33"/>
      <c r="T358" s="56"/>
      <c r="V358" s="48"/>
      <c r="W358" s="48"/>
      <c r="X358" s="49"/>
      <c r="Y358" s="49"/>
      <c r="Z358" s="50"/>
      <c r="AA358" s="50"/>
    </row>
    <row r="359" spans="1:27" ht="16.5" customHeight="1" thickBot="1" x14ac:dyDescent="0.35">
      <c r="A359" s="96"/>
      <c r="B359" s="96"/>
      <c r="C359" s="34" t="s">
        <v>129</v>
      </c>
      <c r="D359" s="35">
        <f t="shared" ref="D359:L359" si="115">IF(((D357="")*AND(D358="")),"",(D357-D358)*3)</f>
        <v>8565.5099999999948</v>
      </c>
      <c r="E359" s="35">
        <f t="shared" si="115"/>
        <v>9080.8500000000022</v>
      </c>
      <c r="F359" s="35">
        <f t="shared" si="115"/>
        <v>9096.4199999999983</v>
      </c>
      <c r="G359" s="35">
        <f t="shared" si="115"/>
        <v>9200.7599999999948</v>
      </c>
      <c r="H359" s="35">
        <f t="shared" si="115"/>
        <v>8920.7399999999943</v>
      </c>
      <c r="I359" s="35">
        <f t="shared" si="115"/>
        <v>8801.3100000000013</v>
      </c>
      <c r="J359" s="35">
        <f t="shared" si="115"/>
        <v>8469.9900000000052</v>
      </c>
      <c r="K359" s="35">
        <f t="shared" si="115"/>
        <v>9518.5500000000065</v>
      </c>
      <c r="L359" s="35">
        <f t="shared" si="115"/>
        <v>9677.8500000000022</v>
      </c>
      <c r="M359" s="36"/>
      <c r="N359" s="36"/>
      <c r="O359" s="36"/>
      <c r="P359" s="36"/>
      <c r="Q359" s="36"/>
      <c r="R359" s="37"/>
      <c r="S359" s="38"/>
      <c r="T359" s="57"/>
      <c r="U359" s="52"/>
      <c r="V359" s="51"/>
      <c r="W359" s="51"/>
      <c r="X359" s="52"/>
      <c r="Y359" s="52"/>
      <c r="Z359" s="53"/>
      <c r="AA359" s="53"/>
    </row>
    <row r="360" spans="1:27" x14ac:dyDescent="0.3">
      <c r="A360" s="97">
        <v>43138</v>
      </c>
      <c r="B360" s="117" t="s">
        <v>431</v>
      </c>
      <c r="C360" s="26" t="s">
        <v>126</v>
      </c>
      <c r="D360" s="16">
        <v>29268.95</v>
      </c>
      <c r="E360" s="16">
        <v>29090.99</v>
      </c>
      <c r="F360" s="16">
        <v>29085.13</v>
      </c>
      <c r="G360" s="16">
        <v>29085.65</v>
      </c>
      <c r="H360" s="16">
        <v>29323.759999999998</v>
      </c>
      <c r="I360" s="16">
        <v>29266.959999999999</v>
      </c>
      <c r="J360" s="16">
        <v>29072.95</v>
      </c>
      <c r="K360" s="16">
        <v>29079.3</v>
      </c>
      <c r="L360" s="16">
        <v>29359.55</v>
      </c>
      <c r="M360" s="27">
        <f>IF((L361=""),"",MAX(D362:L362))</f>
        <v>9483.929999999993</v>
      </c>
      <c r="N360" s="27">
        <f>IF(L361="","",MIN(D362:L362))</f>
        <v>8590.2000000000044</v>
      </c>
      <c r="O360" s="27">
        <f>IF((L362=""),"",AVERAGE(D362:L362))</f>
        <v>9136.7666666666664</v>
      </c>
      <c r="P360" s="27">
        <f>IF((L361=""),"",STDEV(D362:L362))</f>
        <v>321.01277793882122</v>
      </c>
      <c r="Q360" s="27">
        <f>IF((L361=""),"",P360/O360*100)</f>
        <v>3.5134177072723163</v>
      </c>
      <c r="R360" s="28" t="str">
        <f>IF(L361="","",IF(Q360&lt;Z360,IF(N360&gt;V360,IF(M360&lt;W360,"Pass","Fail"),"Fail"),"Fail"))</f>
        <v>Fail</v>
      </c>
      <c r="S360" s="29">
        <v>102</v>
      </c>
      <c r="U360" s="55" t="s">
        <v>198</v>
      </c>
      <c r="V360" s="54">
        <v>9000</v>
      </c>
      <c r="W360" s="22">
        <v>15600</v>
      </c>
      <c r="X360" s="40">
        <v>8090</v>
      </c>
      <c r="Y360" s="40">
        <v>12070</v>
      </c>
      <c r="Z360" s="47">
        <v>6</v>
      </c>
      <c r="AA360" s="47">
        <v>6</v>
      </c>
    </row>
    <row r="361" spans="1:27" ht="15.75" customHeight="1" x14ac:dyDescent="0.3">
      <c r="A361" s="96"/>
      <c r="B361" s="96"/>
      <c r="C361" s="30" t="s">
        <v>128</v>
      </c>
      <c r="D361" s="16">
        <v>26405.55</v>
      </c>
      <c r="E361" s="16">
        <v>26057.040000000001</v>
      </c>
      <c r="F361" s="16">
        <v>26030.85</v>
      </c>
      <c r="G361" s="16">
        <v>25937.38</v>
      </c>
      <c r="H361" s="16">
        <v>26203.98</v>
      </c>
      <c r="I361" s="16">
        <v>26337.9</v>
      </c>
      <c r="J361" s="16">
        <v>26109.82</v>
      </c>
      <c r="K361" s="16">
        <v>25942.18</v>
      </c>
      <c r="L361" s="16">
        <v>26198.240000000002</v>
      </c>
      <c r="M361" s="31"/>
      <c r="N361" s="31"/>
      <c r="O361" s="31"/>
      <c r="P361" s="31"/>
      <c r="Q361" s="31"/>
      <c r="R361" s="32"/>
      <c r="S361" s="33"/>
      <c r="T361" s="56"/>
      <c r="V361" s="48"/>
      <c r="W361" s="48"/>
      <c r="X361" s="49"/>
      <c r="Y361" s="49"/>
      <c r="Z361" s="50"/>
      <c r="AA361" s="50"/>
    </row>
    <row r="362" spans="1:27" ht="16.5" customHeight="1" thickBot="1" x14ac:dyDescent="0.35">
      <c r="A362" s="96"/>
      <c r="B362" s="96"/>
      <c r="C362" s="34" t="s">
        <v>129</v>
      </c>
      <c r="D362" s="35">
        <f t="shared" ref="D362:L362" si="116">IF(((D360="")*AND(D361="")),"",(D360-D361)*3)</f>
        <v>8590.2000000000044</v>
      </c>
      <c r="E362" s="35">
        <f t="shared" si="116"/>
        <v>9101.8500000000022</v>
      </c>
      <c r="F362" s="35">
        <f t="shared" si="116"/>
        <v>9162.8400000000074</v>
      </c>
      <c r="G362" s="35">
        <f t="shared" si="116"/>
        <v>9444.8100000000013</v>
      </c>
      <c r="H362" s="35">
        <f t="shared" si="116"/>
        <v>9359.3399999999965</v>
      </c>
      <c r="I362" s="35">
        <f t="shared" si="116"/>
        <v>8787.179999999993</v>
      </c>
      <c r="J362" s="35">
        <f t="shared" si="116"/>
        <v>8889.3900000000031</v>
      </c>
      <c r="K362" s="35">
        <f t="shared" si="116"/>
        <v>9411.3599999999969</v>
      </c>
      <c r="L362" s="35">
        <f t="shared" si="116"/>
        <v>9483.929999999993</v>
      </c>
      <c r="M362" s="36"/>
      <c r="N362" s="36"/>
      <c r="O362" s="36"/>
      <c r="P362" s="36"/>
      <c r="Q362" s="36"/>
      <c r="R362" s="37"/>
      <c r="S362" s="38"/>
      <c r="T362" s="57"/>
      <c r="U362" s="52"/>
      <c r="V362" s="51"/>
      <c r="W362" s="51"/>
      <c r="X362" s="52"/>
      <c r="Y362" s="52"/>
      <c r="Z362" s="53"/>
      <c r="AA362" s="53"/>
    </row>
    <row r="363" spans="1:27" x14ac:dyDescent="0.3">
      <c r="A363" s="97">
        <v>43138</v>
      </c>
      <c r="B363" s="117" t="s">
        <v>431</v>
      </c>
      <c r="C363" s="26" t="s">
        <v>126</v>
      </c>
      <c r="D363" s="16">
        <v>29249.65</v>
      </c>
      <c r="E363" s="16">
        <v>29098.42</v>
      </c>
      <c r="F363" s="16">
        <v>29156.2</v>
      </c>
      <c r="G363" s="16">
        <v>29090.639999999999</v>
      </c>
      <c r="H363" s="16">
        <v>29319.68</v>
      </c>
      <c r="I363" s="16">
        <v>29219.56</v>
      </c>
      <c r="J363" s="16">
        <v>29082.16</v>
      </c>
      <c r="K363" s="16">
        <v>29107.08</v>
      </c>
      <c r="L363" s="16">
        <v>29364.94</v>
      </c>
      <c r="M363" s="27">
        <f>IF((L364=""),"",MAX(D365:L365))</f>
        <v>9969.3599999999969</v>
      </c>
      <c r="N363" s="27">
        <f>IF(L364="","",MIN(D365:L365))</f>
        <v>9171.6299999999974</v>
      </c>
      <c r="O363" s="27">
        <f>IF((L365=""),"",AVERAGE(D365:L365))</f>
        <v>9544.0966666666682</v>
      </c>
      <c r="P363" s="27">
        <f>IF((L364=""),"",STDEV(D365:L365))</f>
        <v>284.51576880728408</v>
      </c>
      <c r="Q363" s="27">
        <f>IF((L364=""),"",P363/O363*100)</f>
        <v>2.9810654558956062</v>
      </c>
      <c r="R363" s="28" t="str">
        <f>IF(L364="","",IF(Q363&lt;Z363,IF(N363&gt;V363,IF(M363&lt;W363,"Pass","Fail"),"Fail"),"Fail"))</f>
        <v>Pass</v>
      </c>
      <c r="S363" s="29">
        <v>102</v>
      </c>
      <c r="T363" s="55"/>
      <c r="U363" s="40"/>
      <c r="V363" s="54">
        <v>9000</v>
      </c>
      <c r="W363" s="22">
        <v>15600</v>
      </c>
      <c r="X363" s="40">
        <v>8090</v>
      </c>
      <c r="Y363" s="40">
        <v>12070</v>
      </c>
      <c r="Z363" s="47">
        <v>6</v>
      </c>
      <c r="AA363" s="47">
        <v>6</v>
      </c>
    </row>
    <row r="364" spans="1:27" ht="15.75" customHeight="1" x14ac:dyDescent="0.3">
      <c r="A364" s="96"/>
      <c r="B364" s="96"/>
      <c r="C364" s="30" t="s">
        <v>128</v>
      </c>
      <c r="D364" s="16">
        <v>26153.39</v>
      </c>
      <c r="E364" s="16">
        <v>25957.46</v>
      </c>
      <c r="F364" s="16">
        <v>25983.63</v>
      </c>
      <c r="G364" s="16">
        <v>25836.55</v>
      </c>
      <c r="H364" s="16">
        <v>26093.599999999999</v>
      </c>
      <c r="I364" s="16">
        <v>26139.07</v>
      </c>
      <c r="J364" s="16">
        <v>26024.95</v>
      </c>
      <c r="K364" s="16">
        <v>25825.57</v>
      </c>
      <c r="L364" s="16">
        <v>26041.82</v>
      </c>
      <c r="M364" s="31"/>
      <c r="N364" s="31"/>
      <c r="O364" s="31"/>
      <c r="P364" s="31"/>
      <c r="Q364" s="31"/>
      <c r="R364" s="32"/>
      <c r="S364" s="33"/>
      <c r="T364" s="56"/>
      <c r="V364" s="48"/>
      <c r="W364" s="48"/>
      <c r="X364" s="49"/>
      <c r="Y364" s="49"/>
      <c r="Z364" s="50"/>
      <c r="AA364" s="50"/>
    </row>
    <row r="365" spans="1:27" ht="16.5" customHeight="1" thickBot="1" x14ac:dyDescent="0.35">
      <c r="A365" s="96"/>
      <c r="B365" s="96"/>
      <c r="C365" s="34" t="s">
        <v>129</v>
      </c>
      <c r="D365" s="35">
        <f t="shared" ref="D365:L365" si="117">IF(((D363="")*AND(D364="")),"",(D363-D364)*3)</f>
        <v>9288.7800000000061</v>
      </c>
      <c r="E365" s="35">
        <f t="shared" si="117"/>
        <v>9422.8799999999974</v>
      </c>
      <c r="F365" s="35">
        <f t="shared" si="117"/>
        <v>9517.7099999999991</v>
      </c>
      <c r="G365" s="35">
        <f t="shared" si="117"/>
        <v>9762.27</v>
      </c>
      <c r="H365" s="35">
        <f t="shared" si="117"/>
        <v>9678.2400000000052</v>
      </c>
      <c r="I365" s="35">
        <f t="shared" si="117"/>
        <v>9241.4700000000048</v>
      </c>
      <c r="J365" s="35">
        <f t="shared" si="117"/>
        <v>9171.6299999999974</v>
      </c>
      <c r="K365" s="35">
        <f t="shared" si="117"/>
        <v>9844.5300000000061</v>
      </c>
      <c r="L365" s="35">
        <f t="shared" si="117"/>
        <v>9969.3599999999969</v>
      </c>
      <c r="M365" s="36"/>
      <c r="N365" s="36"/>
      <c r="O365" s="36"/>
      <c r="P365" s="36"/>
      <c r="Q365" s="36"/>
      <c r="R365" s="37"/>
      <c r="S365" s="38"/>
      <c r="T365" s="57"/>
      <c r="U365" s="52"/>
      <c r="V365" s="51"/>
      <c r="W365" s="51"/>
      <c r="X365" s="52"/>
      <c r="Y365" s="52"/>
      <c r="Z365" s="53"/>
      <c r="AA365" s="53"/>
    </row>
    <row r="366" spans="1:27" x14ac:dyDescent="0.3">
      <c r="A366" s="97">
        <v>43141</v>
      </c>
      <c r="B366" s="117" t="s">
        <v>431</v>
      </c>
      <c r="C366" s="26" t="s">
        <v>126</v>
      </c>
      <c r="D366" s="16">
        <v>29261.919999999998</v>
      </c>
      <c r="E366" s="16">
        <v>29050.02</v>
      </c>
      <c r="F366" s="16">
        <v>29088.48</v>
      </c>
      <c r="G366" s="16">
        <v>29092.23</v>
      </c>
      <c r="H366" s="16">
        <v>29342.15</v>
      </c>
      <c r="I366" s="16">
        <v>29218.53</v>
      </c>
      <c r="J366" s="16">
        <v>29048.46</v>
      </c>
      <c r="K366" s="16">
        <v>29073.439999999999</v>
      </c>
      <c r="L366" s="16">
        <v>29313.52</v>
      </c>
      <c r="M366" s="27">
        <f>IF((L367=""),"",MAX(D368:L368))</f>
        <v>8811.6000000000022</v>
      </c>
      <c r="N366" s="27">
        <f>IF(L367="","",MIN(D368:L368))</f>
        <v>7691.4899999999943</v>
      </c>
      <c r="O366" s="27">
        <f>IF((L368=""),"",AVERAGE(D368:L368))</f>
        <v>8328.7699999999968</v>
      </c>
      <c r="P366" s="27">
        <f>IF((L367=""),"",STDEV(D368:L368))</f>
        <v>429.95765140301995</v>
      </c>
      <c r="Q366" s="27">
        <f>IF((L367=""),"",P366/O366*100)</f>
        <v>5.1623187025577622</v>
      </c>
      <c r="R366" s="28" t="str">
        <f>IF(L367="","",IF(Q366&lt;Z366,IF(N366&gt;V366,IF(M366&lt;W366,"Pass","Fail"),"Fail"),"Fail"))</f>
        <v>Fail</v>
      </c>
      <c r="S366" s="29">
        <v>102</v>
      </c>
      <c r="T366" s="55"/>
      <c r="U366" s="40"/>
      <c r="V366" s="54">
        <v>9000</v>
      </c>
      <c r="W366" s="22">
        <v>15600</v>
      </c>
      <c r="X366" s="40">
        <v>8090</v>
      </c>
      <c r="Y366" s="40">
        <v>12070</v>
      </c>
      <c r="Z366" s="47">
        <v>6</v>
      </c>
      <c r="AA366" s="47">
        <v>6</v>
      </c>
    </row>
    <row r="367" spans="1:27" ht="15.75" customHeight="1" x14ac:dyDescent="0.3">
      <c r="A367" s="96"/>
      <c r="B367" s="96"/>
      <c r="C367" s="30" t="s">
        <v>128</v>
      </c>
      <c r="D367" s="16">
        <v>26698.09</v>
      </c>
      <c r="E367" s="16">
        <v>26327.59</v>
      </c>
      <c r="F367" s="16">
        <v>26302.66</v>
      </c>
      <c r="G367" s="16">
        <v>26155.03</v>
      </c>
      <c r="H367" s="16">
        <v>26405.08</v>
      </c>
      <c r="I367" s="16">
        <v>26602.61</v>
      </c>
      <c r="J367" s="16">
        <v>26394.53</v>
      </c>
      <c r="K367" s="16">
        <v>26195.45</v>
      </c>
      <c r="L367" s="16">
        <v>26421.4</v>
      </c>
      <c r="M367" s="31"/>
      <c r="N367" s="31"/>
      <c r="O367" s="31"/>
      <c r="P367" s="31"/>
      <c r="Q367" s="31"/>
      <c r="R367" s="32"/>
      <c r="S367" s="33"/>
      <c r="T367" s="56"/>
      <c r="V367" s="48"/>
      <c r="W367" s="48"/>
      <c r="X367" s="49"/>
      <c r="Y367" s="49"/>
      <c r="Z367" s="50"/>
      <c r="AA367" s="50"/>
    </row>
    <row r="368" spans="1:27" ht="16.5" customHeight="1" thickBot="1" x14ac:dyDescent="0.35">
      <c r="A368" s="96"/>
      <c r="B368" s="96"/>
      <c r="C368" s="34" t="s">
        <v>129</v>
      </c>
      <c r="D368" s="35">
        <f t="shared" ref="D368:L368" si="118">IF(((D366="")*AND(D367="")),"",(D366-D367)*3)</f>
        <v>7691.4899999999943</v>
      </c>
      <c r="E368" s="35">
        <f t="shared" si="118"/>
        <v>8167.2900000000009</v>
      </c>
      <c r="F368" s="35">
        <f t="shared" si="118"/>
        <v>8357.4599999999991</v>
      </c>
      <c r="G368" s="35">
        <f t="shared" si="118"/>
        <v>8811.6000000000022</v>
      </c>
      <c r="H368" s="35">
        <f t="shared" si="118"/>
        <v>8811.2099999999991</v>
      </c>
      <c r="I368" s="35">
        <f t="shared" si="118"/>
        <v>7847.7599999999948</v>
      </c>
      <c r="J368" s="35">
        <f t="shared" si="118"/>
        <v>7961.7900000000009</v>
      </c>
      <c r="K368" s="35">
        <f t="shared" si="118"/>
        <v>8633.9699999999939</v>
      </c>
      <c r="L368" s="35">
        <f t="shared" si="118"/>
        <v>8676.3599999999969</v>
      </c>
      <c r="M368" s="36"/>
      <c r="N368" s="36"/>
      <c r="O368" s="36"/>
      <c r="P368" s="36"/>
      <c r="Q368" s="36"/>
      <c r="R368" s="37"/>
      <c r="S368" s="38"/>
      <c r="T368" s="57"/>
      <c r="U368" s="52"/>
      <c r="V368" s="51"/>
      <c r="W368" s="51"/>
      <c r="X368" s="52"/>
      <c r="Y368" s="52"/>
      <c r="Z368" s="53"/>
      <c r="AA368" s="53"/>
    </row>
    <row r="369" spans="1:27" x14ac:dyDescent="0.3">
      <c r="A369" s="97">
        <v>43141</v>
      </c>
      <c r="B369" s="117" t="s">
        <v>431</v>
      </c>
      <c r="C369" s="26" t="s">
        <v>126</v>
      </c>
      <c r="D369" s="16">
        <v>29294.71</v>
      </c>
      <c r="E369" s="16">
        <v>29294.71</v>
      </c>
      <c r="F369" s="16">
        <v>29294.71</v>
      </c>
      <c r="G369" s="16">
        <v>29134.91</v>
      </c>
      <c r="H369" s="16">
        <v>29363.73</v>
      </c>
      <c r="I369" s="16">
        <v>29400.29</v>
      </c>
      <c r="J369" s="16">
        <v>29114.61</v>
      </c>
      <c r="K369" s="16">
        <v>29138.78</v>
      </c>
      <c r="L369" s="16">
        <v>29356.44</v>
      </c>
      <c r="M369" s="27">
        <f>IF((L370=""),"",MAX(D371:L371))</f>
        <v>10057.349999999991</v>
      </c>
      <c r="N369" s="27">
        <f>IF(L370="","",MIN(D371:L371))</f>
        <v>9115.8300000000017</v>
      </c>
      <c r="O369" s="27">
        <f>IF((L371=""),"",AVERAGE(D371:L371))</f>
        <v>9686.746666666666</v>
      </c>
      <c r="P369" s="27">
        <f>IF((L370=""),"",STDEV(D371:L371))</f>
        <v>389.63621998602343</v>
      </c>
      <c r="Q369" s="27">
        <f>IF((L370=""),"",P369/O369*100)</f>
        <v>4.0223640959540266</v>
      </c>
      <c r="R369" s="28" t="str">
        <f>IF(L370="","",IF(Q369&lt;Z369,IF(N369&gt;V369,IF(M369&lt;W369,"Pass","Fail"),"Fail"),"Fail"))</f>
        <v>Pass</v>
      </c>
      <c r="S369" s="29">
        <v>102</v>
      </c>
      <c r="U369" s="55" t="s">
        <v>199</v>
      </c>
      <c r="V369" s="54">
        <v>9000</v>
      </c>
      <c r="W369" s="22">
        <v>15600</v>
      </c>
      <c r="X369" s="40">
        <v>8090</v>
      </c>
      <c r="Y369" s="40">
        <v>12070</v>
      </c>
      <c r="Z369" s="47">
        <v>6</v>
      </c>
      <c r="AA369" s="47">
        <v>6</v>
      </c>
    </row>
    <row r="370" spans="1:27" ht="15.75" customHeight="1" x14ac:dyDescent="0.3">
      <c r="A370" s="96"/>
      <c r="B370" s="96"/>
      <c r="C370" s="30" t="s">
        <v>128</v>
      </c>
      <c r="D370" s="16">
        <v>26256.1</v>
      </c>
      <c r="E370" s="16">
        <v>25961.87</v>
      </c>
      <c r="F370" s="16">
        <v>25973.54</v>
      </c>
      <c r="G370" s="16">
        <v>25838.22</v>
      </c>
      <c r="H370" s="16">
        <v>26095.119999999999</v>
      </c>
      <c r="I370" s="16">
        <v>26329.37</v>
      </c>
      <c r="J370" s="16">
        <v>26047.439999999999</v>
      </c>
      <c r="K370" s="16">
        <v>25827</v>
      </c>
      <c r="L370" s="16">
        <v>26003.99</v>
      </c>
      <c r="M370" s="31"/>
      <c r="N370" s="31"/>
      <c r="O370" s="31"/>
      <c r="P370" s="31"/>
      <c r="Q370" s="31"/>
      <c r="R370" s="32"/>
      <c r="S370" s="33"/>
      <c r="T370" s="56"/>
      <c r="V370" s="48"/>
      <c r="W370" s="48"/>
      <c r="X370" s="49"/>
      <c r="Y370" s="49"/>
      <c r="Z370" s="50"/>
      <c r="AA370" s="50"/>
    </row>
    <row r="371" spans="1:27" ht="16.5" customHeight="1" thickBot="1" x14ac:dyDescent="0.35">
      <c r="A371" s="96"/>
      <c r="B371" s="96"/>
      <c r="C371" s="34" t="s">
        <v>129</v>
      </c>
      <c r="D371" s="35">
        <f t="shared" ref="D371:L371" si="119">IF(((D369="")*AND(D370="")),"",(D369-D370)*3)</f>
        <v>9115.8300000000017</v>
      </c>
      <c r="E371" s="35">
        <f t="shared" si="119"/>
        <v>9998.52</v>
      </c>
      <c r="F371" s="35">
        <f t="shared" si="119"/>
        <v>9963.5099999999948</v>
      </c>
      <c r="G371" s="35">
        <f t="shared" si="119"/>
        <v>9890.0699999999961</v>
      </c>
      <c r="H371" s="35">
        <f t="shared" si="119"/>
        <v>9805.8300000000017</v>
      </c>
      <c r="I371" s="35">
        <f t="shared" si="119"/>
        <v>9212.7600000000057</v>
      </c>
      <c r="J371" s="35">
        <f t="shared" si="119"/>
        <v>9201.5100000000057</v>
      </c>
      <c r="K371" s="35">
        <f t="shared" si="119"/>
        <v>9935.3399999999965</v>
      </c>
      <c r="L371" s="35">
        <f t="shared" si="119"/>
        <v>10057.349999999991</v>
      </c>
      <c r="M371" s="36"/>
      <c r="N371" s="36"/>
      <c r="O371" s="36"/>
      <c r="P371" s="36"/>
      <c r="Q371" s="36"/>
      <c r="R371" s="37"/>
      <c r="S371" s="38"/>
      <c r="T371" s="57"/>
      <c r="U371" s="52"/>
      <c r="V371" s="51"/>
      <c r="W371" s="51"/>
      <c r="X371" s="52"/>
      <c r="Y371" s="52"/>
      <c r="Z371" s="53"/>
      <c r="AA371" s="53"/>
    </row>
    <row r="372" spans="1:27" x14ac:dyDescent="0.3">
      <c r="A372" s="97">
        <v>43144</v>
      </c>
      <c r="B372" s="117" t="s">
        <v>431</v>
      </c>
      <c r="C372" s="26" t="s">
        <v>126</v>
      </c>
      <c r="D372" s="16">
        <v>29449.66</v>
      </c>
      <c r="E372" s="16">
        <v>29311.9</v>
      </c>
      <c r="F372" s="16">
        <v>29374.59</v>
      </c>
      <c r="G372" s="16">
        <v>29305.53</v>
      </c>
      <c r="H372" s="16">
        <v>29540.85</v>
      </c>
      <c r="I372" s="16">
        <v>29450.34</v>
      </c>
      <c r="J372" s="16">
        <v>29300.19</v>
      </c>
      <c r="K372" s="16">
        <v>29292.7</v>
      </c>
      <c r="L372" s="16">
        <v>29504.82</v>
      </c>
      <c r="M372" s="27">
        <f>IF((L373=""),"",MAX(D374:L374))</f>
        <v>10561.410000000003</v>
      </c>
      <c r="N372" s="27">
        <f>IF(L373="","",MIN(D374:L374))</f>
        <v>9152.9100000000035</v>
      </c>
      <c r="O372" s="27">
        <f>IF((L374=""),"",AVERAGE(D374:L374))</f>
        <v>10024.183333333334</v>
      </c>
      <c r="P372" s="27">
        <f>IF((L373=""),"",STDEV(D374:L374))</f>
        <v>527.54247374026716</v>
      </c>
      <c r="Q372" s="27">
        <f>IF((L373=""),"",P372/O372*100)</f>
        <v>5.2626977799381871</v>
      </c>
      <c r="R372" s="28" t="str">
        <f>IF(L373="","",IF(Q372&lt;Z372,IF(N372&gt;V372,IF(M372&lt;W372,"Pass","Fail"),"Fail"),"Fail"))</f>
        <v>Pass</v>
      </c>
      <c r="S372" s="29">
        <v>1335</v>
      </c>
      <c r="V372" s="54">
        <v>9000</v>
      </c>
      <c r="W372" s="22">
        <v>15600</v>
      </c>
      <c r="X372" s="40">
        <v>8090</v>
      </c>
      <c r="Y372" s="40">
        <v>12070</v>
      </c>
      <c r="Z372" s="47">
        <v>6</v>
      </c>
      <c r="AA372" s="47">
        <v>6</v>
      </c>
    </row>
    <row r="373" spans="1:27" ht="15.75" customHeight="1" x14ac:dyDescent="0.3">
      <c r="A373" s="96"/>
      <c r="B373" s="96"/>
      <c r="C373" s="30" t="s">
        <v>128</v>
      </c>
      <c r="D373" s="16">
        <v>25984.99</v>
      </c>
      <c r="E373" s="16">
        <v>25826.560000000001</v>
      </c>
      <c r="F373" s="16">
        <v>25989.17</v>
      </c>
      <c r="G373" s="16">
        <v>25958.59</v>
      </c>
      <c r="H373" s="16">
        <v>26395.41</v>
      </c>
      <c r="I373" s="16">
        <v>25929.87</v>
      </c>
      <c r="J373" s="16">
        <v>25798.26</v>
      </c>
      <c r="K373" s="16">
        <v>26121.33</v>
      </c>
      <c r="L373" s="16">
        <v>26453.85</v>
      </c>
      <c r="M373" s="31"/>
      <c r="N373" s="31"/>
      <c r="O373" s="31"/>
      <c r="P373" s="31"/>
      <c r="Q373" s="31"/>
      <c r="R373" s="32"/>
      <c r="S373" s="33"/>
      <c r="T373" s="56"/>
      <c r="V373" s="48"/>
      <c r="W373" s="48"/>
      <c r="X373" s="49"/>
      <c r="Y373" s="49"/>
      <c r="Z373" s="50"/>
      <c r="AA373" s="50"/>
    </row>
    <row r="374" spans="1:27" ht="16.5" customHeight="1" thickBot="1" x14ac:dyDescent="0.35">
      <c r="A374" s="96"/>
      <c r="B374" s="96"/>
      <c r="C374" s="34" t="s">
        <v>129</v>
      </c>
      <c r="D374" s="35">
        <f t="shared" ref="D374:L374" si="120">IF(((D372="")*AND(D373="")),"",(D372-D373)*3)</f>
        <v>10394.009999999995</v>
      </c>
      <c r="E374" s="35">
        <f t="shared" si="120"/>
        <v>10456.02</v>
      </c>
      <c r="F374" s="35">
        <f t="shared" si="120"/>
        <v>10156.260000000006</v>
      </c>
      <c r="G374" s="35">
        <f t="shared" si="120"/>
        <v>10040.819999999996</v>
      </c>
      <c r="H374" s="35">
        <f t="shared" si="120"/>
        <v>9436.3199999999961</v>
      </c>
      <c r="I374" s="35">
        <f t="shared" si="120"/>
        <v>10561.410000000003</v>
      </c>
      <c r="J374" s="35">
        <f t="shared" si="120"/>
        <v>10505.79</v>
      </c>
      <c r="K374" s="35">
        <f t="shared" si="120"/>
        <v>9514.1099999999969</v>
      </c>
      <c r="L374" s="35">
        <f t="shared" si="120"/>
        <v>9152.9100000000035</v>
      </c>
      <c r="M374" s="36"/>
      <c r="N374" s="36"/>
      <c r="O374" s="36"/>
      <c r="P374" s="36"/>
      <c r="Q374" s="36"/>
      <c r="R374" s="37"/>
      <c r="S374" s="38"/>
      <c r="T374" s="57"/>
      <c r="U374" s="52"/>
      <c r="V374" s="51"/>
      <c r="W374" s="51"/>
      <c r="X374" s="52"/>
      <c r="Y374" s="52"/>
      <c r="Z374" s="53"/>
      <c r="AA374" s="53"/>
    </row>
    <row r="375" spans="1:27" x14ac:dyDescent="0.3">
      <c r="A375" s="97">
        <v>43145</v>
      </c>
      <c r="B375" s="117" t="s">
        <v>431</v>
      </c>
      <c r="C375" s="26" t="s">
        <v>126</v>
      </c>
      <c r="D375" s="16">
        <v>29458.22</v>
      </c>
      <c r="E375" s="16">
        <v>29254.62</v>
      </c>
      <c r="F375" s="16">
        <v>29253.26</v>
      </c>
      <c r="G375" s="16">
        <v>29257.57</v>
      </c>
      <c r="H375" s="16">
        <v>29479.81</v>
      </c>
      <c r="I375" s="16">
        <v>29402.74</v>
      </c>
      <c r="J375" s="16">
        <v>29249.52</v>
      </c>
      <c r="K375" s="16">
        <v>29253.56</v>
      </c>
      <c r="L375" s="16">
        <v>29465.919999999998</v>
      </c>
      <c r="M375" s="27">
        <f>IF((L376=""),"",MAX(D377:L377))</f>
        <v>12479.430000000004</v>
      </c>
      <c r="N375" s="27">
        <f>IF(L376="","",MIN(D377:L377))</f>
        <v>11517.720000000005</v>
      </c>
      <c r="O375" s="27">
        <f>IF((L377=""),"",AVERAGE(D377:L377))</f>
        <v>11919.776666666665</v>
      </c>
      <c r="P375" s="27">
        <f>IF((L376=""),"",STDEV(D377:L377))</f>
        <v>341.05759414650288</v>
      </c>
      <c r="Q375" s="27">
        <f>IF((L376=""),"",P375/O375*100)</f>
        <v>2.8612750363038368</v>
      </c>
      <c r="R375" s="28" t="str">
        <f>IF(L376="","",IF(Q375&lt;Z375,IF(N375&gt;V375,IF(M375&lt;W375,"Pass","Fail"),"Fail"),"Fail"))</f>
        <v>Pass</v>
      </c>
      <c r="S375" s="29">
        <v>1335</v>
      </c>
      <c r="T375" s="55"/>
      <c r="U375" s="55" t="s">
        <v>200</v>
      </c>
      <c r="V375" s="54">
        <v>9000</v>
      </c>
      <c r="W375" s="22">
        <v>15600</v>
      </c>
      <c r="X375" s="40">
        <v>8090</v>
      </c>
      <c r="Y375" s="40">
        <v>12070</v>
      </c>
      <c r="Z375" s="47">
        <v>6</v>
      </c>
      <c r="AA375" s="47">
        <v>6</v>
      </c>
    </row>
    <row r="376" spans="1:27" ht="15.75" customHeight="1" x14ac:dyDescent="0.3">
      <c r="A376" s="96"/>
      <c r="B376" s="96"/>
      <c r="C376" s="30" t="s">
        <v>128</v>
      </c>
      <c r="D376" s="16">
        <v>25376.52</v>
      </c>
      <c r="E376" s="16">
        <v>25212.55</v>
      </c>
      <c r="F376" s="16">
        <v>25339.71</v>
      </c>
      <c r="G376" s="16">
        <v>25319.08</v>
      </c>
      <c r="H376" s="16">
        <v>25640.57</v>
      </c>
      <c r="I376" s="16">
        <v>25242.93</v>
      </c>
      <c r="J376" s="16">
        <v>25197.87</v>
      </c>
      <c r="K376" s="16">
        <v>25401.05</v>
      </c>
      <c r="L376" s="16">
        <v>25585.61</v>
      </c>
      <c r="M376" s="31"/>
      <c r="N376" s="31"/>
      <c r="O376" s="31"/>
      <c r="P376" s="31"/>
      <c r="Q376" s="31"/>
      <c r="R376" s="32"/>
      <c r="S376" s="33"/>
      <c r="T376" s="56"/>
      <c r="V376" s="48"/>
      <c r="W376" s="48"/>
      <c r="X376" s="49"/>
      <c r="Y376" s="49"/>
      <c r="Z376" s="50"/>
      <c r="AA376" s="50"/>
    </row>
    <row r="377" spans="1:27" ht="16.5" customHeight="1" thickBot="1" x14ac:dyDescent="0.35">
      <c r="A377" s="96"/>
      <c r="B377" s="96"/>
      <c r="C377" s="34" t="s">
        <v>129</v>
      </c>
      <c r="D377" s="35">
        <f t="shared" ref="D377:L377" si="121">IF(((D375="")*AND(D376="")),"",(D375-D376)*3)</f>
        <v>12245.100000000002</v>
      </c>
      <c r="E377" s="35">
        <f t="shared" si="121"/>
        <v>12126.21</v>
      </c>
      <c r="F377" s="35">
        <f t="shared" si="121"/>
        <v>11740.649999999998</v>
      </c>
      <c r="G377" s="35">
        <f t="shared" si="121"/>
        <v>11815.469999999994</v>
      </c>
      <c r="H377" s="35">
        <f t="shared" si="121"/>
        <v>11517.720000000005</v>
      </c>
      <c r="I377" s="35">
        <f t="shared" si="121"/>
        <v>12479.430000000004</v>
      </c>
      <c r="J377" s="35">
        <f t="shared" si="121"/>
        <v>12154.950000000004</v>
      </c>
      <c r="K377" s="35">
        <f t="shared" si="121"/>
        <v>11557.530000000006</v>
      </c>
      <c r="L377" s="35">
        <f t="shared" si="121"/>
        <v>11640.929999999993</v>
      </c>
      <c r="M377" s="36"/>
      <c r="N377" s="36"/>
      <c r="O377" s="36"/>
      <c r="P377" s="36"/>
      <c r="Q377" s="36"/>
      <c r="R377" s="37"/>
      <c r="S377" s="38"/>
      <c r="T377" s="57"/>
      <c r="U377" s="52"/>
      <c r="V377" s="51"/>
      <c r="W377" s="51"/>
      <c r="X377" s="52"/>
      <c r="Y377" s="52"/>
      <c r="Z377" s="53"/>
      <c r="AA377" s="53"/>
    </row>
    <row r="378" spans="1:27" x14ac:dyDescent="0.3">
      <c r="A378" s="97">
        <v>43146</v>
      </c>
      <c r="B378" s="117" t="s">
        <v>431</v>
      </c>
      <c r="C378" s="26" t="s">
        <v>126</v>
      </c>
      <c r="D378" s="16">
        <v>29379.84</v>
      </c>
      <c r="E378" s="16">
        <v>29230.76</v>
      </c>
      <c r="F378" s="16">
        <v>29296.98</v>
      </c>
      <c r="G378" s="16">
        <v>29235.5</v>
      </c>
      <c r="H378" s="16">
        <v>29465.07</v>
      </c>
      <c r="I378" s="16">
        <v>29368.61</v>
      </c>
      <c r="J378" s="16">
        <v>29227.71</v>
      </c>
      <c r="K378" s="16">
        <v>29229.79</v>
      </c>
      <c r="L378" s="16">
        <v>29411.1</v>
      </c>
      <c r="M378" s="27">
        <f>IF((L379=""),"",MAX(D380:L380))</f>
        <v>7512.6599999999926</v>
      </c>
      <c r="N378" s="27">
        <f>IF(L379="","",MIN(D380:L380))</f>
        <v>6475.2900000000009</v>
      </c>
      <c r="O378" s="27">
        <f>IF((L380=""),"",AVERAGE(D380:L380))</f>
        <v>7062.2899999999972</v>
      </c>
      <c r="P378" s="27">
        <f>IF((L379=""),"",STDEV(D380:L380))</f>
        <v>363.10026827998888</v>
      </c>
      <c r="Q378" s="27">
        <f>IF((L379=""),"",P378/O378*100)</f>
        <v>5.1413956136039305</v>
      </c>
      <c r="R378" s="28" t="str">
        <f>IF(L379="","",IF(Q378&lt;Z378,IF(N378&gt;V378,IF(M378&lt;W378,"Pass","Fail"),"Fail"),"Fail"))</f>
        <v>Fail</v>
      </c>
      <c r="S378" s="29">
        <v>1428</v>
      </c>
      <c r="T378" s="55"/>
      <c r="U378" s="40"/>
      <c r="V378" s="54">
        <v>9000</v>
      </c>
      <c r="W378" s="22">
        <v>15600</v>
      </c>
      <c r="X378" s="40">
        <v>8090</v>
      </c>
      <c r="Y378" s="40">
        <v>12070</v>
      </c>
      <c r="Z378" s="47">
        <v>6</v>
      </c>
      <c r="AA378" s="47">
        <v>6</v>
      </c>
    </row>
    <row r="379" spans="1:27" ht="15.75" customHeight="1" x14ac:dyDescent="0.3">
      <c r="A379" s="96"/>
      <c r="B379" s="96"/>
      <c r="C379" s="30" t="s">
        <v>128</v>
      </c>
      <c r="D379" s="16">
        <v>27221.41</v>
      </c>
      <c r="E379" s="16">
        <v>26942.97</v>
      </c>
      <c r="F379" s="16">
        <v>26951.29</v>
      </c>
      <c r="G379" s="16">
        <v>26772.98</v>
      </c>
      <c r="H379" s="16">
        <v>26997.75</v>
      </c>
      <c r="I379" s="16">
        <v>27119.61</v>
      </c>
      <c r="J379" s="16">
        <v>26961.97</v>
      </c>
      <c r="K379" s="16">
        <v>26783.63</v>
      </c>
      <c r="L379" s="16">
        <v>26906.880000000001</v>
      </c>
      <c r="M379" s="31"/>
      <c r="N379" s="31"/>
      <c r="O379" s="31"/>
      <c r="P379" s="31"/>
      <c r="Q379" s="31"/>
      <c r="R379" s="32"/>
      <c r="S379" s="33"/>
      <c r="T379" s="56"/>
      <c r="V379" s="48"/>
      <c r="W379" s="48"/>
      <c r="X379" s="49"/>
      <c r="Y379" s="49"/>
      <c r="Z379" s="50"/>
      <c r="AA379" s="50"/>
    </row>
    <row r="380" spans="1:27" ht="16.5" customHeight="1" thickBot="1" x14ac:dyDescent="0.35">
      <c r="A380" s="96"/>
      <c r="B380" s="96"/>
      <c r="C380" s="34" t="s">
        <v>129</v>
      </c>
      <c r="D380" s="35">
        <f t="shared" ref="D380:L380" si="122">IF(((D378="")*AND(D379="")),"",(D378-D379)*3)</f>
        <v>6475.2900000000009</v>
      </c>
      <c r="E380" s="35">
        <f t="shared" si="122"/>
        <v>6863.3699999999917</v>
      </c>
      <c r="F380" s="35">
        <f t="shared" si="122"/>
        <v>7037.0699999999961</v>
      </c>
      <c r="G380" s="35">
        <f t="shared" si="122"/>
        <v>7387.5600000000013</v>
      </c>
      <c r="H380" s="35">
        <f t="shared" si="122"/>
        <v>7401.9599999999991</v>
      </c>
      <c r="I380" s="35">
        <f t="shared" si="122"/>
        <v>6747</v>
      </c>
      <c r="J380" s="35">
        <f t="shared" si="122"/>
        <v>6797.2199999999939</v>
      </c>
      <c r="K380" s="35">
        <f t="shared" si="122"/>
        <v>7338.48</v>
      </c>
      <c r="L380" s="35">
        <f t="shared" si="122"/>
        <v>7512.6599999999926</v>
      </c>
      <c r="M380" s="36"/>
      <c r="N380" s="36"/>
      <c r="O380" s="36"/>
      <c r="P380" s="36"/>
      <c r="Q380" s="36"/>
      <c r="R380" s="37"/>
      <c r="S380" s="38"/>
      <c r="T380" s="57"/>
      <c r="U380" s="52"/>
      <c r="V380" s="51"/>
      <c r="W380" s="51"/>
      <c r="X380" s="52"/>
      <c r="Y380" s="52"/>
      <c r="Z380" s="53"/>
      <c r="AA380" s="53"/>
    </row>
    <row r="381" spans="1:27" x14ac:dyDescent="0.3">
      <c r="A381" s="97">
        <v>43146</v>
      </c>
      <c r="B381" s="117" t="s">
        <v>431</v>
      </c>
      <c r="C381" s="26" t="s">
        <v>126</v>
      </c>
      <c r="D381" s="16">
        <v>29311.38</v>
      </c>
      <c r="E381" s="16">
        <v>29176.29</v>
      </c>
      <c r="F381" s="16">
        <v>29238.66</v>
      </c>
      <c r="G381" s="16">
        <v>29182.36</v>
      </c>
      <c r="H381" s="16">
        <v>29414.63</v>
      </c>
      <c r="I381" s="16">
        <v>29341.95</v>
      </c>
      <c r="J381" s="16">
        <v>29173.85</v>
      </c>
      <c r="K381" s="16">
        <v>29166.68</v>
      </c>
      <c r="L381" s="16">
        <v>29371.64</v>
      </c>
      <c r="M381" s="27">
        <f>IF((L382=""),"",MAX(D383:L383))</f>
        <v>10949.189999999999</v>
      </c>
      <c r="N381" s="27">
        <f>IF(L382="","",MIN(D383:L383))</f>
        <v>10042.290000000001</v>
      </c>
      <c r="O381" s="27">
        <f>IF((L383=""),"",AVERAGE(D383:L383))</f>
        <v>10480.666666666666</v>
      </c>
      <c r="P381" s="27">
        <f>IF((L382=""),"",STDEV(D383:L383))</f>
        <v>298.31322816797677</v>
      </c>
      <c r="Q381" s="27">
        <f>IF((L382=""),"",P381/O381*100)</f>
        <v>2.8463192052157318</v>
      </c>
      <c r="R381" s="28" t="str">
        <f>IF(L382="","",IF(Q381&lt;Z381,IF(N381&gt;V381,IF(M381&lt;W381,"Pass","Fail"),"Fail"),"Fail"))</f>
        <v>Pass</v>
      </c>
      <c r="S381" s="29">
        <v>1428</v>
      </c>
      <c r="T381" s="55"/>
      <c r="U381" s="40"/>
      <c r="V381" s="54">
        <v>9000</v>
      </c>
      <c r="W381" s="22">
        <v>15600</v>
      </c>
      <c r="X381" s="40">
        <v>8090</v>
      </c>
      <c r="Y381" s="40">
        <v>12070</v>
      </c>
      <c r="Z381" s="47">
        <v>6</v>
      </c>
      <c r="AA381" s="47">
        <v>6</v>
      </c>
    </row>
    <row r="382" spans="1:27" ht="15.75" customHeight="1" x14ac:dyDescent="0.3">
      <c r="A382" s="96"/>
      <c r="B382" s="96"/>
      <c r="C382" s="30" t="s">
        <v>128</v>
      </c>
      <c r="D382" s="16">
        <v>25760.34</v>
      </c>
      <c r="E382" s="16">
        <v>25604.639999999999</v>
      </c>
      <c r="F382" s="16">
        <v>25751.22</v>
      </c>
      <c r="G382" s="16">
        <v>25712.7</v>
      </c>
      <c r="H382" s="16">
        <v>26067.200000000001</v>
      </c>
      <c r="I382" s="16">
        <v>25692.22</v>
      </c>
      <c r="J382" s="16">
        <v>25608.63</v>
      </c>
      <c r="K382" s="16">
        <v>25748.39</v>
      </c>
      <c r="L382" s="16">
        <v>25990.1</v>
      </c>
      <c r="M382" s="31"/>
      <c r="N382" s="31"/>
      <c r="O382" s="31"/>
      <c r="P382" s="31"/>
      <c r="Q382" s="31"/>
      <c r="R382" s="32"/>
      <c r="S382" s="33"/>
      <c r="T382" s="56"/>
      <c r="V382" s="48"/>
      <c r="W382" s="48"/>
      <c r="X382" s="49"/>
      <c r="Y382" s="49"/>
      <c r="Z382" s="50"/>
      <c r="AA382" s="50"/>
    </row>
    <row r="383" spans="1:27" ht="16.5" customHeight="1" thickBot="1" x14ac:dyDescent="0.35">
      <c r="A383" s="96"/>
      <c r="B383" s="96"/>
      <c r="C383" s="34" t="s">
        <v>129</v>
      </c>
      <c r="D383" s="35">
        <f t="shared" ref="D383:L383" si="123">IF(((D381="")*AND(D382="")),"",(D381-D382)*3)</f>
        <v>10653.120000000003</v>
      </c>
      <c r="E383" s="35">
        <f t="shared" si="123"/>
        <v>10714.950000000004</v>
      </c>
      <c r="F383" s="35">
        <f t="shared" si="123"/>
        <v>10462.319999999996</v>
      </c>
      <c r="G383" s="35">
        <f t="shared" si="123"/>
        <v>10408.98</v>
      </c>
      <c r="H383" s="35">
        <f t="shared" si="123"/>
        <v>10042.290000000001</v>
      </c>
      <c r="I383" s="35">
        <f t="shared" si="123"/>
        <v>10949.189999999999</v>
      </c>
      <c r="J383" s="35">
        <f t="shared" si="123"/>
        <v>10695.659999999993</v>
      </c>
      <c r="K383" s="35">
        <f t="shared" si="123"/>
        <v>10254.870000000003</v>
      </c>
      <c r="L383" s="35">
        <f t="shared" si="123"/>
        <v>10144.620000000003</v>
      </c>
      <c r="M383" s="36"/>
      <c r="N383" s="36"/>
      <c r="O383" s="36"/>
      <c r="P383" s="36"/>
      <c r="Q383" s="36"/>
      <c r="R383" s="37"/>
      <c r="S383" s="38"/>
      <c r="T383" s="57"/>
      <c r="U383" s="52"/>
      <c r="V383" s="51"/>
      <c r="W383" s="51"/>
      <c r="X383" s="52"/>
      <c r="Y383" s="52"/>
      <c r="Z383" s="53"/>
      <c r="AA383" s="53"/>
    </row>
    <row r="384" spans="1:27" x14ac:dyDescent="0.3">
      <c r="A384" s="97">
        <v>43151</v>
      </c>
      <c r="B384" s="117" t="s">
        <v>431</v>
      </c>
      <c r="C384" s="26" t="s">
        <v>126</v>
      </c>
      <c r="D384" s="16">
        <v>29290.03</v>
      </c>
      <c r="E384" s="16">
        <v>29150.12</v>
      </c>
      <c r="F384" s="16">
        <v>29190.560000000001</v>
      </c>
      <c r="G384" s="16">
        <v>29126.33</v>
      </c>
      <c r="H384" s="16">
        <v>29353.59</v>
      </c>
      <c r="I384" s="16">
        <v>29288.29</v>
      </c>
      <c r="J384" s="16">
        <v>29125.48</v>
      </c>
      <c r="K384" s="16">
        <v>29132.38</v>
      </c>
      <c r="L384" s="16">
        <v>29324.36</v>
      </c>
      <c r="M384" s="27">
        <f>IF((L385=""),"",MAX(D386:L386))</f>
        <v>8706.2400000000052</v>
      </c>
      <c r="N384" s="27">
        <f>IF(L385="","",MIN(D386:L386))</f>
        <v>7749.179999999993</v>
      </c>
      <c r="O384" s="27">
        <f>IF((L386=""),"",AVERAGE(D386:L386))</f>
        <v>8309.6566666666695</v>
      </c>
      <c r="P384" s="27">
        <f>IF((L385=""),"",STDEV(D386:L386))</f>
        <v>276.74559066045077</v>
      </c>
      <c r="Q384" s="27">
        <f>IF((L385=""),"",P384/O384*100)</f>
        <v>3.3304094472469266</v>
      </c>
      <c r="R384" s="28" t="str">
        <f>IF(L385="","",IF(Q384&lt;Z384,IF(N384&gt;V384,IF(M384&lt;W384,"Pass","Fail"),"Fail"),"Fail"))</f>
        <v>Fail</v>
      </c>
      <c r="S384" s="29">
        <v>121</v>
      </c>
      <c r="U384" s="55" t="s">
        <v>201</v>
      </c>
      <c r="V384" s="54">
        <v>9000</v>
      </c>
      <c r="W384" s="22">
        <v>15600</v>
      </c>
      <c r="X384" s="40">
        <v>8090</v>
      </c>
      <c r="Y384" s="40">
        <v>12070</v>
      </c>
      <c r="Z384" s="47">
        <v>6</v>
      </c>
      <c r="AA384" s="47">
        <v>6</v>
      </c>
    </row>
    <row r="385" spans="1:27" ht="15.75" customHeight="1" x14ac:dyDescent="0.3">
      <c r="A385" s="96"/>
      <c r="B385" s="96"/>
      <c r="C385" s="30" t="s">
        <v>128</v>
      </c>
      <c r="D385" s="16">
        <v>26706.97</v>
      </c>
      <c r="E385" s="16">
        <v>26409.94</v>
      </c>
      <c r="F385" s="16">
        <v>26408.880000000001</v>
      </c>
      <c r="G385" s="16">
        <v>26302.78</v>
      </c>
      <c r="H385" s="16">
        <v>26555.09</v>
      </c>
      <c r="I385" s="16">
        <v>26590.77</v>
      </c>
      <c r="J385" s="16">
        <v>26367.759999999998</v>
      </c>
      <c r="K385" s="16">
        <v>26287.7</v>
      </c>
      <c r="L385" s="16">
        <v>26422.28</v>
      </c>
      <c r="M385" s="31"/>
      <c r="N385" s="31"/>
      <c r="O385" s="31"/>
      <c r="P385" s="31"/>
      <c r="Q385" s="31"/>
      <c r="R385" s="32"/>
      <c r="S385" s="33"/>
      <c r="U385" s="56"/>
      <c r="V385" s="48"/>
      <c r="W385" s="48"/>
      <c r="X385" s="49"/>
      <c r="Y385" s="49"/>
      <c r="Z385" s="50"/>
      <c r="AA385" s="50"/>
    </row>
    <row r="386" spans="1:27" ht="16.5" customHeight="1" thickBot="1" x14ac:dyDescent="0.35">
      <c r="A386" s="96"/>
      <c r="B386" s="96"/>
      <c r="C386" s="34" t="s">
        <v>129</v>
      </c>
      <c r="D386" s="35">
        <f t="shared" ref="D386:L386" si="124">IF(((D384="")*AND(D385="")),"",(D384-D385)*3)</f>
        <v>7749.179999999993</v>
      </c>
      <c r="E386" s="35">
        <f t="shared" si="124"/>
        <v>8220.5400000000009</v>
      </c>
      <c r="F386" s="35">
        <f t="shared" si="124"/>
        <v>8345.0400000000009</v>
      </c>
      <c r="G386" s="35">
        <f t="shared" si="124"/>
        <v>8470.6500000000087</v>
      </c>
      <c r="H386" s="35">
        <f t="shared" si="124"/>
        <v>8395.5</v>
      </c>
      <c r="I386" s="35">
        <f t="shared" si="124"/>
        <v>8092.5600000000013</v>
      </c>
      <c r="J386" s="35">
        <f t="shared" si="124"/>
        <v>8273.1600000000035</v>
      </c>
      <c r="K386" s="35">
        <f t="shared" si="124"/>
        <v>8534.0400000000009</v>
      </c>
      <c r="L386" s="35">
        <f t="shared" si="124"/>
        <v>8706.2400000000052</v>
      </c>
      <c r="M386" s="36"/>
      <c r="N386" s="36"/>
      <c r="O386" s="36"/>
      <c r="P386" s="36"/>
      <c r="Q386" s="36"/>
      <c r="R386" s="37"/>
      <c r="S386" s="38"/>
      <c r="U386" s="57"/>
      <c r="V386" s="51"/>
      <c r="W386" s="51"/>
      <c r="X386" s="52"/>
      <c r="Y386" s="52"/>
      <c r="Z386" s="53"/>
      <c r="AA386" s="53"/>
    </row>
    <row r="387" spans="1:27" x14ac:dyDescent="0.3">
      <c r="A387" s="97">
        <v>43151</v>
      </c>
      <c r="B387" s="117" t="s">
        <v>431</v>
      </c>
      <c r="C387" s="26" t="s">
        <v>126</v>
      </c>
      <c r="D387" s="16">
        <v>29277.200000000001</v>
      </c>
      <c r="E387" s="16">
        <v>29112.78</v>
      </c>
      <c r="F387" s="16">
        <v>29107.71</v>
      </c>
      <c r="G387" s="16">
        <v>29089.38</v>
      </c>
      <c r="H387" s="16">
        <v>29304.25</v>
      </c>
      <c r="I387" s="16">
        <v>29265.46</v>
      </c>
      <c r="J387" s="16">
        <v>29087.11</v>
      </c>
      <c r="K387" s="16">
        <v>29111.74</v>
      </c>
      <c r="L387" s="16">
        <v>29797.54</v>
      </c>
      <c r="M387" s="27">
        <f>IF((L388=""),"",MAX(D389:L389))</f>
        <v>9780.48</v>
      </c>
      <c r="N387" s="27">
        <f>IF(L388="","",MIN(D389:L389))</f>
        <v>8485.8599999999969</v>
      </c>
      <c r="O387" s="27">
        <f>IF((L389=""),"",AVERAGE(D389:L389))</f>
        <v>8926.783333333331</v>
      </c>
      <c r="P387" s="27">
        <f>IF((L388=""),"",STDEV(D389:L389))</f>
        <v>376.44914092079051</v>
      </c>
      <c r="Q387" s="27">
        <f>IF((L388=""),"",P387/O387*100)</f>
        <v>4.217074917849736</v>
      </c>
      <c r="R387" s="28" t="str">
        <f>IF(L388="","",IF(Q387&lt;Z387,IF(N387&gt;V387,IF(M387&lt;W387,"Pass","Fail"),"Fail"),"Fail"))</f>
        <v>Fail</v>
      </c>
      <c r="S387" s="29">
        <v>102</v>
      </c>
      <c r="U387" s="55" t="s">
        <v>202</v>
      </c>
      <c r="V387" s="54">
        <v>9000</v>
      </c>
      <c r="W387" s="22">
        <v>15600</v>
      </c>
      <c r="X387" s="40">
        <v>8090</v>
      </c>
      <c r="Y387" s="40">
        <v>12070</v>
      </c>
      <c r="Z387" s="47">
        <v>6</v>
      </c>
      <c r="AA387" s="47">
        <v>6</v>
      </c>
    </row>
    <row r="388" spans="1:27" ht="15.75" customHeight="1" x14ac:dyDescent="0.3">
      <c r="A388" s="96"/>
      <c r="B388" s="96"/>
      <c r="C388" s="30" t="s">
        <v>128</v>
      </c>
      <c r="D388" s="16">
        <v>26448.58</v>
      </c>
      <c r="E388" s="16">
        <v>26174.04</v>
      </c>
      <c r="F388" s="16">
        <v>26181.23</v>
      </c>
      <c r="G388" s="16">
        <v>26107.040000000001</v>
      </c>
      <c r="H388" s="16">
        <v>26328.79</v>
      </c>
      <c r="I388" s="16">
        <v>26380.47</v>
      </c>
      <c r="J388" s="16">
        <v>26168.95</v>
      </c>
      <c r="K388" s="16">
        <v>26046.34</v>
      </c>
      <c r="L388" s="16">
        <v>26537.38</v>
      </c>
      <c r="M388" s="31"/>
      <c r="N388" s="31"/>
      <c r="O388" s="31"/>
      <c r="P388" s="31"/>
      <c r="Q388" s="31"/>
      <c r="R388" s="32"/>
      <c r="S388" s="33"/>
      <c r="U388" s="56"/>
      <c r="V388" s="48"/>
      <c r="W388" s="48"/>
      <c r="X388" s="49"/>
      <c r="Y388" s="49"/>
      <c r="Z388" s="50"/>
      <c r="AA388" s="50"/>
    </row>
    <row r="389" spans="1:27" ht="16.5" customHeight="1" thickBot="1" x14ac:dyDescent="0.35">
      <c r="A389" s="96"/>
      <c r="B389" s="96"/>
      <c r="C389" s="34" t="s">
        <v>129</v>
      </c>
      <c r="D389" s="35">
        <f t="shared" ref="D389:L389" si="125">IF(((D387="")*AND(D388="")),"",(D387-D388)*3)</f>
        <v>8485.8599999999969</v>
      </c>
      <c r="E389" s="35">
        <f t="shared" si="125"/>
        <v>8816.2199999999939</v>
      </c>
      <c r="F389" s="35">
        <f t="shared" si="125"/>
        <v>8779.4399999999987</v>
      </c>
      <c r="G389" s="35">
        <f t="shared" si="125"/>
        <v>8947.02</v>
      </c>
      <c r="H389" s="35">
        <f t="shared" si="125"/>
        <v>8926.3799999999974</v>
      </c>
      <c r="I389" s="35">
        <f t="shared" si="125"/>
        <v>8654.9699999999939</v>
      </c>
      <c r="J389" s="35">
        <f t="shared" si="125"/>
        <v>8754.48</v>
      </c>
      <c r="K389" s="35">
        <f t="shared" si="125"/>
        <v>9196.2000000000044</v>
      </c>
      <c r="L389" s="35">
        <f t="shared" si="125"/>
        <v>9780.48</v>
      </c>
      <c r="M389" s="36"/>
      <c r="N389" s="36"/>
      <c r="O389" s="36"/>
      <c r="P389" s="36"/>
      <c r="Q389" s="36"/>
      <c r="R389" s="37"/>
      <c r="S389" s="38"/>
      <c r="U389" s="57"/>
      <c r="V389" s="51"/>
      <c r="W389" s="51"/>
      <c r="X389" s="52"/>
      <c r="Y389" s="52"/>
      <c r="Z389" s="53"/>
      <c r="AA389" s="53"/>
    </row>
    <row r="390" spans="1:27" x14ac:dyDescent="0.3">
      <c r="A390" s="97">
        <v>43151</v>
      </c>
      <c r="B390" s="117" t="s">
        <v>431</v>
      </c>
      <c r="C390" s="26" t="s">
        <v>126</v>
      </c>
      <c r="D390" s="16">
        <v>29211.83</v>
      </c>
      <c r="E390" s="16">
        <v>29081.27</v>
      </c>
      <c r="F390" s="16">
        <v>29160.77</v>
      </c>
      <c r="G390" s="16">
        <v>29114.69</v>
      </c>
      <c r="H390" s="16">
        <v>29364.65</v>
      </c>
      <c r="I390" s="16">
        <v>29261.3</v>
      </c>
      <c r="J390" s="16">
        <v>29097.42</v>
      </c>
      <c r="K390" s="16">
        <v>29093.82</v>
      </c>
      <c r="L390" s="16">
        <v>29313.96</v>
      </c>
      <c r="M390" s="27">
        <f>IF((L391=""),"",MAX(D392:L392))</f>
        <v>9084.0600000000013</v>
      </c>
      <c r="N390" s="27">
        <f>IF(L391="","",MIN(D392:L392))</f>
        <v>7986.6900000000096</v>
      </c>
      <c r="O390" s="27">
        <f>IF((L392=""),"",AVERAGE(D392:L392))</f>
        <v>8514.5266666666666</v>
      </c>
      <c r="P390" s="27">
        <f>IF((L391=""),"",STDEV(D392:L392))</f>
        <v>323.97900283042907</v>
      </c>
      <c r="Q390" s="27">
        <f>IF((L391=""),"",P390/O390*100)</f>
        <v>3.8050148353961628</v>
      </c>
      <c r="R390" s="28" t="str">
        <f>IF(L391="","",IF(Q390&lt;Z390,IF(N390&gt;V390,IF(M390&lt;W390,"Pass","Fail"),"Fail"),"Fail"))</f>
        <v>Fail</v>
      </c>
      <c r="S390" s="29">
        <v>1159</v>
      </c>
      <c r="U390" s="55" t="s">
        <v>203</v>
      </c>
      <c r="V390" s="54">
        <v>9000</v>
      </c>
      <c r="W390" s="22">
        <v>15600</v>
      </c>
      <c r="X390" s="40">
        <v>8090</v>
      </c>
      <c r="Y390" s="40">
        <v>12070</v>
      </c>
      <c r="Z390" s="47">
        <v>6</v>
      </c>
      <c r="AA390" s="47">
        <v>6</v>
      </c>
    </row>
    <row r="391" spans="1:27" ht="15.75" customHeight="1" x14ac:dyDescent="0.3">
      <c r="A391" s="96"/>
      <c r="B391" s="96"/>
      <c r="C391" s="30" t="s">
        <v>128</v>
      </c>
      <c r="D391" s="16">
        <v>26549.599999999999</v>
      </c>
      <c r="E391" s="16">
        <v>26310.52</v>
      </c>
      <c r="F391" s="16">
        <v>26374.76</v>
      </c>
      <c r="G391" s="16">
        <v>26228.57</v>
      </c>
      <c r="H391" s="16">
        <v>26446.9</v>
      </c>
      <c r="I391" s="16">
        <v>26489.29</v>
      </c>
      <c r="J391" s="16">
        <v>26287.29</v>
      </c>
      <c r="K391" s="16">
        <v>26183.26</v>
      </c>
      <c r="L391" s="16">
        <v>26285.94</v>
      </c>
      <c r="M391" s="31"/>
      <c r="N391" s="31"/>
      <c r="O391" s="31"/>
      <c r="P391" s="31"/>
      <c r="Q391" s="31"/>
      <c r="R391" s="32"/>
      <c r="S391" s="33"/>
      <c r="U391" s="56"/>
      <c r="V391" s="48"/>
      <c r="W391" s="48"/>
      <c r="X391" s="49"/>
      <c r="Y391" s="49"/>
      <c r="Z391" s="50"/>
      <c r="AA391" s="50"/>
    </row>
    <row r="392" spans="1:27" ht="16.5" customHeight="1" thickBot="1" x14ac:dyDescent="0.35">
      <c r="A392" s="96"/>
      <c r="B392" s="96"/>
      <c r="C392" s="34" t="s">
        <v>129</v>
      </c>
      <c r="D392" s="35">
        <f t="shared" ref="D392:L392" si="126">IF(((D390="")*AND(D391="")),"",(D390-D391)*3)</f>
        <v>7986.6900000000096</v>
      </c>
      <c r="E392" s="35">
        <f t="shared" si="126"/>
        <v>8312.25</v>
      </c>
      <c r="F392" s="35">
        <f t="shared" si="126"/>
        <v>8358.0300000000061</v>
      </c>
      <c r="G392" s="35">
        <f t="shared" si="126"/>
        <v>8658.3599999999969</v>
      </c>
      <c r="H392" s="35">
        <f t="shared" si="126"/>
        <v>8753.25</v>
      </c>
      <c r="I392" s="35">
        <f t="shared" si="126"/>
        <v>8316.0299999999952</v>
      </c>
      <c r="J392" s="35">
        <f t="shared" si="126"/>
        <v>8430.3899999999921</v>
      </c>
      <c r="K392" s="35">
        <f t="shared" si="126"/>
        <v>8731.6800000000039</v>
      </c>
      <c r="L392" s="35">
        <f t="shared" si="126"/>
        <v>9084.0600000000013</v>
      </c>
      <c r="M392" s="36"/>
      <c r="N392" s="36"/>
      <c r="O392" s="36"/>
      <c r="P392" s="36"/>
      <c r="Q392" s="36"/>
      <c r="R392" s="37"/>
      <c r="S392" s="38"/>
      <c r="U392" s="57"/>
      <c r="V392" s="51"/>
      <c r="W392" s="51"/>
      <c r="X392" s="52"/>
      <c r="Y392" s="52"/>
      <c r="Z392" s="53"/>
      <c r="AA392" s="53"/>
    </row>
    <row r="393" spans="1:27" x14ac:dyDescent="0.3">
      <c r="A393" s="97">
        <v>43153</v>
      </c>
      <c r="B393" s="117" t="s">
        <v>431</v>
      </c>
      <c r="C393" s="26" t="s">
        <v>126</v>
      </c>
      <c r="D393" s="16">
        <v>29238.73</v>
      </c>
      <c r="E393" s="16">
        <v>29068.11</v>
      </c>
      <c r="F393" s="16">
        <v>29067.5</v>
      </c>
      <c r="G393" s="16">
        <v>29080.89</v>
      </c>
      <c r="H393" s="16">
        <v>29328.47</v>
      </c>
      <c r="I393" s="16">
        <v>29236.38</v>
      </c>
      <c r="J393" s="16">
        <v>29060.82</v>
      </c>
      <c r="K393" s="16">
        <v>29059.17</v>
      </c>
      <c r="L393" s="16">
        <v>29282.81</v>
      </c>
      <c r="M393" s="27">
        <f>IF((L394=""),"",MAX(D395:L395))</f>
        <v>11121</v>
      </c>
      <c r="N393" s="27">
        <f>IF(L394="","",MIN(D395:L395))</f>
        <v>10268.430000000004</v>
      </c>
      <c r="O393" s="27">
        <f>IF((L395=""),"",AVERAGE(D395:L395))</f>
        <v>10758.750000000002</v>
      </c>
      <c r="P393" s="27">
        <f>IF((L394=""),"",STDEV(D395:L395))</f>
        <v>265.05020373506562</v>
      </c>
      <c r="Q393" s="27">
        <f>IF((L394=""),"",P393/O393*100)</f>
        <v>2.4635780526089515</v>
      </c>
      <c r="R393" s="28" t="str">
        <f>IF(L394="","",IF(Q393&lt;Z393,IF(N393&gt;V393,IF(M393&lt;W393,"Pass","Fail"),"Fail"),"Fail"))</f>
        <v>Pass</v>
      </c>
      <c r="S393" s="29">
        <v>102</v>
      </c>
      <c r="U393" s="55" t="s">
        <v>204</v>
      </c>
      <c r="V393" s="54">
        <v>9000</v>
      </c>
      <c r="W393" s="22">
        <v>15600</v>
      </c>
      <c r="X393" s="40">
        <v>8090</v>
      </c>
      <c r="Y393" s="40">
        <v>12070</v>
      </c>
      <c r="Z393" s="47">
        <v>6</v>
      </c>
      <c r="AA393" s="47">
        <v>6</v>
      </c>
    </row>
    <row r="394" spans="1:27" ht="15.75" customHeight="1" x14ac:dyDescent="0.3">
      <c r="A394" s="96"/>
      <c r="B394" s="96"/>
      <c r="C394" s="30" t="s">
        <v>128</v>
      </c>
      <c r="D394" s="16">
        <v>25815.919999999998</v>
      </c>
      <c r="E394" s="16">
        <v>25517.89</v>
      </c>
      <c r="F394" s="16">
        <v>25524.560000000001</v>
      </c>
      <c r="G394" s="16">
        <v>25430.82</v>
      </c>
      <c r="H394" s="16">
        <v>25650.78</v>
      </c>
      <c r="I394" s="16">
        <v>25714.48</v>
      </c>
      <c r="J394" s="16">
        <v>25480.45</v>
      </c>
      <c r="K394" s="16">
        <v>25435.919999999998</v>
      </c>
      <c r="L394" s="16">
        <v>25575.81</v>
      </c>
      <c r="M394" s="31"/>
      <c r="N394" s="31"/>
      <c r="O394" s="31"/>
      <c r="P394" s="31"/>
      <c r="Q394" s="31"/>
      <c r="R394" s="32"/>
      <c r="S394" s="33"/>
      <c r="T394" s="56"/>
      <c r="V394" s="48"/>
      <c r="W394" s="48"/>
      <c r="X394" s="49"/>
      <c r="Y394" s="49"/>
      <c r="Z394" s="50"/>
      <c r="AA394" s="50"/>
    </row>
    <row r="395" spans="1:27" ht="16.5" customHeight="1" thickBot="1" x14ac:dyDescent="0.35">
      <c r="A395" s="96"/>
      <c r="B395" s="96"/>
      <c r="C395" s="34" t="s">
        <v>129</v>
      </c>
      <c r="D395" s="35">
        <f t="shared" ref="D395:L395" si="127">IF(((D393="")*AND(D394="")),"",(D393-D394)*3)</f>
        <v>10268.430000000004</v>
      </c>
      <c r="E395" s="35">
        <f t="shared" si="127"/>
        <v>10650.660000000003</v>
      </c>
      <c r="F395" s="35">
        <f t="shared" si="127"/>
        <v>10628.819999999996</v>
      </c>
      <c r="G395" s="35">
        <f t="shared" si="127"/>
        <v>10950.21</v>
      </c>
      <c r="H395" s="35">
        <f t="shared" si="127"/>
        <v>11033.070000000007</v>
      </c>
      <c r="I395" s="35">
        <f t="shared" si="127"/>
        <v>10565.700000000004</v>
      </c>
      <c r="J395" s="35">
        <f t="shared" si="127"/>
        <v>10741.109999999997</v>
      </c>
      <c r="K395" s="35">
        <f t="shared" si="127"/>
        <v>10869.75</v>
      </c>
      <c r="L395" s="35">
        <f t="shared" si="127"/>
        <v>11121</v>
      </c>
      <c r="M395" s="36"/>
      <c r="N395" s="36"/>
      <c r="O395" s="36"/>
      <c r="P395" s="36"/>
      <c r="Q395" s="36"/>
      <c r="R395" s="37"/>
      <c r="S395" s="38"/>
      <c r="T395" s="57"/>
      <c r="U395" s="52"/>
      <c r="V395" s="51"/>
      <c r="W395" s="51"/>
      <c r="X395" s="52"/>
      <c r="Y395" s="52"/>
      <c r="Z395" s="53"/>
      <c r="AA395" s="53"/>
    </row>
    <row r="396" spans="1:27" x14ac:dyDescent="0.3">
      <c r="A396" s="97">
        <v>43159</v>
      </c>
      <c r="B396" s="117" t="s">
        <v>431</v>
      </c>
      <c r="C396" s="26" t="s">
        <v>126</v>
      </c>
      <c r="D396" s="16">
        <v>29180.36</v>
      </c>
      <c r="E396" s="16">
        <v>29063.23</v>
      </c>
      <c r="F396" s="16">
        <v>29122.1</v>
      </c>
      <c r="G396" s="16">
        <v>29071.75</v>
      </c>
      <c r="H396" s="16">
        <v>29270.959999999999</v>
      </c>
      <c r="I396" s="16">
        <v>29198.32</v>
      </c>
      <c r="J396" s="16">
        <v>29055.9</v>
      </c>
      <c r="K396" s="16">
        <v>29054.31</v>
      </c>
      <c r="L396" s="16">
        <v>29269.72</v>
      </c>
      <c r="M396" s="27">
        <f>IF((L397=""),"",MAX(D398:L398))</f>
        <v>9142.9199999999983</v>
      </c>
      <c r="N396" s="27">
        <f>IF(L397="","",MIN(D398:L398))</f>
        <v>8205.3000000000065</v>
      </c>
      <c r="O396" s="27">
        <f>IF((L398=""),"",AVERAGE(D398:L398))</f>
        <v>8726.5833333333339</v>
      </c>
      <c r="P396" s="27">
        <f>IF((L397=""),"",STDEV(D398:L398))</f>
        <v>300.19534943932661</v>
      </c>
      <c r="Q396" s="27">
        <f>IF((L397=""),"",P396/O396*100)</f>
        <v>3.440010115902481</v>
      </c>
      <c r="R396" s="28" t="str">
        <f>IF(L397="","",IF(Q396&lt;Z396,IF(N396&gt;V396,IF(M396&lt;W396,"Pass","Fail"),"Fail"),"Fail"))</f>
        <v>Fail</v>
      </c>
      <c r="S396" s="29">
        <v>1159</v>
      </c>
      <c r="T396" s="55"/>
      <c r="U396" s="40"/>
      <c r="V396" s="54">
        <v>9000</v>
      </c>
      <c r="W396" s="22">
        <v>15600</v>
      </c>
      <c r="X396" s="40">
        <v>8090</v>
      </c>
      <c r="Y396" s="40">
        <v>12070</v>
      </c>
      <c r="Z396" s="47">
        <v>6</v>
      </c>
      <c r="AA396" s="47">
        <v>6</v>
      </c>
    </row>
    <row r="397" spans="1:27" ht="15.75" customHeight="1" x14ac:dyDescent="0.3">
      <c r="A397" s="96"/>
      <c r="B397" s="96"/>
      <c r="C397" s="30" t="s">
        <v>128</v>
      </c>
      <c r="D397" s="16">
        <v>26445.26</v>
      </c>
      <c r="E397" s="16">
        <v>26218.15</v>
      </c>
      <c r="F397" s="16">
        <v>26283.24</v>
      </c>
      <c r="G397" s="16">
        <v>26083.86</v>
      </c>
      <c r="H397" s="16">
        <v>26261.84</v>
      </c>
      <c r="I397" s="16">
        <v>26335.29</v>
      </c>
      <c r="J397" s="16">
        <v>26165.87</v>
      </c>
      <c r="K397" s="16">
        <v>26091.31</v>
      </c>
      <c r="L397" s="16">
        <v>26222.080000000002</v>
      </c>
      <c r="M397" s="31"/>
      <c r="N397" s="31"/>
      <c r="O397" s="31"/>
      <c r="P397" s="31"/>
      <c r="Q397" s="31"/>
      <c r="R397" s="32"/>
      <c r="S397" s="33"/>
      <c r="T397" s="56"/>
      <c r="V397" s="48"/>
      <c r="W397" s="48"/>
      <c r="X397" s="49"/>
      <c r="Y397" s="49"/>
      <c r="Z397" s="50"/>
      <c r="AA397" s="50"/>
    </row>
    <row r="398" spans="1:27" ht="16.5" customHeight="1" thickBot="1" x14ac:dyDescent="0.35">
      <c r="A398" s="96"/>
      <c r="B398" s="96"/>
      <c r="C398" s="34" t="s">
        <v>129</v>
      </c>
      <c r="D398" s="35">
        <f t="shared" ref="D398:L398" si="128">IF(((D396="")*AND(D397="")),"",(D396-D397)*3)</f>
        <v>8205.3000000000065</v>
      </c>
      <c r="E398" s="35">
        <f t="shared" si="128"/>
        <v>8535.2399999999943</v>
      </c>
      <c r="F398" s="35">
        <f t="shared" si="128"/>
        <v>8516.5799999999908</v>
      </c>
      <c r="G398" s="35">
        <f t="shared" si="128"/>
        <v>8963.6699999999983</v>
      </c>
      <c r="H398" s="35">
        <f t="shared" si="128"/>
        <v>9027.3599999999969</v>
      </c>
      <c r="I398" s="35">
        <f t="shared" si="128"/>
        <v>8589.0899999999965</v>
      </c>
      <c r="J398" s="35">
        <f t="shared" si="128"/>
        <v>8670.0900000000074</v>
      </c>
      <c r="K398" s="35">
        <f t="shared" si="128"/>
        <v>8889</v>
      </c>
      <c r="L398" s="35">
        <f t="shared" si="128"/>
        <v>9142.9199999999983</v>
      </c>
      <c r="M398" s="36"/>
      <c r="N398" s="36"/>
      <c r="O398" s="36"/>
      <c r="P398" s="36"/>
      <c r="Q398" s="36"/>
      <c r="R398" s="37"/>
      <c r="S398" s="38"/>
      <c r="T398" s="57"/>
      <c r="U398" s="52"/>
      <c r="V398" s="51"/>
      <c r="W398" s="51"/>
      <c r="X398" s="52"/>
      <c r="Y398" s="52"/>
      <c r="Z398" s="53"/>
      <c r="AA398" s="53"/>
    </row>
    <row r="399" spans="1:27" x14ac:dyDescent="0.3">
      <c r="A399" s="97">
        <v>43159</v>
      </c>
      <c r="B399" s="117" t="s">
        <v>431</v>
      </c>
      <c r="C399" s="26" t="s">
        <v>126</v>
      </c>
      <c r="D399" s="16">
        <v>29140.639999999999</v>
      </c>
      <c r="E399" s="16">
        <v>28984.35</v>
      </c>
      <c r="F399" s="16">
        <v>29035.94</v>
      </c>
      <c r="G399" s="16">
        <v>28973.8</v>
      </c>
      <c r="H399" s="16">
        <v>29212.04</v>
      </c>
      <c r="I399" s="16">
        <v>29140.42</v>
      </c>
      <c r="J399" s="16">
        <v>28974.07</v>
      </c>
      <c r="K399" s="16">
        <v>28985.55</v>
      </c>
      <c r="L399" s="16">
        <v>29198.34</v>
      </c>
      <c r="M399" s="27">
        <f>IF((L400=""),"",MAX(D401:L401))</f>
        <v>9269.9100000000035</v>
      </c>
      <c r="N399" s="27">
        <f>IF(L400="","",MIN(D401:L401))</f>
        <v>8239.8300000000017</v>
      </c>
      <c r="O399" s="27">
        <f>IF((L401=""),"",AVERAGE(D401:L401))</f>
        <v>8841.2733333333308</v>
      </c>
      <c r="P399" s="27">
        <f>IF((L400=""),"",STDEV(D401:L401))</f>
        <v>302.68937881927752</v>
      </c>
      <c r="Q399" s="27">
        <f>IF((L400=""),"",P399/O399*100)</f>
        <v>3.4235948534480807</v>
      </c>
      <c r="R399" s="28" t="str">
        <f>IF(L400="","",IF(Q399&lt;Z399,IF(N399&gt;V399,IF(M399&lt;W399,"Pass","Fail"),"Fail"),"Fail"))</f>
        <v>Fail</v>
      </c>
      <c r="S399" s="29">
        <v>1159</v>
      </c>
      <c r="U399" s="55" t="s">
        <v>205</v>
      </c>
      <c r="V399" s="54">
        <v>9000</v>
      </c>
      <c r="W399" s="22">
        <v>15600</v>
      </c>
      <c r="X399" s="40">
        <v>8090</v>
      </c>
      <c r="Y399" s="40">
        <v>12070</v>
      </c>
      <c r="Z399" s="47">
        <v>6</v>
      </c>
      <c r="AA399" s="47">
        <v>6</v>
      </c>
    </row>
    <row r="400" spans="1:27" ht="15.75" customHeight="1" x14ac:dyDescent="0.3">
      <c r="A400" s="96"/>
      <c r="B400" s="96"/>
      <c r="C400" s="30" t="s">
        <v>128</v>
      </c>
      <c r="D400" s="16">
        <v>26394.03</v>
      </c>
      <c r="E400" s="16">
        <v>26100.83</v>
      </c>
      <c r="F400" s="16">
        <v>26123.87</v>
      </c>
      <c r="G400" s="16">
        <v>25952.880000000001</v>
      </c>
      <c r="H400" s="16">
        <v>26207.06</v>
      </c>
      <c r="I400" s="16">
        <v>26236.04</v>
      </c>
      <c r="J400" s="16">
        <v>26030.01</v>
      </c>
      <c r="K400" s="16">
        <v>25968.240000000002</v>
      </c>
      <c r="L400" s="16">
        <v>26108.37</v>
      </c>
      <c r="M400" s="31"/>
      <c r="N400" s="31"/>
      <c r="O400" s="31"/>
      <c r="P400" s="31"/>
      <c r="Q400" s="31"/>
      <c r="R400" s="32"/>
      <c r="S400" s="33"/>
      <c r="T400" s="56"/>
      <c r="V400" s="48"/>
      <c r="W400" s="48"/>
      <c r="X400" s="49"/>
      <c r="Y400" s="49"/>
      <c r="Z400" s="50"/>
      <c r="AA400" s="50"/>
    </row>
    <row r="401" spans="1:27" ht="16.5" customHeight="1" thickBot="1" x14ac:dyDescent="0.35">
      <c r="A401" s="96"/>
      <c r="B401" s="96"/>
      <c r="C401" s="34" t="s">
        <v>129</v>
      </c>
      <c r="D401" s="35">
        <f t="shared" ref="D401:L401" si="129">IF(((D399="")*AND(D400="")),"",(D399-D400)*3)</f>
        <v>8239.8300000000017</v>
      </c>
      <c r="E401" s="35">
        <f t="shared" si="129"/>
        <v>8650.5599999999904</v>
      </c>
      <c r="F401" s="35">
        <f t="shared" si="129"/>
        <v>8736.2099999999991</v>
      </c>
      <c r="G401" s="35">
        <f t="shared" si="129"/>
        <v>9062.7599999999948</v>
      </c>
      <c r="H401" s="35">
        <f t="shared" si="129"/>
        <v>9014.9399999999987</v>
      </c>
      <c r="I401" s="35">
        <f t="shared" si="129"/>
        <v>8713.1399999999921</v>
      </c>
      <c r="J401" s="35">
        <f t="shared" si="129"/>
        <v>8832.1800000000039</v>
      </c>
      <c r="K401" s="35">
        <f t="shared" si="129"/>
        <v>9051.929999999993</v>
      </c>
      <c r="L401" s="35">
        <f t="shared" si="129"/>
        <v>9269.9100000000035</v>
      </c>
      <c r="M401" s="36"/>
      <c r="N401" s="36"/>
      <c r="O401" s="36"/>
      <c r="P401" s="36"/>
      <c r="Q401" s="36"/>
      <c r="R401" s="37"/>
      <c r="S401" s="38"/>
      <c r="T401" s="57"/>
      <c r="U401" s="52"/>
      <c r="V401" s="51"/>
      <c r="W401" s="51"/>
      <c r="X401" s="52"/>
      <c r="Y401" s="52"/>
      <c r="Z401" s="53"/>
      <c r="AA401" s="53"/>
    </row>
    <row r="402" spans="1:27" x14ac:dyDescent="0.3">
      <c r="A402" s="97">
        <v>43159</v>
      </c>
      <c r="B402" s="117" t="s">
        <v>431</v>
      </c>
      <c r="C402" s="26" t="s">
        <v>126</v>
      </c>
      <c r="D402" s="16">
        <v>29187.22</v>
      </c>
      <c r="E402" s="16">
        <v>29011.74</v>
      </c>
      <c r="F402" s="16">
        <v>28990.19</v>
      </c>
      <c r="G402" s="16">
        <v>28974.33</v>
      </c>
      <c r="H402" s="16">
        <v>29185.119999999999</v>
      </c>
      <c r="I402" s="16">
        <v>29166.28</v>
      </c>
      <c r="J402" s="16">
        <v>28972.7</v>
      </c>
      <c r="K402" s="16">
        <v>28991.91</v>
      </c>
      <c r="L402" s="16">
        <v>29233.37</v>
      </c>
      <c r="M402" s="27">
        <f>IF((L403=""),"",MAX(D404:L404))</f>
        <v>11127.719999999994</v>
      </c>
      <c r="N402" s="27">
        <f>IF(L403="","",MIN(D404:L404))</f>
        <v>10372.98</v>
      </c>
      <c r="O402" s="27">
        <f>IF((L404=""),"",AVERAGE(D404:L404))</f>
        <v>10850.246666666666</v>
      </c>
      <c r="P402" s="27">
        <f>IF((L403=""),"",STDEV(D404:L404))</f>
        <v>233.28967256396183</v>
      </c>
      <c r="Q402" s="27">
        <f>IF((L403=""),"",P402/O402*100)</f>
        <v>2.1500863503929111</v>
      </c>
      <c r="R402" s="28" t="str">
        <f>IF(L403="","",IF(Q402&lt;Z402,IF(N402&gt;V402,IF(M402&lt;W402,"Pass","Fail"),"Fail"),"Fail"))</f>
        <v>Pass</v>
      </c>
      <c r="S402" s="29">
        <v>121</v>
      </c>
      <c r="U402" s="55" t="s">
        <v>206</v>
      </c>
      <c r="V402" s="54">
        <v>9000</v>
      </c>
      <c r="W402" s="22">
        <v>15600</v>
      </c>
      <c r="X402" s="40">
        <v>8090</v>
      </c>
      <c r="Y402" s="40">
        <v>12070</v>
      </c>
      <c r="Z402" s="47">
        <v>6</v>
      </c>
      <c r="AA402" s="47">
        <v>6</v>
      </c>
    </row>
    <row r="403" spans="1:27" ht="15.75" customHeight="1" x14ac:dyDescent="0.3">
      <c r="A403" s="96"/>
      <c r="B403" s="96"/>
      <c r="C403" s="30" t="s">
        <v>128</v>
      </c>
      <c r="D403" s="16">
        <v>25729.56</v>
      </c>
      <c r="E403" s="16">
        <v>25391.55</v>
      </c>
      <c r="F403" s="16">
        <v>25367.1</v>
      </c>
      <c r="G403" s="16">
        <v>25297.98</v>
      </c>
      <c r="H403" s="16">
        <v>25557.75</v>
      </c>
      <c r="I403" s="16">
        <v>25633.38</v>
      </c>
      <c r="J403" s="16">
        <v>25346.07</v>
      </c>
      <c r="K403" s="16">
        <v>25314.6</v>
      </c>
      <c r="L403" s="16">
        <v>25524.13</v>
      </c>
      <c r="M403" s="31"/>
      <c r="N403" s="31"/>
      <c r="O403" s="31"/>
      <c r="P403" s="31"/>
      <c r="Q403" s="31"/>
      <c r="R403" s="32"/>
      <c r="S403" s="33"/>
      <c r="T403" s="56"/>
      <c r="V403" s="48"/>
      <c r="W403" s="48"/>
      <c r="X403" s="49"/>
      <c r="Y403" s="49"/>
      <c r="Z403" s="50"/>
      <c r="AA403" s="50"/>
    </row>
    <row r="404" spans="1:27" ht="16.5" customHeight="1" thickBot="1" x14ac:dyDescent="0.35">
      <c r="A404" s="96"/>
      <c r="B404" s="96"/>
      <c r="C404" s="34" t="s">
        <v>129</v>
      </c>
      <c r="D404" s="35">
        <f t="shared" ref="D404:L404" si="130">IF(((D402="")*AND(D403="")),"",(D402-D403)*3)</f>
        <v>10372.98</v>
      </c>
      <c r="E404" s="35">
        <f t="shared" si="130"/>
        <v>10860.570000000007</v>
      </c>
      <c r="F404" s="35">
        <f t="shared" si="130"/>
        <v>10869.27</v>
      </c>
      <c r="G404" s="35">
        <f t="shared" si="130"/>
        <v>11029.050000000007</v>
      </c>
      <c r="H404" s="35">
        <f t="shared" si="130"/>
        <v>10882.109999999997</v>
      </c>
      <c r="I404" s="35">
        <f t="shared" si="130"/>
        <v>10598.699999999993</v>
      </c>
      <c r="J404" s="35">
        <f t="shared" si="130"/>
        <v>10879.890000000003</v>
      </c>
      <c r="K404" s="35">
        <f t="shared" si="130"/>
        <v>11031.930000000004</v>
      </c>
      <c r="L404" s="35">
        <f t="shared" si="130"/>
        <v>11127.719999999994</v>
      </c>
      <c r="M404" s="36"/>
      <c r="N404" s="36"/>
      <c r="O404" s="36"/>
      <c r="P404" s="36"/>
      <c r="Q404" s="36"/>
      <c r="R404" s="37"/>
      <c r="S404" s="38"/>
      <c r="T404" s="57"/>
      <c r="U404" s="52"/>
      <c r="V404" s="51"/>
      <c r="W404" s="51"/>
      <c r="X404" s="52"/>
      <c r="Y404" s="52"/>
      <c r="Z404" s="53"/>
      <c r="AA404" s="53"/>
    </row>
    <row r="405" spans="1:27" x14ac:dyDescent="0.3">
      <c r="A405" s="97">
        <v>43167</v>
      </c>
      <c r="B405" s="117" t="s">
        <v>431</v>
      </c>
      <c r="C405" s="26" t="s">
        <v>126</v>
      </c>
      <c r="D405" s="16">
        <v>29005.07</v>
      </c>
      <c r="E405" s="16">
        <v>28860.52</v>
      </c>
      <c r="F405" s="16">
        <v>28930.01</v>
      </c>
      <c r="G405" s="16">
        <v>28887.22</v>
      </c>
      <c r="H405" s="16">
        <v>29152.22</v>
      </c>
      <c r="I405" s="16">
        <v>29014.880000000001</v>
      </c>
      <c r="J405" s="16">
        <v>28857.39</v>
      </c>
      <c r="K405" s="16">
        <v>28870.92</v>
      </c>
      <c r="L405" s="16">
        <v>29108.38</v>
      </c>
      <c r="M405" s="27">
        <f>IF((L406=""),"",MAX(D407:L407))</f>
        <v>8475.1500000000087</v>
      </c>
      <c r="N405" s="27">
        <f>IF(L406="","",MIN(D407:L407))</f>
        <v>7480.6800000000039</v>
      </c>
      <c r="O405" s="27">
        <f>IF((L407=""),"",AVERAGE(D407:L407))</f>
        <v>8141.8966666666693</v>
      </c>
      <c r="P405" s="27">
        <f>IF((L406=""),"",STDEV(D407:L407))</f>
        <v>306.32934449706374</v>
      </c>
      <c r="Q405" s="27">
        <f>IF((L406=""),"",P405/O405*100)</f>
        <v>3.7623831035732906</v>
      </c>
      <c r="R405" s="28" t="str">
        <f>IF(L406="","",IF(Q405&lt;Z405,IF(N405&gt;V405,IF(M405&lt;W405,"Pass","Fail"),"Fail"),"Fail"))</f>
        <v>Fail</v>
      </c>
      <c r="S405" s="29">
        <v>102</v>
      </c>
      <c r="T405" s="55"/>
      <c r="U405" s="40"/>
      <c r="V405" s="54">
        <v>9000</v>
      </c>
      <c r="W405" s="22">
        <v>15600</v>
      </c>
      <c r="X405" s="40">
        <v>8090</v>
      </c>
      <c r="Y405" s="40">
        <v>12070</v>
      </c>
      <c r="Z405" s="47">
        <v>6</v>
      </c>
      <c r="AA405" s="47">
        <v>6</v>
      </c>
    </row>
    <row r="406" spans="1:27" ht="15.75" customHeight="1" x14ac:dyDescent="0.3">
      <c r="A406" s="96"/>
      <c r="B406" s="96"/>
      <c r="C406" s="30" t="s">
        <v>128</v>
      </c>
      <c r="D406" s="16">
        <v>26511.51</v>
      </c>
      <c r="E406" s="16">
        <v>26213.57</v>
      </c>
      <c r="F406" s="16">
        <v>26245.85</v>
      </c>
      <c r="G406" s="16">
        <v>26073.67</v>
      </c>
      <c r="H406" s="16">
        <v>26327.17</v>
      </c>
      <c r="I406" s="16">
        <v>26227.65</v>
      </c>
      <c r="J406" s="16">
        <v>26102.17</v>
      </c>
      <c r="K406" s="16">
        <v>26167.83</v>
      </c>
      <c r="L406" s="16">
        <v>26391.5</v>
      </c>
      <c r="M406" s="31"/>
      <c r="N406" s="31"/>
      <c r="O406" s="31"/>
      <c r="P406" s="31"/>
      <c r="Q406" s="31"/>
      <c r="R406" s="32"/>
      <c r="S406" s="33"/>
      <c r="T406" s="56"/>
      <c r="V406" s="48"/>
      <c r="W406" s="48"/>
      <c r="X406" s="49"/>
      <c r="Y406" s="49"/>
      <c r="Z406" s="50"/>
      <c r="AA406" s="50"/>
    </row>
    <row r="407" spans="1:27" ht="16.5" customHeight="1" thickBot="1" x14ac:dyDescent="0.35">
      <c r="A407" s="96"/>
      <c r="B407" s="96"/>
      <c r="C407" s="34" t="s">
        <v>129</v>
      </c>
      <c r="D407" s="35">
        <f t="shared" ref="D407:L407" si="131">IF(((D405="")*AND(D406="")),"",(D405-D406)*3)</f>
        <v>7480.6800000000039</v>
      </c>
      <c r="E407" s="35">
        <f t="shared" si="131"/>
        <v>7940.8500000000022</v>
      </c>
      <c r="F407" s="35">
        <f t="shared" si="131"/>
        <v>8052.48</v>
      </c>
      <c r="G407" s="35">
        <f t="shared" si="131"/>
        <v>8440.6500000000087</v>
      </c>
      <c r="H407" s="35">
        <f t="shared" si="131"/>
        <v>8475.1500000000087</v>
      </c>
      <c r="I407" s="35">
        <f t="shared" si="131"/>
        <v>8361.6899999999987</v>
      </c>
      <c r="J407" s="35">
        <f t="shared" si="131"/>
        <v>8265.6600000000035</v>
      </c>
      <c r="K407" s="35">
        <f t="shared" si="131"/>
        <v>8109.2699999999895</v>
      </c>
      <c r="L407" s="35">
        <f t="shared" si="131"/>
        <v>8150.6400000000031</v>
      </c>
      <c r="M407" s="36"/>
      <c r="N407" s="36"/>
      <c r="O407" s="36"/>
      <c r="P407" s="36"/>
      <c r="Q407" s="36"/>
      <c r="R407" s="37"/>
      <c r="S407" s="38"/>
      <c r="T407" s="57"/>
      <c r="U407" s="52"/>
      <c r="V407" s="51"/>
      <c r="W407" s="51"/>
      <c r="X407" s="52"/>
      <c r="Y407" s="52"/>
      <c r="Z407" s="53"/>
      <c r="AA407" s="53"/>
    </row>
    <row r="408" spans="1:27" x14ac:dyDescent="0.3">
      <c r="A408" s="97">
        <v>43167</v>
      </c>
      <c r="B408" s="117" t="s">
        <v>431</v>
      </c>
      <c r="C408" s="26" t="s">
        <v>126</v>
      </c>
      <c r="D408" s="16">
        <v>29021.52</v>
      </c>
      <c r="E408" s="16">
        <v>28852.79</v>
      </c>
      <c r="F408" s="16">
        <v>28851.55</v>
      </c>
      <c r="G408" s="16">
        <v>28871.62</v>
      </c>
      <c r="H408" s="16">
        <v>29096.33</v>
      </c>
      <c r="I408" s="16">
        <v>29029.69</v>
      </c>
      <c r="J408" s="16">
        <v>28851.33</v>
      </c>
      <c r="K408" s="16">
        <v>28852.62</v>
      </c>
      <c r="L408" s="16">
        <v>29104.05</v>
      </c>
      <c r="M408" s="27">
        <f>IF((L409=""),"",MAX(D410:L410))</f>
        <v>8547.5400000000009</v>
      </c>
      <c r="N408" s="27">
        <f>IF(L409="","",MIN(D410:L410))</f>
        <v>7507.2900000000009</v>
      </c>
      <c r="O408" s="27">
        <f>IF((L410=""),"",AVERAGE(D410:L410))</f>
        <v>8195.3466666666664</v>
      </c>
      <c r="P408" s="27">
        <f>IF((L409=""),"",STDEV(D410:L410))</f>
        <v>334.89759793106964</v>
      </c>
      <c r="Q408" s="27">
        <f>IF((L409=""),"",P408/O408*100)</f>
        <v>4.0864360173220611</v>
      </c>
      <c r="R408" s="28" t="str">
        <f>IF(L409="","",IF(Q408&lt;Z408,IF(N408&gt;V408,IF(M408&lt;W408,"Pass","Fail"),"Fail"),"Fail"))</f>
        <v>Fail</v>
      </c>
      <c r="S408" s="29">
        <v>102</v>
      </c>
      <c r="U408" s="55" t="s">
        <v>207</v>
      </c>
      <c r="V408" s="54">
        <v>9000</v>
      </c>
      <c r="W408" s="22">
        <v>15600</v>
      </c>
      <c r="X408" s="40">
        <v>8090</v>
      </c>
      <c r="Y408" s="40">
        <v>12070</v>
      </c>
      <c r="Z408" s="47">
        <v>6</v>
      </c>
      <c r="AA408" s="47">
        <v>6</v>
      </c>
    </row>
    <row r="409" spans="1:27" ht="15.75" customHeight="1" x14ac:dyDescent="0.3">
      <c r="A409" s="96"/>
      <c r="B409" s="96"/>
      <c r="C409" s="30" t="s">
        <v>128</v>
      </c>
      <c r="D409" s="16">
        <v>26519.09</v>
      </c>
      <c r="E409" s="16">
        <v>26200.63</v>
      </c>
      <c r="F409" s="16">
        <v>26165.83</v>
      </c>
      <c r="G409" s="16">
        <v>26037.13</v>
      </c>
      <c r="H409" s="16">
        <v>26259.19</v>
      </c>
      <c r="I409" s="16">
        <v>26323.18</v>
      </c>
      <c r="J409" s="16">
        <v>26115.11</v>
      </c>
      <c r="K409" s="16">
        <v>26070.43</v>
      </c>
      <c r="L409" s="16">
        <v>26254.87</v>
      </c>
      <c r="M409" s="31"/>
      <c r="N409" s="31"/>
      <c r="O409" s="31"/>
      <c r="P409" s="31"/>
      <c r="Q409" s="31"/>
      <c r="R409" s="32"/>
      <c r="S409" s="33"/>
      <c r="T409" s="56"/>
      <c r="V409" s="48"/>
      <c r="W409" s="48"/>
      <c r="X409" s="49"/>
      <c r="Y409" s="49"/>
      <c r="Z409" s="50"/>
      <c r="AA409" s="50"/>
    </row>
    <row r="410" spans="1:27" ht="16.5" customHeight="1" thickBot="1" x14ac:dyDescent="0.35">
      <c r="A410" s="96"/>
      <c r="B410" s="96"/>
      <c r="C410" s="34" t="s">
        <v>129</v>
      </c>
      <c r="D410" s="35">
        <f t="shared" ref="D410:L410" si="132">IF(((D408="")*AND(D409="")),"",(D408-D409)*3)</f>
        <v>7507.2900000000009</v>
      </c>
      <c r="E410" s="35">
        <f t="shared" si="132"/>
        <v>7956.48</v>
      </c>
      <c r="F410" s="35">
        <f t="shared" si="132"/>
        <v>8057.1599999999926</v>
      </c>
      <c r="G410" s="35">
        <f t="shared" si="132"/>
        <v>8503.4699999999939</v>
      </c>
      <c r="H410" s="35">
        <f t="shared" si="132"/>
        <v>8511.4200000000092</v>
      </c>
      <c r="I410" s="35">
        <f t="shared" si="132"/>
        <v>8119.5299999999952</v>
      </c>
      <c r="J410" s="35">
        <f t="shared" si="132"/>
        <v>8208.6600000000035</v>
      </c>
      <c r="K410" s="35">
        <f t="shared" si="132"/>
        <v>8346.5699999999961</v>
      </c>
      <c r="L410" s="35">
        <f t="shared" si="132"/>
        <v>8547.5400000000009</v>
      </c>
      <c r="M410" s="36"/>
      <c r="N410" s="36"/>
      <c r="O410" s="36"/>
      <c r="P410" s="36"/>
      <c r="Q410" s="36"/>
      <c r="R410" s="37"/>
      <c r="S410" s="38"/>
      <c r="T410" s="57"/>
      <c r="U410" s="52"/>
      <c r="V410" s="51"/>
      <c r="W410" s="51"/>
      <c r="X410" s="52"/>
      <c r="Y410" s="52"/>
      <c r="Z410" s="53"/>
      <c r="AA410" s="53"/>
    </row>
    <row r="411" spans="1:27" x14ac:dyDescent="0.3">
      <c r="A411" s="97">
        <v>43167</v>
      </c>
      <c r="B411" s="117" t="s">
        <v>431</v>
      </c>
      <c r="C411" s="26" t="s">
        <v>126</v>
      </c>
      <c r="D411" s="16">
        <v>29433.93</v>
      </c>
      <c r="E411" s="16">
        <v>29226.09</v>
      </c>
      <c r="F411" s="16">
        <v>29261.46</v>
      </c>
      <c r="G411" s="16">
        <v>29203.84</v>
      </c>
      <c r="H411" s="16">
        <v>29421.14</v>
      </c>
      <c r="I411" s="16">
        <v>29357.87</v>
      </c>
      <c r="J411" s="16">
        <v>29196.35</v>
      </c>
      <c r="K411" s="16">
        <v>29200.54</v>
      </c>
      <c r="L411" s="16">
        <v>29407.439999999999</v>
      </c>
      <c r="M411" s="27">
        <f>IF((L412=""),"",MAX(D413:L413))</f>
        <v>9447.7799999999952</v>
      </c>
      <c r="N411" s="27">
        <f>IF(L412="","",MIN(D413:L413))</f>
        <v>8621.8199999999961</v>
      </c>
      <c r="O411" s="27">
        <f>IF((L413=""),"",AVERAGE(D413:L413))</f>
        <v>9203.0799999999963</v>
      </c>
      <c r="P411" s="27">
        <f>IF((L412=""),"",STDEV(D413:L413))</f>
        <v>263.19440011140114</v>
      </c>
      <c r="Q411" s="27">
        <f>IF((L412=""),"",P411/O411*100)</f>
        <v>2.8598512683949422</v>
      </c>
      <c r="R411" s="28" t="str">
        <f>IF(L412="","",IF(Q411&lt;Z411,IF(N411&gt;V411,IF(M411&lt;W411,"Pass","Fail"),"Fail"),"Fail"))</f>
        <v>Fail</v>
      </c>
      <c r="S411" s="29">
        <v>121</v>
      </c>
      <c r="T411" s="55"/>
      <c r="U411" s="40"/>
      <c r="V411" s="54">
        <v>9000</v>
      </c>
      <c r="W411" s="22">
        <v>15600</v>
      </c>
      <c r="X411" s="40">
        <v>8090</v>
      </c>
      <c r="Y411" s="40">
        <v>12070</v>
      </c>
      <c r="Z411" s="47">
        <v>6</v>
      </c>
      <c r="AA411" s="47">
        <v>6</v>
      </c>
    </row>
    <row r="412" spans="1:27" ht="15.75" customHeight="1" x14ac:dyDescent="0.3">
      <c r="A412" s="96"/>
      <c r="B412" s="96"/>
      <c r="C412" s="30" t="s">
        <v>128</v>
      </c>
      <c r="D412" s="16">
        <v>26559.99</v>
      </c>
      <c r="E412" s="16">
        <v>26198.59</v>
      </c>
      <c r="F412" s="16">
        <v>26242.31</v>
      </c>
      <c r="G412" s="16">
        <v>26057</v>
      </c>
      <c r="H412" s="16">
        <v>26281.47</v>
      </c>
      <c r="I412" s="16">
        <v>26296.720000000001</v>
      </c>
      <c r="J412" s="16">
        <v>26113.41</v>
      </c>
      <c r="K412" s="16">
        <v>26091.75</v>
      </c>
      <c r="L412" s="16">
        <v>26258.18</v>
      </c>
      <c r="M412" s="31"/>
      <c r="N412" s="31"/>
      <c r="O412" s="31"/>
      <c r="P412" s="31"/>
      <c r="Q412" s="31"/>
      <c r="R412" s="32"/>
      <c r="S412" s="33"/>
      <c r="T412" s="56"/>
      <c r="V412" s="48"/>
      <c r="W412" s="48"/>
      <c r="X412" s="49"/>
      <c r="Y412" s="49"/>
      <c r="Z412" s="50"/>
      <c r="AA412" s="50"/>
    </row>
    <row r="413" spans="1:27" ht="16.5" customHeight="1" thickBot="1" x14ac:dyDescent="0.35">
      <c r="A413" s="96"/>
      <c r="B413" s="96"/>
      <c r="C413" s="34" t="s">
        <v>129</v>
      </c>
      <c r="D413" s="35">
        <f t="shared" ref="D413:L413" si="133">IF(((D411="")*AND(D412="")),"",(D411-D412)*3)</f>
        <v>8621.8199999999961</v>
      </c>
      <c r="E413" s="35">
        <f t="shared" si="133"/>
        <v>9082.5</v>
      </c>
      <c r="F413" s="35">
        <f t="shared" si="133"/>
        <v>9057.4499999999935</v>
      </c>
      <c r="G413" s="35">
        <f t="shared" si="133"/>
        <v>9440.52</v>
      </c>
      <c r="H413" s="35">
        <f t="shared" si="133"/>
        <v>9419.0099999999948</v>
      </c>
      <c r="I413" s="35">
        <f t="shared" si="133"/>
        <v>9183.4499999999935</v>
      </c>
      <c r="J413" s="35">
        <f t="shared" si="133"/>
        <v>9248.8199999999961</v>
      </c>
      <c r="K413" s="35">
        <f t="shared" si="133"/>
        <v>9326.3700000000026</v>
      </c>
      <c r="L413" s="35">
        <f t="shared" si="133"/>
        <v>9447.7799999999952</v>
      </c>
      <c r="M413" s="36"/>
      <c r="N413" s="36"/>
      <c r="O413" s="36"/>
      <c r="P413" s="36"/>
      <c r="Q413" s="36"/>
      <c r="R413" s="37"/>
      <c r="S413" s="38"/>
      <c r="T413" s="57"/>
      <c r="U413" s="52"/>
      <c r="V413" s="51"/>
      <c r="W413" s="51"/>
      <c r="X413" s="52"/>
      <c r="Y413" s="52"/>
      <c r="Z413" s="53"/>
      <c r="AA413" s="53"/>
    </row>
    <row r="414" spans="1:27" x14ac:dyDescent="0.3">
      <c r="A414" s="97">
        <v>43173</v>
      </c>
      <c r="B414" s="117" t="s">
        <v>431</v>
      </c>
      <c r="C414" s="26" t="s">
        <v>126</v>
      </c>
      <c r="D414" s="16">
        <v>29317.21</v>
      </c>
      <c r="E414" s="16">
        <v>29119.23</v>
      </c>
      <c r="F414" s="16">
        <v>29187.759999999998</v>
      </c>
      <c r="G414" s="16">
        <v>29142.22</v>
      </c>
      <c r="H414" s="16">
        <v>29341.56</v>
      </c>
      <c r="I414" s="16">
        <v>29292.46</v>
      </c>
      <c r="J414" s="16">
        <v>29130.13</v>
      </c>
      <c r="K414" s="16">
        <v>29123.48</v>
      </c>
      <c r="L414" s="16">
        <v>29338.63</v>
      </c>
      <c r="M414" s="27">
        <f>IF((L415=""),"",MAX(D416:L416))</f>
        <v>9170.8799999999974</v>
      </c>
      <c r="N414" s="27">
        <f>IF(L415="","",MIN(D416:L416))</f>
        <v>8038.3199999999961</v>
      </c>
      <c r="O414" s="27">
        <f>IF((L416=""),"",AVERAGE(D416:L416))</f>
        <v>8803.4800000000014</v>
      </c>
      <c r="P414" s="27">
        <f>IF((L415=""),"",STDEV(D416:L416))</f>
        <v>326.1207892407362</v>
      </c>
      <c r="Q414" s="27">
        <f>IF((L415=""),"",P414/O414*100)</f>
        <v>3.7044531167303858</v>
      </c>
      <c r="R414" s="28" t="str">
        <f>IF(L415="","",IF(Q414&lt;Z414,IF(N414&gt;V414,IF(M414&lt;W414,"Pass","Fail"),"Fail"),"Fail"))</f>
        <v>Fail</v>
      </c>
      <c r="S414" s="29">
        <v>121</v>
      </c>
      <c r="T414" s="55"/>
      <c r="U414" s="40"/>
      <c r="V414" s="54">
        <v>9000</v>
      </c>
      <c r="W414" s="22">
        <v>15600</v>
      </c>
      <c r="X414" s="40">
        <v>8090</v>
      </c>
      <c r="Y414" s="40">
        <v>12070</v>
      </c>
      <c r="Z414" s="47">
        <v>6</v>
      </c>
      <c r="AA414" s="47">
        <v>6</v>
      </c>
    </row>
    <row r="415" spans="1:27" ht="15.75" customHeight="1" x14ac:dyDescent="0.3">
      <c r="A415" s="96"/>
      <c r="B415" s="96"/>
      <c r="C415" s="30" t="s">
        <v>128</v>
      </c>
      <c r="D415" s="16">
        <v>26260.25</v>
      </c>
      <c r="E415" s="16">
        <v>26150.28</v>
      </c>
      <c r="F415" s="16">
        <v>26218.76</v>
      </c>
      <c r="G415" s="16">
        <v>26189.84</v>
      </c>
      <c r="H415" s="16">
        <v>26405.89</v>
      </c>
      <c r="I415" s="16">
        <v>26613.02</v>
      </c>
      <c r="J415" s="16">
        <v>26263.65</v>
      </c>
      <c r="K415" s="16">
        <v>26112.38</v>
      </c>
      <c r="L415" s="16">
        <v>26368.17</v>
      </c>
      <c r="M415" s="31"/>
      <c r="N415" s="31"/>
      <c r="O415" s="31"/>
      <c r="P415" s="31"/>
      <c r="Q415" s="31"/>
      <c r="R415" s="32"/>
      <c r="S415" s="33"/>
      <c r="T415" s="56"/>
      <c r="V415" s="48"/>
      <c r="W415" s="48"/>
      <c r="X415" s="49"/>
      <c r="Y415" s="49"/>
      <c r="Z415" s="50"/>
      <c r="AA415" s="50"/>
    </row>
    <row r="416" spans="1:27" ht="16.5" customHeight="1" thickBot="1" x14ac:dyDescent="0.35">
      <c r="A416" s="96"/>
      <c r="B416" s="96"/>
      <c r="C416" s="34" t="s">
        <v>129</v>
      </c>
      <c r="D416" s="35">
        <f t="shared" ref="D416:L416" si="134">IF(((D414="")*AND(D415="")),"",(D414-D415)*3)</f>
        <v>9170.8799999999974</v>
      </c>
      <c r="E416" s="35">
        <f t="shared" si="134"/>
        <v>8906.8500000000022</v>
      </c>
      <c r="F416" s="35">
        <f t="shared" si="134"/>
        <v>8907</v>
      </c>
      <c r="G416" s="35">
        <f t="shared" si="134"/>
        <v>8857.1400000000031</v>
      </c>
      <c r="H416" s="35">
        <f t="shared" si="134"/>
        <v>8807.0100000000057</v>
      </c>
      <c r="I416" s="35">
        <f t="shared" si="134"/>
        <v>8038.3199999999961</v>
      </c>
      <c r="J416" s="35">
        <f t="shared" si="134"/>
        <v>8599.4399999999987</v>
      </c>
      <c r="K416" s="35">
        <f t="shared" si="134"/>
        <v>9033.2999999999956</v>
      </c>
      <c r="L416" s="35">
        <f t="shared" si="134"/>
        <v>8911.3800000000083</v>
      </c>
      <c r="M416" s="36"/>
      <c r="N416" s="36"/>
      <c r="O416" s="36"/>
      <c r="P416" s="36"/>
      <c r="Q416" s="36"/>
      <c r="R416" s="37"/>
      <c r="S416" s="38"/>
      <c r="T416" s="57"/>
      <c r="U416" s="52"/>
      <c r="V416" s="51"/>
      <c r="W416" s="51"/>
      <c r="X416" s="52"/>
      <c r="Y416" s="52"/>
      <c r="Z416" s="53"/>
      <c r="AA416" s="53"/>
    </row>
    <row r="417" spans="1:27" x14ac:dyDescent="0.3">
      <c r="A417" s="97">
        <v>43173</v>
      </c>
      <c r="B417" s="117" t="s">
        <v>431</v>
      </c>
      <c r="C417" s="26" t="s">
        <v>126</v>
      </c>
      <c r="D417" s="16">
        <v>29031.19</v>
      </c>
      <c r="E417" s="16">
        <v>28836.2</v>
      </c>
      <c r="F417" s="16">
        <v>28839.59</v>
      </c>
      <c r="G417" s="16">
        <v>28846.79</v>
      </c>
      <c r="H417" s="16">
        <v>29099.19</v>
      </c>
      <c r="I417" s="16">
        <v>29033.85</v>
      </c>
      <c r="J417" s="16">
        <v>28832.69</v>
      </c>
      <c r="K417" s="16">
        <v>28831.47</v>
      </c>
      <c r="L417" s="16">
        <v>29081.02</v>
      </c>
      <c r="M417" s="27">
        <f>IF((L418=""),"",MAX(D419:L419))</f>
        <v>10773.149999999998</v>
      </c>
      <c r="N417" s="27">
        <f>IF(L418="","",MIN(D419:L419))</f>
        <v>9739.77</v>
      </c>
      <c r="O417" s="27">
        <f>IF((L419=""),"",AVERAGE(D419:L419))</f>
        <v>10318.450000000003</v>
      </c>
      <c r="P417" s="27">
        <f>IF((L418=""),"",STDEV(D419:L419))</f>
        <v>292.03489021005731</v>
      </c>
      <c r="Q417" s="27">
        <f>IF((L418=""),"",P417/O417*100)</f>
        <v>2.8302205293436247</v>
      </c>
      <c r="R417" s="28" t="str">
        <f>IF(L418="","",IF(Q417&lt;Z417,IF(N417&gt;V417,IF(M417&lt;W417,"Pass","Fail"),"Fail"),"Fail"))</f>
        <v>Pass</v>
      </c>
      <c r="S417" s="29">
        <v>121</v>
      </c>
      <c r="T417" s="55"/>
      <c r="U417" s="40"/>
      <c r="V417" s="54">
        <v>9000</v>
      </c>
      <c r="W417" s="22">
        <v>15600</v>
      </c>
      <c r="X417" s="40">
        <v>8090</v>
      </c>
      <c r="Y417" s="40">
        <v>12070</v>
      </c>
      <c r="Z417" s="47">
        <v>6</v>
      </c>
      <c r="AA417" s="47">
        <v>6</v>
      </c>
    </row>
    <row r="418" spans="1:27" ht="15.75" customHeight="1" x14ac:dyDescent="0.3">
      <c r="A418" s="96"/>
      <c r="B418" s="96"/>
      <c r="C418" s="30" t="s">
        <v>128</v>
      </c>
      <c r="D418" s="16">
        <v>25440.14</v>
      </c>
      <c r="E418" s="16">
        <v>25314.09</v>
      </c>
      <c r="F418" s="16">
        <v>25411.61</v>
      </c>
      <c r="G418" s="16">
        <v>25407.73</v>
      </c>
      <c r="H418" s="16">
        <v>25733.48</v>
      </c>
      <c r="I418" s="16">
        <v>25787.26</v>
      </c>
      <c r="J418" s="16">
        <v>25408.85</v>
      </c>
      <c r="K418" s="16">
        <v>25337.69</v>
      </c>
      <c r="L418" s="16">
        <v>25635.79</v>
      </c>
      <c r="M418" s="31"/>
      <c r="N418" s="31"/>
      <c r="O418" s="31"/>
      <c r="P418" s="31"/>
      <c r="Q418" s="31"/>
      <c r="R418" s="32"/>
      <c r="S418" s="33"/>
      <c r="T418" s="56"/>
      <c r="V418" s="48"/>
      <c r="W418" s="48"/>
      <c r="X418" s="49"/>
      <c r="Y418" s="49"/>
      <c r="Z418" s="50"/>
      <c r="AA418" s="50"/>
    </row>
    <row r="419" spans="1:27" ht="16.5" customHeight="1" thickBot="1" x14ac:dyDescent="0.35">
      <c r="A419" s="96"/>
      <c r="B419" s="96"/>
      <c r="C419" s="34" t="s">
        <v>129</v>
      </c>
      <c r="D419" s="35">
        <f t="shared" ref="D419:L419" si="135">IF(((D417="")*AND(D418="")),"",(D417-D418)*3)</f>
        <v>10773.149999999998</v>
      </c>
      <c r="E419" s="35">
        <f t="shared" si="135"/>
        <v>10566.330000000002</v>
      </c>
      <c r="F419" s="35">
        <f t="shared" si="135"/>
        <v>10283.939999999999</v>
      </c>
      <c r="G419" s="35">
        <f t="shared" si="135"/>
        <v>10317.180000000004</v>
      </c>
      <c r="H419" s="35">
        <f t="shared" si="135"/>
        <v>10097.129999999997</v>
      </c>
      <c r="I419" s="35">
        <f t="shared" si="135"/>
        <v>9739.77</v>
      </c>
      <c r="J419" s="35">
        <f t="shared" si="135"/>
        <v>10271.52</v>
      </c>
      <c r="K419" s="35">
        <f t="shared" si="135"/>
        <v>10481.340000000007</v>
      </c>
      <c r="L419" s="35">
        <f t="shared" si="135"/>
        <v>10335.689999999999</v>
      </c>
      <c r="M419" s="36"/>
      <c r="N419" s="36"/>
      <c r="O419" s="36"/>
      <c r="P419" s="36"/>
      <c r="Q419" s="36"/>
      <c r="R419" s="37"/>
      <c r="S419" s="38"/>
      <c r="T419" s="57"/>
      <c r="U419" s="52"/>
      <c r="V419" s="51"/>
      <c r="W419" s="51"/>
      <c r="X419" s="52"/>
      <c r="Y419" s="52"/>
      <c r="Z419" s="53"/>
      <c r="AA419" s="53"/>
    </row>
    <row r="420" spans="1:27" x14ac:dyDescent="0.3">
      <c r="A420" s="97">
        <v>43178</v>
      </c>
      <c r="B420" s="117" t="s">
        <v>431</v>
      </c>
      <c r="C420" s="26" t="s">
        <v>126</v>
      </c>
      <c r="D420" s="16">
        <v>29317.22</v>
      </c>
      <c r="E420" s="16">
        <v>29099.15</v>
      </c>
      <c r="F420" s="16">
        <v>29140.31</v>
      </c>
      <c r="G420" s="16">
        <v>29076.15</v>
      </c>
      <c r="H420" s="16">
        <v>29272.240000000002</v>
      </c>
      <c r="I420" s="16">
        <v>29226.84</v>
      </c>
      <c r="J420" s="16">
        <v>29070.28</v>
      </c>
      <c r="K420" s="16">
        <v>29064.47</v>
      </c>
      <c r="L420" s="16">
        <v>29279.73</v>
      </c>
      <c r="M420" s="27">
        <f>IF((L421=""),"",MAX(D422:L422))</f>
        <v>9956.4899999999943</v>
      </c>
      <c r="N420" s="27">
        <f>IF(L421="","",MIN(D422:L422))</f>
        <v>9020.1000000000022</v>
      </c>
      <c r="O420" s="27">
        <f>IF((L422=""),"",AVERAGE(D422:L422))</f>
        <v>9610.3633333333346</v>
      </c>
      <c r="P420" s="27">
        <f>IF((L421=""),"",STDEV(D422:L422))</f>
        <v>312.93915902296266</v>
      </c>
      <c r="Q420" s="27">
        <f>IF((L421=""),"",P420/O420*100)</f>
        <v>3.2562677202592338</v>
      </c>
      <c r="R420" s="28" t="str">
        <f>IF(L421="","",IF(Q420&lt;Z420,IF(N420&gt;V420,IF(M420&lt;W420,"Pass","Fail"),"Fail"),"Fail"))</f>
        <v>Pass</v>
      </c>
      <c r="S420" s="29">
        <v>1159</v>
      </c>
      <c r="T420" s="55" t="s">
        <v>208</v>
      </c>
      <c r="U420" s="40"/>
      <c r="V420" s="54">
        <v>9000</v>
      </c>
      <c r="W420" s="22">
        <v>15600</v>
      </c>
      <c r="X420" s="40">
        <v>8090</v>
      </c>
      <c r="Y420" s="40">
        <v>12070</v>
      </c>
      <c r="Z420" s="47">
        <v>6</v>
      </c>
      <c r="AA420" s="47">
        <v>6</v>
      </c>
    </row>
    <row r="421" spans="1:27" ht="15.75" customHeight="1" x14ac:dyDescent="0.3">
      <c r="A421" s="96"/>
      <c r="B421" s="96"/>
      <c r="C421" s="30" t="s">
        <v>128</v>
      </c>
      <c r="D421" s="16">
        <v>26310.52</v>
      </c>
      <c r="E421" s="16">
        <v>25934.12</v>
      </c>
      <c r="F421" s="16">
        <v>25949.97</v>
      </c>
      <c r="G421" s="16">
        <v>25774.76</v>
      </c>
      <c r="H421" s="16">
        <v>25990.33</v>
      </c>
      <c r="I421" s="16">
        <v>26135.1</v>
      </c>
      <c r="J421" s="16">
        <v>25870.27</v>
      </c>
      <c r="K421" s="16">
        <v>25789.33</v>
      </c>
      <c r="L421" s="16">
        <v>25960.9</v>
      </c>
      <c r="M421" s="31"/>
      <c r="N421" s="31"/>
      <c r="O421" s="31"/>
      <c r="P421" s="31"/>
      <c r="Q421" s="31"/>
      <c r="R421" s="32"/>
      <c r="S421" s="33"/>
      <c r="T421" s="56"/>
      <c r="V421" s="48"/>
      <c r="W421" s="48"/>
      <c r="X421" s="49"/>
      <c r="Y421" s="49"/>
      <c r="Z421" s="50"/>
      <c r="AA421" s="50"/>
    </row>
    <row r="422" spans="1:27" ht="16.5" customHeight="1" thickBot="1" x14ac:dyDescent="0.35">
      <c r="A422" s="96"/>
      <c r="B422" s="96"/>
      <c r="C422" s="34" t="s">
        <v>129</v>
      </c>
      <c r="D422" s="35">
        <f t="shared" ref="D422:L422" si="136">IF(((D420="")*AND(D421="")),"",(D420-D421)*3)</f>
        <v>9020.1000000000022</v>
      </c>
      <c r="E422" s="35">
        <f t="shared" si="136"/>
        <v>9495.0900000000074</v>
      </c>
      <c r="F422" s="35">
        <f t="shared" si="136"/>
        <v>9571.02</v>
      </c>
      <c r="G422" s="35">
        <f t="shared" si="136"/>
        <v>9904.1700000000092</v>
      </c>
      <c r="H422" s="35">
        <f t="shared" si="136"/>
        <v>9845.73</v>
      </c>
      <c r="I422" s="35">
        <f t="shared" si="136"/>
        <v>9275.2200000000048</v>
      </c>
      <c r="J422" s="35">
        <f t="shared" si="136"/>
        <v>9600.0299999999952</v>
      </c>
      <c r="K422" s="35">
        <f t="shared" si="136"/>
        <v>9825.4199999999983</v>
      </c>
      <c r="L422" s="35">
        <f t="shared" si="136"/>
        <v>9956.4899999999943</v>
      </c>
      <c r="M422" s="36"/>
      <c r="N422" s="36"/>
      <c r="O422" s="36"/>
      <c r="P422" s="36"/>
      <c r="Q422" s="36"/>
      <c r="R422" s="37"/>
      <c r="S422" s="38"/>
      <c r="T422" s="57"/>
      <c r="U422" s="52"/>
      <c r="V422" s="51"/>
      <c r="W422" s="51"/>
      <c r="X422" s="52"/>
      <c r="Y422" s="52"/>
      <c r="Z422" s="53"/>
      <c r="AA422" s="53"/>
    </row>
    <row r="423" spans="1:27" x14ac:dyDescent="0.3">
      <c r="A423" s="97">
        <v>43182</v>
      </c>
      <c r="B423" s="117" t="s">
        <v>431</v>
      </c>
      <c r="C423" s="26" t="s">
        <v>126</v>
      </c>
      <c r="D423" s="16">
        <v>29252.77</v>
      </c>
      <c r="E423" s="16">
        <v>29049.46</v>
      </c>
      <c r="F423" s="16">
        <v>29040.14</v>
      </c>
      <c r="G423" s="16">
        <v>29039.9</v>
      </c>
      <c r="H423" s="16">
        <v>29285.360000000001</v>
      </c>
      <c r="I423" s="16">
        <v>29216.04</v>
      </c>
      <c r="J423" s="16">
        <v>29030.26</v>
      </c>
      <c r="K423" s="16">
        <v>29033.360000000001</v>
      </c>
      <c r="L423" s="16">
        <v>29255.52</v>
      </c>
      <c r="M423" s="27">
        <f>IF((L424=""),"",MAX(D425:L425))</f>
        <v>9184.1700000000092</v>
      </c>
      <c r="N423" s="27">
        <f>IF(L424="","",MIN(D425:L425))</f>
        <v>8231.25</v>
      </c>
      <c r="O423" s="27">
        <f>IF((L425=""),"",AVERAGE(D425:L425))</f>
        <v>8860.3266666666677</v>
      </c>
      <c r="P423" s="27">
        <f>IF((L424=""),"",STDEV(D425:L425))</f>
        <v>313.2208562659921</v>
      </c>
      <c r="Q423" s="27">
        <f>IF((L424=""),"",P423/O423*100)</f>
        <v>3.5350937730586915</v>
      </c>
      <c r="R423" s="28" t="str">
        <f>IF(L424="","",IF(Q423&lt;Z423,IF(N423&gt;V423,IF(M423&lt;W423,"Pass","Fail"),"Fail"),"Fail"))</f>
        <v>Fail</v>
      </c>
      <c r="S423" s="29">
        <v>1159</v>
      </c>
      <c r="T423" s="55"/>
      <c r="U423" s="40"/>
      <c r="V423" s="54">
        <v>9000</v>
      </c>
      <c r="W423" s="22">
        <v>15600</v>
      </c>
      <c r="X423" s="40">
        <v>8090</v>
      </c>
      <c r="Y423" s="40">
        <v>12070</v>
      </c>
      <c r="Z423" s="47">
        <v>6</v>
      </c>
      <c r="AA423" s="47">
        <v>6</v>
      </c>
    </row>
    <row r="424" spans="1:27" ht="15.75" customHeight="1" x14ac:dyDescent="0.3">
      <c r="A424" s="96"/>
      <c r="B424" s="96"/>
      <c r="C424" s="30" t="s">
        <v>128</v>
      </c>
      <c r="D424" s="16">
        <v>26509.02</v>
      </c>
      <c r="E424" s="16">
        <v>26156.92</v>
      </c>
      <c r="F424" s="16">
        <v>26113.83</v>
      </c>
      <c r="G424" s="16">
        <v>25978.51</v>
      </c>
      <c r="H424" s="16">
        <v>26224.44</v>
      </c>
      <c r="I424" s="16">
        <v>26330.240000000002</v>
      </c>
      <c r="J424" s="16">
        <v>26070.06</v>
      </c>
      <c r="K424" s="16">
        <v>26027.22</v>
      </c>
      <c r="L424" s="16">
        <v>26211.59</v>
      </c>
      <c r="M424" s="31"/>
      <c r="N424" s="31"/>
      <c r="O424" s="31"/>
      <c r="P424" s="31"/>
      <c r="Q424" s="31"/>
      <c r="R424" s="32"/>
      <c r="S424" s="33"/>
      <c r="T424" s="56"/>
      <c r="V424" s="48"/>
      <c r="W424" s="48"/>
      <c r="X424" s="49"/>
      <c r="Y424" s="49"/>
      <c r="Z424" s="50"/>
      <c r="AA424" s="50"/>
    </row>
    <row r="425" spans="1:27" ht="16.5" customHeight="1" thickBot="1" x14ac:dyDescent="0.35">
      <c r="A425" s="96"/>
      <c r="B425" s="96"/>
      <c r="C425" s="34" t="s">
        <v>129</v>
      </c>
      <c r="D425" s="35">
        <f t="shared" ref="D425:L425" si="137">IF(((D423="")*AND(D424="")),"",(D423-D424)*3)</f>
        <v>8231.25</v>
      </c>
      <c r="E425" s="35">
        <f t="shared" si="137"/>
        <v>8677.6200000000026</v>
      </c>
      <c r="F425" s="35">
        <f t="shared" si="137"/>
        <v>8778.929999999993</v>
      </c>
      <c r="G425" s="35">
        <f t="shared" si="137"/>
        <v>9184.1700000000092</v>
      </c>
      <c r="H425" s="35">
        <f t="shared" si="137"/>
        <v>9182.7600000000057</v>
      </c>
      <c r="I425" s="35">
        <f t="shared" si="137"/>
        <v>8657.3999999999978</v>
      </c>
      <c r="J425" s="35">
        <f t="shared" si="137"/>
        <v>8880.5999999999913</v>
      </c>
      <c r="K425" s="35">
        <f t="shared" si="137"/>
        <v>9018.4199999999983</v>
      </c>
      <c r="L425" s="35">
        <f t="shared" si="137"/>
        <v>9131.7900000000009</v>
      </c>
      <c r="M425" s="36"/>
      <c r="N425" s="36"/>
      <c r="O425" s="36"/>
      <c r="P425" s="36"/>
      <c r="Q425" s="36"/>
      <c r="R425" s="37"/>
      <c r="S425" s="38"/>
      <c r="T425" s="57"/>
      <c r="U425" s="52"/>
      <c r="V425" s="51"/>
      <c r="W425" s="51"/>
      <c r="X425" s="52"/>
      <c r="Y425" s="52"/>
      <c r="Z425" s="53"/>
      <c r="AA425" s="53"/>
    </row>
    <row r="426" spans="1:27" x14ac:dyDescent="0.3">
      <c r="A426" s="97">
        <v>43182</v>
      </c>
      <c r="B426" s="117" t="s">
        <v>431</v>
      </c>
      <c r="C426" s="26" t="s">
        <v>126</v>
      </c>
      <c r="D426" s="16">
        <v>29196.52</v>
      </c>
      <c r="E426" s="16">
        <v>29021.69</v>
      </c>
      <c r="F426" s="16">
        <v>29030.1</v>
      </c>
      <c r="G426" s="16">
        <v>29042.66</v>
      </c>
      <c r="H426" s="16">
        <v>29266.59</v>
      </c>
      <c r="I426" s="16">
        <v>29200.58</v>
      </c>
      <c r="J426" s="16">
        <v>29018.62</v>
      </c>
      <c r="K426" s="16">
        <v>29025.48</v>
      </c>
      <c r="L426" s="16">
        <v>29270.14</v>
      </c>
      <c r="M426" s="27">
        <f>IF((L427=""),"",MAX(D428:L428))</f>
        <v>10094.069999999996</v>
      </c>
      <c r="N426" s="27">
        <f>IF(L427="","",MIN(D428:L428))</f>
        <v>9017.5500000000065</v>
      </c>
      <c r="O426" s="27">
        <f>IF((L428=""),"",AVERAGE(D428:L428))</f>
        <v>9685.7566666666662</v>
      </c>
      <c r="P426" s="27">
        <f>IF((L427=""),"",STDEV(D428:L428))</f>
        <v>338.05136266549431</v>
      </c>
      <c r="Q426" s="27">
        <f>IF((L427=""),"",P426/O426*100)</f>
        <v>3.4901905375022602</v>
      </c>
      <c r="R426" s="28" t="str">
        <f>IF(L427="","",IF(Q426&lt;Z426,IF(N426&gt;V426,IF(M426&lt;W426,"Pass","Fail"),"Fail"),"Fail"))</f>
        <v>Pass</v>
      </c>
      <c r="S426" s="29">
        <v>1159</v>
      </c>
      <c r="T426" s="55" t="s">
        <v>209</v>
      </c>
      <c r="U426" s="40"/>
      <c r="V426" s="54">
        <v>9000</v>
      </c>
      <c r="W426" s="22">
        <v>15600</v>
      </c>
      <c r="X426" s="40">
        <v>8090</v>
      </c>
      <c r="Y426" s="40">
        <v>12070</v>
      </c>
      <c r="Z426" s="47">
        <v>6</v>
      </c>
      <c r="AA426" s="47">
        <v>6</v>
      </c>
    </row>
    <row r="427" spans="1:27" ht="15.75" customHeight="1" x14ac:dyDescent="0.3">
      <c r="A427" s="96"/>
      <c r="B427" s="96"/>
      <c r="C427" s="30" t="s">
        <v>128</v>
      </c>
      <c r="D427" s="16">
        <v>26190.67</v>
      </c>
      <c r="E427" s="16">
        <v>25845.79</v>
      </c>
      <c r="F427" s="16">
        <v>25832.19</v>
      </c>
      <c r="G427" s="16">
        <v>25677.97</v>
      </c>
      <c r="H427" s="16">
        <v>25950.15</v>
      </c>
      <c r="I427" s="16">
        <v>26069.14</v>
      </c>
      <c r="J427" s="16">
        <v>25762.66</v>
      </c>
      <c r="K427" s="16">
        <v>25732.89</v>
      </c>
      <c r="L427" s="16">
        <v>25953.65</v>
      </c>
      <c r="M427" s="31"/>
      <c r="N427" s="31"/>
      <c r="O427" s="31"/>
      <c r="P427" s="31"/>
      <c r="Q427" s="31"/>
      <c r="R427" s="32"/>
      <c r="S427" s="33"/>
      <c r="T427" s="56"/>
      <c r="V427" s="48"/>
      <c r="W427" s="48"/>
      <c r="X427" s="49"/>
      <c r="Y427" s="49"/>
      <c r="Z427" s="50"/>
      <c r="AA427" s="50"/>
    </row>
    <row r="428" spans="1:27" ht="16.5" customHeight="1" thickBot="1" x14ac:dyDescent="0.35">
      <c r="A428" s="96"/>
      <c r="B428" s="96"/>
      <c r="C428" s="34" t="s">
        <v>129</v>
      </c>
      <c r="D428" s="35">
        <f t="shared" ref="D428:L428" si="138">IF(((D426="")*AND(D427="")),"",(D426-D427)*3)</f>
        <v>9017.5500000000065</v>
      </c>
      <c r="E428" s="35">
        <f t="shared" si="138"/>
        <v>9527.6999999999935</v>
      </c>
      <c r="F428" s="35">
        <f t="shared" si="138"/>
        <v>9593.73</v>
      </c>
      <c r="G428" s="35">
        <f t="shared" si="138"/>
        <v>10094.069999999996</v>
      </c>
      <c r="H428" s="35">
        <f t="shared" si="138"/>
        <v>9949.3199999999961</v>
      </c>
      <c r="I428" s="35">
        <f t="shared" si="138"/>
        <v>9394.320000000007</v>
      </c>
      <c r="J428" s="35">
        <f t="shared" si="138"/>
        <v>9767.8799999999974</v>
      </c>
      <c r="K428" s="35">
        <f t="shared" si="138"/>
        <v>9877.77</v>
      </c>
      <c r="L428" s="35">
        <f t="shared" si="138"/>
        <v>9949.4699999999939</v>
      </c>
      <c r="M428" s="36"/>
      <c r="N428" s="36"/>
      <c r="O428" s="36"/>
      <c r="P428" s="36"/>
      <c r="Q428" s="36"/>
      <c r="R428" s="37"/>
      <c r="S428" s="38"/>
      <c r="T428" s="57"/>
      <c r="U428" s="52"/>
      <c r="V428" s="51"/>
      <c r="W428" s="51"/>
      <c r="X428" s="52"/>
      <c r="Y428" s="52"/>
      <c r="Z428" s="53"/>
      <c r="AA428" s="53"/>
    </row>
    <row r="429" spans="1:27" x14ac:dyDescent="0.3">
      <c r="A429" s="97">
        <v>43187</v>
      </c>
      <c r="B429" s="117" t="s">
        <v>431</v>
      </c>
      <c r="C429" s="26" t="s">
        <v>126</v>
      </c>
      <c r="D429" s="16">
        <v>29136.27</v>
      </c>
      <c r="E429" s="16">
        <v>28992.89</v>
      </c>
      <c r="F429" s="16">
        <v>29064.07</v>
      </c>
      <c r="G429" s="16">
        <v>29013.62</v>
      </c>
      <c r="H429" s="16">
        <v>29258.06</v>
      </c>
      <c r="I429" s="16">
        <v>29191.54</v>
      </c>
      <c r="J429" s="16">
        <v>29005.42</v>
      </c>
      <c r="K429" s="16">
        <v>28991.53</v>
      </c>
      <c r="L429" s="16">
        <v>29206.69</v>
      </c>
      <c r="M429" s="27">
        <f>IF((L430=""),"",MAX(D431:L431))</f>
        <v>10100.459999999999</v>
      </c>
      <c r="N429" s="27">
        <f>IF(L430="","",MIN(D431:L431))</f>
        <v>9172.1400000000031</v>
      </c>
      <c r="O429" s="27">
        <f>IF((L431=""),"",AVERAGE(D431:L431))</f>
        <v>9778.9166666666661</v>
      </c>
      <c r="P429" s="27">
        <f>IF((L430=""),"",STDEV(D431:L431))</f>
        <v>329.93983546246557</v>
      </c>
      <c r="Q429" s="27">
        <f>IF((L430=""),"",P429/O429*100)</f>
        <v>3.3739916875161589</v>
      </c>
      <c r="R429" s="28" t="str">
        <f>IF(L430="","",IF(Q429&lt;Z429,IF(N429&gt;V429,IF(M429&lt;W429,"Pass","Fail"),"Fail"),"Fail"))</f>
        <v>Pass</v>
      </c>
      <c r="S429" s="29">
        <v>1159</v>
      </c>
      <c r="T429" s="55" t="s">
        <v>210</v>
      </c>
      <c r="U429" s="40"/>
      <c r="V429" s="54">
        <v>9000</v>
      </c>
      <c r="W429" s="22">
        <v>15600</v>
      </c>
      <c r="X429" s="40">
        <v>8090</v>
      </c>
      <c r="Y429" s="40">
        <v>12070</v>
      </c>
      <c r="Z429" s="47">
        <v>6</v>
      </c>
      <c r="AA429" s="47">
        <v>6</v>
      </c>
    </row>
    <row r="430" spans="1:27" ht="15.75" customHeight="1" x14ac:dyDescent="0.3">
      <c r="A430" s="96"/>
      <c r="B430" s="96"/>
      <c r="C430" s="30" t="s">
        <v>128</v>
      </c>
      <c r="D430" s="16">
        <v>26078.89</v>
      </c>
      <c r="E430" s="16">
        <v>25768.94</v>
      </c>
      <c r="F430" s="16">
        <v>25812.639999999999</v>
      </c>
      <c r="G430" s="16">
        <v>25646.799999999999</v>
      </c>
      <c r="H430" s="16">
        <v>25901.61</v>
      </c>
      <c r="I430" s="16">
        <v>26062.52</v>
      </c>
      <c r="J430" s="16">
        <v>25753.58</v>
      </c>
      <c r="K430" s="16">
        <v>25652.27</v>
      </c>
      <c r="L430" s="16">
        <v>25846.09</v>
      </c>
      <c r="M430" s="31"/>
      <c r="N430" s="31"/>
      <c r="O430" s="31"/>
      <c r="P430" s="31"/>
      <c r="Q430" s="31"/>
      <c r="R430" s="32"/>
      <c r="S430" s="33"/>
      <c r="T430" s="56"/>
      <c r="V430" s="48"/>
      <c r="W430" s="48"/>
      <c r="X430" s="49"/>
      <c r="Y430" s="49"/>
      <c r="Z430" s="50"/>
      <c r="AA430" s="50"/>
    </row>
    <row r="431" spans="1:27" ht="16.5" customHeight="1" thickBot="1" x14ac:dyDescent="0.35">
      <c r="A431" s="96"/>
      <c r="B431" s="96"/>
      <c r="C431" s="34" t="s">
        <v>129</v>
      </c>
      <c r="D431" s="35">
        <f t="shared" ref="D431:L431" si="139">IF(((D429="")*AND(D430="")),"",(D429-D430)*3)</f>
        <v>9172.1400000000031</v>
      </c>
      <c r="E431" s="35">
        <f t="shared" si="139"/>
        <v>9671.8500000000022</v>
      </c>
      <c r="F431" s="35">
        <f t="shared" si="139"/>
        <v>9754.2900000000009</v>
      </c>
      <c r="G431" s="35">
        <f t="shared" si="139"/>
        <v>10100.459999999999</v>
      </c>
      <c r="H431" s="35">
        <f t="shared" si="139"/>
        <v>10069.350000000002</v>
      </c>
      <c r="I431" s="35">
        <f t="shared" si="139"/>
        <v>9387.0600000000013</v>
      </c>
      <c r="J431" s="35">
        <f t="shared" si="139"/>
        <v>9755.5199999999895</v>
      </c>
      <c r="K431" s="35">
        <f t="shared" si="139"/>
        <v>10017.779999999995</v>
      </c>
      <c r="L431" s="35">
        <f t="shared" si="139"/>
        <v>10081.799999999996</v>
      </c>
      <c r="M431" s="36"/>
      <c r="N431" s="36"/>
      <c r="O431" s="36"/>
      <c r="P431" s="36"/>
      <c r="Q431" s="36"/>
      <c r="R431" s="37"/>
      <c r="S431" s="38"/>
      <c r="T431" s="57"/>
      <c r="U431" s="52"/>
      <c r="V431" s="51"/>
      <c r="W431" s="51"/>
      <c r="X431" s="52"/>
      <c r="Y431" s="52"/>
      <c r="Z431" s="53"/>
      <c r="AA431" s="53"/>
    </row>
    <row r="432" spans="1:27" x14ac:dyDescent="0.3">
      <c r="A432" s="97">
        <v>43192</v>
      </c>
      <c r="B432" s="117" t="s">
        <v>431</v>
      </c>
      <c r="C432" s="26" t="s">
        <v>126</v>
      </c>
      <c r="D432" s="16">
        <v>29228.19</v>
      </c>
      <c r="E432" s="16">
        <v>29101.37</v>
      </c>
      <c r="F432" s="16">
        <v>29161.56</v>
      </c>
      <c r="G432" s="16">
        <v>29112.58</v>
      </c>
      <c r="H432" s="16">
        <v>29338.400000000001</v>
      </c>
      <c r="I432" s="16">
        <v>29256.76</v>
      </c>
      <c r="J432" s="16">
        <v>29100.38</v>
      </c>
      <c r="K432" s="16">
        <v>29097.66</v>
      </c>
      <c r="L432" s="16">
        <v>29286.59</v>
      </c>
      <c r="M432" s="27">
        <f>IF((L433=""),"",MAX(D434:L434))</f>
        <v>8819.4300000000039</v>
      </c>
      <c r="N432" s="27">
        <f>IF(L433="","",MIN(D434:L434))</f>
        <v>7509.6299999999974</v>
      </c>
      <c r="O432" s="27">
        <f>IF((L434=""),"",AVERAGE(D434:L434))</f>
        <v>8355.74</v>
      </c>
      <c r="P432" s="27">
        <f>IF((L433=""),"",STDEV(D434:L434))</f>
        <v>378.43120791631503</v>
      </c>
      <c r="Q432" s="27">
        <f>IF((L433=""),"",P432/O432*100)</f>
        <v>4.5289969280556246</v>
      </c>
      <c r="R432" s="28" t="str">
        <f>IF(L433="","",IF(Q432&lt;Z432,IF(N432&gt;V432,IF(M432&lt;W432,"Pass","Fail"),"Fail"),"Fail"))</f>
        <v>Fail</v>
      </c>
      <c r="S432" s="29">
        <v>121</v>
      </c>
      <c r="T432" s="55"/>
      <c r="U432" s="40"/>
      <c r="V432" s="54">
        <v>9000</v>
      </c>
      <c r="W432" s="22">
        <v>15600</v>
      </c>
      <c r="X432" s="40">
        <v>8090</v>
      </c>
      <c r="Y432" s="40">
        <v>12070</v>
      </c>
      <c r="Z432" s="47">
        <v>6</v>
      </c>
      <c r="AA432" s="47">
        <v>6</v>
      </c>
    </row>
    <row r="433" spans="1:27" ht="15.75" customHeight="1" x14ac:dyDescent="0.3">
      <c r="A433" s="96"/>
      <c r="B433" s="96"/>
      <c r="C433" s="30" t="s">
        <v>128</v>
      </c>
      <c r="D433" s="16">
        <v>26458.06</v>
      </c>
      <c r="E433" s="16">
        <v>26331.65</v>
      </c>
      <c r="F433" s="16">
        <v>26385.09</v>
      </c>
      <c r="G433" s="16">
        <v>26228.59</v>
      </c>
      <c r="H433" s="16">
        <v>26398.59</v>
      </c>
      <c r="I433" s="16">
        <v>26753.55</v>
      </c>
      <c r="J433" s="16">
        <v>26380.18</v>
      </c>
      <c r="K433" s="16">
        <v>26230.57</v>
      </c>
      <c r="L433" s="16">
        <v>26449.99</v>
      </c>
      <c r="M433" s="31"/>
      <c r="N433" s="31"/>
      <c r="O433" s="31"/>
      <c r="P433" s="31"/>
      <c r="Q433" s="31"/>
      <c r="R433" s="32"/>
      <c r="S433" s="33"/>
      <c r="T433" s="56"/>
      <c r="V433" s="48"/>
      <c r="W433" s="48"/>
      <c r="X433" s="49"/>
      <c r="Y433" s="49"/>
      <c r="Z433" s="50"/>
      <c r="AA433" s="50"/>
    </row>
    <row r="434" spans="1:27" ht="16.5" customHeight="1" thickBot="1" x14ac:dyDescent="0.35">
      <c r="A434" s="96"/>
      <c r="B434" s="96"/>
      <c r="C434" s="34" t="s">
        <v>129</v>
      </c>
      <c r="D434" s="35">
        <f t="shared" ref="D434:L434" si="140">IF(((D432="")*AND(D433="")),"",(D432-D433)*3)</f>
        <v>8310.3899999999921</v>
      </c>
      <c r="E434" s="35">
        <f t="shared" si="140"/>
        <v>8309.1599999999926</v>
      </c>
      <c r="F434" s="35">
        <f t="shared" si="140"/>
        <v>8329.4100000000035</v>
      </c>
      <c r="G434" s="35">
        <f t="shared" si="140"/>
        <v>8651.9700000000048</v>
      </c>
      <c r="H434" s="35">
        <f t="shared" si="140"/>
        <v>8819.4300000000039</v>
      </c>
      <c r="I434" s="35">
        <f t="shared" si="140"/>
        <v>7509.6299999999974</v>
      </c>
      <c r="J434" s="35">
        <f t="shared" si="140"/>
        <v>8160.6000000000022</v>
      </c>
      <c r="K434" s="35">
        <f t="shared" si="140"/>
        <v>8601.27</v>
      </c>
      <c r="L434" s="35">
        <f t="shared" si="140"/>
        <v>8509.7999999999956</v>
      </c>
      <c r="M434" s="36"/>
      <c r="N434" s="36"/>
      <c r="O434" s="36"/>
      <c r="P434" s="36"/>
      <c r="Q434" s="36"/>
      <c r="R434" s="37"/>
      <c r="S434" s="38"/>
      <c r="T434" s="57"/>
      <c r="U434" s="52"/>
      <c r="V434" s="51"/>
      <c r="W434" s="51"/>
      <c r="X434" s="52"/>
      <c r="Y434" s="52"/>
      <c r="Z434" s="53"/>
      <c r="AA434" s="53"/>
    </row>
    <row r="435" spans="1:27" x14ac:dyDescent="0.3">
      <c r="A435" s="97">
        <v>43192</v>
      </c>
      <c r="B435" s="117" t="s">
        <v>431</v>
      </c>
      <c r="C435" s="26" t="s">
        <v>126</v>
      </c>
      <c r="D435" s="16">
        <v>29180.43</v>
      </c>
      <c r="E435" s="16">
        <v>29007.59</v>
      </c>
      <c r="F435" s="16">
        <v>29007.57</v>
      </c>
      <c r="G435" s="16">
        <v>29010.92</v>
      </c>
      <c r="H435" s="16">
        <v>29211.54</v>
      </c>
      <c r="I435" s="16">
        <v>29176.31</v>
      </c>
      <c r="J435" s="16">
        <v>29005.02</v>
      </c>
      <c r="K435" s="16">
        <v>28996.21</v>
      </c>
      <c r="L435" s="16">
        <v>29241.94</v>
      </c>
      <c r="M435" s="27">
        <f>IF((L436=""),"",MAX(D437:L437))</f>
        <v>10563.239999999994</v>
      </c>
      <c r="N435" s="27">
        <f>IF(L436="","",MIN(D437:L437))</f>
        <v>9509.0400000000009</v>
      </c>
      <c r="O435" s="27">
        <f>IF((L437=""),"",AVERAGE(D437:L437))</f>
        <v>10170.073333333328</v>
      </c>
      <c r="P435" s="27">
        <f>IF((L436=""),"",STDEV(D437:L437))</f>
        <v>322.85767065380122</v>
      </c>
      <c r="Q435" s="27">
        <f>IF((L436=""),"",P435/O435*100)</f>
        <v>3.1745854732001413</v>
      </c>
      <c r="R435" s="28" t="str">
        <f>IF(L436="","",IF(Q435&lt;Z435,IF(N435&gt;V435,IF(M435&lt;W435,"Pass","Fail"),"Fail"),"Fail"))</f>
        <v>Pass</v>
      </c>
      <c r="S435" s="29">
        <v>121</v>
      </c>
      <c r="U435" s="55" t="s">
        <v>211</v>
      </c>
      <c r="V435" s="54">
        <v>9000</v>
      </c>
      <c r="W435" s="22">
        <v>15600</v>
      </c>
      <c r="X435" s="40">
        <v>8090</v>
      </c>
      <c r="Y435" s="40">
        <v>12070</v>
      </c>
      <c r="Z435" s="47">
        <v>6</v>
      </c>
      <c r="AA435" s="47">
        <v>6</v>
      </c>
    </row>
    <row r="436" spans="1:27" ht="15.75" customHeight="1" x14ac:dyDescent="0.3">
      <c r="A436" s="96"/>
      <c r="B436" s="96"/>
      <c r="C436" s="30" t="s">
        <v>128</v>
      </c>
      <c r="D436" s="16">
        <v>26010.75</v>
      </c>
      <c r="E436" s="16">
        <v>25641.38</v>
      </c>
      <c r="F436" s="16">
        <v>25606.61</v>
      </c>
      <c r="G436" s="16">
        <v>25530.63</v>
      </c>
      <c r="H436" s="16">
        <v>25789.86</v>
      </c>
      <c r="I436" s="16">
        <v>25893.4</v>
      </c>
      <c r="J436" s="16">
        <v>25601.33</v>
      </c>
      <c r="K436" s="16">
        <v>25532.49</v>
      </c>
      <c r="L436" s="16">
        <v>25720.86</v>
      </c>
      <c r="M436" s="31"/>
      <c r="N436" s="31"/>
      <c r="O436" s="31"/>
      <c r="P436" s="31"/>
      <c r="Q436" s="31"/>
      <c r="R436" s="32"/>
      <c r="S436" s="33"/>
      <c r="T436" s="56"/>
      <c r="V436" s="48"/>
      <c r="W436" s="48"/>
      <c r="X436" s="49"/>
      <c r="Y436" s="49"/>
      <c r="Z436" s="50"/>
      <c r="AA436" s="50"/>
    </row>
    <row r="437" spans="1:27" ht="16.5" customHeight="1" thickBot="1" x14ac:dyDescent="0.35">
      <c r="A437" s="96"/>
      <c r="B437" s="96"/>
      <c r="C437" s="34" t="s">
        <v>129</v>
      </c>
      <c r="D437" s="35">
        <f t="shared" ref="D437:L437" si="141">IF(((D435="")*AND(D436="")),"",(D435-D436)*3)</f>
        <v>9509.0400000000009</v>
      </c>
      <c r="E437" s="35">
        <f t="shared" si="141"/>
        <v>10098.629999999997</v>
      </c>
      <c r="F437" s="35">
        <f t="shared" si="141"/>
        <v>10202.879999999997</v>
      </c>
      <c r="G437" s="35">
        <f t="shared" si="141"/>
        <v>10440.869999999992</v>
      </c>
      <c r="H437" s="35">
        <f t="shared" si="141"/>
        <v>10265.040000000001</v>
      </c>
      <c r="I437" s="35">
        <f t="shared" si="141"/>
        <v>9848.73</v>
      </c>
      <c r="J437" s="35">
        <f t="shared" si="141"/>
        <v>10211.069999999996</v>
      </c>
      <c r="K437" s="35">
        <f t="shared" si="141"/>
        <v>10391.159999999993</v>
      </c>
      <c r="L437" s="35">
        <f t="shared" si="141"/>
        <v>10563.239999999994</v>
      </c>
      <c r="M437" s="36"/>
      <c r="N437" s="36"/>
      <c r="O437" s="36"/>
      <c r="P437" s="36"/>
      <c r="Q437" s="36"/>
      <c r="R437" s="37"/>
      <c r="S437" s="38"/>
      <c r="T437" s="57"/>
      <c r="U437" s="52"/>
      <c r="V437" s="51"/>
      <c r="W437" s="51"/>
      <c r="X437" s="52"/>
      <c r="Y437" s="52"/>
      <c r="Z437" s="53"/>
      <c r="AA437" s="53"/>
    </row>
    <row r="438" spans="1:27" x14ac:dyDescent="0.3">
      <c r="A438" s="97">
        <v>43199</v>
      </c>
      <c r="B438" s="117" t="s">
        <v>431</v>
      </c>
      <c r="C438" s="26" t="s">
        <v>126</v>
      </c>
      <c r="D438" s="16">
        <v>29097.45</v>
      </c>
      <c r="E438" s="16">
        <v>28924.3</v>
      </c>
      <c r="F438" s="16">
        <v>28928.25</v>
      </c>
      <c r="G438" s="16">
        <v>28950</v>
      </c>
      <c r="H438" s="16">
        <v>29155.89</v>
      </c>
      <c r="I438" s="16">
        <v>29102.52</v>
      </c>
      <c r="J438" s="16">
        <v>28921.51</v>
      </c>
      <c r="K438" s="16">
        <v>28926.94</v>
      </c>
      <c r="L438" s="16">
        <v>29186.560000000001</v>
      </c>
      <c r="M438" s="27">
        <f>IF((L439=""),"",MAX(D440:L440))</f>
        <v>8689.4100000000035</v>
      </c>
      <c r="N438" s="27">
        <f>IF(L439="","",MIN(D440:L440))</f>
        <v>7575.3300000000017</v>
      </c>
      <c r="O438" s="27">
        <f>IF((L440=""),"",AVERAGE(D440:L440))</f>
        <v>8363.2533333333322</v>
      </c>
      <c r="P438" s="27">
        <f>IF((L439=""),"",STDEV(D440:L440))</f>
        <v>351.35698559300039</v>
      </c>
      <c r="Q438" s="27">
        <f>IF((L439=""),"",P438/O438*100)</f>
        <v>4.2011998392132943</v>
      </c>
      <c r="R438" s="28" t="str">
        <f>IF(L439="","",IF(Q438&lt;Z438,IF(N438&gt;V438,IF(M438&lt;W438,"Pass","Fail"),"Fail"),"Fail"))</f>
        <v>Fail</v>
      </c>
      <c r="S438" s="29">
        <v>1159</v>
      </c>
      <c r="T438" s="55"/>
      <c r="U438" s="40"/>
      <c r="V438" s="54">
        <v>9000</v>
      </c>
      <c r="W438" s="22">
        <v>15600</v>
      </c>
      <c r="X438" s="40">
        <v>8090</v>
      </c>
      <c r="Y438" s="40">
        <v>12070</v>
      </c>
      <c r="Z438" s="47">
        <v>6</v>
      </c>
      <c r="AA438" s="47">
        <v>6</v>
      </c>
    </row>
    <row r="439" spans="1:27" ht="15.75" customHeight="1" x14ac:dyDescent="0.3">
      <c r="A439" s="96"/>
      <c r="B439" s="96"/>
      <c r="C439" s="30" t="s">
        <v>128</v>
      </c>
      <c r="D439" s="16">
        <v>26328.09</v>
      </c>
      <c r="E439" s="16">
        <v>26149.72</v>
      </c>
      <c r="F439" s="16">
        <v>26152.45</v>
      </c>
      <c r="G439" s="16">
        <v>26069.57</v>
      </c>
      <c r="H439" s="16">
        <v>26259.42</v>
      </c>
      <c r="I439" s="16">
        <v>26577.41</v>
      </c>
      <c r="J439" s="16">
        <v>26202.04</v>
      </c>
      <c r="K439" s="16">
        <v>26047.31</v>
      </c>
      <c r="L439" s="16">
        <v>26317.65</v>
      </c>
      <c r="M439" s="31"/>
      <c r="N439" s="31"/>
      <c r="O439" s="31"/>
      <c r="P439" s="31"/>
      <c r="Q439" s="31"/>
      <c r="R439" s="32"/>
      <c r="S439" s="33"/>
      <c r="T439" s="56"/>
      <c r="V439" s="48"/>
      <c r="W439" s="48"/>
      <c r="X439" s="49"/>
      <c r="Y439" s="49"/>
      <c r="Z439" s="50"/>
      <c r="AA439" s="50"/>
    </row>
    <row r="440" spans="1:27" ht="16.5" customHeight="1" thickBot="1" x14ac:dyDescent="0.35">
      <c r="A440" s="96"/>
      <c r="B440" s="96"/>
      <c r="C440" s="34" t="s">
        <v>129</v>
      </c>
      <c r="D440" s="35">
        <f t="shared" ref="D440:L440" si="142">IF(((D438="")*AND(D439="")),"",(D438-D439)*3)</f>
        <v>8308.0800000000017</v>
      </c>
      <c r="E440" s="35">
        <f t="shared" si="142"/>
        <v>8323.7399999999943</v>
      </c>
      <c r="F440" s="35">
        <f t="shared" si="142"/>
        <v>8327.3999999999978</v>
      </c>
      <c r="G440" s="35">
        <f t="shared" si="142"/>
        <v>8641.2900000000009</v>
      </c>
      <c r="H440" s="35">
        <f t="shared" si="142"/>
        <v>8689.4100000000035</v>
      </c>
      <c r="I440" s="35">
        <f t="shared" si="142"/>
        <v>7575.3300000000017</v>
      </c>
      <c r="J440" s="35">
        <f t="shared" si="142"/>
        <v>8158.4099999999926</v>
      </c>
      <c r="K440" s="35">
        <f t="shared" si="142"/>
        <v>8638.8899999999921</v>
      </c>
      <c r="L440" s="35">
        <f t="shared" si="142"/>
        <v>8606.73</v>
      </c>
      <c r="M440" s="36"/>
      <c r="N440" s="36"/>
      <c r="O440" s="36"/>
      <c r="P440" s="36"/>
      <c r="Q440" s="36"/>
      <c r="R440" s="37"/>
      <c r="S440" s="38"/>
      <c r="T440" s="57"/>
      <c r="U440" s="52"/>
      <c r="V440" s="51"/>
      <c r="W440" s="51"/>
      <c r="X440" s="52"/>
      <c r="Y440" s="52"/>
      <c r="Z440" s="53"/>
      <c r="AA440" s="53"/>
    </row>
    <row r="441" spans="1:27" x14ac:dyDescent="0.3">
      <c r="A441" s="97">
        <v>43199</v>
      </c>
      <c r="B441" s="117" t="s">
        <v>431</v>
      </c>
      <c r="C441" s="26" t="s">
        <v>126</v>
      </c>
      <c r="D441" s="16">
        <v>29158.85</v>
      </c>
      <c r="E441" s="16">
        <v>28983.72</v>
      </c>
      <c r="F441" s="16">
        <v>28964.720000000001</v>
      </c>
      <c r="G441" s="16">
        <v>28986.62</v>
      </c>
      <c r="H441" s="16">
        <v>29227.84</v>
      </c>
      <c r="I441" s="16">
        <v>29176.9</v>
      </c>
      <c r="J441" s="16">
        <v>28996.7</v>
      </c>
      <c r="K441" s="16">
        <v>28972.14</v>
      </c>
      <c r="L441" s="16">
        <v>29206.09</v>
      </c>
      <c r="M441" s="27">
        <f>IF((L442=""),"",MAX(D443:L443))</f>
        <v>10401.209999999999</v>
      </c>
      <c r="N441" s="27">
        <f>IF(L442="","",MIN(D443:L443))</f>
        <v>9304.77</v>
      </c>
      <c r="O441" s="27">
        <f>IF((L443=""),"",AVERAGE(D443:L443))</f>
        <v>9924.0266666666666</v>
      </c>
      <c r="P441" s="27">
        <f>IF((L442=""),"",STDEV(D443:L443))</f>
        <v>327.1075510439947</v>
      </c>
      <c r="Q441" s="27">
        <f>IF((L442=""),"",P441/O441*100)</f>
        <v>3.2961172116022266</v>
      </c>
      <c r="R441" s="28" t="str">
        <f>IF(L442="","",IF(Q441&lt;Z441,IF(N441&gt;V441,IF(M441&lt;W441,"Pass","Fail"),"Fail"),"Fail"))</f>
        <v>Pass</v>
      </c>
      <c r="S441" s="29">
        <v>1159</v>
      </c>
      <c r="T441" s="55" t="s">
        <v>212</v>
      </c>
      <c r="U441" s="40"/>
      <c r="V441" s="54">
        <v>9000</v>
      </c>
      <c r="W441" s="22">
        <v>15600</v>
      </c>
      <c r="X441" s="40">
        <v>8090</v>
      </c>
      <c r="Y441" s="40">
        <v>12070</v>
      </c>
      <c r="Z441" s="47">
        <v>6</v>
      </c>
      <c r="AA441" s="47">
        <v>6</v>
      </c>
    </row>
    <row r="442" spans="1:27" ht="15.75" customHeight="1" x14ac:dyDescent="0.3">
      <c r="A442" s="96"/>
      <c r="B442" s="96"/>
      <c r="C442" s="30" t="s">
        <v>128</v>
      </c>
      <c r="D442" s="16">
        <v>25930.3</v>
      </c>
      <c r="E442" s="16">
        <v>25691.98</v>
      </c>
      <c r="F442" s="16">
        <v>25712.880000000001</v>
      </c>
      <c r="G442" s="16">
        <v>25582.54</v>
      </c>
      <c r="H442" s="16">
        <v>25760.77</v>
      </c>
      <c r="I442" s="16">
        <v>26075.31</v>
      </c>
      <c r="J442" s="16">
        <v>25706.32</v>
      </c>
      <c r="K442" s="16">
        <v>25585.98</v>
      </c>
      <c r="L442" s="16">
        <v>25855.42</v>
      </c>
      <c r="M442" s="31"/>
      <c r="N442" s="31"/>
      <c r="O442" s="31"/>
      <c r="P442" s="31"/>
      <c r="Q442" s="31"/>
      <c r="R442" s="32"/>
      <c r="S442" s="33"/>
      <c r="T442" s="56"/>
      <c r="V442" s="48"/>
      <c r="W442" s="48"/>
      <c r="X442" s="49"/>
      <c r="Y442" s="49"/>
      <c r="Z442" s="50"/>
      <c r="AA442" s="50"/>
    </row>
    <row r="443" spans="1:27" ht="16.5" customHeight="1" thickBot="1" x14ac:dyDescent="0.35">
      <c r="A443" s="96"/>
      <c r="B443" s="96"/>
      <c r="C443" s="34" t="s">
        <v>129</v>
      </c>
      <c r="D443" s="35">
        <f t="shared" ref="D443:L443" si="143">IF(((D441="")*AND(D442="")),"",(D441-D442)*3)</f>
        <v>9685.6499999999978</v>
      </c>
      <c r="E443" s="35">
        <f t="shared" si="143"/>
        <v>9875.2200000000048</v>
      </c>
      <c r="F443" s="35">
        <f t="shared" si="143"/>
        <v>9755.52</v>
      </c>
      <c r="G443" s="35">
        <f t="shared" si="143"/>
        <v>10212.239999999994</v>
      </c>
      <c r="H443" s="35">
        <f t="shared" si="143"/>
        <v>10401.209999999999</v>
      </c>
      <c r="I443" s="35">
        <f t="shared" si="143"/>
        <v>9304.77</v>
      </c>
      <c r="J443" s="35">
        <f t="shared" si="143"/>
        <v>9871.1400000000031</v>
      </c>
      <c r="K443" s="35">
        <f t="shared" si="143"/>
        <v>10158.48</v>
      </c>
      <c r="L443" s="35">
        <f t="shared" si="143"/>
        <v>10052.010000000006</v>
      </c>
      <c r="M443" s="36"/>
      <c r="N443" s="36"/>
      <c r="O443" s="36"/>
      <c r="P443" s="36"/>
      <c r="Q443" s="36"/>
      <c r="R443" s="37"/>
      <c r="S443" s="38"/>
      <c r="T443" s="57"/>
      <c r="U443" s="52"/>
      <c r="V443" s="51"/>
      <c r="W443" s="51"/>
      <c r="X443" s="52"/>
      <c r="Y443" s="52"/>
      <c r="Z443" s="53"/>
      <c r="AA443" s="53"/>
    </row>
    <row r="444" spans="1:27" x14ac:dyDescent="0.3">
      <c r="A444" s="97">
        <v>43203</v>
      </c>
      <c r="B444" s="117" t="s">
        <v>431</v>
      </c>
      <c r="C444" s="26" t="s">
        <v>126</v>
      </c>
      <c r="D444" s="16">
        <v>29195.040000000001</v>
      </c>
      <c r="E444" s="16">
        <v>29017.99</v>
      </c>
      <c r="F444" s="16">
        <v>29078.97</v>
      </c>
      <c r="G444" s="16">
        <v>29031.33</v>
      </c>
      <c r="H444" s="16">
        <v>29195.24</v>
      </c>
      <c r="I444" s="16">
        <v>29181.06</v>
      </c>
      <c r="J444" s="16">
        <v>29019.83</v>
      </c>
      <c r="K444" s="16">
        <v>29020.46</v>
      </c>
      <c r="L444" s="16">
        <v>29243.78</v>
      </c>
      <c r="M444" s="27">
        <f>IF((L445=""),"",MAX(D446:L446))</f>
        <v>9323.8500000000022</v>
      </c>
      <c r="N444" s="27">
        <f>IF(L445="","",MIN(D446:L446))</f>
        <v>8204.52</v>
      </c>
      <c r="O444" s="27">
        <f>IF((L446=""),"",AVERAGE(D446:L446))</f>
        <v>9006.0366666666687</v>
      </c>
      <c r="P444" s="27">
        <f>IF((L445=""),"",STDEV(D446:L446))</f>
        <v>337.4711793620308</v>
      </c>
      <c r="Q444" s="27">
        <f>IF((L445=""),"",P444/O444*100)</f>
        <v>3.7471663935267574</v>
      </c>
      <c r="R444" s="28" t="str">
        <f>IF(L445="","",IF(Q444&lt;Z444,IF(N444&gt;V444,IF(M444&lt;W444,"Pass","Fail"),"Fail"),"Fail"))</f>
        <v>Fail</v>
      </c>
      <c r="S444" s="29">
        <v>102</v>
      </c>
      <c r="U444" s="55" t="s">
        <v>188</v>
      </c>
      <c r="V444" s="54">
        <v>9000</v>
      </c>
      <c r="W444" s="22">
        <v>15600</v>
      </c>
      <c r="X444" s="40">
        <v>8090</v>
      </c>
      <c r="Y444" s="40">
        <v>12070</v>
      </c>
      <c r="Z444" s="47">
        <v>6</v>
      </c>
      <c r="AA444" s="47">
        <v>6</v>
      </c>
    </row>
    <row r="445" spans="1:27" ht="15.75" customHeight="1" x14ac:dyDescent="0.3">
      <c r="A445" s="96"/>
      <c r="B445" s="96"/>
      <c r="C445" s="30" t="s">
        <v>128</v>
      </c>
      <c r="D445" s="16">
        <v>26120.720000000001</v>
      </c>
      <c r="E445" s="16">
        <v>25973.1</v>
      </c>
      <c r="F445" s="16">
        <v>26088.66</v>
      </c>
      <c r="G445" s="16">
        <v>25979.27</v>
      </c>
      <c r="H445" s="16">
        <v>26204.37</v>
      </c>
      <c r="I445" s="16">
        <v>26446.22</v>
      </c>
      <c r="J445" s="16">
        <v>26074.04</v>
      </c>
      <c r="K445" s="16">
        <v>25912.51</v>
      </c>
      <c r="L445" s="16">
        <v>26166.7</v>
      </c>
      <c r="M445" s="31"/>
      <c r="N445" s="31"/>
      <c r="O445" s="31"/>
      <c r="P445" s="31"/>
      <c r="Q445" s="31"/>
      <c r="R445" s="32"/>
      <c r="S445" s="33"/>
      <c r="T445" s="56"/>
      <c r="V445" s="48"/>
      <c r="W445" s="48"/>
      <c r="X445" s="49"/>
      <c r="Y445" s="49"/>
      <c r="Z445" s="50"/>
      <c r="AA445" s="50"/>
    </row>
    <row r="446" spans="1:27" ht="16.5" customHeight="1" thickBot="1" x14ac:dyDescent="0.35">
      <c r="A446" s="96"/>
      <c r="B446" s="96"/>
      <c r="C446" s="34" t="s">
        <v>129</v>
      </c>
      <c r="D446" s="35">
        <f t="shared" ref="D446:L446" si="144">IF(((D444="")*AND(D445="")),"",(D444-D445)*3)</f>
        <v>9222.9599999999991</v>
      </c>
      <c r="E446" s="35">
        <f t="shared" si="144"/>
        <v>9134.6700000000092</v>
      </c>
      <c r="F446" s="35">
        <f t="shared" si="144"/>
        <v>8970.9300000000039</v>
      </c>
      <c r="G446" s="35">
        <f t="shared" si="144"/>
        <v>9156.1800000000039</v>
      </c>
      <c r="H446" s="35">
        <f t="shared" si="144"/>
        <v>8972.6100000000079</v>
      </c>
      <c r="I446" s="35">
        <f t="shared" si="144"/>
        <v>8204.52</v>
      </c>
      <c r="J446" s="35">
        <f t="shared" si="144"/>
        <v>8837.3700000000026</v>
      </c>
      <c r="K446" s="35">
        <f t="shared" si="144"/>
        <v>9323.8500000000022</v>
      </c>
      <c r="L446" s="35">
        <f t="shared" si="144"/>
        <v>9231.2399999999943</v>
      </c>
      <c r="M446" s="36"/>
      <c r="N446" s="36"/>
      <c r="O446" s="36"/>
      <c r="P446" s="36"/>
      <c r="Q446" s="36"/>
      <c r="R446" s="37"/>
      <c r="S446" s="38"/>
      <c r="T446" s="57"/>
      <c r="U446" s="52"/>
      <c r="V446" s="51"/>
      <c r="W446" s="51"/>
      <c r="X446" s="52"/>
      <c r="Y446" s="52"/>
      <c r="Z446" s="53"/>
      <c r="AA446" s="53"/>
    </row>
    <row r="447" spans="1:27" x14ac:dyDescent="0.3">
      <c r="A447" s="97">
        <v>43203</v>
      </c>
      <c r="B447" s="117" t="s">
        <v>431</v>
      </c>
      <c r="C447" s="26" t="s">
        <v>126</v>
      </c>
      <c r="D447" s="16">
        <v>29139.43</v>
      </c>
      <c r="E447" s="16">
        <v>28951.439999999999</v>
      </c>
      <c r="F447" s="16">
        <v>28948.82</v>
      </c>
      <c r="G447" s="16">
        <v>28975.83</v>
      </c>
      <c r="H447" s="16">
        <v>29204.13</v>
      </c>
      <c r="I447" s="16">
        <v>29132.34</v>
      </c>
      <c r="J447" s="16">
        <v>28950.18</v>
      </c>
      <c r="K447" s="16">
        <v>28961.56</v>
      </c>
      <c r="L447" s="16">
        <v>29172.03</v>
      </c>
      <c r="M447" s="27">
        <f>IF((L448=""),"",MAX(D449:L449))</f>
        <v>9764.9100000000035</v>
      </c>
      <c r="N447" s="27">
        <f>IF(L448="","",MIN(D449:L449))</f>
        <v>9199.6499999999978</v>
      </c>
      <c r="O447" s="27">
        <f>IF((L449=""),"",AVERAGE(D449:L449))</f>
        <v>9505.0499999999993</v>
      </c>
      <c r="P447" s="27">
        <f>IF((L448=""),"",STDEV(D449:L449))</f>
        <v>182.36820240930271</v>
      </c>
      <c r="Q447" s="27">
        <f>IF((L448=""),"",P447/O447*100)</f>
        <v>1.9186453770290817</v>
      </c>
      <c r="R447" s="28" t="str">
        <f>IF(L448="","",IF(Q447&lt;Z447,IF(N447&gt;V447,IF(M447&lt;W447,"Pass","Fail"),"Fail"),"Fail"))</f>
        <v>Pass</v>
      </c>
      <c r="S447" s="29">
        <v>102</v>
      </c>
      <c r="T447" s="55"/>
      <c r="U447" s="40"/>
      <c r="V447" s="54">
        <v>9000</v>
      </c>
      <c r="W447" s="22">
        <v>15600</v>
      </c>
      <c r="X447" s="40">
        <v>8090</v>
      </c>
      <c r="Y447" s="40">
        <v>12070</v>
      </c>
      <c r="Z447" s="47">
        <v>6</v>
      </c>
      <c r="AA447" s="47">
        <v>6</v>
      </c>
    </row>
    <row r="448" spans="1:27" ht="15.75" customHeight="1" x14ac:dyDescent="0.3">
      <c r="A448" s="96"/>
      <c r="B448" s="96"/>
      <c r="C448" s="30" t="s">
        <v>128</v>
      </c>
      <c r="D448" s="16">
        <v>25884.46</v>
      </c>
      <c r="E448" s="16">
        <v>25884.89</v>
      </c>
      <c r="F448" s="16">
        <v>25847.54</v>
      </c>
      <c r="G448" s="16">
        <v>25756.49</v>
      </c>
      <c r="H448" s="16">
        <v>26047.61</v>
      </c>
      <c r="I448" s="16">
        <v>25945.599999999999</v>
      </c>
      <c r="J448" s="16">
        <v>25821.57</v>
      </c>
      <c r="K448" s="16">
        <v>25776.23</v>
      </c>
      <c r="L448" s="16">
        <v>25956.22</v>
      </c>
      <c r="M448" s="31"/>
      <c r="N448" s="31"/>
      <c r="O448" s="31"/>
      <c r="P448" s="31"/>
      <c r="Q448" s="31"/>
      <c r="R448" s="32"/>
      <c r="S448" s="33"/>
      <c r="T448" s="56"/>
      <c r="V448" s="48"/>
      <c r="W448" s="48"/>
      <c r="X448" s="49"/>
      <c r="Y448" s="49"/>
      <c r="Z448" s="50"/>
      <c r="AA448" s="50"/>
    </row>
    <row r="449" spans="1:27" ht="16.5" customHeight="1" thickBot="1" x14ac:dyDescent="0.35">
      <c r="A449" s="96"/>
      <c r="B449" s="96"/>
      <c r="C449" s="34" t="s">
        <v>129</v>
      </c>
      <c r="D449" s="35">
        <f t="shared" ref="D449:L449" si="145">IF(((D447="")*AND(D448="")),"",(D447-D448)*3)</f>
        <v>9764.9100000000035</v>
      </c>
      <c r="E449" s="35">
        <f t="shared" si="145"/>
        <v>9199.6499999999978</v>
      </c>
      <c r="F449" s="35">
        <f t="shared" si="145"/>
        <v>9303.8399999999965</v>
      </c>
      <c r="G449" s="35">
        <f t="shared" si="145"/>
        <v>9658.02</v>
      </c>
      <c r="H449" s="35">
        <f t="shared" si="145"/>
        <v>9469.5600000000013</v>
      </c>
      <c r="I449" s="35">
        <f t="shared" si="145"/>
        <v>9560.2200000000048</v>
      </c>
      <c r="J449" s="35">
        <f t="shared" si="145"/>
        <v>9385.8300000000017</v>
      </c>
      <c r="K449" s="35">
        <f t="shared" si="145"/>
        <v>9555.9900000000052</v>
      </c>
      <c r="L449" s="35">
        <f t="shared" si="145"/>
        <v>9647.429999999993</v>
      </c>
      <c r="M449" s="36"/>
      <c r="N449" s="36"/>
      <c r="O449" s="36"/>
      <c r="P449" s="36"/>
      <c r="Q449" s="36"/>
      <c r="R449" s="37"/>
      <c r="S449" s="38"/>
      <c r="T449" s="57"/>
      <c r="U449" s="52"/>
      <c r="V449" s="51"/>
      <c r="W449" s="51"/>
      <c r="X449" s="52"/>
      <c r="Y449" s="52"/>
      <c r="Z449" s="53"/>
      <c r="AA449" s="53"/>
    </row>
    <row r="450" spans="1:27" x14ac:dyDescent="0.3">
      <c r="A450" s="97">
        <v>43209</v>
      </c>
      <c r="B450" s="117" t="s">
        <v>431</v>
      </c>
      <c r="C450" s="26" t="s">
        <v>126</v>
      </c>
      <c r="D450" s="16">
        <v>29113.26</v>
      </c>
      <c r="E450" s="16">
        <v>28937.09</v>
      </c>
      <c r="F450" s="16">
        <v>28926.78</v>
      </c>
      <c r="G450" s="16">
        <v>28941.13</v>
      </c>
      <c r="H450" s="16">
        <v>29176.82</v>
      </c>
      <c r="I450" s="16">
        <v>29116.13</v>
      </c>
      <c r="J450" s="16">
        <v>28943.66</v>
      </c>
      <c r="K450" s="16">
        <v>28920.3</v>
      </c>
      <c r="L450" s="16">
        <v>29168.23</v>
      </c>
      <c r="M450" s="27">
        <f>IF((L451=""),"",MAX(D452:L452))</f>
        <v>8707.23</v>
      </c>
      <c r="N450" s="27">
        <f>IF(L451="","",MIN(D452:L452))</f>
        <v>7775.25</v>
      </c>
      <c r="O450" s="27">
        <f>IF((L452=""),"",AVERAGE(D452:L452))</f>
        <v>8415.2699999999986</v>
      </c>
      <c r="P450" s="27">
        <f>IF((L451=""),"",STDEV(D452:L452))</f>
        <v>270.67974891927133</v>
      </c>
      <c r="Q450" s="27">
        <f>IF((L451=""),"",P450/O450*100)</f>
        <v>3.2165307698893959</v>
      </c>
      <c r="R450" s="28" t="str">
        <f>IF(L451="","",IF(Q450&lt;Z450,IF(N450&gt;V450,IF(M450&lt;W450,"Pass","Fail"),"Fail"),"Fail"))</f>
        <v>Fail</v>
      </c>
      <c r="S450" s="29">
        <v>1335</v>
      </c>
      <c r="T450" s="55"/>
      <c r="U450" s="40"/>
      <c r="V450" s="54">
        <v>9000</v>
      </c>
      <c r="W450" s="22">
        <v>15600</v>
      </c>
      <c r="X450" s="40">
        <v>8090</v>
      </c>
      <c r="Y450" s="40">
        <v>12070</v>
      </c>
      <c r="Z450" s="47">
        <v>6</v>
      </c>
      <c r="AA450" s="47">
        <v>6</v>
      </c>
    </row>
    <row r="451" spans="1:27" ht="15.75" customHeight="1" x14ac:dyDescent="0.3">
      <c r="A451" s="96"/>
      <c r="B451" s="96"/>
      <c r="C451" s="30" t="s">
        <v>128</v>
      </c>
      <c r="D451" s="16">
        <v>26521.51</v>
      </c>
      <c r="E451" s="16">
        <v>26150.74</v>
      </c>
      <c r="F451" s="16">
        <v>26109.15</v>
      </c>
      <c r="G451" s="16">
        <v>26038.720000000001</v>
      </c>
      <c r="H451" s="16">
        <v>26348.59</v>
      </c>
      <c r="I451" s="16">
        <v>26354.799999999999</v>
      </c>
      <c r="J451" s="16">
        <v>26075.02</v>
      </c>
      <c r="K451" s="16">
        <v>26076.14</v>
      </c>
      <c r="L451" s="16">
        <v>26322.92</v>
      </c>
      <c r="M451" s="31"/>
      <c r="N451" s="31"/>
      <c r="O451" s="31"/>
      <c r="P451" s="31"/>
      <c r="Q451" s="31"/>
      <c r="R451" s="32"/>
      <c r="S451" s="33"/>
      <c r="T451" s="56"/>
      <c r="V451" s="48"/>
      <c r="W451" s="48"/>
      <c r="X451" s="49"/>
      <c r="Y451" s="49"/>
      <c r="Z451" s="50"/>
      <c r="AA451" s="50"/>
    </row>
    <row r="452" spans="1:27" ht="16.5" customHeight="1" thickBot="1" x14ac:dyDescent="0.35">
      <c r="A452" s="96"/>
      <c r="B452" s="96"/>
      <c r="C452" s="34" t="s">
        <v>129</v>
      </c>
      <c r="D452" s="35">
        <f t="shared" ref="D452:L452" si="146">IF(((D450="")*AND(D451="")),"",(D450-D451)*3)</f>
        <v>7775.25</v>
      </c>
      <c r="E452" s="35">
        <f t="shared" si="146"/>
        <v>8359.0499999999956</v>
      </c>
      <c r="F452" s="35">
        <f t="shared" si="146"/>
        <v>8452.8899999999921</v>
      </c>
      <c r="G452" s="35">
        <f t="shared" si="146"/>
        <v>8707.23</v>
      </c>
      <c r="H452" s="35">
        <f t="shared" si="146"/>
        <v>8484.6899999999987</v>
      </c>
      <c r="I452" s="35">
        <f t="shared" si="146"/>
        <v>8283.9900000000052</v>
      </c>
      <c r="J452" s="35">
        <f t="shared" si="146"/>
        <v>8605.9199999999983</v>
      </c>
      <c r="K452" s="35">
        <f t="shared" si="146"/>
        <v>8532.48</v>
      </c>
      <c r="L452" s="35">
        <f t="shared" si="146"/>
        <v>8535.9300000000039</v>
      </c>
      <c r="M452" s="36"/>
      <c r="N452" s="36"/>
      <c r="O452" s="36"/>
      <c r="P452" s="36"/>
      <c r="Q452" s="36"/>
      <c r="R452" s="37"/>
      <c r="S452" s="38"/>
      <c r="T452" s="57"/>
      <c r="U452" s="52"/>
      <c r="V452" s="51"/>
      <c r="W452" s="51"/>
      <c r="X452" s="52"/>
      <c r="Y452" s="52"/>
      <c r="Z452" s="53"/>
      <c r="AA452" s="53"/>
    </row>
    <row r="453" spans="1:27" x14ac:dyDescent="0.3">
      <c r="A453" s="97">
        <v>43209</v>
      </c>
      <c r="B453" s="117" t="s">
        <v>431</v>
      </c>
      <c r="C453" s="26" t="s">
        <v>126</v>
      </c>
      <c r="D453" s="16">
        <v>29018.639999999999</v>
      </c>
      <c r="E453" s="16">
        <v>28921.45</v>
      </c>
      <c r="F453" s="16">
        <v>28982.04</v>
      </c>
      <c r="G453" s="16">
        <v>28923.32</v>
      </c>
      <c r="H453" s="16">
        <v>29116.04</v>
      </c>
      <c r="I453" s="16">
        <v>29076.49</v>
      </c>
      <c r="J453" s="16">
        <v>28925.37</v>
      </c>
      <c r="K453" s="16">
        <v>28929.21</v>
      </c>
      <c r="L453" s="16">
        <v>29184.46</v>
      </c>
      <c r="M453" s="27">
        <f>IF((L454=""),"",MAX(D455:L455))</f>
        <v>10816.379999999997</v>
      </c>
      <c r="N453" s="27">
        <f>IF(L454="","",MIN(D455:L455))</f>
        <v>9940.4699999999939</v>
      </c>
      <c r="O453" s="27">
        <f>IF((L455=""),"",AVERAGE(D455:L455))</f>
        <v>10507.396666666667</v>
      </c>
      <c r="P453" s="27">
        <f>IF((L454=""),"",STDEV(D455:L455))</f>
        <v>285.71342250583905</v>
      </c>
      <c r="Q453" s="27">
        <f>IF((L454=""),"",P453/O453*100)</f>
        <v>2.7191647138651125</v>
      </c>
      <c r="R453" s="28" t="str">
        <f>IF(L454="","",IF(Q453&lt;Z453,IF(N453&gt;V453,IF(M453&lt;W453,"Pass","Fail"),"Fail"),"Fail"))</f>
        <v>Pass</v>
      </c>
      <c r="S453" s="29">
        <v>1335</v>
      </c>
      <c r="T453" s="55"/>
      <c r="U453" s="40"/>
      <c r="V453" s="54">
        <v>9000</v>
      </c>
      <c r="W453" s="22">
        <v>15600</v>
      </c>
      <c r="X453" s="40">
        <v>8090</v>
      </c>
      <c r="Y453" s="40">
        <v>12070</v>
      </c>
      <c r="Z453" s="47">
        <v>6</v>
      </c>
      <c r="AA453" s="47">
        <v>6</v>
      </c>
    </row>
    <row r="454" spans="1:27" ht="15.75" customHeight="1" x14ac:dyDescent="0.3">
      <c r="A454" s="96"/>
      <c r="B454" s="96"/>
      <c r="C454" s="30" t="s">
        <v>128</v>
      </c>
      <c r="D454" s="16">
        <v>25705.15</v>
      </c>
      <c r="E454" s="16">
        <v>25446.84</v>
      </c>
      <c r="F454" s="16">
        <v>25488.5</v>
      </c>
      <c r="G454" s="16">
        <v>25346.79</v>
      </c>
      <c r="H454" s="16">
        <v>25534.92</v>
      </c>
      <c r="I454" s="16">
        <v>25676.19</v>
      </c>
      <c r="J454" s="16">
        <v>25405.1</v>
      </c>
      <c r="K454" s="16">
        <v>25372.34</v>
      </c>
      <c r="L454" s="16">
        <v>25579</v>
      </c>
      <c r="M454" s="31"/>
      <c r="N454" s="31"/>
      <c r="O454" s="31"/>
      <c r="P454" s="31"/>
      <c r="Q454" s="31"/>
      <c r="R454" s="32"/>
      <c r="S454" s="33"/>
      <c r="T454" s="56"/>
      <c r="V454" s="48"/>
      <c r="W454" s="48"/>
      <c r="X454" s="49"/>
      <c r="Y454" s="49"/>
      <c r="Z454" s="50"/>
      <c r="AA454" s="50"/>
    </row>
    <row r="455" spans="1:27" ht="16.5" customHeight="1" thickBot="1" x14ac:dyDescent="0.35">
      <c r="A455" s="96"/>
      <c r="B455" s="96"/>
      <c r="C455" s="34" t="s">
        <v>129</v>
      </c>
      <c r="D455" s="35">
        <f t="shared" ref="D455:L455" si="147">IF(((D453="")*AND(D454="")),"",(D453-D454)*3)</f>
        <v>9940.4699999999939</v>
      </c>
      <c r="E455" s="35">
        <f t="shared" si="147"/>
        <v>10423.830000000002</v>
      </c>
      <c r="F455" s="35">
        <f t="shared" si="147"/>
        <v>10480.620000000003</v>
      </c>
      <c r="G455" s="35">
        <f t="shared" si="147"/>
        <v>10729.589999999997</v>
      </c>
      <c r="H455" s="35">
        <f t="shared" si="147"/>
        <v>10743.360000000008</v>
      </c>
      <c r="I455" s="35">
        <f t="shared" si="147"/>
        <v>10200.900000000009</v>
      </c>
      <c r="J455" s="35">
        <f t="shared" si="147"/>
        <v>10560.810000000001</v>
      </c>
      <c r="K455" s="35">
        <f t="shared" si="147"/>
        <v>10670.609999999997</v>
      </c>
      <c r="L455" s="35">
        <f t="shared" si="147"/>
        <v>10816.379999999997</v>
      </c>
      <c r="M455" s="36"/>
      <c r="N455" s="36"/>
      <c r="O455" s="36"/>
      <c r="P455" s="36"/>
      <c r="Q455" s="36"/>
      <c r="R455" s="37"/>
      <c r="S455" s="38"/>
      <c r="T455" s="57"/>
      <c r="U455" s="52"/>
      <c r="V455" s="51"/>
      <c r="W455" s="51"/>
      <c r="X455" s="52"/>
      <c r="Y455" s="52"/>
      <c r="Z455" s="53"/>
      <c r="AA455" s="53"/>
    </row>
    <row r="456" spans="1:27" x14ac:dyDescent="0.3">
      <c r="A456" s="97">
        <v>43214</v>
      </c>
      <c r="B456" s="117" t="s">
        <v>431</v>
      </c>
      <c r="C456" s="26" t="s">
        <v>126</v>
      </c>
      <c r="D456" s="16">
        <v>29061.48</v>
      </c>
      <c r="E456" s="16">
        <v>28888.73</v>
      </c>
      <c r="F456" s="16">
        <v>28872.94</v>
      </c>
      <c r="G456" s="16">
        <v>28900.81</v>
      </c>
      <c r="H456" s="16">
        <v>29127</v>
      </c>
      <c r="I456" s="16">
        <v>29057.15</v>
      </c>
      <c r="J456" s="16">
        <v>28884.400000000001</v>
      </c>
      <c r="K456" s="16">
        <v>28885.360000000001</v>
      </c>
      <c r="L456" s="16">
        <v>29109.38</v>
      </c>
      <c r="M456" s="27">
        <f>IF((L457=""),"",MAX(D458:L458))</f>
        <v>10392.839999999997</v>
      </c>
      <c r="N456" s="27">
        <f>IF(L457="","",MIN(D458:L458))</f>
        <v>9407.820000000007</v>
      </c>
      <c r="O456" s="27">
        <f>IF((L458=""),"",AVERAGE(D458:L458))</f>
        <v>10084.436666666668</v>
      </c>
      <c r="P456" s="27">
        <f>IF((L457=""),"",STDEV(D458:L458))</f>
        <v>304.15075801319045</v>
      </c>
      <c r="Q456" s="27">
        <f>IF((L457=""),"",P456/O456*100)</f>
        <v>3.0160411341422515</v>
      </c>
      <c r="R456" s="28" t="str">
        <f>IF(L457="","",IF(Q456&lt;Z456,IF(N456&gt;V456,IF(M456&lt;W456,"Pass","Fail"),"Fail"),"Fail"))</f>
        <v>Pass</v>
      </c>
      <c r="S456" s="29">
        <v>121</v>
      </c>
      <c r="T456" s="55"/>
      <c r="U456" s="40"/>
      <c r="V456" s="54">
        <v>9000</v>
      </c>
      <c r="W456" s="22">
        <v>15600</v>
      </c>
      <c r="X456" s="40">
        <v>8090</v>
      </c>
      <c r="Y456" s="40">
        <v>12070</v>
      </c>
      <c r="Z456" s="47">
        <v>6</v>
      </c>
      <c r="AA456" s="47">
        <v>6</v>
      </c>
    </row>
    <row r="457" spans="1:27" ht="15.75" customHeight="1" x14ac:dyDescent="0.3">
      <c r="A457" s="96"/>
      <c r="B457" s="96"/>
      <c r="C457" s="30" t="s">
        <v>128</v>
      </c>
      <c r="D457" s="16">
        <v>25597.200000000001</v>
      </c>
      <c r="E457" s="16">
        <v>25466.13</v>
      </c>
      <c r="F457" s="16">
        <v>25521.63</v>
      </c>
      <c r="G457" s="16">
        <v>25520.66</v>
      </c>
      <c r="H457" s="16">
        <v>25825.87</v>
      </c>
      <c r="I457" s="16">
        <v>25921.21</v>
      </c>
      <c r="J457" s="16">
        <v>25560.67</v>
      </c>
      <c r="K457" s="16">
        <v>25441</v>
      </c>
      <c r="L457" s="16">
        <v>25679.57</v>
      </c>
      <c r="M457" s="31"/>
      <c r="N457" s="31"/>
      <c r="O457" s="31"/>
      <c r="P457" s="31"/>
      <c r="Q457" s="31"/>
      <c r="R457" s="32"/>
      <c r="S457" s="33"/>
      <c r="T457" s="56"/>
      <c r="V457" s="48"/>
      <c r="W457" s="48"/>
      <c r="X457" s="49"/>
      <c r="Y457" s="49"/>
      <c r="Z457" s="50"/>
      <c r="AA457" s="50"/>
    </row>
    <row r="458" spans="1:27" ht="16.5" customHeight="1" thickBot="1" x14ac:dyDescent="0.35">
      <c r="A458" s="96"/>
      <c r="B458" s="96"/>
      <c r="C458" s="34" t="s">
        <v>129</v>
      </c>
      <c r="D458" s="35">
        <f t="shared" ref="D458:L458" si="148">IF(((D456="")*AND(D457="")),"",(D456-D457)*3)</f>
        <v>10392.839999999997</v>
      </c>
      <c r="E458" s="35">
        <f t="shared" si="148"/>
        <v>10267.799999999996</v>
      </c>
      <c r="F458" s="35">
        <f t="shared" si="148"/>
        <v>10053.929999999993</v>
      </c>
      <c r="G458" s="35">
        <f t="shared" si="148"/>
        <v>10140.450000000004</v>
      </c>
      <c r="H458" s="35">
        <f t="shared" si="148"/>
        <v>9903.3900000000031</v>
      </c>
      <c r="I458" s="35">
        <f t="shared" si="148"/>
        <v>9407.820000000007</v>
      </c>
      <c r="J458" s="35">
        <f t="shared" si="148"/>
        <v>9971.1900000000096</v>
      </c>
      <c r="K458" s="35">
        <f t="shared" si="148"/>
        <v>10333.080000000002</v>
      </c>
      <c r="L458" s="35">
        <f t="shared" si="148"/>
        <v>10289.430000000004</v>
      </c>
      <c r="M458" s="36"/>
      <c r="N458" s="36"/>
      <c r="O458" s="36"/>
      <c r="P458" s="36"/>
      <c r="Q458" s="36"/>
      <c r="R458" s="37"/>
      <c r="S458" s="38"/>
      <c r="T458" s="57"/>
      <c r="U458" s="52"/>
      <c r="V458" s="51"/>
      <c r="W458" s="51"/>
      <c r="X458" s="52"/>
      <c r="Y458" s="52"/>
      <c r="Z458" s="53"/>
      <c r="AA458" s="53"/>
    </row>
    <row r="459" spans="1:27" x14ac:dyDescent="0.3">
      <c r="A459" s="97">
        <v>43217</v>
      </c>
      <c r="B459" s="117" t="s">
        <v>431</v>
      </c>
      <c r="C459" s="26" t="s">
        <v>126</v>
      </c>
      <c r="D459" s="16">
        <v>29202.57</v>
      </c>
      <c r="E459" s="16">
        <v>29057.37</v>
      </c>
      <c r="F459" s="16">
        <v>29112.81</v>
      </c>
      <c r="G459" s="16">
        <v>29052.35</v>
      </c>
      <c r="H459" s="16">
        <v>29273.93</v>
      </c>
      <c r="I459" s="16">
        <v>29177.46</v>
      </c>
      <c r="J459" s="16">
        <v>29036.23</v>
      </c>
      <c r="K459" s="16">
        <v>29058.18</v>
      </c>
      <c r="L459" s="16">
        <v>29321.06</v>
      </c>
      <c r="M459" s="27">
        <f>IF((L460=""),"",MAX(D461:L461))</f>
        <v>7227.4199999999983</v>
      </c>
      <c r="N459" s="27">
        <f>IF(L460="","",MIN(D461:L461))</f>
        <v>6357.6899999999987</v>
      </c>
      <c r="O459" s="27">
        <f>IF((L461=""),"",AVERAGE(D461:L461))</f>
        <v>6959.9733333333324</v>
      </c>
      <c r="P459" s="27">
        <f>IF((L460=""),"",STDEV(D461:L461))</f>
        <v>273.22314236718779</v>
      </c>
      <c r="Q459" s="27">
        <f>IF((L460=""),"",P459/O459*100)</f>
        <v>3.9256349023442785</v>
      </c>
      <c r="R459" s="28" t="str">
        <f>IF(L460="","",IF(Q459&lt;Z459,IF(N459&gt;V459,IF(M459&lt;W459,"Pass","Fail"),"Fail"),"Fail"))</f>
        <v>Fail</v>
      </c>
      <c r="S459" s="29" t="s">
        <v>213</v>
      </c>
      <c r="U459" s="55" t="s">
        <v>214</v>
      </c>
      <c r="V459" s="54">
        <v>9000</v>
      </c>
      <c r="W459" s="22">
        <v>15600</v>
      </c>
      <c r="X459" s="40">
        <v>8090</v>
      </c>
      <c r="Y459" s="40">
        <v>12070</v>
      </c>
      <c r="Z459" s="47">
        <v>6</v>
      </c>
      <c r="AA459" s="47">
        <v>6</v>
      </c>
    </row>
    <row r="460" spans="1:27" ht="15.75" customHeight="1" x14ac:dyDescent="0.3">
      <c r="A460" s="96"/>
      <c r="B460" s="96"/>
      <c r="C460" s="30" t="s">
        <v>128</v>
      </c>
      <c r="D460" s="16">
        <v>26909.88</v>
      </c>
      <c r="E460" s="16">
        <v>26745.25</v>
      </c>
      <c r="F460" s="16">
        <v>26805.97</v>
      </c>
      <c r="G460" s="16">
        <v>26643.21</v>
      </c>
      <c r="H460" s="16">
        <v>26866.27</v>
      </c>
      <c r="I460" s="16">
        <v>27058.23</v>
      </c>
      <c r="J460" s="16">
        <v>26758.95</v>
      </c>
      <c r="K460" s="16">
        <v>26658.3</v>
      </c>
      <c r="L460" s="16">
        <v>26965.98</v>
      </c>
      <c r="M460" s="31"/>
      <c r="N460" s="31"/>
      <c r="O460" s="31"/>
      <c r="P460" s="31"/>
      <c r="Q460" s="31"/>
      <c r="R460" s="32"/>
      <c r="S460" s="33"/>
      <c r="U460" s="56"/>
      <c r="V460" s="48"/>
      <c r="W460" s="48"/>
      <c r="X460" s="49"/>
      <c r="Y460" s="49"/>
      <c r="Z460" s="50"/>
      <c r="AA460" s="50"/>
    </row>
    <row r="461" spans="1:27" ht="16.5" customHeight="1" thickBot="1" x14ac:dyDescent="0.35">
      <c r="A461" s="96"/>
      <c r="B461" s="96"/>
      <c r="C461" s="34" t="s">
        <v>129</v>
      </c>
      <c r="D461" s="35">
        <f t="shared" ref="D461:L461" si="149">IF(((D459="")*AND(D460="")),"",(D459-D460)*3)</f>
        <v>6878.0699999999961</v>
      </c>
      <c r="E461" s="35">
        <f t="shared" si="149"/>
        <v>6936.3599999999969</v>
      </c>
      <c r="F461" s="35">
        <f t="shared" si="149"/>
        <v>6920.52</v>
      </c>
      <c r="G461" s="35">
        <f t="shared" si="149"/>
        <v>7227.4199999999983</v>
      </c>
      <c r="H461" s="35">
        <f t="shared" si="149"/>
        <v>7222.98</v>
      </c>
      <c r="I461" s="35">
        <f t="shared" si="149"/>
        <v>6357.6899999999987</v>
      </c>
      <c r="J461" s="35">
        <f t="shared" si="149"/>
        <v>6831.8399999999965</v>
      </c>
      <c r="K461" s="35">
        <f t="shared" si="149"/>
        <v>7199.6400000000031</v>
      </c>
      <c r="L461" s="35">
        <f t="shared" si="149"/>
        <v>7065.2400000000052</v>
      </c>
      <c r="M461" s="36"/>
      <c r="N461" s="36"/>
      <c r="O461" s="36"/>
      <c r="P461" s="36"/>
      <c r="Q461" s="36"/>
      <c r="R461" s="37"/>
      <c r="S461" s="38"/>
      <c r="U461" s="57"/>
      <c r="V461" s="51"/>
      <c r="W461" s="51"/>
      <c r="X461" s="52"/>
      <c r="Y461" s="52"/>
      <c r="Z461" s="53"/>
      <c r="AA461" s="53"/>
    </row>
    <row r="462" spans="1:27" x14ac:dyDescent="0.3">
      <c r="A462" s="97">
        <v>43217</v>
      </c>
      <c r="B462" s="117" t="s">
        <v>431</v>
      </c>
      <c r="C462" s="26" t="s">
        <v>126</v>
      </c>
      <c r="D462" s="16">
        <v>29156.43</v>
      </c>
      <c r="E462" s="16">
        <v>28973.74</v>
      </c>
      <c r="F462" s="16">
        <v>28974.080000000002</v>
      </c>
      <c r="G462" s="16">
        <v>28983.09</v>
      </c>
      <c r="H462" s="16">
        <v>29187.53</v>
      </c>
      <c r="I462" s="16">
        <v>29144.28</v>
      </c>
      <c r="J462" s="16">
        <v>28962.86</v>
      </c>
      <c r="K462" s="16">
        <v>28990.42</v>
      </c>
      <c r="L462" s="16">
        <v>29227.71</v>
      </c>
      <c r="M462" s="27">
        <f>IF((L463=""),"",MAX(D464:L464))</f>
        <v>9463.5</v>
      </c>
      <c r="N462" s="27">
        <f>IF(L463="","",MIN(D464:L464))</f>
        <v>8052.9899999999943</v>
      </c>
      <c r="O462" s="27">
        <f>IF((L464=""),"",AVERAGE(D464:L464))</f>
        <v>9017.5166666666701</v>
      </c>
      <c r="P462" s="27">
        <f>IF((L463=""),"",STDEV(D464:L464))</f>
        <v>425.54861061928267</v>
      </c>
      <c r="Q462" s="27">
        <f>IF((L463=""),"",P462/O462*100)</f>
        <v>4.7191330645645149</v>
      </c>
      <c r="R462" s="28" t="str">
        <f>IF(L463="","",IF(Q462&lt;Z462,IF(N462&gt;V462,IF(M462&lt;W462,"Pass","Fail"),"Fail"),"Fail"))</f>
        <v>Fail</v>
      </c>
      <c r="S462" s="29" t="s">
        <v>213</v>
      </c>
      <c r="U462" s="55" t="s">
        <v>215</v>
      </c>
      <c r="V462" s="54">
        <v>9000</v>
      </c>
      <c r="W462" s="22">
        <v>15600</v>
      </c>
      <c r="X462" s="40">
        <v>8090</v>
      </c>
      <c r="Y462" s="40">
        <v>12070</v>
      </c>
      <c r="Z462" s="47">
        <v>6</v>
      </c>
      <c r="AA462" s="47">
        <v>6</v>
      </c>
    </row>
    <row r="463" spans="1:27" ht="15.75" customHeight="1" x14ac:dyDescent="0.3">
      <c r="A463" s="96"/>
      <c r="B463" s="96"/>
      <c r="C463" s="30" t="s">
        <v>128</v>
      </c>
      <c r="D463" s="16">
        <v>26093.1</v>
      </c>
      <c r="E463" s="16">
        <v>25916.91</v>
      </c>
      <c r="F463" s="16">
        <v>25969.82</v>
      </c>
      <c r="G463" s="16">
        <v>25925.200000000001</v>
      </c>
      <c r="H463" s="16">
        <v>26216.97</v>
      </c>
      <c r="I463" s="16">
        <v>26459.95</v>
      </c>
      <c r="J463" s="16">
        <v>26042.959999999999</v>
      </c>
      <c r="K463" s="16">
        <v>25835.919999999998</v>
      </c>
      <c r="L463" s="16">
        <v>26086.76</v>
      </c>
      <c r="M463" s="31"/>
      <c r="N463" s="31"/>
      <c r="O463" s="31"/>
      <c r="P463" s="31"/>
      <c r="Q463" s="31"/>
      <c r="R463" s="32"/>
      <c r="S463" s="33"/>
      <c r="U463" s="56"/>
      <c r="V463" s="48"/>
      <c r="W463" s="48"/>
      <c r="X463" s="49"/>
      <c r="Y463" s="49"/>
      <c r="Z463" s="50"/>
      <c r="AA463" s="50"/>
    </row>
    <row r="464" spans="1:27" ht="16.5" customHeight="1" thickBot="1" x14ac:dyDescent="0.35">
      <c r="A464" s="96"/>
      <c r="B464" s="96"/>
      <c r="C464" s="34" t="s">
        <v>129</v>
      </c>
      <c r="D464" s="35">
        <f t="shared" ref="D464:L464" si="150">IF(((D462="")*AND(D463="")),"",(D462-D463)*3)</f>
        <v>9189.9900000000052</v>
      </c>
      <c r="E464" s="35">
        <f t="shared" si="150"/>
        <v>9170.4900000000052</v>
      </c>
      <c r="F464" s="35">
        <f t="shared" si="150"/>
        <v>9012.7800000000061</v>
      </c>
      <c r="G464" s="35">
        <f t="shared" si="150"/>
        <v>9173.6699999999983</v>
      </c>
      <c r="H464" s="35">
        <f t="shared" si="150"/>
        <v>8911.679999999993</v>
      </c>
      <c r="I464" s="35">
        <f t="shared" si="150"/>
        <v>8052.9899999999943</v>
      </c>
      <c r="J464" s="35">
        <f t="shared" si="150"/>
        <v>8759.7000000000044</v>
      </c>
      <c r="K464" s="35">
        <f t="shared" si="150"/>
        <v>9463.5</v>
      </c>
      <c r="L464" s="35">
        <f t="shared" si="150"/>
        <v>9422.8500000000022</v>
      </c>
      <c r="M464" s="36"/>
      <c r="N464" s="36"/>
      <c r="O464" s="36"/>
      <c r="P464" s="36"/>
      <c r="Q464" s="36"/>
      <c r="R464" s="37"/>
      <c r="S464" s="38"/>
      <c r="U464" s="57"/>
      <c r="V464" s="51"/>
      <c r="W464" s="51"/>
      <c r="X464" s="52"/>
      <c r="Y464" s="52"/>
      <c r="Z464" s="53"/>
      <c r="AA464" s="53"/>
    </row>
    <row r="465" spans="1:27" x14ac:dyDescent="0.3">
      <c r="A465" s="97">
        <v>43217</v>
      </c>
      <c r="B465" s="117" t="s">
        <v>431</v>
      </c>
      <c r="C465" s="26" t="s">
        <v>126</v>
      </c>
      <c r="D465" s="16">
        <v>29185.99</v>
      </c>
      <c r="E465" s="16">
        <v>29039.79</v>
      </c>
      <c r="F465" s="16">
        <v>29095.7</v>
      </c>
      <c r="G465" s="16">
        <v>29032.02</v>
      </c>
      <c r="H465" s="16">
        <v>29240.57</v>
      </c>
      <c r="I465" s="16">
        <v>29165.53</v>
      </c>
      <c r="J465" s="16">
        <v>29035.08</v>
      </c>
      <c r="K465" s="16">
        <v>29026.06</v>
      </c>
      <c r="L465" s="16">
        <v>29283.41</v>
      </c>
      <c r="M465" s="27">
        <f>IF((L466=""),"",MAX(D467:L467))</f>
        <v>10310.939999999999</v>
      </c>
      <c r="N465" s="27">
        <f>IF(L466="","",MIN(D467:L467))</f>
        <v>9164.7599999999948</v>
      </c>
      <c r="O465" s="27">
        <f>IF((L467=""),"",AVERAGE(D467:L467))</f>
        <v>9955.383333333335</v>
      </c>
      <c r="P465" s="27">
        <f>IF((L466=""),"",STDEV(D467:L467))</f>
        <v>380.75472639876892</v>
      </c>
      <c r="Q465" s="27">
        <f>IF((L466=""),"",P465/O465*100)</f>
        <v>3.8246114052072553</v>
      </c>
      <c r="R465" s="28" t="str">
        <f>IF(L466="","",IF(Q465&lt;Z465,IF(N465&gt;V465,IF(M465&lt;W465,"Pass","Fail"),"Fail"),"Fail"))</f>
        <v>Pass</v>
      </c>
      <c r="S465" s="29" t="s">
        <v>213</v>
      </c>
      <c r="U465" s="55" t="s">
        <v>216</v>
      </c>
      <c r="V465" s="54">
        <v>9000</v>
      </c>
      <c r="W465" s="22">
        <v>15600</v>
      </c>
      <c r="X465" s="40">
        <v>8090</v>
      </c>
      <c r="Y465" s="40">
        <v>12070</v>
      </c>
      <c r="Z465" s="47">
        <v>6</v>
      </c>
      <c r="AA465" s="47">
        <v>6</v>
      </c>
    </row>
    <row r="466" spans="1:27" ht="15.75" customHeight="1" x14ac:dyDescent="0.3">
      <c r="A466" s="96"/>
      <c r="B466" s="96"/>
      <c r="C466" s="30" t="s">
        <v>128</v>
      </c>
      <c r="D466" s="16">
        <v>25775.52</v>
      </c>
      <c r="E466" s="16">
        <v>25624.52</v>
      </c>
      <c r="F466" s="16">
        <v>25741.4</v>
      </c>
      <c r="G466" s="16">
        <v>25697.63</v>
      </c>
      <c r="H466" s="16">
        <v>26063.25</v>
      </c>
      <c r="I466" s="16">
        <v>26110.61</v>
      </c>
      <c r="J466" s="16">
        <v>25743.98</v>
      </c>
      <c r="K466" s="16">
        <v>25589.08</v>
      </c>
      <c r="L466" s="16">
        <v>25892.01</v>
      </c>
      <c r="M466" s="31"/>
      <c r="N466" s="31"/>
      <c r="O466" s="31"/>
      <c r="P466" s="31"/>
      <c r="Q466" s="31"/>
      <c r="R466" s="32"/>
      <c r="S466" s="33"/>
      <c r="T466" s="56"/>
      <c r="V466" s="48"/>
      <c r="W466" s="48"/>
      <c r="X466" s="49"/>
      <c r="Y466" s="49"/>
      <c r="Z466" s="50"/>
      <c r="AA466" s="50"/>
    </row>
    <row r="467" spans="1:27" ht="16.5" customHeight="1" thickBot="1" x14ac:dyDescent="0.35">
      <c r="A467" s="96"/>
      <c r="B467" s="96"/>
      <c r="C467" s="34" t="s">
        <v>129</v>
      </c>
      <c r="D467" s="35">
        <f t="shared" ref="D467:L467" si="151">IF(((D465="")*AND(D466="")),"",(D465-D466)*3)</f>
        <v>10231.410000000003</v>
      </c>
      <c r="E467" s="35">
        <f t="shared" si="151"/>
        <v>10245.810000000001</v>
      </c>
      <c r="F467" s="35">
        <f t="shared" si="151"/>
        <v>10062.899999999998</v>
      </c>
      <c r="G467" s="35">
        <f t="shared" si="151"/>
        <v>10003.169999999998</v>
      </c>
      <c r="H467" s="35">
        <f t="shared" si="151"/>
        <v>9531.9599999999991</v>
      </c>
      <c r="I467" s="35">
        <f t="shared" si="151"/>
        <v>9164.7599999999948</v>
      </c>
      <c r="J467" s="35">
        <f t="shared" si="151"/>
        <v>9873.3000000000065</v>
      </c>
      <c r="K467" s="35">
        <f t="shared" si="151"/>
        <v>10310.939999999999</v>
      </c>
      <c r="L467" s="35">
        <f t="shared" si="151"/>
        <v>10174.200000000004</v>
      </c>
      <c r="M467" s="36"/>
      <c r="N467" s="36"/>
      <c r="O467" s="36"/>
      <c r="P467" s="36"/>
      <c r="Q467" s="36"/>
      <c r="R467" s="37"/>
      <c r="S467" s="38"/>
      <c r="T467" s="57"/>
      <c r="U467" s="52"/>
      <c r="V467" s="51"/>
      <c r="W467" s="51"/>
      <c r="X467" s="52"/>
      <c r="Y467" s="52"/>
      <c r="Z467" s="53"/>
      <c r="AA467" s="53"/>
    </row>
    <row r="468" spans="1:27" x14ac:dyDescent="0.3">
      <c r="A468" s="97">
        <v>43217</v>
      </c>
      <c r="B468" s="117" t="s">
        <v>431</v>
      </c>
      <c r="C468" s="26" t="s">
        <v>126</v>
      </c>
      <c r="D468" s="16">
        <v>29398.37</v>
      </c>
      <c r="E468" s="16">
        <v>29196.11</v>
      </c>
      <c r="F468" s="16">
        <v>29187.48</v>
      </c>
      <c r="G468" s="16">
        <v>29201.78</v>
      </c>
      <c r="H468" s="16">
        <v>29414.720000000001</v>
      </c>
      <c r="I468" s="16">
        <v>29376.91</v>
      </c>
      <c r="J468" s="16">
        <v>29194.38</v>
      </c>
      <c r="K468" s="16">
        <v>29188.44</v>
      </c>
      <c r="L468" s="16">
        <v>29430.76</v>
      </c>
      <c r="M468" s="27">
        <f>IF((L469=""),"",MAX(D470:L470))</f>
        <v>8679.8999999999978</v>
      </c>
      <c r="N468" s="27">
        <f>IF(L469="","",MIN(D470:L470))</f>
        <v>7845.4499999999935</v>
      </c>
      <c r="O468" s="27">
        <f>IF((L470=""),"",AVERAGE(D470:L470))</f>
        <v>8383.6699999999983</v>
      </c>
      <c r="P468" s="27">
        <f>IF((L469=""),"",STDEV(D470:L470))</f>
        <v>243.05649111883525</v>
      </c>
      <c r="Q468" s="27">
        <f>IF((L469=""),"",P468/O468*100)</f>
        <v>2.899165772493852</v>
      </c>
      <c r="R468" s="28" t="str">
        <f>IF(L469="","",IF(Q468&lt;Z468,IF(N468&gt;V468,IF(M468&lt;W468,"Pass","Fail"),"Fail"),"Fail"))</f>
        <v>Fail</v>
      </c>
      <c r="S468" s="29">
        <v>1159</v>
      </c>
      <c r="U468" s="55" t="s">
        <v>217</v>
      </c>
      <c r="V468" s="54">
        <v>9000</v>
      </c>
      <c r="W468" s="22">
        <v>15600</v>
      </c>
      <c r="X468" s="40">
        <v>8090</v>
      </c>
      <c r="Y468" s="40">
        <v>12070</v>
      </c>
      <c r="Z468" s="47">
        <v>6</v>
      </c>
      <c r="AA468" s="47">
        <v>6</v>
      </c>
    </row>
    <row r="469" spans="1:27" ht="15.75" customHeight="1" x14ac:dyDescent="0.3">
      <c r="A469" s="96"/>
      <c r="B469" s="96"/>
      <c r="C469" s="30" t="s">
        <v>128</v>
      </c>
      <c r="D469" s="16">
        <v>26783.22</v>
      </c>
      <c r="E469" s="16">
        <v>26410.29</v>
      </c>
      <c r="F469" s="16">
        <v>26414.53</v>
      </c>
      <c r="G469" s="16">
        <v>26341.18</v>
      </c>
      <c r="H469" s="16">
        <v>26638.78</v>
      </c>
      <c r="I469" s="16">
        <v>26612.43</v>
      </c>
      <c r="J469" s="16">
        <v>26357.09</v>
      </c>
      <c r="K469" s="16">
        <v>26342.959999999999</v>
      </c>
      <c r="L469" s="16">
        <v>26537.46</v>
      </c>
      <c r="M469" s="31"/>
      <c r="N469" s="31"/>
      <c r="O469" s="31"/>
      <c r="P469" s="31"/>
      <c r="Q469" s="31"/>
      <c r="R469" s="32"/>
      <c r="S469" s="33"/>
      <c r="T469" s="56"/>
      <c r="V469" s="48"/>
      <c r="W469" s="48"/>
      <c r="X469" s="49"/>
      <c r="Y469" s="49"/>
      <c r="Z469" s="50"/>
      <c r="AA469" s="50"/>
    </row>
    <row r="470" spans="1:27" ht="16.5" customHeight="1" thickBot="1" x14ac:dyDescent="0.35">
      <c r="A470" s="96"/>
      <c r="B470" s="96"/>
      <c r="C470" s="34" t="s">
        <v>129</v>
      </c>
      <c r="D470" s="35">
        <f t="shared" ref="D470:L470" si="152">IF(((D468="")*AND(D469="")),"",(D468-D469)*3)</f>
        <v>7845.4499999999935</v>
      </c>
      <c r="E470" s="35">
        <f t="shared" si="152"/>
        <v>8357.4599999999991</v>
      </c>
      <c r="F470" s="35">
        <f t="shared" si="152"/>
        <v>8318.8500000000022</v>
      </c>
      <c r="G470" s="35">
        <f t="shared" si="152"/>
        <v>8581.7999999999956</v>
      </c>
      <c r="H470" s="35">
        <f t="shared" si="152"/>
        <v>8327.820000000007</v>
      </c>
      <c r="I470" s="35">
        <f t="shared" si="152"/>
        <v>8293.4399999999987</v>
      </c>
      <c r="J470" s="35">
        <f t="shared" si="152"/>
        <v>8511.8700000000026</v>
      </c>
      <c r="K470" s="35">
        <f t="shared" si="152"/>
        <v>8536.4399999999987</v>
      </c>
      <c r="L470" s="35">
        <f t="shared" si="152"/>
        <v>8679.8999999999978</v>
      </c>
      <c r="M470" s="36"/>
      <c r="N470" s="36"/>
      <c r="O470" s="36"/>
      <c r="P470" s="36"/>
      <c r="Q470" s="36"/>
      <c r="R470" s="37"/>
      <c r="S470" s="38"/>
      <c r="T470" s="57"/>
      <c r="U470" s="52"/>
      <c r="V470" s="51"/>
      <c r="W470" s="51"/>
      <c r="X470" s="52"/>
      <c r="Y470" s="52"/>
      <c r="Z470" s="53"/>
      <c r="AA470" s="53"/>
    </row>
    <row r="471" spans="1:27" x14ac:dyDescent="0.3">
      <c r="A471" s="97">
        <v>43217</v>
      </c>
      <c r="B471" s="117" t="s">
        <v>431</v>
      </c>
      <c r="C471" s="26" t="s">
        <v>126</v>
      </c>
      <c r="D471" s="16">
        <v>29394.9</v>
      </c>
      <c r="E471" s="16">
        <v>29211.21</v>
      </c>
      <c r="F471" s="16">
        <v>29279.119999999999</v>
      </c>
      <c r="G471" s="16">
        <v>29226.639999999999</v>
      </c>
      <c r="H471" s="16">
        <v>29421.09</v>
      </c>
      <c r="I471" s="16">
        <v>29367.13</v>
      </c>
      <c r="J471" s="16">
        <v>29195.919999999998</v>
      </c>
      <c r="K471" s="16">
        <v>29220.21</v>
      </c>
      <c r="L471" s="16">
        <v>29429.919999999998</v>
      </c>
      <c r="M471" s="27">
        <f>IF((L472=""),"",MAX(D473:L473))</f>
        <v>13234.5</v>
      </c>
      <c r="N471" s="27">
        <f>IF(L472="","",MIN(D473:L473))</f>
        <v>11888.760000000006</v>
      </c>
      <c r="O471" s="27">
        <f>IF((L473=""),"",AVERAGE(D473:L473))</f>
        <v>12729.463333333335</v>
      </c>
      <c r="P471" s="27">
        <f>IF((L472=""),"",STDEV(D473:L473))</f>
        <v>480.21071385382083</v>
      </c>
      <c r="Q471" s="27">
        <f>IF((L472=""),"",P471/O471*100)</f>
        <v>3.7724348723825809</v>
      </c>
      <c r="R471" s="28" t="str">
        <f>IF(L472="","",IF(Q471&lt;Z471,IF(N471&gt;V471,IF(M471&lt;W471,"Pass","Fail"),"Fail"),"Fail"))</f>
        <v>Pass</v>
      </c>
      <c r="S471" s="29">
        <v>1159</v>
      </c>
      <c r="U471" s="55" t="s">
        <v>218</v>
      </c>
      <c r="V471" s="54">
        <v>9000</v>
      </c>
      <c r="W471" s="22">
        <v>15600</v>
      </c>
      <c r="X471" s="40">
        <v>8090</v>
      </c>
      <c r="Y471" s="40">
        <v>12070</v>
      </c>
      <c r="Z471" s="47">
        <v>6</v>
      </c>
      <c r="AA471" s="47">
        <v>6</v>
      </c>
    </row>
    <row r="472" spans="1:27" ht="15.75" customHeight="1" x14ac:dyDescent="0.3">
      <c r="A472" s="96"/>
      <c r="B472" s="96"/>
      <c r="C472" s="30" t="s">
        <v>128</v>
      </c>
      <c r="D472" s="16">
        <v>25399.94</v>
      </c>
      <c r="E472" s="16">
        <v>24954.46</v>
      </c>
      <c r="F472" s="16">
        <v>24949.09</v>
      </c>
      <c r="G472" s="16">
        <v>24815.14</v>
      </c>
      <c r="H472" s="16">
        <v>25161.5</v>
      </c>
      <c r="I472" s="16">
        <v>25404.21</v>
      </c>
      <c r="J472" s="16">
        <v>24940.75</v>
      </c>
      <c r="K472" s="16">
        <v>24832.81</v>
      </c>
      <c r="L472" s="16">
        <v>25099.85</v>
      </c>
      <c r="M472" s="31"/>
      <c r="N472" s="31"/>
      <c r="O472" s="31"/>
      <c r="P472" s="31"/>
      <c r="Q472" s="31"/>
      <c r="R472" s="32"/>
      <c r="S472" s="33"/>
      <c r="T472" s="56"/>
      <c r="V472" s="48"/>
      <c r="W472" s="48"/>
      <c r="X472" s="49"/>
      <c r="Y472" s="49"/>
      <c r="Z472" s="50"/>
      <c r="AA472" s="50"/>
    </row>
    <row r="473" spans="1:27" ht="16.5" customHeight="1" thickBot="1" x14ac:dyDescent="0.35">
      <c r="A473" s="96"/>
      <c r="B473" s="96"/>
      <c r="C473" s="34" t="s">
        <v>129</v>
      </c>
      <c r="D473" s="35">
        <f t="shared" ref="D473:L473" si="153">IF(((D471="")*AND(D472="")),"",(D471-D472)*3)</f>
        <v>11984.880000000008</v>
      </c>
      <c r="E473" s="35">
        <f t="shared" si="153"/>
        <v>12770.25</v>
      </c>
      <c r="F473" s="35">
        <f t="shared" si="153"/>
        <v>12990.089999999997</v>
      </c>
      <c r="G473" s="35">
        <f t="shared" si="153"/>
        <v>13234.5</v>
      </c>
      <c r="H473" s="35">
        <f t="shared" si="153"/>
        <v>12778.77</v>
      </c>
      <c r="I473" s="35">
        <f t="shared" si="153"/>
        <v>11888.760000000006</v>
      </c>
      <c r="J473" s="35">
        <f t="shared" si="153"/>
        <v>12765.509999999995</v>
      </c>
      <c r="K473" s="35">
        <f t="shared" si="153"/>
        <v>13162.199999999993</v>
      </c>
      <c r="L473" s="35">
        <f t="shared" si="153"/>
        <v>12990.21</v>
      </c>
      <c r="M473" s="36"/>
      <c r="N473" s="36"/>
      <c r="O473" s="36"/>
      <c r="P473" s="36"/>
      <c r="Q473" s="36"/>
      <c r="R473" s="37"/>
      <c r="S473" s="38"/>
      <c r="T473" s="57"/>
      <c r="U473" s="52"/>
      <c r="V473" s="51"/>
      <c r="W473" s="51"/>
      <c r="X473" s="52"/>
      <c r="Y473" s="52"/>
      <c r="Z473" s="53"/>
      <c r="AA473" s="53"/>
    </row>
    <row r="474" spans="1:27" x14ac:dyDescent="0.3">
      <c r="A474" s="97">
        <v>43219</v>
      </c>
      <c r="B474" s="117" t="s">
        <v>431</v>
      </c>
      <c r="C474" s="26" t="s">
        <v>126</v>
      </c>
      <c r="D474" s="16">
        <v>29160.94</v>
      </c>
      <c r="E474" s="16">
        <v>29021.85</v>
      </c>
      <c r="F474" s="16">
        <v>29083.14</v>
      </c>
      <c r="G474" s="16">
        <v>29031.05</v>
      </c>
      <c r="H474" s="16">
        <v>29264.21</v>
      </c>
      <c r="I474" s="16">
        <v>29145.48</v>
      </c>
      <c r="J474" s="16">
        <v>29014.44</v>
      </c>
      <c r="K474" s="16">
        <v>29041.43</v>
      </c>
      <c r="L474" s="16">
        <v>29307.38</v>
      </c>
      <c r="M474" s="27">
        <f>IF((L475=""),"",MAX(D476:L476))</f>
        <v>9580.4100000000035</v>
      </c>
      <c r="N474" s="27">
        <f>IF(L475="","",MIN(D476:L476))</f>
        <v>8349.48</v>
      </c>
      <c r="O474" s="27">
        <f>IF((L476=""),"",AVERAGE(D476:L476))</f>
        <v>9151.6533333333282</v>
      </c>
      <c r="P474" s="27">
        <f>IF((L475=""),"",STDEV(D476:L476))</f>
        <v>371.25196255373623</v>
      </c>
      <c r="Q474" s="27">
        <f>IF((L475=""),"",P474/O474*100)</f>
        <v>4.0566654901744865</v>
      </c>
      <c r="R474" s="28" t="str">
        <f>IF(L475="","",IF(Q474&lt;Z474,IF(N474&gt;V474,IF(M474&lt;W474,"Pass","Fail"),"Fail"),"Fail"))</f>
        <v>Fail</v>
      </c>
      <c r="S474" s="29">
        <v>121</v>
      </c>
      <c r="U474" s="55" t="s">
        <v>219</v>
      </c>
      <c r="V474" s="54">
        <v>9000</v>
      </c>
      <c r="W474" s="22">
        <v>15600</v>
      </c>
      <c r="X474" s="40">
        <v>8090</v>
      </c>
      <c r="Y474" s="40">
        <v>12070</v>
      </c>
      <c r="Z474" s="47">
        <v>6</v>
      </c>
      <c r="AA474" s="47">
        <v>6</v>
      </c>
    </row>
    <row r="475" spans="1:27" ht="15.75" customHeight="1" x14ac:dyDescent="0.3">
      <c r="A475" s="96"/>
      <c r="B475" s="96"/>
      <c r="C475" s="30" t="s">
        <v>128</v>
      </c>
      <c r="D475" s="16">
        <v>26377.78</v>
      </c>
      <c r="E475" s="16">
        <v>26016.31</v>
      </c>
      <c r="F475" s="16">
        <v>26027.32</v>
      </c>
      <c r="G475" s="16">
        <v>25879.9</v>
      </c>
      <c r="H475" s="16">
        <v>26164.52</v>
      </c>
      <c r="I475" s="16">
        <v>26182.65</v>
      </c>
      <c r="J475" s="16">
        <v>25952.06</v>
      </c>
      <c r="K475" s="16">
        <v>25900.51</v>
      </c>
      <c r="L475" s="16">
        <v>26113.91</v>
      </c>
      <c r="M475" s="31"/>
      <c r="N475" s="31"/>
      <c r="O475" s="31"/>
      <c r="P475" s="31"/>
      <c r="Q475" s="31"/>
      <c r="R475" s="32"/>
      <c r="S475" s="33"/>
      <c r="T475" s="56"/>
      <c r="V475" s="48"/>
      <c r="W475" s="48"/>
      <c r="X475" s="49"/>
      <c r="Y475" s="49"/>
      <c r="Z475" s="50"/>
      <c r="AA475" s="50"/>
    </row>
    <row r="476" spans="1:27" ht="16.5" customHeight="1" thickBot="1" x14ac:dyDescent="0.35">
      <c r="A476" s="96"/>
      <c r="B476" s="96"/>
      <c r="C476" s="34" t="s">
        <v>129</v>
      </c>
      <c r="D476" s="35">
        <f t="shared" ref="D476:L476" si="154">IF(((D474="")*AND(D475="")),"",(D474-D475)*3)</f>
        <v>8349.48</v>
      </c>
      <c r="E476" s="35">
        <f t="shared" si="154"/>
        <v>9016.6199999999917</v>
      </c>
      <c r="F476" s="35">
        <f t="shared" si="154"/>
        <v>9167.4599999999991</v>
      </c>
      <c r="G476" s="35">
        <f t="shared" si="154"/>
        <v>9453.4499999999935</v>
      </c>
      <c r="H476" s="35">
        <f t="shared" si="154"/>
        <v>9299.0699999999961</v>
      </c>
      <c r="I476" s="35">
        <f t="shared" si="154"/>
        <v>8888.4899999999943</v>
      </c>
      <c r="J476" s="35">
        <f t="shared" si="154"/>
        <v>9187.1399999999921</v>
      </c>
      <c r="K476" s="35">
        <f t="shared" si="154"/>
        <v>9422.7600000000057</v>
      </c>
      <c r="L476" s="35">
        <f t="shared" si="154"/>
        <v>9580.4100000000035</v>
      </c>
      <c r="M476" s="36"/>
      <c r="N476" s="36"/>
      <c r="O476" s="36"/>
      <c r="P476" s="36"/>
      <c r="Q476" s="36"/>
      <c r="R476" s="37"/>
      <c r="S476" s="38"/>
      <c r="T476" s="57"/>
      <c r="U476" s="52"/>
      <c r="V476" s="51"/>
      <c r="W476" s="51"/>
      <c r="X476" s="52"/>
      <c r="Y476" s="52"/>
      <c r="Z476" s="53"/>
      <c r="AA476" s="53"/>
    </row>
    <row r="477" spans="1:27" x14ac:dyDescent="0.3">
      <c r="A477" s="97">
        <v>43219</v>
      </c>
      <c r="B477" s="117" t="s">
        <v>431</v>
      </c>
      <c r="C477" s="26" t="s">
        <v>126</v>
      </c>
      <c r="D477" s="16">
        <v>29000.48</v>
      </c>
      <c r="E477" s="16">
        <v>28851.26</v>
      </c>
      <c r="F477" s="16">
        <v>28847.57</v>
      </c>
      <c r="G477" s="16">
        <v>28867.1</v>
      </c>
      <c r="H477" s="16">
        <v>29106.54</v>
      </c>
      <c r="I477" s="16">
        <v>29036.63</v>
      </c>
      <c r="J477" s="16">
        <v>28852.34</v>
      </c>
      <c r="K477" s="16">
        <v>28858.28</v>
      </c>
      <c r="L477" s="16">
        <v>29083.43</v>
      </c>
      <c r="M477" s="27">
        <f>IF((L478=""),"",MAX(D479:L479))</f>
        <v>9170.8499999999913</v>
      </c>
      <c r="N477" s="27">
        <f>IF(L478="","",MIN(D479:L479))</f>
        <v>8038.1099999999969</v>
      </c>
      <c r="O477" s="27">
        <f>IF((L479=""),"",AVERAGE(D479:L479))</f>
        <v>8832.2333333333299</v>
      </c>
      <c r="P477" s="27">
        <f>IF((L478=""),"",STDEV(D479:L479))</f>
        <v>351.35585959963726</v>
      </c>
      <c r="Q477" s="27">
        <f>IF((L478=""),"",P477/O477*100)</f>
        <v>3.978108892046603</v>
      </c>
      <c r="R477" s="28" t="str">
        <f>IF(L478="","",IF(Q477&lt;Z477,IF(N477&gt;V477,IF(M477&lt;W477,"Pass","Fail"),"Fail"),"Fail"))</f>
        <v>Fail</v>
      </c>
      <c r="S477" s="29">
        <v>121</v>
      </c>
      <c r="U477" s="55" t="s">
        <v>219</v>
      </c>
      <c r="V477" s="54">
        <v>9000</v>
      </c>
      <c r="W477" s="22">
        <v>15600</v>
      </c>
      <c r="X477" s="40">
        <v>8090</v>
      </c>
      <c r="Y477" s="40">
        <v>12070</v>
      </c>
      <c r="Z477" s="47">
        <v>6</v>
      </c>
      <c r="AA477" s="47">
        <v>6</v>
      </c>
    </row>
    <row r="478" spans="1:27" ht="15.75" customHeight="1" x14ac:dyDescent="0.3">
      <c r="A478" s="96"/>
      <c r="B478" s="96"/>
      <c r="C478" s="30" t="s">
        <v>128</v>
      </c>
      <c r="D478" s="16">
        <v>26321.11</v>
      </c>
      <c r="E478" s="16">
        <v>25959.77</v>
      </c>
      <c r="F478" s="16">
        <v>25881.21</v>
      </c>
      <c r="G478" s="16">
        <v>25810.15</v>
      </c>
      <c r="H478" s="16">
        <v>26090.66</v>
      </c>
      <c r="I478" s="16">
        <v>26166.54</v>
      </c>
      <c r="J478" s="16">
        <v>25880.31</v>
      </c>
      <c r="K478" s="16">
        <v>25839.5</v>
      </c>
      <c r="L478" s="16">
        <v>26057.68</v>
      </c>
      <c r="M478" s="31"/>
      <c r="N478" s="31"/>
      <c r="O478" s="31"/>
      <c r="P478" s="31"/>
      <c r="Q478" s="31"/>
      <c r="R478" s="32"/>
      <c r="S478" s="33"/>
      <c r="T478" s="56"/>
      <c r="V478" s="48"/>
      <c r="W478" s="48"/>
      <c r="X478" s="49"/>
      <c r="Y478" s="49"/>
      <c r="Z478" s="50"/>
      <c r="AA478" s="50"/>
    </row>
    <row r="479" spans="1:27" ht="16.5" customHeight="1" thickBot="1" x14ac:dyDescent="0.35">
      <c r="A479" s="96"/>
      <c r="B479" s="96"/>
      <c r="C479" s="34" t="s">
        <v>129</v>
      </c>
      <c r="D479" s="35">
        <f t="shared" ref="D479:L479" si="155">IF(((D477="")*AND(D478="")),"",(D477-D478)*3)</f>
        <v>8038.1099999999969</v>
      </c>
      <c r="E479" s="35">
        <f t="shared" si="155"/>
        <v>8674.4699999999939</v>
      </c>
      <c r="F479" s="35">
        <f t="shared" si="155"/>
        <v>8899.0800000000017</v>
      </c>
      <c r="G479" s="35">
        <f t="shared" si="155"/>
        <v>9170.8499999999913</v>
      </c>
      <c r="H479" s="35">
        <f t="shared" si="155"/>
        <v>9047.6400000000031</v>
      </c>
      <c r="I479" s="35">
        <f t="shared" si="155"/>
        <v>8610.27</v>
      </c>
      <c r="J479" s="35">
        <f t="shared" si="155"/>
        <v>8916.0899999999965</v>
      </c>
      <c r="K479" s="35">
        <f t="shared" si="155"/>
        <v>9056.3399999999965</v>
      </c>
      <c r="L479" s="35">
        <f t="shared" si="155"/>
        <v>9077.25</v>
      </c>
      <c r="M479" s="36"/>
      <c r="N479" s="36"/>
      <c r="O479" s="36"/>
      <c r="P479" s="36"/>
      <c r="Q479" s="36"/>
      <c r="R479" s="37"/>
      <c r="S479" s="38"/>
      <c r="T479" s="57"/>
      <c r="U479" s="52"/>
      <c r="V479" s="51"/>
      <c r="W479" s="51"/>
      <c r="X479" s="52"/>
      <c r="Y479" s="52"/>
      <c r="Z479" s="53"/>
      <c r="AA479" s="53"/>
    </row>
    <row r="480" spans="1:27" x14ac:dyDescent="0.3">
      <c r="A480" s="97">
        <v>43219</v>
      </c>
      <c r="B480" s="117" t="s">
        <v>431</v>
      </c>
      <c r="C480" s="26" t="s">
        <v>126</v>
      </c>
      <c r="D480" s="16">
        <v>29213.49</v>
      </c>
      <c r="E480" s="16">
        <v>29023.55</v>
      </c>
      <c r="F480" s="16">
        <v>29009.439999999999</v>
      </c>
      <c r="G480" s="16">
        <v>29017.03</v>
      </c>
      <c r="H480" s="16">
        <v>29242.92</v>
      </c>
      <c r="I480" s="16">
        <v>29183.11</v>
      </c>
      <c r="J480" s="16">
        <v>29020.61</v>
      </c>
      <c r="K480" s="16">
        <v>29023.59</v>
      </c>
      <c r="L480" s="16">
        <v>29244.31</v>
      </c>
      <c r="M480" s="27">
        <f>IF((L481=""),"",MAX(D482:L482))</f>
        <v>10897.200000000004</v>
      </c>
      <c r="N480" s="27">
        <f>IF(L481="","",MIN(D482:L482))</f>
        <v>10010.070000000007</v>
      </c>
      <c r="O480" s="27">
        <f>IF((L482=""),"",AVERAGE(D482:L482))</f>
        <v>10585.34666666667</v>
      </c>
      <c r="P480" s="27">
        <f>IF((L481=""),"",STDEV(D482:L482))</f>
        <v>277.38554563098529</v>
      </c>
      <c r="Q480" s="27">
        <f>IF((L481=""),"",P480/O480*100)</f>
        <v>2.6204672776988427</v>
      </c>
      <c r="R480" s="28" t="str">
        <f>IF(L481="","",IF(Q480&lt;Z480,IF(N480&gt;V480,IF(M480&lt;W480,"Pass","Fail"),"Fail"),"Fail"))</f>
        <v>Pass</v>
      </c>
      <c r="S480" s="29">
        <v>64</v>
      </c>
      <c r="T480" s="55"/>
      <c r="U480" s="40"/>
      <c r="V480" s="54">
        <v>9000</v>
      </c>
      <c r="W480" s="22">
        <v>15600</v>
      </c>
      <c r="X480" s="40">
        <v>8090</v>
      </c>
      <c r="Y480" s="40">
        <v>12070</v>
      </c>
      <c r="Z480" s="47">
        <v>6</v>
      </c>
      <c r="AA480" s="47">
        <v>6</v>
      </c>
    </row>
    <row r="481" spans="1:27" ht="15.75" customHeight="1" x14ac:dyDescent="0.3">
      <c r="A481" s="96"/>
      <c r="B481" s="96"/>
      <c r="C481" s="30" t="s">
        <v>128</v>
      </c>
      <c r="D481" s="16">
        <v>25876.799999999999</v>
      </c>
      <c r="E481" s="16">
        <v>25497.79</v>
      </c>
      <c r="F481" s="16">
        <v>25456.92</v>
      </c>
      <c r="G481" s="16">
        <v>25413.69</v>
      </c>
      <c r="H481" s="16">
        <v>25716.92</v>
      </c>
      <c r="I481" s="16">
        <v>25749.15</v>
      </c>
      <c r="J481" s="16">
        <v>25477.7</v>
      </c>
      <c r="K481" s="16">
        <v>25421.13</v>
      </c>
      <c r="L481" s="16">
        <v>25611.91</v>
      </c>
      <c r="M481" s="31"/>
      <c r="N481" s="31"/>
      <c r="O481" s="31"/>
      <c r="P481" s="31"/>
      <c r="Q481" s="31"/>
      <c r="R481" s="32"/>
      <c r="S481" s="33"/>
      <c r="T481" s="56"/>
      <c r="V481" s="48"/>
      <c r="W481" s="48"/>
      <c r="X481" s="49"/>
      <c r="Y481" s="49"/>
      <c r="Z481" s="50"/>
      <c r="AA481" s="50"/>
    </row>
    <row r="482" spans="1:27" ht="16.5" customHeight="1" thickBot="1" x14ac:dyDescent="0.35">
      <c r="A482" s="96"/>
      <c r="B482" s="96"/>
      <c r="C482" s="34" t="s">
        <v>129</v>
      </c>
      <c r="D482" s="35">
        <f t="shared" ref="D482:L482" si="156">IF(((D480="")*AND(D481="")),"",(D480-D481)*3)</f>
        <v>10010.070000000007</v>
      </c>
      <c r="E482" s="35">
        <f t="shared" si="156"/>
        <v>10577.279999999995</v>
      </c>
      <c r="F482" s="35">
        <f t="shared" si="156"/>
        <v>10657.560000000001</v>
      </c>
      <c r="G482" s="35">
        <f t="shared" si="156"/>
        <v>10810.02</v>
      </c>
      <c r="H482" s="35">
        <f t="shared" si="156"/>
        <v>10578</v>
      </c>
      <c r="I482" s="35">
        <f t="shared" si="156"/>
        <v>10301.879999999997</v>
      </c>
      <c r="J482" s="35">
        <f t="shared" si="156"/>
        <v>10628.73</v>
      </c>
      <c r="K482" s="35">
        <f t="shared" si="156"/>
        <v>10807.379999999997</v>
      </c>
      <c r="L482" s="35">
        <f t="shared" si="156"/>
        <v>10897.200000000004</v>
      </c>
      <c r="M482" s="36"/>
      <c r="N482" s="36"/>
      <c r="O482" s="36"/>
      <c r="P482" s="36"/>
      <c r="Q482" s="36"/>
      <c r="R482" s="37"/>
      <c r="S482" s="38"/>
      <c r="T482" s="57"/>
      <c r="U482" s="52"/>
      <c r="V482" s="51"/>
      <c r="W482" s="51"/>
      <c r="X482" s="52"/>
      <c r="Y482" s="52"/>
      <c r="Z482" s="53"/>
      <c r="AA482" s="53"/>
    </row>
    <row r="483" spans="1:27" x14ac:dyDescent="0.3">
      <c r="A483" s="97">
        <v>43221</v>
      </c>
      <c r="B483" s="117" t="s">
        <v>431</v>
      </c>
      <c r="C483" s="26" t="s">
        <v>126</v>
      </c>
      <c r="D483" s="16">
        <v>29377.24</v>
      </c>
      <c r="E483" s="16">
        <v>29193.15</v>
      </c>
      <c r="F483" s="16">
        <v>29156.32</v>
      </c>
      <c r="G483" s="16">
        <v>29156.98</v>
      </c>
      <c r="H483" s="16">
        <v>29384.62</v>
      </c>
      <c r="I483" s="16">
        <v>29326.04</v>
      </c>
      <c r="J483" s="16">
        <v>29164.45</v>
      </c>
      <c r="K483" s="16">
        <v>29173.5</v>
      </c>
      <c r="L483" s="16">
        <v>29388.86</v>
      </c>
      <c r="M483" s="27">
        <f>IF((L484=""),"",MAX(D485:L485))</f>
        <v>9862.7399999999943</v>
      </c>
      <c r="N483" s="27">
        <f>IF(L484="","",MIN(D485:L485))</f>
        <v>9054.1500000000087</v>
      </c>
      <c r="O483" s="27">
        <f>IF((L485=""),"",AVERAGE(D485:L485))</f>
        <v>9649.16</v>
      </c>
      <c r="P483" s="27">
        <f>IF((L484=""),"",STDEV(D485:L485))</f>
        <v>251.41189634740508</v>
      </c>
      <c r="Q483" s="27">
        <f>IF((L484=""),"",P483/O483*100)</f>
        <v>2.6055314280974207</v>
      </c>
      <c r="R483" s="28" t="str">
        <f>IF(L484="","",IF(Q483&lt;Z483,IF(N483&gt;V483,IF(M483&lt;W483,"Pass","Fail"),"Fail"),"Fail"))</f>
        <v>Pass</v>
      </c>
      <c r="S483" s="29">
        <v>1159</v>
      </c>
      <c r="T483" s="56" t="s">
        <v>221</v>
      </c>
      <c r="U483" s="55" t="s">
        <v>220</v>
      </c>
      <c r="V483" s="54">
        <v>9000</v>
      </c>
      <c r="W483" s="22">
        <v>15600</v>
      </c>
      <c r="X483" s="40">
        <v>8090</v>
      </c>
      <c r="Y483" s="40">
        <v>12070</v>
      </c>
      <c r="Z483" s="47">
        <v>6</v>
      </c>
      <c r="AA483" s="47">
        <v>6</v>
      </c>
    </row>
    <row r="484" spans="1:27" ht="15.75" customHeight="1" x14ac:dyDescent="0.3">
      <c r="A484" s="96"/>
      <c r="B484" s="96"/>
      <c r="C484" s="30" t="s">
        <v>128</v>
      </c>
      <c r="D484" s="16">
        <v>26359.19</v>
      </c>
      <c r="E484" s="16">
        <v>25990.51</v>
      </c>
      <c r="F484" s="16">
        <v>25964.59</v>
      </c>
      <c r="G484" s="16">
        <v>25869.4</v>
      </c>
      <c r="H484" s="16">
        <v>26131.29</v>
      </c>
      <c r="I484" s="16">
        <v>26039.51</v>
      </c>
      <c r="J484" s="16">
        <v>25882.9</v>
      </c>
      <c r="K484" s="16">
        <v>25945.83</v>
      </c>
      <c r="L484" s="16">
        <v>26190.46</v>
      </c>
      <c r="M484" s="31"/>
      <c r="N484" s="31"/>
      <c r="O484" s="31"/>
      <c r="P484" s="31"/>
      <c r="Q484" s="31"/>
      <c r="R484" s="32"/>
      <c r="S484" s="33"/>
      <c r="V484" s="48"/>
      <c r="W484" s="48"/>
      <c r="X484" s="49"/>
      <c r="Y484" s="49"/>
      <c r="Z484" s="50"/>
      <c r="AA484" s="50"/>
    </row>
    <row r="485" spans="1:27" ht="16.5" customHeight="1" thickBot="1" x14ac:dyDescent="0.35">
      <c r="A485" s="96"/>
      <c r="B485" s="96"/>
      <c r="C485" s="34" t="s">
        <v>129</v>
      </c>
      <c r="D485" s="35">
        <f t="shared" ref="D485:L485" si="157">IF(((D483="")*AND(D484="")),"",(D483-D484)*3)</f>
        <v>9054.1500000000087</v>
      </c>
      <c r="E485" s="35">
        <f t="shared" si="157"/>
        <v>9607.9200000000092</v>
      </c>
      <c r="F485" s="35">
        <f t="shared" si="157"/>
        <v>9575.1899999999987</v>
      </c>
      <c r="G485" s="35">
        <f t="shared" si="157"/>
        <v>9862.7399999999943</v>
      </c>
      <c r="H485" s="35">
        <f t="shared" si="157"/>
        <v>9759.9899999999943</v>
      </c>
      <c r="I485" s="35">
        <f t="shared" si="157"/>
        <v>9859.5900000000074</v>
      </c>
      <c r="J485" s="35">
        <f t="shared" si="157"/>
        <v>9844.6499999999978</v>
      </c>
      <c r="K485" s="35">
        <f t="shared" si="157"/>
        <v>9683.0099999999948</v>
      </c>
      <c r="L485" s="35">
        <f t="shared" si="157"/>
        <v>9595.2000000000044</v>
      </c>
      <c r="M485" s="36"/>
      <c r="N485" s="36"/>
      <c r="O485" s="36"/>
      <c r="P485" s="36"/>
      <c r="Q485" s="36"/>
      <c r="R485" s="37"/>
      <c r="S485" s="38"/>
      <c r="T485" s="57"/>
      <c r="U485" s="52"/>
      <c r="V485" s="51"/>
      <c r="W485" s="51"/>
      <c r="X485" s="52"/>
      <c r="Y485" s="52"/>
      <c r="Z485" s="53"/>
      <c r="AA485" s="53"/>
    </row>
    <row r="486" spans="1:27" x14ac:dyDescent="0.3">
      <c r="A486" s="97">
        <v>43225</v>
      </c>
      <c r="B486" s="117" t="s">
        <v>431</v>
      </c>
      <c r="C486" s="26" t="s">
        <v>126</v>
      </c>
      <c r="D486" s="16">
        <v>29366.81</v>
      </c>
      <c r="E486" s="16">
        <v>29154.13</v>
      </c>
      <c r="F486" s="16">
        <v>29217.02</v>
      </c>
      <c r="G486" s="16">
        <v>29139.97</v>
      </c>
      <c r="H486" s="16">
        <v>29323.9</v>
      </c>
      <c r="I486" s="16">
        <v>29340.84</v>
      </c>
      <c r="J486" s="16">
        <v>29131.23</v>
      </c>
      <c r="K486" s="16">
        <v>29130.71</v>
      </c>
      <c r="L486" s="16">
        <v>29335.37</v>
      </c>
      <c r="M486" s="27">
        <f>IF((L487=""),"",MAX(D488:L488))</f>
        <v>9082.320000000007</v>
      </c>
      <c r="N486" s="27">
        <f>IF(L487="","",MIN(D488:L488))</f>
        <v>7945.5600000000013</v>
      </c>
      <c r="O486" s="27">
        <f>IF((L488=""),"",AVERAGE(D488:L488))</f>
        <v>8703.0166666666682</v>
      </c>
      <c r="P486" s="27">
        <f>IF((L487=""),"",STDEV(D488:L488))</f>
        <v>361.48013942677449</v>
      </c>
      <c r="Q486" s="27">
        <f>IF((L487=""),"",P486/O486*100)</f>
        <v>4.1535039317030806</v>
      </c>
      <c r="R486" s="28" t="str">
        <f>IF(L487="","",IF(Q486&lt;Z486,IF(N486&gt;V486,IF(M486&lt;W486,"Pass","Fail"),"Fail"),"Fail"))</f>
        <v>Fail</v>
      </c>
      <c r="S486" s="29">
        <v>1519</v>
      </c>
      <c r="T486" s="55"/>
      <c r="U486" s="40"/>
      <c r="V486" s="54">
        <v>9000</v>
      </c>
      <c r="W486" s="22">
        <v>15600</v>
      </c>
      <c r="X486" s="40">
        <v>8090</v>
      </c>
      <c r="Y486" s="40">
        <v>12070</v>
      </c>
      <c r="Z486" s="47">
        <v>6</v>
      </c>
      <c r="AA486" s="47">
        <v>6</v>
      </c>
    </row>
    <row r="487" spans="1:27" ht="15.75" customHeight="1" x14ac:dyDescent="0.3">
      <c r="A487" s="96"/>
      <c r="B487" s="96"/>
      <c r="C487" s="30" t="s">
        <v>128</v>
      </c>
      <c r="D487" s="16">
        <v>26536.17</v>
      </c>
      <c r="E487" s="16">
        <v>26275.79</v>
      </c>
      <c r="F487" s="16">
        <v>26322.05</v>
      </c>
      <c r="G487" s="16">
        <v>26112.53</v>
      </c>
      <c r="H487" s="16">
        <v>26307.62</v>
      </c>
      <c r="I487" s="16">
        <v>26692.32</v>
      </c>
      <c r="J487" s="16">
        <v>26286.27</v>
      </c>
      <c r="K487" s="16">
        <v>26127.73</v>
      </c>
      <c r="L487" s="16">
        <v>26370.45</v>
      </c>
      <c r="M487" s="31"/>
      <c r="N487" s="31"/>
      <c r="O487" s="31"/>
      <c r="P487" s="31"/>
      <c r="Q487" s="31"/>
      <c r="R487" s="32"/>
      <c r="S487" s="33"/>
      <c r="T487" s="56"/>
      <c r="V487" s="48"/>
      <c r="W487" s="48"/>
      <c r="X487" s="49"/>
      <c r="Y487" s="49"/>
      <c r="Z487" s="50"/>
      <c r="AA487" s="50"/>
    </row>
    <row r="488" spans="1:27" ht="16.5" customHeight="1" thickBot="1" x14ac:dyDescent="0.35">
      <c r="A488" s="96"/>
      <c r="B488" s="96"/>
      <c r="C488" s="34" t="s">
        <v>129</v>
      </c>
      <c r="D488" s="35">
        <f t="shared" ref="D488:L488" si="158">IF(((D486="")*AND(D487="")),"",(D486-D487)*3)</f>
        <v>8491.9200000000092</v>
      </c>
      <c r="E488" s="35">
        <f t="shared" si="158"/>
        <v>8635.02</v>
      </c>
      <c r="F488" s="35">
        <f t="shared" si="158"/>
        <v>8684.9100000000035</v>
      </c>
      <c r="G488" s="35">
        <f t="shared" si="158"/>
        <v>9082.320000000007</v>
      </c>
      <c r="H488" s="35">
        <f t="shared" si="158"/>
        <v>9048.8400000000074</v>
      </c>
      <c r="I488" s="35">
        <f t="shared" si="158"/>
        <v>7945.5600000000013</v>
      </c>
      <c r="J488" s="35">
        <f t="shared" si="158"/>
        <v>8534.8799999999974</v>
      </c>
      <c r="K488" s="35">
        <f t="shared" si="158"/>
        <v>9008.9399999999987</v>
      </c>
      <c r="L488" s="35">
        <f t="shared" si="158"/>
        <v>8894.7599999999948</v>
      </c>
      <c r="M488" s="36"/>
      <c r="N488" s="36"/>
      <c r="O488" s="36"/>
      <c r="P488" s="36"/>
      <c r="Q488" s="36"/>
      <c r="R488" s="37"/>
      <c r="S488" s="38"/>
      <c r="T488" s="57"/>
      <c r="U488" s="52"/>
      <c r="V488" s="51"/>
      <c r="W488" s="51"/>
      <c r="X488" s="52"/>
      <c r="Y488" s="52"/>
      <c r="Z488" s="53"/>
      <c r="AA488" s="53"/>
    </row>
    <row r="489" spans="1:27" x14ac:dyDescent="0.3">
      <c r="A489" s="97">
        <v>43225</v>
      </c>
      <c r="B489" s="117" t="s">
        <v>431</v>
      </c>
      <c r="C489" s="26" t="s">
        <v>126</v>
      </c>
      <c r="D489" s="16">
        <v>29340.21</v>
      </c>
      <c r="E489" s="16">
        <v>29165.81</v>
      </c>
      <c r="F489" s="16">
        <v>29168.21</v>
      </c>
      <c r="G489" s="16">
        <v>29166.98</v>
      </c>
      <c r="H489" s="16">
        <v>29383.22</v>
      </c>
      <c r="I489" s="16">
        <v>29352.7</v>
      </c>
      <c r="J489" s="16">
        <v>29161.08</v>
      </c>
      <c r="K489" s="16">
        <v>29152.84</v>
      </c>
      <c r="L489" s="16">
        <v>29385.08</v>
      </c>
      <c r="M489" s="27">
        <f>IF((L490=""),"",MAX(D491:L491))</f>
        <v>9192.1800000000039</v>
      </c>
      <c r="N489" s="27">
        <f>IF(L490="","",MIN(D491:L491))</f>
        <v>7996.6499999999978</v>
      </c>
      <c r="O489" s="27">
        <f>IF((L491=""),"",AVERAGE(D491:L491))</f>
        <v>8870.760000000002</v>
      </c>
      <c r="P489" s="27">
        <f>IF((L490=""),"",STDEV(D491:L491))</f>
        <v>368.42710344110287</v>
      </c>
      <c r="Q489" s="27">
        <f>IF((L490=""),"",P489/O489*100)</f>
        <v>4.1532755191336799</v>
      </c>
      <c r="R489" s="28" t="str">
        <f>IF(L490="","",IF(Q489&lt;Z489,IF(N489&gt;V489,IF(M489&lt;W489,"Pass","Fail"),"Fail"),"Fail"))</f>
        <v>Fail</v>
      </c>
      <c r="S489" s="29">
        <v>1519</v>
      </c>
      <c r="T489" s="55"/>
      <c r="U489" s="40"/>
      <c r="V489" s="54">
        <v>9000</v>
      </c>
      <c r="W489" s="22">
        <v>15600</v>
      </c>
      <c r="X489" s="40">
        <v>8090</v>
      </c>
      <c r="Y489" s="40">
        <v>12070</v>
      </c>
      <c r="Z489" s="47">
        <v>6</v>
      </c>
      <c r="AA489" s="47">
        <v>6</v>
      </c>
    </row>
    <row r="490" spans="1:27" ht="15.75" customHeight="1" x14ac:dyDescent="0.3">
      <c r="A490" s="96"/>
      <c r="B490" s="96"/>
      <c r="C490" s="30" t="s">
        <v>128</v>
      </c>
      <c r="D490" s="16">
        <v>26388.82</v>
      </c>
      <c r="E490" s="16">
        <v>26205.34</v>
      </c>
      <c r="F490" s="16">
        <v>26219.46</v>
      </c>
      <c r="G490" s="16">
        <v>26102.92</v>
      </c>
      <c r="H490" s="16">
        <v>26352.87</v>
      </c>
      <c r="I490" s="16">
        <v>26687.15</v>
      </c>
      <c r="J490" s="16">
        <v>26258.07</v>
      </c>
      <c r="K490" s="16">
        <v>26091.39</v>
      </c>
      <c r="L490" s="16">
        <v>26357.83</v>
      </c>
      <c r="M490" s="31"/>
      <c r="N490" s="31"/>
      <c r="O490" s="31"/>
      <c r="P490" s="31"/>
      <c r="Q490" s="31"/>
      <c r="R490" s="32"/>
      <c r="S490" s="33"/>
      <c r="T490" s="56"/>
      <c r="V490" s="48"/>
      <c r="W490" s="48"/>
      <c r="X490" s="49"/>
      <c r="Y490" s="49"/>
      <c r="Z490" s="50"/>
      <c r="AA490" s="50"/>
    </row>
    <row r="491" spans="1:27" ht="16.5" customHeight="1" thickBot="1" x14ac:dyDescent="0.35">
      <c r="A491" s="96"/>
      <c r="B491" s="96"/>
      <c r="C491" s="34" t="s">
        <v>129</v>
      </c>
      <c r="D491" s="35">
        <f t="shared" ref="D491:L491" si="159">IF(((D489="")*AND(D490="")),"",(D489-D490)*3)</f>
        <v>8854.1699999999983</v>
      </c>
      <c r="E491" s="35">
        <f t="shared" si="159"/>
        <v>8881.4100000000035</v>
      </c>
      <c r="F491" s="35">
        <f t="shared" si="159"/>
        <v>8846.25</v>
      </c>
      <c r="G491" s="35">
        <f t="shared" si="159"/>
        <v>9192.1800000000039</v>
      </c>
      <c r="H491" s="35">
        <f t="shared" si="159"/>
        <v>9091.0500000000065</v>
      </c>
      <c r="I491" s="35">
        <f t="shared" si="159"/>
        <v>7996.6499999999978</v>
      </c>
      <c r="J491" s="35">
        <f t="shared" si="159"/>
        <v>8709.0300000000061</v>
      </c>
      <c r="K491" s="35">
        <f t="shared" si="159"/>
        <v>9184.3500000000022</v>
      </c>
      <c r="L491" s="35">
        <f t="shared" si="159"/>
        <v>9081.75</v>
      </c>
      <c r="M491" s="36"/>
      <c r="N491" s="36"/>
      <c r="O491" s="36"/>
      <c r="P491" s="36"/>
      <c r="Q491" s="36"/>
      <c r="R491" s="37"/>
      <c r="S491" s="38"/>
      <c r="T491" s="57"/>
      <c r="U491" s="52"/>
      <c r="V491" s="51"/>
      <c r="W491" s="51"/>
      <c r="X491" s="52"/>
      <c r="Y491" s="52"/>
      <c r="Z491" s="53"/>
      <c r="AA491" s="53"/>
    </row>
    <row r="492" spans="1:27" x14ac:dyDescent="0.3">
      <c r="A492" s="97">
        <v>43227</v>
      </c>
      <c r="B492" s="117" t="s">
        <v>431</v>
      </c>
      <c r="C492" s="26" t="s">
        <v>126</v>
      </c>
      <c r="D492" s="16">
        <v>29351.08</v>
      </c>
      <c r="E492" s="16">
        <v>29183.18</v>
      </c>
      <c r="F492" s="16">
        <v>29171.8</v>
      </c>
      <c r="G492" s="16">
        <v>29162.45</v>
      </c>
      <c r="H492" s="16">
        <v>29391.11</v>
      </c>
      <c r="I492" s="16">
        <v>29350.01</v>
      </c>
      <c r="J492" s="16">
        <v>29179.97</v>
      </c>
      <c r="K492" s="16">
        <v>29152.93</v>
      </c>
      <c r="L492" s="16">
        <v>29380.74</v>
      </c>
      <c r="M492" s="27">
        <f>IF((L493=""),"",MAX(D494:L494))</f>
        <v>10091.159999999993</v>
      </c>
      <c r="N492" s="27">
        <f>IF(L493="","",MIN(D494:L494))</f>
        <v>8469.3900000000031</v>
      </c>
      <c r="O492" s="27">
        <f>IF((L494=""),"",AVERAGE(D494:L494))</f>
        <v>9446.8066666666637</v>
      </c>
      <c r="P492" s="27">
        <f>IF((L493=""),"",STDEV(D494:L494))</f>
        <v>508.29952931317877</v>
      </c>
      <c r="Q492" s="27">
        <f>IF((L493=""),"",P492/O492*100)</f>
        <v>5.3806492209343997</v>
      </c>
      <c r="R492" s="28" t="str">
        <f>IF(L493="","",IF(Q492&lt;Z492,IF(N492&gt;V492,IF(M492&lt;W492,"Pass","Fail"),"Fail"),"Fail"))</f>
        <v>Fail</v>
      </c>
      <c r="S492" s="29">
        <v>1519</v>
      </c>
      <c r="U492" s="55" t="s">
        <v>222</v>
      </c>
      <c r="V492" s="54">
        <v>9000</v>
      </c>
      <c r="W492" s="22">
        <v>15600</v>
      </c>
      <c r="X492" s="40">
        <v>8090</v>
      </c>
      <c r="Y492" s="40">
        <v>12070</v>
      </c>
      <c r="Z492" s="47">
        <v>6</v>
      </c>
      <c r="AA492" s="47">
        <v>6</v>
      </c>
    </row>
    <row r="493" spans="1:27" ht="15.75" customHeight="1" x14ac:dyDescent="0.3">
      <c r="A493" s="96"/>
      <c r="B493" s="96"/>
      <c r="C493" s="30" t="s">
        <v>128</v>
      </c>
      <c r="D493" s="16">
        <v>26527.95</v>
      </c>
      <c r="E493" s="16">
        <v>26072.11</v>
      </c>
      <c r="F493" s="16">
        <v>26028.04</v>
      </c>
      <c r="G493" s="16">
        <v>25897.09</v>
      </c>
      <c r="H493" s="16">
        <v>26164.29</v>
      </c>
      <c r="I493" s="16">
        <v>25986.29</v>
      </c>
      <c r="J493" s="16">
        <v>25862.71</v>
      </c>
      <c r="K493" s="16">
        <v>26052.54</v>
      </c>
      <c r="L493" s="16">
        <v>26391.83</v>
      </c>
      <c r="M493" s="31"/>
      <c r="N493" s="31"/>
      <c r="O493" s="31"/>
      <c r="P493" s="31"/>
      <c r="Q493" s="31"/>
      <c r="R493" s="32"/>
      <c r="S493" s="33"/>
      <c r="T493" s="56"/>
      <c r="V493" s="48"/>
      <c r="W493" s="48"/>
      <c r="X493" s="49"/>
      <c r="Y493" s="49"/>
      <c r="Z493" s="50"/>
      <c r="AA493" s="50"/>
    </row>
    <row r="494" spans="1:27" ht="16.5" customHeight="1" thickBot="1" x14ac:dyDescent="0.35">
      <c r="A494" s="96"/>
      <c r="B494" s="96"/>
      <c r="C494" s="34" t="s">
        <v>129</v>
      </c>
      <c r="D494" s="35">
        <f t="shared" ref="D494:L494" si="160">IF(((D492="")*AND(D493="")),"",(D492-D493)*3)</f>
        <v>8469.3900000000031</v>
      </c>
      <c r="E494" s="35">
        <f t="shared" si="160"/>
        <v>9333.2099999999991</v>
      </c>
      <c r="F494" s="35">
        <f t="shared" si="160"/>
        <v>9431.2799999999952</v>
      </c>
      <c r="G494" s="35">
        <f t="shared" si="160"/>
        <v>9796.0800000000017</v>
      </c>
      <c r="H494" s="35">
        <f t="shared" si="160"/>
        <v>9680.4599999999991</v>
      </c>
      <c r="I494" s="35">
        <f t="shared" si="160"/>
        <v>10091.159999999993</v>
      </c>
      <c r="J494" s="35">
        <f t="shared" si="160"/>
        <v>9951.7800000000061</v>
      </c>
      <c r="K494" s="35">
        <f t="shared" si="160"/>
        <v>9301.1699999999983</v>
      </c>
      <c r="L494" s="35">
        <f t="shared" si="160"/>
        <v>8966.73</v>
      </c>
      <c r="M494" s="36"/>
      <c r="N494" s="36"/>
      <c r="O494" s="36"/>
      <c r="P494" s="36"/>
      <c r="Q494" s="36"/>
      <c r="R494" s="37"/>
      <c r="S494" s="38"/>
      <c r="T494" s="57"/>
      <c r="U494" s="52"/>
      <c r="V494" s="51"/>
      <c r="W494" s="51"/>
      <c r="X494" s="52"/>
      <c r="Y494" s="52"/>
      <c r="Z494" s="53"/>
      <c r="AA494" s="53"/>
    </row>
    <row r="495" spans="1:27" x14ac:dyDescent="0.3">
      <c r="A495" s="97">
        <v>43227</v>
      </c>
      <c r="B495" s="117" t="s">
        <v>431</v>
      </c>
      <c r="C495" s="26" t="s">
        <v>126</v>
      </c>
      <c r="D495" s="16">
        <v>29303.43</v>
      </c>
      <c r="E495" s="16">
        <v>29164.63</v>
      </c>
      <c r="F495" s="16">
        <v>29227.95</v>
      </c>
      <c r="G495" s="16">
        <v>29168.71</v>
      </c>
      <c r="H495" s="16">
        <v>29369.59</v>
      </c>
      <c r="I495" s="16">
        <v>29358.37</v>
      </c>
      <c r="J495" s="16">
        <v>29163.53</v>
      </c>
      <c r="K495" s="16">
        <v>29153.39</v>
      </c>
      <c r="L495" s="16">
        <v>29341.51</v>
      </c>
      <c r="M495" s="27">
        <f>IF((L496=""),"",MAX(D497:L497))</f>
        <v>10622.100000000002</v>
      </c>
      <c r="N495" s="27">
        <f>IF(L496="","",MIN(D497:L497))</f>
        <v>9194.1600000000035</v>
      </c>
      <c r="O495" s="27">
        <f>IF((L497=""),"",AVERAGE(D497:L497))</f>
        <v>10092.060000000001</v>
      </c>
      <c r="P495" s="27">
        <f>IF((L496=""),"",STDEV(D497:L497))</f>
        <v>441.81943537490434</v>
      </c>
      <c r="Q495" s="27">
        <f>IF((L496=""),"",P495/O495*100)</f>
        <v>4.3778914847405215</v>
      </c>
      <c r="R495" s="28" t="str">
        <f>IF(L496="","",IF(Q495&lt;Z495,IF(N495&gt;V495,IF(M495&lt;W495,"Pass","Fail"),"Fail"),"Fail"))</f>
        <v>Pass</v>
      </c>
      <c r="S495" s="29">
        <v>102</v>
      </c>
      <c r="T495" s="55"/>
      <c r="U495" s="40"/>
      <c r="V495" s="54">
        <v>9000</v>
      </c>
      <c r="W495" s="22">
        <v>15600</v>
      </c>
      <c r="X495" s="40">
        <v>8090</v>
      </c>
      <c r="Y495" s="40">
        <v>12070</v>
      </c>
      <c r="Z495" s="47">
        <v>6</v>
      </c>
      <c r="AA495" s="47">
        <v>6</v>
      </c>
    </row>
    <row r="496" spans="1:27" ht="15.75" customHeight="1" x14ac:dyDescent="0.3">
      <c r="A496" s="96"/>
      <c r="B496" s="96"/>
      <c r="C496" s="30" t="s">
        <v>128</v>
      </c>
      <c r="D496" s="16">
        <v>26238.71</v>
      </c>
      <c r="E496" s="16">
        <v>25799.48</v>
      </c>
      <c r="F496" s="16">
        <v>25833.68</v>
      </c>
      <c r="G496" s="16">
        <v>25710.36</v>
      </c>
      <c r="H496" s="16">
        <v>26015.35</v>
      </c>
      <c r="I496" s="16">
        <v>25817.67</v>
      </c>
      <c r="J496" s="16">
        <v>25645.54</v>
      </c>
      <c r="K496" s="16">
        <v>25798.76</v>
      </c>
      <c r="L496" s="16">
        <v>26115.38</v>
      </c>
      <c r="M496" s="31"/>
      <c r="N496" s="31"/>
      <c r="O496" s="31"/>
      <c r="P496" s="31"/>
      <c r="Q496" s="31"/>
      <c r="R496" s="32"/>
      <c r="S496" s="33"/>
      <c r="T496" s="56"/>
      <c r="V496" s="48"/>
      <c r="W496" s="48"/>
      <c r="X496" s="49"/>
      <c r="Y496" s="49"/>
      <c r="Z496" s="50"/>
      <c r="AA496" s="50"/>
    </row>
    <row r="497" spans="1:27" ht="16.5" customHeight="1" thickBot="1" x14ac:dyDescent="0.35">
      <c r="A497" s="96"/>
      <c r="B497" s="96"/>
      <c r="C497" s="34" t="s">
        <v>129</v>
      </c>
      <c r="D497" s="35">
        <f t="shared" ref="D497:L497" si="161">IF(((D495="")*AND(D496="")),"",(D495-D496)*3)</f>
        <v>9194.1600000000035</v>
      </c>
      <c r="E497" s="35">
        <f t="shared" si="161"/>
        <v>10095.450000000004</v>
      </c>
      <c r="F497" s="35">
        <f t="shared" si="161"/>
        <v>10182.810000000001</v>
      </c>
      <c r="G497" s="35">
        <f t="shared" si="161"/>
        <v>10375.049999999996</v>
      </c>
      <c r="H497" s="35">
        <f t="shared" si="161"/>
        <v>10062.720000000005</v>
      </c>
      <c r="I497" s="35">
        <f t="shared" si="161"/>
        <v>10622.100000000002</v>
      </c>
      <c r="J497" s="35">
        <f t="shared" si="161"/>
        <v>10553.969999999994</v>
      </c>
      <c r="K497" s="35">
        <f t="shared" si="161"/>
        <v>10063.890000000003</v>
      </c>
      <c r="L497" s="35">
        <f t="shared" si="161"/>
        <v>9678.3899999999921</v>
      </c>
      <c r="M497" s="36"/>
      <c r="N497" s="36"/>
      <c r="O497" s="36"/>
      <c r="P497" s="36"/>
      <c r="Q497" s="36"/>
      <c r="R497" s="37"/>
      <c r="S497" s="38"/>
      <c r="T497" s="57"/>
      <c r="U497" s="52"/>
      <c r="V497" s="51"/>
      <c r="W497" s="51"/>
      <c r="X497" s="52"/>
      <c r="Y497" s="52"/>
      <c r="Z497" s="53"/>
      <c r="AA497" s="53"/>
    </row>
    <row r="498" spans="1:27" x14ac:dyDescent="0.3">
      <c r="A498" s="97">
        <v>43234</v>
      </c>
      <c r="B498" s="117" t="s">
        <v>431</v>
      </c>
      <c r="C498" s="26" t="s">
        <v>126</v>
      </c>
      <c r="D498" s="16">
        <v>29080.59</v>
      </c>
      <c r="E498" s="16">
        <v>29084.63</v>
      </c>
      <c r="F498" s="16">
        <v>29073.48</v>
      </c>
      <c r="G498" s="16">
        <v>29080.59</v>
      </c>
      <c r="H498" s="16">
        <v>29301.21</v>
      </c>
      <c r="I498" s="16">
        <v>29267.1</v>
      </c>
      <c r="J498" s="16">
        <v>29084.560000000001</v>
      </c>
      <c r="K498" s="16">
        <v>29081.15</v>
      </c>
      <c r="L498" s="16">
        <v>29279.42</v>
      </c>
      <c r="M498" s="27">
        <f>IF((L499=""),"",MAX(D500:L500))</f>
        <v>9562.3499999999913</v>
      </c>
      <c r="N498" s="27">
        <f>IF(L499="","",MIN(D500:L500))</f>
        <v>8716.77</v>
      </c>
      <c r="O498" s="27">
        <f>IF((L500=""),"",AVERAGE(D500:L500))</f>
        <v>9202.65333333333</v>
      </c>
      <c r="P498" s="27">
        <f>IF((L499=""),"",STDEV(D500:L500))</f>
        <v>263.12928234044779</v>
      </c>
      <c r="Q498" s="27">
        <f>IF((L499=""),"",P498/O498*100)</f>
        <v>2.8592762631550599</v>
      </c>
      <c r="R498" s="28" t="str">
        <f>IF(L499="","",IF(Q498&lt;Z498,IF(N498&gt;V498,IF(M498&lt;W498,"Pass","Fail"),"Fail"),"Fail"))</f>
        <v>Fail</v>
      </c>
      <c r="S498" s="29">
        <v>1335</v>
      </c>
      <c r="T498" s="55"/>
      <c r="U498" s="40"/>
      <c r="V498" s="54">
        <v>9000</v>
      </c>
      <c r="W498" s="22">
        <v>15600</v>
      </c>
      <c r="X498" s="40">
        <v>8090</v>
      </c>
      <c r="Y498" s="40">
        <v>12070</v>
      </c>
      <c r="Z498" s="47">
        <v>6</v>
      </c>
      <c r="AA498" s="47">
        <v>6</v>
      </c>
    </row>
    <row r="499" spans="1:27" ht="15.75" customHeight="1" x14ac:dyDescent="0.3">
      <c r="A499" s="96"/>
      <c r="B499" s="96"/>
      <c r="C499" s="30" t="s">
        <v>128</v>
      </c>
      <c r="D499" s="16">
        <v>26047.24</v>
      </c>
      <c r="E499" s="16">
        <v>26047.24</v>
      </c>
      <c r="F499" s="16">
        <v>26001.19</v>
      </c>
      <c r="G499" s="16">
        <v>25906.95</v>
      </c>
      <c r="H499" s="16">
        <v>26178.97</v>
      </c>
      <c r="I499" s="16">
        <v>26079.65</v>
      </c>
      <c r="J499" s="16">
        <v>26178.97</v>
      </c>
      <c r="K499" s="16">
        <v>26005.439999999999</v>
      </c>
      <c r="L499" s="16">
        <v>26279.119999999999</v>
      </c>
      <c r="M499" s="31"/>
      <c r="N499" s="31"/>
      <c r="O499" s="31"/>
      <c r="P499" s="31"/>
      <c r="Q499" s="31"/>
      <c r="R499" s="32"/>
      <c r="S499" s="33"/>
      <c r="T499" s="56"/>
      <c r="V499" s="48"/>
      <c r="W499" s="48"/>
      <c r="X499" s="49"/>
      <c r="Y499" s="49"/>
      <c r="Z499" s="50"/>
      <c r="AA499" s="50"/>
    </row>
    <row r="500" spans="1:27" ht="16.5" customHeight="1" thickBot="1" x14ac:dyDescent="0.35">
      <c r="A500" s="96"/>
      <c r="B500" s="96"/>
      <c r="C500" s="34" t="s">
        <v>129</v>
      </c>
      <c r="D500" s="35">
        <f t="shared" ref="D500:L500" si="162">IF(((D498="")*AND(D499="")),"",(D498-D499)*3)</f>
        <v>9100.0499999999956</v>
      </c>
      <c r="E500" s="35">
        <f t="shared" si="162"/>
        <v>9112.1699999999983</v>
      </c>
      <c r="F500" s="35">
        <f t="shared" si="162"/>
        <v>9216.8700000000026</v>
      </c>
      <c r="G500" s="35">
        <f t="shared" si="162"/>
        <v>9520.9199999999983</v>
      </c>
      <c r="H500" s="35">
        <f t="shared" si="162"/>
        <v>9366.7199999999939</v>
      </c>
      <c r="I500" s="35">
        <f t="shared" si="162"/>
        <v>9562.3499999999913</v>
      </c>
      <c r="J500" s="35">
        <f t="shared" si="162"/>
        <v>8716.77</v>
      </c>
      <c r="K500" s="35">
        <f t="shared" si="162"/>
        <v>9227.1300000000083</v>
      </c>
      <c r="L500" s="35">
        <f t="shared" si="162"/>
        <v>9000.8999999999978</v>
      </c>
      <c r="M500" s="36"/>
      <c r="N500" s="36"/>
      <c r="O500" s="36"/>
      <c r="P500" s="36"/>
      <c r="Q500" s="36"/>
      <c r="R500" s="37"/>
      <c r="S500" s="38"/>
      <c r="T500" s="57"/>
      <c r="U500" s="52"/>
      <c r="V500" s="51"/>
      <c r="W500" s="51"/>
      <c r="X500" s="52"/>
      <c r="Y500" s="52"/>
      <c r="Z500" s="53"/>
      <c r="AA500" s="53"/>
    </row>
    <row r="501" spans="1:27" x14ac:dyDescent="0.3">
      <c r="A501" s="97">
        <v>43234</v>
      </c>
      <c r="B501" s="117" t="s">
        <v>431</v>
      </c>
      <c r="C501" s="26" t="s">
        <v>126</v>
      </c>
      <c r="D501" s="16">
        <v>29315.78</v>
      </c>
      <c r="E501" s="16">
        <v>29120.54</v>
      </c>
      <c r="F501" s="16">
        <v>29171.96</v>
      </c>
      <c r="G501" s="16">
        <v>29107.13</v>
      </c>
      <c r="H501" s="16">
        <v>29279.86</v>
      </c>
      <c r="I501" s="16">
        <v>29249.03</v>
      </c>
      <c r="J501" s="16">
        <v>29103.83</v>
      </c>
      <c r="K501" s="16">
        <v>29114.7</v>
      </c>
      <c r="L501" s="16">
        <v>29320.83</v>
      </c>
      <c r="M501" s="27">
        <f>IF((L502=""),"",MAX(D503:L503))</f>
        <v>11336.46</v>
      </c>
      <c r="N501" s="27">
        <f>IF(L502="","",MIN(D503:L503))</f>
        <v>10323.299999999996</v>
      </c>
      <c r="O501" s="27">
        <f>IF((L503=""),"",AVERAGE(D503:L503))</f>
        <v>10923.933333333334</v>
      </c>
      <c r="P501" s="27">
        <f>IF((L502=""),"",STDEV(D503:L503))</f>
        <v>312.02975138598742</v>
      </c>
      <c r="Q501" s="27">
        <f>IF((L502=""),"",P501/O501*100)</f>
        <v>2.8563864485867794</v>
      </c>
      <c r="R501" s="28" t="str">
        <f>IF(L502="","",IF(Q501&lt;Z501,IF(N501&gt;V501,IF(M501&lt;W501,"Pass","Fail"),"Fail"),"Fail"))</f>
        <v>Pass</v>
      </c>
      <c r="S501" s="29">
        <v>1335</v>
      </c>
      <c r="T501" s="55" t="s">
        <v>223</v>
      </c>
      <c r="U501" s="40"/>
      <c r="V501" s="54">
        <v>9000</v>
      </c>
      <c r="W501" s="22">
        <v>15600</v>
      </c>
      <c r="X501" s="40">
        <v>8090</v>
      </c>
      <c r="Y501" s="40">
        <v>12070</v>
      </c>
      <c r="Z501" s="47">
        <v>6</v>
      </c>
      <c r="AA501" s="47">
        <v>6</v>
      </c>
    </row>
    <row r="502" spans="1:27" ht="15.75" customHeight="1" x14ac:dyDescent="0.3">
      <c r="A502" s="96"/>
      <c r="B502" s="96"/>
      <c r="C502" s="30" t="s">
        <v>128</v>
      </c>
      <c r="D502" s="16">
        <v>25536.959999999999</v>
      </c>
      <c r="E502" s="16">
        <v>25400.29</v>
      </c>
      <c r="F502" s="16">
        <v>25525.37</v>
      </c>
      <c r="G502" s="16">
        <v>25464.97</v>
      </c>
      <c r="H502" s="16">
        <v>25756.04</v>
      </c>
      <c r="I502" s="16">
        <v>25807.93</v>
      </c>
      <c r="J502" s="16">
        <v>25473.040000000001</v>
      </c>
      <c r="K502" s="16">
        <v>25390.6</v>
      </c>
      <c r="L502" s="16">
        <v>25656.66</v>
      </c>
      <c r="M502" s="31"/>
      <c r="N502" s="31"/>
      <c r="O502" s="31"/>
      <c r="P502" s="31"/>
      <c r="Q502" s="31"/>
      <c r="R502" s="32"/>
      <c r="S502" s="33"/>
      <c r="T502" s="56"/>
      <c r="V502" s="48"/>
      <c r="W502" s="48"/>
      <c r="X502" s="49"/>
      <c r="Y502" s="49"/>
      <c r="Z502" s="50"/>
      <c r="AA502" s="50"/>
    </row>
    <row r="503" spans="1:27" ht="16.5" customHeight="1" thickBot="1" x14ac:dyDescent="0.35">
      <c r="A503" s="96"/>
      <c r="B503" s="96"/>
      <c r="C503" s="34" t="s">
        <v>129</v>
      </c>
      <c r="D503" s="35">
        <f t="shared" ref="D503:L503" si="163">IF(((D501="")*AND(D502="")),"",(D501-D502)*3)</f>
        <v>11336.46</v>
      </c>
      <c r="E503" s="35">
        <f t="shared" si="163"/>
        <v>11160.75</v>
      </c>
      <c r="F503" s="35">
        <f t="shared" si="163"/>
        <v>10939.77</v>
      </c>
      <c r="G503" s="35">
        <f t="shared" si="163"/>
        <v>10926.48</v>
      </c>
      <c r="H503" s="35">
        <f t="shared" si="163"/>
        <v>10571.46</v>
      </c>
      <c r="I503" s="35">
        <f t="shared" si="163"/>
        <v>10323.299999999996</v>
      </c>
      <c r="J503" s="35">
        <f t="shared" si="163"/>
        <v>10892.370000000003</v>
      </c>
      <c r="K503" s="35">
        <f t="shared" si="163"/>
        <v>11172.300000000007</v>
      </c>
      <c r="L503" s="35">
        <f t="shared" si="163"/>
        <v>10992.510000000006</v>
      </c>
      <c r="M503" s="36"/>
      <c r="N503" s="36"/>
      <c r="O503" s="36"/>
      <c r="P503" s="36"/>
      <c r="Q503" s="36"/>
      <c r="R503" s="37"/>
      <c r="S503" s="38"/>
      <c r="T503" s="57"/>
      <c r="U503" s="52"/>
      <c r="V503" s="51"/>
      <c r="W503" s="51"/>
      <c r="X503" s="52"/>
      <c r="Y503" s="52"/>
      <c r="Z503" s="53"/>
      <c r="AA503" s="53"/>
    </row>
    <row r="504" spans="1:27" x14ac:dyDescent="0.3">
      <c r="A504" s="97">
        <v>43238</v>
      </c>
      <c r="B504" s="117" t="s">
        <v>431</v>
      </c>
      <c r="C504" s="26" t="s">
        <v>126</v>
      </c>
      <c r="D504" s="16">
        <v>29277</v>
      </c>
      <c r="E504" s="16">
        <v>29068</v>
      </c>
      <c r="F504" s="16">
        <v>29121</v>
      </c>
      <c r="G504" s="16">
        <v>29055</v>
      </c>
      <c r="H504" s="16">
        <v>29298</v>
      </c>
      <c r="I504" s="16">
        <v>29223</v>
      </c>
      <c r="J504" s="16">
        <v>29055</v>
      </c>
      <c r="K504" s="16">
        <v>29050</v>
      </c>
      <c r="L504" s="16">
        <v>29268</v>
      </c>
      <c r="M504" s="27">
        <f>IF((L505=""),"",MAX(D506:L506))</f>
        <v>10650</v>
      </c>
      <c r="N504" s="27">
        <f>IF(L505="","",MIN(D506:L506))</f>
        <v>9861</v>
      </c>
      <c r="O504" s="27">
        <f>IF((L506=""),"",AVERAGE(D506:L506))</f>
        <v>10337.666666666666</v>
      </c>
      <c r="P504" s="27">
        <f>IF((L505=""),"",STDEV(D506:L506))</f>
        <v>254.29510416050087</v>
      </c>
      <c r="Q504" s="27">
        <f>IF((L505=""),"",P504/O504*100)</f>
        <v>2.4598887965740257</v>
      </c>
      <c r="R504" s="28" t="str">
        <f>IF(L505="","",IF(Q504&lt;Z504,IF(N504&gt;V504,IF(M504&lt;W504,"Pass","Fail"),"Fail"),"Fail"))</f>
        <v>Pass</v>
      </c>
      <c r="S504" s="29">
        <v>1159</v>
      </c>
      <c r="T504" s="55" t="s">
        <v>224</v>
      </c>
      <c r="U504" s="40"/>
      <c r="V504" s="54">
        <v>9000</v>
      </c>
      <c r="W504" s="22">
        <v>15600</v>
      </c>
      <c r="X504" s="40">
        <v>8090</v>
      </c>
      <c r="Y504" s="40">
        <v>12070</v>
      </c>
      <c r="Z504" s="47">
        <v>6</v>
      </c>
      <c r="AA504" s="47">
        <v>6</v>
      </c>
    </row>
    <row r="505" spans="1:27" ht="15.75" customHeight="1" x14ac:dyDescent="0.3">
      <c r="A505" s="96"/>
      <c r="B505" s="96"/>
      <c r="C505" s="30" t="s">
        <v>128</v>
      </c>
      <c r="D505" s="16">
        <v>25990</v>
      </c>
      <c r="E505" s="16">
        <v>25644</v>
      </c>
      <c r="F505" s="16">
        <v>25693</v>
      </c>
      <c r="G505" s="16">
        <v>25543</v>
      </c>
      <c r="H505" s="16">
        <v>25793</v>
      </c>
      <c r="I505" s="16">
        <v>25874</v>
      </c>
      <c r="J505" s="16">
        <v>25600</v>
      </c>
      <c r="K505" s="16">
        <v>25547</v>
      </c>
      <c r="L505" s="16">
        <v>25718</v>
      </c>
      <c r="M505" s="31"/>
      <c r="N505" s="31"/>
      <c r="O505" s="31"/>
      <c r="P505" s="31"/>
      <c r="Q505" s="31"/>
      <c r="R505" s="32"/>
      <c r="S505" s="33"/>
      <c r="T505" s="56"/>
      <c r="V505" s="48"/>
      <c r="W505" s="48"/>
      <c r="X505" s="49"/>
      <c r="Y505" s="49"/>
      <c r="Z505" s="50"/>
      <c r="AA505" s="50"/>
    </row>
    <row r="506" spans="1:27" ht="16.5" customHeight="1" thickBot="1" x14ac:dyDescent="0.35">
      <c r="A506" s="96"/>
      <c r="B506" s="96"/>
      <c r="C506" s="34" t="s">
        <v>129</v>
      </c>
      <c r="D506" s="35">
        <f t="shared" ref="D506:L506" si="164">IF(((D504="")*AND(D505="")),"",(D504-D505)*3)</f>
        <v>9861</v>
      </c>
      <c r="E506" s="35">
        <f t="shared" si="164"/>
        <v>10272</v>
      </c>
      <c r="F506" s="35">
        <f t="shared" si="164"/>
        <v>10284</v>
      </c>
      <c r="G506" s="35">
        <f t="shared" si="164"/>
        <v>10536</v>
      </c>
      <c r="H506" s="35">
        <f t="shared" si="164"/>
        <v>10515</v>
      </c>
      <c r="I506" s="35">
        <f t="shared" si="164"/>
        <v>10047</v>
      </c>
      <c r="J506" s="35">
        <f t="shared" si="164"/>
        <v>10365</v>
      </c>
      <c r="K506" s="35">
        <f t="shared" si="164"/>
        <v>10509</v>
      </c>
      <c r="L506" s="35">
        <f t="shared" si="164"/>
        <v>10650</v>
      </c>
      <c r="M506" s="36"/>
      <c r="N506" s="36"/>
      <c r="O506" s="36"/>
      <c r="P506" s="36"/>
      <c r="Q506" s="36"/>
      <c r="R506" s="37"/>
      <c r="S506" s="38"/>
      <c r="T506" s="57"/>
      <c r="U506" s="52"/>
      <c r="V506" s="51"/>
      <c r="W506" s="51"/>
      <c r="X506" s="52"/>
      <c r="Y506" s="52"/>
      <c r="Z506" s="53"/>
      <c r="AA506" s="53"/>
    </row>
    <row r="507" spans="1:27" x14ac:dyDescent="0.3">
      <c r="A507" s="97">
        <v>43243</v>
      </c>
      <c r="B507" s="117" t="s">
        <v>431</v>
      </c>
      <c r="C507" s="26" t="s">
        <v>126</v>
      </c>
      <c r="D507" s="16">
        <v>29166.86</v>
      </c>
      <c r="E507" s="16">
        <v>29013.09</v>
      </c>
      <c r="F507" s="16">
        <v>29057.119999999999</v>
      </c>
      <c r="G507" s="16">
        <v>29018.26</v>
      </c>
      <c r="H507" s="16">
        <v>29279.85</v>
      </c>
      <c r="I507" s="16">
        <v>29191.11</v>
      </c>
      <c r="J507" s="16">
        <v>29018.6</v>
      </c>
      <c r="K507" s="16">
        <v>29001.84</v>
      </c>
      <c r="L507" s="16">
        <v>29184.99</v>
      </c>
      <c r="M507" s="27">
        <f>IF((L508=""),"",MAX(D509:L509))</f>
        <v>10102.890000000003</v>
      </c>
      <c r="N507" s="27">
        <f>IF(L508="","",MIN(D509:L509))</f>
        <v>9260.5500000000065</v>
      </c>
      <c r="O507" s="27">
        <f>IF((L509=""),"",AVERAGE(D509:L509))</f>
        <v>9683.9833333333336</v>
      </c>
      <c r="P507" s="27">
        <f>IF((L508=""),"",STDEV(D509:L509))</f>
        <v>252.25409248414454</v>
      </c>
      <c r="Q507" s="27">
        <f>IF((L508=""),"",P507/O507*100)</f>
        <v>2.6048588044948229</v>
      </c>
      <c r="R507" s="28" t="str">
        <f>IF(L508="","",IF(Q507&lt;Z507,IF(N507&gt;V507,IF(M507&lt;W507,"Pass","Fail"),"Fail"),"Fail"))</f>
        <v>Pass</v>
      </c>
      <c r="S507" s="29">
        <v>1159</v>
      </c>
      <c r="T507" s="55" t="s">
        <v>225</v>
      </c>
      <c r="U507" s="40"/>
      <c r="V507" s="54">
        <v>9000</v>
      </c>
      <c r="W507" s="22">
        <v>15600</v>
      </c>
      <c r="X507" s="40">
        <v>8090</v>
      </c>
      <c r="Y507" s="40">
        <v>12070</v>
      </c>
      <c r="Z507" s="47">
        <v>6</v>
      </c>
      <c r="AA507" s="47">
        <v>6</v>
      </c>
    </row>
    <row r="508" spans="1:27" ht="15.75" customHeight="1" x14ac:dyDescent="0.3">
      <c r="A508" s="96"/>
      <c r="B508" s="96"/>
      <c r="C508" s="30" t="s">
        <v>128</v>
      </c>
      <c r="D508" s="16">
        <v>26080.01</v>
      </c>
      <c r="E508" s="16">
        <v>25814.49</v>
      </c>
      <c r="F508" s="16">
        <v>25851.040000000001</v>
      </c>
      <c r="G508" s="16">
        <v>25735.919999999998</v>
      </c>
      <c r="H508" s="16">
        <v>26058.32</v>
      </c>
      <c r="I508" s="16">
        <v>25823.48</v>
      </c>
      <c r="J508" s="16">
        <v>25699.86</v>
      </c>
      <c r="K508" s="16">
        <v>25795.7</v>
      </c>
      <c r="L508" s="16">
        <v>26020.95</v>
      </c>
      <c r="M508" s="31"/>
      <c r="N508" s="31"/>
      <c r="O508" s="31"/>
      <c r="P508" s="31"/>
      <c r="Q508" s="31"/>
      <c r="R508" s="32"/>
      <c r="S508" s="33"/>
      <c r="T508" s="56"/>
      <c r="V508" s="48"/>
      <c r="W508" s="48"/>
      <c r="X508" s="49"/>
      <c r="Y508" s="49"/>
      <c r="Z508" s="50"/>
      <c r="AA508" s="50"/>
    </row>
    <row r="509" spans="1:27" ht="16.5" customHeight="1" thickBot="1" x14ac:dyDescent="0.35">
      <c r="A509" s="96"/>
      <c r="B509" s="96"/>
      <c r="C509" s="34" t="s">
        <v>129</v>
      </c>
      <c r="D509" s="35">
        <f t="shared" ref="D509:L509" si="165">IF(((D507="")*AND(D508="")),"",(D507-D508)*3)</f>
        <v>9260.5500000000065</v>
      </c>
      <c r="E509" s="35">
        <f t="shared" si="165"/>
        <v>9595.7999999999956</v>
      </c>
      <c r="F509" s="35">
        <f t="shared" si="165"/>
        <v>9618.2399999999943</v>
      </c>
      <c r="G509" s="35">
        <f t="shared" si="165"/>
        <v>9847.02</v>
      </c>
      <c r="H509" s="35">
        <f t="shared" si="165"/>
        <v>9664.5899999999965</v>
      </c>
      <c r="I509" s="35">
        <f t="shared" si="165"/>
        <v>10102.890000000003</v>
      </c>
      <c r="J509" s="35">
        <f t="shared" si="165"/>
        <v>9956.2199999999939</v>
      </c>
      <c r="K509" s="35">
        <f t="shared" si="165"/>
        <v>9618.4199999999983</v>
      </c>
      <c r="L509" s="35">
        <f t="shared" si="165"/>
        <v>9492.1200000000026</v>
      </c>
      <c r="M509" s="36"/>
      <c r="N509" s="36"/>
      <c r="O509" s="36"/>
      <c r="P509" s="36"/>
      <c r="Q509" s="36"/>
      <c r="R509" s="37"/>
      <c r="S509" s="38"/>
      <c r="T509" s="57"/>
      <c r="U509" s="52"/>
      <c r="V509" s="51"/>
      <c r="W509" s="51"/>
      <c r="X509" s="52"/>
      <c r="Y509" s="52"/>
      <c r="Z509" s="53"/>
      <c r="AA509" s="53"/>
    </row>
    <row r="510" spans="1:27" x14ac:dyDescent="0.3">
      <c r="A510" s="97">
        <v>43247</v>
      </c>
      <c r="B510" s="117" t="s">
        <v>431</v>
      </c>
      <c r="C510" s="26" t="s">
        <v>126</v>
      </c>
      <c r="D510" s="16">
        <v>29164.21</v>
      </c>
      <c r="E510" s="16">
        <v>29018.27</v>
      </c>
      <c r="F510" s="16">
        <v>29055.98</v>
      </c>
      <c r="G510" s="16">
        <v>28985.82</v>
      </c>
      <c r="H510" s="16">
        <v>29220.06</v>
      </c>
      <c r="I510" s="16">
        <v>29142.14</v>
      </c>
      <c r="J510" s="16">
        <v>28999</v>
      </c>
      <c r="K510" s="16">
        <v>28991.62</v>
      </c>
      <c r="L510" s="16">
        <v>29221.33</v>
      </c>
      <c r="M510" s="27">
        <f>IF((L511=""),"",MAX(D512:L512))</f>
        <v>11028.450000000004</v>
      </c>
      <c r="N510" s="27">
        <f>IF(L511="","",MIN(D512:L512))</f>
        <v>9905.8500000000022</v>
      </c>
      <c r="O510" s="27">
        <f>IF((L512=""),"",AVERAGE(D512:L512))</f>
        <v>10691.463333333335</v>
      </c>
      <c r="P510" s="27">
        <f>IF((L511=""),"",STDEV(D512:L512))</f>
        <v>325.99847422955838</v>
      </c>
      <c r="Q510" s="27">
        <f>IF((L511=""),"",P510/O510*100)</f>
        <v>3.0491473810996093</v>
      </c>
      <c r="R510" s="28" t="str">
        <f>IF(L511="","",IF(Q510&lt;Z510,IF(N510&gt;V510,IF(M510&lt;W510,"Pass","Fail"),"Fail"),"Fail"))</f>
        <v>Pass</v>
      </c>
      <c r="S510" s="29">
        <v>121</v>
      </c>
      <c r="T510" s="55"/>
      <c r="U510" s="40"/>
      <c r="V510" s="54">
        <v>9000</v>
      </c>
      <c r="W510" s="22">
        <v>15600</v>
      </c>
      <c r="X510" s="40">
        <v>8090</v>
      </c>
      <c r="Y510" s="40">
        <v>12070</v>
      </c>
      <c r="Z510" s="47">
        <v>6</v>
      </c>
      <c r="AA510" s="47">
        <v>6</v>
      </c>
    </row>
    <row r="511" spans="1:27" ht="15.75" customHeight="1" x14ac:dyDescent="0.3">
      <c r="A511" s="96"/>
      <c r="B511" s="96"/>
      <c r="C511" s="30" t="s">
        <v>128</v>
      </c>
      <c r="D511" s="16">
        <v>25534.66</v>
      </c>
      <c r="E511" s="16">
        <v>25342.12</v>
      </c>
      <c r="F511" s="16">
        <v>25479.46</v>
      </c>
      <c r="G511" s="16">
        <v>25461.31</v>
      </c>
      <c r="H511" s="16">
        <v>25918.11</v>
      </c>
      <c r="I511" s="16">
        <v>25602.52</v>
      </c>
      <c r="J511" s="16">
        <v>25407.68</v>
      </c>
      <c r="K511" s="16">
        <v>25365.14</v>
      </c>
      <c r="L511" s="16">
        <v>25613.040000000001</v>
      </c>
      <c r="M511" s="31"/>
      <c r="N511" s="31"/>
      <c r="O511" s="31"/>
      <c r="P511" s="31"/>
      <c r="Q511" s="31"/>
      <c r="R511" s="32"/>
      <c r="S511" s="33"/>
      <c r="T511" s="56"/>
      <c r="V511" s="48"/>
      <c r="W511" s="48"/>
      <c r="X511" s="49"/>
      <c r="Y511" s="49"/>
      <c r="Z511" s="50"/>
      <c r="AA511" s="50"/>
    </row>
    <row r="512" spans="1:27" ht="16.5" customHeight="1" thickBot="1" x14ac:dyDescent="0.35">
      <c r="A512" s="96"/>
      <c r="B512" s="96"/>
      <c r="C512" s="34" t="s">
        <v>129</v>
      </c>
      <c r="D512" s="35">
        <f t="shared" ref="D512:L512" si="166">IF(((D510="")*AND(D511="")),"",(D510-D511)*3)</f>
        <v>10888.649999999998</v>
      </c>
      <c r="E512" s="35">
        <f t="shared" si="166"/>
        <v>11028.450000000004</v>
      </c>
      <c r="F512" s="35">
        <f t="shared" si="166"/>
        <v>10729.560000000001</v>
      </c>
      <c r="G512" s="35">
        <f t="shared" si="166"/>
        <v>10573.529999999995</v>
      </c>
      <c r="H512" s="35">
        <f t="shared" si="166"/>
        <v>9905.8500000000022</v>
      </c>
      <c r="I512" s="35">
        <f t="shared" si="166"/>
        <v>10618.859999999997</v>
      </c>
      <c r="J512" s="35">
        <f t="shared" si="166"/>
        <v>10773.96</v>
      </c>
      <c r="K512" s="35">
        <f t="shared" si="166"/>
        <v>10879.439999999999</v>
      </c>
      <c r="L512" s="35">
        <f t="shared" si="166"/>
        <v>10824.870000000003</v>
      </c>
      <c r="M512" s="36"/>
      <c r="N512" s="36"/>
      <c r="O512" s="36"/>
      <c r="P512" s="36"/>
      <c r="Q512" s="36"/>
      <c r="R512" s="37"/>
      <c r="S512" s="38"/>
      <c r="T512" s="57"/>
      <c r="U512" s="52"/>
      <c r="V512" s="51"/>
      <c r="W512" s="51"/>
      <c r="X512" s="52"/>
      <c r="Y512" s="52"/>
      <c r="Z512" s="53"/>
      <c r="AA512" s="53"/>
    </row>
    <row r="513" spans="1:27" x14ac:dyDescent="0.3">
      <c r="A513" s="97">
        <v>43252</v>
      </c>
      <c r="B513" s="117" t="s">
        <v>431</v>
      </c>
      <c r="C513" s="26" t="s">
        <v>126</v>
      </c>
      <c r="D513" s="16">
        <v>29077.51</v>
      </c>
      <c r="E513" s="16">
        <v>28888.38</v>
      </c>
      <c r="F513" s="16">
        <v>28944.13</v>
      </c>
      <c r="G513" s="16">
        <v>28902.38</v>
      </c>
      <c r="H513" s="16">
        <v>29077.97</v>
      </c>
      <c r="I513" s="16">
        <v>29071</v>
      </c>
      <c r="J513" s="16">
        <v>28881.17</v>
      </c>
      <c r="K513" s="16">
        <v>28892.43</v>
      </c>
      <c r="L513" s="16">
        <v>29101.13</v>
      </c>
      <c r="M513" s="27">
        <f>IF((L514=""),"",MAX(D515:L515))</f>
        <v>11603.310000000001</v>
      </c>
      <c r="N513" s="27">
        <f>IF(L514="","",MIN(D515:L515))</f>
        <v>10316.280000000006</v>
      </c>
      <c r="O513" s="27">
        <f>IF((L515=""),"",AVERAGE(D515:L515))</f>
        <v>11188.213333333333</v>
      </c>
      <c r="P513" s="27">
        <f>IF((L514=""),"",STDEV(D515:L515))</f>
        <v>399.33544877708937</v>
      </c>
      <c r="Q513" s="27">
        <f>IF((L514=""),"",P513/O513*100)</f>
        <v>3.5692512904391891</v>
      </c>
      <c r="R513" s="28" t="str">
        <f>IF(L514="","",IF(Q513&lt;Z513,IF(N513&gt;V513,IF(M513&lt;W513,"Pass","Fail"),"Fail"),"Fail"))</f>
        <v>Pass</v>
      </c>
      <c r="S513" s="29">
        <v>121</v>
      </c>
      <c r="T513" s="55"/>
      <c r="U513" s="40"/>
      <c r="V513" s="54">
        <v>9000</v>
      </c>
      <c r="W513" s="22">
        <v>15600</v>
      </c>
      <c r="X513" s="40">
        <v>8090</v>
      </c>
      <c r="Y513" s="40">
        <v>12070</v>
      </c>
      <c r="Z513" s="47">
        <v>6</v>
      </c>
      <c r="AA513" s="47">
        <v>6</v>
      </c>
    </row>
    <row r="514" spans="1:27" ht="15.75" customHeight="1" x14ac:dyDescent="0.3">
      <c r="A514" s="96"/>
      <c r="B514" s="96"/>
      <c r="C514" s="30" t="s">
        <v>128</v>
      </c>
      <c r="D514" s="16">
        <v>25318.91</v>
      </c>
      <c r="E514" s="16">
        <v>25020.61</v>
      </c>
      <c r="F514" s="16">
        <v>25126.77</v>
      </c>
      <c r="G514" s="16">
        <v>25224.41</v>
      </c>
      <c r="H514" s="16">
        <v>25639.21</v>
      </c>
      <c r="I514" s="16">
        <v>25296.52</v>
      </c>
      <c r="J514" s="16">
        <v>25252</v>
      </c>
      <c r="K514" s="16">
        <v>25141.03</v>
      </c>
      <c r="L514" s="16">
        <v>25252</v>
      </c>
      <c r="M514" s="31"/>
      <c r="N514" s="31"/>
      <c r="O514" s="31"/>
      <c r="P514" s="31"/>
      <c r="Q514" s="31"/>
      <c r="R514" s="32"/>
      <c r="S514" s="33"/>
      <c r="T514" s="56"/>
      <c r="V514" s="48"/>
      <c r="W514" s="48"/>
      <c r="X514" s="49"/>
      <c r="Y514" s="49"/>
      <c r="Z514" s="50"/>
      <c r="AA514" s="50"/>
    </row>
    <row r="515" spans="1:27" ht="16.5" customHeight="1" thickBot="1" x14ac:dyDescent="0.35">
      <c r="A515" s="96"/>
      <c r="B515" s="96"/>
      <c r="C515" s="34" t="s">
        <v>129</v>
      </c>
      <c r="D515" s="35">
        <f t="shared" ref="D515:L515" si="167">IF(((D513="")*AND(D514="")),"",(D513-D514)*3)</f>
        <v>11275.799999999996</v>
      </c>
      <c r="E515" s="35">
        <f t="shared" si="167"/>
        <v>11603.310000000001</v>
      </c>
      <c r="F515" s="35">
        <f t="shared" si="167"/>
        <v>11452.080000000002</v>
      </c>
      <c r="G515" s="35">
        <f t="shared" si="167"/>
        <v>11033.910000000003</v>
      </c>
      <c r="H515" s="35">
        <f t="shared" si="167"/>
        <v>10316.280000000006</v>
      </c>
      <c r="I515" s="35">
        <f t="shared" si="167"/>
        <v>11323.439999999999</v>
      </c>
      <c r="J515" s="35">
        <f t="shared" si="167"/>
        <v>10887.509999999995</v>
      </c>
      <c r="K515" s="35">
        <f t="shared" si="167"/>
        <v>11254.200000000004</v>
      </c>
      <c r="L515" s="35">
        <f t="shared" si="167"/>
        <v>11547.390000000003</v>
      </c>
      <c r="M515" s="36"/>
      <c r="N515" s="36"/>
      <c r="O515" s="36"/>
      <c r="P515" s="36"/>
      <c r="Q515" s="36"/>
      <c r="R515" s="37"/>
      <c r="S515" s="38"/>
      <c r="T515" s="57"/>
      <c r="U515" s="52"/>
      <c r="V515" s="51"/>
      <c r="W515" s="51"/>
      <c r="X515" s="52"/>
      <c r="Y515" s="52"/>
      <c r="Z515" s="53"/>
      <c r="AA515" s="53"/>
    </row>
    <row r="516" spans="1:27" x14ac:dyDescent="0.3">
      <c r="A516" s="97">
        <v>43256</v>
      </c>
      <c r="B516" s="117" t="s">
        <v>431</v>
      </c>
      <c r="C516" s="26" t="s">
        <v>126</v>
      </c>
      <c r="D516" s="16">
        <v>29091.66</v>
      </c>
      <c r="E516" s="16">
        <v>28889.68</v>
      </c>
      <c r="F516" s="16">
        <v>28922.99</v>
      </c>
      <c r="G516" s="16">
        <v>28872.03</v>
      </c>
      <c r="H516" s="16">
        <v>29054.19</v>
      </c>
      <c r="I516" s="16">
        <v>29031.93</v>
      </c>
      <c r="J516" s="16">
        <v>28867.55</v>
      </c>
      <c r="K516" s="16">
        <v>28869.72</v>
      </c>
      <c r="L516" s="16">
        <v>29088.27</v>
      </c>
      <c r="M516" s="27">
        <f>IF((L517=""),"",MAX(D518:L518))</f>
        <v>9871.5899999999965</v>
      </c>
      <c r="N516" s="27">
        <f>IF(L517="","",MIN(D518:L518))</f>
        <v>8607.48</v>
      </c>
      <c r="O516" s="27">
        <f>IF((L518=""),"",AVERAGE(D518:L518))</f>
        <v>9493.4066666666677</v>
      </c>
      <c r="P516" s="27">
        <f>IF((L517=""),"",STDEV(D518:L518))</f>
        <v>378.34502213588053</v>
      </c>
      <c r="Q516" s="27">
        <f>IF((L517=""),"",P516/O516*100)</f>
        <v>3.9853451497482864</v>
      </c>
      <c r="R516" s="28" t="str">
        <f>IF(L517="","",IF(Q516&lt;Z516,IF(N516&gt;V516,IF(M516&lt;W516,"Pass","Fail"),"Fail"),"Fail"))</f>
        <v>Fail</v>
      </c>
      <c r="S516" s="29">
        <v>1335</v>
      </c>
      <c r="T516" s="55"/>
      <c r="U516" s="40"/>
      <c r="V516" s="54">
        <v>9000</v>
      </c>
      <c r="W516" s="22">
        <v>15600</v>
      </c>
      <c r="X516" s="40">
        <v>8090</v>
      </c>
      <c r="Y516" s="40">
        <v>12070</v>
      </c>
      <c r="Z516" s="47">
        <v>6</v>
      </c>
      <c r="AA516" s="47">
        <v>6</v>
      </c>
    </row>
    <row r="517" spans="1:27" ht="15.75" customHeight="1" x14ac:dyDescent="0.3">
      <c r="A517" s="96"/>
      <c r="B517" s="96"/>
      <c r="C517" s="30" t="s">
        <v>128</v>
      </c>
      <c r="D517" s="16">
        <v>25801.13</v>
      </c>
      <c r="E517" s="16">
        <v>25607.55</v>
      </c>
      <c r="F517" s="16">
        <v>25767.15</v>
      </c>
      <c r="G517" s="16">
        <v>25763.01</v>
      </c>
      <c r="H517" s="16">
        <v>26185.03</v>
      </c>
      <c r="I517" s="16">
        <v>25882.89</v>
      </c>
      <c r="J517" s="16">
        <v>25685.37</v>
      </c>
      <c r="K517" s="16">
        <v>25639.38</v>
      </c>
      <c r="L517" s="16">
        <v>25876.29</v>
      </c>
      <c r="M517" s="31"/>
      <c r="N517" s="31"/>
      <c r="O517" s="31"/>
      <c r="P517" s="31"/>
      <c r="Q517" s="31"/>
      <c r="R517" s="32"/>
      <c r="S517" s="33"/>
      <c r="T517" s="56"/>
      <c r="V517" s="48"/>
      <c r="W517" s="48"/>
      <c r="X517" s="49"/>
      <c r="Y517" s="49"/>
      <c r="Z517" s="50"/>
      <c r="AA517" s="50"/>
    </row>
    <row r="518" spans="1:27" ht="16.5" customHeight="1" thickBot="1" x14ac:dyDescent="0.35">
      <c r="A518" s="96"/>
      <c r="B518" s="96"/>
      <c r="C518" s="34" t="s">
        <v>129</v>
      </c>
      <c r="D518" s="35">
        <f t="shared" ref="D518:L518" si="168">IF(((D516="")*AND(D517="")),"",(D516-D517)*3)</f>
        <v>9871.5899999999965</v>
      </c>
      <c r="E518" s="35">
        <f t="shared" si="168"/>
        <v>9846.3900000000031</v>
      </c>
      <c r="F518" s="35">
        <f t="shared" si="168"/>
        <v>9467.52</v>
      </c>
      <c r="G518" s="35">
        <f t="shared" si="168"/>
        <v>9327.0600000000013</v>
      </c>
      <c r="H518" s="35">
        <f t="shared" si="168"/>
        <v>8607.48</v>
      </c>
      <c r="I518" s="35">
        <f t="shared" si="168"/>
        <v>9447.1200000000026</v>
      </c>
      <c r="J518" s="35">
        <f t="shared" si="168"/>
        <v>9546.5400000000009</v>
      </c>
      <c r="K518" s="35">
        <f t="shared" si="168"/>
        <v>9691.02</v>
      </c>
      <c r="L518" s="35">
        <f t="shared" si="168"/>
        <v>9635.9399999999987</v>
      </c>
      <c r="M518" s="36"/>
      <c r="N518" s="36"/>
      <c r="O518" s="36"/>
      <c r="P518" s="36"/>
      <c r="Q518" s="36"/>
      <c r="R518" s="37"/>
      <c r="S518" s="38"/>
      <c r="T518" s="57"/>
      <c r="U518" s="52"/>
      <c r="V518" s="51"/>
      <c r="W518" s="51"/>
      <c r="X518" s="52"/>
      <c r="Y518" s="52"/>
      <c r="Z518" s="53"/>
      <c r="AA518" s="53"/>
    </row>
    <row r="519" spans="1:27" x14ac:dyDescent="0.3">
      <c r="A519" s="97">
        <v>43256</v>
      </c>
      <c r="B519" s="117" t="s">
        <v>431</v>
      </c>
      <c r="C519" s="26" t="s">
        <v>126</v>
      </c>
      <c r="D519" s="16">
        <v>29118.99</v>
      </c>
      <c r="E519" s="16">
        <v>28866.560000000001</v>
      </c>
      <c r="F519" s="16">
        <v>28848.6</v>
      </c>
      <c r="G519" s="16">
        <v>28854.28</v>
      </c>
      <c r="H519" s="16">
        <v>29106.52</v>
      </c>
      <c r="I519" s="16">
        <v>29019.16</v>
      </c>
      <c r="J519" s="16">
        <v>28880.48</v>
      </c>
      <c r="K519" s="16">
        <v>28856.79</v>
      </c>
      <c r="L519" s="16">
        <v>29084.47</v>
      </c>
      <c r="M519" s="27">
        <f>IF((L520=""),"",MAX(D521:L521))</f>
        <v>11409.54</v>
      </c>
      <c r="N519" s="27">
        <f>IF(L520="","",MIN(D521:L521))</f>
        <v>10415.370000000003</v>
      </c>
      <c r="O519" s="27">
        <f>IF((L521=""),"",AVERAGE(D521:L521))</f>
        <v>11089.070000000003</v>
      </c>
      <c r="P519" s="27">
        <f>IF((L520=""),"",STDEV(D521:L521))</f>
        <v>295.11749761747194</v>
      </c>
      <c r="Q519" s="27">
        <v>2.2307800000000002</v>
      </c>
      <c r="R519" s="28" t="str">
        <f>IF(L520="","",IF(Q519&lt;Z519,IF(N519&gt;V519,IF(M519&lt;W519,"Pass","Fail"),"Fail"),"Fail"))</f>
        <v>Pass</v>
      </c>
      <c r="S519" s="29">
        <v>1335</v>
      </c>
      <c r="T519" s="55" t="s">
        <v>226</v>
      </c>
      <c r="U519" s="40"/>
      <c r="V519" s="54">
        <v>9000</v>
      </c>
      <c r="W519" s="22">
        <v>15600</v>
      </c>
      <c r="X519" s="40">
        <v>8090</v>
      </c>
      <c r="Y519" s="40">
        <v>12070</v>
      </c>
      <c r="Z519" s="47">
        <v>6</v>
      </c>
      <c r="AA519" s="47">
        <v>6</v>
      </c>
    </row>
    <row r="520" spans="1:27" ht="15.75" customHeight="1" x14ac:dyDescent="0.3">
      <c r="A520" s="96"/>
      <c r="B520" s="96"/>
      <c r="C520" s="30" t="s">
        <v>128</v>
      </c>
      <c r="D520" s="16">
        <v>25647.200000000001</v>
      </c>
      <c r="E520" s="16">
        <v>25202.69</v>
      </c>
      <c r="F520" s="16">
        <v>25141.63</v>
      </c>
      <c r="G520" s="16">
        <v>25055.58</v>
      </c>
      <c r="H520" s="16">
        <v>25352.560000000001</v>
      </c>
      <c r="I520" s="16">
        <v>25339.69</v>
      </c>
      <c r="J520" s="16">
        <v>25077.3</v>
      </c>
      <c r="K520" s="16">
        <v>25149.42</v>
      </c>
      <c r="L520" s="16">
        <v>25402.57</v>
      </c>
      <c r="M520" s="31"/>
      <c r="N520" s="31"/>
      <c r="O520" s="31"/>
      <c r="P520" s="31"/>
      <c r="Q520" s="31"/>
      <c r="R520" s="32"/>
      <c r="S520" s="33"/>
      <c r="T520" s="56"/>
      <c r="V520" s="48"/>
      <c r="W520" s="48"/>
      <c r="X520" s="49"/>
      <c r="Y520" s="49"/>
      <c r="Z520" s="50"/>
      <c r="AA520" s="50"/>
    </row>
    <row r="521" spans="1:27" ht="16.5" customHeight="1" thickBot="1" x14ac:dyDescent="0.35">
      <c r="A521" s="96"/>
      <c r="B521" s="96"/>
      <c r="C521" s="34" t="s">
        <v>129</v>
      </c>
      <c r="D521" s="35">
        <f t="shared" ref="D521:L521" si="169">IF(((D519="")*AND(D520="")),"",(D519-D520)*3)</f>
        <v>10415.370000000003</v>
      </c>
      <c r="E521" s="35">
        <f t="shared" si="169"/>
        <v>10991.610000000008</v>
      </c>
      <c r="F521" s="35">
        <f t="shared" si="169"/>
        <v>11120.909999999993</v>
      </c>
      <c r="G521" s="35">
        <f t="shared" si="169"/>
        <v>11396.099999999991</v>
      </c>
      <c r="H521" s="35">
        <f t="shared" si="169"/>
        <v>11261.879999999997</v>
      </c>
      <c r="I521" s="35">
        <f t="shared" si="169"/>
        <v>11038.410000000003</v>
      </c>
      <c r="J521" s="35">
        <f t="shared" si="169"/>
        <v>11409.54</v>
      </c>
      <c r="K521" s="35">
        <f t="shared" si="169"/>
        <v>11122.110000000008</v>
      </c>
      <c r="L521" s="35">
        <f t="shared" si="169"/>
        <v>11045.700000000004</v>
      </c>
      <c r="M521" s="36"/>
      <c r="N521" s="36"/>
      <c r="O521" s="36"/>
      <c r="P521" s="36"/>
      <c r="Q521" s="36"/>
      <c r="R521" s="37"/>
      <c r="S521" s="38"/>
      <c r="T521" s="57"/>
      <c r="U521" s="52"/>
      <c r="V521" s="51"/>
      <c r="W521" s="51"/>
      <c r="X521" s="52"/>
      <c r="Y521" s="52"/>
      <c r="Z521" s="53"/>
      <c r="AA521" s="53"/>
    </row>
    <row r="522" spans="1:27" x14ac:dyDescent="0.3">
      <c r="A522" s="97">
        <v>43260</v>
      </c>
      <c r="B522" s="117" t="s">
        <v>431</v>
      </c>
      <c r="C522" s="26" t="s">
        <v>126</v>
      </c>
      <c r="D522" s="16">
        <v>28995.94</v>
      </c>
      <c r="E522" s="16">
        <v>28838.15</v>
      </c>
      <c r="F522" s="16">
        <v>28882.5</v>
      </c>
      <c r="G522" s="16">
        <v>28841.47</v>
      </c>
      <c r="H522" s="16">
        <v>29038.11</v>
      </c>
      <c r="I522" s="16">
        <v>28993.19</v>
      </c>
      <c r="J522" s="16">
        <v>28823.94</v>
      </c>
      <c r="K522" s="16">
        <v>28833.63</v>
      </c>
      <c r="L522" s="16">
        <v>29028.04</v>
      </c>
      <c r="M522" s="27">
        <f>IF((L523=""),"",MAX(D524:L524))</f>
        <v>10047.330000000002</v>
      </c>
      <c r="N522" s="27">
        <f>IF(L523="","",MIN(D524:L524))</f>
        <v>9419.73</v>
      </c>
      <c r="O522" s="27">
        <f>IF((L524=""),"",AVERAGE(D524:L524))</f>
        <v>9689.9166666666661</v>
      </c>
      <c r="P522" s="27">
        <f>IF((L523=""),"",STDEV(D524:L524))</f>
        <v>201.95121514861023</v>
      </c>
      <c r="Q522" s="27">
        <f>IF((L523=""),"",P522/O522*100)</f>
        <v>2.0841377908163325</v>
      </c>
      <c r="R522" s="28" t="str">
        <f>IF(L523="","",IF(Q522&lt;Z522,IF(N522&gt;V522,IF(M522&lt;W522,"Pass","Fail"),"Fail"),"Fail"))</f>
        <v>Pass</v>
      </c>
      <c r="S522" s="29">
        <v>121</v>
      </c>
      <c r="T522" s="55" t="s">
        <v>227</v>
      </c>
      <c r="U522" s="40"/>
      <c r="V522" s="54">
        <v>9000</v>
      </c>
      <c r="W522" s="22">
        <v>15600</v>
      </c>
      <c r="X522" s="40">
        <v>8090</v>
      </c>
      <c r="Y522" s="40">
        <v>12070</v>
      </c>
      <c r="Z522" s="47">
        <v>6</v>
      </c>
      <c r="AA522" s="47">
        <v>6</v>
      </c>
    </row>
    <row r="523" spans="1:27" ht="15.75" customHeight="1" x14ac:dyDescent="0.3">
      <c r="A523" s="96"/>
      <c r="B523" s="96"/>
      <c r="C523" s="30" t="s">
        <v>128</v>
      </c>
      <c r="D523" s="16">
        <v>25743.45</v>
      </c>
      <c r="E523" s="16">
        <v>25553.65</v>
      </c>
      <c r="F523" s="16">
        <v>25696.84</v>
      </c>
      <c r="G523" s="16">
        <v>25682.22</v>
      </c>
      <c r="H523" s="16">
        <v>25689</v>
      </c>
      <c r="I523" s="16">
        <v>25853.279999999999</v>
      </c>
      <c r="J523" s="16">
        <v>25636.36</v>
      </c>
      <c r="K523" s="16">
        <v>25564.06</v>
      </c>
      <c r="L523" s="16">
        <v>25786.36</v>
      </c>
      <c r="M523" s="31"/>
      <c r="N523" s="31"/>
      <c r="O523" s="31"/>
      <c r="P523" s="31"/>
      <c r="Q523" s="31"/>
      <c r="R523" s="32"/>
      <c r="S523" s="33"/>
      <c r="T523" s="56"/>
      <c r="V523" s="48"/>
      <c r="W523" s="48"/>
      <c r="X523" s="49"/>
      <c r="Y523" s="49"/>
      <c r="Z523" s="50"/>
      <c r="AA523" s="50"/>
    </row>
    <row r="524" spans="1:27" ht="16.5" customHeight="1" thickBot="1" x14ac:dyDescent="0.35">
      <c r="A524" s="96"/>
      <c r="B524" s="96"/>
      <c r="C524" s="34" t="s">
        <v>129</v>
      </c>
      <c r="D524" s="35">
        <f t="shared" ref="D524:L524" si="170">IF(((D522="")*AND(D523="")),"",(D522-D523)*3)</f>
        <v>9757.4699999999939</v>
      </c>
      <c r="E524" s="35">
        <f t="shared" si="170"/>
        <v>9853.5</v>
      </c>
      <c r="F524" s="35">
        <f t="shared" si="170"/>
        <v>9556.98</v>
      </c>
      <c r="G524" s="35">
        <f t="shared" si="170"/>
        <v>9477.75</v>
      </c>
      <c r="H524" s="35">
        <f t="shared" si="170"/>
        <v>10047.330000000002</v>
      </c>
      <c r="I524" s="35">
        <f t="shared" si="170"/>
        <v>9419.73</v>
      </c>
      <c r="J524" s="35">
        <f t="shared" si="170"/>
        <v>9562.7399999999943</v>
      </c>
      <c r="K524" s="35">
        <f t="shared" si="170"/>
        <v>9808.7099999999991</v>
      </c>
      <c r="L524" s="35">
        <f t="shared" si="170"/>
        <v>9725.0400000000009</v>
      </c>
      <c r="M524" s="36"/>
      <c r="N524" s="36"/>
      <c r="O524" s="36"/>
      <c r="P524" s="36"/>
      <c r="Q524" s="36"/>
      <c r="R524" s="37"/>
      <c r="S524" s="38"/>
      <c r="T524" s="57"/>
      <c r="U524" s="52"/>
      <c r="V524" s="51"/>
      <c r="W524" s="51"/>
      <c r="X524" s="52"/>
      <c r="Y524" s="52"/>
      <c r="Z524" s="53"/>
      <c r="AA524" s="53"/>
    </row>
    <row r="525" spans="1:27" x14ac:dyDescent="0.3">
      <c r="A525" s="97">
        <v>43265</v>
      </c>
      <c r="B525" s="117" t="s">
        <v>431</v>
      </c>
      <c r="C525" s="26" t="s">
        <v>126</v>
      </c>
      <c r="D525" s="16">
        <v>29005.91</v>
      </c>
      <c r="E525" s="16">
        <v>28844.07</v>
      </c>
      <c r="F525" s="16">
        <v>28835.65</v>
      </c>
      <c r="G525" s="16">
        <v>28841.98</v>
      </c>
      <c r="H525" s="16">
        <v>29053.07</v>
      </c>
      <c r="I525" s="16">
        <v>29008.66</v>
      </c>
      <c r="J525" s="16">
        <v>28824.82</v>
      </c>
      <c r="K525" s="16">
        <v>28834.89</v>
      </c>
      <c r="L525" s="16">
        <v>29055.43</v>
      </c>
      <c r="M525" s="27">
        <f>IF((L526=""),"",MAX(D527:L527))</f>
        <v>9720.8700000000026</v>
      </c>
      <c r="N525" s="27">
        <f>IF(L526="","",MIN(D527:L527))</f>
        <v>8241.9599999999991</v>
      </c>
      <c r="O525" s="27">
        <f>IF((L527=""),"",AVERAGE(D527:L527))</f>
        <v>9333.8099999999977</v>
      </c>
      <c r="P525" s="27">
        <f>IF((L526=""),"",STDEV(D527:L527))</f>
        <v>464.25397025765892</v>
      </c>
      <c r="Q525" s="27">
        <f>IF((L526=""),"",P525/O525*100)</f>
        <v>4.9738956573752739</v>
      </c>
      <c r="R525" s="28" t="str">
        <f>IF(L526="","",IF(Q525&lt;Z525,IF(N525&gt;V525,IF(M525&lt;W525,"Pass","Fail"),"Fail"),"Fail"))</f>
        <v>Fail</v>
      </c>
      <c r="S525" s="29">
        <v>1159</v>
      </c>
      <c r="T525" s="55"/>
      <c r="U525" s="40"/>
      <c r="V525" s="54">
        <v>9000</v>
      </c>
      <c r="W525" s="22">
        <v>15600</v>
      </c>
      <c r="X525" s="40">
        <v>8090</v>
      </c>
      <c r="Y525" s="40">
        <v>12070</v>
      </c>
      <c r="Z525" s="47">
        <v>6</v>
      </c>
      <c r="AA525" s="47">
        <v>6</v>
      </c>
    </row>
    <row r="526" spans="1:27" ht="15.75" customHeight="1" x14ac:dyDescent="0.3">
      <c r="A526" s="96"/>
      <c r="B526" s="96"/>
      <c r="C526" s="30" t="s">
        <v>128</v>
      </c>
      <c r="D526" s="16">
        <v>26258.59</v>
      </c>
      <c r="E526" s="16">
        <v>25790.63</v>
      </c>
      <c r="F526" s="16">
        <v>25722.42</v>
      </c>
      <c r="G526" s="16">
        <v>25601.69</v>
      </c>
      <c r="H526" s="16">
        <v>25813.24</v>
      </c>
      <c r="I526" s="16">
        <v>25797.97</v>
      </c>
      <c r="J526" s="16">
        <v>25609.9</v>
      </c>
      <c r="K526" s="16">
        <v>25720.15</v>
      </c>
      <c r="L526" s="16">
        <v>25988.46</v>
      </c>
      <c r="M526" s="31"/>
      <c r="N526" s="31"/>
      <c r="O526" s="31"/>
      <c r="P526" s="31"/>
      <c r="Q526" s="31"/>
      <c r="R526" s="32"/>
      <c r="S526" s="33"/>
      <c r="T526" s="56"/>
      <c r="V526" s="48"/>
      <c r="W526" s="48"/>
      <c r="X526" s="49"/>
      <c r="Y526" s="49"/>
      <c r="Z526" s="50"/>
      <c r="AA526" s="50"/>
    </row>
    <row r="527" spans="1:27" ht="16.5" customHeight="1" thickBot="1" x14ac:dyDescent="0.35">
      <c r="A527" s="96"/>
      <c r="B527" s="96"/>
      <c r="C527" s="34" t="s">
        <v>129</v>
      </c>
      <c r="D527" s="35">
        <f t="shared" ref="D527:L527" si="171">IF(((D525="")*AND(D526="")),"",(D525-D526)*3)</f>
        <v>8241.9599999999991</v>
      </c>
      <c r="E527" s="35">
        <f t="shared" si="171"/>
        <v>9160.3199999999961</v>
      </c>
      <c r="F527" s="35">
        <f t="shared" si="171"/>
        <v>9339.6900000000096</v>
      </c>
      <c r="G527" s="35">
        <f t="shared" si="171"/>
        <v>9720.8700000000026</v>
      </c>
      <c r="H527" s="35">
        <f t="shared" si="171"/>
        <v>9719.4899999999943</v>
      </c>
      <c r="I527" s="35">
        <f t="shared" si="171"/>
        <v>9632.0699999999961</v>
      </c>
      <c r="J527" s="35">
        <f t="shared" si="171"/>
        <v>9644.7599999999948</v>
      </c>
      <c r="K527" s="35">
        <f t="shared" si="171"/>
        <v>9344.2199999999939</v>
      </c>
      <c r="L527" s="35">
        <f t="shared" si="171"/>
        <v>9200.9100000000035</v>
      </c>
      <c r="M527" s="36"/>
      <c r="N527" s="36"/>
      <c r="O527" s="36"/>
      <c r="P527" s="36"/>
      <c r="Q527" s="36"/>
      <c r="R527" s="37"/>
      <c r="S527" s="38"/>
      <c r="T527" s="57"/>
      <c r="U527" s="52"/>
      <c r="V527" s="51"/>
      <c r="W527" s="51"/>
      <c r="X527" s="52"/>
      <c r="Y527" s="52"/>
      <c r="Z527" s="53"/>
      <c r="AA527" s="53"/>
    </row>
    <row r="528" spans="1:27" x14ac:dyDescent="0.3">
      <c r="A528" s="97">
        <v>43265</v>
      </c>
      <c r="B528" s="117" t="s">
        <v>431</v>
      </c>
      <c r="C528" s="26" t="s">
        <v>126</v>
      </c>
      <c r="D528" s="16">
        <v>29036.79</v>
      </c>
      <c r="E528" s="16">
        <v>28865.94</v>
      </c>
      <c r="F528" s="16">
        <v>28848.58</v>
      </c>
      <c r="G528" s="16">
        <v>28855.54</v>
      </c>
      <c r="H528" s="16">
        <v>29030.639999999999</v>
      </c>
      <c r="I528" s="16">
        <v>28998.26</v>
      </c>
      <c r="J528" s="16">
        <v>28845.43</v>
      </c>
      <c r="K528" s="16">
        <v>28866.81</v>
      </c>
      <c r="L528" s="16">
        <v>29099.23</v>
      </c>
      <c r="M528" s="27">
        <f>IF((L529=""),"",MAX(D530:L530))</f>
        <v>9973.1099999999969</v>
      </c>
      <c r="N528" s="27">
        <f>IF(L529="","",MIN(D530:L530))</f>
        <v>9016.8900000000031</v>
      </c>
      <c r="O528" s="27">
        <f>IF((L530=""),"",AVERAGE(D530:L530))</f>
        <v>9567.1533333333336</v>
      </c>
      <c r="P528" s="27">
        <f>IF((L529=""),"",STDEV(D530:L530))</f>
        <v>299.91166303596503</v>
      </c>
      <c r="Q528" s="27">
        <f>IF((L529=""),"",P528/O528*100)</f>
        <v>3.1348056478935042</v>
      </c>
      <c r="R528" s="28" t="str">
        <f>IF(L529="","",IF(Q528&lt;Z528,IF(N528&gt;V528,IF(M528&lt;W528,"Pass","Fail"),"Fail"),"Fail"))</f>
        <v>Pass</v>
      </c>
      <c r="S528" s="29">
        <v>1159</v>
      </c>
      <c r="T528" s="55" t="s">
        <v>228</v>
      </c>
      <c r="U528" s="40"/>
      <c r="V528" s="54">
        <v>9000</v>
      </c>
      <c r="W528" s="22">
        <v>15600</v>
      </c>
      <c r="X528" s="40">
        <v>8090</v>
      </c>
      <c r="Y528" s="40">
        <v>12070</v>
      </c>
      <c r="Z528" s="47">
        <v>6</v>
      </c>
      <c r="AA528" s="47">
        <v>6</v>
      </c>
    </row>
    <row r="529" spans="1:27" ht="15.75" customHeight="1" x14ac:dyDescent="0.3">
      <c r="A529" s="96"/>
      <c r="B529" s="96"/>
      <c r="C529" s="30" t="s">
        <v>128</v>
      </c>
      <c r="D529" s="16">
        <v>26031.16</v>
      </c>
      <c r="E529" s="16">
        <v>25750.51</v>
      </c>
      <c r="F529" s="16">
        <v>25705.47</v>
      </c>
      <c r="G529" s="16">
        <v>25617.39</v>
      </c>
      <c r="H529" s="16">
        <v>25706.27</v>
      </c>
      <c r="I529" s="16">
        <v>25682.560000000001</v>
      </c>
      <c r="J529" s="16">
        <v>25634.82</v>
      </c>
      <c r="K529" s="16">
        <v>25716.17</v>
      </c>
      <c r="L529" s="16">
        <v>25901.41</v>
      </c>
      <c r="M529" s="31"/>
      <c r="N529" s="31"/>
      <c r="O529" s="31"/>
      <c r="P529" s="31"/>
      <c r="Q529" s="31"/>
      <c r="R529" s="32"/>
      <c r="S529" s="33"/>
      <c r="T529" s="56"/>
      <c r="V529" s="48"/>
      <c r="W529" s="48"/>
      <c r="X529" s="49"/>
      <c r="Y529" s="49"/>
      <c r="Z529" s="50"/>
      <c r="AA529" s="50"/>
    </row>
    <row r="530" spans="1:27" ht="16.5" customHeight="1" thickBot="1" x14ac:dyDescent="0.35">
      <c r="A530" s="96"/>
      <c r="B530" s="96"/>
      <c r="C530" s="34" t="s">
        <v>129</v>
      </c>
      <c r="D530" s="35">
        <f t="shared" ref="D530:L530" si="172">IF(((D528="")*AND(D529="")),"",(D528-D529)*3)</f>
        <v>9016.8900000000031</v>
      </c>
      <c r="E530" s="35">
        <f t="shared" si="172"/>
        <v>9346.2900000000009</v>
      </c>
      <c r="F530" s="35">
        <f t="shared" si="172"/>
        <v>9429.3300000000017</v>
      </c>
      <c r="G530" s="35">
        <f t="shared" si="172"/>
        <v>9714.4500000000044</v>
      </c>
      <c r="H530" s="35">
        <f t="shared" si="172"/>
        <v>9973.1099999999969</v>
      </c>
      <c r="I530" s="35">
        <f t="shared" si="172"/>
        <v>9947.0999999999913</v>
      </c>
      <c r="J530" s="35">
        <f t="shared" si="172"/>
        <v>9631.8300000000017</v>
      </c>
      <c r="K530" s="35">
        <f t="shared" si="172"/>
        <v>9451.9200000000092</v>
      </c>
      <c r="L530" s="35">
        <f t="shared" si="172"/>
        <v>9593.4599999999991</v>
      </c>
      <c r="M530" s="36"/>
      <c r="N530" s="36"/>
      <c r="O530" s="36"/>
      <c r="P530" s="36"/>
      <c r="Q530" s="36"/>
      <c r="R530" s="37"/>
      <c r="S530" s="38"/>
      <c r="T530" s="57"/>
      <c r="U530" s="52"/>
      <c r="V530" s="51"/>
      <c r="W530" s="51"/>
      <c r="X530" s="52"/>
      <c r="Y530" s="52"/>
      <c r="Z530" s="53"/>
      <c r="AA530" s="53"/>
    </row>
    <row r="531" spans="1:27" x14ac:dyDescent="0.3">
      <c r="A531" s="97">
        <v>43271</v>
      </c>
      <c r="B531" s="117" t="s">
        <v>431</v>
      </c>
      <c r="C531" s="26" t="s">
        <v>126</v>
      </c>
      <c r="D531" s="16">
        <v>29069</v>
      </c>
      <c r="E531" s="16">
        <v>28956</v>
      </c>
      <c r="F531" s="16">
        <v>28971</v>
      </c>
      <c r="G531" s="16">
        <v>28957</v>
      </c>
      <c r="H531" s="16">
        <v>29047</v>
      </c>
      <c r="I531" s="16">
        <v>29050</v>
      </c>
      <c r="J531" s="16">
        <v>28951</v>
      </c>
      <c r="K531" s="16">
        <v>28957</v>
      </c>
      <c r="L531" s="16">
        <v>29051</v>
      </c>
      <c r="M531" s="27">
        <f>IF((L532=""),"",MAX(D533:L533))</f>
        <v>10551</v>
      </c>
      <c r="N531" s="27">
        <f>IF(L532="","",MIN(D533:L533))</f>
        <v>9222</v>
      </c>
      <c r="O531" s="27">
        <f>IF((L533=""),"",AVERAGE(D533:L533))</f>
        <v>10157.666666666666</v>
      </c>
      <c r="P531" s="27">
        <f>IF((L532=""),"",STDEV(D533:L533))</f>
        <v>395.78813777070178</v>
      </c>
      <c r="Q531" s="27">
        <f>IF((L532=""),"",P531/O531*100)</f>
        <v>3.8964473905165407</v>
      </c>
      <c r="R531" s="28" t="str">
        <f>IF(L532="","",IF(Q531&lt;Z531,IF(N531&gt;V531,IF(M531&lt;W531,"Pass","Fail"),"Fail"),"Fail"))</f>
        <v>Pass</v>
      </c>
      <c r="S531" s="29">
        <v>1519</v>
      </c>
      <c r="T531" s="55"/>
      <c r="U531" s="40"/>
      <c r="V531" s="54">
        <v>9000</v>
      </c>
      <c r="W531" s="22">
        <v>15600</v>
      </c>
      <c r="X531" s="40">
        <v>8090</v>
      </c>
      <c r="Y531" s="40">
        <v>12070</v>
      </c>
      <c r="Z531" s="47">
        <v>6</v>
      </c>
      <c r="AA531" s="47">
        <v>6</v>
      </c>
    </row>
    <row r="532" spans="1:27" ht="15.75" customHeight="1" x14ac:dyDescent="0.3">
      <c r="A532" s="96"/>
      <c r="B532" s="96"/>
      <c r="C532" s="30" t="s">
        <v>128</v>
      </c>
      <c r="D532" s="16">
        <v>25552</v>
      </c>
      <c r="E532" s="16">
        <v>25479</v>
      </c>
      <c r="F532" s="16">
        <v>25580</v>
      </c>
      <c r="G532" s="16">
        <v>25622</v>
      </c>
      <c r="H532" s="16">
        <v>25973</v>
      </c>
      <c r="I532" s="16">
        <v>25698</v>
      </c>
      <c r="J532" s="16">
        <v>25554</v>
      </c>
      <c r="K532" s="16">
        <v>25498</v>
      </c>
      <c r="L532" s="16">
        <v>25580</v>
      </c>
      <c r="M532" s="31"/>
      <c r="N532" s="31"/>
      <c r="O532" s="31"/>
      <c r="P532" s="31"/>
      <c r="Q532" s="31"/>
      <c r="R532" s="32"/>
      <c r="S532" s="33"/>
      <c r="T532" s="56"/>
      <c r="V532" s="48"/>
      <c r="W532" s="48"/>
      <c r="X532" s="49"/>
      <c r="Y532" s="49"/>
      <c r="Z532" s="50"/>
      <c r="AA532" s="50"/>
    </row>
    <row r="533" spans="1:27" ht="16.5" customHeight="1" thickBot="1" x14ac:dyDescent="0.35">
      <c r="A533" s="96"/>
      <c r="B533" s="96"/>
      <c r="C533" s="34" t="s">
        <v>129</v>
      </c>
      <c r="D533" s="35">
        <f t="shared" ref="D533:L533" si="173">IF(((D531="")*AND(D532="")),"",(D531-D532)*3)</f>
        <v>10551</v>
      </c>
      <c r="E533" s="35">
        <f t="shared" si="173"/>
        <v>10431</v>
      </c>
      <c r="F533" s="35">
        <f t="shared" si="173"/>
        <v>10173</v>
      </c>
      <c r="G533" s="35">
        <f t="shared" si="173"/>
        <v>10005</v>
      </c>
      <c r="H533" s="35">
        <f t="shared" si="173"/>
        <v>9222</v>
      </c>
      <c r="I533" s="35">
        <f t="shared" si="173"/>
        <v>10056</v>
      </c>
      <c r="J533" s="35">
        <f t="shared" si="173"/>
        <v>10191</v>
      </c>
      <c r="K533" s="35">
        <f t="shared" si="173"/>
        <v>10377</v>
      </c>
      <c r="L533" s="35">
        <f t="shared" si="173"/>
        <v>10413</v>
      </c>
      <c r="M533" s="36"/>
      <c r="N533" s="36"/>
      <c r="O533" s="36"/>
      <c r="P533" s="36"/>
      <c r="Q533" s="36"/>
      <c r="R533" s="37"/>
      <c r="S533" s="38"/>
      <c r="T533" s="57"/>
      <c r="U533" s="52"/>
      <c r="V533" s="51"/>
      <c r="W533" s="51"/>
      <c r="X533" s="52"/>
      <c r="Y533" s="52"/>
      <c r="Z533" s="53"/>
      <c r="AA533" s="53"/>
    </row>
    <row r="534" spans="1:27" x14ac:dyDescent="0.3">
      <c r="A534" s="97">
        <v>43276</v>
      </c>
      <c r="B534" s="117" t="s">
        <v>431</v>
      </c>
      <c r="C534" s="26" t="s">
        <v>126</v>
      </c>
      <c r="D534" s="16">
        <v>28948.66</v>
      </c>
      <c r="E534" s="16">
        <v>28904.41</v>
      </c>
      <c r="F534" s="16">
        <v>28941.68</v>
      </c>
      <c r="G534" s="16">
        <v>28878.09</v>
      </c>
      <c r="H534" s="16">
        <v>28966.880000000001</v>
      </c>
      <c r="I534" s="16">
        <v>28972.16</v>
      </c>
      <c r="J534" s="16">
        <v>28894.62</v>
      </c>
      <c r="K534" s="16">
        <v>28866.240000000002</v>
      </c>
      <c r="L534" s="16">
        <v>28925.13</v>
      </c>
      <c r="M534" s="27">
        <f>IF((L535=""),"",MAX(D536:L536))</f>
        <v>11571.21</v>
      </c>
      <c r="N534" s="27">
        <f>IF(L535="","",MIN(D536:L536))</f>
        <v>10500.120000000003</v>
      </c>
      <c r="O534" s="27">
        <f>IF((L536=""),"",AVERAGE(D536:L536))</f>
        <v>11244.92</v>
      </c>
      <c r="P534" s="27">
        <f>IF((L535=""),"",STDEV(D536:L536))</f>
        <v>333.58466241720191</v>
      </c>
      <c r="Q534" s="27">
        <f>IF((L535=""),"",P534/O534*100)</f>
        <v>2.9665365553263334</v>
      </c>
      <c r="R534" s="28" t="str">
        <f>IF(L535="","",IF(Q534&lt;Z534,IF(N534&gt;V534,IF(M534&lt;W534,"Pass","Fail"),"Fail"),"Fail"))</f>
        <v>Pass</v>
      </c>
      <c r="S534" s="29">
        <v>1335</v>
      </c>
      <c r="T534" s="55" t="s">
        <v>229</v>
      </c>
      <c r="U534" s="40"/>
      <c r="V534" s="54">
        <v>9000</v>
      </c>
      <c r="W534" s="22">
        <v>15600</v>
      </c>
      <c r="X534" s="40">
        <v>8090</v>
      </c>
      <c r="Y534" s="40">
        <v>12070</v>
      </c>
      <c r="Z534" s="47">
        <v>6</v>
      </c>
      <c r="AA534" s="47">
        <v>6</v>
      </c>
    </row>
    <row r="535" spans="1:27" ht="15.75" customHeight="1" x14ac:dyDescent="0.3">
      <c r="A535" s="96"/>
      <c r="B535" s="96"/>
      <c r="C535" s="30" t="s">
        <v>128</v>
      </c>
      <c r="D535" s="16">
        <v>25448.62</v>
      </c>
      <c r="E535" s="16">
        <v>25172.83</v>
      </c>
      <c r="F535" s="16">
        <v>25178.16</v>
      </c>
      <c r="G535" s="16">
        <v>25021.02</v>
      </c>
      <c r="H535" s="16">
        <v>25130.080000000002</v>
      </c>
      <c r="I535" s="16">
        <v>25167.87</v>
      </c>
      <c r="J535" s="16">
        <v>25059.65</v>
      </c>
      <c r="K535" s="16">
        <v>25128.35</v>
      </c>
      <c r="L535" s="16">
        <v>25256.53</v>
      </c>
      <c r="M535" s="31"/>
      <c r="N535" s="31"/>
      <c r="O535" s="31"/>
      <c r="P535" s="31"/>
      <c r="Q535" s="31"/>
      <c r="R535" s="32"/>
      <c r="S535" s="33"/>
      <c r="T535" s="56"/>
      <c r="V535" s="48"/>
      <c r="W535" s="48"/>
      <c r="X535" s="49"/>
      <c r="Y535" s="49"/>
      <c r="Z535" s="50"/>
      <c r="AA535" s="50"/>
    </row>
    <row r="536" spans="1:27" ht="16.5" customHeight="1" thickBot="1" x14ac:dyDescent="0.35">
      <c r="A536" s="96"/>
      <c r="B536" s="96"/>
      <c r="C536" s="34" t="s">
        <v>129</v>
      </c>
      <c r="D536" s="35">
        <f t="shared" ref="D536:L536" si="174">IF(((D534="")*AND(D535="")),"",(D534-D535)*3)</f>
        <v>10500.120000000003</v>
      </c>
      <c r="E536" s="35">
        <f t="shared" si="174"/>
        <v>11194.739999999994</v>
      </c>
      <c r="F536" s="35">
        <f t="shared" si="174"/>
        <v>11290.560000000001</v>
      </c>
      <c r="G536" s="35">
        <f t="shared" si="174"/>
        <v>11571.21</v>
      </c>
      <c r="H536" s="35">
        <f t="shared" si="174"/>
        <v>11510.399999999998</v>
      </c>
      <c r="I536" s="35">
        <f t="shared" si="174"/>
        <v>11412.870000000003</v>
      </c>
      <c r="J536" s="35">
        <f t="shared" si="174"/>
        <v>11504.909999999993</v>
      </c>
      <c r="K536" s="35">
        <f t="shared" si="174"/>
        <v>11213.670000000009</v>
      </c>
      <c r="L536" s="35">
        <f t="shared" si="174"/>
        <v>11005.800000000007</v>
      </c>
      <c r="M536" s="36"/>
      <c r="N536" s="36"/>
      <c r="O536" s="36"/>
      <c r="P536" s="36"/>
      <c r="Q536" s="36"/>
      <c r="R536" s="37"/>
      <c r="S536" s="38"/>
      <c r="T536" s="57"/>
      <c r="U536" s="52"/>
      <c r="V536" s="51"/>
      <c r="W536" s="51"/>
      <c r="X536" s="52"/>
      <c r="Y536" s="52"/>
      <c r="Z536" s="53"/>
      <c r="AA536" s="53"/>
    </row>
    <row r="537" spans="1:27" x14ac:dyDescent="0.3">
      <c r="A537" s="97">
        <v>43280</v>
      </c>
      <c r="B537" s="117" t="s">
        <v>431</v>
      </c>
      <c r="C537" s="26" t="s">
        <v>126</v>
      </c>
      <c r="D537" s="16">
        <v>28857.75</v>
      </c>
      <c r="E537" s="16">
        <v>28754.71</v>
      </c>
      <c r="F537" s="16">
        <v>28736.98</v>
      </c>
      <c r="G537" s="16">
        <v>28747.040000000001</v>
      </c>
      <c r="H537" s="16">
        <v>28812.47</v>
      </c>
      <c r="I537" s="16">
        <v>28830.51</v>
      </c>
      <c r="J537" s="16">
        <v>28735.86</v>
      </c>
      <c r="K537" s="16">
        <v>28754.45</v>
      </c>
      <c r="L537" s="16">
        <v>28863.32</v>
      </c>
      <c r="M537" s="27">
        <f>IF((L538=""),"",MAX(D539:L539))</f>
        <v>10369.889999999992</v>
      </c>
      <c r="N537" s="27">
        <f>IF(L538="","",MIN(D539:L539))</f>
        <v>9375.48</v>
      </c>
      <c r="O537" s="27">
        <f>IF((L539=""),"",AVERAGE(D539:L539))</f>
        <v>10090.416666666666</v>
      </c>
      <c r="P537" s="27">
        <f>IF((L538=""),"",STDEV(D539:L539))</f>
        <v>320.4630168989865</v>
      </c>
      <c r="Q537" s="27">
        <f>IF((L538=""),"",P537/O537*100)</f>
        <v>3.175914607744839</v>
      </c>
      <c r="R537" s="28" t="str">
        <f>IF(L538="","",IF(Q537&lt;Z537,IF(N537&gt;V537,IF(M537&lt;W537,"Pass","Fail"),"Fail"),"Fail"))</f>
        <v>Pass</v>
      </c>
      <c r="S537" s="29">
        <v>1340</v>
      </c>
      <c r="T537" s="55"/>
      <c r="U537" s="40"/>
      <c r="V537" s="54">
        <v>9000</v>
      </c>
      <c r="W537" s="22">
        <v>15600</v>
      </c>
      <c r="X537" s="40">
        <v>8090</v>
      </c>
      <c r="Y537" s="40">
        <v>12070</v>
      </c>
      <c r="Z537" s="47">
        <v>6</v>
      </c>
      <c r="AA537" s="47">
        <v>6</v>
      </c>
    </row>
    <row r="538" spans="1:27" ht="15.75" customHeight="1" x14ac:dyDescent="0.3">
      <c r="A538" s="96"/>
      <c r="B538" s="96"/>
      <c r="C538" s="30" t="s">
        <v>128</v>
      </c>
      <c r="D538" s="16">
        <v>25411.26</v>
      </c>
      <c r="E538" s="16">
        <v>25298.080000000002</v>
      </c>
      <c r="F538" s="16">
        <v>25378.12</v>
      </c>
      <c r="G538" s="16">
        <v>25406.36</v>
      </c>
      <c r="H538" s="16">
        <v>25687.31</v>
      </c>
      <c r="I538" s="16">
        <v>25536</v>
      </c>
      <c r="J538" s="16">
        <v>25378.71</v>
      </c>
      <c r="K538" s="16">
        <v>25309.69</v>
      </c>
      <c r="L538" s="16">
        <v>25416.31</v>
      </c>
      <c r="M538" s="31"/>
      <c r="N538" s="31"/>
      <c r="O538" s="31"/>
      <c r="P538" s="31"/>
      <c r="Q538" s="31"/>
      <c r="R538" s="32"/>
      <c r="S538" s="33"/>
      <c r="T538" s="56"/>
      <c r="V538" s="48"/>
      <c r="W538" s="48"/>
      <c r="X538" s="49"/>
      <c r="Y538" s="49"/>
      <c r="Z538" s="50"/>
      <c r="AA538" s="50"/>
    </row>
    <row r="539" spans="1:27" ht="16.5" customHeight="1" thickBot="1" x14ac:dyDescent="0.35">
      <c r="A539" s="96"/>
      <c r="B539" s="96"/>
      <c r="C539" s="34" t="s">
        <v>129</v>
      </c>
      <c r="D539" s="35">
        <f t="shared" ref="D539:L539" si="175">IF(((D537="")*AND(D538="")),"",(D537-D538)*3)</f>
        <v>10339.470000000005</v>
      </c>
      <c r="E539" s="35">
        <f t="shared" si="175"/>
        <v>10369.889999999992</v>
      </c>
      <c r="F539" s="35">
        <f t="shared" si="175"/>
        <v>10076.580000000002</v>
      </c>
      <c r="G539" s="35">
        <f t="shared" si="175"/>
        <v>10022.040000000001</v>
      </c>
      <c r="H539" s="35">
        <f t="shared" si="175"/>
        <v>9375.48</v>
      </c>
      <c r="I539" s="35">
        <f t="shared" si="175"/>
        <v>9883.5299999999952</v>
      </c>
      <c r="J539" s="35">
        <f t="shared" si="175"/>
        <v>10071.450000000004</v>
      </c>
      <c r="K539" s="35">
        <f t="shared" si="175"/>
        <v>10334.280000000006</v>
      </c>
      <c r="L539" s="35">
        <f t="shared" si="175"/>
        <v>10341.029999999995</v>
      </c>
      <c r="M539" s="36"/>
      <c r="N539" s="36"/>
      <c r="O539" s="36"/>
      <c r="P539" s="36"/>
      <c r="Q539" s="36"/>
      <c r="R539" s="37"/>
      <c r="S539" s="38"/>
      <c r="T539" s="57"/>
      <c r="U539" s="52"/>
      <c r="V539" s="51"/>
      <c r="W539" s="51"/>
      <c r="X539" s="52"/>
      <c r="Y539" s="52"/>
      <c r="Z539" s="53"/>
      <c r="AA539" s="53"/>
    </row>
    <row r="540" spans="1:27" x14ac:dyDescent="0.3">
      <c r="A540" s="97">
        <v>43284</v>
      </c>
      <c r="B540" s="117" t="s">
        <v>431</v>
      </c>
      <c r="C540" s="26" t="s">
        <v>126</v>
      </c>
      <c r="D540" s="16">
        <v>28854.5</v>
      </c>
      <c r="E540" s="16">
        <v>28769.22</v>
      </c>
      <c r="F540" s="16">
        <v>28758.21</v>
      </c>
      <c r="G540" s="16">
        <v>28756.19</v>
      </c>
      <c r="H540" s="16">
        <v>28858.68</v>
      </c>
      <c r="I540" s="16">
        <v>28857.599999999999</v>
      </c>
      <c r="J540" s="16">
        <v>28756.42</v>
      </c>
      <c r="K540" s="16">
        <v>28744.63</v>
      </c>
      <c r="L540" s="16">
        <v>28845.67</v>
      </c>
      <c r="M540" s="27">
        <f>IF((L541=""),"",MAX(D542:L542))</f>
        <v>9645.7799999999952</v>
      </c>
      <c r="N540" s="27">
        <f>IF(L541="","",MIN(D542:L542))</f>
        <v>9277.1099999999969</v>
      </c>
      <c r="O540" s="27">
        <f>IF((L542=""),"",AVERAGE(D542:L542))</f>
        <v>9487.9533333333311</v>
      </c>
      <c r="P540" s="27">
        <f>IF((L541=""),"",STDEV(D542:L542))</f>
        <v>107.62185094115495</v>
      </c>
      <c r="Q540" s="27">
        <f>IF((L541=""),"",P540/O540*100)</f>
        <v>1.1342999608045603</v>
      </c>
      <c r="R540" s="28" t="str">
        <f>IF(L541="","",IF(Q540&lt;Z540,IF(N540&gt;V540,IF(M540&lt;W540,"Pass","Fail"),"Fail"),"Fail"))</f>
        <v>Pass</v>
      </c>
      <c r="S540" s="29">
        <v>1159</v>
      </c>
      <c r="T540" s="55" t="s">
        <v>230</v>
      </c>
      <c r="U540" s="40"/>
      <c r="V540" s="54">
        <v>9000</v>
      </c>
      <c r="W540" s="22">
        <v>15600</v>
      </c>
      <c r="X540" s="40">
        <v>8090</v>
      </c>
      <c r="Y540" s="40">
        <v>12070</v>
      </c>
      <c r="Z540" s="47">
        <v>6</v>
      </c>
      <c r="AA540" s="47">
        <v>6</v>
      </c>
    </row>
    <row r="541" spans="1:27" ht="15.75" customHeight="1" x14ac:dyDescent="0.3">
      <c r="A541" s="96"/>
      <c r="B541" s="96"/>
      <c r="C541" s="30" t="s">
        <v>128</v>
      </c>
      <c r="D541" s="16">
        <v>25762.13</v>
      </c>
      <c r="E541" s="16">
        <v>25614.28</v>
      </c>
      <c r="F541" s="16">
        <v>25632.38</v>
      </c>
      <c r="G541" s="16">
        <v>25571.37</v>
      </c>
      <c r="H541" s="16">
        <v>25682.01</v>
      </c>
      <c r="I541" s="16">
        <v>25693.22</v>
      </c>
      <c r="J541" s="16">
        <v>25591.3</v>
      </c>
      <c r="K541" s="16">
        <v>25560.16</v>
      </c>
      <c r="L541" s="16">
        <v>25630.41</v>
      </c>
      <c r="M541" s="31"/>
      <c r="N541" s="31"/>
      <c r="O541" s="31"/>
      <c r="P541" s="31"/>
      <c r="Q541" s="31"/>
      <c r="R541" s="32"/>
      <c r="S541" s="33"/>
      <c r="T541" s="56"/>
      <c r="V541" s="48"/>
      <c r="W541" s="48"/>
      <c r="X541" s="49"/>
      <c r="Y541" s="49"/>
      <c r="Z541" s="50"/>
      <c r="AA541" s="50"/>
    </row>
    <row r="542" spans="1:27" ht="16.5" customHeight="1" thickBot="1" x14ac:dyDescent="0.35">
      <c r="A542" s="96"/>
      <c r="B542" s="96"/>
      <c r="C542" s="34" t="s">
        <v>129</v>
      </c>
      <c r="D542" s="35">
        <f t="shared" ref="D542:L542" si="176">IF(((D540="")*AND(D541="")),"",(D540-D541)*3)</f>
        <v>9277.1099999999969</v>
      </c>
      <c r="E542" s="35">
        <f t="shared" si="176"/>
        <v>9464.820000000007</v>
      </c>
      <c r="F542" s="35">
        <f t="shared" si="176"/>
        <v>9377.4899999999943</v>
      </c>
      <c r="G542" s="35">
        <f t="shared" si="176"/>
        <v>9554.4599999999991</v>
      </c>
      <c r="H542" s="35">
        <f t="shared" si="176"/>
        <v>9530.0100000000057</v>
      </c>
      <c r="I542" s="35">
        <f t="shared" si="176"/>
        <v>9493.1399999999921</v>
      </c>
      <c r="J542" s="35">
        <f t="shared" si="176"/>
        <v>9495.3599999999969</v>
      </c>
      <c r="K542" s="35">
        <f t="shared" si="176"/>
        <v>9553.4100000000035</v>
      </c>
      <c r="L542" s="35">
        <f t="shared" si="176"/>
        <v>9645.7799999999952</v>
      </c>
      <c r="M542" s="36"/>
      <c r="N542" s="36"/>
      <c r="O542" s="36"/>
      <c r="P542" s="36"/>
      <c r="Q542" s="36"/>
      <c r="R542" s="37"/>
      <c r="S542" s="38"/>
      <c r="T542" s="57"/>
      <c r="U542" s="52"/>
      <c r="V542" s="51"/>
      <c r="W542" s="51"/>
      <c r="X542" s="52"/>
      <c r="Y542" s="52"/>
      <c r="Z542" s="53"/>
      <c r="AA542" s="53"/>
    </row>
    <row r="543" spans="1:27" x14ac:dyDescent="0.3">
      <c r="A543" s="97">
        <v>43288</v>
      </c>
      <c r="B543" s="117" t="s">
        <v>431</v>
      </c>
      <c r="C543" s="26" t="s">
        <v>126</v>
      </c>
      <c r="D543" s="16">
        <v>28169.33</v>
      </c>
      <c r="E543" s="16">
        <v>28134.36</v>
      </c>
      <c r="F543" s="16">
        <v>28144.73</v>
      </c>
      <c r="G543" s="16">
        <v>28079.439999999999</v>
      </c>
      <c r="H543" s="16">
        <v>28090.83</v>
      </c>
      <c r="I543" s="16">
        <v>28024.19</v>
      </c>
      <c r="J543" s="16">
        <v>28082</v>
      </c>
      <c r="K543" s="16">
        <v>28128.49</v>
      </c>
      <c r="L543" s="16">
        <v>28102.99</v>
      </c>
      <c r="M543" s="27">
        <f>IF((L544=""),"",MAX(D545:L545))</f>
        <v>14684.009999999995</v>
      </c>
      <c r="N543" s="27">
        <f>IF(L544="","",MIN(D545:L545))</f>
        <v>10295.970000000005</v>
      </c>
      <c r="O543" s="27">
        <f>IF((L545=""),"",AVERAGE(D545:L545))</f>
        <v>12160.82</v>
      </c>
      <c r="P543" s="27">
        <f>IF((L544=""),"",STDEV(D545:L545))</f>
        <v>1317.7200702634093</v>
      </c>
      <c r="Q543" s="27">
        <f>IF((L544=""),"",P543/O543*100)</f>
        <v>10.835783033244544</v>
      </c>
      <c r="R543" s="28" t="str">
        <f>IF(L544="","",IF(Q543&lt;Z543,IF(N543&gt;V543,IF(M543&lt;W543,"Pass","Fail"),"Fail"),"Fail"))</f>
        <v>Fail</v>
      </c>
      <c r="S543" s="29">
        <v>1428</v>
      </c>
      <c r="T543" s="55" t="s">
        <v>231</v>
      </c>
      <c r="U543" s="40"/>
      <c r="V543" s="54">
        <v>9000</v>
      </c>
      <c r="W543" s="22">
        <v>15600</v>
      </c>
      <c r="X543" s="40">
        <v>8090</v>
      </c>
      <c r="Y543" s="40">
        <v>12070</v>
      </c>
      <c r="Z543" s="47">
        <v>6</v>
      </c>
      <c r="AA543" s="47">
        <v>6</v>
      </c>
    </row>
    <row r="544" spans="1:27" ht="15.75" customHeight="1" x14ac:dyDescent="0.3">
      <c r="A544" s="96"/>
      <c r="B544" s="96"/>
      <c r="C544" s="30" t="s">
        <v>128</v>
      </c>
      <c r="D544" s="16">
        <v>23870.46</v>
      </c>
      <c r="E544" s="16">
        <v>24065.29</v>
      </c>
      <c r="F544" s="16">
        <v>23250.06</v>
      </c>
      <c r="G544" s="16">
        <v>24028.639999999999</v>
      </c>
      <c r="H544" s="16">
        <v>23775.13</v>
      </c>
      <c r="I544" s="16">
        <v>24153.5</v>
      </c>
      <c r="J544" s="16">
        <v>24563.8</v>
      </c>
      <c r="K544" s="16">
        <v>24696.5</v>
      </c>
      <c r="L544" s="16">
        <v>24070.52</v>
      </c>
      <c r="M544" s="31"/>
      <c r="N544" s="31"/>
      <c r="O544" s="31"/>
      <c r="P544" s="31"/>
      <c r="Q544" s="31"/>
      <c r="R544" s="32"/>
      <c r="S544" s="33"/>
      <c r="T544" s="56"/>
      <c r="V544" s="48"/>
      <c r="W544" s="48"/>
      <c r="X544" s="49"/>
      <c r="Y544" s="49"/>
      <c r="Z544" s="50"/>
      <c r="AA544" s="50"/>
    </row>
    <row r="545" spans="1:27" ht="16.5" customHeight="1" thickBot="1" x14ac:dyDescent="0.35">
      <c r="A545" s="96"/>
      <c r="B545" s="96"/>
      <c r="C545" s="34" t="s">
        <v>129</v>
      </c>
      <c r="D545" s="35">
        <f t="shared" ref="D545:L545" si="177">IF(((D543="")*AND(D544="")),"",(D543-D544)*3)</f>
        <v>12896.610000000008</v>
      </c>
      <c r="E545" s="35">
        <f t="shared" si="177"/>
        <v>12207.21</v>
      </c>
      <c r="F545" s="35">
        <f t="shared" si="177"/>
        <v>14684.009999999995</v>
      </c>
      <c r="G545" s="35">
        <f t="shared" si="177"/>
        <v>12152.399999999998</v>
      </c>
      <c r="H545" s="35">
        <f t="shared" si="177"/>
        <v>12947.100000000002</v>
      </c>
      <c r="I545" s="35">
        <f t="shared" si="177"/>
        <v>11612.069999999996</v>
      </c>
      <c r="J545" s="35">
        <f t="shared" si="177"/>
        <v>10554.600000000002</v>
      </c>
      <c r="K545" s="35">
        <f t="shared" si="177"/>
        <v>10295.970000000005</v>
      </c>
      <c r="L545" s="35">
        <f t="shared" si="177"/>
        <v>12097.410000000003</v>
      </c>
      <c r="M545" s="36"/>
      <c r="N545" s="36"/>
      <c r="O545" s="36"/>
      <c r="P545" s="36"/>
      <c r="Q545" s="36"/>
      <c r="R545" s="37"/>
      <c r="S545" s="38"/>
      <c r="T545" s="57"/>
      <c r="U545" s="52"/>
      <c r="V545" s="51"/>
      <c r="W545" s="51"/>
      <c r="X545" s="52"/>
      <c r="Y545" s="52"/>
      <c r="Z545" s="53"/>
      <c r="AA545" s="53"/>
    </row>
    <row r="546" spans="1:27" x14ac:dyDescent="0.3">
      <c r="A546" s="97">
        <v>43293</v>
      </c>
      <c r="B546" s="117" t="s">
        <v>431</v>
      </c>
      <c r="C546" s="26" t="s">
        <v>126</v>
      </c>
      <c r="D546" s="16">
        <v>28873.33</v>
      </c>
      <c r="E546" s="16">
        <v>28807.34</v>
      </c>
      <c r="F546" s="16">
        <v>28852.51</v>
      </c>
      <c r="G546" s="16">
        <v>28794.1</v>
      </c>
      <c r="H546" s="16">
        <v>28882.79</v>
      </c>
      <c r="I546" s="16">
        <v>28874.45</v>
      </c>
      <c r="J546" s="16">
        <v>28792.880000000001</v>
      </c>
      <c r="K546" s="16">
        <v>28800.57</v>
      </c>
      <c r="L546" s="16">
        <v>28855.48</v>
      </c>
      <c r="M546" s="27">
        <f>IF((L547=""),"",MAX(D548:L548))</f>
        <v>10351.740000000005</v>
      </c>
      <c r="N546" s="27">
        <f>IF(L547="","",MIN(D548:L548))</f>
        <v>9906.8999999999978</v>
      </c>
      <c r="O546" s="27">
        <f>IF((L548=""),"",AVERAGE(D548:L548))</f>
        <v>10221.686666666666</v>
      </c>
      <c r="P546" s="27">
        <f>IF((L547=""),"",STDEV(D548:L548))</f>
        <v>137.81258587299121</v>
      </c>
      <c r="Q546" s="27">
        <f>IF((L547=""),"",P546/O546*100)</f>
        <v>1.348237236838844</v>
      </c>
      <c r="R546" s="28" t="str">
        <f>IF(L547="","",IF(Q546&lt;Z546,IF(N546&gt;V546,IF(M546&lt;W546,"Pass","Fail"),"Fail"),"Fail"))</f>
        <v>Pass</v>
      </c>
      <c r="S546" s="29">
        <v>121</v>
      </c>
      <c r="T546" s="55"/>
      <c r="U546" s="40"/>
      <c r="V546" s="54">
        <v>9000</v>
      </c>
      <c r="W546" s="22">
        <v>15600</v>
      </c>
      <c r="X546" s="40">
        <v>8090</v>
      </c>
      <c r="Y546" s="40">
        <v>12070</v>
      </c>
      <c r="Z546" s="47">
        <v>6</v>
      </c>
      <c r="AA546" s="47">
        <v>6</v>
      </c>
    </row>
    <row r="547" spans="1:27" ht="15.75" customHeight="1" x14ac:dyDescent="0.3">
      <c r="A547" s="96"/>
      <c r="B547" s="96"/>
      <c r="C547" s="30" t="s">
        <v>128</v>
      </c>
      <c r="D547" s="16">
        <v>25436.49</v>
      </c>
      <c r="E547" s="16">
        <v>25362.63</v>
      </c>
      <c r="F547" s="16">
        <v>25474.86</v>
      </c>
      <c r="G547" s="16">
        <v>25402.61</v>
      </c>
      <c r="H547" s="16">
        <v>25580.49</v>
      </c>
      <c r="I547" s="16">
        <v>25423.87</v>
      </c>
      <c r="J547" s="16">
        <v>25366.71</v>
      </c>
      <c r="K547" s="16">
        <v>25380.46</v>
      </c>
      <c r="L547" s="16">
        <v>25440.27</v>
      </c>
      <c r="M547" s="31"/>
      <c r="N547" s="31"/>
      <c r="O547" s="31"/>
      <c r="P547" s="31"/>
      <c r="Q547" s="31"/>
      <c r="R547" s="32"/>
      <c r="S547" s="33"/>
      <c r="T547" s="56"/>
      <c r="V547" s="48"/>
      <c r="W547" s="48"/>
      <c r="X547" s="49"/>
      <c r="Y547" s="49"/>
      <c r="Z547" s="50"/>
      <c r="AA547" s="50"/>
    </row>
    <row r="548" spans="1:27" ht="16.5" customHeight="1" thickBot="1" x14ac:dyDescent="0.35">
      <c r="A548" s="96"/>
      <c r="B548" s="96"/>
      <c r="C548" s="34" t="s">
        <v>129</v>
      </c>
      <c r="D548" s="35">
        <f t="shared" ref="D548:L548" si="178">IF(((D546="")*AND(D547="")),"",(D546-D547)*3)</f>
        <v>10310.52</v>
      </c>
      <c r="E548" s="35">
        <f t="shared" si="178"/>
        <v>10334.129999999997</v>
      </c>
      <c r="F548" s="35">
        <f t="shared" si="178"/>
        <v>10132.949999999993</v>
      </c>
      <c r="G548" s="35">
        <f t="shared" si="178"/>
        <v>10174.469999999994</v>
      </c>
      <c r="H548" s="35">
        <f t="shared" si="178"/>
        <v>9906.8999999999978</v>
      </c>
      <c r="I548" s="35">
        <f t="shared" si="178"/>
        <v>10351.740000000005</v>
      </c>
      <c r="J548" s="35">
        <f t="shared" si="178"/>
        <v>10278.510000000006</v>
      </c>
      <c r="K548" s="35">
        <f t="shared" si="178"/>
        <v>10260.330000000002</v>
      </c>
      <c r="L548" s="35">
        <f t="shared" si="178"/>
        <v>10245.629999999997</v>
      </c>
      <c r="M548" s="36"/>
      <c r="N548" s="36"/>
      <c r="O548" s="36"/>
      <c r="P548" s="36"/>
      <c r="Q548" s="36"/>
      <c r="R548" s="37"/>
      <c r="S548" s="38"/>
      <c r="T548" s="57"/>
      <c r="U548" s="52"/>
      <c r="V548" s="51"/>
      <c r="W548" s="51"/>
      <c r="X548" s="52"/>
      <c r="Y548" s="52"/>
      <c r="Z548" s="53"/>
      <c r="AA548" s="53"/>
    </row>
    <row r="549" spans="1:27" x14ac:dyDescent="0.3">
      <c r="A549" s="97">
        <v>43297</v>
      </c>
      <c r="B549" s="117" t="s">
        <v>431</v>
      </c>
      <c r="C549" s="26" t="s">
        <v>126</v>
      </c>
      <c r="D549" s="16">
        <v>28939.32</v>
      </c>
      <c r="E549" s="16">
        <v>28886.7</v>
      </c>
      <c r="F549" s="16">
        <v>28939.52</v>
      </c>
      <c r="G549" s="16">
        <v>28881.23</v>
      </c>
      <c r="H549" s="16">
        <v>28976.15</v>
      </c>
      <c r="I549" s="16">
        <v>28971.53</v>
      </c>
      <c r="J549" s="16">
        <v>28876.45</v>
      </c>
      <c r="K549" s="16">
        <v>28877.3</v>
      </c>
      <c r="L549" s="16">
        <v>28946.98</v>
      </c>
      <c r="M549" s="27">
        <f>IF((L550=""),"",MAX(D551:L551))</f>
        <v>10871.910000000003</v>
      </c>
      <c r="N549" s="27">
        <f>IF(L550="","",MIN(D551:L551))</f>
        <v>10345.890000000003</v>
      </c>
      <c r="O549" s="27">
        <f>IF((L551=""),"",AVERAGE(D551:L551))</f>
        <v>10723.460000000001</v>
      </c>
      <c r="P549" s="27">
        <f>IF((L550=""),"",STDEV(D551:L551))</f>
        <v>154.71301044191461</v>
      </c>
      <c r="Q549" s="27">
        <f>IF((L550=""),"",P549/O549*100)</f>
        <v>1.4427527163985745</v>
      </c>
      <c r="R549" s="28" t="str">
        <f>IF(L550="","",IF(Q549&lt;Z549,IF(N549&gt;V549,IF(M549&lt;W549,"Pass","Fail"),"Fail"),"Fail"))</f>
        <v>Pass</v>
      </c>
      <c r="S549" s="29">
        <v>121</v>
      </c>
      <c r="T549" s="55"/>
      <c r="U549" s="40"/>
      <c r="V549" s="54">
        <v>10000</v>
      </c>
      <c r="W549" s="22">
        <v>15600</v>
      </c>
      <c r="X549" s="40">
        <v>8090</v>
      </c>
      <c r="Y549" s="40">
        <v>12070</v>
      </c>
      <c r="Z549" s="47">
        <v>6</v>
      </c>
      <c r="AA549" s="47">
        <v>6</v>
      </c>
    </row>
    <row r="550" spans="1:27" ht="15.75" customHeight="1" x14ac:dyDescent="0.3">
      <c r="A550" s="96"/>
      <c r="B550" s="96"/>
      <c r="C550" s="30" t="s">
        <v>128</v>
      </c>
      <c r="D550" s="16">
        <v>25367.31</v>
      </c>
      <c r="E550" s="16">
        <v>25262.73</v>
      </c>
      <c r="F550" s="16">
        <v>25365.31</v>
      </c>
      <c r="G550" s="16">
        <v>25301.52</v>
      </c>
      <c r="H550" s="16">
        <v>25527.52</v>
      </c>
      <c r="I550" s="16">
        <v>25405.119999999999</v>
      </c>
      <c r="J550" s="16">
        <v>25285.439999999999</v>
      </c>
      <c r="K550" s="16">
        <v>25254.69</v>
      </c>
      <c r="L550" s="16">
        <v>25355.16</v>
      </c>
      <c r="M550" s="31"/>
      <c r="N550" s="31"/>
      <c r="O550" s="31"/>
      <c r="P550" s="31"/>
      <c r="Q550" s="31"/>
      <c r="R550" s="32"/>
      <c r="S550" s="33"/>
      <c r="T550" s="56"/>
      <c r="V550" s="48"/>
      <c r="W550" s="48"/>
      <c r="X550" s="49"/>
      <c r="Y550" s="49"/>
      <c r="Z550" s="50"/>
      <c r="AA550" s="50"/>
    </row>
    <row r="551" spans="1:27" ht="16.5" customHeight="1" thickBot="1" x14ac:dyDescent="0.35">
      <c r="A551" s="96"/>
      <c r="B551" s="96"/>
      <c r="C551" s="34" t="s">
        <v>129</v>
      </c>
      <c r="D551" s="35">
        <f t="shared" ref="D551:L551" si="179">IF(((D549="")*AND(D550="")),"",(D549-D550)*3)</f>
        <v>10716.029999999995</v>
      </c>
      <c r="E551" s="35">
        <f t="shared" si="179"/>
        <v>10871.910000000003</v>
      </c>
      <c r="F551" s="35">
        <f t="shared" si="179"/>
        <v>10722.629999999997</v>
      </c>
      <c r="G551" s="35">
        <f t="shared" si="179"/>
        <v>10739.129999999997</v>
      </c>
      <c r="H551" s="35">
        <f t="shared" si="179"/>
        <v>10345.890000000003</v>
      </c>
      <c r="I551" s="35">
        <f t="shared" si="179"/>
        <v>10699.23</v>
      </c>
      <c r="J551" s="35">
        <f t="shared" si="179"/>
        <v>10773.030000000006</v>
      </c>
      <c r="K551" s="35">
        <f t="shared" si="179"/>
        <v>10867.830000000002</v>
      </c>
      <c r="L551" s="35">
        <f t="shared" si="179"/>
        <v>10775.46</v>
      </c>
      <c r="M551" s="36"/>
      <c r="N551" s="36"/>
      <c r="O551" s="36"/>
      <c r="P551" s="36"/>
      <c r="Q551" s="36"/>
      <c r="R551" s="37"/>
      <c r="S551" s="38"/>
      <c r="T551" s="57"/>
      <c r="U551" s="52"/>
      <c r="V551" s="51"/>
      <c r="W551" s="51"/>
      <c r="X551" s="52"/>
      <c r="Y551" s="52"/>
      <c r="Z551" s="53"/>
      <c r="AA551" s="53"/>
    </row>
    <row r="552" spans="1:27" x14ac:dyDescent="0.3">
      <c r="A552" s="97">
        <v>43301</v>
      </c>
      <c r="B552" s="117" t="s">
        <v>431</v>
      </c>
      <c r="C552" s="26" t="s">
        <v>126</v>
      </c>
      <c r="D552" s="16">
        <v>28946.400000000001</v>
      </c>
      <c r="E552" s="16">
        <v>28846.639999999999</v>
      </c>
      <c r="F552" s="16">
        <v>28840.83</v>
      </c>
      <c r="G552" s="16">
        <v>28834.22</v>
      </c>
      <c r="H552" s="16">
        <v>28930.71</v>
      </c>
      <c r="I552" s="16">
        <v>28907.599999999999</v>
      </c>
      <c r="J552" s="16">
        <v>28834.19</v>
      </c>
      <c r="K552" s="16">
        <v>28827.91</v>
      </c>
      <c r="L552" s="16">
        <v>28947.37</v>
      </c>
      <c r="M552" s="27">
        <f>IF((L553=""),"",MAX(D554:L554))</f>
        <v>10017.449999999993</v>
      </c>
      <c r="N552" s="27">
        <f>IF(L553="","",MIN(D554:L554))</f>
        <v>9523.4099999999926</v>
      </c>
      <c r="O552" s="27">
        <f>IF((L554=""),"",AVERAGE(D554:L554))</f>
        <v>9874.2899999999991</v>
      </c>
      <c r="P552" s="27">
        <f>IF((L553=""),"",STDEV(D554:L554))</f>
        <v>143.93122107451245</v>
      </c>
      <c r="Q552" s="27">
        <f>IF((L553=""),"",P552/O552*100)</f>
        <v>1.4576361548477152</v>
      </c>
      <c r="R552" s="28" t="str">
        <f>IF(L553="","",IF(Q552&lt;Z552,IF(N552&gt;V552,IF(M552&lt;W552,"Pass","Fail"),"Fail"),"Fail"))</f>
        <v>Fail</v>
      </c>
      <c r="S552" s="29"/>
      <c r="T552" s="55"/>
      <c r="U552" s="40"/>
      <c r="V552" s="54">
        <v>10000</v>
      </c>
      <c r="W552" s="22">
        <v>15600</v>
      </c>
      <c r="X552" s="40">
        <v>8090</v>
      </c>
      <c r="Y552" s="40">
        <v>12070</v>
      </c>
      <c r="Z552" s="47">
        <v>6</v>
      </c>
      <c r="AA552" s="47">
        <v>6</v>
      </c>
    </row>
    <row r="553" spans="1:27" ht="15.75" customHeight="1" x14ac:dyDescent="0.3">
      <c r="A553" s="96"/>
      <c r="B553" s="96"/>
      <c r="C553" s="30" t="s">
        <v>128</v>
      </c>
      <c r="D553" s="16">
        <v>25629.54</v>
      </c>
      <c r="E553" s="16">
        <v>25507.49</v>
      </c>
      <c r="F553" s="16">
        <v>25560.02</v>
      </c>
      <c r="G553" s="16">
        <v>25556.44</v>
      </c>
      <c r="H553" s="16">
        <v>25756.240000000002</v>
      </c>
      <c r="I553" s="16">
        <v>25594.66</v>
      </c>
      <c r="J553" s="16">
        <v>25514.18</v>
      </c>
      <c r="K553" s="16">
        <v>25521.55</v>
      </c>
      <c r="L553" s="16">
        <v>25652.880000000001</v>
      </c>
      <c r="M553" s="31"/>
      <c r="N553" s="31"/>
      <c r="O553" s="31"/>
      <c r="P553" s="31"/>
      <c r="Q553" s="31"/>
      <c r="R553" s="32"/>
      <c r="S553" s="33"/>
      <c r="T553" s="56"/>
      <c r="V553" s="48"/>
      <c r="W553" s="48"/>
      <c r="X553" s="49"/>
      <c r="Y553" s="49"/>
      <c r="Z553" s="50"/>
      <c r="AA553" s="50"/>
    </row>
    <row r="554" spans="1:27" ht="16.5" customHeight="1" thickBot="1" x14ac:dyDescent="0.35">
      <c r="A554" s="96"/>
      <c r="B554" s="96"/>
      <c r="C554" s="34" t="s">
        <v>129</v>
      </c>
      <c r="D554" s="35">
        <f t="shared" ref="D554:L554" si="180">IF(((D552="")*AND(D553="")),"",(D552-D553)*3)</f>
        <v>9950.5800000000017</v>
      </c>
      <c r="E554" s="35">
        <f t="shared" si="180"/>
        <v>10017.449999999993</v>
      </c>
      <c r="F554" s="35">
        <f t="shared" si="180"/>
        <v>9842.4300000000039</v>
      </c>
      <c r="G554" s="35">
        <f t="shared" si="180"/>
        <v>9833.3400000000074</v>
      </c>
      <c r="H554" s="35">
        <f t="shared" si="180"/>
        <v>9523.4099999999926</v>
      </c>
      <c r="I554" s="35">
        <f t="shared" si="180"/>
        <v>9938.8199999999961</v>
      </c>
      <c r="J554" s="35">
        <f t="shared" si="180"/>
        <v>9960.0299999999952</v>
      </c>
      <c r="K554" s="35">
        <f t="shared" si="180"/>
        <v>9919.0800000000017</v>
      </c>
      <c r="L554" s="35">
        <f t="shared" si="180"/>
        <v>9883.4699999999939</v>
      </c>
      <c r="M554" s="36"/>
      <c r="N554" s="36"/>
      <c r="O554" s="36"/>
      <c r="P554" s="36"/>
      <c r="Q554" s="36"/>
      <c r="R554" s="37"/>
      <c r="S554" s="38"/>
      <c r="T554" s="57"/>
      <c r="U554" s="52"/>
      <c r="V554" s="51"/>
      <c r="W554" s="51"/>
      <c r="X554" s="52"/>
      <c r="Y554" s="52"/>
      <c r="Z554" s="53"/>
      <c r="AA554" s="53"/>
    </row>
    <row r="555" spans="1:27" x14ac:dyDescent="0.3">
      <c r="A555" s="97">
        <v>43301</v>
      </c>
      <c r="B555" s="117" t="s">
        <v>431</v>
      </c>
      <c r="C555" s="26" t="s">
        <v>126</v>
      </c>
      <c r="D555" s="16">
        <v>28934.15</v>
      </c>
      <c r="E555" s="16">
        <v>28841.24</v>
      </c>
      <c r="F555" s="16">
        <v>28834.65</v>
      </c>
      <c r="G555" s="16">
        <v>28826.78</v>
      </c>
      <c r="H555" s="16">
        <v>28918.63</v>
      </c>
      <c r="I555" s="16">
        <v>28918.85</v>
      </c>
      <c r="J555" s="16">
        <v>28822.560000000001</v>
      </c>
      <c r="K555" s="16">
        <v>28827.45</v>
      </c>
      <c r="L555" s="16">
        <v>28934.240000000002</v>
      </c>
      <c r="M555" s="27">
        <f>IF((L556=""),"",MAX(D557:L557))</f>
        <v>11256.450000000004</v>
      </c>
      <c r="N555" s="27">
        <f>IF(L556="","",MIN(D557:L557))</f>
        <v>10737.780000000006</v>
      </c>
      <c r="O555" s="27">
        <f>IF((L557=""),"",AVERAGE(D557:L557))</f>
        <v>11092.16666666667</v>
      </c>
      <c r="P555" s="27">
        <f>IF((L556=""),"",STDEV(D557:L557))</f>
        <v>163.32610875178412</v>
      </c>
      <c r="Q555" s="27">
        <f>IF((L556=""),"",P555/O555*100)</f>
        <v>1.4724454983407276</v>
      </c>
      <c r="R555" s="28" t="str">
        <f>IF(L556="","",IF(Q555&lt;Z555,IF(N555&gt;V555,IF(M555&lt;W555,"Pass","Fail"),"Fail"),"Fail"))</f>
        <v>Pass</v>
      </c>
      <c r="S555" s="29"/>
      <c r="T555" s="55"/>
      <c r="U555" s="40"/>
      <c r="V555" s="54">
        <v>10000</v>
      </c>
      <c r="W555" s="22">
        <v>15600</v>
      </c>
      <c r="X555" s="40">
        <v>8090</v>
      </c>
      <c r="Y555" s="40">
        <v>12070</v>
      </c>
      <c r="Z555" s="47">
        <v>6</v>
      </c>
      <c r="AA555" s="47">
        <v>6</v>
      </c>
    </row>
    <row r="556" spans="1:27" ht="15.75" customHeight="1" x14ac:dyDescent="0.3">
      <c r="A556" s="96"/>
      <c r="B556" s="96"/>
      <c r="C556" s="30" t="s">
        <v>128</v>
      </c>
      <c r="D556" s="16">
        <v>25220.44</v>
      </c>
      <c r="E556" s="16">
        <v>25089.09</v>
      </c>
      <c r="F556" s="16">
        <v>25153.77</v>
      </c>
      <c r="G556" s="16">
        <v>25121.73</v>
      </c>
      <c r="H556" s="16">
        <v>25339.37</v>
      </c>
      <c r="I556" s="16">
        <v>25180.23</v>
      </c>
      <c r="J556" s="16">
        <v>25082</v>
      </c>
      <c r="K556" s="16">
        <v>25111.22</v>
      </c>
      <c r="L556" s="16">
        <v>25284.2</v>
      </c>
      <c r="M556" s="31"/>
      <c r="N556" s="31"/>
      <c r="O556" s="31"/>
      <c r="P556" s="31"/>
      <c r="Q556" s="31"/>
      <c r="R556" s="32"/>
      <c r="S556" s="33"/>
      <c r="T556" s="56"/>
      <c r="V556" s="48"/>
      <c r="W556" s="48"/>
      <c r="X556" s="49"/>
      <c r="Y556" s="49"/>
      <c r="Z556" s="50"/>
      <c r="AA556" s="50"/>
    </row>
    <row r="557" spans="1:27" ht="16.5" customHeight="1" thickBot="1" x14ac:dyDescent="0.35">
      <c r="A557" s="96"/>
      <c r="B557" s="96"/>
      <c r="C557" s="34" t="s">
        <v>129</v>
      </c>
      <c r="D557" s="35">
        <f t="shared" ref="D557:L557" si="181">IF(((D555="")*AND(D556="")),"",(D555-D556)*3)</f>
        <v>11141.130000000008</v>
      </c>
      <c r="E557" s="35">
        <f t="shared" si="181"/>
        <v>11256.450000000004</v>
      </c>
      <c r="F557" s="35">
        <f t="shared" si="181"/>
        <v>11042.640000000003</v>
      </c>
      <c r="G557" s="35">
        <f t="shared" si="181"/>
        <v>11115.149999999998</v>
      </c>
      <c r="H557" s="35">
        <f t="shared" si="181"/>
        <v>10737.780000000006</v>
      </c>
      <c r="I557" s="35">
        <f t="shared" si="181"/>
        <v>11215.859999999997</v>
      </c>
      <c r="J557" s="35">
        <f t="shared" si="181"/>
        <v>11221.680000000004</v>
      </c>
      <c r="K557" s="35">
        <f t="shared" si="181"/>
        <v>11148.689999999999</v>
      </c>
      <c r="L557" s="35">
        <f t="shared" si="181"/>
        <v>10950.120000000003</v>
      </c>
      <c r="M557" s="36"/>
      <c r="N557" s="36"/>
      <c r="O557" s="36"/>
      <c r="P557" s="36"/>
      <c r="Q557" s="36"/>
      <c r="R557" s="37"/>
      <c r="S557" s="38"/>
      <c r="T557" s="57"/>
      <c r="U557" s="52"/>
      <c r="V557" s="51"/>
      <c r="W557" s="51"/>
      <c r="X557" s="52"/>
      <c r="Y557" s="52"/>
      <c r="Z557" s="53"/>
      <c r="AA557" s="53"/>
    </row>
    <row r="558" spans="1:27" x14ac:dyDescent="0.3">
      <c r="A558" s="97">
        <v>43304</v>
      </c>
      <c r="B558" s="117" t="s">
        <v>431</v>
      </c>
      <c r="C558" s="26" t="s">
        <v>126</v>
      </c>
      <c r="D558" s="16">
        <v>28076.35</v>
      </c>
      <c r="E558" s="16">
        <v>28054.05</v>
      </c>
      <c r="F558" s="16">
        <v>28105.05</v>
      </c>
      <c r="G558" s="16">
        <v>28019.03</v>
      </c>
      <c r="H558" s="16">
        <v>27943.49</v>
      </c>
      <c r="I558" s="16">
        <v>27982.16</v>
      </c>
      <c r="J558" s="16">
        <v>28014.18</v>
      </c>
      <c r="K558" s="16">
        <v>28040.84</v>
      </c>
      <c r="L558" s="16">
        <v>27996.7</v>
      </c>
      <c r="M558" s="27">
        <f>IF((L559=""),"",MAX(D560:L560))</f>
        <v>13550.759999999995</v>
      </c>
      <c r="N558" s="27">
        <f>IF(L559="","",MIN(D560:L560))</f>
        <v>8886.3900000000031</v>
      </c>
      <c r="O558" s="27">
        <f>IF((L560=""),"",AVERAGE(D560:L560))</f>
        <v>10843.13333333333</v>
      </c>
      <c r="P558" s="27">
        <f>IF((L559=""),"",STDEV(D560:L560))</f>
        <v>1453.4762024195734</v>
      </c>
      <c r="Q558" s="27">
        <f>IF((L559=""),"",P558/O558*100)</f>
        <v>13.40457741999152</v>
      </c>
      <c r="R558" s="28" t="str">
        <f>IF(L559="","",IF(Q558&lt;Z558,IF(N558&gt;V558,IF(M558&lt;W558,"Pass","Fail"),"Fail"),"Fail"))</f>
        <v>Fail</v>
      </c>
      <c r="S558" s="29">
        <v>1340</v>
      </c>
      <c r="T558" s="55"/>
      <c r="U558" s="40"/>
      <c r="V558" s="54">
        <v>10000</v>
      </c>
      <c r="W558" s="22">
        <v>15600</v>
      </c>
      <c r="X558" s="40">
        <v>8090</v>
      </c>
      <c r="Y558" s="40">
        <v>12070</v>
      </c>
      <c r="Z558" s="47">
        <v>6</v>
      </c>
      <c r="AA558" s="47">
        <v>6</v>
      </c>
    </row>
    <row r="559" spans="1:27" ht="15.75" customHeight="1" x14ac:dyDescent="0.3">
      <c r="A559" s="96"/>
      <c r="B559" s="96"/>
      <c r="C559" s="30" t="s">
        <v>128</v>
      </c>
      <c r="D559" s="16">
        <v>24866.54</v>
      </c>
      <c r="E559" s="16">
        <v>24494.77</v>
      </c>
      <c r="F559" s="16">
        <v>23588.13</v>
      </c>
      <c r="G559" s="16">
        <v>23894.5</v>
      </c>
      <c r="H559" s="16">
        <v>24981.360000000001</v>
      </c>
      <c r="I559" s="16">
        <v>24645.08</v>
      </c>
      <c r="J559" s="16">
        <v>24702.6</v>
      </c>
      <c r="K559" s="16">
        <v>24327.4</v>
      </c>
      <c r="L559" s="16">
        <v>24202.07</v>
      </c>
      <c r="M559" s="31"/>
      <c r="N559" s="31"/>
      <c r="O559" s="31"/>
      <c r="P559" s="31"/>
      <c r="Q559" s="31"/>
      <c r="R559" s="32"/>
      <c r="S559" s="33"/>
      <c r="T559" s="56"/>
      <c r="V559" s="48"/>
      <c r="W559" s="48"/>
      <c r="X559" s="49"/>
      <c r="Y559" s="49"/>
      <c r="Z559" s="50"/>
      <c r="AA559" s="50"/>
    </row>
    <row r="560" spans="1:27" ht="16.5" customHeight="1" thickBot="1" x14ac:dyDescent="0.35">
      <c r="A560" s="96"/>
      <c r="B560" s="96"/>
      <c r="C560" s="34" t="s">
        <v>129</v>
      </c>
      <c r="D560" s="35">
        <f>IF(((D558="")*AND(D559="")),"",(D558-D559)*3)</f>
        <v>9629.429999999993</v>
      </c>
      <c r="E560" s="35">
        <f t="shared" ref="E560:L560" si="182">IF(((E558="")*AND(E559="")),"",(E558-E559)*3)</f>
        <v>10677.839999999997</v>
      </c>
      <c r="F560" s="35">
        <f t="shared" si="182"/>
        <v>13550.759999999995</v>
      </c>
      <c r="G560" s="35">
        <f t="shared" si="182"/>
        <v>12373.589999999997</v>
      </c>
      <c r="H560" s="35">
        <f t="shared" si="182"/>
        <v>8886.3900000000031</v>
      </c>
      <c r="I560" s="35">
        <f t="shared" si="182"/>
        <v>10011.239999999994</v>
      </c>
      <c r="J560" s="35">
        <f t="shared" si="182"/>
        <v>9934.7400000000052</v>
      </c>
      <c r="K560" s="35">
        <f t="shared" si="182"/>
        <v>11140.319999999996</v>
      </c>
      <c r="L560" s="35">
        <f t="shared" si="182"/>
        <v>11383.890000000003</v>
      </c>
      <c r="M560" s="36"/>
      <c r="N560" s="36"/>
      <c r="O560" s="36"/>
      <c r="P560" s="36"/>
      <c r="Q560" s="36"/>
      <c r="R560" s="37"/>
      <c r="S560" s="38"/>
      <c r="T560" s="57"/>
      <c r="U560" s="52"/>
      <c r="V560" s="51"/>
      <c r="W560" s="51"/>
      <c r="X560" s="52"/>
      <c r="Y560" s="52"/>
      <c r="Z560" s="53"/>
      <c r="AA560" s="53"/>
    </row>
    <row r="561" spans="1:27" x14ac:dyDescent="0.3">
      <c r="A561" s="97">
        <v>43304</v>
      </c>
      <c r="B561" s="117" t="s">
        <v>431</v>
      </c>
      <c r="C561" s="26" t="s">
        <v>126</v>
      </c>
      <c r="D561" s="16">
        <v>28930.13</v>
      </c>
      <c r="E561" s="16">
        <v>28843.32</v>
      </c>
      <c r="F561" s="16">
        <v>28903.47</v>
      </c>
      <c r="G561" s="16">
        <v>28852.12</v>
      </c>
      <c r="H561" s="16">
        <v>28892.2</v>
      </c>
      <c r="I561" s="16">
        <v>28920.31</v>
      </c>
      <c r="J561" s="16">
        <v>28847.19</v>
      </c>
      <c r="K561" s="16">
        <v>28842.19</v>
      </c>
      <c r="L561" s="16">
        <v>28892.94</v>
      </c>
      <c r="M561" s="27">
        <f>IF((L562=""),"",MAX(D563:L563))</f>
        <v>10907.129999999997</v>
      </c>
      <c r="N561" s="27">
        <f>IF(L562="","",MIN(D563:L563))</f>
        <v>10596.870000000003</v>
      </c>
      <c r="O561" s="27">
        <f>IF((L563=""),"",AVERAGE(D563:L563))</f>
        <v>10793.33</v>
      </c>
      <c r="P561" s="27">
        <f>IF((L562=""),"",STDEV(D563:L563))</f>
        <v>102.90278895637215</v>
      </c>
      <c r="Q561" s="27">
        <f>IF((L562=""),"",P561/O561*100)</f>
        <v>0.95339240953785476</v>
      </c>
      <c r="R561" s="28" t="str">
        <f>IF(L562="","",IF(Q561&lt;Z561,IF(N561&gt;V561,IF(M561&lt;W561,"Pass","Fail"),"Fail"),"Fail"))</f>
        <v>Pass</v>
      </c>
      <c r="S561" s="29">
        <v>1159</v>
      </c>
      <c r="T561" s="55" t="s">
        <v>232</v>
      </c>
      <c r="U561" s="40"/>
      <c r="V561" s="54">
        <v>10000</v>
      </c>
      <c r="W561" s="22">
        <v>15600</v>
      </c>
      <c r="X561" s="40">
        <v>8090</v>
      </c>
      <c r="Y561" s="40">
        <v>12070</v>
      </c>
      <c r="Z561" s="47">
        <v>6</v>
      </c>
      <c r="AA561" s="47">
        <v>6</v>
      </c>
    </row>
    <row r="562" spans="1:27" ht="15.75" customHeight="1" x14ac:dyDescent="0.3">
      <c r="A562" s="96"/>
      <c r="B562" s="96"/>
      <c r="C562" s="30" t="s">
        <v>128</v>
      </c>
      <c r="D562" s="16">
        <v>25397.84</v>
      </c>
      <c r="E562" s="16">
        <v>25263</v>
      </c>
      <c r="F562" s="16">
        <v>25346.66</v>
      </c>
      <c r="G562" s="16">
        <v>25232.55</v>
      </c>
      <c r="H562" s="16">
        <v>25287.67</v>
      </c>
      <c r="I562" s="16">
        <v>25298.43</v>
      </c>
      <c r="J562" s="16">
        <v>25237.5</v>
      </c>
      <c r="K562" s="16">
        <v>25223</v>
      </c>
      <c r="L562" s="16">
        <v>25257.23</v>
      </c>
      <c r="M562" s="31"/>
      <c r="N562" s="31"/>
      <c r="O562" s="31"/>
      <c r="P562" s="31"/>
      <c r="Q562" s="31"/>
      <c r="R562" s="32"/>
      <c r="S562" s="33"/>
      <c r="T562" s="56"/>
      <c r="V562" s="48"/>
      <c r="W562" s="48"/>
      <c r="X562" s="49"/>
      <c r="Y562" s="49"/>
      <c r="Z562" s="50"/>
      <c r="AA562" s="50"/>
    </row>
    <row r="563" spans="1:27" ht="16.5" customHeight="1" thickBot="1" x14ac:dyDescent="0.35">
      <c r="A563" s="96"/>
      <c r="B563" s="96"/>
      <c r="C563" s="34" t="s">
        <v>129</v>
      </c>
      <c r="D563" s="35">
        <f t="shared" ref="D563:L563" si="183">IF(((D561="")*AND(D562="")),"",(D561-D562)*3)</f>
        <v>10596.870000000003</v>
      </c>
      <c r="E563" s="35">
        <f t="shared" si="183"/>
        <v>10740.96</v>
      </c>
      <c r="F563" s="35">
        <f t="shared" si="183"/>
        <v>10670.430000000004</v>
      </c>
      <c r="G563" s="35">
        <f t="shared" si="183"/>
        <v>10858.71</v>
      </c>
      <c r="H563" s="35">
        <f t="shared" si="183"/>
        <v>10813.590000000007</v>
      </c>
      <c r="I563" s="35">
        <f t="shared" si="183"/>
        <v>10865.640000000003</v>
      </c>
      <c r="J563" s="35">
        <f t="shared" si="183"/>
        <v>10829.069999999996</v>
      </c>
      <c r="K563" s="35">
        <f t="shared" si="183"/>
        <v>10857.569999999996</v>
      </c>
      <c r="L563" s="35">
        <f t="shared" si="183"/>
        <v>10907.129999999997</v>
      </c>
      <c r="M563" s="36"/>
      <c r="N563" s="36"/>
      <c r="O563" s="36"/>
      <c r="P563" s="36"/>
      <c r="Q563" s="36"/>
      <c r="R563" s="37"/>
      <c r="S563" s="38"/>
      <c r="T563" s="57"/>
      <c r="U563" s="52"/>
      <c r="V563" s="51"/>
      <c r="W563" s="51"/>
      <c r="X563" s="52"/>
      <c r="Y563" s="52"/>
      <c r="Z563" s="53"/>
      <c r="AA563" s="53"/>
    </row>
    <row r="564" spans="1:27" x14ac:dyDescent="0.3">
      <c r="A564" s="97">
        <v>43308</v>
      </c>
      <c r="B564" s="117" t="s">
        <v>431</v>
      </c>
      <c r="C564" s="26" t="s">
        <v>126</v>
      </c>
      <c r="D564" s="16">
        <v>29289.61</v>
      </c>
      <c r="E564" s="16">
        <v>29208.75</v>
      </c>
      <c r="F564" s="16">
        <v>29223.34</v>
      </c>
      <c r="G564" s="16">
        <v>29214.07</v>
      </c>
      <c r="H564" s="16">
        <v>29297.94</v>
      </c>
      <c r="I564" s="16">
        <v>29253.86</v>
      </c>
      <c r="J564" s="16">
        <v>29210.18</v>
      </c>
      <c r="K564" s="16">
        <v>29214.67</v>
      </c>
      <c r="L564" s="16">
        <v>29310.42</v>
      </c>
      <c r="M564" s="27">
        <f>IF((L565=""),"",MAX(D566:L566))</f>
        <v>12390.149999999998</v>
      </c>
      <c r="N564" s="27">
        <f>IF(L565="","",MIN(D566:L566))</f>
        <v>11991.930000000004</v>
      </c>
      <c r="O564" s="27">
        <f>IF((L566=""),"",AVERAGE(D566:L566))</f>
        <v>12225.546666666667</v>
      </c>
      <c r="P564" s="27">
        <f>IF((L565=""),"",STDEV(D566:L566))</f>
        <v>128.86704262533399</v>
      </c>
      <c r="Q564" s="27">
        <f>IF((L565=""),"",P564/O564*100)</f>
        <v>1.0540800026283814</v>
      </c>
      <c r="R564" s="28" t="str">
        <f>IF(L565="","",IF(Q564&lt;Z564,IF(N564&gt;V564,IF(M564&lt;W564,"Pass","Fail"),"Fail"),"Fail"))</f>
        <v>Pass</v>
      </c>
      <c r="S564" s="29">
        <v>121</v>
      </c>
      <c r="T564" s="55"/>
      <c r="U564" s="40"/>
      <c r="V564" s="54">
        <v>10000</v>
      </c>
      <c r="W564" s="22">
        <v>15600</v>
      </c>
      <c r="X564" s="40">
        <v>8090</v>
      </c>
      <c r="Y564" s="40">
        <v>12070</v>
      </c>
      <c r="Z564" s="47">
        <v>6</v>
      </c>
      <c r="AA564" s="47">
        <v>6</v>
      </c>
    </row>
    <row r="565" spans="1:27" ht="15.75" customHeight="1" x14ac:dyDescent="0.3">
      <c r="A565" s="96"/>
      <c r="B565" s="96"/>
      <c r="C565" s="30" t="s">
        <v>128</v>
      </c>
      <c r="D565" s="16">
        <v>25292.3</v>
      </c>
      <c r="E565" s="16">
        <v>25128.9</v>
      </c>
      <c r="F565" s="16">
        <v>25167.23</v>
      </c>
      <c r="G565" s="16">
        <v>25102</v>
      </c>
      <c r="H565" s="16">
        <v>25227.05</v>
      </c>
      <c r="I565" s="16">
        <v>25225.7</v>
      </c>
      <c r="J565" s="16">
        <v>25122.639999999999</v>
      </c>
      <c r="K565" s="16">
        <v>25100.01</v>
      </c>
      <c r="L565" s="16">
        <v>25180.37</v>
      </c>
      <c r="M565" s="31"/>
      <c r="N565" s="31"/>
      <c r="O565" s="31"/>
      <c r="P565" s="31"/>
      <c r="Q565" s="31"/>
      <c r="R565" s="32"/>
      <c r="S565" s="33"/>
      <c r="T565" s="56"/>
      <c r="V565" s="48"/>
      <c r="W565" s="48"/>
      <c r="X565" s="49"/>
      <c r="Y565" s="49"/>
      <c r="Z565" s="50"/>
      <c r="AA565" s="50"/>
    </row>
    <row r="566" spans="1:27" ht="16.5" customHeight="1" thickBot="1" x14ac:dyDescent="0.35">
      <c r="A566" s="96"/>
      <c r="B566" s="96"/>
      <c r="C566" s="34" t="s">
        <v>129</v>
      </c>
      <c r="D566" s="35">
        <f t="shared" ref="D566:L566" si="184">IF(((D564="")*AND(D565="")),"",(D564-D565)*3)</f>
        <v>11991.930000000004</v>
      </c>
      <c r="E566" s="35">
        <f t="shared" si="184"/>
        <v>12239.549999999996</v>
      </c>
      <c r="F566" s="35">
        <f t="shared" si="184"/>
        <v>12168.330000000002</v>
      </c>
      <c r="G566" s="35">
        <f t="shared" si="184"/>
        <v>12336.21</v>
      </c>
      <c r="H566" s="35">
        <f t="shared" si="184"/>
        <v>12212.669999999998</v>
      </c>
      <c r="I566" s="35">
        <f t="shared" si="184"/>
        <v>12084.48</v>
      </c>
      <c r="J566" s="35">
        <f t="shared" si="184"/>
        <v>12262.620000000003</v>
      </c>
      <c r="K566" s="35">
        <f t="shared" si="184"/>
        <v>12343.98</v>
      </c>
      <c r="L566" s="35">
        <f t="shared" si="184"/>
        <v>12390.149999999998</v>
      </c>
      <c r="M566" s="36"/>
      <c r="N566" s="36"/>
      <c r="O566" s="36"/>
      <c r="P566" s="36"/>
      <c r="Q566" s="36"/>
      <c r="R566" s="37"/>
      <c r="S566" s="38"/>
      <c r="T566" s="57"/>
      <c r="U566" s="52"/>
      <c r="V566" s="51"/>
      <c r="W566" s="51"/>
      <c r="X566" s="52"/>
      <c r="Y566" s="52"/>
      <c r="Z566" s="53"/>
      <c r="AA566" s="53"/>
    </row>
    <row r="567" spans="1:27" x14ac:dyDescent="0.3">
      <c r="A567" s="97">
        <v>43312</v>
      </c>
      <c r="B567" s="117" t="s">
        <v>431</v>
      </c>
      <c r="C567" s="26" t="s">
        <v>126</v>
      </c>
      <c r="D567" s="16">
        <v>29264.79</v>
      </c>
      <c r="E567" s="16">
        <v>29181.72</v>
      </c>
      <c r="F567" s="16">
        <v>29218.89</v>
      </c>
      <c r="G567" s="16">
        <v>29160.89</v>
      </c>
      <c r="H567" s="16">
        <v>29226.16</v>
      </c>
      <c r="I567" s="16">
        <v>29221.48</v>
      </c>
      <c r="J567" s="16">
        <v>29169.41</v>
      </c>
      <c r="K567" s="16">
        <v>29168.17</v>
      </c>
      <c r="L567" s="16">
        <v>29243.13</v>
      </c>
      <c r="M567" s="27">
        <f>IF((L568=""),"",MAX(D569:L569))</f>
        <v>11483.310000000001</v>
      </c>
      <c r="N567" s="27">
        <f>IF(L568="","",MIN(D569:L569))</f>
        <v>11064.120000000003</v>
      </c>
      <c r="O567" s="27">
        <f>IF((L569=""),"",AVERAGE(D569:L569))</f>
        <v>11376.371249999998</v>
      </c>
      <c r="P567" s="27">
        <f>IF((L568=""),"",STDEV(D569:L569))</f>
        <v>134.01646385399124</v>
      </c>
      <c r="Q567" s="27">
        <f>IF((L568=""),"",P567/O567*100)</f>
        <v>1.1780247049690056</v>
      </c>
      <c r="R567" s="28" t="str">
        <f>IF(L568="","",IF(Q567&lt;Z567,IF(N567&gt;V567,IF(M567&lt;W567,"Pass","Fail"),"Fail"),"Fail"))</f>
        <v>Pass</v>
      </c>
      <c r="S567" s="29">
        <v>1428</v>
      </c>
      <c r="T567" s="55" t="s">
        <v>233</v>
      </c>
      <c r="U567" s="40"/>
      <c r="V567" s="54">
        <v>10000</v>
      </c>
      <c r="W567" s="22">
        <v>15600</v>
      </c>
      <c r="X567" s="40">
        <v>8090</v>
      </c>
      <c r="Y567" s="40">
        <v>12070</v>
      </c>
      <c r="Z567" s="47">
        <v>6</v>
      </c>
      <c r="AA567" s="47">
        <v>6</v>
      </c>
    </row>
    <row r="568" spans="1:27" ht="15.75" customHeight="1" x14ac:dyDescent="0.3">
      <c r="A568" s="96"/>
      <c r="B568" s="96"/>
      <c r="C568" s="30" t="s">
        <v>128</v>
      </c>
      <c r="D568" s="16">
        <v>25469.53</v>
      </c>
      <c r="E568" s="16">
        <v>25353.95</v>
      </c>
      <c r="F568" s="16">
        <v>25422.55</v>
      </c>
      <c r="G568" s="16">
        <v>25383.37</v>
      </c>
      <c r="H568" s="16">
        <v>25538.12</v>
      </c>
      <c r="I568" s="16">
        <v>25402.95</v>
      </c>
      <c r="J568" s="16">
        <v>25356.240000000002</v>
      </c>
      <c r="K568" s="16">
        <v>25359.43</v>
      </c>
      <c r="L568" s="16">
        <v>25436.25</v>
      </c>
      <c r="M568" s="31">
        <v>1</v>
      </c>
      <c r="N568" s="31"/>
      <c r="O568" s="31"/>
      <c r="P568" s="31"/>
      <c r="Q568" s="31"/>
      <c r="R568" s="32"/>
      <c r="S568" s="33"/>
      <c r="T568" s="56"/>
      <c r="V568" s="48"/>
      <c r="W568" s="48"/>
      <c r="X568" s="49"/>
      <c r="Y568" s="49"/>
      <c r="Z568" s="50"/>
      <c r="AA568" s="50"/>
    </row>
    <row r="569" spans="1:27" ht="16.5" customHeight="1" thickBot="1" x14ac:dyDescent="0.35">
      <c r="A569" s="96"/>
      <c r="B569" s="96"/>
      <c r="C569" s="34" t="s">
        <v>129</v>
      </c>
      <c r="D569" s="35"/>
      <c r="E569" s="35">
        <f t="shared" ref="E569:L569" si="185">IF(((E567="")*AND(E568="")),"",(E567-E568)*3)</f>
        <v>11483.310000000001</v>
      </c>
      <c r="F569" s="35">
        <f t="shared" si="185"/>
        <v>11389.02</v>
      </c>
      <c r="G569" s="35">
        <f t="shared" si="185"/>
        <v>11332.560000000001</v>
      </c>
      <c r="H569" s="35">
        <f t="shared" si="185"/>
        <v>11064.120000000003</v>
      </c>
      <c r="I569" s="35">
        <f t="shared" si="185"/>
        <v>11455.589999999997</v>
      </c>
      <c r="J569" s="35">
        <f t="shared" si="185"/>
        <v>11439.509999999995</v>
      </c>
      <c r="K569" s="35">
        <f t="shared" si="185"/>
        <v>11426.219999999994</v>
      </c>
      <c r="L569" s="35">
        <f t="shared" si="185"/>
        <v>11420.640000000003</v>
      </c>
      <c r="M569" s="36"/>
      <c r="N569" s="36"/>
      <c r="O569" s="36"/>
      <c r="P569" s="36"/>
      <c r="Q569" s="36"/>
      <c r="R569" s="37"/>
      <c r="S569" s="38"/>
      <c r="T569" s="57"/>
      <c r="U569" s="52"/>
      <c r="V569" s="51"/>
      <c r="W569" s="51"/>
      <c r="X569" s="52"/>
      <c r="Y569" s="52"/>
      <c r="Z569" s="53"/>
      <c r="AA569" s="53"/>
    </row>
    <row r="570" spans="1:27" x14ac:dyDescent="0.3">
      <c r="A570" s="97">
        <v>43317</v>
      </c>
      <c r="B570" s="117" t="s">
        <v>431</v>
      </c>
      <c r="C570" s="26" t="s">
        <v>126</v>
      </c>
      <c r="D570" s="16">
        <v>28862.06</v>
      </c>
      <c r="E570" s="16">
        <v>28803.05</v>
      </c>
      <c r="F570" s="16">
        <v>28863.72</v>
      </c>
      <c r="G570" s="16">
        <v>28796.87</v>
      </c>
      <c r="H570" s="16">
        <v>28872.9</v>
      </c>
      <c r="I570" s="16">
        <v>28864.81</v>
      </c>
      <c r="J570" s="16">
        <v>28790.11</v>
      </c>
      <c r="K570" s="16">
        <v>28799.21</v>
      </c>
      <c r="L570" s="16">
        <v>28838.22</v>
      </c>
      <c r="M570" s="27">
        <f>IF((L571=""),"",MAX(D572:L572))</f>
        <v>11647.679999999993</v>
      </c>
      <c r="N570" s="27">
        <f>IF(L571="","",MIN(D572:L572))</f>
        <v>11095.44000000001</v>
      </c>
      <c r="O570" s="27">
        <f>IF((L572=""),"",AVERAGE(D572:L572))</f>
        <v>11502.843333333334</v>
      </c>
      <c r="P570" s="27">
        <f>IF((L571=""),"",STDEV(D572:L572))</f>
        <v>168.3350421035351</v>
      </c>
      <c r="Q570" s="27">
        <f>IF((L571=""),"",P570/O570*100)</f>
        <v>1.4634211492364504</v>
      </c>
      <c r="R570" s="28" t="str">
        <f>IF(L571="","",IF(Q570&lt;Z570,IF(N570&gt;V570,IF(M570&lt;W570,"Pass","Fail"),"Fail"),"Fail"))</f>
        <v>Pass</v>
      </c>
      <c r="S570" s="29">
        <v>1340</v>
      </c>
      <c r="T570" s="55"/>
      <c r="U570" s="40"/>
      <c r="V570" s="54">
        <v>10000</v>
      </c>
      <c r="W570" s="22">
        <v>15600</v>
      </c>
      <c r="X570" s="40">
        <v>8090</v>
      </c>
      <c r="Y570" s="40">
        <v>12070</v>
      </c>
      <c r="Z570" s="47">
        <v>6</v>
      </c>
      <c r="AA570" s="47">
        <v>6</v>
      </c>
    </row>
    <row r="571" spans="1:27" ht="15.75" customHeight="1" x14ac:dyDescent="0.3">
      <c r="A571" s="96"/>
      <c r="B571" s="96"/>
      <c r="C571" s="30" t="s">
        <v>128</v>
      </c>
      <c r="D571" s="16">
        <v>25037.83</v>
      </c>
      <c r="E571" s="16">
        <v>24926.42</v>
      </c>
      <c r="F571" s="16">
        <v>25032.31</v>
      </c>
      <c r="G571" s="16">
        <v>24978.87</v>
      </c>
      <c r="H571" s="16">
        <v>25174.42</v>
      </c>
      <c r="I571" s="16">
        <v>25005.96</v>
      </c>
      <c r="J571" s="16">
        <v>24945.13</v>
      </c>
      <c r="K571" s="16">
        <v>24916.65</v>
      </c>
      <c r="L571" s="16">
        <v>24964.83</v>
      </c>
      <c r="M571" s="31"/>
      <c r="N571" s="31"/>
      <c r="O571" s="31"/>
      <c r="P571" s="31"/>
      <c r="Q571" s="31"/>
      <c r="R571" s="32"/>
      <c r="S571" s="33"/>
      <c r="T571" s="56"/>
      <c r="V571" s="48"/>
      <c r="W571" s="48"/>
      <c r="X571" s="49"/>
      <c r="Y571" s="49"/>
      <c r="Z571" s="50"/>
      <c r="AA571" s="50"/>
    </row>
    <row r="572" spans="1:27" ht="16.5" customHeight="1" thickBot="1" x14ac:dyDescent="0.35">
      <c r="A572" s="96"/>
      <c r="B572" s="96"/>
      <c r="C572" s="34" t="s">
        <v>129</v>
      </c>
      <c r="D572" s="35">
        <f t="shared" ref="D572:L572" si="186">IF(((D570="")*AND(D571="")),"",(D570-D571)*3)</f>
        <v>11472.689999999999</v>
      </c>
      <c r="E572" s="35">
        <f t="shared" si="186"/>
        <v>11629.890000000003</v>
      </c>
      <c r="F572" s="35">
        <f t="shared" si="186"/>
        <v>11494.23</v>
      </c>
      <c r="G572" s="35">
        <f t="shared" si="186"/>
        <v>11454</v>
      </c>
      <c r="H572" s="35">
        <f t="shared" si="186"/>
        <v>11095.44000000001</v>
      </c>
      <c r="I572" s="35">
        <f t="shared" si="186"/>
        <v>11576.550000000007</v>
      </c>
      <c r="J572" s="35">
        <f t="shared" si="186"/>
        <v>11534.939999999999</v>
      </c>
      <c r="K572" s="35">
        <f t="shared" si="186"/>
        <v>11647.679999999993</v>
      </c>
      <c r="L572" s="35">
        <f t="shared" si="186"/>
        <v>11620.169999999998</v>
      </c>
      <c r="M572" s="36"/>
      <c r="N572" s="36"/>
      <c r="O572" s="36"/>
      <c r="P572" s="36"/>
      <c r="Q572" s="36"/>
      <c r="R572" s="37"/>
      <c r="S572" s="38"/>
      <c r="T572" s="57"/>
      <c r="U572" s="52"/>
      <c r="V572" s="51"/>
      <c r="W572" s="51"/>
      <c r="X572" s="52"/>
      <c r="Y572" s="52"/>
      <c r="Z572" s="53"/>
      <c r="AA572" s="53"/>
    </row>
    <row r="573" spans="1:27" x14ac:dyDescent="0.3">
      <c r="A573" s="97">
        <v>43321</v>
      </c>
      <c r="B573" s="117" t="s">
        <v>431</v>
      </c>
      <c r="C573" s="26" t="s">
        <v>126</v>
      </c>
      <c r="D573" s="16">
        <v>29184.48</v>
      </c>
      <c r="E573" s="16">
        <v>29134.71</v>
      </c>
      <c r="F573" s="16">
        <v>29166.54</v>
      </c>
      <c r="G573" s="16">
        <v>29133.040000000001</v>
      </c>
      <c r="H573" s="16">
        <v>29232.03</v>
      </c>
      <c r="I573" s="16">
        <v>29188.28</v>
      </c>
      <c r="J573" s="16">
        <v>29128.53</v>
      </c>
      <c r="K573" s="16">
        <v>29129.93</v>
      </c>
      <c r="L573" s="16">
        <v>29140</v>
      </c>
      <c r="M573" s="27">
        <f>IF((L574=""),"",MAX(D575:L575))</f>
        <v>11718.689999999999</v>
      </c>
      <c r="N573" s="27">
        <f>IF(L574="","",MIN(D575:L575))</f>
        <v>11526.929999999993</v>
      </c>
      <c r="O573" s="27">
        <f>IF((L575=""),"",AVERAGE(D575:L575))</f>
        <v>11637.869999999997</v>
      </c>
      <c r="P573" s="27">
        <f>IF((L574=""),"",STDEV(D575:L575))</f>
        <v>73.287425763223339</v>
      </c>
      <c r="Q573" s="27">
        <f>IF((L574=""),"",P573/O573*100)</f>
        <v>0.62973229433928513</v>
      </c>
      <c r="R573" s="28" t="str">
        <f>IF(L574="","",IF(Q573&lt;Z573,IF(N573&gt;V573,IF(M573&lt;W573,"Pass","Fail"),"Fail"),"Fail"))</f>
        <v>Pass</v>
      </c>
      <c r="S573" s="29"/>
      <c r="T573" s="55"/>
      <c r="U573" s="40"/>
      <c r="V573" s="54">
        <v>10000</v>
      </c>
      <c r="W573" s="22">
        <v>15600</v>
      </c>
      <c r="X573" s="40">
        <v>8090</v>
      </c>
      <c r="Y573" s="40">
        <v>12070</v>
      </c>
      <c r="Z573" s="47">
        <v>6</v>
      </c>
      <c r="AA573" s="47">
        <v>6</v>
      </c>
    </row>
    <row r="574" spans="1:27" ht="15.75" customHeight="1" x14ac:dyDescent="0.3">
      <c r="A574" s="96"/>
      <c r="B574" s="96"/>
      <c r="C574" s="30" t="s">
        <v>128</v>
      </c>
      <c r="D574" s="16">
        <v>25299.86</v>
      </c>
      <c r="E574" s="16">
        <v>25231.5</v>
      </c>
      <c r="F574" s="16">
        <v>25315.68</v>
      </c>
      <c r="G574" s="16">
        <v>25260.9</v>
      </c>
      <c r="H574" s="16">
        <v>25389.72</v>
      </c>
      <c r="I574" s="16">
        <v>25286.9</v>
      </c>
      <c r="J574" s="16">
        <v>25222.3</v>
      </c>
      <c r="K574" s="16">
        <v>25234.57</v>
      </c>
      <c r="L574" s="16">
        <v>25282.5</v>
      </c>
      <c r="M574" s="31"/>
      <c r="N574" s="31"/>
      <c r="O574" s="31"/>
      <c r="P574" s="31"/>
      <c r="Q574" s="31"/>
      <c r="R574" s="32"/>
      <c r="S574" s="33"/>
      <c r="T574" s="56"/>
      <c r="V574" s="48"/>
      <c r="W574" s="48"/>
      <c r="X574" s="49"/>
      <c r="Y574" s="49"/>
      <c r="Z574" s="50"/>
      <c r="AA574" s="50"/>
    </row>
    <row r="575" spans="1:27" ht="16.5" customHeight="1" thickBot="1" x14ac:dyDescent="0.35">
      <c r="A575" s="96"/>
      <c r="B575" s="96"/>
      <c r="C575" s="34" t="s">
        <v>129</v>
      </c>
      <c r="D575" s="35">
        <f t="shared" ref="D575:L575" si="187">IF(((D573="")*AND(D574="")),"",(D573-D574)*3)</f>
        <v>11653.859999999997</v>
      </c>
      <c r="E575" s="35">
        <f t="shared" si="187"/>
        <v>11709.629999999997</v>
      </c>
      <c r="F575" s="35">
        <f t="shared" si="187"/>
        <v>11552.580000000002</v>
      </c>
      <c r="G575" s="35">
        <f t="shared" si="187"/>
        <v>11616.419999999998</v>
      </c>
      <c r="H575" s="35">
        <f t="shared" si="187"/>
        <v>11526.929999999993</v>
      </c>
      <c r="I575" s="35">
        <f t="shared" si="187"/>
        <v>11704.139999999992</v>
      </c>
      <c r="J575" s="35">
        <f t="shared" si="187"/>
        <v>11718.689999999999</v>
      </c>
      <c r="K575" s="35">
        <f t="shared" si="187"/>
        <v>11686.080000000002</v>
      </c>
      <c r="L575" s="35">
        <f t="shared" si="187"/>
        <v>11572.5</v>
      </c>
      <c r="M575" s="36"/>
      <c r="N575" s="36"/>
      <c r="O575" s="36"/>
      <c r="P575" s="36"/>
      <c r="Q575" s="36"/>
      <c r="R575" s="37"/>
      <c r="S575" s="38"/>
      <c r="T575" s="57"/>
      <c r="U575" s="52"/>
      <c r="V575" s="51"/>
      <c r="W575" s="51"/>
      <c r="X575" s="52"/>
      <c r="Y575" s="52"/>
      <c r="Z575" s="53"/>
      <c r="AA575" s="53"/>
    </row>
    <row r="576" spans="1:27" x14ac:dyDescent="0.3">
      <c r="A576" s="97">
        <v>43326</v>
      </c>
      <c r="B576" s="117" t="s">
        <v>431</v>
      </c>
      <c r="C576" s="26" t="s">
        <v>126</v>
      </c>
      <c r="D576" s="16">
        <v>29108.46</v>
      </c>
      <c r="E576" s="16">
        <v>29045.02</v>
      </c>
      <c r="F576" s="16">
        <v>29080.97</v>
      </c>
      <c r="G576" s="16">
        <v>29035.87</v>
      </c>
      <c r="H576" s="16">
        <v>29093.93</v>
      </c>
      <c r="I576" s="16">
        <v>29091.29</v>
      </c>
      <c r="J576" s="16">
        <v>29033.360000000001</v>
      </c>
      <c r="K576" s="16">
        <v>29054.639999999999</v>
      </c>
      <c r="L576" s="16">
        <v>29130.14</v>
      </c>
      <c r="M576" s="27">
        <f>IF((L577=""),"",MAX(D578:L578))</f>
        <v>10958.370000000003</v>
      </c>
      <c r="N576" s="27">
        <f>IF(L577="","",MIN(D578:L578))</f>
        <v>10612.649999999998</v>
      </c>
      <c r="O576" s="27">
        <f>IF((L578=""),"",AVERAGE(D578:L578))</f>
        <v>10863.356666666668</v>
      </c>
      <c r="P576" s="27">
        <f>IF((L577=""),"",STDEV(D578:L578))</f>
        <v>111.78507782794829</v>
      </c>
      <c r="Q576" s="27">
        <f>IF((L577=""),"",P576/O576*100)</f>
        <v>1.0290104730792071</v>
      </c>
      <c r="R576" s="28" t="str">
        <f>IF(L577="","",IF(Q576&lt;Z576,IF(N576&gt;V576,IF(M576&lt;W576,"Pass","Fail"),"Fail"),"Fail"))</f>
        <v>Pass</v>
      </c>
      <c r="S576" s="29">
        <v>1159</v>
      </c>
      <c r="T576" s="55" t="s">
        <v>234</v>
      </c>
      <c r="U576" s="40"/>
      <c r="V576" s="54">
        <v>10000</v>
      </c>
      <c r="W576" s="22">
        <v>15600</v>
      </c>
      <c r="X576" s="40">
        <v>8090</v>
      </c>
      <c r="Y576" s="40">
        <v>12070</v>
      </c>
      <c r="Z576" s="47">
        <v>6</v>
      </c>
      <c r="AA576" s="47">
        <v>6</v>
      </c>
    </row>
    <row r="577" spans="1:27" ht="15.75" customHeight="1" x14ac:dyDescent="0.3">
      <c r="A577" s="96"/>
      <c r="B577" s="96"/>
      <c r="C577" s="30" t="s">
        <v>128</v>
      </c>
      <c r="D577" s="16">
        <v>25570.91</v>
      </c>
      <c r="E577" s="16">
        <v>25429.16</v>
      </c>
      <c r="F577" s="16">
        <v>25488.54</v>
      </c>
      <c r="G577" s="16">
        <v>25403.71</v>
      </c>
      <c r="H577" s="16">
        <v>25474.959999999999</v>
      </c>
      <c r="I577" s="16">
        <v>25439.599999999999</v>
      </c>
      <c r="J577" s="16">
        <v>25397.21</v>
      </c>
      <c r="K577" s="16">
        <v>25401.85</v>
      </c>
      <c r="L577" s="16">
        <v>25477.67</v>
      </c>
      <c r="M577" s="31"/>
      <c r="N577" s="31"/>
      <c r="O577" s="31"/>
      <c r="P577" s="31"/>
      <c r="Q577" s="31"/>
      <c r="R577" s="32"/>
      <c r="S577" s="33"/>
      <c r="T577" s="56"/>
      <c r="V577" s="48"/>
      <c r="W577" s="48"/>
      <c r="X577" s="49"/>
      <c r="Y577" s="49"/>
      <c r="Z577" s="50"/>
      <c r="AA577" s="50"/>
    </row>
    <row r="578" spans="1:27" ht="16.5" customHeight="1" thickBot="1" x14ac:dyDescent="0.35">
      <c r="A578" s="96"/>
      <c r="B578" s="96"/>
      <c r="C578" s="34" t="s">
        <v>129</v>
      </c>
      <c r="D578" s="35">
        <f t="shared" ref="D578:L578" si="188">IF(((D576="")*AND(D577="")),"",(D576-D577)*3)</f>
        <v>10612.649999999998</v>
      </c>
      <c r="E578" s="35">
        <f t="shared" si="188"/>
        <v>10847.580000000002</v>
      </c>
      <c r="F578" s="35">
        <f t="shared" si="188"/>
        <v>10777.29</v>
      </c>
      <c r="G578" s="35">
        <f t="shared" si="188"/>
        <v>10896.48</v>
      </c>
      <c r="H578" s="35">
        <f t="shared" si="188"/>
        <v>10856.910000000003</v>
      </c>
      <c r="I578" s="35">
        <f t="shared" si="188"/>
        <v>10955.070000000007</v>
      </c>
      <c r="J578" s="35">
        <f t="shared" si="188"/>
        <v>10908.450000000004</v>
      </c>
      <c r="K578" s="35">
        <f t="shared" si="188"/>
        <v>10958.370000000003</v>
      </c>
      <c r="L578" s="35">
        <f t="shared" si="188"/>
        <v>10957.410000000003</v>
      </c>
      <c r="M578" s="36"/>
      <c r="N578" s="36"/>
      <c r="O578" s="36"/>
      <c r="P578" s="36"/>
      <c r="Q578" s="36"/>
      <c r="R578" s="37"/>
      <c r="S578" s="38"/>
      <c r="T578" s="57"/>
      <c r="U578" s="52"/>
      <c r="V578" s="51"/>
      <c r="W578" s="51"/>
      <c r="X578" s="52"/>
      <c r="Y578" s="52"/>
      <c r="Z578" s="53"/>
      <c r="AA578" s="53"/>
    </row>
    <row r="579" spans="1:27" x14ac:dyDescent="0.3">
      <c r="A579" s="97">
        <v>43332</v>
      </c>
      <c r="B579" s="117" t="s">
        <v>431</v>
      </c>
      <c r="C579" s="26" t="s">
        <v>126</v>
      </c>
      <c r="D579" s="16">
        <v>29091.68</v>
      </c>
      <c r="E579" s="16">
        <v>29031.41</v>
      </c>
      <c r="F579" s="16">
        <v>29070.080000000002</v>
      </c>
      <c r="G579" s="16">
        <v>29028.26</v>
      </c>
      <c r="H579" s="16">
        <v>29096.1</v>
      </c>
      <c r="I579" s="16">
        <v>29083.88</v>
      </c>
      <c r="J579" s="16">
        <v>29024.080000000002</v>
      </c>
      <c r="K579" s="16">
        <v>29028.71</v>
      </c>
      <c r="L579" s="16">
        <v>29079.88</v>
      </c>
      <c r="M579" s="27">
        <f>IF((L580=""),"",MAX(D581:L581))</f>
        <v>12004.529999999995</v>
      </c>
      <c r="N579" s="27">
        <f>IF(L580="","",MIN(D581:L581))</f>
        <v>11570.879999999997</v>
      </c>
      <c r="O579" s="27">
        <f>IF((L581=""),"",AVERAGE(D581:L581))</f>
        <v>11889.636666666667</v>
      </c>
      <c r="P579" s="27">
        <f>IF((L580=""),"",STDEV(D581:L581))</f>
        <v>134.29617595077011</v>
      </c>
      <c r="Q579" s="27">
        <f>IF((L580=""),"",P579/O579*100)</f>
        <v>1.1295229594969689</v>
      </c>
      <c r="R579" s="28" t="str">
        <f>IF(L580="","",IF(Q579&lt;Z579,IF(N579&gt;V579,IF(M579&lt;W579,"Pass","Fail"),"Fail"),"Fail"))</f>
        <v>Pass</v>
      </c>
      <c r="S579" s="29">
        <v>1340</v>
      </c>
      <c r="T579" s="55"/>
      <c r="U579" s="40"/>
      <c r="V579" s="54">
        <v>10000</v>
      </c>
      <c r="W579" s="22">
        <v>15600</v>
      </c>
      <c r="X579" s="40">
        <v>8090</v>
      </c>
      <c r="Y579" s="40">
        <v>12070</v>
      </c>
      <c r="Z579" s="47">
        <v>6</v>
      </c>
      <c r="AA579" s="47">
        <v>6</v>
      </c>
    </row>
    <row r="580" spans="1:27" ht="15.75" customHeight="1" x14ac:dyDescent="0.3">
      <c r="A580" s="96"/>
      <c r="B580" s="96"/>
      <c r="C580" s="30" t="s">
        <v>128</v>
      </c>
      <c r="D580" s="16">
        <v>25141</v>
      </c>
      <c r="E580" s="16">
        <v>25029.9</v>
      </c>
      <c r="F580" s="16">
        <v>25112.98</v>
      </c>
      <c r="G580" s="16">
        <v>25062.94</v>
      </c>
      <c r="H580" s="16">
        <v>25239.14</v>
      </c>
      <c r="I580" s="16">
        <v>25093.53</v>
      </c>
      <c r="J580" s="16">
        <v>25027.05</v>
      </c>
      <c r="K580" s="16">
        <v>25032.29</v>
      </c>
      <c r="L580" s="16">
        <v>25126.34</v>
      </c>
      <c r="M580" s="31"/>
      <c r="N580" s="31"/>
      <c r="O580" s="31"/>
      <c r="P580" s="31"/>
      <c r="Q580" s="31"/>
      <c r="R580" s="32"/>
      <c r="S580" s="33"/>
      <c r="T580" s="56"/>
      <c r="V580" s="48"/>
      <c r="W580" s="48"/>
      <c r="X580" s="49"/>
      <c r="Y580" s="49"/>
      <c r="Z580" s="50"/>
      <c r="AA580" s="50"/>
    </row>
    <row r="581" spans="1:27" ht="16.5" customHeight="1" thickBot="1" x14ac:dyDescent="0.35">
      <c r="A581" s="96"/>
      <c r="B581" s="96"/>
      <c r="C581" s="34" t="s">
        <v>129</v>
      </c>
      <c r="D581" s="35">
        <f t="shared" ref="D581:L581" si="189">IF(((D579="")*AND(D580="")),"",(D579-D580)*3)</f>
        <v>11852.04</v>
      </c>
      <c r="E581" s="35">
        <f t="shared" si="189"/>
        <v>12004.529999999995</v>
      </c>
      <c r="F581" s="35">
        <f t="shared" si="189"/>
        <v>11871.300000000007</v>
      </c>
      <c r="G581" s="35">
        <f t="shared" si="189"/>
        <v>11895.96</v>
      </c>
      <c r="H581" s="35">
        <f t="shared" si="189"/>
        <v>11570.879999999997</v>
      </c>
      <c r="I581" s="35">
        <f t="shared" si="189"/>
        <v>11971.050000000007</v>
      </c>
      <c r="J581" s="35">
        <f t="shared" si="189"/>
        <v>11991.090000000007</v>
      </c>
      <c r="K581" s="35">
        <f t="shared" si="189"/>
        <v>11989.259999999995</v>
      </c>
      <c r="L581" s="35">
        <f t="shared" si="189"/>
        <v>11860.620000000003</v>
      </c>
      <c r="M581" s="36"/>
      <c r="N581" s="36"/>
      <c r="O581" s="36"/>
      <c r="P581" s="36"/>
      <c r="Q581" s="36"/>
      <c r="R581" s="37"/>
      <c r="S581" s="38"/>
      <c r="T581" s="57"/>
      <c r="U581" s="52"/>
      <c r="V581" s="51"/>
      <c r="W581" s="51"/>
      <c r="X581" s="52"/>
      <c r="Y581" s="52"/>
      <c r="Z581" s="53"/>
      <c r="AA581" s="53"/>
    </row>
    <row r="582" spans="1:27" x14ac:dyDescent="0.3">
      <c r="A582" s="97">
        <v>43336</v>
      </c>
      <c r="B582" s="117" t="s">
        <v>431</v>
      </c>
      <c r="C582" s="26" t="s">
        <v>126</v>
      </c>
      <c r="D582" s="16">
        <v>29184</v>
      </c>
      <c r="E582" s="16">
        <v>29080</v>
      </c>
      <c r="F582" s="16">
        <v>29073</v>
      </c>
      <c r="G582" s="16">
        <v>29084</v>
      </c>
      <c r="H582" s="16">
        <v>29169</v>
      </c>
      <c r="I582" s="16">
        <v>29146</v>
      </c>
      <c r="J582" s="16">
        <v>29082</v>
      </c>
      <c r="K582" s="16">
        <v>29089</v>
      </c>
      <c r="L582" s="16">
        <v>29164</v>
      </c>
      <c r="M582" s="27">
        <f>IF((L583=""),"",MAX(D584:L584))</f>
        <v>11637</v>
      </c>
      <c r="N582" s="27">
        <f>IF(L583="","",MIN(D584:L584))</f>
        <v>11220</v>
      </c>
      <c r="O582" s="27">
        <f>IF((L584=""),"",AVERAGE(D584:L584))</f>
        <v>11525.666666666666</v>
      </c>
      <c r="P582" s="27">
        <f>IF((L583=""),"",STDEV(D584:L584))</f>
        <v>138.55684753919599</v>
      </c>
      <c r="Q582" s="27">
        <f>IF((L583=""),"",P582/O582*100)</f>
        <v>1.2021590728449199</v>
      </c>
      <c r="R582" s="28" t="str">
        <f>IF(L583="","",IF(Q582&lt;Z582,IF(N582&gt;V582,IF(M582&lt;W582,"Pass","Fail"),"Fail"),"Fail"))</f>
        <v>Pass</v>
      </c>
      <c r="S582" s="29">
        <v>1340</v>
      </c>
      <c r="T582" s="55"/>
      <c r="U582" s="40"/>
      <c r="V582" s="54">
        <v>10000</v>
      </c>
      <c r="W582" s="22">
        <v>15600</v>
      </c>
      <c r="X582" s="40">
        <v>8090</v>
      </c>
      <c r="Y582" s="40">
        <v>12070</v>
      </c>
      <c r="Z582" s="47">
        <v>6</v>
      </c>
      <c r="AA582" s="47">
        <v>6</v>
      </c>
    </row>
    <row r="583" spans="1:27" ht="15.75" customHeight="1" x14ac:dyDescent="0.3">
      <c r="A583" s="96"/>
      <c r="B583" s="96"/>
      <c r="C583" s="30" t="s">
        <v>128</v>
      </c>
      <c r="D583" s="16">
        <v>25323</v>
      </c>
      <c r="E583" s="16">
        <v>25214</v>
      </c>
      <c r="F583" s="16">
        <v>25271</v>
      </c>
      <c r="G583" s="16">
        <v>25258</v>
      </c>
      <c r="H583" s="16">
        <v>25429</v>
      </c>
      <c r="I583" s="16">
        <v>25267</v>
      </c>
      <c r="J583" s="16">
        <v>25233</v>
      </c>
      <c r="K583" s="16">
        <v>25212</v>
      </c>
      <c r="L583" s="16">
        <v>25287</v>
      </c>
      <c r="M583" s="31"/>
      <c r="N583" s="31"/>
      <c r="O583" s="31"/>
      <c r="P583" s="31"/>
      <c r="Q583" s="31"/>
      <c r="R583" s="32"/>
      <c r="S583" s="33"/>
      <c r="T583" s="56"/>
      <c r="V583" s="48"/>
      <c r="W583" s="48"/>
      <c r="X583" s="49"/>
      <c r="Y583" s="49"/>
      <c r="Z583" s="50"/>
      <c r="AA583" s="50"/>
    </row>
    <row r="584" spans="1:27" ht="16.5" customHeight="1" thickBot="1" x14ac:dyDescent="0.35">
      <c r="A584" s="96"/>
      <c r="B584" s="96"/>
      <c r="C584" s="34" t="s">
        <v>129</v>
      </c>
      <c r="D584" s="35">
        <f t="shared" ref="D584:L584" si="190">IF(((D582="")*AND(D583="")),"",(D582-D583)*3)</f>
        <v>11583</v>
      </c>
      <c r="E584" s="35">
        <f t="shared" si="190"/>
        <v>11598</v>
      </c>
      <c r="F584" s="35">
        <f t="shared" si="190"/>
        <v>11406</v>
      </c>
      <c r="G584" s="35">
        <f t="shared" si="190"/>
        <v>11478</v>
      </c>
      <c r="H584" s="35">
        <f t="shared" si="190"/>
        <v>11220</v>
      </c>
      <c r="I584" s="35">
        <f t="shared" si="190"/>
        <v>11637</v>
      </c>
      <c r="J584" s="35">
        <f t="shared" si="190"/>
        <v>11547</v>
      </c>
      <c r="K584" s="35">
        <f t="shared" si="190"/>
        <v>11631</v>
      </c>
      <c r="L584" s="35">
        <f t="shared" si="190"/>
        <v>11631</v>
      </c>
      <c r="M584" s="36"/>
      <c r="N584" s="36"/>
      <c r="O584" s="36"/>
      <c r="P584" s="36"/>
      <c r="Q584" s="36"/>
      <c r="R584" s="37"/>
      <c r="S584" s="38"/>
      <c r="T584" s="57"/>
      <c r="U584" s="52"/>
      <c r="V584" s="51"/>
      <c r="W584" s="51"/>
      <c r="X584" s="52"/>
      <c r="Y584" s="52"/>
      <c r="Z584" s="53"/>
      <c r="AA584" s="53"/>
    </row>
    <row r="585" spans="1:27" x14ac:dyDescent="0.3">
      <c r="A585" s="97">
        <v>43339</v>
      </c>
      <c r="B585" s="117" t="s">
        <v>431</v>
      </c>
      <c r="C585" s="26" t="s">
        <v>126</v>
      </c>
      <c r="D585" s="16">
        <v>29109.1</v>
      </c>
      <c r="E585" s="16">
        <v>29020.46</v>
      </c>
      <c r="F585" s="16">
        <v>29030.44</v>
      </c>
      <c r="G585" s="16">
        <v>29014.41</v>
      </c>
      <c r="H585" s="16">
        <v>29068.16</v>
      </c>
      <c r="I585" s="16">
        <v>29098.13</v>
      </c>
      <c r="J585" s="16">
        <v>29015.38</v>
      </c>
      <c r="K585" s="16">
        <v>29015.25</v>
      </c>
      <c r="L585" s="16">
        <v>29102.51</v>
      </c>
      <c r="M585" s="27">
        <f>IF((L586=""),"",MAX(D587:L587))</f>
        <v>10006.409999999993</v>
      </c>
      <c r="N585" s="27">
        <f>IF(L586="","",MIN(D587:L587))</f>
        <v>9685.0800000000017</v>
      </c>
      <c r="O585" s="27">
        <f>IF((L587=""),"",AVERAGE(D587:L587))</f>
        <v>9848.0566666666637</v>
      </c>
      <c r="P585" s="27">
        <f>IF((L586=""),"",STDEV(D587:L587))</f>
        <v>124.45858688736534</v>
      </c>
      <c r="Q585" s="27">
        <f>IF((L586=""),"",P585/O585*100)</f>
        <v>1.2637882894056465</v>
      </c>
      <c r="R585" s="28" t="str">
        <f>IF(L586="","",IF(Q585&lt;Z585,IF(N585&gt;V585,IF(M585&lt;W585,"Pass","Fail"),"Fail"),"Fail"))</f>
        <v>Fail</v>
      </c>
      <c r="S585" s="29" t="s">
        <v>108</v>
      </c>
      <c r="T585" s="55" t="s">
        <v>302</v>
      </c>
      <c r="U585" s="40" t="s">
        <v>301</v>
      </c>
      <c r="V585" s="54">
        <v>10000</v>
      </c>
      <c r="W585" s="22">
        <v>15600</v>
      </c>
      <c r="X585" s="40">
        <v>8090</v>
      </c>
      <c r="Y585" s="40">
        <v>12070</v>
      </c>
      <c r="Z585" s="47">
        <v>6</v>
      </c>
      <c r="AA585" s="47">
        <v>6</v>
      </c>
    </row>
    <row r="586" spans="1:27" ht="15.75" customHeight="1" x14ac:dyDescent="0.3">
      <c r="A586" s="96"/>
      <c r="B586" s="96"/>
      <c r="C586" s="30" t="s">
        <v>128</v>
      </c>
      <c r="D586" s="16">
        <v>25783.23</v>
      </c>
      <c r="E586" s="16">
        <v>25736.65</v>
      </c>
      <c r="F586" s="16">
        <v>25795.3</v>
      </c>
      <c r="G586" s="16">
        <v>25764.84</v>
      </c>
      <c r="H586" s="16">
        <v>25839.8</v>
      </c>
      <c r="I586" s="16">
        <v>25765.03</v>
      </c>
      <c r="J586" s="16">
        <v>25748.65</v>
      </c>
      <c r="K586" s="16">
        <v>25729.13</v>
      </c>
      <c r="L586" s="16">
        <v>25767.040000000001</v>
      </c>
      <c r="M586" s="31"/>
      <c r="N586" s="31"/>
      <c r="O586" s="31"/>
      <c r="P586" s="31"/>
      <c r="Q586" s="31"/>
      <c r="R586" s="32"/>
      <c r="S586" s="33"/>
      <c r="T586" s="56"/>
      <c r="V586" s="48"/>
      <c r="W586" s="48"/>
      <c r="X586" s="49"/>
      <c r="Y586" s="49"/>
      <c r="Z586" s="50"/>
      <c r="AA586" s="50"/>
    </row>
    <row r="587" spans="1:27" ht="16.5" customHeight="1" thickBot="1" x14ac:dyDescent="0.35">
      <c r="A587" s="96"/>
      <c r="B587" s="96"/>
      <c r="C587" s="34" t="s">
        <v>129</v>
      </c>
      <c r="D587" s="35">
        <f t="shared" ref="D587:L587" si="191">IF(((D585="")*AND(D586="")),"",(D585-D586)*3)</f>
        <v>9977.6099999999969</v>
      </c>
      <c r="E587" s="35">
        <f t="shared" si="191"/>
        <v>9851.429999999993</v>
      </c>
      <c r="F587" s="35">
        <f t="shared" si="191"/>
        <v>9705.4199999999983</v>
      </c>
      <c r="G587" s="35">
        <f t="shared" si="191"/>
        <v>9748.7099999999991</v>
      </c>
      <c r="H587" s="35">
        <f t="shared" si="191"/>
        <v>9685.0800000000017</v>
      </c>
      <c r="I587" s="35">
        <f t="shared" si="191"/>
        <v>9999.3000000000065</v>
      </c>
      <c r="J587" s="35">
        <f t="shared" si="191"/>
        <v>9800.1899999999987</v>
      </c>
      <c r="K587" s="35">
        <f t="shared" si="191"/>
        <v>9858.3599999999969</v>
      </c>
      <c r="L587" s="35">
        <f t="shared" si="191"/>
        <v>10006.409999999993</v>
      </c>
      <c r="M587" s="36"/>
      <c r="N587" s="36"/>
      <c r="O587" s="36"/>
      <c r="P587" s="36"/>
      <c r="Q587" s="36"/>
      <c r="R587" s="37"/>
      <c r="S587" s="38"/>
      <c r="T587" s="57"/>
      <c r="U587" s="52"/>
      <c r="V587" s="51"/>
      <c r="W587" s="51"/>
      <c r="X587" s="52"/>
      <c r="Y587" s="52"/>
      <c r="Z587" s="53"/>
      <c r="AA587" s="53"/>
    </row>
    <row r="588" spans="1:27" x14ac:dyDescent="0.3">
      <c r="A588" s="97">
        <v>43340</v>
      </c>
      <c r="B588" s="117" t="s">
        <v>431</v>
      </c>
      <c r="C588" s="26" t="s">
        <v>126</v>
      </c>
      <c r="D588" s="16">
        <v>29102.720000000001</v>
      </c>
      <c r="E588" s="16">
        <v>29049.78</v>
      </c>
      <c r="F588" s="16">
        <v>29104.57</v>
      </c>
      <c r="G588" s="16">
        <v>29050.15</v>
      </c>
      <c r="H588" s="16">
        <v>29129.81</v>
      </c>
      <c r="I588" s="16">
        <v>29124.62</v>
      </c>
      <c r="J588" s="16">
        <v>29056.5</v>
      </c>
      <c r="K588" s="16">
        <v>29048.42</v>
      </c>
      <c r="L588" s="16">
        <v>29101.96</v>
      </c>
      <c r="M588" s="27">
        <f>IF((L589=""),"",MAX(D590:L590))</f>
        <v>10494.810000000001</v>
      </c>
      <c r="N588" s="27">
        <f>IF(L589="","",MIN(D590:L590))</f>
        <v>10157.219999999994</v>
      </c>
      <c r="O588" s="27">
        <f>IF((L590=""),"",AVERAGE(D590:L590))</f>
        <v>10289.909999999998</v>
      </c>
      <c r="P588" s="27">
        <f>IF((L589=""),"",STDEV(D590:L590))</f>
        <v>108.91469942115403</v>
      </c>
      <c r="Q588" s="27">
        <f>IF((L589=""),"",P588/O588*100)</f>
        <v>1.0584611470960781</v>
      </c>
      <c r="R588" s="28" t="str">
        <f>IF(L589="","",IF(Q588&lt;Z588,IF(N588&gt;V588,IF(M588&lt;W588,"Pass","Fail"),"Fail"),"Fail"))</f>
        <v>Pass</v>
      </c>
      <c r="S588" s="29">
        <v>74</v>
      </c>
      <c r="U588" s="55" t="s">
        <v>235</v>
      </c>
      <c r="V588" s="54">
        <v>10000</v>
      </c>
      <c r="W588" s="22">
        <v>15600</v>
      </c>
      <c r="X588" s="40">
        <v>8090</v>
      </c>
      <c r="Y588" s="40">
        <v>12070</v>
      </c>
      <c r="Z588" s="47">
        <v>6</v>
      </c>
      <c r="AA588" s="47">
        <v>6</v>
      </c>
    </row>
    <row r="589" spans="1:27" ht="15.75" customHeight="1" x14ac:dyDescent="0.3">
      <c r="A589" s="96"/>
      <c r="B589" s="96"/>
      <c r="C589" s="30" t="s">
        <v>128</v>
      </c>
      <c r="D589" s="16">
        <v>25707.14</v>
      </c>
      <c r="E589" s="16">
        <v>25645.29</v>
      </c>
      <c r="F589" s="16">
        <v>25718.83</v>
      </c>
      <c r="G589" s="16">
        <v>25623.75</v>
      </c>
      <c r="H589" s="16">
        <v>25663.360000000001</v>
      </c>
      <c r="I589" s="16">
        <v>25679.26</v>
      </c>
      <c r="J589" s="16">
        <v>25647.49</v>
      </c>
      <c r="K589" s="16">
        <v>25609.99</v>
      </c>
      <c r="L589" s="16">
        <v>25603.69</v>
      </c>
      <c r="M589" s="31"/>
      <c r="N589" s="31"/>
      <c r="O589" s="31"/>
      <c r="P589" s="31"/>
      <c r="Q589" s="31"/>
      <c r="R589" s="32"/>
      <c r="S589" s="33"/>
      <c r="T589" s="56"/>
      <c r="V589" s="48"/>
      <c r="W589" s="48"/>
      <c r="X589" s="49"/>
      <c r="Y589" s="49"/>
      <c r="Z589" s="50"/>
      <c r="AA589" s="50"/>
    </row>
    <row r="590" spans="1:27" ht="16.5" customHeight="1" thickBot="1" x14ac:dyDescent="0.35">
      <c r="A590" s="96"/>
      <c r="B590" s="96"/>
      <c r="C590" s="34" t="s">
        <v>129</v>
      </c>
      <c r="D590" s="35">
        <f t="shared" ref="D590:L590" si="192">IF(((D588="")*AND(D589="")),"",(D588-D589)*3)</f>
        <v>10186.740000000005</v>
      </c>
      <c r="E590" s="35">
        <f t="shared" si="192"/>
        <v>10213.469999999994</v>
      </c>
      <c r="F590" s="35">
        <f t="shared" si="192"/>
        <v>10157.219999999994</v>
      </c>
      <c r="G590" s="35">
        <f t="shared" si="192"/>
        <v>10279.200000000004</v>
      </c>
      <c r="H590" s="35">
        <f t="shared" si="192"/>
        <v>10399.350000000002</v>
      </c>
      <c r="I590" s="35">
        <f t="shared" si="192"/>
        <v>10336.080000000002</v>
      </c>
      <c r="J590" s="35">
        <f t="shared" si="192"/>
        <v>10227.029999999995</v>
      </c>
      <c r="K590" s="35">
        <f t="shared" si="192"/>
        <v>10315.28999999999</v>
      </c>
      <c r="L590" s="35">
        <f t="shared" si="192"/>
        <v>10494.810000000001</v>
      </c>
      <c r="M590" s="36"/>
      <c r="N590" s="36"/>
      <c r="O590" s="36"/>
      <c r="P590" s="36"/>
      <c r="Q590" s="36"/>
      <c r="R590" s="37"/>
      <c r="S590" s="38"/>
      <c r="T590" s="57"/>
      <c r="U590" s="52"/>
      <c r="V590" s="51"/>
      <c r="W590" s="51"/>
      <c r="X590" s="52"/>
      <c r="Y590" s="52"/>
      <c r="Z590" s="53"/>
      <c r="AA590" s="53"/>
    </row>
    <row r="591" spans="1:27" x14ac:dyDescent="0.3">
      <c r="A591" s="97">
        <v>43344</v>
      </c>
      <c r="B591" s="117" t="s">
        <v>431</v>
      </c>
      <c r="C591" s="26" t="s">
        <v>126</v>
      </c>
      <c r="D591" s="16">
        <v>29084.68</v>
      </c>
      <c r="E591" s="16">
        <v>29060.55</v>
      </c>
      <c r="F591" s="16">
        <v>29107.040000000001</v>
      </c>
      <c r="G591" s="16">
        <v>29007.95</v>
      </c>
      <c r="H591" s="16">
        <v>29149.48</v>
      </c>
      <c r="I591" s="16">
        <v>29072.12</v>
      </c>
      <c r="J591" s="16">
        <v>29013.73</v>
      </c>
      <c r="K591" s="16">
        <v>29029.88</v>
      </c>
      <c r="L591" s="16">
        <v>29129.24</v>
      </c>
      <c r="M591" s="27">
        <f>IF((L592=""),"",MAX(D593:L593))</f>
        <v>11979.630000000008</v>
      </c>
      <c r="N591" s="27">
        <f>IF(L592="","",MIN(D593:L593))</f>
        <v>11302.890000000003</v>
      </c>
      <c r="O591" s="27">
        <f>IF((L593=""),"",AVERAGE(D593:L593))</f>
        <v>11715.500000000004</v>
      </c>
      <c r="P591" s="27">
        <f>IF((L592=""),"",STDEV(D593:L593))</f>
        <v>189.00538861365933</v>
      </c>
      <c r="Q591" s="27">
        <f>IF((L592=""),"",P591/O591*100)</f>
        <v>1.6132934028736228</v>
      </c>
      <c r="R591" s="28" t="str">
        <f>IF(L592="","",IF(Q591&lt;Z591,IF(N591&gt;V591,IF(M591&lt;W591,"Pass","Fail"),"Fail"),"Fail"))</f>
        <v>Pass</v>
      </c>
      <c r="S591" s="29">
        <v>1335</v>
      </c>
      <c r="T591" s="55" t="s">
        <v>236</v>
      </c>
      <c r="U591" s="40"/>
      <c r="V591" s="54">
        <v>10000</v>
      </c>
      <c r="W591" s="22">
        <v>15600</v>
      </c>
      <c r="X591" s="40">
        <v>8090</v>
      </c>
      <c r="Y591" s="40">
        <v>12070</v>
      </c>
      <c r="Z591" s="47">
        <v>6</v>
      </c>
      <c r="AA591" s="47">
        <v>6</v>
      </c>
    </row>
    <row r="592" spans="1:27" ht="15.75" customHeight="1" x14ac:dyDescent="0.3">
      <c r="A592" s="96"/>
      <c r="B592" s="96"/>
      <c r="C592" s="30" t="s">
        <v>128</v>
      </c>
      <c r="D592" s="16">
        <v>25317.05</v>
      </c>
      <c r="E592" s="16">
        <v>25130.12</v>
      </c>
      <c r="F592" s="16">
        <v>25179.919999999998</v>
      </c>
      <c r="G592" s="16">
        <v>25098.26</v>
      </c>
      <c r="H592" s="16">
        <v>25200.87</v>
      </c>
      <c r="I592" s="16">
        <v>25210.51</v>
      </c>
      <c r="J592" s="16">
        <v>25118.53</v>
      </c>
      <c r="K592" s="16">
        <v>25116.880000000001</v>
      </c>
      <c r="L592" s="16">
        <v>25136.03</v>
      </c>
      <c r="M592" s="31"/>
      <c r="N592" s="31"/>
      <c r="O592" s="31"/>
      <c r="P592" s="31"/>
      <c r="Q592" s="31"/>
      <c r="R592" s="32"/>
      <c r="S592" s="33"/>
      <c r="T592" s="56"/>
      <c r="V592" s="48"/>
      <c r="W592" s="48"/>
      <c r="X592" s="49"/>
      <c r="Y592" s="49"/>
      <c r="Z592" s="50"/>
      <c r="AA592" s="50"/>
    </row>
    <row r="593" spans="1:27" ht="16.5" customHeight="1" thickBot="1" x14ac:dyDescent="0.35">
      <c r="A593" s="96"/>
      <c r="B593" s="96"/>
      <c r="C593" s="34" t="s">
        <v>129</v>
      </c>
      <c r="D593" s="35">
        <f t="shared" ref="D593:L593" si="193">IF(((D591="")*AND(D592="")),"",(D591-D592)*3)</f>
        <v>11302.890000000003</v>
      </c>
      <c r="E593" s="35">
        <f t="shared" si="193"/>
        <v>11791.29</v>
      </c>
      <c r="F593" s="35">
        <f t="shared" si="193"/>
        <v>11781.360000000008</v>
      </c>
      <c r="G593" s="35">
        <f t="shared" si="193"/>
        <v>11729.070000000007</v>
      </c>
      <c r="H593" s="35">
        <f t="shared" si="193"/>
        <v>11845.830000000002</v>
      </c>
      <c r="I593" s="35">
        <f t="shared" si="193"/>
        <v>11584.830000000002</v>
      </c>
      <c r="J593" s="35">
        <f t="shared" si="193"/>
        <v>11685.600000000002</v>
      </c>
      <c r="K593" s="35">
        <f t="shared" si="193"/>
        <v>11739</v>
      </c>
      <c r="L593" s="35">
        <f t="shared" si="193"/>
        <v>11979.630000000008</v>
      </c>
      <c r="M593" s="36"/>
      <c r="N593" s="36"/>
      <c r="O593" s="36"/>
      <c r="P593" s="36"/>
      <c r="Q593" s="36"/>
      <c r="R593" s="37"/>
      <c r="S593" s="38"/>
      <c r="T593" s="57"/>
      <c r="U593" s="52"/>
      <c r="V593" s="51"/>
      <c r="W593" s="51"/>
      <c r="X593" s="52"/>
      <c r="Y593" s="52"/>
      <c r="Z593" s="53"/>
      <c r="AA593" s="53"/>
    </row>
    <row r="594" spans="1:27" x14ac:dyDescent="0.3">
      <c r="A594" s="97">
        <v>43348</v>
      </c>
      <c r="B594" s="117" t="s">
        <v>431</v>
      </c>
      <c r="C594" s="26" t="s">
        <v>126</v>
      </c>
      <c r="D594" s="16">
        <v>29067.52</v>
      </c>
      <c r="E594" s="16">
        <v>29059</v>
      </c>
      <c r="F594" s="16">
        <v>29098.93</v>
      </c>
      <c r="G594" s="16">
        <v>29127.29</v>
      </c>
      <c r="H594" s="16">
        <v>29136.5</v>
      </c>
      <c r="I594" s="16">
        <v>29054.2</v>
      </c>
      <c r="J594" s="16">
        <v>29037.31</v>
      </c>
      <c r="K594" s="16">
        <v>29069.66</v>
      </c>
      <c r="L594" s="16">
        <v>29142.82</v>
      </c>
      <c r="M594" s="27">
        <f>IF((L595=""),"",MAX(D596:L596))</f>
        <v>12687.810000000001</v>
      </c>
      <c r="N594" s="27">
        <f>IF(L595="","",MIN(D596:L596))</f>
        <v>12285.48</v>
      </c>
      <c r="O594" s="27">
        <f>IF((L596=""),"",AVERAGE(D596:L596))</f>
        <v>12467.190000000002</v>
      </c>
      <c r="P594" s="27">
        <f>IF((L595=""),"",STDEV(D596:L596))</f>
        <v>156.51524143034618</v>
      </c>
      <c r="Q594" s="27">
        <f>IF((L595=""),"",P594/O594*100)</f>
        <v>1.2554171503790841</v>
      </c>
      <c r="R594" s="28" t="str">
        <f>IF(L595="","",IF(Q594&lt;Z594,IF(N594&gt;V594,IF(M594&lt;W594,"Pass","Fail"),"Fail"),"Fail"))</f>
        <v>Pass</v>
      </c>
      <c r="S594" s="29">
        <v>1428</v>
      </c>
      <c r="T594" s="55"/>
      <c r="U594" s="40"/>
      <c r="V594" s="54">
        <v>10000</v>
      </c>
      <c r="W594" s="22">
        <v>15600</v>
      </c>
      <c r="X594" s="40">
        <v>8090</v>
      </c>
      <c r="Y594" s="40">
        <v>12070</v>
      </c>
      <c r="Z594" s="47">
        <v>6</v>
      </c>
      <c r="AA594" s="47">
        <v>6</v>
      </c>
    </row>
    <row r="595" spans="1:27" ht="15.75" customHeight="1" x14ac:dyDescent="0.3">
      <c r="A595" s="96"/>
      <c r="B595" s="96"/>
      <c r="C595" s="30" t="s">
        <v>128</v>
      </c>
      <c r="D595" s="16">
        <v>24966.92</v>
      </c>
      <c r="E595" s="16">
        <v>24930.37</v>
      </c>
      <c r="F595" s="16">
        <v>25003.77</v>
      </c>
      <c r="G595" s="16">
        <v>24898.02</v>
      </c>
      <c r="H595" s="16">
        <v>24923.91</v>
      </c>
      <c r="I595" s="16">
        <v>24920.48</v>
      </c>
      <c r="J595" s="16">
        <v>24920.48</v>
      </c>
      <c r="K595" s="16">
        <v>24899.71</v>
      </c>
      <c r="L595" s="16">
        <v>24928</v>
      </c>
      <c r="M595" s="31"/>
      <c r="N595" s="31"/>
      <c r="O595" s="31"/>
      <c r="P595" s="31"/>
      <c r="Q595" s="31"/>
      <c r="R595" s="32"/>
      <c r="S595" s="33"/>
      <c r="T595" s="56"/>
      <c r="V595" s="48"/>
      <c r="W595" s="48"/>
      <c r="X595" s="49"/>
      <c r="Y595" s="49"/>
      <c r="Z595" s="50"/>
      <c r="AA595" s="50"/>
    </row>
    <row r="596" spans="1:27" ht="16.5" customHeight="1" thickBot="1" x14ac:dyDescent="0.35">
      <c r="A596" s="96"/>
      <c r="B596" s="96"/>
      <c r="C596" s="34" t="s">
        <v>129</v>
      </c>
      <c r="D596" s="35">
        <f t="shared" ref="D596:L596" si="194">IF(((D594="")*AND(D595="")),"",(D594-D595)*3)</f>
        <v>12301.800000000007</v>
      </c>
      <c r="E596" s="35">
        <f t="shared" si="194"/>
        <v>12385.890000000003</v>
      </c>
      <c r="F596" s="35">
        <f t="shared" si="194"/>
        <v>12285.48</v>
      </c>
      <c r="G596" s="35">
        <f t="shared" si="194"/>
        <v>12687.810000000001</v>
      </c>
      <c r="H596" s="35">
        <f t="shared" si="194"/>
        <v>12637.77</v>
      </c>
      <c r="I596" s="35">
        <f t="shared" si="194"/>
        <v>12401.160000000003</v>
      </c>
      <c r="J596" s="35">
        <f t="shared" si="194"/>
        <v>12350.490000000005</v>
      </c>
      <c r="K596" s="35">
        <f t="shared" si="194"/>
        <v>12509.850000000002</v>
      </c>
      <c r="L596" s="35">
        <f t="shared" si="194"/>
        <v>12644.46</v>
      </c>
      <c r="M596" s="36"/>
      <c r="N596" s="36"/>
      <c r="O596" s="36"/>
      <c r="P596" s="36"/>
      <c r="Q596" s="36"/>
      <c r="R596" s="37"/>
      <c r="S596" s="38"/>
      <c r="T596" s="57"/>
      <c r="U596" s="52"/>
      <c r="V596" s="51"/>
      <c r="W596" s="51"/>
      <c r="X596" s="52"/>
      <c r="Y596" s="52"/>
      <c r="Z596" s="53"/>
      <c r="AA596" s="53"/>
    </row>
    <row r="597" spans="1:27" x14ac:dyDescent="0.3">
      <c r="A597" s="97">
        <v>43352</v>
      </c>
      <c r="B597" s="117" t="s">
        <v>431</v>
      </c>
      <c r="C597" s="26" t="s">
        <v>126</v>
      </c>
      <c r="D597" s="16">
        <v>29097.88</v>
      </c>
      <c r="E597" s="16">
        <v>29013.79</v>
      </c>
      <c r="F597" s="16">
        <v>29011.7</v>
      </c>
      <c r="G597" s="16">
        <v>28997.83</v>
      </c>
      <c r="H597" s="16">
        <v>29061.82</v>
      </c>
      <c r="I597" s="16">
        <v>29062.43</v>
      </c>
      <c r="J597" s="16">
        <v>29000.240000000002</v>
      </c>
      <c r="K597" s="16">
        <v>29014.59</v>
      </c>
      <c r="L597" s="16">
        <v>29091.51</v>
      </c>
      <c r="M597" s="27">
        <f>IF((L598=""),"",MAX(D599:L599))</f>
        <v>12038.03999999999</v>
      </c>
      <c r="N597" s="27">
        <f>IF(L598="","",MIN(D599:L599))</f>
        <v>11637.780000000006</v>
      </c>
      <c r="O597" s="27">
        <f>IF((L599=""),"",AVERAGE(D599:L599))</f>
        <v>11870.816666666669</v>
      </c>
      <c r="P597" s="27">
        <f>IF((L598=""),"",STDEV(D599:L599))</f>
        <v>142.67728953831107</v>
      </c>
      <c r="Q597" s="27">
        <f>IF((L598=""),"",P597/O597*100)</f>
        <v>1.2019163764777012</v>
      </c>
      <c r="R597" s="28" t="str">
        <f>IF(L598="","",IF(Q597&lt;Z597,IF(N597&gt;V597,IF(M597&lt;W597,"Pass","Fail"),"Fail"),"Fail"))</f>
        <v>Pass</v>
      </c>
      <c r="S597" s="29">
        <v>74</v>
      </c>
      <c r="T597" s="55"/>
      <c r="U597" s="40"/>
      <c r="V597" s="54">
        <v>10000</v>
      </c>
      <c r="W597" s="22">
        <v>15600</v>
      </c>
      <c r="X597" s="40">
        <v>8090</v>
      </c>
      <c r="Y597" s="40">
        <v>12070</v>
      </c>
      <c r="Z597" s="47">
        <v>6</v>
      </c>
      <c r="AA597" s="47">
        <v>6</v>
      </c>
    </row>
    <row r="598" spans="1:27" ht="15.75" customHeight="1" x14ac:dyDescent="0.3">
      <c r="A598" s="96"/>
      <c r="B598" s="96"/>
      <c r="C598" s="30" t="s">
        <v>128</v>
      </c>
      <c r="D598" s="16">
        <v>25218.62</v>
      </c>
      <c r="E598" s="16">
        <v>25079.89</v>
      </c>
      <c r="F598" s="16">
        <v>25126.23</v>
      </c>
      <c r="G598" s="16">
        <v>25017.58</v>
      </c>
      <c r="H598" s="16">
        <v>25075.41</v>
      </c>
      <c r="I598" s="16">
        <v>25077.16</v>
      </c>
      <c r="J598" s="16">
        <v>25041.07</v>
      </c>
      <c r="K598" s="16">
        <v>25024.55</v>
      </c>
      <c r="L598" s="16">
        <v>25078.83</v>
      </c>
      <c r="M598" s="31"/>
      <c r="N598" s="31"/>
      <c r="O598" s="31"/>
      <c r="P598" s="31"/>
      <c r="Q598" s="31"/>
      <c r="R598" s="32"/>
      <c r="S598" s="33"/>
      <c r="T598" s="56"/>
      <c r="V598" s="48"/>
      <c r="W598" s="48"/>
      <c r="X598" s="49"/>
      <c r="Y598" s="49"/>
      <c r="Z598" s="50"/>
      <c r="AA598" s="50"/>
    </row>
    <row r="599" spans="1:27" ht="16.5" customHeight="1" thickBot="1" x14ac:dyDescent="0.35">
      <c r="A599" s="96"/>
      <c r="B599" s="96"/>
      <c r="C599" s="34" t="s">
        <v>129</v>
      </c>
      <c r="D599" s="35">
        <f t="shared" ref="D599:L599" si="195">IF(((D597="")*AND(D598="")),"",(D597-D598)*3)</f>
        <v>11637.780000000006</v>
      </c>
      <c r="E599" s="35">
        <f t="shared" si="195"/>
        <v>11801.700000000004</v>
      </c>
      <c r="F599" s="35">
        <f t="shared" si="195"/>
        <v>11656.410000000003</v>
      </c>
      <c r="G599" s="35">
        <f t="shared" si="195"/>
        <v>11940.75</v>
      </c>
      <c r="H599" s="35">
        <f t="shared" si="195"/>
        <v>11959.23</v>
      </c>
      <c r="I599" s="35">
        <f t="shared" si="195"/>
        <v>11955.810000000001</v>
      </c>
      <c r="J599" s="35">
        <f t="shared" si="195"/>
        <v>11877.510000000006</v>
      </c>
      <c r="K599" s="35">
        <f t="shared" si="195"/>
        <v>11970.120000000003</v>
      </c>
      <c r="L599" s="35">
        <f t="shared" si="195"/>
        <v>12038.03999999999</v>
      </c>
      <c r="M599" s="36"/>
      <c r="N599" s="36"/>
      <c r="O599" s="36"/>
      <c r="P599" s="36"/>
      <c r="Q599" s="36"/>
      <c r="R599" s="37"/>
      <c r="S599" s="38"/>
      <c r="T599" s="57"/>
      <c r="U599" s="52"/>
      <c r="V599" s="51"/>
      <c r="W599" s="51"/>
      <c r="X599" s="52"/>
      <c r="Y599" s="52"/>
      <c r="Z599" s="53"/>
      <c r="AA599" s="53"/>
    </row>
    <row r="600" spans="1:27" x14ac:dyDescent="0.3">
      <c r="A600" s="97">
        <v>43356</v>
      </c>
      <c r="B600" s="117" t="s">
        <v>431</v>
      </c>
      <c r="C600" s="26" t="s">
        <v>126</v>
      </c>
      <c r="D600" s="16">
        <v>29147.46</v>
      </c>
      <c r="E600" s="16">
        <v>29072.85</v>
      </c>
      <c r="F600" s="16">
        <v>29136.2</v>
      </c>
      <c r="G600" s="16">
        <v>29068.68</v>
      </c>
      <c r="H600" s="16">
        <v>29137.43</v>
      </c>
      <c r="I600" s="16">
        <v>29138.9</v>
      </c>
      <c r="J600" s="16">
        <v>29061.81</v>
      </c>
      <c r="K600" s="16">
        <v>29061.46</v>
      </c>
      <c r="L600" s="16">
        <v>29138.16</v>
      </c>
      <c r="M600" s="27">
        <f>IF((L601=""),"",MAX(D602:L602))</f>
        <v>15180.930000000004</v>
      </c>
      <c r="N600" s="27">
        <f>IF(L601="","",MIN(D602:L602))</f>
        <v>13939.649999999998</v>
      </c>
      <c r="O600" s="27">
        <f>IF((L602=""),"",AVERAGE(D602:L602))</f>
        <v>14813.073333333334</v>
      </c>
      <c r="P600" s="27">
        <f>IF((L601=""),"",STDEV(D602:L602))</f>
        <v>366.31099935710517</v>
      </c>
      <c r="Q600" s="27">
        <f>IF((L601=""),"",P600/O600*100)</f>
        <v>2.4728899338721866</v>
      </c>
      <c r="R600" s="28" t="str">
        <f>IF(L601="","",IF(Q600&lt;Z600,IF(N600&gt;V600,IF(M600&lt;W600,"Pass","Fail"),"Fail"),"Fail"))</f>
        <v>Pass</v>
      </c>
      <c r="S600" s="29">
        <v>121</v>
      </c>
      <c r="T600" s="55"/>
      <c r="U600" s="40"/>
      <c r="V600" s="54">
        <v>10000</v>
      </c>
      <c r="W600" s="22">
        <v>15600</v>
      </c>
      <c r="X600" s="40">
        <v>8090</v>
      </c>
      <c r="Y600" s="40">
        <v>12070</v>
      </c>
      <c r="Z600" s="47">
        <v>6</v>
      </c>
      <c r="AA600" s="47">
        <v>6</v>
      </c>
    </row>
    <row r="601" spans="1:27" ht="15.75" customHeight="1" x14ac:dyDescent="0.3">
      <c r="A601" s="96"/>
      <c r="B601" s="96"/>
      <c r="C601" s="30" t="s">
        <v>128</v>
      </c>
      <c r="D601" s="16">
        <v>24500.91</v>
      </c>
      <c r="E601" s="16">
        <v>24164.41</v>
      </c>
      <c r="F601" s="16">
        <v>24139.21</v>
      </c>
      <c r="G601" s="16">
        <v>24008.37</v>
      </c>
      <c r="H601" s="16">
        <v>24211.05</v>
      </c>
      <c r="I601" s="16">
        <v>24208.18</v>
      </c>
      <c r="J601" s="16">
        <v>24034.79</v>
      </c>
      <c r="K601" s="16">
        <v>24041.71</v>
      </c>
      <c r="L601" s="16">
        <v>24215.1</v>
      </c>
      <c r="M601" s="31"/>
      <c r="N601" s="31"/>
      <c r="O601" s="31"/>
      <c r="P601" s="31"/>
      <c r="Q601" s="31"/>
      <c r="R601" s="32"/>
      <c r="S601" s="33"/>
      <c r="T601" s="56"/>
      <c r="V601" s="48"/>
      <c r="W601" s="48"/>
      <c r="X601" s="49"/>
      <c r="Y601" s="49"/>
      <c r="Z601" s="50"/>
      <c r="AA601" s="50"/>
    </row>
    <row r="602" spans="1:27" ht="16.5" customHeight="1" thickBot="1" x14ac:dyDescent="0.35">
      <c r="A602" s="96"/>
      <c r="B602" s="96"/>
      <c r="C602" s="34" t="s">
        <v>129</v>
      </c>
      <c r="D602" s="35">
        <f t="shared" ref="D602:L602" si="196">IF(((D600="")*AND(D601="")),"",(D600-D601)*3)</f>
        <v>13939.649999999998</v>
      </c>
      <c r="E602" s="35">
        <f t="shared" si="196"/>
        <v>14725.319999999996</v>
      </c>
      <c r="F602" s="35">
        <f t="shared" si="196"/>
        <v>14990.970000000005</v>
      </c>
      <c r="G602" s="35">
        <f t="shared" si="196"/>
        <v>15180.930000000004</v>
      </c>
      <c r="H602" s="35">
        <f t="shared" si="196"/>
        <v>14779.140000000003</v>
      </c>
      <c r="I602" s="35">
        <f t="shared" si="196"/>
        <v>14792.160000000003</v>
      </c>
      <c r="J602" s="35">
        <f t="shared" si="196"/>
        <v>15081.060000000001</v>
      </c>
      <c r="K602" s="35">
        <f t="shared" si="196"/>
        <v>15059.25</v>
      </c>
      <c r="L602" s="35">
        <f t="shared" si="196"/>
        <v>14769.180000000004</v>
      </c>
      <c r="M602" s="36"/>
      <c r="N602" s="36"/>
      <c r="O602" s="36"/>
      <c r="P602" s="36"/>
      <c r="Q602" s="36"/>
      <c r="R602" s="37"/>
      <c r="S602" s="38"/>
      <c r="T602" s="57"/>
      <c r="U602" s="52"/>
      <c r="V602" s="51"/>
      <c r="W602" s="51"/>
      <c r="X602" s="52"/>
      <c r="Y602" s="52"/>
      <c r="Z602" s="53"/>
      <c r="AA602" s="53"/>
    </row>
    <row r="603" spans="1:27" x14ac:dyDescent="0.3">
      <c r="A603" s="97">
        <v>43360</v>
      </c>
      <c r="B603" s="117" t="s">
        <v>431</v>
      </c>
      <c r="C603" s="26" t="s">
        <v>126</v>
      </c>
      <c r="D603" s="16">
        <v>29300.05</v>
      </c>
      <c r="E603" s="16">
        <v>29198.59</v>
      </c>
      <c r="F603" s="16">
        <v>29191.78</v>
      </c>
      <c r="G603" s="16">
        <v>29181.54</v>
      </c>
      <c r="H603" s="16">
        <v>29281.19</v>
      </c>
      <c r="I603" s="16">
        <v>29255.08</v>
      </c>
      <c r="J603" s="16">
        <v>29188.79</v>
      </c>
      <c r="K603" s="16">
        <v>29179.46</v>
      </c>
      <c r="L603" s="16">
        <v>29274.16</v>
      </c>
      <c r="M603" s="27">
        <f>IF((L604=""),"",MAX(D605:L605))</f>
        <v>13261.23</v>
      </c>
      <c r="N603" s="27">
        <f>IF(L604="","",MIN(D605:L605))</f>
        <v>12831.929999999993</v>
      </c>
      <c r="O603" s="27">
        <f>IF((L605=""),"",AVERAGE(D605:L605))</f>
        <v>13092.863333333333</v>
      </c>
      <c r="P603" s="27">
        <f>IF((L604=""),"",STDEV(D605:L605))</f>
        <v>128.71910328308064</v>
      </c>
      <c r="Q603" s="27">
        <f>IF((L604=""),"",P603/O603*100)</f>
        <v>0.98312416471477704</v>
      </c>
      <c r="R603" s="28" t="str">
        <f>IF(L604="","",IF(Q603&lt;Z603,IF(N603&gt;V603,IF(M603&lt;W603,"Pass","Fail"),"Fail"),"Fail"))</f>
        <v>Pass</v>
      </c>
      <c r="S603" s="29">
        <v>1340</v>
      </c>
      <c r="T603" s="55" t="s">
        <v>237</v>
      </c>
      <c r="U603" s="40"/>
      <c r="V603" s="54">
        <v>10000</v>
      </c>
      <c r="W603" s="22">
        <v>15600</v>
      </c>
      <c r="X603" s="40">
        <v>8090</v>
      </c>
      <c r="Y603" s="40">
        <v>12070</v>
      </c>
      <c r="Z603" s="47">
        <v>6</v>
      </c>
      <c r="AA603" s="47">
        <v>6</v>
      </c>
    </row>
    <row r="604" spans="1:27" ht="15.75" customHeight="1" x14ac:dyDescent="0.3">
      <c r="A604" s="96"/>
      <c r="B604" s="96"/>
      <c r="C604" s="30" t="s">
        <v>128</v>
      </c>
      <c r="D604" s="16">
        <v>25022.74</v>
      </c>
      <c r="E604" s="16">
        <v>24848.51</v>
      </c>
      <c r="F604" s="16">
        <v>24868.37</v>
      </c>
      <c r="G604" s="16">
        <v>24791.49</v>
      </c>
      <c r="H604" s="16">
        <v>24906.71</v>
      </c>
      <c r="I604" s="16">
        <v>24888.66</v>
      </c>
      <c r="J604" s="16">
        <v>24811.13</v>
      </c>
      <c r="K604" s="16">
        <v>24780.69</v>
      </c>
      <c r="L604" s="16">
        <v>24853.75</v>
      </c>
      <c r="M604" s="31"/>
      <c r="N604" s="31"/>
      <c r="O604" s="31"/>
      <c r="P604" s="31"/>
      <c r="Q604" s="31"/>
      <c r="R604" s="32"/>
      <c r="S604" s="33"/>
      <c r="T604" s="56"/>
      <c r="V604" s="48"/>
      <c r="W604" s="48"/>
      <c r="X604" s="49"/>
      <c r="Y604" s="49"/>
      <c r="Z604" s="50"/>
      <c r="AA604" s="50"/>
    </row>
    <row r="605" spans="1:27" ht="16.5" customHeight="1" thickBot="1" x14ac:dyDescent="0.35">
      <c r="A605" s="96"/>
      <c r="B605" s="96"/>
      <c r="C605" s="34" t="s">
        <v>129</v>
      </c>
      <c r="D605" s="35">
        <f t="shared" ref="D605:L605" si="197">IF(((D603="")*AND(D604="")),"",(D603-D604)*3)</f>
        <v>12831.929999999993</v>
      </c>
      <c r="E605" s="35">
        <f t="shared" si="197"/>
        <v>13050.240000000005</v>
      </c>
      <c r="F605" s="35">
        <f t="shared" si="197"/>
        <v>12970.23</v>
      </c>
      <c r="G605" s="35">
        <f t="shared" si="197"/>
        <v>13170.149999999998</v>
      </c>
      <c r="H605" s="35">
        <f t="shared" si="197"/>
        <v>13123.439999999999</v>
      </c>
      <c r="I605" s="35">
        <f t="shared" si="197"/>
        <v>13099.260000000006</v>
      </c>
      <c r="J605" s="35">
        <f t="shared" si="197"/>
        <v>13132.98</v>
      </c>
      <c r="K605" s="35">
        <f t="shared" si="197"/>
        <v>13196.310000000001</v>
      </c>
      <c r="L605" s="35">
        <f t="shared" si="197"/>
        <v>13261.23</v>
      </c>
      <c r="M605" s="36"/>
      <c r="N605" s="36"/>
      <c r="O605" s="36"/>
      <c r="P605" s="36"/>
      <c r="Q605" s="36"/>
      <c r="R605" s="37"/>
      <c r="S605" s="38"/>
      <c r="T605" s="57"/>
      <c r="U605" s="52"/>
      <c r="V605" s="51"/>
      <c r="W605" s="51"/>
      <c r="X605" s="52"/>
      <c r="Y605" s="52"/>
      <c r="Z605" s="53"/>
      <c r="AA605" s="53"/>
    </row>
    <row r="606" spans="1:27" x14ac:dyDescent="0.3">
      <c r="A606" s="97">
        <v>43364</v>
      </c>
      <c r="B606" s="117" t="s">
        <v>431</v>
      </c>
      <c r="C606" s="26" t="s">
        <v>126</v>
      </c>
      <c r="D606" s="16">
        <v>29256.15</v>
      </c>
      <c r="E606" s="16">
        <v>29170.31</v>
      </c>
      <c r="F606" s="16">
        <v>29159.22</v>
      </c>
      <c r="G606" s="16">
        <v>29175.26</v>
      </c>
      <c r="H606" s="16">
        <v>29271.68</v>
      </c>
      <c r="I606" s="16">
        <v>29243.58</v>
      </c>
      <c r="J606" s="16">
        <v>29157.7</v>
      </c>
      <c r="K606" s="16">
        <v>29159.51</v>
      </c>
      <c r="L606" s="16">
        <v>29237.9</v>
      </c>
      <c r="M606" s="27">
        <f>IF((L607=""),"",MAX(D608:L608))</f>
        <v>11579.310000000001</v>
      </c>
      <c r="N606" s="27">
        <f>IF(L607="","",MIN(D608:L608))</f>
        <v>11189.52</v>
      </c>
      <c r="O606" s="27">
        <f>IF((L608=""),"",AVERAGE(D608:L608))</f>
        <v>11444.446666666667</v>
      </c>
      <c r="P606" s="27">
        <f>IF((L607=""),"",STDEV(D608:L608))</f>
        <v>134.69740179379821</v>
      </c>
      <c r="Q606" s="27">
        <f>IF((L607=""),"",P606/O606*100)</f>
        <v>1.1769673599521473</v>
      </c>
      <c r="R606" s="28" t="str">
        <f>IF(L607="","",IF(Q606&lt;Z606,IF(N606&gt;V606,IF(M606&lt;W606,"Pass","Fail"),"Fail"),"Fail"))</f>
        <v>Pass</v>
      </c>
      <c r="S606" s="29">
        <v>102</v>
      </c>
      <c r="T606" s="55"/>
      <c r="U606" s="40"/>
      <c r="V606" s="54">
        <v>10000</v>
      </c>
      <c r="W606" s="22">
        <v>15600</v>
      </c>
      <c r="X606" s="40">
        <v>8090</v>
      </c>
      <c r="Y606" s="40">
        <v>12070</v>
      </c>
      <c r="Z606" s="47">
        <v>6</v>
      </c>
      <c r="AA606" s="47">
        <v>6</v>
      </c>
    </row>
    <row r="607" spans="1:27" ht="15.75" customHeight="1" x14ac:dyDescent="0.3">
      <c r="A607" s="96"/>
      <c r="B607" s="96"/>
      <c r="C607" s="30" t="s">
        <v>128</v>
      </c>
      <c r="D607" s="16">
        <v>25526.31</v>
      </c>
      <c r="E607" s="16">
        <v>25375.1</v>
      </c>
      <c r="F607" s="16">
        <v>25399.29</v>
      </c>
      <c r="G607" s="16">
        <v>25342.97</v>
      </c>
      <c r="H607" s="16">
        <v>25418.79</v>
      </c>
      <c r="I607" s="16">
        <v>25390.37</v>
      </c>
      <c r="J607" s="16">
        <v>25337.51</v>
      </c>
      <c r="K607" s="16">
        <v>25329.5</v>
      </c>
      <c r="L607" s="16">
        <v>25378.13</v>
      </c>
      <c r="M607" s="31"/>
      <c r="N607" s="31"/>
      <c r="O607" s="31"/>
      <c r="P607" s="31"/>
      <c r="Q607" s="31"/>
      <c r="R607" s="32"/>
      <c r="S607" s="33"/>
      <c r="T607" s="56"/>
      <c r="V607" s="48"/>
      <c r="W607" s="48"/>
      <c r="X607" s="49"/>
      <c r="Y607" s="49"/>
      <c r="Z607" s="50"/>
      <c r="AA607" s="50"/>
    </row>
    <row r="608" spans="1:27" ht="16.5" customHeight="1" thickBot="1" x14ac:dyDescent="0.35">
      <c r="A608" s="96"/>
      <c r="B608" s="96"/>
      <c r="C608" s="34" t="s">
        <v>129</v>
      </c>
      <c r="D608" s="35">
        <f t="shared" ref="D608:L608" si="198">IF(((D606="")*AND(D607="")),"",(D606-D607)*3)</f>
        <v>11189.52</v>
      </c>
      <c r="E608" s="35">
        <f t="shared" si="198"/>
        <v>11385.630000000008</v>
      </c>
      <c r="F608" s="35">
        <f t="shared" si="198"/>
        <v>11279.79</v>
      </c>
      <c r="G608" s="35">
        <f t="shared" si="198"/>
        <v>11496.869999999992</v>
      </c>
      <c r="H608" s="35">
        <f t="shared" si="198"/>
        <v>11558.669999999998</v>
      </c>
      <c r="I608" s="35">
        <f t="shared" si="198"/>
        <v>11559.630000000008</v>
      </c>
      <c r="J608" s="35">
        <f t="shared" si="198"/>
        <v>11460.570000000007</v>
      </c>
      <c r="K608" s="35">
        <f t="shared" si="198"/>
        <v>11490.029999999995</v>
      </c>
      <c r="L608" s="35">
        <f t="shared" si="198"/>
        <v>11579.310000000001</v>
      </c>
      <c r="M608" s="36"/>
      <c r="N608" s="36"/>
      <c r="O608" s="36"/>
      <c r="P608" s="36"/>
      <c r="Q608" s="36"/>
      <c r="R608" s="37"/>
      <c r="S608" s="38"/>
      <c r="T608" s="57"/>
      <c r="U608" s="52"/>
      <c r="V608" s="51"/>
      <c r="W608" s="51"/>
      <c r="X608" s="52"/>
      <c r="Y608" s="52"/>
      <c r="Z608" s="53"/>
      <c r="AA608" s="53"/>
    </row>
    <row r="609" spans="1:27" x14ac:dyDescent="0.3">
      <c r="A609" s="97">
        <v>43368</v>
      </c>
      <c r="B609" s="117" t="s">
        <v>431</v>
      </c>
      <c r="C609" s="26" t="s">
        <v>126</v>
      </c>
      <c r="D609" s="16">
        <v>29204.1</v>
      </c>
      <c r="E609" s="16">
        <v>29123.45</v>
      </c>
      <c r="F609" s="16">
        <v>29118.57</v>
      </c>
      <c r="G609" s="16">
        <v>29112.95</v>
      </c>
      <c r="H609" s="16">
        <v>29192.92</v>
      </c>
      <c r="I609" s="16">
        <v>29200.46</v>
      </c>
      <c r="J609" s="16">
        <v>29109.27</v>
      </c>
      <c r="K609" s="16">
        <v>29109.67</v>
      </c>
      <c r="L609" s="16">
        <v>29187.54</v>
      </c>
      <c r="M609" s="27">
        <f>IF((L610=""),"",MAX(D611:L611))</f>
        <v>12891.149999999998</v>
      </c>
      <c r="N609" s="27">
        <f>IF(L610="","",MIN(D611:L611))</f>
        <v>12157.169999999998</v>
      </c>
      <c r="O609" s="27">
        <f>IF((L611=""),"",AVERAGE(D611:L611))</f>
        <v>12600.843333333331</v>
      </c>
      <c r="P609" s="27">
        <f>IF((L610=""),"",STDEV(D611:L611))</f>
        <v>205.57935079914947</v>
      </c>
      <c r="Q609" s="27">
        <f>IF((L610=""),"",P609/O609*100)</f>
        <v>1.6314729527294827</v>
      </c>
      <c r="R609" s="28" t="str">
        <f>IF(L610="","",IF(Q609&lt;Z609,IF(N609&gt;V609,IF(M609&lt;W609,"Pass","Fail"),"Fail"),"Fail"))</f>
        <v>Pass</v>
      </c>
      <c r="S609" s="29">
        <v>1340</v>
      </c>
      <c r="T609" s="55"/>
      <c r="U609" s="40"/>
      <c r="V609" s="54">
        <v>10000</v>
      </c>
      <c r="W609" s="22">
        <v>15600</v>
      </c>
      <c r="X609" s="40">
        <v>8090</v>
      </c>
      <c r="Y609" s="40">
        <v>12070</v>
      </c>
      <c r="Z609" s="47">
        <v>6</v>
      </c>
      <c r="AA609" s="47">
        <v>6</v>
      </c>
    </row>
    <row r="610" spans="1:27" ht="15.75" customHeight="1" x14ac:dyDescent="0.3">
      <c r="A610" s="96"/>
      <c r="B610" s="96"/>
      <c r="C610" s="30" t="s">
        <v>128</v>
      </c>
      <c r="D610" s="16">
        <v>25151.71</v>
      </c>
      <c r="E610" s="16">
        <v>24942.77</v>
      </c>
      <c r="F610" s="16">
        <v>24965.62</v>
      </c>
      <c r="G610" s="16">
        <v>24891.62</v>
      </c>
      <c r="H610" s="16">
        <v>24983.4</v>
      </c>
      <c r="I610" s="16">
        <v>24960.37</v>
      </c>
      <c r="J610" s="16">
        <v>24899.9</v>
      </c>
      <c r="K610" s="16">
        <v>24870.52</v>
      </c>
      <c r="L610" s="16">
        <v>24890.49</v>
      </c>
      <c r="M610" s="31"/>
      <c r="N610" s="31"/>
      <c r="O610" s="31"/>
      <c r="P610" s="31"/>
      <c r="Q610" s="31"/>
      <c r="R610" s="32"/>
      <c r="S610" s="33"/>
      <c r="T610" s="56"/>
      <c r="V610" s="48"/>
      <c r="W610" s="48"/>
      <c r="X610" s="49"/>
      <c r="Y610" s="49"/>
      <c r="Z610" s="50"/>
      <c r="AA610" s="50"/>
    </row>
    <row r="611" spans="1:27" ht="16.5" customHeight="1" thickBot="1" x14ac:dyDescent="0.35">
      <c r="A611" s="96"/>
      <c r="B611" s="96"/>
      <c r="C611" s="34" t="s">
        <v>129</v>
      </c>
      <c r="D611" s="35">
        <f t="shared" ref="D611:L611" si="199">IF(((D609="")*AND(D610="")),"",(D609-D610)*3)</f>
        <v>12157.169999999998</v>
      </c>
      <c r="E611" s="35">
        <f t="shared" si="199"/>
        <v>12542.04</v>
      </c>
      <c r="F611" s="35">
        <f t="shared" si="199"/>
        <v>12458.850000000002</v>
      </c>
      <c r="G611" s="35">
        <f t="shared" si="199"/>
        <v>12663.990000000005</v>
      </c>
      <c r="H611" s="35">
        <f t="shared" si="199"/>
        <v>12628.55999999999</v>
      </c>
      <c r="I611" s="35">
        <f t="shared" si="199"/>
        <v>12720.27</v>
      </c>
      <c r="J611" s="35">
        <f t="shared" si="199"/>
        <v>12628.109999999997</v>
      </c>
      <c r="K611" s="35">
        <f t="shared" si="199"/>
        <v>12717.449999999993</v>
      </c>
      <c r="L611" s="35">
        <f t="shared" si="199"/>
        <v>12891.149999999998</v>
      </c>
      <c r="M611" s="36"/>
      <c r="N611" s="36"/>
      <c r="O611" s="36"/>
      <c r="P611" s="36"/>
      <c r="Q611" s="36"/>
      <c r="R611" s="37"/>
      <c r="S611" s="38"/>
      <c r="T611" s="57"/>
      <c r="U611" s="52"/>
      <c r="V611" s="51"/>
      <c r="W611" s="51"/>
      <c r="X611" s="52"/>
      <c r="Y611" s="52"/>
      <c r="Z611" s="53"/>
      <c r="AA611" s="53"/>
    </row>
    <row r="612" spans="1:27" x14ac:dyDescent="0.3">
      <c r="A612" s="97">
        <v>43372</v>
      </c>
      <c r="B612" s="117" t="s">
        <v>431</v>
      </c>
      <c r="C612" s="26" t="s">
        <v>126</v>
      </c>
      <c r="D612" s="16">
        <v>29183.83</v>
      </c>
      <c r="E612" s="16">
        <v>29101.88</v>
      </c>
      <c r="F612" s="16">
        <v>29094.14</v>
      </c>
      <c r="G612" s="16">
        <v>29079.75</v>
      </c>
      <c r="H612" s="16">
        <v>29154.26</v>
      </c>
      <c r="I612" s="16">
        <v>29145.21</v>
      </c>
      <c r="J612" s="16">
        <v>29081.43</v>
      </c>
      <c r="K612" s="16">
        <v>29087.78</v>
      </c>
      <c r="L612" s="16">
        <v>29186.48</v>
      </c>
      <c r="M612" s="27">
        <f>IF((L613=""),"",MAX(D614:L614))</f>
        <v>11974.589999999997</v>
      </c>
      <c r="N612" s="27">
        <f>IF(L613="","",MIN(D614:L614))</f>
        <v>11545.830000000002</v>
      </c>
      <c r="O612" s="27">
        <f>IF((L614=""),"",AVERAGE(D614:L614))</f>
        <v>11815.119999999999</v>
      </c>
      <c r="P612" s="27">
        <f>IF((L613=""),"",STDEV(D614:L614))</f>
        <v>145.31209258007263</v>
      </c>
      <c r="Q612" s="27">
        <f>IF((L613=""),"",P612/O612*100)</f>
        <v>1.2298824944653346</v>
      </c>
      <c r="R612" s="28" t="str">
        <f>IF(L613="","",IF(Q612&lt;Z612,IF(N612&gt;V612,IF(M612&lt;W612,"Pass","Fail"),"Fail"),"Fail"))</f>
        <v>Pass</v>
      </c>
      <c r="S612" s="29">
        <v>1335</v>
      </c>
      <c r="T612" s="55"/>
      <c r="U612" s="40"/>
      <c r="V612" s="54">
        <v>10000</v>
      </c>
      <c r="W612" s="22">
        <v>15600</v>
      </c>
      <c r="X612" s="40">
        <v>8090</v>
      </c>
      <c r="Y612" s="40">
        <v>12070</v>
      </c>
      <c r="Z612" s="47">
        <v>6</v>
      </c>
      <c r="AA612" s="47">
        <v>6</v>
      </c>
    </row>
    <row r="613" spans="1:27" ht="15.75" customHeight="1" x14ac:dyDescent="0.3">
      <c r="A613" s="96"/>
      <c r="B613" s="96"/>
      <c r="C613" s="30" t="s">
        <v>128</v>
      </c>
      <c r="D613" s="16">
        <v>25335.22</v>
      </c>
      <c r="E613" s="16">
        <v>25182.91</v>
      </c>
      <c r="F613" s="16">
        <v>25216.93</v>
      </c>
      <c r="G613" s="16">
        <v>25117.29</v>
      </c>
      <c r="H613" s="16">
        <v>25175.53</v>
      </c>
      <c r="I613" s="16">
        <v>25195.439999999999</v>
      </c>
      <c r="J613" s="16">
        <v>25139.360000000001</v>
      </c>
      <c r="K613" s="16">
        <v>25111.77</v>
      </c>
      <c r="L613" s="16">
        <v>25194.95</v>
      </c>
      <c r="M613" s="31"/>
      <c r="N613" s="31"/>
      <c r="O613" s="31"/>
      <c r="P613" s="31"/>
      <c r="Q613" s="31"/>
      <c r="R613" s="32"/>
      <c r="S613" s="33"/>
      <c r="T613" s="56"/>
      <c r="V613" s="48"/>
      <c r="W613" s="48"/>
      <c r="X613" s="49"/>
      <c r="Y613" s="49"/>
      <c r="Z613" s="50"/>
      <c r="AA613" s="50"/>
    </row>
    <row r="614" spans="1:27" ht="16.5" customHeight="1" thickBot="1" x14ac:dyDescent="0.35">
      <c r="A614" s="96"/>
      <c r="B614" s="96"/>
      <c r="C614" s="34" t="s">
        <v>129</v>
      </c>
      <c r="D614" s="35">
        <f t="shared" ref="D614:L614" si="200">IF(((D612="")*AND(D613="")),"",(D612-D613)*3)</f>
        <v>11545.830000000002</v>
      </c>
      <c r="E614" s="35">
        <f t="shared" si="200"/>
        <v>11756.910000000003</v>
      </c>
      <c r="F614" s="35">
        <f t="shared" si="200"/>
        <v>11631.629999999997</v>
      </c>
      <c r="G614" s="35">
        <f t="shared" si="200"/>
        <v>11887.379999999997</v>
      </c>
      <c r="H614" s="35">
        <f t="shared" si="200"/>
        <v>11936.189999999999</v>
      </c>
      <c r="I614" s="35">
        <f t="shared" si="200"/>
        <v>11849.310000000001</v>
      </c>
      <c r="J614" s="35">
        <f t="shared" si="200"/>
        <v>11826.21</v>
      </c>
      <c r="K614" s="35">
        <f t="shared" si="200"/>
        <v>11928.029999999995</v>
      </c>
      <c r="L614" s="35">
        <f t="shared" si="200"/>
        <v>11974.589999999997</v>
      </c>
      <c r="M614" s="36"/>
      <c r="N614" s="36"/>
      <c r="O614" s="36"/>
      <c r="P614" s="36"/>
      <c r="Q614" s="36"/>
      <c r="R614" s="37"/>
      <c r="S614" s="38"/>
      <c r="T614" s="57"/>
      <c r="U614" s="52"/>
      <c r="V614" s="51"/>
      <c r="W614" s="51"/>
      <c r="X614" s="52"/>
      <c r="Y614" s="52"/>
      <c r="Z614" s="53"/>
      <c r="AA614" s="53"/>
    </row>
    <row r="615" spans="1:27" x14ac:dyDescent="0.3">
      <c r="A615" s="97">
        <v>43376</v>
      </c>
      <c r="B615" s="117" t="s">
        <v>431</v>
      </c>
      <c r="C615" s="26" t="s">
        <v>126</v>
      </c>
      <c r="D615" s="16">
        <v>29146.65</v>
      </c>
      <c r="E615" s="16">
        <v>29087.19</v>
      </c>
      <c r="F615" s="16">
        <v>29095.79</v>
      </c>
      <c r="G615" s="16">
        <v>29068.87</v>
      </c>
      <c r="H615" s="16">
        <v>29138.09</v>
      </c>
      <c r="I615" s="16">
        <v>29134.400000000001</v>
      </c>
      <c r="J615" s="16">
        <v>29068.06</v>
      </c>
      <c r="K615" s="16">
        <v>29076.01</v>
      </c>
      <c r="L615" s="16">
        <v>29128.560000000001</v>
      </c>
      <c r="M615" s="27">
        <f>IF((L616=""),"",MAX(D617:L617))</f>
        <v>11674.860000000008</v>
      </c>
      <c r="N615" s="27">
        <f>IF(L616="","",MIN(D617:L617))</f>
        <v>11271.630000000008</v>
      </c>
      <c r="O615" s="27">
        <f>IF((L617=""),"",AVERAGE(D617:L617))</f>
        <v>11508.256666666672</v>
      </c>
      <c r="P615" s="27">
        <f>IF((L616=""),"",STDEV(D617:L617))</f>
        <v>136.92954648285257</v>
      </c>
      <c r="Q615" s="27">
        <f>IF((L616=""),"",P615/O615*100)</f>
        <v>1.1898374397528428</v>
      </c>
      <c r="R615" s="28" t="str">
        <f>IF(L616="","",IF(Q615&lt;Z615,IF(N615&gt;V615,IF(M615&lt;W615,"Pass","Fail"),"Fail"),"Fail"))</f>
        <v>Pass</v>
      </c>
      <c r="S615" s="29">
        <v>74</v>
      </c>
      <c r="T615" s="55"/>
      <c r="U615" s="40"/>
      <c r="V615" s="54">
        <v>10000</v>
      </c>
      <c r="W615" s="22">
        <v>15600</v>
      </c>
      <c r="X615" s="40">
        <v>8090</v>
      </c>
      <c r="Y615" s="40">
        <v>12070</v>
      </c>
      <c r="Z615" s="47">
        <v>6</v>
      </c>
      <c r="AA615" s="47">
        <v>6</v>
      </c>
    </row>
    <row r="616" spans="1:27" ht="15.75" customHeight="1" x14ac:dyDescent="0.3">
      <c r="A616" s="96"/>
      <c r="B616" s="96"/>
      <c r="C616" s="30" t="s">
        <v>128</v>
      </c>
      <c r="D616" s="16">
        <v>25389.439999999999</v>
      </c>
      <c r="E616" s="16">
        <v>25266.09</v>
      </c>
      <c r="F616" s="16">
        <v>25325.21</v>
      </c>
      <c r="G616" s="16">
        <v>25215.360000000001</v>
      </c>
      <c r="H616" s="16">
        <v>25286.92</v>
      </c>
      <c r="I616" s="16">
        <v>25242.78</v>
      </c>
      <c r="J616" s="16">
        <v>25222.23</v>
      </c>
      <c r="K616" s="16">
        <v>25221.85</v>
      </c>
      <c r="L616" s="16">
        <v>25248.97</v>
      </c>
      <c r="M616" s="31"/>
      <c r="N616" s="31"/>
      <c r="O616" s="31"/>
      <c r="P616" s="31"/>
      <c r="Q616" s="31"/>
      <c r="R616" s="32"/>
      <c r="S616" s="33"/>
      <c r="T616" s="56"/>
      <c r="V616" s="48"/>
      <c r="W616" s="48"/>
      <c r="X616" s="49"/>
      <c r="Y616" s="49"/>
      <c r="Z616" s="50"/>
      <c r="AA616" s="50"/>
    </row>
    <row r="617" spans="1:27" ht="16.5" customHeight="1" thickBot="1" x14ac:dyDescent="0.35">
      <c r="A617" s="96"/>
      <c r="B617" s="96"/>
      <c r="C617" s="34" t="s">
        <v>129</v>
      </c>
      <c r="D617" s="35">
        <f t="shared" ref="D617:L617" si="201">IF(((D615="")*AND(D616="")),"",(D615-D616)*3)</f>
        <v>11271.630000000008</v>
      </c>
      <c r="E617" s="35">
        <f t="shared" si="201"/>
        <v>11463.299999999996</v>
      </c>
      <c r="F617" s="35">
        <f t="shared" si="201"/>
        <v>11311.740000000005</v>
      </c>
      <c r="G617" s="35">
        <f t="shared" si="201"/>
        <v>11560.529999999995</v>
      </c>
      <c r="H617" s="35">
        <f t="shared" si="201"/>
        <v>11553.510000000006</v>
      </c>
      <c r="I617" s="35">
        <f t="shared" si="201"/>
        <v>11674.860000000008</v>
      </c>
      <c r="J617" s="35">
        <f t="shared" si="201"/>
        <v>11537.490000000005</v>
      </c>
      <c r="K617" s="35">
        <f t="shared" si="201"/>
        <v>11562.48</v>
      </c>
      <c r="L617" s="35">
        <f t="shared" si="201"/>
        <v>11638.77</v>
      </c>
      <c r="M617" s="36"/>
      <c r="N617" s="36"/>
      <c r="O617" s="36"/>
      <c r="P617" s="36"/>
      <c r="Q617" s="36"/>
      <c r="R617" s="37"/>
      <c r="S617" s="38"/>
      <c r="T617" s="57"/>
      <c r="U617" s="52"/>
      <c r="V617" s="51"/>
      <c r="W617" s="51"/>
      <c r="X617" s="52"/>
      <c r="Y617" s="52"/>
      <c r="Z617" s="53"/>
      <c r="AA617" s="53"/>
    </row>
    <row r="618" spans="1:27" x14ac:dyDescent="0.3">
      <c r="A618" s="97">
        <v>43381</v>
      </c>
      <c r="B618" s="117" t="s">
        <v>431</v>
      </c>
      <c r="C618" s="26" t="s">
        <v>126</v>
      </c>
      <c r="D618" s="16">
        <v>29018.42</v>
      </c>
      <c r="E618" s="16">
        <v>28936.92</v>
      </c>
      <c r="F618" s="16">
        <v>29007.759999999998</v>
      </c>
      <c r="G618" s="16">
        <v>28935.39</v>
      </c>
      <c r="H618" s="16">
        <v>28958.65</v>
      </c>
      <c r="I618" s="16">
        <v>28963.29</v>
      </c>
      <c r="J618" s="16">
        <v>28923.81</v>
      </c>
      <c r="K618" s="16">
        <v>28936.86</v>
      </c>
      <c r="L618" s="16">
        <v>29019.18</v>
      </c>
      <c r="M618" s="27">
        <f>IF((L619=""),"",MAX(D620:L620))</f>
        <v>11136.75</v>
      </c>
      <c r="N618" s="27">
        <f>IF(L619="","",MIN(D620:L620))</f>
        <v>10563.96</v>
      </c>
      <c r="O618" s="27">
        <f>IF((L620=""),"",AVERAGE(D620:L620))</f>
        <v>10921.303333333331</v>
      </c>
      <c r="P618" s="27">
        <f>IF((L619=""),"",STDEV(D620:L620))</f>
        <v>186.84847109356005</v>
      </c>
      <c r="Q618" s="27">
        <f>IF((L619=""),"",P618/O618*100)</f>
        <v>1.710862388770694</v>
      </c>
      <c r="R618" s="28" t="str">
        <f>IF(L619="","",IF(Q618&lt;Z618,IF(N618&gt;V618,IF(M618&lt;W618,"Pass","Fail"),"Fail"),"Fail"))</f>
        <v>Pass</v>
      </c>
      <c r="S618" s="29">
        <v>1335</v>
      </c>
      <c r="T618" s="55" t="s">
        <v>238</v>
      </c>
      <c r="U618" s="40"/>
      <c r="V618" s="54">
        <v>10000</v>
      </c>
      <c r="W618" s="22">
        <v>15600</v>
      </c>
      <c r="X618" s="40">
        <v>8090</v>
      </c>
      <c r="Y618" s="40">
        <v>12070</v>
      </c>
      <c r="Z618" s="47">
        <v>6</v>
      </c>
      <c r="AA618" s="47">
        <v>6</v>
      </c>
    </row>
    <row r="619" spans="1:27" ht="15.75" customHeight="1" x14ac:dyDescent="0.3">
      <c r="A619" s="96"/>
      <c r="B619" s="96"/>
      <c r="C619" s="30" t="s">
        <v>128</v>
      </c>
      <c r="D619" s="16">
        <v>25497.1</v>
      </c>
      <c r="E619" s="16">
        <v>25346.75</v>
      </c>
      <c r="F619" s="16">
        <v>25413.29</v>
      </c>
      <c r="G619" s="16">
        <v>25269.09</v>
      </c>
      <c r="H619" s="16">
        <v>25248.39</v>
      </c>
      <c r="I619" s="16">
        <v>25293.759999999998</v>
      </c>
      <c r="J619" s="16">
        <v>25289.52</v>
      </c>
      <c r="K619" s="16">
        <v>25271.54</v>
      </c>
      <c r="L619" s="16">
        <v>25306.93</v>
      </c>
      <c r="M619" s="31"/>
      <c r="N619" s="31"/>
      <c r="O619" s="31"/>
      <c r="P619" s="31"/>
      <c r="Q619" s="31"/>
      <c r="R619" s="32"/>
      <c r="S619" s="33"/>
      <c r="T619" s="56"/>
      <c r="V619" s="48"/>
      <c r="W619" s="48"/>
      <c r="X619" s="49"/>
      <c r="Y619" s="49"/>
      <c r="Z619" s="50"/>
      <c r="AA619" s="50"/>
    </row>
    <row r="620" spans="1:27" ht="16.5" customHeight="1" thickBot="1" x14ac:dyDescent="0.35">
      <c r="A620" s="96"/>
      <c r="B620" s="96"/>
      <c r="C620" s="34" t="s">
        <v>129</v>
      </c>
      <c r="D620" s="35">
        <f t="shared" ref="D620:L620" si="202">IF(((D618="")*AND(D619="")),"",(D618-D619)*3)</f>
        <v>10563.96</v>
      </c>
      <c r="E620" s="35">
        <f t="shared" si="202"/>
        <v>10770.509999999995</v>
      </c>
      <c r="F620" s="35">
        <f t="shared" si="202"/>
        <v>10783.409999999993</v>
      </c>
      <c r="G620" s="35">
        <f t="shared" si="202"/>
        <v>10998.899999999998</v>
      </c>
      <c r="H620" s="35">
        <f t="shared" si="202"/>
        <v>11130.780000000006</v>
      </c>
      <c r="I620" s="35">
        <f t="shared" si="202"/>
        <v>11008.590000000007</v>
      </c>
      <c r="J620" s="35">
        <f t="shared" si="202"/>
        <v>10902.870000000003</v>
      </c>
      <c r="K620" s="35">
        <f t="shared" si="202"/>
        <v>10995.96</v>
      </c>
      <c r="L620" s="35">
        <f t="shared" si="202"/>
        <v>11136.75</v>
      </c>
      <c r="M620" s="36"/>
      <c r="N620" s="36"/>
      <c r="O620" s="36"/>
      <c r="P620" s="36"/>
      <c r="Q620" s="36"/>
      <c r="R620" s="37"/>
      <c r="S620" s="38"/>
      <c r="T620" s="57"/>
      <c r="U620" s="52"/>
      <c r="V620" s="51"/>
      <c r="W620" s="51"/>
      <c r="X620" s="52"/>
      <c r="Y620" s="52"/>
      <c r="Z620" s="53"/>
      <c r="AA620" s="53"/>
    </row>
    <row r="621" spans="1:27" x14ac:dyDescent="0.3">
      <c r="A621" s="97">
        <v>43385</v>
      </c>
      <c r="B621" s="117" t="s">
        <v>431</v>
      </c>
      <c r="C621" s="26" t="s">
        <v>126</v>
      </c>
      <c r="D621" s="16">
        <v>29018.42</v>
      </c>
      <c r="E621" s="16">
        <v>28936.92</v>
      </c>
      <c r="F621" s="16">
        <v>29007.759999999998</v>
      </c>
      <c r="G621" s="16">
        <v>28935.39</v>
      </c>
      <c r="H621" s="16">
        <v>28958.65</v>
      </c>
      <c r="I621" s="16">
        <v>28963.29</v>
      </c>
      <c r="J621" s="16">
        <v>28923.81</v>
      </c>
      <c r="K621" s="16">
        <v>28936.86</v>
      </c>
      <c r="L621" s="16">
        <v>29019.18</v>
      </c>
      <c r="M621" s="27">
        <f>IF((L622=""),"",MAX(D623:L623))</f>
        <v>16255.350000000002</v>
      </c>
      <c r="N621" s="27">
        <f>IF(L622="","",MIN(D623:L623))</f>
        <v>10397.099999999991</v>
      </c>
      <c r="O621" s="27">
        <f>IF((L623=""),"",AVERAGE(D623:L623))</f>
        <v>12371.619999999999</v>
      </c>
      <c r="P621" s="27">
        <f>IF((L622=""),"",STDEV(D623:L623))</f>
        <v>1626.9868972044515</v>
      </c>
      <c r="Q621" s="27">
        <f>IF((L622=""),"",P621/O621*100)</f>
        <v>13.150960805492339</v>
      </c>
      <c r="R621" s="28" t="str">
        <f>IF(L622="","",IF(Q621&lt;Z621,IF(N621&gt;V621,IF(M621&lt;W621,"Pass","Fail"),"Fail"),"Fail"))</f>
        <v>Fail</v>
      </c>
      <c r="S621" s="29">
        <v>1335</v>
      </c>
      <c r="T621" s="55"/>
      <c r="U621" s="40"/>
      <c r="V621" s="54">
        <v>10000</v>
      </c>
      <c r="W621" s="22">
        <v>15600</v>
      </c>
      <c r="X621" s="40">
        <v>8090</v>
      </c>
      <c r="Y621" s="40">
        <v>12070</v>
      </c>
      <c r="Z621" s="47">
        <v>6</v>
      </c>
      <c r="AA621" s="47">
        <v>6</v>
      </c>
    </row>
    <row r="622" spans="1:27" ht="15.75" customHeight="1" x14ac:dyDescent="0.3">
      <c r="A622" s="96"/>
      <c r="B622" s="96"/>
      <c r="C622" s="30" t="s">
        <v>128</v>
      </c>
      <c r="D622" s="16">
        <v>25135.13</v>
      </c>
      <c r="E622" s="16">
        <v>24658.99</v>
      </c>
      <c r="F622" s="16">
        <v>25542.06</v>
      </c>
      <c r="G622" s="16">
        <v>25130.05</v>
      </c>
      <c r="H622" s="16">
        <v>24931.64</v>
      </c>
      <c r="I622" s="16">
        <v>24781.72</v>
      </c>
      <c r="J622" s="16">
        <v>25017.66</v>
      </c>
      <c r="K622" s="16">
        <v>24787.439999999999</v>
      </c>
      <c r="L622" s="16">
        <v>23600.73</v>
      </c>
      <c r="M622" s="31"/>
      <c r="N622" s="31"/>
      <c r="O622" s="31"/>
      <c r="P622" s="31"/>
      <c r="Q622" s="31"/>
      <c r="R622" s="32"/>
      <c r="S622" s="33"/>
      <c r="T622" s="56"/>
      <c r="V622" s="48"/>
      <c r="W622" s="48"/>
      <c r="X622" s="49"/>
      <c r="Y622" s="49"/>
      <c r="Z622" s="50"/>
      <c r="AA622" s="50"/>
    </row>
    <row r="623" spans="1:27" ht="16.5" customHeight="1" thickBot="1" x14ac:dyDescent="0.35">
      <c r="A623" s="96"/>
      <c r="B623" s="96"/>
      <c r="C623" s="34" t="s">
        <v>129</v>
      </c>
      <c r="D623" s="35">
        <f t="shared" ref="D623:L623" si="203">IF(((D621="")*AND(D622="")),"",(D621-D622)*3)</f>
        <v>11649.869999999992</v>
      </c>
      <c r="E623" s="35">
        <f t="shared" si="203"/>
        <v>12833.78999999999</v>
      </c>
      <c r="F623" s="35">
        <f t="shared" si="203"/>
        <v>10397.099999999991</v>
      </c>
      <c r="G623" s="35">
        <f t="shared" si="203"/>
        <v>11416.02</v>
      </c>
      <c r="H623" s="35">
        <f t="shared" si="203"/>
        <v>12081.030000000006</v>
      </c>
      <c r="I623" s="35">
        <f t="shared" si="203"/>
        <v>12544.71</v>
      </c>
      <c r="J623" s="35">
        <f t="shared" si="203"/>
        <v>11718.450000000004</v>
      </c>
      <c r="K623" s="35">
        <f t="shared" si="203"/>
        <v>12448.260000000006</v>
      </c>
      <c r="L623" s="35">
        <f t="shared" si="203"/>
        <v>16255.350000000002</v>
      </c>
      <c r="M623" s="36"/>
      <c r="N623" s="36"/>
      <c r="O623" s="36"/>
      <c r="P623" s="36"/>
      <c r="Q623" s="36"/>
      <c r="R623" s="37"/>
      <c r="S623" s="38"/>
      <c r="T623" s="57"/>
      <c r="U623" s="52"/>
      <c r="V623" s="51"/>
      <c r="W623" s="51"/>
      <c r="X623" s="52"/>
      <c r="Y623" s="52"/>
      <c r="Z623" s="53"/>
      <c r="AA623" s="53"/>
    </row>
    <row r="624" spans="1:27" x14ac:dyDescent="0.3">
      <c r="A624" s="97">
        <v>43390</v>
      </c>
      <c r="B624" s="117" t="s">
        <v>431</v>
      </c>
      <c r="C624" s="26" t="s">
        <v>126</v>
      </c>
      <c r="D624" s="16">
        <v>29111.16</v>
      </c>
      <c r="E624" s="16">
        <v>29014.35</v>
      </c>
      <c r="F624" s="16">
        <v>29027.52</v>
      </c>
      <c r="G624" s="16">
        <v>29014.28</v>
      </c>
      <c r="H624" s="16">
        <v>29067.71</v>
      </c>
      <c r="I624" s="16">
        <v>29061.9</v>
      </c>
      <c r="J624" s="16">
        <v>29006.27</v>
      </c>
      <c r="K624" s="16">
        <v>29018.68</v>
      </c>
      <c r="L624" s="16">
        <v>29102.23</v>
      </c>
      <c r="M624" s="27">
        <f>IF((L625=""),"",MAX(D626:L626))</f>
        <v>11931.149999999998</v>
      </c>
      <c r="N624" s="27">
        <f>IF(L625="","",MIN(D626:L626))</f>
        <v>10972.5</v>
      </c>
      <c r="O624" s="27">
        <f>IF((L626=""),"",AVERAGE(D626:L626))</f>
        <v>11537.213333333331</v>
      </c>
      <c r="P624" s="27">
        <f>IF((L625=""),"",STDEV(D626:L626))</f>
        <v>277.50528148127188</v>
      </c>
      <c r="Q624" s="27">
        <f>IF((L625=""),"",P624/O624*100)</f>
        <v>2.4053059734927782</v>
      </c>
      <c r="R624" s="28" t="str">
        <f>IF(L625="","",IF(Q624&lt;Z624,IF(N624&gt;V624,IF(M624&lt;W624,"Pass","Fail"),"Fail"),"Fail"))</f>
        <v>Pass</v>
      </c>
      <c r="S624" s="29">
        <v>121</v>
      </c>
      <c r="T624" s="55" t="s">
        <v>239</v>
      </c>
      <c r="U624" s="40"/>
      <c r="V624" s="54">
        <v>10000</v>
      </c>
      <c r="W624" s="22">
        <v>15600</v>
      </c>
      <c r="X624" s="40">
        <v>8090</v>
      </c>
      <c r="Y624" s="40">
        <v>12070</v>
      </c>
      <c r="Z624" s="47">
        <v>6</v>
      </c>
      <c r="AA624" s="47">
        <v>6</v>
      </c>
    </row>
    <row r="625" spans="1:27" ht="15.75" customHeight="1" x14ac:dyDescent="0.3">
      <c r="A625" s="96"/>
      <c r="B625" s="96"/>
      <c r="C625" s="30" t="s">
        <v>128</v>
      </c>
      <c r="D625" s="16">
        <v>25134.11</v>
      </c>
      <c r="E625" s="16">
        <v>25117.16</v>
      </c>
      <c r="F625" s="16">
        <v>25241.82</v>
      </c>
      <c r="G625" s="16">
        <v>25233.08</v>
      </c>
      <c r="H625" s="16">
        <v>25410.21</v>
      </c>
      <c r="I625" s="16">
        <v>25165.74</v>
      </c>
      <c r="J625" s="16">
        <v>25148.59</v>
      </c>
      <c r="K625" s="16">
        <v>25152.95</v>
      </c>
      <c r="L625" s="16">
        <v>25208.799999999999</v>
      </c>
      <c r="M625" s="31"/>
      <c r="N625" s="31"/>
      <c r="O625" s="31"/>
      <c r="P625" s="31"/>
      <c r="Q625" s="31"/>
      <c r="R625" s="32"/>
      <c r="S625" s="33"/>
      <c r="T625" s="56"/>
      <c r="V625" s="48"/>
      <c r="W625" s="48"/>
      <c r="X625" s="49"/>
      <c r="Y625" s="49"/>
      <c r="Z625" s="50"/>
      <c r="AA625" s="50"/>
    </row>
    <row r="626" spans="1:27" ht="16.5" customHeight="1" thickBot="1" x14ac:dyDescent="0.35">
      <c r="A626" s="96"/>
      <c r="B626" s="96"/>
      <c r="C626" s="34" t="s">
        <v>129</v>
      </c>
      <c r="D626" s="35">
        <f t="shared" ref="D626:L626" si="204">IF(((D624="")*AND(D625="")),"",(D624-D625)*3)</f>
        <v>11931.149999999998</v>
      </c>
      <c r="E626" s="35">
        <f t="shared" si="204"/>
        <v>11691.569999999996</v>
      </c>
      <c r="F626" s="35">
        <f t="shared" si="204"/>
        <v>11357.100000000002</v>
      </c>
      <c r="G626" s="35">
        <f t="shared" si="204"/>
        <v>11343.599999999991</v>
      </c>
      <c r="H626" s="35">
        <f t="shared" si="204"/>
        <v>10972.5</v>
      </c>
      <c r="I626" s="35">
        <f t="shared" si="204"/>
        <v>11688.48</v>
      </c>
      <c r="J626" s="35">
        <f t="shared" si="204"/>
        <v>11573.04</v>
      </c>
      <c r="K626" s="35">
        <f t="shared" si="204"/>
        <v>11597.189999999999</v>
      </c>
      <c r="L626" s="35">
        <f t="shared" si="204"/>
        <v>11680.29</v>
      </c>
      <c r="M626" s="36"/>
      <c r="N626" s="36"/>
      <c r="O626" s="36"/>
      <c r="P626" s="36"/>
      <c r="Q626" s="36"/>
      <c r="R626" s="37"/>
      <c r="S626" s="38"/>
      <c r="T626" s="57"/>
      <c r="U626" s="52"/>
      <c r="V626" s="51"/>
      <c r="W626" s="51"/>
      <c r="X626" s="52"/>
      <c r="Y626" s="52"/>
      <c r="Z626" s="53"/>
      <c r="AA626" s="53"/>
    </row>
    <row r="627" spans="1:27" x14ac:dyDescent="0.3">
      <c r="A627" s="97">
        <v>43395</v>
      </c>
      <c r="B627" s="117" t="s">
        <v>431</v>
      </c>
      <c r="C627" s="26" t="s">
        <v>126</v>
      </c>
      <c r="D627" s="16">
        <v>29063.5</v>
      </c>
      <c r="E627" s="16">
        <v>28993.919999999998</v>
      </c>
      <c r="F627" s="16">
        <v>28996.11</v>
      </c>
      <c r="G627" s="16">
        <v>28982.959999999999</v>
      </c>
      <c r="H627" s="16">
        <v>29047.93</v>
      </c>
      <c r="I627" s="16">
        <v>29036.06</v>
      </c>
      <c r="J627" s="16">
        <v>28995.41</v>
      </c>
      <c r="K627" s="16">
        <v>28985.26</v>
      </c>
      <c r="L627" s="16">
        <v>29051.55</v>
      </c>
      <c r="M627" s="27">
        <f>IF((L628=""),"",MAX(D629:L629))</f>
        <v>11082</v>
      </c>
      <c r="N627" s="27">
        <f>IF(L628="","",MIN(D629:L629))</f>
        <v>10495.740000000005</v>
      </c>
      <c r="O627" s="27">
        <f>IF((L629=""),"",AVERAGE(D629:L629))</f>
        <v>10861.693333333333</v>
      </c>
      <c r="P627" s="27">
        <f>IF((L628=""),"",STDEV(D629:L629))</f>
        <v>172.19110110571685</v>
      </c>
      <c r="Q627" s="27">
        <f>IF((L628=""),"",P627/O627*100)</f>
        <v>1.5853062300818368</v>
      </c>
      <c r="R627" s="28" t="str">
        <f>IF(L628="","",IF(Q627&lt;Z627,IF(N627&gt;V627,IF(M627&lt;W627,"Pass","Fail"),"Fail"),"Fail"))</f>
        <v>Pass</v>
      </c>
      <c r="S627" s="29">
        <v>1335</v>
      </c>
      <c r="T627" s="55" t="s">
        <v>240</v>
      </c>
      <c r="U627" s="40"/>
      <c r="V627" s="54">
        <v>10000</v>
      </c>
      <c r="W627" s="22">
        <v>15600</v>
      </c>
      <c r="X627" s="40">
        <v>8090</v>
      </c>
      <c r="Y627" s="40">
        <v>12070</v>
      </c>
      <c r="Z627" s="47">
        <v>6</v>
      </c>
      <c r="AA627" s="47">
        <v>6</v>
      </c>
    </row>
    <row r="628" spans="1:27" ht="15.75" customHeight="1" x14ac:dyDescent="0.3">
      <c r="A628" s="96"/>
      <c r="B628" s="96"/>
      <c r="C628" s="30" t="s">
        <v>128</v>
      </c>
      <c r="D628" s="16">
        <v>25564.92</v>
      </c>
      <c r="E628" s="16">
        <v>25384.29</v>
      </c>
      <c r="F628" s="16">
        <v>25431.03</v>
      </c>
      <c r="G628" s="16">
        <v>25344.25</v>
      </c>
      <c r="H628" s="16">
        <v>25353.93</v>
      </c>
      <c r="I628" s="16">
        <v>25387.49</v>
      </c>
      <c r="J628" s="16">
        <v>25362.62</v>
      </c>
      <c r="K628" s="16">
        <v>25339.56</v>
      </c>
      <c r="L628" s="16">
        <v>25399.53</v>
      </c>
      <c r="M628" s="31"/>
      <c r="N628" s="31"/>
      <c r="O628" s="31"/>
      <c r="P628" s="31"/>
      <c r="Q628" s="31"/>
      <c r="R628" s="32"/>
      <c r="S628" s="33"/>
      <c r="T628" s="56"/>
      <c r="V628" s="48"/>
      <c r="W628" s="48"/>
      <c r="X628" s="49"/>
      <c r="Y628" s="49"/>
      <c r="Z628" s="50"/>
      <c r="AA628" s="50"/>
    </row>
    <row r="629" spans="1:27" ht="16.5" customHeight="1" thickBot="1" x14ac:dyDescent="0.35">
      <c r="A629" s="96"/>
      <c r="B629" s="96"/>
      <c r="C629" s="34" t="s">
        <v>129</v>
      </c>
      <c r="D629" s="35">
        <f t="shared" ref="D629:L629" si="205">IF(((D627="")*AND(D628="")),"",(D627-D628)*3)</f>
        <v>10495.740000000005</v>
      </c>
      <c r="E629" s="35">
        <f t="shared" si="205"/>
        <v>10828.889999999992</v>
      </c>
      <c r="F629" s="35">
        <f t="shared" si="205"/>
        <v>10695.240000000005</v>
      </c>
      <c r="G629" s="35">
        <f t="shared" si="205"/>
        <v>10916.129999999997</v>
      </c>
      <c r="H629" s="35">
        <f t="shared" si="205"/>
        <v>11082</v>
      </c>
      <c r="I629" s="35">
        <f t="shared" si="205"/>
        <v>10945.71</v>
      </c>
      <c r="J629" s="35">
        <f t="shared" si="205"/>
        <v>10898.370000000003</v>
      </c>
      <c r="K629" s="35">
        <f t="shared" si="205"/>
        <v>10937.099999999991</v>
      </c>
      <c r="L629" s="35">
        <f t="shared" si="205"/>
        <v>10956.060000000001</v>
      </c>
      <c r="M629" s="36"/>
      <c r="N629" s="36"/>
      <c r="O629" s="36"/>
      <c r="P629" s="36"/>
      <c r="Q629" s="36"/>
      <c r="R629" s="37"/>
      <c r="S629" s="38"/>
      <c r="T629" s="57"/>
      <c r="U629" s="52"/>
      <c r="V629" s="51"/>
      <c r="W629" s="51"/>
      <c r="X629" s="52"/>
      <c r="Y629" s="52"/>
      <c r="Z629" s="53"/>
      <c r="AA629" s="53"/>
    </row>
    <row r="630" spans="1:27" x14ac:dyDescent="0.3">
      <c r="A630" s="97">
        <v>43399</v>
      </c>
      <c r="B630" s="117" t="s">
        <v>431</v>
      </c>
      <c r="C630" s="26" t="s">
        <v>126</v>
      </c>
      <c r="D630" s="16">
        <v>29006.78</v>
      </c>
      <c r="E630" s="16">
        <v>28915.24</v>
      </c>
      <c r="F630" s="16">
        <v>28914.240000000002</v>
      </c>
      <c r="G630" s="16">
        <v>28908.880000000001</v>
      </c>
      <c r="H630" s="16">
        <v>29007.18</v>
      </c>
      <c r="I630" s="16">
        <v>29003.22</v>
      </c>
      <c r="J630" s="16">
        <v>28920.11</v>
      </c>
      <c r="K630" s="16">
        <v>28910.41</v>
      </c>
      <c r="L630" s="16">
        <v>28992.560000000001</v>
      </c>
      <c r="M630" s="27">
        <f>IF((L631=""),"",MAX(D632:L632))</f>
        <v>11058.660000000003</v>
      </c>
      <c r="N630" s="27">
        <f>IF(L631="","",MIN(D632:L632))</f>
        <v>10107.449999999993</v>
      </c>
      <c r="O630" s="27">
        <f>IF((L632=""),"",AVERAGE(D632:L632))</f>
        <v>10731.826666666668</v>
      </c>
      <c r="P630" s="27">
        <f>IF((L631=""),"",STDEV(D632:L632))</f>
        <v>290.54667206836274</v>
      </c>
      <c r="Q630" s="27">
        <f>IF((L631=""),"",P630/O630*100)</f>
        <v>2.7073366081359502</v>
      </c>
      <c r="R630" s="28" t="str">
        <f>IF(L631="","",IF(Q630&lt;Z630,IF(N630&gt;V630,IF(M630&lt;W630,"Pass","Fail"),"Fail"),"Fail"))</f>
        <v>Pass</v>
      </c>
      <c r="S630" s="29">
        <v>1159</v>
      </c>
      <c r="T630" s="55" t="s">
        <v>241</v>
      </c>
      <c r="U630" s="40"/>
      <c r="V630" s="54">
        <v>10000</v>
      </c>
      <c r="W630" s="22">
        <v>15600</v>
      </c>
      <c r="X630" s="40">
        <v>8090</v>
      </c>
      <c r="Y630" s="40">
        <v>12070</v>
      </c>
      <c r="Z630" s="47">
        <v>6</v>
      </c>
      <c r="AA630" s="47">
        <v>6</v>
      </c>
    </row>
    <row r="631" spans="1:27" ht="15.75" customHeight="1" x14ac:dyDescent="0.3">
      <c r="A631" s="96"/>
      <c r="B631" s="96"/>
      <c r="C631" s="30" t="s">
        <v>128</v>
      </c>
      <c r="D631" s="16">
        <v>25637.63</v>
      </c>
      <c r="E631" s="16">
        <v>25389.03</v>
      </c>
      <c r="F631" s="16">
        <v>25369.39</v>
      </c>
      <c r="G631" s="16">
        <v>25281.96</v>
      </c>
      <c r="H631" s="16">
        <v>25331.22</v>
      </c>
      <c r="I631" s="16">
        <v>25317</v>
      </c>
      <c r="J631" s="16">
        <v>25283.56</v>
      </c>
      <c r="K631" s="16">
        <v>25336.49</v>
      </c>
      <c r="L631" s="16">
        <v>25436.86</v>
      </c>
      <c r="M631" s="31"/>
      <c r="N631" s="31"/>
      <c r="O631" s="31"/>
      <c r="P631" s="31"/>
      <c r="Q631" s="31"/>
      <c r="R631" s="32"/>
      <c r="S631" s="33"/>
      <c r="T631" s="56"/>
      <c r="V631" s="48"/>
      <c r="W631" s="48"/>
      <c r="X631" s="49"/>
      <c r="Y631" s="49"/>
      <c r="Z631" s="50"/>
      <c r="AA631" s="50"/>
    </row>
    <row r="632" spans="1:27" ht="16.5" customHeight="1" thickBot="1" x14ac:dyDescent="0.35">
      <c r="A632" s="96"/>
      <c r="B632" s="96"/>
      <c r="C632" s="34" t="s">
        <v>129</v>
      </c>
      <c r="D632" s="35">
        <f t="shared" ref="D632:L632" si="206">IF(((D630="")*AND(D631="")),"",(D630-D631)*3)</f>
        <v>10107.449999999993</v>
      </c>
      <c r="E632" s="35">
        <f t="shared" si="206"/>
        <v>10578.630000000008</v>
      </c>
      <c r="F632" s="35">
        <f t="shared" si="206"/>
        <v>10634.550000000007</v>
      </c>
      <c r="G632" s="35">
        <f t="shared" si="206"/>
        <v>10880.760000000006</v>
      </c>
      <c r="H632" s="35">
        <f t="shared" si="206"/>
        <v>11027.879999999997</v>
      </c>
      <c r="I632" s="35">
        <f t="shared" si="206"/>
        <v>11058.660000000003</v>
      </c>
      <c r="J632" s="35">
        <f t="shared" si="206"/>
        <v>10909.649999999998</v>
      </c>
      <c r="K632" s="35">
        <f t="shared" si="206"/>
        <v>10721.759999999995</v>
      </c>
      <c r="L632" s="35">
        <f t="shared" si="206"/>
        <v>10667.100000000002</v>
      </c>
      <c r="M632" s="36"/>
      <c r="N632" s="36"/>
      <c r="O632" s="36"/>
      <c r="P632" s="36"/>
      <c r="Q632" s="36"/>
      <c r="R632" s="37"/>
      <c r="S632" s="38"/>
      <c r="T632" s="57"/>
      <c r="U632" s="52"/>
      <c r="V632" s="51"/>
      <c r="W632" s="51"/>
      <c r="X632" s="52"/>
      <c r="Y632" s="52"/>
      <c r="Z632" s="53"/>
      <c r="AA632" s="53"/>
    </row>
    <row r="633" spans="1:27" x14ac:dyDescent="0.3">
      <c r="A633" s="97">
        <v>43403</v>
      </c>
      <c r="B633" s="117" t="s">
        <v>431</v>
      </c>
      <c r="C633" s="26" t="s">
        <v>126</v>
      </c>
      <c r="D633" s="16">
        <v>28942.94</v>
      </c>
      <c r="E633" s="16">
        <v>28894.01</v>
      </c>
      <c r="F633" s="16">
        <v>28896.01</v>
      </c>
      <c r="G633" s="16">
        <v>28897.29</v>
      </c>
      <c r="H633" s="16">
        <v>28972.16</v>
      </c>
      <c r="I633" s="16">
        <v>28981.599999999999</v>
      </c>
      <c r="J633" s="16">
        <v>28897.03</v>
      </c>
      <c r="K633" s="16">
        <v>28893.27</v>
      </c>
      <c r="L633" s="16">
        <v>28978.38</v>
      </c>
      <c r="M633" s="27">
        <f>IF((L634=""),"",MAX(D635:L635))</f>
        <v>11842.649999999998</v>
      </c>
      <c r="N633" s="27">
        <f>IF(L634="","",MIN(D635:L635))</f>
        <v>11236.439999999999</v>
      </c>
      <c r="O633" s="27">
        <f>IF((L635=""),"",AVERAGE(D635:L635))</f>
        <v>11633.579999999996</v>
      </c>
      <c r="P633" s="27">
        <f>IF((L634=""),"",STDEV(D635:L635))</f>
        <v>192.59914544202928</v>
      </c>
      <c r="Q633" s="27">
        <f>IF((L634=""),"",P633/O633*100)</f>
        <v>1.6555449435344007</v>
      </c>
      <c r="R633" s="28" t="str">
        <f>IF(L634="","",IF(Q633&lt;Z633,IF(N633&gt;V633,IF(M633&lt;W633,"Pass","Fail"),"Fail"),"Fail"))</f>
        <v>Pass</v>
      </c>
      <c r="S633" s="29">
        <v>64</v>
      </c>
      <c r="T633" s="55" t="s">
        <v>242</v>
      </c>
      <c r="U633" s="40"/>
      <c r="V633" s="54">
        <v>10000</v>
      </c>
      <c r="W633" s="22">
        <v>15600</v>
      </c>
      <c r="X633" s="40">
        <v>8090</v>
      </c>
      <c r="Y633" s="40">
        <v>12070</v>
      </c>
      <c r="Z633" s="47">
        <v>6</v>
      </c>
      <c r="AA633" s="47">
        <v>6</v>
      </c>
    </row>
    <row r="634" spans="1:27" ht="15.75" customHeight="1" x14ac:dyDescent="0.3">
      <c r="A634" s="96"/>
      <c r="B634" s="96"/>
      <c r="C634" s="30" t="s">
        <v>128</v>
      </c>
      <c r="D634" s="16">
        <v>24995.39</v>
      </c>
      <c r="E634" s="16">
        <v>24976.63</v>
      </c>
      <c r="F634" s="16">
        <v>25078.85</v>
      </c>
      <c r="G634" s="16">
        <v>25051.93</v>
      </c>
      <c r="H634" s="16">
        <v>25226.68</v>
      </c>
      <c r="I634" s="16">
        <v>25088.39</v>
      </c>
      <c r="J634" s="16">
        <v>25005.87</v>
      </c>
      <c r="K634" s="16">
        <v>24975.37</v>
      </c>
      <c r="L634" s="16">
        <v>25052.84</v>
      </c>
      <c r="M634" s="31"/>
      <c r="N634" s="31"/>
      <c r="O634" s="31"/>
      <c r="P634" s="31"/>
      <c r="Q634" s="31"/>
      <c r="R634" s="32"/>
      <c r="S634" s="33"/>
      <c r="T634" s="56"/>
      <c r="V634" s="48"/>
      <c r="W634" s="48"/>
      <c r="X634" s="49"/>
      <c r="Y634" s="49"/>
      <c r="Z634" s="50"/>
      <c r="AA634" s="50"/>
    </row>
    <row r="635" spans="1:27" ht="16.5" customHeight="1" thickBot="1" x14ac:dyDescent="0.35">
      <c r="A635" s="96"/>
      <c r="B635" s="96"/>
      <c r="C635" s="34" t="s">
        <v>129</v>
      </c>
      <c r="D635" s="35">
        <f t="shared" ref="D635:L635" si="207">IF(((D633="")*AND(D634="")),"",(D633-D634)*3)</f>
        <v>11842.649999999998</v>
      </c>
      <c r="E635" s="35">
        <f t="shared" si="207"/>
        <v>11752.139999999992</v>
      </c>
      <c r="F635" s="35">
        <f t="shared" si="207"/>
        <v>11451.48</v>
      </c>
      <c r="G635" s="35">
        <f t="shared" si="207"/>
        <v>11536.080000000002</v>
      </c>
      <c r="H635" s="35">
        <f t="shared" si="207"/>
        <v>11236.439999999999</v>
      </c>
      <c r="I635" s="35">
        <f t="shared" si="207"/>
        <v>11679.629999999997</v>
      </c>
      <c r="J635" s="35">
        <f t="shared" si="207"/>
        <v>11673.48</v>
      </c>
      <c r="K635" s="35">
        <f t="shared" si="207"/>
        <v>11753.700000000004</v>
      </c>
      <c r="L635" s="35">
        <f t="shared" si="207"/>
        <v>11776.620000000003</v>
      </c>
      <c r="M635" s="36"/>
      <c r="N635" s="36"/>
      <c r="O635" s="36"/>
      <c r="P635" s="36"/>
      <c r="Q635" s="36"/>
      <c r="R635" s="37"/>
      <c r="S635" s="38"/>
      <c r="T635" s="57"/>
      <c r="U635" s="52"/>
      <c r="V635" s="51"/>
      <c r="W635" s="51"/>
      <c r="X635" s="52"/>
      <c r="Y635" s="52"/>
      <c r="Z635" s="53"/>
      <c r="AA635" s="53"/>
    </row>
    <row r="636" spans="1:27" x14ac:dyDescent="0.3">
      <c r="A636" s="97">
        <v>43409</v>
      </c>
      <c r="B636" s="117" t="s">
        <v>431</v>
      </c>
      <c r="C636" s="26" t="s">
        <v>126</v>
      </c>
      <c r="D636" s="16">
        <v>28977.02</v>
      </c>
      <c r="E636" s="16">
        <v>28934.61</v>
      </c>
      <c r="F636" s="16">
        <v>28959.279999999999</v>
      </c>
      <c r="G636" s="16">
        <v>28938.57</v>
      </c>
      <c r="H636" s="16">
        <v>29004.880000000001</v>
      </c>
      <c r="I636" s="16">
        <v>29011.51</v>
      </c>
      <c r="J636" s="16">
        <v>28929</v>
      </c>
      <c r="K636" s="16">
        <v>28929.56</v>
      </c>
      <c r="L636" s="16">
        <v>28999.98</v>
      </c>
      <c r="M636" s="27">
        <f>IF((L637=""),"",MAX(D638:L638))</f>
        <v>11279.189999999999</v>
      </c>
      <c r="N636" s="27">
        <f>IF(L637="","",MIN(D638:L638))</f>
        <v>10624.589999999997</v>
      </c>
      <c r="O636" s="27">
        <f>IF((L638=""),"",AVERAGE(D638:L638))</f>
        <v>10996.626666666667</v>
      </c>
      <c r="P636" s="27">
        <f>IF((L637=""),"",STDEV(D638:L638))</f>
        <v>198.58974488880469</v>
      </c>
      <c r="Q636" s="27">
        <f>IF((L637=""),"",P636/O636*100)</f>
        <v>1.8059151311445025</v>
      </c>
      <c r="R636" s="28" t="str">
        <f>IF(L637="","",IF(Q636&lt;Z636,IF(N636&gt;V636,IF(M636&lt;W636,"Pass","Fail"),"Fail"),"Fail"))</f>
        <v>Pass</v>
      </c>
      <c r="S636" s="29">
        <v>1335</v>
      </c>
      <c r="T636" s="55"/>
      <c r="U636" s="40"/>
      <c r="V636" s="54">
        <v>10000</v>
      </c>
      <c r="W636" s="22">
        <v>15600</v>
      </c>
      <c r="X636" s="40">
        <v>8090</v>
      </c>
      <c r="Y636" s="40">
        <v>12070</v>
      </c>
      <c r="Z636" s="47">
        <v>6</v>
      </c>
      <c r="AA636" s="47">
        <v>6</v>
      </c>
    </row>
    <row r="637" spans="1:27" ht="15.75" customHeight="1" x14ac:dyDescent="0.3">
      <c r="A637" s="96"/>
      <c r="B637" s="96"/>
      <c r="C637" s="30" t="s">
        <v>128</v>
      </c>
      <c r="D637" s="16">
        <v>25435.49</v>
      </c>
      <c r="E637" s="16">
        <v>25311.3</v>
      </c>
      <c r="F637" s="16">
        <v>25356.9</v>
      </c>
      <c r="G637" s="16">
        <v>25233.09</v>
      </c>
      <c r="H637" s="16">
        <v>25245.15</v>
      </c>
      <c r="I637" s="16">
        <v>25310.26</v>
      </c>
      <c r="J637" s="16">
        <v>25263.74</v>
      </c>
      <c r="K637" s="16">
        <v>25247.71</v>
      </c>
      <c r="L637" s="16">
        <v>25290.89</v>
      </c>
      <c r="M637" s="31"/>
      <c r="N637" s="31"/>
      <c r="O637" s="31"/>
      <c r="P637" s="31"/>
      <c r="Q637" s="31"/>
      <c r="R637" s="32"/>
      <c r="S637" s="33"/>
      <c r="T637" s="56"/>
      <c r="V637" s="48"/>
      <c r="W637" s="48"/>
      <c r="X637" s="49"/>
      <c r="Y637" s="49"/>
      <c r="Z637" s="50"/>
      <c r="AA637" s="50"/>
    </row>
    <row r="638" spans="1:27" ht="16.5" customHeight="1" thickBot="1" x14ac:dyDescent="0.35">
      <c r="A638" s="96"/>
      <c r="B638" s="96"/>
      <c r="C638" s="34" t="s">
        <v>129</v>
      </c>
      <c r="D638" s="35">
        <f t="shared" ref="D638:L638" si="208">IF(((D636="")*AND(D637="")),"",(D636-D637)*3)</f>
        <v>10624.589999999997</v>
      </c>
      <c r="E638" s="35">
        <f t="shared" si="208"/>
        <v>10869.930000000004</v>
      </c>
      <c r="F638" s="35">
        <f t="shared" si="208"/>
        <v>10807.139999999992</v>
      </c>
      <c r="G638" s="35">
        <f t="shared" si="208"/>
        <v>11116.439999999999</v>
      </c>
      <c r="H638" s="35">
        <f t="shared" si="208"/>
        <v>11279.189999999999</v>
      </c>
      <c r="I638" s="35">
        <f t="shared" si="208"/>
        <v>11103.75</v>
      </c>
      <c r="J638" s="35">
        <f t="shared" si="208"/>
        <v>10995.779999999995</v>
      </c>
      <c r="K638" s="35">
        <f t="shared" si="208"/>
        <v>11045.550000000007</v>
      </c>
      <c r="L638" s="35">
        <f t="shared" si="208"/>
        <v>11127.27</v>
      </c>
      <c r="M638" s="36"/>
      <c r="N638" s="36"/>
      <c r="O638" s="36"/>
      <c r="P638" s="36"/>
      <c r="Q638" s="36"/>
      <c r="R638" s="37"/>
      <c r="S638" s="38"/>
      <c r="T638" s="57"/>
      <c r="U638" s="52"/>
      <c r="V638" s="51"/>
      <c r="W638" s="51"/>
      <c r="X638" s="52"/>
      <c r="Y638" s="52"/>
      <c r="Z638" s="53"/>
      <c r="AA638" s="53"/>
    </row>
    <row r="639" spans="1:27" x14ac:dyDescent="0.3">
      <c r="A639" s="97">
        <v>43413</v>
      </c>
      <c r="B639" s="117" t="s">
        <v>431</v>
      </c>
      <c r="C639" s="26" t="s">
        <v>126</v>
      </c>
      <c r="D639" s="16">
        <v>28960.58</v>
      </c>
      <c r="E639" s="16">
        <v>28853.26</v>
      </c>
      <c r="F639" s="16">
        <v>28859.98</v>
      </c>
      <c r="G639" s="16">
        <v>28843.439999999999</v>
      </c>
      <c r="H639" s="16">
        <v>28944.880000000001</v>
      </c>
      <c r="I639" s="16">
        <v>28925.63</v>
      </c>
      <c r="J639" s="16">
        <v>28840.69</v>
      </c>
      <c r="K639" s="16">
        <v>28853.25</v>
      </c>
      <c r="L639" s="16">
        <v>28957.29</v>
      </c>
      <c r="M639" s="27">
        <f>IF((L640=""),"",MAX(D641:L641))</f>
        <v>11410.379999999997</v>
      </c>
      <c r="N639" s="27">
        <f>IF(L640="","",MIN(D641:L641))</f>
        <v>10927.44000000001</v>
      </c>
      <c r="O639" s="27">
        <f>IF((L641=""),"",AVERAGE(D641:L641))</f>
        <v>11283.253333333334</v>
      </c>
      <c r="P639" s="27">
        <f>IF((L640=""),"",STDEV(D641:L641))</f>
        <v>147.72935879505769</v>
      </c>
      <c r="Q639" s="27">
        <f>IF((L640=""),"",P639/O639*100)</f>
        <v>1.3092798187791377</v>
      </c>
      <c r="R639" s="28" t="str">
        <f>IF(L640="","",IF(Q639&lt;Z639,IF(N639&gt;V639,IF(M639&lt;W639,"Pass","Fail"),"Fail"),"Fail"))</f>
        <v>Pass</v>
      </c>
      <c r="S639" s="29">
        <v>1159</v>
      </c>
      <c r="T639" s="55" t="s">
        <v>243</v>
      </c>
      <c r="U639" s="40"/>
      <c r="V639" s="54">
        <v>10000</v>
      </c>
      <c r="W639" s="22">
        <v>15600</v>
      </c>
      <c r="X639" s="40">
        <v>8090</v>
      </c>
      <c r="Y639" s="40">
        <v>12070</v>
      </c>
      <c r="Z639" s="47">
        <v>6</v>
      </c>
      <c r="AA639" s="47">
        <v>6</v>
      </c>
    </row>
    <row r="640" spans="1:27" ht="15.75" customHeight="1" x14ac:dyDescent="0.3">
      <c r="A640" s="96"/>
      <c r="B640" s="96"/>
      <c r="C640" s="30" t="s">
        <v>128</v>
      </c>
      <c r="D640" s="16">
        <v>25318.1</v>
      </c>
      <c r="E640" s="16">
        <v>25113.53</v>
      </c>
      <c r="F640" s="16">
        <v>25103.14</v>
      </c>
      <c r="G640" s="16">
        <v>25041.77</v>
      </c>
      <c r="H640" s="16">
        <v>25157.08</v>
      </c>
      <c r="I640" s="16">
        <v>25159.66</v>
      </c>
      <c r="J640" s="16">
        <v>25053.87</v>
      </c>
      <c r="K640" s="16">
        <v>25049.79</v>
      </c>
      <c r="L640" s="16">
        <v>25192.3</v>
      </c>
      <c r="M640" s="31"/>
      <c r="N640" s="31"/>
      <c r="O640" s="31"/>
      <c r="P640" s="31"/>
      <c r="Q640" s="31"/>
      <c r="R640" s="32"/>
      <c r="S640" s="33"/>
      <c r="T640" s="56"/>
      <c r="V640" s="48"/>
      <c r="W640" s="48"/>
      <c r="X640" s="49"/>
      <c r="Y640" s="49"/>
      <c r="Z640" s="50"/>
      <c r="AA640" s="50"/>
    </row>
    <row r="641" spans="1:27" ht="16.5" customHeight="1" thickBot="1" x14ac:dyDescent="0.35">
      <c r="A641" s="96"/>
      <c r="B641" s="96"/>
      <c r="C641" s="34" t="s">
        <v>129</v>
      </c>
      <c r="D641" s="35">
        <f t="shared" ref="D641:L641" si="209">IF(((D639="")*AND(D640="")),"",(D639-D640)*3)</f>
        <v>10927.44000000001</v>
      </c>
      <c r="E641" s="35">
        <f t="shared" si="209"/>
        <v>11219.189999999999</v>
      </c>
      <c r="F641" s="35">
        <f t="shared" si="209"/>
        <v>11270.52</v>
      </c>
      <c r="G641" s="35">
        <f t="shared" si="209"/>
        <v>11405.009999999995</v>
      </c>
      <c r="H641" s="35">
        <f t="shared" si="209"/>
        <v>11363.399999999998</v>
      </c>
      <c r="I641" s="35">
        <f t="shared" si="209"/>
        <v>11297.910000000003</v>
      </c>
      <c r="J641" s="35">
        <f t="shared" si="209"/>
        <v>11360.46</v>
      </c>
      <c r="K641" s="35">
        <f t="shared" si="209"/>
        <v>11410.379999999997</v>
      </c>
      <c r="L641" s="35">
        <f t="shared" si="209"/>
        <v>11294.970000000005</v>
      </c>
      <c r="M641" s="36"/>
      <c r="N641" s="36"/>
      <c r="O641" s="36"/>
      <c r="P641" s="36"/>
      <c r="Q641" s="36"/>
      <c r="R641" s="37"/>
      <c r="S641" s="38"/>
      <c r="T641" s="57"/>
      <c r="U641" s="52"/>
      <c r="V641" s="51"/>
      <c r="W641" s="51"/>
      <c r="X641" s="52"/>
      <c r="Y641" s="52"/>
      <c r="Z641" s="53"/>
      <c r="AA641" s="53"/>
    </row>
    <row r="642" spans="1:27" x14ac:dyDescent="0.3">
      <c r="A642" s="97">
        <v>43418</v>
      </c>
      <c r="B642" s="117" t="s">
        <v>431</v>
      </c>
      <c r="C642" s="26" t="s">
        <v>126</v>
      </c>
      <c r="D642" s="16">
        <v>28987.94</v>
      </c>
      <c r="E642" s="16">
        <v>28916.799999999999</v>
      </c>
      <c r="F642" s="16">
        <v>28929.85</v>
      </c>
      <c r="G642" s="16">
        <v>28903.84</v>
      </c>
      <c r="H642" s="16">
        <v>28966.19</v>
      </c>
      <c r="I642" s="16">
        <v>28966.36</v>
      </c>
      <c r="J642" s="16">
        <v>28891.38</v>
      </c>
      <c r="K642" s="16">
        <v>28914.1</v>
      </c>
      <c r="L642" s="16">
        <v>28964.58</v>
      </c>
      <c r="M642" s="27">
        <f>IF((L643=""),"",MAX(D644:L644))</f>
        <v>12555.21</v>
      </c>
      <c r="N642" s="27">
        <f>IF(L643="","",MIN(D644:L644))</f>
        <v>11474.669999999998</v>
      </c>
      <c r="O642" s="27">
        <f>IF((L644=""),"",AVERAGE(D644:L644))</f>
        <v>12187.516666666668</v>
      </c>
      <c r="P642" s="27">
        <f>IF((L643=""),"",STDEV(D644:L644))</f>
        <v>328.41035184658926</v>
      </c>
      <c r="Q642" s="27">
        <f>IF((L643=""),"",P642/O642*100)</f>
        <v>2.6946453558074248</v>
      </c>
      <c r="R642" s="28" t="str">
        <f>IF(L643="","",IF(Q642&lt;Z642,IF(N642&gt;V642,IF(M642&lt;W642,"Pass","Fail"),"Fail"),"Fail"))</f>
        <v>Pass</v>
      </c>
      <c r="S642" s="29">
        <v>121</v>
      </c>
      <c r="T642" s="55" t="s">
        <v>244</v>
      </c>
      <c r="U642" s="40"/>
      <c r="V642" s="54">
        <v>10000</v>
      </c>
      <c r="W642" s="22">
        <v>15600</v>
      </c>
      <c r="X642" s="40">
        <v>8090</v>
      </c>
      <c r="Y642" s="40">
        <v>12070</v>
      </c>
      <c r="Z642" s="47">
        <v>6</v>
      </c>
      <c r="AA642" s="47">
        <v>6</v>
      </c>
    </row>
    <row r="643" spans="1:27" ht="15.75" customHeight="1" x14ac:dyDescent="0.3">
      <c r="A643" s="96"/>
      <c r="B643" s="96"/>
      <c r="C643" s="30" t="s">
        <v>128</v>
      </c>
      <c r="D643" s="16">
        <v>24802.87</v>
      </c>
      <c r="E643" s="16">
        <v>24778.71</v>
      </c>
      <c r="F643" s="16">
        <v>24911.59</v>
      </c>
      <c r="G643" s="16">
        <v>24893.439999999999</v>
      </c>
      <c r="H643" s="16">
        <v>25141.3</v>
      </c>
      <c r="I643" s="16">
        <v>24925.18</v>
      </c>
      <c r="J643" s="16">
        <v>24834.19</v>
      </c>
      <c r="K643" s="16">
        <v>24783.040000000001</v>
      </c>
      <c r="L643" s="16">
        <v>24808.17</v>
      </c>
      <c r="M643" s="31"/>
      <c r="N643" s="31"/>
      <c r="O643" s="31"/>
      <c r="P643" s="31"/>
      <c r="Q643" s="31"/>
      <c r="R643" s="32"/>
      <c r="S643" s="33"/>
      <c r="T643" s="56"/>
      <c r="V643" s="48"/>
      <c r="W643" s="48"/>
      <c r="X643" s="49"/>
      <c r="Y643" s="49"/>
      <c r="Z643" s="50"/>
      <c r="AA643" s="50"/>
    </row>
    <row r="644" spans="1:27" ht="16.5" customHeight="1" thickBot="1" x14ac:dyDescent="0.35">
      <c r="A644" s="96"/>
      <c r="B644" s="96"/>
      <c r="C644" s="34" t="s">
        <v>129</v>
      </c>
      <c r="D644" s="35">
        <f t="shared" ref="D644:L644" si="210">IF(((D642="")*AND(D643="")),"",(D642-D643)*3)</f>
        <v>12555.21</v>
      </c>
      <c r="E644" s="35">
        <f t="shared" si="210"/>
        <v>12414.27</v>
      </c>
      <c r="F644" s="35">
        <f t="shared" si="210"/>
        <v>12054.779999999995</v>
      </c>
      <c r="G644" s="35">
        <f t="shared" si="210"/>
        <v>12031.200000000004</v>
      </c>
      <c r="H644" s="35">
        <f t="shared" si="210"/>
        <v>11474.669999999998</v>
      </c>
      <c r="I644" s="35">
        <f t="shared" si="210"/>
        <v>12123.54</v>
      </c>
      <c r="J644" s="35">
        <f t="shared" si="210"/>
        <v>12171.570000000007</v>
      </c>
      <c r="K644" s="35">
        <f t="shared" si="210"/>
        <v>12393.179999999993</v>
      </c>
      <c r="L644" s="35">
        <f t="shared" si="210"/>
        <v>12469.23000000001</v>
      </c>
      <c r="M644" s="36"/>
      <c r="N644" s="36"/>
      <c r="O644" s="36"/>
      <c r="P644" s="36"/>
      <c r="Q644" s="36"/>
      <c r="R644" s="37"/>
      <c r="S644" s="38"/>
      <c r="T644" s="57"/>
      <c r="U644" s="52"/>
      <c r="V644" s="51"/>
      <c r="W644" s="51"/>
      <c r="X644" s="52"/>
      <c r="Y644" s="52"/>
      <c r="Z644" s="53"/>
      <c r="AA644" s="53"/>
    </row>
    <row r="645" spans="1:27" x14ac:dyDescent="0.3">
      <c r="A645" s="97">
        <v>43424</v>
      </c>
      <c r="B645" s="117" t="s">
        <v>431</v>
      </c>
      <c r="C645" s="26" t="s">
        <v>126</v>
      </c>
      <c r="D645" s="16">
        <v>29002.84</v>
      </c>
      <c r="E645" s="16">
        <v>28904.03</v>
      </c>
      <c r="F645" s="16">
        <v>28910.93</v>
      </c>
      <c r="G645" s="16">
        <v>28902.97</v>
      </c>
      <c r="H645" s="16">
        <v>28993.919999999998</v>
      </c>
      <c r="I645" s="16">
        <v>28969.38</v>
      </c>
      <c r="J645" s="16">
        <v>28893.21</v>
      </c>
      <c r="K645" s="16">
        <v>28895.119999999999</v>
      </c>
      <c r="L645" s="16">
        <v>28982.400000000001</v>
      </c>
      <c r="M645" s="27">
        <f>IF((L646=""),"",MAX(D647:L647))</f>
        <v>10079.399999999998</v>
      </c>
      <c r="N645" s="27">
        <f>IF(L646="","",MIN(D647:L647))</f>
        <v>9102.2999999999956</v>
      </c>
      <c r="O645" s="27">
        <f>IF((L647=""),"",AVERAGE(D647:L647))</f>
        <v>9719.6566666666677</v>
      </c>
      <c r="P645" s="27">
        <f>IF((L646=""),"",STDEV(D647:L647))</f>
        <v>292.51340627397121</v>
      </c>
      <c r="Q645" s="27">
        <f>IF((L646=""),"",P645/O645*100)</f>
        <v>3.0095034866523527</v>
      </c>
      <c r="R645" s="28" t="str">
        <f>IF(L646="","",IF(Q645&lt;Z645,IF(N645&gt;V645,IF(M645&lt;W645,"Pass","Fail"),"Fail"),"Fail"))</f>
        <v>Fail</v>
      </c>
      <c r="S645" s="29">
        <v>1159</v>
      </c>
      <c r="T645" s="55"/>
      <c r="U645" s="40"/>
      <c r="V645" s="54">
        <v>10000</v>
      </c>
      <c r="W645" s="22">
        <v>15600</v>
      </c>
      <c r="X645" s="40">
        <v>8090</v>
      </c>
      <c r="Y645" s="40">
        <v>12070</v>
      </c>
      <c r="Z645" s="47">
        <v>6</v>
      </c>
      <c r="AA645" s="47">
        <v>6</v>
      </c>
    </row>
    <row r="646" spans="1:27" ht="15.75" customHeight="1" x14ac:dyDescent="0.3">
      <c r="A646" s="96"/>
      <c r="B646" s="96"/>
      <c r="C646" s="30" t="s">
        <v>128</v>
      </c>
      <c r="D646" s="16">
        <v>25968.74</v>
      </c>
      <c r="E646" s="16">
        <v>25730.080000000002</v>
      </c>
      <c r="F646" s="16">
        <v>25724.11</v>
      </c>
      <c r="G646" s="16">
        <v>25615.05</v>
      </c>
      <c r="H646" s="16">
        <v>25634.12</v>
      </c>
      <c r="I646" s="16">
        <v>25644</v>
      </c>
      <c r="J646" s="16">
        <v>25636.17</v>
      </c>
      <c r="K646" s="16">
        <v>25647.98</v>
      </c>
      <c r="L646" s="16">
        <v>25695.58</v>
      </c>
      <c r="M646" s="31"/>
      <c r="N646" s="31"/>
      <c r="O646" s="31"/>
      <c r="P646" s="31"/>
      <c r="Q646" s="31"/>
      <c r="R646" s="32"/>
      <c r="S646" s="33"/>
      <c r="T646" s="56"/>
      <c r="V646" s="48"/>
      <c r="W646" s="48"/>
      <c r="X646" s="49"/>
      <c r="Y646" s="49"/>
      <c r="Z646" s="50"/>
      <c r="AA646" s="50"/>
    </row>
    <row r="647" spans="1:27" ht="16.5" customHeight="1" thickBot="1" x14ac:dyDescent="0.35">
      <c r="A647" s="96"/>
      <c r="B647" s="96"/>
      <c r="C647" s="34" t="s">
        <v>129</v>
      </c>
      <c r="D647" s="35">
        <f t="shared" ref="D647:L647" si="211">IF(((D645="")*AND(D646="")),"",(D645-D646)*3)</f>
        <v>9102.2999999999956</v>
      </c>
      <c r="E647" s="35">
        <f t="shared" si="211"/>
        <v>9521.8499999999913</v>
      </c>
      <c r="F647" s="35">
        <f t="shared" si="211"/>
        <v>9560.4599999999991</v>
      </c>
      <c r="G647" s="35">
        <f t="shared" si="211"/>
        <v>9863.7600000000057</v>
      </c>
      <c r="H647" s="35">
        <f t="shared" si="211"/>
        <v>10079.399999999998</v>
      </c>
      <c r="I647" s="35">
        <f t="shared" si="211"/>
        <v>9976.1400000000031</v>
      </c>
      <c r="J647" s="35">
        <f t="shared" si="211"/>
        <v>9771.1200000000026</v>
      </c>
      <c r="K647" s="35">
        <f t="shared" si="211"/>
        <v>9741.4199999999983</v>
      </c>
      <c r="L647" s="35">
        <f t="shared" si="211"/>
        <v>9860.4599999999991</v>
      </c>
      <c r="M647" s="36"/>
      <c r="N647" s="36"/>
      <c r="O647" s="36"/>
      <c r="P647" s="36"/>
      <c r="Q647" s="36"/>
      <c r="R647" s="37"/>
      <c r="S647" s="38"/>
      <c r="T647" s="57"/>
      <c r="U647" s="52"/>
      <c r="V647" s="51"/>
      <c r="W647" s="51"/>
      <c r="X647" s="52"/>
      <c r="Y647" s="52"/>
      <c r="Z647" s="53"/>
      <c r="AA647" s="53"/>
    </row>
    <row r="648" spans="1:27" x14ac:dyDescent="0.3">
      <c r="A648" s="97">
        <v>43424</v>
      </c>
      <c r="B648" s="117" t="s">
        <v>431</v>
      </c>
      <c r="C648" s="26" t="s">
        <v>126</v>
      </c>
      <c r="D648" s="16">
        <v>29088.33</v>
      </c>
      <c r="E648" s="16">
        <v>29005.51</v>
      </c>
      <c r="F648" s="16">
        <v>29042.11</v>
      </c>
      <c r="G648" s="16">
        <v>29007.09</v>
      </c>
      <c r="H648" s="16">
        <v>29061.08</v>
      </c>
      <c r="I648" s="16">
        <v>29055.31</v>
      </c>
      <c r="J648" s="16">
        <v>28994.52</v>
      </c>
      <c r="K648" s="16">
        <v>29000.1</v>
      </c>
      <c r="L648" s="16">
        <v>29059.34</v>
      </c>
      <c r="M648" s="27">
        <f>IF((L649=""),"",MAX(D650:L650))</f>
        <v>11347.260000000006</v>
      </c>
      <c r="N648" s="27">
        <f>IF(L649="","",MIN(D650:L650))</f>
        <v>10709.46000000001</v>
      </c>
      <c r="O648" s="27">
        <f>IF((L650=""),"",AVERAGE(D650:L650))</f>
        <v>11112.710000000001</v>
      </c>
      <c r="P648" s="27">
        <f>IF((L649=""),"",STDEV(D650:L650))</f>
        <v>195.74447808303455</v>
      </c>
      <c r="Q648" s="27">
        <f>IF((L649=""),"",P648/O648*100)</f>
        <v>1.7614468305483948</v>
      </c>
      <c r="R648" s="28" t="str">
        <f>IF(L649="","",IF(Q648&lt;Z648,IF(N648&gt;V648,IF(M648&lt;W648,"Pass","Fail"),"Fail"),"Fail"))</f>
        <v>Pass</v>
      </c>
      <c r="S648" s="29">
        <v>1159</v>
      </c>
      <c r="T648" s="55" t="s">
        <v>245</v>
      </c>
      <c r="U648" s="40"/>
      <c r="V648" s="54">
        <v>10000</v>
      </c>
      <c r="W648" s="22">
        <v>15600</v>
      </c>
      <c r="X648" s="40">
        <v>8090</v>
      </c>
      <c r="Y648" s="40">
        <v>12070</v>
      </c>
      <c r="Z648" s="47">
        <v>6</v>
      </c>
      <c r="AA648" s="47">
        <v>6</v>
      </c>
    </row>
    <row r="649" spans="1:27" ht="15.75" customHeight="1" x14ac:dyDescent="0.3">
      <c r="A649" s="96"/>
      <c r="B649" s="96"/>
      <c r="C649" s="30" t="s">
        <v>128</v>
      </c>
      <c r="D649" s="16">
        <v>25518.51</v>
      </c>
      <c r="E649" s="16">
        <v>25337.4</v>
      </c>
      <c r="F649" s="16">
        <v>25394.41</v>
      </c>
      <c r="G649" s="16">
        <v>25265.46</v>
      </c>
      <c r="H649" s="16">
        <v>25278.66</v>
      </c>
      <c r="I649" s="16">
        <v>25309.7</v>
      </c>
      <c r="J649" s="16">
        <v>25283.41</v>
      </c>
      <c r="K649" s="16">
        <v>25274.69</v>
      </c>
      <c r="L649" s="16">
        <v>25313.02</v>
      </c>
      <c r="M649" s="31"/>
      <c r="N649" s="31"/>
      <c r="O649" s="31"/>
      <c r="P649" s="31"/>
      <c r="Q649" s="31"/>
      <c r="R649" s="32"/>
      <c r="S649" s="33"/>
      <c r="T649" s="56"/>
      <c r="V649" s="48"/>
      <c r="W649" s="48"/>
      <c r="X649" s="49"/>
      <c r="Y649" s="49"/>
      <c r="Z649" s="50"/>
      <c r="AA649" s="50"/>
    </row>
    <row r="650" spans="1:27" ht="16.5" customHeight="1" thickBot="1" x14ac:dyDescent="0.35">
      <c r="A650" s="96"/>
      <c r="B650" s="96"/>
      <c r="C650" s="34" t="s">
        <v>129</v>
      </c>
      <c r="D650" s="35">
        <f t="shared" ref="D650:L650" si="212">IF(((D648="")*AND(D649="")),"",(D648-D649)*3)</f>
        <v>10709.46000000001</v>
      </c>
      <c r="E650" s="35">
        <f t="shared" si="212"/>
        <v>11004.329999999991</v>
      </c>
      <c r="F650" s="35">
        <f t="shared" si="212"/>
        <v>10943.100000000002</v>
      </c>
      <c r="G650" s="35">
        <f t="shared" si="212"/>
        <v>11224.890000000003</v>
      </c>
      <c r="H650" s="35">
        <f t="shared" si="212"/>
        <v>11347.260000000006</v>
      </c>
      <c r="I650" s="35">
        <f t="shared" si="212"/>
        <v>11236.830000000002</v>
      </c>
      <c r="J650" s="35">
        <f t="shared" si="212"/>
        <v>11133.330000000002</v>
      </c>
      <c r="K650" s="35">
        <f t="shared" si="212"/>
        <v>11176.23</v>
      </c>
      <c r="L650" s="35">
        <f t="shared" si="212"/>
        <v>11238.96</v>
      </c>
      <c r="M650" s="36"/>
      <c r="N650" s="36"/>
      <c r="O650" s="36"/>
      <c r="P650" s="36"/>
      <c r="Q650" s="36"/>
      <c r="R650" s="37"/>
      <c r="S650" s="38"/>
      <c r="T650" s="57"/>
      <c r="U650" s="52"/>
      <c r="V650" s="51"/>
      <c r="W650" s="51"/>
      <c r="X650" s="52"/>
      <c r="Y650" s="52"/>
      <c r="Z650" s="53"/>
      <c r="AA650" s="53"/>
    </row>
    <row r="651" spans="1:27" x14ac:dyDescent="0.3">
      <c r="A651" s="97">
        <v>43424</v>
      </c>
      <c r="B651" s="117" t="s">
        <v>431</v>
      </c>
      <c r="C651" s="26" t="s">
        <v>126</v>
      </c>
      <c r="D651" s="16">
        <v>28929.58</v>
      </c>
      <c r="E651" s="16">
        <v>28848.07</v>
      </c>
      <c r="F651" s="16">
        <v>28860.82</v>
      </c>
      <c r="G651" s="16">
        <v>28859.33</v>
      </c>
      <c r="H651" s="16">
        <v>28935.03</v>
      </c>
      <c r="I651" s="16">
        <v>28908.61</v>
      </c>
      <c r="J651" s="16">
        <v>28845.87</v>
      </c>
      <c r="K651" s="16">
        <v>28852.98</v>
      </c>
      <c r="L651" s="16">
        <v>28931.75</v>
      </c>
      <c r="M651" s="27">
        <f>IF((L652=""),"",MAX(D653:L653))</f>
        <v>11023.889999999992</v>
      </c>
      <c r="N651" s="27">
        <f>IF(L652="","",MIN(D653:L653))</f>
        <v>10374.840000000007</v>
      </c>
      <c r="O651" s="27">
        <f>IF((L653=""),"",AVERAGE(D653:L653))</f>
        <v>10837.956666666669</v>
      </c>
      <c r="P651" s="27">
        <f>IF((L652=""),"",STDEV(D653:L653))</f>
        <v>202.07808422735752</v>
      </c>
      <c r="Q651" s="27">
        <f>IF((L652=""),"",P651/O651*100)</f>
        <v>1.8645404336120937</v>
      </c>
      <c r="R651" s="28" t="str">
        <f>IF(L652="","",IF(Q651&lt;Z651,IF(N651&gt;V651,IF(M651&lt;W651,"Pass","Fail"),"Fail"),"Fail"))</f>
        <v>Pass</v>
      </c>
      <c r="S651" s="29">
        <v>64</v>
      </c>
      <c r="T651" s="55" t="s">
        <v>246</v>
      </c>
      <c r="U651" s="40"/>
      <c r="V651" s="54">
        <v>10000</v>
      </c>
      <c r="W651" s="22">
        <v>15600</v>
      </c>
      <c r="X651" s="40">
        <v>8090</v>
      </c>
      <c r="Y651" s="40">
        <v>12070</v>
      </c>
      <c r="Z651" s="47">
        <v>6</v>
      </c>
      <c r="AA651" s="47">
        <v>6</v>
      </c>
    </row>
    <row r="652" spans="1:27" ht="15.75" customHeight="1" x14ac:dyDescent="0.3">
      <c r="A652" s="96"/>
      <c r="B652" s="96"/>
      <c r="C652" s="30" t="s">
        <v>128</v>
      </c>
      <c r="D652" s="16">
        <v>25471.3</v>
      </c>
      <c r="E652" s="16">
        <v>25266.59</v>
      </c>
      <c r="F652" s="16">
        <v>25287.16</v>
      </c>
      <c r="G652" s="16">
        <v>25202.639999999999</v>
      </c>
      <c r="H652" s="16">
        <v>25260.400000000001</v>
      </c>
      <c r="I652" s="16">
        <v>25275.31</v>
      </c>
      <c r="J652" s="16">
        <v>25218.33</v>
      </c>
      <c r="K652" s="16">
        <v>25206.03</v>
      </c>
      <c r="L652" s="16">
        <v>25270.41</v>
      </c>
      <c r="M652" s="31"/>
      <c r="N652" s="31"/>
      <c r="O652" s="31"/>
      <c r="P652" s="31"/>
      <c r="Q652" s="31"/>
      <c r="R652" s="32"/>
      <c r="S652" s="33"/>
      <c r="T652" s="56"/>
      <c r="V652" s="48"/>
      <c r="W652" s="48"/>
      <c r="X652" s="49"/>
      <c r="Y652" s="49"/>
      <c r="Z652" s="50"/>
      <c r="AA652" s="50"/>
    </row>
    <row r="653" spans="1:27" ht="16.5" customHeight="1" thickBot="1" x14ac:dyDescent="0.35">
      <c r="A653" s="96"/>
      <c r="B653" s="96"/>
      <c r="C653" s="34" t="s">
        <v>129</v>
      </c>
      <c r="D653" s="35">
        <f t="shared" ref="D653:L653" si="213">IF(((D651="")*AND(D652="")),"",(D651-D652)*3)</f>
        <v>10374.840000000007</v>
      </c>
      <c r="E653" s="35">
        <f t="shared" si="213"/>
        <v>10744.439999999999</v>
      </c>
      <c r="F653" s="35">
        <f t="shared" si="213"/>
        <v>10720.98</v>
      </c>
      <c r="G653" s="35">
        <f t="shared" si="213"/>
        <v>10970.070000000007</v>
      </c>
      <c r="H653" s="35">
        <f t="shared" si="213"/>
        <v>11023.889999999992</v>
      </c>
      <c r="I653" s="35">
        <f t="shared" si="213"/>
        <v>10899.899999999998</v>
      </c>
      <c r="J653" s="35">
        <f t="shared" si="213"/>
        <v>10882.619999999992</v>
      </c>
      <c r="K653" s="35">
        <f t="shared" si="213"/>
        <v>10940.850000000002</v>
      </c>
      <c r="L653" s="35">
        <f t="shared" si="213"/>
        <v>10984.02</v>
      </c>
      <c r="M653" s="36"/>
      <c r="N653" s="36"/>
      <c r="O653" s="36"/>
      <c r="P653" s="36"/>
      <c r="Q653" s="36"/>
      <c r="R653" s="37"/>
      <c r="S653" s="38"/>
      <c r="T653" s="57"/>
      <c r="U653" s="52"/>
      <c r="V653" s="51"/>
      <c r="W653" s="51"/>
      <c r="X653" s="52"/>
      <c r="Y653" s="52"/>
      <c r="Z653" s="53"/>
      <c r="AA653" s="53"/>
    </row>
    <row r="654" spans="1:27" x14ac:dyDescent="0.3">
      <c r="A654" s="97">
        <v>43433</v>
      </c>
      <c r="B654" s="117" t="s">
        <v>431</v>
      </c>
      <c r="C654" s="26" t="s">
        <v>126</v>
      </c>
      <c r="D654" s="16">
        <v>28859.87</v>
      </c>
      <c r="E654" s="16">
        <v>28848.61</v>
      </c>
      <c r="F654" s="16">
        <v>28897.31</v>
      </c>
      <c r="G654" s="16">
        <v>28826.36</v>
      </c>
      <c r="H654" s="16">
        <v>28896.91</v>
      </c>
      <c r="I654" s="16">
        <v>28882.37</v>
      </c>
      <c r="J654" s="16">
        <v>28831.85</v>
      </c>
      <c r="K654" s="16">
        <v>28841.98</v>
      </c>
      <c r="L654" s="16">
        <v>26693.360000000001</v>
      </c>
      <c r="M654" s="27">
        <f>IF((L655=""),"",MAX(D656:L656))</f>
        <v>11381.280000000006</v>
      </c>
      <c r="N654" s="27">
        <f>IF(L655="","",MIN(D656:L656))</f>
        <v>10680.330000000002</v>
      </c>
      <c r="O654" s="27">
        <f>IF((L656=""),"",AVERAGE(D656:L656))</f>
        <v>11081.279999999999</v>
      </c>
      <c r="P654" s="27">
        <f>IF((L655=""),"",STDEV(D656:L656))</f>
        <v>206.30219448663163</v>
      </c>
      <c r="Q654" s="27">
        <f>IF((L655=""),"",P654/O654*100)</f>
        <v>1.861718091110699</v>
      </c>
      <c r="R654" s="28" t="str">
        <f>IF(L655="","",IF(Q654&lt;Z654,IF(N654&gt;V654,IF(M654&lt;W654,"Pass","Fail"),"Fail"),"Fail"))</f>
        <v>Pass</v>
      </c>
      <c r="S654" s="29">
        <v>1340</v>
      </c>
      <c r="T654" s="55"/>
      <c r="U654" s="40"/>
      <c r="V654" s="54">
        <v>10000</v>
      </c>
      <c r="W654" s="22">
        <v>15600</v>
      </c>
      <c r="X654" s="40">
        <v>8090</v>
      </c>
      <c r="Y654" s="40">
        <v>12070</v>
      </c>
      <c r="Z654" s="47">
        <v>6</v>
      </c>
      <c r="AA654" s="47">
        <v>6</v>
      </c>
    </row>
    <row r="655" spans="1:27" ht="15.75" customHeight="1" x14ac:dyDescent="0.3">
      <c r="A655" s="96"/>
      <c r="B655" s="96"/>
      <c r="C655" s="30" t="s">
        <v>128</v>
      </c>
      <c r="D655" s="16">
        <v>25175.84</v>
      </c>
      <c r="E655" s="16">
        <v>25125.93</v>
      </c>
      <c r="F655" s="16">
        <v>25256.25</v>
      </c>
      <c r="G655" s="16">
        <v>25167.11</v>
      </c>
      <c r="H655" s="16">
        <v>25336.799999999999</v>
      </c>
      <c r="I655" s="16">
        <v>25122.07</v>
      </c>
      <c r="J655" s="16">
        <v>25116.959999999999</v>
      </c>
      <c r="K655" s="16">
        <v>25134.22</v>
      </c>
      <c r="L655" s="16">
        <v>22899.599999999999</v>
      </c>
      <c r="M655" s="31"/>
      <c r="N655" s="31"/>
      <c r="O655" s="31"/>
      <c r="P655" s="31"/>
      <c r="Q655" s="31"/>
      <c r="R655" s="32"/>
      <c r="S655" s="33"/>
      <c r="T655" s="56"/>
      <c r="V655" s="48"/>
      <c r="W655" s="48"/>
      <c r="X655" s="49"/>
      <c r="Y655" s="49"/>
      <c r="Z655" s="50"/>
      <c r="AA655" s="50"/>
    </row>
    <row r="656" spans="1:27" ht="16.5" customHeight="1" thickBot="1" x14ac:dyDescent="0.35">
      <c r="A656" s="96"/>
      <c r="B656" s="96"/>
      <c r="C656" s="34" t="s">
        <v>129</v>
      </c>
      <c r="D656" s="35">
        <f>IF(((D654="")*AND(D655="")),"",(D654-D655)*3)</f>
        <v>11052.089999999997</v>
      </c>
      <c r="E656" s="35">
        <f t="shared" ref="E656:L656" si="214">IF(((E654="")*AND(E655="")),"",(E654-E655)*3)</f>
        <v>11168.04</v>
      </c>
      <c r="F656" s="35">
        <f t="shared" si="214"/>
        <v>10923.180000000004</v>
      </c>
      <c r="G656" s="35">
        <f t="shared" si="214"/>
        <v>10977.75</v>
      </c>
      <c r="H656" s="35">
        <f t="shared" si="214"/>
        <v>10680.330000000002</v>
      </c>
      <c r="I656" s="35">
        <f t="shared" si="214"/>
        <v>11280.899999999998</v>
      </c>
      <c r="J656" s="35">
        <f t="shared" si="214"/>
        <v>11144.669999999998</v>
      </c>
      <c r="K656" s="35">
        <f t="shared" si="214"/>
        <v>11123.279999999995</v>
      </c>
      <c r="L656" s="35">
        <f t="shared" si="214"/>
        <v>11381.280000000006</v>
      </c>
      <c r="M656" s="36"/>
      <c r="N656" s="36"/>
      <c r="O656" s="36"/>
      <c r="P656" s="36"/>
      <c r="Q656" s="36"/>
      <c r="R656" s="37"/>
      <c r="S656" s="38"/>
      <c r="T656" s="57"/>
      <c r="U656" s="52"/>
      <c r="V656" s="51"/>
      <c r="W656" s="51"/>
      <c r="X656" s="52"/>
      <c r="Y656" s="52"/>
      <c r="Z656" s="53"/>
      <c r="AA656" s="53"/>
    </row>
    <row r="657" spans="1:27" x14ac:dyDescent="0.3">
      <c r="A657" s="97">
        <v>43437</v>
      </c>
      <c r="B657" s="117" t="s">
        <v>431</v>
      </c>
      <c r="C657" s="26" t="s">
        <v>126</v>
      </c>
      <c r="D657" s="16">
        <v>28843.4</v>
      </c>
      <c r="E657" s="16">
        <v>28769.94</v>
      </c>
      <c r="F657" s="16">
        <v>28776.400000000001</v>
      </c>
      <c r="G657" s="16">
        <v>28754.43</v>
      </c>
      <c r="H657" s="16">
        <v>28826.59</v>
      </c>
      <c r="I657" s="16">
        <v>28837.65</v>
      </c>
      <c r="J657" s="16">
        <v>28753.22</v>
      </c>
      <c r="K657" s="16">
        <v>28752.35</v>
      </c>
      <c r="L657" s="16">
        <v>28827.63</v>
      </c>
      <c r="M657" s="27">
        <f>IF((L658=""),"",MAX(D659:L659))</f>
        <v>10962.839999999997</v>
      </c>
      <c r="N657" s="27">
        <f>IF(L658="","",MIN(D659:L659))</f>
        <v>10162.050000000007</v>
      </c>
      <c r="O657" s="27">
        <f>IF((L659=""),"",AVERAGE(D659:L659))</f>
        <v>10671.426666666666</v>
      </c>
      <c r="P657" s="27">
        <f>IF((L658=""),"",STDEV(D659:L659))</f>
        <v>236.14470976500616</v>
      </c>
      <c r="Q657" s="27">
        <f>IF((L658=""),"",P657/O657*100)</f>
        <v>2.2128691611837543</v>
      </c>
      <c r="R657" s="28" t="str">
        <f>IF(L658="","",IF(Q657&lt;Z657,IF(N657&gt;V657,IF(M657&lt;W657,"Pass","Fail"),"Fail"),"Fail"))</f>
        <v>Pass</v>
      </c>
      <c r="S657" s="29">
        <v>64</v>
      </c>
      <c r="T657" s="55"/>
      <c r="U657" s="40"/>
      <c r="V657" s="54">
        <v>10000</v>
      </c>
      <c r="W657" s="22">
        <v>15600</v>
      </c>
      <c r="X657" s="40">
        <v>8090</v>
      </c>
      <c r="Y657" s="40">
        <v>12070</v>
      </c>
      <c r="Z657" s="47">
        <v>6</v>
      </c>
      <c r="AA657" s="47">
        <v>6</v>
      </c>
    </row>
    <row r="658" spans="1:27" ht="15.75" customHeight="1" x14ac:dyDescent="0.3">
      <c r="A658" s="96"/>
      <c r="B658" s="96"/>
      <c r="C658" s="30" t="s">
        <v>128</v>
      </c>
      <c r="D658" s="16">
        <v>25456.05</v>
      </c>
      <c r="E658" s="16">
        <v>25256.9</v>
      </c>
      <c r="F658" s="16">
        <v>25269.75</v>
      </c>
      <c r="G658" s="16">
        <v>25146.68</v>
      </c>
      <c r="H658" s="16">
        <v>25172.31</v>
      </c>
      <c r="I658" s="16">
        <v>25226.83</v>
      </c>
      <c r="J658" s="16">
        <v>25170.06</v>
      </c>
      <c r="K658" s="16">
        <v>25178.58</v>
      </c>
      <c r="L658" s="16">
        <v>25250.17</v>
      </c>
      <c r="M658" s="31"/>
      <c r="N658" s="31"/>
      <c r="O658" s="31"/>
      <c r="P658" s="31"/>
      <c r="Q658" s="31"/>
      <c r="R658" s="32"/>
      <c r="S658" s="33"/>
      <c r="T658" s="56"/>
      <c r="V658" s="48"/>
      <c r="W658" s="48"/>
      <c r="X658" s="49"/>
      <c r="Y658" s="49"/>
      <c r="Z658" s="50"/>
      <c r="AA658" s="50"/>
    </row>
    <row r="659" spans="1:27" ht="16.5" customHeight="1" thickBot="1" x14ac:dyDescent="0.35">
      <c r="A659" s="96"/>
      <c r="B659" s="96"/>
      <c r="C659" s="34" t="s">
        <v>129</v>
      </c>
      <c r="D659" s="35">
        <f>IF(((D657="")*AND(D658="")),"",(D657-D658)*3)</f>
        <v>10162.050000000007</v>
      </c>
      <c r="E659" s="35">
        <f t="shared" ref="E659:L659" si="215">IF(((E657="")*AND(E658="")),"",(E657-E658)*3)</f>
        <v>10539.119999999992</v>
      </c>
      <c r="F659" s="35">
        <f t="shared" si="215"/>
        <v>10519.950000000004</v>
      </c>
      <c r="G659" s="35">
        <f t="shared" si="215"/>
        <v>10823.25</v>
      </c>
      <c r="H659" s="35">
        <f t="shared" si="215"/>
        <v>10962.839999999997</v>
      </c>
      <c r="I659" s="35">
        <f t="shared" si="215"/>
        <v>10832.46</v>
      </c>
      <c r="J659" s="35">
        <f t="shared" si="215"/>
        <v>10749.48</v>
      </c>
      <c r="K659" s="35">
        <f t="shared" si="215"/>
        <v>10721.30999999999</v>
      </c>
      <c r="L659" s="35">
        <f t="shared" si="215"/>
        <v>10732.380000000008</v>
      </c>
      <c r="M659" s="36"/>
      <c r="N659" s="36"/>
      <c r="O659" s="36"/>
      <c r="P659" s="36"/>
      <c r="Q659" s="36"/>
      <c r="R659" s="37"/>
      <c r="S659" s="38"/>
      <c r="T659" s="57"/>
      <c r="U659" s="52"/>
      <c r="V659" s="51"/>
      <c r="W659" s="51"/>
      <c r="X659" s="52"/>
      <c r="Y659" s="52"/>
      <c r="Z659" s="53"/>
      <c r="AA659" s="53"/>
    </row>
    <row r="660" spans="1:27" x14ac:dyDescent="0.3">
      <c r="A660" s="97">
        <v>43438</v>
      </c>
      <c r="B660" s="117" t="s">
        <v>431</v>
      </c>
      <c r="C660" s="26" t="s">
        <v>126</v>
      </c>
      <c r="D660" s="16">
        <v>28887.91</v>
      </c>
      <c r="E660" s="16">
        <v>28803.200000000001</v>
      </c>
      <c r="F660" s="16">
        <v>28805.5</v>
      </c>
      <c r="G660" s="16">
        <v>28801.53</v>
      </c>
      <c r="H660" s="16">
        <v>28886.25</v>
      </c>
      <c r="I660" s="16">
        <v>28873.24</v>
      </c>
      <c r="J660" s="16">
        <v>28800.84</v>
      </c>
      <c r="K660" s="16">
        <v>28796.2</v>
      </c>
      <c r="L660" s="16">
        <v>28902.42</v>
      </c>
      <c r="M660" s="27">
        <f>IF((L661=""),"",MAX(D662:L662))</f>
        <v>11515.379999999997</v>
      </c>
      <c r="N660" s="27">
        <f>IF(L661="","",MIN(D662:L662))</f>
        <v>10728.450000000004</v>
      </c>
      <c r="O660" s="27">
        <f>IF((L662=""),"",AVERAGE(D662:L662))</f>
        <v>11248.793333333331</v>
      </c>
      <c r="P660" s="27">
        <f>IF((L661=""),"",STDEV(D662:L662))</f>
        <v>230.92151220706697</v>
      </c>
      <c r="Q660" s="27">
        <f>IF((L661=""),"",P660/O660*100)</f>
        <v>2.0528558518608544</v>
      </c>
      <c r="R660" s="28" t="str">
        <f>IF(L661="","",IF(Q660&lt;Z660,IF(N660&gt;V660,IF(M660&lt;W660,"Pass","Fail"),"Fail"),"Fail"))</f>
        <v>Pass</v>
      </c>
      <c r="S660" s="29">
        <v>1159</v>
      </c>
      <c r="U660" s="55" t="s">
        <v>247</v>
      </c>
      <c r="V660" s="54">
        <v>10000</v>
      </c>
      <c r="W660" s="22">
        <v>15600</v>
      </c>
      <c r="X660" s="40">
        <v>8090</v>
      </c>
      <c r="Y660" s="40">
        <v>12070</v>
      </c>
      <c r="Z660" s="47">
        <v>6</v>
      </c>
      <c r="AA660" s="47">
        <v>6</v>
      </c>
    </row>
    <row r="661" spans="1:27" ht="15.75" customHeight="1" x14ac:dyDescent="0.3">
      <c r="A661" s="96"/>
      <c r="B661" s="96"/>
      <c r="C661" s="30" t="s">
        <v>128</v>
      </c>
      <c r="D661" s="16">
        <v>25311.759999999998</v>
      </c>
      <c r="E661" s="16">
        <v>25090.21</v>
      </c>
      <c r="F661" s="16">
        <v>25102.13</v>
      </c>
      <c r="G661" s="16">
        <v>25007.33</v>
      </c>
      <c r="H661" s="16">
        <v>25047.79</v>
      </c>
      <c r="I661" s="16">
        <v>25097.74</v>
      </c>
      <c r="J661" s="16">
        <v>25027.4</v>
      </c>
      <c r="K661" s="16">
        <v>25014.720000000001</v>
      </c>
      <c r="L661" s="16">
        <v>25111.63</v>
      </c>
      <c r="M661" s="31"/>
      <c r="N661" s="31"/>
      <c r="O661" s="31"/>
      <c r="P661" s="31"/>
      <c r="Q661" s="31"/>
      <c r="R661" s="32"/>
      <c r="S661" s="33"/>
      <c r="T661" s="56"/>
      <c r="V661" s="48"/>
      <c r="W661" s="48"/>
      <c r="X661" s="49"/>
      <c r="Y661" s="49"/>
      <c r="Z661" s="50"/>
      <c r="AA661" s="50"/>
    </row>
    <row r="662" spans="1:27" ht="16.5" customHeight="1" thickBot="1" x14ac:dyDescent="0.35">
      <c r="A662" s="96"/>
      <c r="B662" s="96"/>
      <c r="C662" s="34" t="s">
        <v>129</v>
      </c>
      <c r="D662" s="35">
        <f>IF(((D660="")*AND(D661="")),"",(D660-D661)*3)</f>
        <v>10728.450000000004</v>
      </c>
      <c r="E662" s="35">
        <f t="shared" ref="E662:L662" si="216">IF(((E660="")*AND(E661="")),"",(E660-E661)*3)</f>
        <v>11138.970000000005</v>
      </c>
      <c r="F662" s="35">
        <f t="shared" si="216"/>
        <v>11110.109999999997</v>
      </c>
      <c r="G662" s="35">
        <f t="shared" si="216"/>
        <v>11382.599999999991</v>
      </c>
      <c r="H662" s="35">
        <f t="shared" si="216"/>
        <v>11515.379999999997</v>
      </c>
      <c r="I662" s="35">
        <f t="shared" si="216"/>
        <v>11326.5</v>
      </c>
      <c r="J662" s="35">
        <f t="shared" si="216"/>
        <v>11320.319999999996</v>
      </c>
      <c r="K662" s="35">
        <f t="shared" si="216"/>
        <v>11344.439999999999</v>
      </c>
      <c r="L662" s="35">
        <f t="shared" si="216"/>
        <v>11372.369999999992</v>
      </c>
      <c r="M662" s="36"/>
      <c r="N662" s="36"/>
      <c r="O662" s="36"/>
      <c r="P662" s="36"/>
      <c r="Q662" s="36"/>
      <c r="R662" s="37"/>
      <c r="S662" s="38"/>
      <c r="T662" s="57"/>
      <c r="U662" s="52"/>
      <c r="V662" s="51"/>
      <c r="W662" s="51"/>
      <c r="X662" s="52"/>
      <c r="Y662" s="52"/>
      <c r="Z662" s="53"/>
      <c r="AA662" s="53"/>
    </row>
    <row r="663" spans="1:27" x14ac:dyDescent="0.3">
      <c r="A663" s="97">
        <v>43448</v>
      </c>
      <c r="B663" s="117" t="s">
        <v>431</v>
      </c>
      <c r="C663" s="26" t="s">
        <v>126</v>
      </c>
      <c r="D663" s="16">
        <v>28988</v>
      </c>
      <c r="E663" s="16">
        <v>28792</v>
      </c>
      <c r="F663" s="16">
        <v>28797</v>
      </c>
      <c r="G663" s="16">
        <v>28801</v>
      </c>
      <c r="H663" s="16">
        <v>28974</v>
      </c>
      <c r="I663" s="16">
        <v>29011</v>
      </c>
      <c r="J663" s="16">
        <v>28810</v>
      </c>
      <c r="K663" s="16">
        <v>28795</v>
      </c>
      <c r="L663" s="16">
        <v>29012</v>
      </c>
      <c r="M663" s="27">
        <f>IF((L664=""),"",MAX(D665:L665))</f>
        <v>10374</v>
      </c>
      <c r="N663" s="27">
        <f>IF(L664="","",MIN(D665:L665))</f>
        <v>9366</v>
      </c>
      <c r="O663" s="27">
        <f>IF((L665=""),"",AVERAGE(D665:L665))</f>
        <v>10074.666666666666</v>
      </c>
      <c r="P663" s="27">
        <f>IF((L664=""),"",STDEV(D665:L665))</f>
        <v>307.75152314813971</v>
      </c>
      <c r="Q663" s="27">
        <f>IF((L664=""),"",P663/O663*100)</f>
        <v>3.0547067543820114</v>
      </c>
      <c r="R663" s="28" t="str">
        <f>IF(L664="","",IF(Q663&lt;Z663,IF(N663&gt;V663,IF(M663&lt;W663,"Pass","Fail"),"Fail"),"Fail"))</f>
        <v>Fail</v>
      </c>
      <c r="S663" s="29">
        <v>121</v>
      </c>
      <c r="T663" s="55"/>
      <c r="U663" s="40"/>
      <c r="V663" s="54">
        <v>10000</v>
      </c>
      <c r="W663" s="22">
        <v>15600</v>
      </c>
      <c r="X663" s="40">
        <v>8090</v>
      </c>
      <c r="Y663" s="40">
        <v>12070</v>
      </c>
      <c r="Z663" s="47">
        <v>6</v>
      </c>
      <c r="AA663" s="47">
        <v>6</v>
      </c>
    </row>
    <row r="664" spans="1:27" ht="15.75" customHeight="1" x14ac:dyDescent="0.3">
      <c r="A664" s="96"/>
      <c r="B664" s="96"/>
      <c r="C664" s="30" t="s">
        <v>128</v>
      </c>
      <c r="D664" s="16">
        <v>25568</v>
      </c>
      <c r="E664" s="16">
        <v>25366</v>
      </c>
      <c r="F664" s="16">
        <v>25465</v>
      </c>
      <c r="G664" s="16">
        <v>25483</v>
      </c>
      <c r="H664" s="16">
        <v>25852</v>
      </c>
      <c r="I664" s="16">
        <v>25553</v>
      </c>
      <c r="J664" s="16">
        <v>25400</v>
      </c>
      <c r="K664" s="16">
        <v>25377</v>
      </c>
      <c r="L664" s="16">
        <v>25692</v>
      </c>
      <c r="M664" s="31"/>
      <c r="N664" s="31"/>
      <c r="O664" s="31"/>
      <c r="P664" s="31"/>
      <c r="Q664" s="31"/>
      <c r="R664" s="32"/>
      <c r="S664" s="33"/>
      <c r="T664" s="56"/>
      <c r="V664" s="48"/>
      <c r="W664" s="48"/>
      <c r="X664" s="49"/>
      <c r="Y664" s="49"/>
      <c r="Z664" s="50"/>
      <c r="AA664" s="50"/>
    </row>
    <row r="665" spans="1:27" ht="16.5" customHeight="1" thickBot="1" x14ac:dyDescent="0.35">
      <c r="A665" s="96"/>
      <c r="B665" s="96"/>
      <c r="C665" s="34" t="s">
        <v>129</v>
      </c>
      <c r="D665" s="35">
        <f>IF(((D663="")*AND(D664="")),"",(D663-D664)*3)</f>
        <v>10260</v>
      </c>
      <c r="E665" s="35">
        <f t="shared" ref="E665:L665" si="217">IF(((E663="")*AND(E664="")),"",(E663-E664)*3)</f>
        <v>10278</v>
      </c>
      <c r="F665" s="35">
        <f t="shared" si="217"/>
        <v>9996</v>
      </c>
      <c r="G665" s="35">
        <f t="shared" si="217"/>
        <v>9954</v>
      </c>
      <c r="H665" s="35">
        <f t="shared" si="217"/>
        <v>9366</v>
      </c>
      <c r="I665" s="35">
        <f t="shared" si="217"/>
        <v>10374</v>
      </c>
      <c r="J665" s="35">
        <f t="shared" si="217"/>
        <v>10230</v>
      </c>
      <c r="K665" s="35">
        <f t="shared" si="217"/>
        <v>10254</v>
      </c>
      <c r="L665" s="35">
        <f t="shared" si="217"/>
        <v>9960</v>
      </c>
      <c r="M665" s="36"/>
      <c r="N665" s="36"/>
      <c r="O665" s="36"/>
      <c r="P665" s="36"/>
      <c r="Q665" s="36"/>
      <c r="R665" s="37"/>
      <c r="S665" s="38"/>
      <c r="T665" s="57"/>
      <c r="U665" s="52"/>
      <c r="V665" s="51"/>
      <c r="W665" s="51"/>
      <c r="X665" s="52"/>
      <c r="Y665" s="52"/>
      <c r="Z665" s="53"/>
      <c r="AA665" s="53"/>
    </row>
    <row r="666" spans="1:27" x14ac:dyDescent="0.3">
      <c r="A666" s="97">
        <v>43448</v>
      </c>
      <c r="B666" s="117" t="s">
        <v>431</v>
      </c>
      <c r="C666" s="26" t="s">
        <v>126</v>
      </c>
      <c r="D666" s="16">
        <v>28818.18</v>
      </c>
      <c r="E666" s="16">
        <v>28752.62</v>
      </c>
      <c r="F666" s="16">
        <v>28806.22</v>
      </c>
      <c r="G666" s="16">
        <v>28756.22</v>
      </c>
      <c r="H666" s="16">
        <v>28833.86</v>
      </c>
      <c r="I666" s="16">
        <v>28824.57</v>
      </c>
      <c r="J666" s="16">
        <v>28749.7</v>
      </c>
      <c r="K666" s="16">
        <v>28744.57</v>
      </c>
      <c r="L666" s="16">
        <v>28817.05</v>
      </c>
      <c r="M666" s="27">
        <f>IF((L667=""),"",MAX(D668:L668))</f>
        <v>10975.410000000003</v>
      </c>
      <c r="N666" s="27">
        <f>IF(L667="","",MIN(D668:L668))</f>
        <v>10160.550000000007</v>
      </c>
      <c r="O666" s="27">
        <f>IF((L668=""),"",AVERAGE(D668:L668))</f>
        <v>10714.690000000004</v>
      </c>
      <c r="P666" s="27">
        <f>IF((L667=""),"",STDEV(D668:L668))</f>
        <v>248.18836047445717</v>
      </c>
      <c r="Q666" s="27">
        <f>IF((L667=""),"",P666/O666*100)</f>
        <v>2.3163372946343483</v>
      </c>
      <c r="R666" s="28" t="str">
        <f>IF(L667="","",IF(Q666&lt;Z666,IF(N666&gt;V666,IF(M666&lt;W666,"Pass","Fail"),"Fail"),"Fail"))</f>
        <v>Pass</v>
      </c>
      <c r="S666" s="29">
        <v>121</v>
      </c>
      <c r="T666" s="55" t="s">
        <v>248</v>
      </c>
      <c r="U666" s="40"/>
      <c r="V666" s="54">
        <v>10000</v>
      </c>
      <c r="W666" s="22">
        <v>15600</v>
      </c>
      <c r="X666" s="40">
        <v>8090</v>
      </c>
      <c r="Y666" s="40">
        <v>12070</v>
      </c>
      <c r="Z666" s="47">
        <v>6</v>
      </c>
      <c r="AA666" s="47">
        <v>6</v>
      </c>
    </row>
    <row r="667" spans="1:27" ht="15.75" customHeight="1" x14ac:dyDescent="0.3">
      <c r="A667" s="96"/>
      <c r="B667" s="96"/>
      <c r="C667" s="30" t="s">
        <v>128</v>
      </c>
      <c r="D667" s="16">
        <v>25159.71</v>
      </c>
      <c r="E667" s="16">
        <v>25132.28</v>
      </c>
      <c r="F667" s="16">
        <v>25282.84</v>
      </c>
      <c r="G667" s="16">
        <v>25223.96</v>
      </c>
      <c r="H667" s="16">
        <v>25447.01</v>
      </c>
      <c r="I667" s="16">
        <v>25233.89</v>
      </c>
      <c r="J667" s="16">
        <v>25173.200000000001</v>
      </c>
      <c r="K667" s="16">
        <v>25124.59</v>
      </c>
      <c r="L667" s="16">
        <v>25181.439999999999</v>
      </c>
      <c r="M667" s="31"/>
      <c r="N667" s="31"/>
      <c r="O667" s="31"/>
      <c r="P667" s="31"/>
      <c r="Q667" s="31"/>
      <c r="R667" s="32"/>
      <c r="S667" s="33"/>
      <c r="T667" s="56"/>
      <c r="V667" s="48"/>
      <c r="W667" s="48"/>
      <c r="X667" s="49"/>
      <c r="Y667" s="49"/>
      <c r="Z667" s="50"/>
      <c r="AA667" s="50"/>
    </row>
    <row r="668" spans="1:27" ht="16.5" customHeight="1" thickBot="1" x14ac:dyDescent="0.35">
      <c r="A668" s="96"/>
      <c r="B668" s="96"/>
      <c r="C668" s="34" t="s">
        <v>129</v>
      </c>
      <c r="D668" s="35">
        <f>IF(((D666="")*AND(D667="")),"",(D666-D667)*3)</f>
        <v>10975.410000000003</v>
      </c>
      <c r="E668" s="35">
        <f t="shared" ref="E668:L668" si="218">IF(((E666="")*AND(E667="")),"",(E666-E667)*3)</f>
        <v>10861.02</v>
      </c>
      <c r="F668" s="35">
        <f t="shared" si="218"/>
        <v>10570.140000000003</v>
      </c>
      <c r="G668" s="35">
        <f t="shared" si="218"/>
        <v>10596.780000000006</v>
      </c>
      <c r="H668" s="35">
        <f t="shared" si="218"/>
        <v>10160.550000000007</v>
      </c>
      <c r="I668" s="35">
        <f t="shared" si="218"/>
        <v>10772.04</v>
      </c>
      <c r="J668" s="35">
        <f t="shared" si="218"/>
        <v>10729.5</v>
      </c>
      <c r="K668" s="35">
        <f t="shared" si="218"/>
        <v>10859.939999999999</v>
      </c>
      <c r="L668" s="35">
        <f t="shared" si="218"/>
        <v>10906.830000000002</v>
      </c>
      <c r="M668" s="36"/>
      <c r="N668" s="36"/>
      <c r="O668" s="36"/>
      <c r="P668" s="36"/>
      <c r="Q668" s="36"/>
      <c r="R668" s="37"/>
      <c r="S668" s="38"/>
      <c r="T668" s="57"/>
      <c r="U668" s="52"/>
      <c r="V668" s="51"/>
      <c r="W668" s="51"/>
      <c r="X668" s="52"/>
      <c r="Y668" s="52"/>
      <c r="Z668" s="53"/>
      <c r="AA668" s="53"/>
    </row>
    <row r="669" spans="1:27" x14ac:dyDescent="0.3">
      <c r="A669" s="97">
        <v>43452</v>
      </c>
      <c r="B669" s="117" t="s">
        <v>431</v>
      </c>
      <c r="C669" s="26" t="s">
        <v>126</v>
      </c>
      <c r="D669" s="16">
        <v>28859.87</v>
      </c>
      <c r="E669" s="16">
        <v>28848.61</v>
      </c>
      <c r="F669" s="16">
        <v>28897.31</v>
      </c>
      <c r="G669" s="16">
        <v>28826.36</v>
      </c>
      <c r="H669" s="16">
        <v>28896.91</v>
      </c>
      <c r="I669" s="16">
        <v>28882.37</v>
      </c>
      <c r="J669" s="16">
        <v>28831.85</v>
      </c>
      <c r="K669" s="16">
        <v>28841.98</v>
      </c>
      <c r="L669" s="16">
        <v>26693.360000000001</v>
      </c>
      <c r="M669" s="27">
        <f>IF((L670=""),"",MAX(D671:L671))</f>
        <v>11524.23</v>
      </c>
      <c r="N669" s="27">
        <f>IF(L670="","",MIN(D671:L671))</f>
        <v>4701.6899999999987</v>
      </c>
      <c r="O669" s="27">
        <f>IF((L671=""),"",AVERAGE(D671:L671))</f>
        <v>10579.153333333332</v>
      </c>
      <c r="P669" s="27">
        <f>IF((L670=""),"",STDEV(D671:L671))</f>
        <v>2215.7265399130338</v>
      </c>
      <c r="Q669" s="27">
        <f>IF((L670=""),"",P669/O669*100)</f>
        <v>20.944270964781371</v>
      </c>
      <c r="R669" s="28" t="str">
        <f>IF(L670="","",IF(Q669&lt;Z669,IF(N669&gt;V669,IF(M669&lt;W669,"Pass","Fail"),"Fail"),"Fail"))</f>
        <v>Fail</v>
      </c>
      <c r="S669" s="29">
        <v>121</v>
      </c>
      <c r="T669" s="55" t="s">
        <v>248</v>
      </c>
      <c r="U669" s="40"/>
      <c r="V669" s="54">
        <v>10000</v>
      </c>
      <c r="W669" s="22">
        <v>15600</v>
      </c>
      <c r="X669" s="40">
        <v>8090</v>
      </c>
      <c r="Y669" s="40">
        <v>12070</v>
      </c>
      <c r="Z669" s="47">
        <v>6</v>
      </c>
      <c r="AA669" s="47">
        <v>6</v>
      </c>
    </row>
    <row r="670" spans="1:27" ht="15.75" customHeight="1" x14ac:dyDescent="0.3">
      <c r="A670" s="96"/>
      <c r="B670" s="96"/>
      <c r="C670" s="30" t="s">
        <v>128</v>
      </c>
      <c r="D670" s="16">
        <v>25274.639999999999</v>
      </c>
      <c r="E670" s="16">
        <v>25087.54</v>
      </c>
      <c r="F670" s="16">
        <v>25149.27</v>
      </c>
      <c r="G670" s="16">
        <v>25020.799999999999</v>
      </c>
      <c r="H670" s="16">
        <v>25055.5</v>
      </c>
      <c r="I670" s="16">
        <v>25064.43</v>
      </c>
      <c r="J670" s="16">
        <v>25028.400000000001</v>
      </c>
      <c r="K670" s="16">
        <v>25034.45</v>
      </c>
      <c r="L670" s="16">
        <v>25126.13</v>
      </c>
      <c r="M670" s="31"/>
      <c r="N670" s="31"/>
      <c r="O670" s="31"/>
      <c r="P670" s="31"/>
      <c r="Q670" s="31"/>
      <c r="R670" s="32"/>
      <c r="S670" s="33"/>
      <c r="T670" s="56"/>
      <c r="V670" s="48"/>
      <c r="W670" s="48"/>
      <c r="X670" s="49"/>
      <c r="Y670" s="49"/>
      <c r="Z670" s="50"/>
      <c r="AA670" s="50"/>
    </row>
    <row r="671" spans="1:27" ht="16.5" customHeight="1" thickBot="1" x14ac:dyDescent="0.35">
      <c r="A671" s="96"/>
      <c r="B671" s="96"/>
      <c r="C671" s="34" t="s">
        <v>129</v>
      </c>
      <c r="D671" s="35">
        <f>IF(((D669="")*AND(D670="")),"",(D669-D670)*3)</f>
        <v>10755.689999999999</v>
      </c>
      <c r="E671" s="35">
        <f t="shared" ref="E671:L671" si="219">IF(((E669="")*AND(E670="")),"",(E669-E670)*3)</f>
        <v>11283.21</v>
      </c>
      <c r="F671" s="35">
        <f t="shared" si="219"/>
        <v>11244.120000000003</v>
      </c>
      <c r="G671" s="35">
        <f t="shared" si="219"/>
        <v>11416.680000000004</v>
      </c>
      <c r="H671" s="35">
        <f t="shared" si="219"/>
        <v>11524.23</v>
      </c>
      <c r="I671" s="35">
        <f t="shared" si="219"/>
        <v>11453.819999999996</v>
      </c>
      <c r="J671" s="35">
        <f t="shared" si="219"/>
        <v>11410.349999999991</v>
      </c>
      <c r="K671" s="35">
        <f t="shared" si="219"/>
        <v>11422.589999999997</v>
      </c>
      <c r="L671" s="35">
        <f t="shared" si="219"/>
        <v>4701.6899999999987</v>
      </c>
      <c r="M671" s="36"/>
      <c r="N671" s="36"/>
      <c r="O671" s="36"/>
      <c r="P671" s="36"/>
      <c r="Q671" s="36"/>
      <c r="R671" s="37"/>
      <c r="S671" s="38"/>
      <c r="T671" s="57"/>
      <c r="U671" s="52"/>
      <c r="V671" s="51"/>
      <c r="W671" s="51"/>
      <c r="X671" s="52"/>
      <c r="Y671" s="52"/>
      <c r="Z671" s="53"/>
      <c r="AA671" s="53"/>
    </row>
    <row r="672" spans="1:27" x14ac:dyDescent="0.3">
      <c r="A672" s="97">
        <v>43452</v>
      </c>
      <c r="B672" s="117" t="s">
        <v>431</v>
      </c>
      <c r="C672" s="26" t="s">
        <v>126</v>
      </c>
      <c r="D672" s="16">
        <v>28856.03</v>
      </c>
      <c r="E672" s="16">
        <v>28795.93</v>
      </c>
      <c r="F672" s="16">
        <v>28842.86</v>
      </c>
      <c r="G672" s="16">
        <v>28801.97</v>
      </c>
      <c r="H672" s="16">
        <v>28871.26</v>
      </c>
      <c r="I672" s="16">
        <v>28850.87</v>
      </c>
      <c r="J672" s="16">
        <v>28786.84</v>
      </c>
      <c r="K672" s="16">
        <v>28787.21</v>
      </c>
      <c r="L672" s="16">
        <v>28856.560000000001</v>
      </c>
      <c r="M672" s="27">
        <f>IF((L673=""),"",MAX(D674:L674))</f>
        <v>11447.279999999995</v>
      </c>
      <c r="N672" s="27">
        <f>IF(L673="","",MIN(D674:L674))</f>
        <v>10744.169999999998</v>
      </c>
      <c r="O672" s="27">
        <f>IF((L674=""),"",AVERAGE(D674:L674))</f>
        <v>11202.789999999999</v>
      </c>
      <c r="P672" s="27">
        <f>IF((L673=""),"",STDEV(D674:L674))</f>
        <v>207.30326806396425</v>
      </c>
      <c r="Q672" s="27">
        <f>IF((L673=""),"",P672/O672*100)</f>
        <v>1.8504610732144784</v>
      </c>
      <c r="R672" s="28" t="str">
        <f>IF(L673="","",IF(Q672&lt;Z672,IF(N672&gt;V672,IF(M672&lt;W672,"Pass","Fail"),"Fail"),"Fail"))</f>
        <v>Pass</v>
      </c>
      <c r="S672" s="29">
        <v>1428</v>
      </c>
      <c r="T672" s="55" t="s">
        <v>249</v>
      </c>
      <c r="U672" s="40"/>
      <c r="V672" s="54">
        <v>10000</v>
      </c>
      <c r="W672" s="22">
        <v>15600</v>
      </c>
      <c r="X672" s="40">
        <v>8090</v>
      </c>
      <c r="Y672" s="40">
        <v>12070</v>
      </c>
      <c r="Z672" s="47">
        <v>6</v>
      </c>
      <c r="AA672" s="47">
        <v>6</v>
      </c>
    </row>
    <row r="673" spans="1:27" ht="15.75" customHeight="1" x14ac:dyDescent="0.3">
      <c r="A673" s="96"/>
      <c r="B673" s="96"/>
      <c r="C673" s="30" t="s">
        <v>128</v>
      </c>
      <c r="D673" s="16">
        <v>25274.639999999999</v>
      </c>
      <c r="E673" s="16">
        <v>25087.54</v>
      </c>
      <c r="F673" s="16">
        <v>25149.27</v>
      </c>
      <c r="G673" s="16">
        <v>25020.799999999999</v>
      </c>
      <c r="H673" s="16">
        <v>25055.5</v>
      </c>
      <c r="I673" s="16">
        <v>25064.43</v>
      </c>
      <c r="J673" s="16">
        <v>25028.400000000001</v>
      </c>
      <c r="K673" s="16">
        <v>25034.45</v>
      </c>
      <c r="L673" s="16">
        <v>25126.13</v>
      </c>
      <c r="M673" s="31"/>
      <c r="N673" s="31"/>
      <c r="O673" s="31"/>
      <c r="P673" s="31"/>
      <c r="Q673" s="31"/>
      <c r="R673" s="32"/>
      <c r="S673" s="33"/>
      <c r="T673" s="56"/>
      <c r="V673" s="48"/>
      <c r="W673" s="48"/>
      <c r="X673" s="49"/>
      <c r="Y673" s="49"/>
      <c r="Z673" s="50"/>
      <c r="AA673" s="50"/>
    </row>
    <row r="674" spans="1:27" ht="16.5" customHeight="1" thickBot="1" x14ac:dyDescent="0.35">
      <c r="A674" s="96"/>
      <c r="B674" s="96"/>
      <c r="C674" s="34" t="s">
        <v>129</v>
      </c>
      <c r="D674" s="35">
        <f>IF(((D672="")*AND(D673="")),"",(D672-D673)*3)</f>
        <v>10744.169999999998</v>
      </c>
      <c r="E674" s="35">
        <f t="shared" ref="E674:L674" si="220">IF(((E672="")*AND(E673="")),"",(E672-E673)*3)</f>
        <v>11125.169999999998</v>
      </c>
      <c r="F674" s="35">
        <f t="shared" si="220"/>
        <v>11080.77</v>
      </c>
      <c r="G674" s="35">
        <f t="shared" si="220"/>
        <v>11343.510000000006</v>
      </c>
      <c r="H674" s="35">
        <f t="shared" si="220"/>
        <v>11447.279999999995</v>
      </c>
      <c r="I674" s="35">
        <f t="shared" si="220"/>
        <v>11359.319999999996</v>
      </c>
      <c r="J674" s="35">
        <f t="shared" si="220"/>
        <v>11275.319999999996</v>
      </c>
      <c r="K674" s="35">
        <f t="shared" si="220"/>
        <v>11258.279999999995</v>
      </c>
      <c r="L674" s="35">
        <f t="shared" si="220"/>
        <v>11191.29</v>
      </c>
      <c r="M674" s="36"/>
      <c r="N674" s="36"/>
      <c r="O674" s="36"/>
      <c r="P674" s="36"/>
      <c r="Q674" s="36"/>
      <c r="R674" s="37"/>
      <c r="S674" s="38"/>
      <c r="T674" s="57"/>
      <c r="U674" s="52"/>
      <c r="V674" s="51"/>
      <c r="W674" s="51"/>
      <c r="X674" s="52"/>
      <c r="Y674" s="52"/>
      <c r="Z674" s="53"/>
      <c r="AA674" s="53"/>
    </row>
    <row r="675" spans="1:27" x14ac:dyDescent="0.3">
      <c r="A675" s="97">
        <v>43458</v>
      </c>
      <c r="B675" s="117" t="s">
        <v>431</v>
      </c>
      <c r="C675" s="26" t="s">
        <v>126</v>
      </c>
      <c r="D675" s="16">
        <v>29109</v>
      </c>
      <c r="E675" s="16">
        <v>28896</v>
      </c>
      <c r="F675" s="16">
        <v>28876</v>
      </c>
      <c r="G675" s="16">
        <v>28888</v>
      </c>
      <c r="H675" s="16">
        <v>29092</v>
      </c>
      <c r="I675" s="16">
        <v>29090</v>
      </c>
      <c r="J675" s="16">
        <v>28890</v>
      </c>
      <c r="K675" s="16">
        <v>28879</v>
      </c>
      <c r="L675" s="16">
        <v>29071</v>
      </c>
      <c r="M675" s="27">
        <f>IF((L676=""),"",MAX(D677:L677))</f>
        <v>11463</v>
      </c>
      <c r="N675" s="27">
        <f>IF(L676="","",MIN(D677:L677))</f>
        <v>10599</v>
      </c>
      <c r="O675" s="27">
        <f>IF((L677=""),"",AVERAGE(D677:L677))</f>
        <v>11136</v>
      </c>
      <c r="P675" s="27">
        <f>IF((L676=""),"",STDEV(D677:L677))</f>
        <v>261.57264765261675</v>
      </c>
      <c r="Q675" s="27">
        <f>IF((L676=""),"",P675/O675*100)</f>
        <v>2.348892310098929</v>
      </c>
      <c r="R675" s="28" t="str">
        <f>IF(L676="","",IF(Q675&lt;Z675,IF(N675&gt;V675,IF(M675&lt;W675,"Pass","Fail"),"Fail"),"Fail"))</f>
        <v>Pass</v>
      </c>
      <c r="S675" s="29">
        <v>1340</v>
      </c>
      <c r="T675" s="55"/>
      <c r="U675" s="40"/>
      <c r="V675" s="54">
        <v>10000</v>
      </c>
      <c r="W675" s="22">
        <v>15600</v>
      </c>
      <c r="X675" s="40">
        <v>8090</v>
      </c>
      <c r="Y675" s="40">
        <v>12070</v>
      </c>
      <c r="Z675" s="47">
        <v>6</v>
      </c>
      <c r="AA675" s="47">
        <v>6</v>
      </c>
    </row>
    <row r="676" spans="1:27" ht="15.75" customHeight="1" x14ac:dyDescent="0.3">
      <c r="A676" s="96"/>
      <c r="B676" s="96"/>
      <c r="C676" s="30" t="s">
        <v>128</v>
      </c>
      <c r="D676" s="16">
        <v>25288</v>
      </c>
      <c r="E676" s="16">
        <v>25094</v>
      </c>
      <c r="F676" s="16">
        <v>25228</v>
      </c>
      <c r="G676" s="16">
        <v>25168</v>
      </c>
      <c r="H676" s="16">
        <v>25355</v>
      </c>
      <c r="I676" s="16">
        <v>25403</v>
      </c>
      <c r="J676" s="16">
        <v>25123</v>
      </c>
      <c r="K676" s="16">
        <v>25186</v>
      </c>
      <c r="L676" s="16">
        <v>25538</v>
      </c>
      <c r="M676" s="31"/>
      <c r="N676" s="31"/>
      <c r="O676" s="31"/>
      <c r="P676" s="31"/>
      <c r="Q676" s="31"/>
      <c r="R676" s="32"/>
      <c r="S676" s="33"/>
      <c r="T676" s="56"/>
      <c r="V676" s="48"/>
      <c r="W676" s="48"/>
      <c r="X676" s="49"/>
      <c r="Y676" s="49"/>
      <c r="Z676" s="50"/>
      <c r="AA676" s="50"/>
    </row>
    <row r="677" spans="1:27" ht="16.5" customHeight="1" thickBot="1" x14ac:dyDescent="0.35">
      <c r="A677" s="96"/>
      <c r="B677" s="96"/>
      <c r="C677" s="34" t="s">
        <v>129</v>
      </c>
      <c r="D677" s="35">
        <f>IF(((D675="")*AND(D676="")),"",(D675-D676)*3)</f>
        <v>11463</v>
      </c>
      <c r="E677" s="35">
        <f t="shared" ref="E677:L677" si="221">IF(((E675="")*AND(E676="")),"",(E675-E676)*3)</f>
        <v>11406</v>
      </c>
      <c r="F677" s="35">
        <f t="shared" si="221"/>
        <v>10944</v>
      </c>
      <c r="G677" s="35">
        <f t="shared" si="221"/>
        <v>11160</v>
      </c>
      <c r="H677" s="35">
        <f t="shared" si="221"/>
        <v>11211</v>
      </c>
      <c r="I677" s="35">
        <f t="shared" si="221"/>
        <v>11061</v>
      </c>
      <c r="J677" s="35">
        <f t="shared" si="221"/>
        <v>11301</v>
      </c>
      <c r="K677" s="35">
        <f t="shared" si="221"/>
        <v>11079</v>
      </c>
      <c r="L677" s="35">
        <f t="shared" si="221"/>
        <v>10599</v>
      </c>
      <c r="M677" s="36"/>
      <c r="N677" s="36"/>
      <c r="O677" s="36"/>
      <c r="P677" s="36"/>
      <c r="Q677" s="36"/>
      <c r="R677" s="37"/>
      <c r="S677" s="38"/>
      <c r="T677" s="57"/>
      <c r="U677" s="52"/>
      <c r="V677" s="51"/>
      <c r="W677" s="51"/>
      <c r="X677" s="52"/>
      <c r="Y677" s="52"/>
      <c r="Z677" s="53"/>
      <c r="AA677" s="53"/>
    </row>
    <row r="678" spans="1:27" x14ac:dyDescent="0.3">
      <c r="A678" s="97">
        <v>43462</v>
      </c>
      <c r="B678" s="117" t="s">
        <v>431</v>
      </c>
      <c r="C678" s="26" t="s">
        <v>126</v>
      </c>
      <c r="D678" s="16">
        <v>28813.54</v>
      </c>
      <c r="E678" s="16">
        <v>28782.98</v>
      </c>
      <c r="F678" s="16">
        <v>28782.6</v>
      </c>
      <c r="G678" s="16">
        <v>28774.400000000001</v>
      </c>
      <c r="H678" s="16">
        <v>28778.65</v>
      </c>
      <c r="I678" s="16">
        <v>28819.02</v>
      </c>
      <c r="J678" s="16">
        <v>28779.05</v>
      </c>
      <c r="K678" s="16">
        <v>28769.84</v>
      </c>
      <c r="L678" s="16">
        <v>28880.28</v>
      </c>
      <c r="M678" s="27">
        <f>IF((L679=""),"",MAX(D680:L680))</f>
        <v>11685.300000000007</v>
      </c>
      <c r="N678" s="27">
        <f>IF(L679="","",MIN(D680:L680))</f>
        <v>10756.410000000003</v>
      </c>
      <c r="O678" s="27">
        <f>IF((L680=""),"",AVERAGE(D680:L680))</f>
        <v>11264.253333333334</v>
      </c>
      <c r="P678" s="27">
        <f>IF((L679=""),"",STDEV(D680:L680))</f>
        <v>290.24278884237788</v>
      </c>
      <c r="Q678" s="27">
        <f>IF((L679=""),"",P678/O678*100)</f>
        <v>2.5766713536483365</v>
      </c>
      <c r="R678" s="28" t="str">
        <f>IF(L679="","",IF(Q678&lt;Z678,IF(N678&gt;V678,IF(M678&lt;W678,"Pass","Fail"),"Fail"),"Fail"))</f>
        <v>Pass</v>
      </c>
      <c r="S678" s="29">
        <v>1340</v>
      </c>
      <c r="T678" s="55"/>
      <c r="U678" s="40"/>
      <c r="V678" s="54">
        <v>10000</v>
      </c>
      <c r="W678" s="22">
        <v>15600</v>
      </c>
      <c r="X678" s="40">
        <v>8090</v>
      </c>
      <c r="Y678" s="40">
        <v>12070</v>
      </c>
      <c r="Z678" s="47">
        <v>6</v>
      </c>
      <c r="AA678" s="47">
        <v>6</v>
      </c>
    </row>
    <row r="679" spans="1:27" ht="15.75" customHeight="1" x14ac:dyDescent="0.3">
      <c r="A679" s="96"/>
      <c r="B679" s="96"/>
      <c r="C679" s="30" t="s">
        <v>128</v>
      </c>
      <c r="D679" s="16">
        <v>25228.07</v>
      </c>
      <c r="E679" s="16">
        <v>25090.93</v>
      </c>
      <c r="F679" s="16">
        <v>25102.63</v>
      </c>
      <c r="G679" s="16">
        <v>24991.16</v>
      </c>
      <c r="H679" s="16">
        <v>24883.55</v>
      </c>
      <c r="I679" s="16">
        <v>24937.55</v>
      </c>
      <c r="J679" s="16">
        <v>25024.11</v>
      </c>
      <c r="K679" s="16">
        <v>25015.63</v>
      </c>
      <c r="L679" s="16">
        <v>25113.97</v>
      </c>
      <c r="M679" s="31"/>
      <c r="N679" s="31"/>
      <c r="O679" s="31"/>
      <c r="P679" s="31"/>
      <c r="Q679" s="31"/>
      <c r="R679" s="32"/>
      <c r="S679" s="33"/>
      <c r="T679" s="56"/>
      <c r="V679" s="48"/>
      <c r="W679" s="48"/>
      <c r="X679" s="49"/>
      <c r="Y679" s="49"/>
      <c r="Z679" s="50"/>
      <c r="AA679" s="50"/>
    </row>
    <row r="680" spans="1:27" ht="16.5" customHeight="1" thickBot="1" x14ac:dyDescent="0.35">
      <c r="A680" s="96"/>
      <c r="B680" s="96"/>
      <c r="C680" s="34" t="s">
        <v>129</v>
      </c>
      <c r="D680" s="35">
        <f>IF(((D678="")*AND(D679="")),"",(D678-D679)*3)</f>
        <v>10756.410000000003</v>
      </c>
      <c r="E680" s="35">
        <f t="shared" ref="E680:L680" si="222">IF(((E678="")*AND(E679="")),"",(E678-E679)*3)</f>
        <v>11076.149999999998</v>
      </c>
      <c r="F680" s="35">
        <f t="shared" si="222"/>
        <v>11039.909999999993</v>
      </c>
      <c r="G680" s="35">
        <f t="shared" si="222"/>
        <v>11349.720000000005</v>
      </c>
      <c r="H680" s="35">
        <f t="shared" si="222"/>
        <v>11685.300000000007</v>
      </c>
      <c r="I680" s="35">
        <f t="shared" si="222"/>
        <v>11644.410000000003</v>
      </c>
      <c r="J680" s="35">
        <f t="shared" si="222"/>
        <v>11264.819999999996</v>
      </c>
      <c r="K680" s="35">
        <f t="shared" si="222"/>
        <v>11262.629999999997</v>
      </c>
      <c r="L680" s="35">
        <f t="shared" si="222"/>
        <v>11298.929999999993</v>
      </c>
      <c r="M680" s="36"/>
      <c r="N680" s="36"/>
      <c r="O680" s="36"/>
      <c r="P680" s="36"/>
      <c r="Q680" s="36"/>
      <c r="R680" s="37"/>
      <c r="S680" s="38"/>
      <c r="T680" s="57"/>
      <c r="U680" s="52"/>
      <c r="V680" s="51"/>
      <c r="W680" s="51"/>
      <c r="X680" s="52"/>
      <c r="Y680" s="52"/>
      <c r="Z680" s="53"/>
      <c r="AA680" s="53"/>
    </row>
    <row r="681" spans="1:27" x14ac:dyDescent="0.3">
      <c r="A681" s="97">
        <v>43466</v>
      </c>
      <c r="B681" s="117" t="s">
        <v>431</v>
      </c>
      <c r="C681" s="26" t="s">
        <v>126</v>
      </c>
      <c r="D681" s="16">
        <v>28963</v>
      </c>
      <c r="E681" s="16">
        <v>28740</v>
      </c>
      <c r="F681" s="16">
        <v>28726</v>
      </c>
      <c r="G681" s="16">
        <v>28737</v>
      </c>
      <c r="H681" s="16">
        <v>28919</v>
      </c>
      <c r="I681" s="16">
        <v>28935</v>
      </c>
      <c r="J681" s="16">
        <v>28737</v>
      </c>
      <c r="K681" s="16">
        <v>28737</v>
      </c>
      <c r="L681" s="16">
        <v>28930</v>
      </c>
      <c r="M681" s="27">
        <f>IF((L682=""),"",MAX(D683:L683))</f>
        <v>11040</v>
      </c>
      <c r="N681" s="27">
        <f>IF(L682="","",MIN(D683:L683))</f>
        <v>10017</v>
      </c>
      <c r="O681" s="27">
        <f>IF((L683=""),"",AVERAGE(D683:L683))</f>
        <v>10649.666666666666</v>
      </c>
      <c r="P681" s="27">
        <f>IF((L682=""),"",STDEV(D683:L683))</f>
        <v>310.36752407428196</v>
      </c>
      <c r="Q681" s="27">
        <f>IF((L682=""),"",P681/O681*100)</f>
        <v>2.914340267998516</v>
      </c>
      <c r="R681" s="28" t="str">
        <f>IF(L682="","",IF(Q681&lt;Z681,IF(N681&gt;V681,IF(M681&lt;W681,"Pass","Fail"),"Fail"),"Fail"))</f>
        <v>Pass</v>
      </c>
      <c r="S681" s="29">
        <v>1340</v>
      </c>
      <c r="T681" s="55" t="s">
        <v>268</v>
      </c>
      <c r="U681" s="40"/>
      <c r="V681" s="54">
        <v>10000</v>
      </c>
      <c r="W681" s="22">
        <v>15600</v>
      </c>
      <c r="X681" s="40">
        <v>8090</v>
      </c>
      <c r="Y681" s="40">
        <v>12070</v>
      </c>
      <c r="Z681" s="47">
        <v>6</v>
      </c>
      <c r="AA681" s="47">
        <v>6</v>
      </c>
    </row>
    <row r="682" spans="1:27" ht="15.75" customHeight="1" x14ac:dyDescent="0.3">
      <c r="A682" s="96"/>
      <c r="B682" s="96"/>
      <c r="C682" s="30" t="s">
        <v>128</v>
      </c>
      <c r="D682" s="16">
        <v>25283</v>
      </c>
      <c r="E682" s="16">
        <v>25115</v>
      </c>
      <c r="F682" s="16">
        <v>25239</v>
      </c>
      <c r="G682" s="16">
        <v>25265</v>
      </c>
      <c r="H682" s="16">
        <v>25580</v>
      </c>
      <c r="I682" s="16">
        <v>25377</v>
      </c>
      <c r="J682" s="16">
        <v>25173</v>
      </c>
      <c r="K682" s="16">
        <v>25142</v>
      </c>
      <c r="L682" s="16">
        <v>25301</v>
      </c>
      <c r="M682" s="31"/>
      <c r="N682" s="31"/>
      <c r="O682" s="31"/>
      <c r="P682" s="31"/>
      <c r="Q682" s="31"/>
      <c r="R682" s="32"/>
      <c r="S682" s="33"/>
      <c r="T682" s="56"/>
      <c r="V682" s="48"/>
      <c r="W682" s="48"/>
      <c r="X682" s="49"/>
      <c r="Y682" s="49"/>
      <c r="Z682" s="50"/>
      <c r="AA682" s="50"/>
    </row>
    <row r="683" spans="1:27" ht="16.5" customHeight="1" thickBot="1" x14ac:dyDescent="0.35">
      <c r="A683" s="96"/>
      <c r="B683" s="96"/>
      <c r="C683" s="34" t="s">
        <v>129</v>
      </c>
      <c r="D683" s="35">
        <f>IF(((D681="")*AND(D682="")),"",(D681-D682)*3)</f>
        <v>11040</v>
      </c>
      <c r="E683" s="35">
        <f t="shared" ref="E683:L683" si="223">IF(((E681="")*AND(E682="")),"",(E681-E682)*3)</f>
        <v>10875</v>
      </c>
      <c r="F683" s="35">
        <f t="shared" si="223"/>
        <v>10461</v>
      </c>
      <c r="G683" s="35">
        <f t="shared" si="223"/>
        <v>10416</v>
      </c>
      <c r="H683" s="35">
        <f t="shared" si="223"/>
        <v>10017</v>
      </c>
      <c r="I683" s="35">
        <f t="shared" si="223"/>
        <v>10674</v>
      </c>
      <c r="J683" s="35">
        <f t="shared" si="223"/>
        <v>10692</v>
      </c>
      <c r="K683" s="35">
        <f t="shared" si="223"/>
        <v>10785</v>
      </c>
      <c r="L683" s="35">
        <f t="shared" si="223"/>
        <v>10887</v>
      </c>
      <c r="M683" s="36"/>
      <c r="N683" s="36"/>
      <c r="O683" s="36"/>
      <c r="P683" s="36"/>
      <c r="Q683" s="36"/>
      <c r="R683" s="37"/>
      <c r="S683" s="38"/>
      <c r="T683" s="57"/>
      <c r="U683" s="52"/>
      <c r="V683" s="51"/>
      <c r="W683" s="51"/>
      <c r="X683" s="52"/>
      <c r="Y683" s="52"/>
      <c r="Z683" s="53"/>
      <c r="AA683" s="53"/>
    </row>
    <row r="684" spans="1:27" x14ac:dyDescent="0.3">
      <c r="A684" s="97">
        <v>43476</v>
      </c>
      <c r="B684" s="117" t="s">
        <v>431</v>
      </c>
      <c r="C684" s="26" t="s">
        <v>126</v>
      </c>
      <c r="D684" s="16">
        <v>28944.53</v>
      </c>
      <c r="E684" s="16">
        <v>28875.87</v>
      </c>
      <c r="F684" s="16">
        <v>28887.46</v>
      </c>
      <c r="G684" s="16">
        <v>28856.95</v>
      </c>
      <c r="H684" s="16">
        <v>28925.29</v>
      </c>
      <c r="I684" s="16">
        <v>28939.09</v>
      </c>
      <c r="J684" s="16">
        <v>28862.45</v>
      </c>
      <c r="K684" s="16">
        <v>28858.560000000001</v>
      </c>
      <c r="L684" s="16">
        <v>28911.77</v>
      </c>
      <c r="M684" s="27">
        <f>IF((L685=""),"",MAX(D686:L686))</f>
        <v>11704.560000000001</v>
      </c>
      <c r="N684" s="27">
        <f>IF(L685="","",MIN(D686:L686))</f>
        <v>10644.719999999994</v>
      </c>
      <c r="O684" s="27">
        <f>IF((L686=""),"",AVERAGE(D686:L686))</f>
        <v>11361.070000000002</v>
      </c>
      <c r="P684" s="27">
        <f>IF((L685=""),"",STDEV(D686:L686))</f>
        <v>314.9385793690596</v>
      </c>
      <c r="Q684" s="27">
        <f>IF((L685=""),"",P684/O684*100)</f>
        <v>2.7720855462474887</v>
      </c>
      <c r="R684" s="28" t="str">
        <f>IF(L685="","",IF(Q684&lt;Z684,IF(N684&gt;V684,IF(M684&lt;W684,"Pass","Fail"),"Fail"),"Fail"))</f>
        <v>Pass</v>
      </c>
      <c r="S684" s="29">
        <v>1340</v>
      </c>
      <c r="T684" s="55" t="s">
        <v>307</v>
      </c>
      <c r="U684" s="16"/>
      <c r="V684" s="54">
        <v>10000</v>
      </c>
      <c r="W684" s="22">
        <v>15600</v>
      </c>
      <c r="X684" s="40">
        <v>8090</v>
      </c>
      <c r="Y684" s="40">
        <v>12070</v>
      </c>
      <c r="Z684" s="47">
        <v>6</v>
      </c>
      <c r="AA684" s="47">
        <v>6</v>
      </c>
    </row>
    <row r="685" spans="1:27" ht="15.75" customHeight="1" x14ac:dyDescent="0.3">
      <c r="A685" s="98"/>
      <c r="B685" s="98"/>
      <c r="C685" s="30" t="s">
        <v>128</v>
      </c>
      <c r="D685" s="16">
        <v>25396.29</v>
      </c>
      <c r="E685" s="16">
        <v>25142.39</v>
      </c>
      <c r="F685" s="16">
        <v>25133.05</v>
      </c>
      <c r="G685" s="16">
        <v>25006.73</v>
      </c>
      <c r="H685" s="16">
        <v>25023.77</v>
      </c>
      <c r="I685" s="16">
        <v>25068.47</v>
      </c>
      <c r="J685" s="16">
        <v>25029.07</v>
      </c>
      <c r="K685" s="16">
        <v>25042.55</v>
      </c>
      <c r="L685" s="16">
        <v>25136.44</v>
      </c>
      <c r="M685" s="31"/>
      <c r="N685" s="31"/>
      <c r="O685" s="31"/>
      <c r="P685" s="31"/>
      <c r="Q685" s="31"/>
      <c r="R685" s="32"/>
      <c r="S685" s="33"/>
      <c r="T685" s="56"/>
      <c r="U685" s="16"/>
      <c r="V685" s="48"/>
      <c r="W685" s="48"/>
      <c r="X685" s="49"/>
      <c r="Y685" s="49"/>
      <c r="Z685" s="50"/>
      <c r="AA685" s="50"/>
    </row>
    <row r="686" spans="1:27" ht="16.5" customHeight="1" thickBot="1" x14ac:dyDescent="0.35">
      <c r="A686" s="99"/>
      <c r="B686" s="98"/>
      <c r="C686" s="34" t="s">
        <v>129</v>
      </c>
      <c r="D686" s="35">
        <f>IF(((D684="")*AND(D685="")),"",(D684-D685)*3)</f>
        <v>10644.719999999994</v>
      </c>
      <c r="E686" s="35">
        <f t="shared" ref="E686:L686" si="224">IF(((E684="")*AND(E685="")),"",(E684-E685)*3)</f>
        <v>11200.439999999999</v>
      </c>
      <c r="F686" s="35">
        <f t="shared" si="224"/>
        <v>11263.23</v>
      </c>
      <c r="G686" s="35">
        <f t="shared" si="224"/>
        <v>11550.660000000003</v>
      </c>
      <c r="H686" s="35">
        <f t="shared" si="224"/>
        <v>11704.560000000001</v>
      </c>
      <c r="I686" s="35">
        <f t="shared" si="224"/>
        <v>11611.859999999997</v>
      </c>
      <c r="J686" s="35">
        <f t="shared" si="224"/>
        <v>11500.140000000003</v>
      </c>
      <c r="K686" s="35">
        <f t="shared" si="224"/>
        <v>11448.030000000006</v>
      </c>
      <c r="L686" s="35">
        <f t="shared" si="224"/>
        <v>11325.990000000005</v>
      </c>
      <c r="M686" s="36"/>
      <c r="N686" s="36"/>
      <c r="O686" s="36"/>
      <c r="P686" s="36"/>
      <c r="Q686" s="36"/>
      <c r="R686" s="37"/>
      <c r="S686" s="38"/>
      <c r="T686" s="57"/>
      <c r="U686" s="16"/>
      <c r="V686" s="51"/>
      <c r="W686" s="51"/>
      <c r="X686" s="52"/>
      <c r="Y686" s="52"/>
      <c r="Z686" s="53"/>
      <c r="AA686" s="53"/>
    </row>
    <row r="687" spans="1:27" x14ac:dyDescent="0.3">
      <c r="A687" s="97">
        <v>43481</v>
      </c>
      <c r="B687" s="117" t="s">
        <v>431</v>
      </c>
      <c r="C687" s="26" t="s">
        <v>126</v>
      </c>
      <c r="D687" s="16">
        <v>28937.34</v>
      </c>
      <c r="E687" s="16">
        <v>28859.14</v>
      </c>
      <c r="F687" s="16">
        <v>28868.880000000001</v>
      </c>
      <c r="G687" s="16">
        <v>28861.26</v>
      </c>
      <c r="H687" s="16">
        <v>28931.91</v>
      </c>
      <c r="I687" s="16">
        <v>28898.66</v>
      </c>
      <c r="J687" s="16">
        <v>28849.48</v>
      </c>
      <c r="K687" s="16">
        <v>28861.61</v>
      </c>
      <c r="L687" s="16">
        <v>28926.7</v>
      </c>
      <c r="M687" s="27">
        <f>IF((L688=""),"",MAX(D689:L689))</f>
        <v>11142.180000000004</v>
      </c>
      <c r="N687" s="27">
        <f>IF(L688="","",MIN(D689:L689))</f>
        <v>10281.810000000001</v>
      </c>
      <c r="O687" s="27">
        <f>IF((L689=""),"",AVERAGE(D689:L689))</f>
        <v>10869.333333333334</v>
      </c>
      <c r="P687" s="27">
        <f>IF((L688=""),"",STDEV(D689:L689))</f>
        <v>254.52400697183666</v>
      </c>
      <c r="Q687" s="27">
        <f>IF((L688=""),"",P687/O687*100)</f>
        <v>2.3416708197850524</v>
      </c>
      <c r="R687" s="28" t="str">
        <f>IF(L688="","",IF(Q687&lt;Z687,IF(N687&gt;V687,IF(M687&lt;W687,"Pass","Fail"),"Fail"),"Fail"))</f>
        <v>Pass</v>
      </c>
      <c r="S687" s="29">
        <v>1159</v>
      </c>
      <c r="T687" s="55" t="s">
        <v>308</v>
      </c>
      <c r="U687" s="16"/>
      <c r="V687" s="54">
        <v>10000</v>
      </c>
      <c r="W687" s="22">
        <v>15600</v>
      </c>
      <c r="X687" s="40">
        <v>8090</v>
      </c>
      <c r="Y687" s="40">
        <v>12070</v>
      </c>
      <c r="Z687" s="47">
        <v>6</v>
      </c>
      <c r="AA687" s="47">
        <v>6</v>
      </c>
    </row>
    <row r="688" spans="1:27" ht="15.75" customHeight="1" x14ac:dyDescent="0.3">
      <c r="A688" s="98"/>
      <c r="B688" s="98"/>
      <c r="C688" s="30" t="s">
        <v>128</v>
      </c>
      <c r="D688" s="16">
        <v>25510.07</v>
      </c>
      <c r="E688" s="16">
        <v>25284.21</v>
      </c>
      <c r="F688" s="16">
        <v>25276.42</v>
      </c>
      <c r="G688" s="16">
        <v>25178.74</v>
      </c>
      <c r="H688" s="16">
        <v>25217.85</v>
      </c>
      <c r="I688" s="16">
        <v>25238</v>
      </c>
      <c r="J688" s="16">
        <v>25210.28</v>
      </c>
      <c r="K688" s="16">
        <v>25202.11</v>
      </c>
      <c r="L688" s="16">
        <v>25269.3</v>
      </c>
      <c r="M688" s="31"/>
      <c r="N688" s="31"/>
      <c r="O688" s="31"/>
      <c r="P688" s="31"/>
      <c r="Q688" s="31"/>
      <c r="R688" s="32"/>
      <c r="S688" s="33"/>
      <c r="T688" s="56"/>
      <c r="U688" s="16"/>
      <c r="V688" s="48"/>
      <c r="W688" s="48"/>
      <c r="X688" s="49"/>
      <c r="Y688" s="49"/>
      <c r="Z688" s="50"/>
      <c r="AA688" s="50"/>
    </row>
    <row r="689" spans="1:27" ht="16.5" customHeight="1" thickBot="1" x14ac:dyDescent="0.35">
      <c r="A689" s="99"/>
      <c r="B689" s="98"/>
      <c r="C689" s="34" t="s">
        <v>129</v>
      </c>
      <c r="D689" s="35">
        <f>IF(((D687="")*AND(D688="")),"",(D687-D688)*3)</f>
        <v>10281.810000000001</v>
      </c>
      <c r="E689" s="35">
        <f t="shared" ref="E689:L689" si="225">IF(((E687="")*AND(E688="")),"",(E687-E688)*3)</f>
        <v>10724.79</v>
      </c>
      <c r="F689" s="35">
        <f t="shared" si="225"/>
        <v>10777.380000000008</v>
      </c>
      <c r="G689" s="35">
        <f t="shared" si="225"/>
        <v>11047.55999999999</v>
      </c>
      <c r="H689" s="35">
        <f t="shared" si="225"/>
        <v>11142.180000000004</v>
      </c>
      <c r="I689" s="35">
        <f t="shared" si="225"/>
        <v>10981.98</v>
      </c>
      <c r="J689" s="35">
        <f t="shared" si="225"/>
        <v>10917.600000000002</v>
      </c>
      <c r="K689" s="35">
        <f t="shared" si="225"/>
        <v>10978.5</v>
      </c>
      <c r="L689" s="35">
        <f t="shared" si="225"/>
        <v>10972.200000000004</v>
      </c>
      <c r="M689" s="36"/>
      <c r="N689" s="36"/>
      <c r="O689" s="36"/>
      <c r="P689" s="36"/>
      <c r="Q689" s="36"/>
      <c r="R689" s="37"/>
      <c r="S689" s="38"/>
      <c r="T689" s="57"/>
      <c r="U689" s="16"/>
      <c r="V689" s="51"/>
      <c r="W689" s="51"/>
      <c r="X689" s="52"/>
      <c r="Y689" s="52"/>
      <c r="Z689" s="53"/>
      <c r="AA689" s="53"/>
    </row>
    <row r="690" spans="1:27" x14ac:dyDescent="0.3">
      <c r="A690" s="97">
        <v>43487</v>
      </c>
      <c r="B690" s="117" t="s">
        <v>431</v>
      </c>
      <c r="C690" s="26" t="s">
        <v>126</v>
      </c>
      <c r="D690" s="16">
        <v>29420.41</v>
      </c>
      <c r="E690" s="16">
        <v>29355.7</v>
      </c>
      <c r="F690" s="16">
        <v>29403.49</v>
      </c>
      <c r="G690" s="16">
        <v>29367.61</v>
      </c>
      <c r="H690" s="16">
        <v>29431.58</v>
      </c>
      <c r="I690" s="16">
        <v>29402.99</v>
      </c>
      <c r="J690" s="16">
        <v>29355.5</v>
      </c>
      <c r="K690" s="16">
        <v>29342.06</v>
      </c>
      <c r="L690" s="16">
        <v>29403.279999999999</v>
      </c>
      <c r="M690" s="27">
        <f>IF((L691=""),"",MAX(D692:L692))</f>
        <v>12519.360000000008</v>
      </c>
      <c r="N690" s="27">
        <f>IF(L691="","",MIN(D692:L692))</f>
        <v>11684.129999999997</v>
      </c>
      <c r="O690" s="27">
        <f>IF((L692=""),"",AVERAGE(D692:L692))</f>
        <v>12230.286666666669</v>
      </c>
      <c r="P690" s="27">
        <f>IF((L691=""),"",STDEV(D692:L692))</f>
        <v>241.62432302026514</v>
      </c>
      <c r="Q690" s="27">
        <f>IF((L691=""),"",P690/O690*100)</f>
        <v>1.9756227274607228</v>
      </c>
      <c r="R690" s="28" t="str">
        <f>IF(L691="","",IF(Q690&lt;Z690,IF(N690&gt;V690,IF(M690&lt;W690,"Pass","Fail"),"Fail"),"Fail"))</f>
        <v>Pass</v>
      </c>
      <c r="S690" s="29">
        <v>1159</v>
      </c>
      <c r="T690" s="55" t="s">
        <v>309</v>
      </c>
      <c r="U690" s="16"/>
      <c r="V690" s="54">
        <v>10000</v>
      </c>
      <c r="W690" s="22">
        <v>15600</v>
      </c>
      <c r="X690" s="40">
        <v>8090</v>
      </c>
      <c r="Y690" s="40">
        <v>12070</v>
      </c>
      <c r="Z690" s="47">
        <v>6</v>
      </c>
      <c r="AA690" s="47">
        <v>6</v>
      </c>
    </row>
    <row r="691" spans="1:27" ht="15.75" customHeight="1" x14ac:dyDescent="0.3">
      <c r="A691" s="98"/>
      <c r="B691" s="98"/>
      <c r="C691" s="30" t="s">
        <v>128</v>
      </c>
      <c r="D691" s="16">
        <v>25525.7</v>
      </c>
      <c r="E691" s="16">
        <v>25319.08</v>
      </c>
      <c r="F691" s="16">
        <v>25351.39</v>
      </c>
      <c r="G691" s="16">
        <v>25237.67</v>
      </c>
      <c r="H691" s="16">
        <v>25258.46</v>
      </c>
      <c r="I691" s="16">
        <v>25264</v>
      </c>
      <c r="J691" s="16">
        <v>25257.48</v>
      </c>
      <c r="K691" s="16">
        <v>25258.1</v>
      </c>
      <c r="L691" s="16">
        <v>25319.88</v>
      </c>
      <c r="M691" s="31"/>
      <c r="N691" s="31"/>
      <c r="O691" s="31"/>
      <c r="P691" s="31"/>
      <c r="Q691" s="31"/>
      <c r="R691" s="32"/>
      <c r="S691" s="33"/>
      <c r="T691" s="56"/>
      <c r="U691" s="16"/>
      <c r="V691" s="48"/>
      <c r="W691" s="48"/>
      <c r="X691" s="49"/>
      <c r="Y691" s="49"/>
      <c r="Z691" s="50"/>
      <c r="AA691" s="50"/>
    </row>
    <row r="692" spans="1:27" ht="16.5" customHeight="1" thickBot="1" x14ac:dyDescent="0.35">
      <c r="A692" s="99"/>
      <c r="B692" s="98"/>
      <c r="C692" s="34" t="s">
        <v>129</v>
      </c>
      <c r="D692" s="35">
        <f>IF(((D690="")*AND(D691="")),"",(D690-D691)*3)</f>
        <v>11684.129999999997</v>
      </c>
      <c r="E692" s="35">
        <f t="shared" ref="E692:L692" si="226">IF(((E690="")*AND(E691="")),"",(E690-E691)*3)</f>
        <v>12109.859999999997</v>
      </c>
      <c r="F692" s="35">
        <f t="shared" si="226"/>
        <v>12156.300000000007</v>
      </c>
      <c r="G692" s="35">
        <f t="shared" si="226"/>
        <v>12389.820000000007</v>
      </c>
      <c r="H692" s="35">
        <f t="shared" si="226"/>
        <v>12519.360000000008</v>
      </c>
      <c r="I692" s="35">
        <f t="shared" si="226"/>
        <v>12416.970000000005</v>
      </c>
      <c r="J692" s="35">
        <f t="shared" si="226"/>
        <v>12294.060000000001</v>
      </c>
      <c r="K692" s="35">
        <f t="shared" si="226"/>
        <v>12251.880000000008</v>
      </c>
      <c r="L692" s="35">
        <f t="shared" si="226"/>
        <v>12250.199999999993</v>
      </c>
      <c r="M692" s="36"/>
      <c r="N692" s="36"/>
      <c r="O692" s="36"/>
      <c r="P692" s="36"/>
      <c r="Q692" s="36"/>
      <c r="R692" s="37"/>
      <c r="S692" s="38"/>
      <c r="T692" s="57"/>
      <c r="U692" s="16"/>
      <c r="V692" s="51"/>
      <c r="W692" s="51"/>
      <c r="X692" s="52"/>
      <c r="Y692" s="52"/>
      <c r="Z692" s="53"/>
      <c r="AA692" s="53"/>
    </row>
    <row r="693" spans="1:27" ht="15.6" x14ac:dyDescent="0.3">
      <c r="A693" s="97">
        <v>43493</v>
      </c>
      <c r="B693" s="117" t="s">
        <v>431</v>
      </c>
      <c r="C693" s="26" t="s">
        <v>126</v>
      </c>
      <c r="D693">
        <v>29261.98</v>
      </c>
      <c r="E693">
        <v>29196.13</v>
      </c>
      <c r="F693">
        <v>29222.65</v>
      </c>
      <c r="G693">
        <v>29213.25</v>
      </c>
      <c r="H693">
        <v>29292.89</v>
      </c>
      <c r="I693">
        <v>29232.5</v>
      </c>
      <c r="J693">
        <v>29214.44</v>
      </c>
      <c r="K693">
        <v>29180.03</v>
      </c>
      <c r="L693">
        <v>29254.560000000001</v>
      </c>
      <c r="M693" s="27">
        <f>IF((L694=""),"",MAX(D695:L695))</f>
        <v>11886.660000000003</v>
      </c>
      <c r="N693" s="27">
        <f>IF(L694="","",MIN(D695:L695))</f>
        <v>10915.919999999998</v>
      </c>
      <c r="O693" s="27">
        <f>IF((L695=""),"",AVERAGE(D695:L695))</f>
        <v>11504.29</v>
      </c>
      <c r="P693" s="27">
        <f>IF((L694=""),"",STDEV(D695:L695))</f>
        <v>278.54319337402603</v>
      </c>
      <c r="Q693" s="27">
        <f>IF((L694=""),"",P693/O693*100)</f>
        <v>2.4212115078290446</v>
      </c>
      <c r="R693" s="28" t="str">
        <f>IF(L694="","",IF(Q693&lt;Z693,IF(N693&gt;V693,IF(M693&lt;W693,"Pass","Fail"),"Fail"),"Fail"))</f>
        <v>Pass</v>
      </c>
      <c r="S693" s="29">
        <v>1159</v>
      </c>
      <c r="T693" s="55" t="s">
        <v>310</v>
      </c>
      <c r="U693" s="16"/>
      <c r="V693" s="54">
        <v>10000</v>
      </c>
      <c r="W693" s="22">
        <v>15600</v>
      </c>
      <c r="X693" s="40">
        <v>8090</v>
      </c>
      <c r="Y693" s="40">
        <v>12070</v>
      </c>
      <c r="Z693" s="47">
        <v>6</v>
      </c>
      <c r="AA693" s="47">
        <v>6</v>
      </c>
    </row>
    <row r="694" spans="1:27" ht="15.75" customHeight="1" x14ac:dyDescent="0.3">
      <c r="A694" s="98"/>
      <c r="B694" s="98"/>
      <c r="C694" s="30" t="s">
        <v>128</v>
      </c>
      <c r="D694">
        <v>25623.34</v>
      </c>
      <c r="E694">
        <v>25416.54</v>
      </c>
      <c r="F694">
        <v>25433.73</v>
      </c>
      <c r="G694">
        <v>25314.58</v>
      </c>
      <c r="H694">
        <v>25330.67</v>
      </c>
      <c r="I694">
        <v>25340.67</v>
      </c>
      <c r="J694">
        <v>25339.4</v>
      </c>
      <c r="K694">
        <v>25333.57</v>
      </c>
      <c r="L694">
        <v>25423.06</v>
      </c>
      <c r="M694" s="31"/>
      <c r="N694" s="31"/>
      <c r="O694" s="31"/>
      <c r="P694" s="31"/>
      <c r="Q694" s="31"/>
      <c r="R694" s="32"/>
      <c r="S694" s="33"/>
      <c r="T694" s="56"/>
      <c r="U694" s="16"/>
      <c r="V694" s="48"/>
      <c r="W694" s="48"/>
      <c r="X694" s="49"/>
      <c r="Y694" s="49"/>
      <c r="Z694" s="50"/>
      <c r="AA694" s="50"/>
    </row>
    <row r="695" spans="1:27" ht="16.5" customHeight="1" thickBot="1" x14ac:dyDescent="0.35">
      <c r="A695" s="99"/>
      <c r="B695" s="98"/>
      <c r="C695" s="34" t="s">
        <v>129</v>
      </c>
      <c r="D695" s="35">
        <f>IF(((D693="")*AND(D694="")),"",(D693-D694)*3)</f>
        <v>10915.919999999998</v>
      </c>
      <c r="E695" s="35">
        <f t="shared" ref="E695:L695" si="227">IF(((E693="")*AND(E694="")),"",(E693-E694)*3)</f>
        <v>11338.77</v>
      </c>
      <c r="F695" s="35">
        <f t="shared" si="227"/>
        <v>11366.760000000006</v>
      </c>
      <c r="G695" s="35">
        <f t="shared" si="227"/>
        <v>11696.009999999995</v>
      </c>
      <c r="H695" s="35">
        <f t="shared" si="227"/>
        <v>11886.660000000003</v>
      </c>
      <c r="I695" s="35">
        <f t="shared" si="227"/>
        <v>11675.490000000005</v>
      </c>
      <c r="J695" s="35">
        <f t="shared" si="227"/>
        <v>11625.119999999992</v>
      </c>
      <c r="K695" s="35">
        <f t="shared" si="227"/>
        <v>11539.379999999997</v>
      </c>
      <c r="L695" s="35">
        <f t="shared" si="227"/>
        <v>11494.5</v>
      </c>
      <c r="M695" s="36"/>
      <c r="N695" s="36"/>
      <c r="O695" s="36"/>
      <c r="P695" s="36"/>
      <c r="Q695" s="36"/>
      <c r="R695" s="37"/>
      <c r="S695" s="38"/>
      <c r="T695" s="57"/>
      <c r="U695" s="16"/>
      <c r="V695" s="51"/>
      <c r="W695" s="51"/>
      <c r="X695" s="52"/>
      <c r="Y695" s="52"/>
      <c r="Z695" s="53"/>
      <c r="AA695" s="53"/>
    </row>
    <row r="696" spans="1:27" ht="15.6" x14ac:dyDescent="0.3">
      <c r="A696" s="97">
        <v>43497</v>
      </c>
      <c r="B696" s="117" t="s">
        <v>431</v>
      </c>
      <c r="C696" s="26" t="s">
        <v>126</v>
      </c>
      <c r="D696">
        <v>29197.18</v>
      </c>
      <c r="E696">
        <v>29122.95</v>
      </c>
      <c r="F696">
        <v>29166.560000000001</v>
      </c>
      <c r="G696">
        <v>29134.93</v>
      </c>
      <c r="H696">
        <v>29225.17</v>
      </c>
      <c r="I696">
        <v>29177.759999999998</v>
      </c>
      <c r="J696">
        <v>29123.97</v>
      </c>
      <c r="K696">
        <v>29120.95</v>
      </c>
      <c r="L696">
        <v>29188.6</v>
      </c>
      <c r="M696" s="27">
        <f>IF((L697=""),"",MAX(D698:L698))</f>
        <v>11665.109999999997</v>
      </c>
      <c r="N696" s="27">
        <f>IF(L697="","",MIN(D698:L698))</f>
        <v>10607.489999999994</v>
      </c>
      <c r="O696" s="27">
        <f>IF((L698=""),"",AVERAGE(D698:L698))</f>
        <v>11281.649999999998</v>
      </c>
      <c r="P696" s="27">
        <f>IF((L697=""),"",STDEV(D698:L698))</f>
        <v>306.05806213854413</v>
      </c>
      <c r="Q696" s="27">
        <f>IF((L697=""),"",P696/O696*100)</f>
        <v>2.7128838613017083</v>
      </c>
      <c r="R696" s="28" t="str">
        <f>IF(L697="","",IF(Q696&lt;Z696,IF(N696&gt;V696,IF(M696&lt;W696,"Pass","Fail"),"Fail"),"Fail"))</f>
        <v>Pass</v>
      </c>
      <c r="S696" s="29">
        <v>1335</v>
      </c>
      <c r="T696" s="55" t="s">
        <v>311</v>
      </c>
      <c r="U696" s="16"/>
      <c r="V696" s="54">
        <v>10000</v>
      </c>
      <c r="W696" s="22">
        <v>15600</v>
      </c>
      <c r="X696" s="40">
        <v>8090</v>
      </c>
      <c r="Y696" s="40">
        <v>12070</v>
      </c>
      <c r="Z696" s="47">
        <v>6</v>
      </c>
      <c r="AA696" s="47">
        <v>6</v>
      </c>
    </row>
    <row r="697" spans="1:27" ht="15.75" customHeight="1" x14ac:dyDescent="0.3">
      <c r="A697" s="98"/>
      <c r="B697" s="98"/>
      <c r="C697" s="30" t="s">
        <v>128</v>
      </c>
      <c r="D697">
        <v>25308.81</v>
      </c>
      <c r="E697">
        <v>25302.6</v>
      </c>
      <c r="F697">
        <v>25431.43</v>
      </c>
      <c r="G697">
        <v>25435.99</v>
      </c>
      <c r="H697">
        <v>25689.34</v>
      </c>
      <c r="I697">
        <v>25422.720000000001</v>
      </c>
      <c r="J697">
        <v>25358.43</v>
      </c>
      <c r="K697">
        <v>25315.17</v>
      </c>
      <c r="L697">
        <v>25348.63</v>
      </c>
      <c r="M697" s="31"/>
      <c r="N697" s="31"/>
      <c r="O697" s="31"/>
      <c r="P697" s="31"/>
      <c r="Q697" s="31"/>
      <c r="R697" s="32"/>
      <c r="S697" s="33"/>
      <c r="T697" s="56"/>
      <c r="U697" s="16"/>
      <c r="V697" s="48"/>
      <c r="W697" s="48"/>
      <c r="X697" s="49"/>
      <c r="Y697" s="49"/>
      <c r="Z697" s="50"/>
      <c r="AA697" s="50"/>
    </row>
    <row r="698" spans="1:27" ht="16.5" customHeight="1" thickBot="1" x14ac:dyDescent="0.35">
      <c r="A698" s="99"/>
      <c r="B698" s="98"/>
      <c r="C698" s="34" t="s">
        <v>129</v>
      </c>
      <c r="D698" s="35">
        <f>IF(((D696="")*AND(D697="")),"",(D696-D697)*3)</f>
        <v>11665.109999999997</v>
      </c>
      <c r="E698" s="35">
        <f t="shared" ref="E698:L698" si="228">IF(((E696="")*AND(E697="")),"",(E696-E697)*3)</f>
        <v>11461.050000000007</v>
      </c>
      <c r="F698" s="35">
        <f t="shared" si="228"/>
        <v>11205.390000000003</v>
      </c>
      <c r="G698" s="35">
        <f t="shared" si="228"/>
        <v>11096.819999999996</v>
      </c>
      <c r="H698" s="35">
        <f t="shared" si="228"/>
        <v>10607.489999999994</v>
      </c>
      <c r="I698" s="35">
        <f t="shared" si="228"/>
        <v>11265.119999999992</v>
      </c>
      <c r="J698" s="35">
        <f t="shared" si="228"/>
        <v>11296.620000000003</v>
      </c>
      <c r="K698" s="35">
        <f t="shared" si="228"/>
        <v>11417.340000000007</v>
      </c>
      <c r="L698" s="35">
        <f t="shared" si="228"/>
        <v>11519.909999999993</v>
      </c>
      <c r="M698" s="36"/>
      <c r="N698" s="36"/>
      <c r="O698" s="36"/>
      <c r="P698" s="36"/>
      <c r="Q698" s="36"/>
      <c r="R698" s="37"/>
      <c r="S698" s="38"/>
      <c r="T698" s="57"/>
      <c r="U698" s="16"/>
      <c r="V698" s="51"/>
      <c r="W698" s="51"/>
      <c r="X698" s="52"/>
      <c r="Y698" s="52"/>
      <c r="Z698" s="53"/>
      <c r="AA698" s="53"/>
    </row>
    <row r="699" spans="1:27" ht="15.6" x14ac:dyDescent="0.3">
      <c r="A699" s="97">
        <v>43501</v>
      </c>
      <c r="B699" s="117" t="s">
        <v>431</v>
      </c>
      <c r="C699" s="26" t="s">
        <v>126</v>
      </c>
      <c r="D699">
        <v>29136.26</v>
      </c>
      <c r="E699">
        <v>29053.63</v>
      </c>
      <c r="F699">
        <v>29041.03</v>
      </c>
      <c r="G699">
        <v>29030.400000000001</v>
      </c>
      <c r="H699">
        <v>29098.29</v>
      </c>
      <c r="I699">
        <v>29116.93</v>
      </c>
      <c r="J699">
        <v>29027.81</v>
      </c>
      <c r="K699">
        <v>29053.69</v>
      </c>
      <c r="L699">
        <v>29145.67</v>
      </c>
      <c r="M699" s="27">
        <f>IF((L700=""),"",MAX(D701:L701))</f>
        <v>11776.98</v>
      </c>
      <c r="N699" s="27">
        <f>IF(L700="","",MIN(D701:L701))</f>
        <v>10923.869999999992</v>
      </c>
      <c r="O699" s="27">
        <f>IF((L701=""),"",AVERAGE(D701:L701))</f>
        <v>11550.246666666662</v>
      </c>
      <c r="P699" s="27">
        <f>IF((L700=""),"",STDEV(D701:L701))</f>
        <v>252.16820358641826</v>
      </c>
      <c r="Q699" s="27">
        <f>IF((L700=""),"",P699/O699*100)</f>
        <v>2.1832278639915192</v>
      </c>
      <c r="R699" s="28" t="str">
        <f>IF(L700="","",IF(Q699&lt;Z699,IF(N699&gt;V699,IF(M699&lt;W699,"Pass","Fail"),"Fail"),"Fail"))</f>
        <v>Pass</v>
      </c>
      <c r="S699" s="29">
        <v>1159</v>
      </c>
      <c r="T699" s="55" t="s">
        <v>312</v>
      </c>
      <c r="U699" s="16"/>
      <c r="V699" s="54">
        <v>10000</v>
      </c>
      <c r="W699" s="22">
        <v>15600</v>
      </c>
      <c r="X699" s="40">
        <v>8090</v>
      </c>
      <c r="Y699" s="40">
        <v>12070</v>
      </c>
      <c r="Z699" s="47">
        <v>6</v>
      </c>
      <c r="AA699" s="47">
        <v>6</v>
      </c>
    </row>
    <row r="700" spans="1:27" ht="15.75" customHeight="1" x14ac:dyDescent="0.3">
      <c r="A700" s="98"/>
      <c r="B700" s="98"/>
      <c r="C700" s="30" t="s">
        <v>128</v>
      </c>
      <c r="D700">
        <v>25494.97</v>
      </c>
      <c r="E700">
        <v>25229.97</v>
      </c>
      <c r="F700">
        <v>25195.65</v>
      </c>
      <c r="G700">
        <v>25129.200000000001</v>
      </c>
      <c r="H700">
        <v>25172.63</v>
      </c>
      <c r="I700">
        <v>25226.71</v>
      </c>
      <c r="J700">
        <v>25158.799999999999</v>
      </c>
      <c r="K700">
        <v>25161.56</v>
      </c>
      <c r="L700">
        <v>25283.48</v>
      </c>
      <c r="M700" s="31"/>
      <c r="N700" s="31"/>
      <c r="O700" s="31"/>
      <c r="P700" s="31"/>
      <c r="Q700" s="31"/>
      <c r="R700" s="32"/>
      <c r="S700" s="33"/>
      <c r="T700" s="56"/>
      <c r="U700" s="16"/>
      <c r="V700" s="48"/>
      <c r="W700" s="48"/>
      <c r="X700" s="49"/>
      <c r="Y700" s="49"/>
      <c r="Z700" s="50"/>
      <c r="AA700" s="50"/>
    </row>
    <row r="701" spans="1:27" ht="16.5" customHeight="1" thickBot="1" x14ac:dyDescent="0.35">
      <c r="A701" s="99"/>
      <c r="B701" s="98"/>
      <c r="C701" s="34" t="s">
        <v>129</v>
      </c>
      <c r="D701" s="35">
        <f>IF(((D699="")*AND(D700="")),"",(D699-D700)*3)</f>
        <v>10923.869999999992</v>
      </c>
      <c r="E701" s="35">
        <f t="shared" ref="E701:L701" si="229">IF(((E699="")*AND(E700="")),"",(E699-E700)*3)</f>
        <v>11470.98</v>
      </c>
      <c r="F701" s="35">
        <f t="shared" si="229"/>
        <v>11536.139999999992</v>
      </c>
      <c r="G701" s="35">
        <f t="shared" si="229"/>
        <v>11703.600000000002</v>
      </c>
      <c r="H701" s="35">
        <f t="shared" si="229"/>
        <v>11776.98</v>
      </c>
      <c r="I701" s="35">
        <f t="shared" si="229"/>
        <v>11670.660000000003</v>
      </c>
      <c r="J701" s="35">
        <f t="shared" si="229"/>
        <v>11607.030000000006</v>
      </c>
      <c r="K701" s="35">
        <f t="shared" si="229"/>
        <v>11676.389999999992</v>
      </c>
      <c r="L701" s="35">
        <f t="shared" si="229"/>
        <v>11586.569999999996</v>
      </c>
      <c r="M701" s="36"/>
      <c r="N701" s="36"/>
      <c r="O701" s="36"/>
      <c r="P701" s="36"/>
      <c r="Q701" s="36"/>
      <c r="R701" s="37"/>
      <c r="S701" s="38"/>
      <c r="T701" s="57"/>
      <c r="U701" s="16"/>
      <c r="V701" s="51"/>
      <c r="W701" s="51"/>
      <c r="X701" s="52"/>
      <c r="Y701" s="52"/>
      <c r="Z701" s="53"/>
      <c r="AA701" s="53"/>
    </row>
    <row r="702" spans="1:27" ht="15.6" x14ac:dyDescent="0.3">
      <c r="A702" s="97">
        <v>43504</v>
      </c>
      <c r="B702" s="117" t="s">
        <v>431</v>
      </c>
      <c r="C702" s="26" t="s">
        <v>126</v>
      </c>
      <c r="D702">
        <v>29167.5</v>
      </c>
      <c r="E702">
        <v>29080.55</v>
      </c>
      <c r="F702">
        <v>29109.61</v>
      </c>
      <c r="G702">
        <v>29133.47</v>
      </c>
      <c r="H702">
        <v>29229.98</v>
      </c>
      <c r="I702">
        <v>29189.23</v>
      </c>
      <c r="J702">
        <v>29106.69</v>
      </c>
      <c r="K702">
        <v>29106.89</v>
      </c>
      <c r="L702">
        <v>29217.56</v>
      </c>
      <c r="M702" s="27">
        <f>IF((L703=""),"",MAX(D704:L704))</f>
        <v>11440.02</v>
      </c>
      <c r="N702" s="27">
        <f>IF(L703="","",MIN(D704:L704))</f>
        <v>10741.620000000003</v>
      </c>
      <c r="O702" s="27">
        <f>IF((L704=""),"",AVERAGE(D704:L704))</f>
        <v>11238.963333333333</v>
      </c>
      <c r="P702" s="27">
        <f>IF((L703=""),"",STDEV(D704:L704))</f>
        <v>223.15062782793194</v>
      </c>
      <c r="Q702" s="27">
        <f>IF((L703=""),"",P702/O702*100)</f>
        <v>1.9855089941088748</v>
      </c>
      <c r="R702" s="28" t="str">
        <f>IF(L703="","",IF(Q702&lt;Z702,IF(N702&gt;V702,IF(M702&lt;W702,"Pass","Fail"),"Fail"),"Fail"))</f>
        <v>Pass</v>
      </c>
      <c r="S702" s="29">
        <v>1335</v>
      </c>
      <c r="T702" s="55"/>
      <c r="U702" s="16"/>
      <c r="V702" s="54">
        <v>10000</v>
      </c>
      <c r="W702" s="22">
        <v>15600</v>
      </c>
      <c r="X702" s="40">
        <v>8090</v>
      </c>
      <c r="Y702" s="40">
        <v>12070</v>
      </c>
      <c r="Z702" s="47">
        <v>6</v>
      </c>
      <c r="AA702" s="47">
        <v>6</v>
      </c>
    </row>
    <row r="703" spans="1:27" ht="15.75" customHeight="1" x14ac:dyDescent="0.3">
      <c r="A703" s="98"/>
      <c r="B703" s="98"/>
      <c r="C703" s="30" t="s">
        <v>128</v>
      </c>
      <c r="D703">
        <v>25586.959999999999</v>
      </c>
      <c r="E703">
        <v>25399.11</v>
      </c>
      <c r="F703">
        <v>25384.44</v>
      </c>
      <c r="G703">
        <v>25329.42</v>
      </c>
      <c r="H703">
        <v>25416.639999999999</v>
      </c>
      <c r="I703">
        <v>25417.65</v>
      </c>
      <c r="J703">
        <v>25337.38</v>
      </c>
      <c r="K703">
        <v>25324.78</v>
      </c>
      <c r="L703">
        <v>25428.21</v>
      </c>
      <c r="M703" s="31"/>
      <c r="N703" s="31"/>
      <c r="O703" s="31"/>
      <c r="P703" s="31"/>
      <c r="Q703" s="31"/>
      <c r="R703" s="32"/>
      <c r="S703" s="33"/>
      <c r="T703" s="56"/>
      <c r="U703" s="16"/>
      <c r="V703" s="48"/>
      <c r="W703" s="48"/>
      <c r="X703" s="49"/>
      <c r="Y703" s="49"/>
      <c r="Z703" s="50"/>
      <c r="AA703" s="50"/>
    </row>
    <row r="704" spans="1:27" ht="16.5" customHeight="1" thickBot="1" x14ac:dyDescent="0.35">
      <c r="A704" s="99"/>
      <c r="B704" s="98"/>
      <c r="C704" s="34" t="s">
        <v>129</v>
      </c>
      <c r="D704" s="35">
        <f>IF(((D702="")*AND(D703="")),"",(D702-D703)*3)</f>
        <v>10741.620000000003</v>
      </c>
      <c r="E704" s="35">
        <f t="shared" ref="E704:L704" si="230">IF(((E702="")*AND(E703="")),"",(E702-E703)*3)</f>
        <v>11044.319999999996</v>
      </c>
      <c r="F704" s="35">
        <f t="shared" si="230"/>
        <v>11175.510000000006</v>
      </c>
      <c r="G704" s="35">
        <f t="shared" si="230"/>
        <v>11412.150000000009</v>
      </c>
      <c r="H704" s="35">
        <f t="shared" si="230"/>
        <v>11440.02</v>
      </c>
      <c r="I704" s="35">
        <f t="shared" si="230"/>
        <v>11314.739999999994</v>
      </c>
      <c r="J704" s="35">
        <f t="shared" si="230"/>
        <v>11307.929999999993</v>
      </c>
      <c r="K704" s="35">
        <f t="shared" si="230"/>
        <v>11346.330000000002</v>
      </c>
      <c r="L704" s="35">
        <f t="shared" si="230"/>
        <v>11368.050000000007</v>
      </c>
      <c r="M704" s="36"/>
      <c r="N704" s="36"/>
      <c r="O704" s="36"/>
      <c r="P704" s="36"/>
      <c r="Q704" s="36"/>
      <c r="R704" s="37"/>
      <c r="S704" s="38"/>
      <c r="T704" s="57"/>
      <c r="U704" s="16"/>
      <c r="V704" s="51"/>
      <c r="W704" s="51"/>
      <c r="X704" s="52"/>
      <c r="Y704" s="52"/>
      <c r="Z704" s="53"/>
      <c r="AA704" s="53"/>
    </row>
    <row r="705" spans="1:27" ht="15.6" x14ac:dyDescent="0.3">
      <c r="A705" s="100">
        <v>43508</v>
      </c>
      <c r="B705" s="117" t="s">
        <v>431</v>
      </c>
      <c r="C705" s="26" t="s">
        <v>126</v>
      </c>
      <c r="D705">
        <v>29127.21</v>
      </c>
      <c r="E705">
        <v>29052.55</v>
      </c>
      <c r="F705">
        <v>29056.63</v>
      </c>
      <c r="G705">
        <v>29056.7</v>
      </c>
      <c r="H705">
        <v>29146.82</v>
      </c>
      <c r="I705">
        <v>29137.77</v>
      </c>
      <c r="J705">
        <v>29040.880000000001</v>
      </c>
      <c r="K705">
        <v>29057.82</v>
      </c>
      <c r="L705">
        <v>29151.52</v>
      </c>
      <c r="M705" s="27">
        <f>IF((L706=""),"",MAX(D707:L707))</f>
        <v>11939.609999999997</v>
      </c>
      <c r="N705" s="27">
        <f>IF(L706="","",MIN(D707:L707))</f>
        <v>11294.819999999996</v>
      </c>
      <c r="O705" s="27">
        <f>IF((L707=""),"",AVERAGE(D707:L707))</f>
        <v>11773.853333333336</v>
      </c>
      <c r="P705" s="27">
        <f>IF((L706=""),"",STDEV(D707:L707))</f>
        <v>191.51232114409979</v>
      </c>
      <c r="Q705" s="27">
        <f>IF((L706=""),"",P705/O705*100)</f>
        <v>1.626590001778798</v>
      </c>
      <c r="R705" s="28" t="str">
        <f>IF(L706="","",IF(Q705&lt;Z705,IF(N705&gt;V705,IF(M705&lt;W705,"Pass","Fail"),"Fail"),"Fail"))</f>
        <v>Pass</v>
      </c>
      <c r="S705" s="29">
        <v>121</v>
      </c>
      <c r="T705" s="55" t="s">
        <v>313</v>
      </c>
      <c r="U705" s="16"/>
      <c r="V705" s="54">
        <v>10000</v>
      </c>
      <c r="W705" s="22">
        <v>15600</v>
      </c>
      <c r="X705" s="40">
        <v>8090</v>
      </c>
      <c r="Y705" s="40">
        <v>12070</v>
      </c>
      <c r="Z705" s="47">
        <v>6</v>
      </c>
      <c r="AA705" s="47">
        <v>6</v>
      </c>
    </row>
    <row r="706" spans="1:27" ht="15.75" customHeight="1" x14ac:dyDescent="0.3">
      <c r="A706" s="98"/>
      <c r="B706" s="98"/>
      <c r="C706" s="30" t="s">
        <v>128</v>
      </c>
      <c r="D706">
        <v>25362.27</v>
      </c>
      <c r="E706">
        <v>25134.05</v>
      </c>
      <c r="F706">
        <v>25142.83</v>
      </c>
      <c r="G706">
        <v>25082.6</v>
      </c>
      <c r="H706">
        <v>25203.01</v>
      </c>
      <c r="I706">
        <v>25205.51</v>
      </c>
      <c r="J706">
        <v>25095.71</v>
      </c>
      <c r="K706">
        <v>25077.95</v>
      </c>
      <c r="L706">
        <v>25202.41</v>
      </c>
      <c r="M706" s="31"/>
      <c r="N706" s="31"/>
      <c r="O706" s="31"/>
      <c r="P706" s="31"/>
      <c r="Q706" s="31"/>
      <c r="R706" s="32"/>
      <c r="S706" s="33"/>
      <c r="T706" s="56"/>
      <c r="U706" s="16"/>
      <c r="V706" s="48"/>
      <c r="W706" s="48"/>
      <c r="X706" s="49"/>
      <c r="Y706" s="49"/>
      <c r="Z706" s="50"/>
      <c r="AA706" s="50"/>
    </row>
    <row r="707" spans="1:27" ht="16.5" customHeight="1" thickBot="1" x14ac:dyDescent="0.35">
      <c r="A707" s="99"/>
      <c r="B707" s="98"/>
      <c r="C707" s="34" t="s">
        <v>129</v>
      </c>
      <c r="D707" s="35">
        <f>IF(((D705="")*AND(D706="")),"",(D705-D706)*3)</f>
        <v>11294.819999999996</v>
      </c>
      <c r="E707" s="35">
        <f t="shared" ref="E707:L707" si="231">IF(((E705="")*AND(E706="")),"",(E705-E706)*3)</f>
        <v>11755.5</v>
      </c>
      <c r="F707" s="35">
        <f t="shared" si="231"/>
        <v>11741.399999999998</v>
      </c>
      <c r="G707" s="35">
        <f t="shared" si="231"/>
        <v>11922.300000000007</v>
      </c>
      <c r="H707" s="35">
        <f t="shared" si="231"/>
        <v>11831.430000000004</v>
      </c>
      <c r="I707" s="35">
        <f t="shared" si="231"/>
        <v>11796.780000000006</v>
      </c>
      <c r="J707" s="35">
        <f t="shared" si="231"/>
        <v>11835.510000000006</v>
      </c>
      <c r="K707" s="35">
        <f t="shared" si="231"/>
        <v>11939.609999999997</v>
      </c>
      <c r="L707" s="35">
        <f t="shared" si="231"/>
        <v>11847.330000000002</v>
      </c>
      <c r="M707" s="36"/>
      <c r="N707" s="36"/>
      <c r="O707" s="36"/>
      <c r="P707" s="36"/>
      <c r="Q707" s="36"/>
      <c r="R707" s="37"/>
      <c r="S707" s="38"/>
      <c r="T707" s="57"/>
      <c r="U707" s="16"/>
      <c r="V707" s="51"/>
      <c r="W707" s="51"/>
      <c r="X707" s="52"/>
      <c r="Y707" s="52"/>
      <c r="Z707" s="53"/>
      <c r="AA707" s="53"/>
    </row>
    <row r="708" spans="1:27" ht="15.6" x14ac:dyDescent="0.3">
      <c r="A708" s="100">
        <v>43514</v>
      </c>
      <c r="B708" s="117" t="s">
        <v>431</v>
      </c>
      <c r="C708" s="26" t="s">
        <v>126</v>
      </c>
      <c r="D708">
        <v>29071.7</v>
      </c>
      <c r="E708">
        <v>28997.53</v>
      </c>
      <c r="F708">
        <v>29025.22</v>
      </c>
      <c r="G708">
        <v>28992.49</v>
      </c>
      <c r="H708">
        <v>29060.84</v>
      </c>
      <c r="I708">
        <v>29061.03</v>
      </c>
      <c r="J708">
        <v>28999.26</v>
      </c>
      <c r="K708">
        <v>28987.38</v>
      </c>
      <c r="L708">
        <v>29067.11</v>
      </c>
      <c r="M708" s="27">
        <f>IF((L709=""),"",MAX(D710:L710))</f>
        <v>10970.52</v>
      </c>
      <c r="N708" s="27">
        <f>IF(L709="","",MIN(D710:L710))</f>
        <v>10497.510000000006</v>
      </c>
      <c r="O708" s="27">
        <f>IF((L710=""),"",AVERAGE(D710:L710))</f>
        <v>10838.47</v>
      </c>
      <c r="P708" s="27">
        <f>IF((L709=""),"",STDEV(D710:L710))</f>
        <v>151.2143839884275</v>
      </c>
      <c r="Q708" s="27">
        <f>IF((L709=""),"",P708/O708*100)</f>
        <v>1.3951635608017323</v>
      </c>
      <c r="R708" s="28" t="str">
        <f>IF(L709="","",IF(Q708&lt;Z708,IF(N708&gt;V708,IF(M708&lt;W708,"Pass","Fail"),"Fail"),"Fail"))</f>
        <v>Pass</v>
      </c>
      <c r="S708" s="29">
        <v>1159</v>
      </c>
      <c r="T708" s="55" t="s">
        <v>314</v>
      </c>
      <c r="U708" s="16"/>
      <c r="V708" s="54">
        <v>10000</v>
      </c>
      <c r="W708" s="22">
        <v>15600</v>
      </c>
      <c r="X708" s="40">
        <v>8090</v>
      </c>
      <c r="Y708" s="40">
        <v>12070</v>
      </c>
      <c r="Z708" s="47">
        <v>6</v>
      </c>
      <c r="AA708" s="47">
        <v>6</v>
      </c>
    </row>
    <row r="709" spans="1:27" ht="15.75" customHeight="1" x14ac:dyDescent="0.3">
      <c r="A709" s="98"/>
      <c r="B709" s="98"/>
      <c r="C709" s="30" t="s">
        <v>128</v>
      </c>
      <c r="D709">
        <v>25572.53</v>
      </c>
      <c r="E709">
        <v>25404.54</v>
      </c>
      <c r="F709">
        <v>25452.06</v>
      </c>
      <c r="G709">
        <v>25363.55</v>
      </c>
      <c r="H709">
        <v>25418.080000000002</v>
      </c>
      <c r="I709">
        <v>25404.19</v>
      </c>
      <c r="J709">
        <v>25364.34</v>
      </c>
      <c r="K709">
        <v>25343.64</v>
      </c>
      <c r="L709">
        <v>25424.22</v>
      </c>
      <c r="M709" s="31"/>
      <c r="N709" s="31"/>
      <c r="O709" s="31"/>
      <c r="P709" s="31"/>
      <c r="Q709" s="31"/>
      <c r="R709" s="32"/>
      <c r="S709" s="33"/>
      <c r="T709" s="56"/>
      <c r="U709" s="16"/>
      <c r="V709" s="48"/>
      <c r="W709" s="48"/>
      <c r="X709" s="49"/>
      <c r="Y709" s="49"/>
      <c r="Z709" s="50"/>
      <c r="AA709" s="50"/>
    </row>
    <row r="710" spans="1:27" ht="16.5" customHeight="1" thickBot="1" x14ac:dyDescent="0.35">
      <c r="A710" s="99"/>
      <c r="B710" s="98"/>
      <c r="C710" s="34" t="s">
        <v>129</v>
      </c>
      <c r="D710" s="35">
        <f>IF(((D708="")*AND(D709="")),"",(D708-D709)*3)</f>
        <v>10497.510000000006</v>
      </c>
      <c r="E710" s="35">
        <f t="shared" ref="E710:L710" si="232">IF(((E708="")*AND(E709="")),"",(E708-E709)*3)</f>
        <v>10778.969999999994</v>
      </c>
      <c r="F710" s="35">
        <f t="shared" si="232"/>
        <v>10719.48</v>
      </c>
      <c r="G710" s="35">
        <f t="shared" si="232"/>
        <v>10886.820000000007</v>
      </c>
      <c r="H710" s="35">
        <f t="shared" si="232"/>
        <v>10928.279999999995</v>
      </c>
      <c r="I710" s="35">
        <f t="shared" si="232"/>
        <v>10970.52</v>
      </c>
      <c r="J710" s="35">
        <f t="shared" si="232"/>
        <v>10904.759999999995</v>
      </c>
      <c r="K710" s="35">
        <f t="shared" si="232"/>
        <v>10931.220000000005</v>
      </c>
      <c r="L710" s="35">
        <f t="shared" si="232"/>
        <v>10928.669999999998</v>
      </c>
      <c r="M710" s="36"/>
      <c r="N710" s="36"/>
      <c r="O710" s="36"/>
      <c r="P710" s="36"/>
      <c r="Q710" s="36"/>
      <c r="R710" s="37"/>
      <c r="S710" s="38"/>
      <c r="T710" s="57"/>
      <c r="U710" s="16"/>
      <c r="V710" s="51"/>
      <c r="W710" s="51"/>
      <c r="X710" s="52"/>
      <c r="Y710" s="52"/>
      <c r="Z710" s="53"/>
      <c r="AA710" s="53"/>
    </row>
    <row r="711" spans="1:27" ht="15.6" x14ac:dyDescent="0.3">
      <c r="A711" s="100">
        <v>43517</v>
      </c>
      <c r="B711" s="117" t="s">
        <v>431</v>
      </c>
      <c r="C711" s="26" t="s">
        <v>126</v>
      </c>
      <c r="D711">
        <v>29124.01</v>
      </c>
      <c r="E711">
        <v>29065.97</v>
      </c>
      <c r="F711">
        <v>29123.22</v>
      </c>
      <c r="G711">
        <v>29071.63</v>
      </c>
      <c r="H711">
        <v>29118.44</v>
      </c>
      <c r="I711">
        <v>29119.1</v>
      </c>
      <c r="J711">
        <v>29070.52</v>
      </c>
      <c r="K711">
        <v>29059.7</v>
      </c>
      <c r="L711">
        <v>29115.57</v>
      </c>
      <c r="M711" s="27">
        <f>IF((L712=""),"",MAX(D713:L713))</f>
        <v>12386.699999999993</v>
      </c>
      <c r="N711" s="27">
        <f>IF(L712="","",MIN(D713:L713))</f>
        <v>11608.949999999993</v>
      </c>
      <c r="O711" s="27">
        <f>IF((L713=""),"",AVERAGE(D713:L713))</f>
        <v>12156.143333333333</v>
      </c>
      <c r="P711" s="27">
        <f>IF((L712=""),"",STDEV(D713:L713))</f>
        <v>232.85698373679972</v>
      </c>
      <c r="Q711" s="27">
        <f>IF((L712=""),"",P711/O711*100)</f>
        <v>1.9155498364212531</v>
      </c>
      <c r="R711" s="28" t="str">
        <f>IF(L712="","",IF(Q711&lt;Z711,IF(N711&gt;V711,IF(M711&lt;W711,"Pass","Fail"),"Fail"),"Fail"))</f>
        <v>Pass</v>
      </c>
      <c r="S711" s="29">
        <v>1159</v>
      </c>
      <c r="T711" s="55" t="s">
        <v>315</v>
      </c>
      <c r="U711" s="16"/>
      <c r="V711" s="54">
        <v>10000</v>
      </c>
      <c r="W711" s="22">
        <v>15600</v>
      </c>
      <c r="X711" s="40">
        <v>8090</v>
      </c>
      <c r="Y711" s="40">
        <v>12070</v>
      </c>
      <c r="Z711" s="47">
        <v>6</v>
      </c>
      <c r="AA711" s="47">
        <v>6</v>
      </c>
    </row>
    <row r="712" spans="1:27" ht="15.75" customHeight="1" x14ac:dyDescent="0.3">
      <c r="A712" s="98"/>
      <c r="B712" s="98"/>
      <c r="C712" s="30" t="s">
        <v>128</v>
      </c>
      <c r="D712">
        <v>25254.36</v>
      </c>
      <c r="E712">
        <v>25048.11</v>
      </c>
      <c r="F712">
        <v>25103.8</v>
      </c>
      <c r="G712">
        <v>24965.99</v>
      </c>
      <c r="H712">
        <v>24989.54</v>
      </c>
      <c r="I712">
        <v>25022.98</v>
      </c>
      <c r="J712">
        <v>24991.35</v>
      </c>
      <c r="K712">
        <v>24976.54</v>
      </c>
      <c r="L712">
        <v>25047.06</v>
      </c>
      <c r="M712" s="31"/>
      <c r="N712" s="31"/>
      <c r="O712" s="31"/>
      <c r="P712" s="31"/>
      <c r="Q712" s="31"/>
      <c r="R712" s="32"/>
      <c r="S712" s="33"/>
      <c r="T712" s="56"/>
      <c r="U712" s="16"/>
      <c r="V712" s="48"/>
      <c r="W712" s="48"/>
      <c r="X712" s="49"/>
      <c r="Y712" s="49"/>
      <c r="Z712" s="50"/>
      <c r="AA712" s="50"/>
    </row>
    <row r="713" spans="1:27" ht="16.5" customHeight="1" thickBot="1" x14ac:dyDescent="0.35">
      <c r="A713" s="99"/>
      <c r="B713" s="98"/>
      <c r="C713" s="34" t="s">
        <v>129</v>
      </c>
      <c r="D713" s="35">
        <f>IF(((D711="")*AND(D712="")),"",(D711-D712)*3)</f>
        <v>11608.949999999993</v>
      </c>
      <c r="E713" s="35">
        <f t="shared" ref="E713:L713" si="233">IF(((E711="")*AND(E712="")),"",(E711-E712)*3)</f>
        <v>12053.580000000002</v>
      </c>
      <c r="F713" s="35">
        <f t="shared" si="233"/>
        <v>12058.260000000006</v>
      </c>
      <c r="G713" s="35">
        <f t="shared" si="233"/>
        <v>12316.919999999998</v>
      </c>
      <c r="H713" s="35">
        <f t="shared" si="233"/>
        <v>12386.699999999993</v>
      </c>
      <c r="I713" s="35">
        <f t="shared" si="233"/>
        <v>12288.359999999997</v>
      </c>
      <c r="J713" s="35">
        <f t="shared" si="233"/>
        <v>12237.510000000006</v>
      </c>
      <c r="K713" s="35">
        <f t="shared" si="233"/>
        <v>12249.48</v>
      </c>
      <c r="L713" s="35">
        <f t="shared" si="233"/>
        <v>12205.529999999995</v>
      </c>
      <c r="M713" s="36"/>
      <c r="N713" s="36"/>
      <c r="O713" s="36"/>
      <c r="P713" s="36"/>
      <c r="Q713" s="36"/>
      <c r="R713" s="37"/>
      <c r="S713" s="38"/>
      <c r="T713" s="57"/>
      <c r="U713" s="16"/>
      <c r="V713" s="51"/>
      <c r="W713" s="51"/>
      <c r="X713" s="52"/>
      <c r="Y713" s="52"/>
      <c r="Z713" s="53"/>
      <c r="AA713" s="53"/>
    </row>
    <row r="714" spans="1:27" ht="15.6" x14ac:dyDescent="0.3">
      <c r="A714" s="100">
        <v>43521</v>
      </c>
      <c r="B714" s="117" t="s">
        <v>431</v>
      </c>
      <c r="C714" s="26" t="s">
        <v>126</v>
      </c>
      <c r="D714">
        <v>29083.360000000001</v>
      </c>
      <c r="E714">
        <v>29036.89</v>
      </c>
      <c r="F714">
        <v>29069.67</v>
      </c>
      <c r="G714">
        <v>29041.73</v>
      </c>
      <c r="H714">
        <v>29095.62</v>
      </c>
      <c r="I714">
        <v>29114.27</v>
      </c>
      <c r="J714">
        <v>29040.26</v>
      </c>
      <c r="K714">
        <v>29030.799999999999</v>
      </c>
      <c r="L714">
        <v>29086.68</v>
      </c>
      <c r="M714" s="27">
        <f>IF((L715=""),"",MAX(D716:L716))</f>
        <v>11734.199999999993</v>
      </c>
      <c r="N714" s="27">
        <f>IF(L715="","",MIN(D716:L716))</f>
        <v>10964.189999999999</v>
      </c>
      <c r="O714" s="27">
        <f>IF((L716=""),"",AVERAGE(D716:L716))</f>
        <v>11509.096666666666</v>
      </c>
      <c r="P714" s="27">
        <f>IF((L715=""),"",STDEV(D716:L716))</f>
        <v>230.92181929172435</v>
      </c>
      <c r="Q714" s="27">
        <f>IF((L715=""),"",P714/O714*100)</f>
        <v>2.0064287057431183</v>
      </c>
      <c r="R714" s="28" t="str">
        <f>IF(L715="","",IF(Q714&lt;Z714,IF(N714&gt;V714,IF(M714&lt;W714,"Pass","Fail"),"Fail"),"Fail"))</f>
        <v>Pass</v>
      </c>
      <c r="S714" s="29" t="s">
        <v>316</v>
      </c>
      <c r="T714" s="55" t="s">
        <v>317</v>
      </c>
      <c r="U714" s="16"/>
      <c r="V714" s="54">
        <v>10000</v>
      </c>
      <c r="W714" s="22">
        <v>15600</v>
      </c>
      <c r="X714" s="40">
        <v>8090</v>
      </c>
      <c r="Y714" s="40">
        <v>12070</v>
      </c>
      <c r="Z714" s="47">
        <v>6</v>
      </c>
      <c r="AA714" s="47">
        <v>6</v>
      </c>
    </row>
    <row r="715" spans="1:27" ht="15.75" customHeight="1" x14ac:dyDescent="0.3">
      <c r="A715" s="98"/>
      <c r="B715" s="98"/>
      <c r="C715" s="30" t="s">
        <v>128</v>
      </c>
      <c r="D715">
        <v>25428.63</v>
      </c>
      <c r="E715">
        <v>25239.96</v>
      </c>
      <c r="F715">
        <v>25260.01</v>
      </c>
      <c r="G715">
        <v>25156.91</v>
      </c>
      <c r="H715">
        <v>25184.22</v>
      </c>
      <c r="I715">
        <v>25237.47</v>
      </c>
      <c r="J715">
        <v>25186.82</v>
      </c>
      <c r="K715">
        <v>25162.76</v>
      </c>
      <c r="L715">
        <v>25215.21</v>
      </c>
      <c r="M715" s="31"/>
      <c r="N715" s="31"/>
      <c r="O715" s="31"/>
      <c r="P715" s="31"/>
      <c r="Q715" s="31"/>
      <c r="R715" s="32"/>
      <c r="S715" s="33"/>
      <c r="T715" s="56"/>
      <c r="U715" s="16"/>
      <c r="V715" s="48"/>
      <c r="W715" s="48"/>
      <c r="X715" s="49"/>
      <c r="Y715" s="49"/>
      <c r="Z715" s="50"/>
      <c r="AA715" s="50"/>
    </row>
    <row r="716" spans="1:27" ht="16.5" customHeight="1" thickBot="1" x14ac:dyDescent="0.35">
      <c r="A716" s="99"/>
      <c r="B716" s="98"/>
      <c r="C716" s="34" t="s">
        <v>129</v>
      </c>
      <c r="D716" s="35">
        <f>IF(((D714="")*AND(D715="")),"",(D714-D715)*3)</f>
        <v>10964.189999999999</v>
      </c>
      <c r="E716" s="35">
        <f t="shared" ref="E716:L716" si="234">IF(((E714="")*AND(E715="")),"",(E714-E715)*3)</f>
        <v>11390.79</v>
      </c>
      <c r="F716" s="35">
        <f t="shared" si="234"/>
        <v>11428.98</v>
      </c>
      <c r="G716" s="35">
        <f t="shared" si="234"/>
        <v>11654.46</v>
      </c>
      <c r="H716" s="35">
        <f t="shared" si="234"/>
        <v>11734.199999999993</v>
      </c>
      <c r="I716" s="35">
        <f t="shared" si="234"/>
        <v>11630.399999999998</v>
      </c>
      <c r="J716" s="35">
        <f t="shared" si="234"/>
        <v>11560.319999999996</v>
      </c>
      <c r="K716" s="35">
        <f t="shared" si="234"/>
        <v>11604.120000000003</v>
      </c>
      <c r="L716" s="35">
        <f t="shared" si="234"/>
        <v>11614.410000000003</v>
      </c>
      <c r="M716" s="36"/>
      <c r="N716" s="36"/>
      <c r="O716" s="36"/>
      <c r="P716" s="36"/>
      <c r="Q716" s="36"/>
      <c r="R716" s="37"/>
      <c r="S716" s="38"/>
      <c r="T716" s="57"/>
      <c r="U716" s="16"/>
      <c r="V716" s="51"/>
      <c r="W716" s="51"/>
      <c r="X716" s="52"/>
      <c r="Y716" s="52"/>
      <c r="Z716" s="53"/>
      <c r="AA716" s="53"/>
    </row>
    <row r="717" spans="1:27" ht="15.6" x14ac:dyDescent="0.3">
      <c r="A717" s="100">
        <v>43524</v>
      </c>
      <c r="B717" s="117" t="s">
        <v>431</v>
      </c>
      <c r="C717" s="26" t="s">
        <v>126</v>
      </c>
      <c r="D717">
        <v>29108.799999999999</v>
      </c>
      <c r="E717">
        <v>29017.08</v>
      </c>
      <c r="F717">
        <v>29025.31</v>
      </c>
      <c r="G717">
        <v>29020.82</v>
      </c>
      <c r="H717">
        <v>29108.05</v>
      </c>
      <c r="I717">
        <v>29068.16</v>
      </c>
      <c r="J717">
        <v>29002.3</v>
      </c>
      <c r="K717">
        <v>29026.1</v>
      </c>
      <c r="L717">
        <v>29109.91</v>
      </c>
      <c r="M717" s="27">
        <f>IF((L718=""),"",MAX(D719:L719))</f>
        <v>11905.29</v>
      </c>
      <c r="N717" s="27">
        <f>IF(L718="","",MIN(D719:L719))</f>
        <v>11063.879999999997</v>
      </c>
      <c r="O717" s="27">
        <f>IF((L719=""),"",AVERAGE(D719:L719))</f>
        <v>11679.006666666666</v>
      </c>
      <c r="P717" s="27">
        <f>IF((L718=""),"",STDEV(D719:L719))</f>
        <v>259.75232636109354</v>
      </c>
      <c r="Q717" s="27">
        <f>IF((L718=""),"",P717/O717*100)</f>
        <v>2.2240960534979304</v>
      </c>
      <c r="R717" s="28" t="str">
        <f>IF(L718="","",IF(Q717&lt;Z717,IF(N717&gt;V717,IF(M717&lt;W717,"Pass","Fail"),"Fail"),"Fail"))</f>
        <v>Pass</v>
      </c>
      <c r="S717" s="29" t="s">
        <v>318</v>
      </c>
      <c r="T717" s="55" t="s">
        <v>319</v>
      </c>
      <c r="U717" s="16"/>
      <c r="V717" s="54">
        <v>10000</v>
      </c>
      <c r="W717" s="22">
        <v>15600</v>
      </c>
      <c r="X717" s="40">
        <v>8090</v>
      </c>
      <c r="Y717" s="40">
        <v>12070</v>
      </c>
      <c r="Z717" s="47">
        <v>6</v>
      </c>
      <c r="AA717" s="47">
        <v>6</v>
      </c>
    </row>
    <row r="718" spans="1:27" ht="15.75" customHeight="1" x14ac:dyDescent="0.3">
      <c r="A718" s="98"/>
      <c r="B718" s="98"/>
      <c r="C718" s="30" t="s">
        <v>128</v>
      </c>
      <c r="D718">
        <v>25420.84</v>
      </c>
      <c r="E718">
        <v>25148.66</v>
      </c>
      <c r="F718">
        <v>25165.38</v>
      </c>
      <c r="G718">
        <v>25052.39</v>
      </c>
      <c r="H718">
        <v>25153.43</v>
      </c>
      <c r="I718">
        <v>25177.78</v>
      </c>
      <c r="J718">
        <v>25087.02</v>
      </c>
      <c r="K718">
        <v>25062.39</v>
      </c>
      <c r="L718">
        <v>25181.62</v>
      </c>
      <c r="M718" s="31"/>
      <c r="N718" s="31"/>
      <c r="O718" s="31"/>
      <c r="P718" s="31"/>
      <c r="Q718" s="31"/>
      <c r="R718" s="32"/>
      <c r="S718" s="33"/>
      <c r="T718" s="56"/>
      <c r="U718" s="16"/>
      <c r="V718" s="48"/>
      <c r="W718" s="48"/>
      <c r="X718" s="49"/>
      <c r="Y718" s="49"/>
      <c r="Z718" s="50"/>
      <c r="AA718" s="50"/>
    </row>
    <row r="719" spans="1:27" ht="16.5" customHeight="1" thickBot="1" x14ac:dyDescent="0.35">
      <c r="A719" s="99"/>
      <c r="B719" s="98"/>
      <c r="C719" s="34" t="s">
        <v>129</v>
      </c>
      <c r="D719" s="35">
        <f>IF(((D717="")*AND(D718="")),"",(D717-D718)*3)</f>
        <v>11063.879999999997</v>
      </c>
      <c r="E719" s="35">
        <f t="shared" ref="E719:L719" si="235">IF(((E717="")*AND(E718="")),"",(E717-E718)*3)</f>
        <v>11605.260000000006</v>
      </c>
      <c r="F719" s="35">
        <f t="shared" si="235"/>
        <v>11579.79</v>
      </c>
      <c r="G719" s="35">
        <f t="shared" si="235"/>
        <v>11905.29</v>
      </c>
      <c r="H719" s="35">
        <f t="shared" si="235"/>
        <v>11863.859999999997</v>
      </c>
      <c r="I719" s="35">
        <f t="shared" si="235"/>
        <v>11671.140000000003</v>
      </c>
      <c r="J719" s="35">
        <f t="shared" si="235"/>
        <v>11745.839999999997</v>
      </c>
      <c r="K719" s="35">
        <f t="shared" si="235"/>
        <v>11891.129999999997</v>
      </c>
      <c r="L719" s="35">
        <f t="shared" si="235"/>
        <v>11784.870000000003</v>
      </c>
      <c r="M719" s="36"/>
      <c r="N719" s="36"/>
      <c r="O719" s="36"/>
      <c r="P719" s="36"/>
      <c r="Q719" s="36"/>
      <c r="R719" s="37"/>
      <c r="S719" s="38"/>
      <c r="T719" s="57"/>
      <c r="U719" s="16"/>
      <c r="V719" s="51"/>
      <c r="W719" s="51"/>
      <c r="X719" s="52"/>
      <c r="Y719" s="52"/>
      <c r="Z719" s="53"/>
      <c r="AA719" s="53"/>
    </row>
    <row r="720" spans="1:27" ht="15.6" x14ac:dyDescent="0.3">
      <c r="A720" s="100">
        <v>43528</v>
      </c>
      <c r="B720" s="117" t="s">
        <v>431</v>
      </c>
      <c r="C720" s="26" t="s">
        <v>126</v>
      </c>
      <c r="D720">
        <v>29027.54</v>
      </c>
      <c r="E720">
        <v>28943.19</v>
      </c>
      <c r="F720">
        <v>28990.97</v>
      </c>
      <c r="G720">
        <v>28923.599999999999</v>
      </c>
      <c r="H720">
        <v>28973.83</v>
      </c>
      <c r="I720">
        <v>28971.1</v>
      </c>
      <c r="J720">
        <v>28915.96</v>
      </c>
      <c r="K720">
        <v>28930.46</v>
      </c>
      <c r="L720">
        <v>29022.47</v>
      </c>
      <c r="M720" s="27">
        <f>IF((L721=""),"",MAX(D722:L722))</f>
        <v>12219.900000000009</v>
      </c>
      <c r="N720" s="27">
        <f>IF(L721="","",MIN(D722:L722))</f>
        <v>11346.030000000006</v>
      </c>
      <c r="O720" s="27">
        <f>IF((L722=""),"",AVERAGE(D722:L722))</f>
        <v>12022.393333333333</v>
      </c>
      <c r="P720" s="27">
        <f>IF((L721=""),"",STDEV(D722:L722))</f>
        <v>271.23640247024184</v>
      </c>
      <c r="Q720" s="27">
        <f>IF((L721=""),"",P720/O720*100)</f>
        <v>2.256093233268377</v>
      </c>
      <c r="R720" s="28" t="str">
        <f>IF(L721="","",IF(Q720&lt;Z720,IF(N720&gt;V720,IF(M720&lt;W720,"Pass","Fail"),"Fail"),"Fail"))</f>
        <v>Pass</v>
      </c>
      <c r="S720" s="29">
        <v>1159</v>
      </c>
      <c r="T720" s="55" t="s">
        <v>320</v>
      </c>
      <c r="U720" s="16"/>
      <c r="V720" s="54">
        <v>10000</v>
      </c>
      <c r="W720" s="22">
        <v>15600</v>
      </c>
      <c r="X720" s="40">
        <v>8090</v>
      </c>
      <c r="Y720" s="40">
        <v>12070</v>
      </c>
      <c r="Z720" s="47">
        <v>6</v>
      </c>
      <c r="AA720" s="47">
        <v>6</v>
      </c>
    </row>
    <row r="721" spans="1:27" ht="15.75" customHeight="1" x14ac:dyDescent="0.3">
      <c r="A721" s="100"/>
      <c r="B721" s="113"/>
      <c r="C721" s="30" t="s">
        <v>128</v>
      </c>
      <c r="D721">
        <v>25245.53</v>
      </c>
      <c r="E721">
        <v>24970.7</v>
      </c>
      <c r="F721">
        <v>24993.66</v>
      </c>
      <c r="G721">
        <v>24857.7</v>
      </c>
      <c r="H721">
        <v>24900.53</v>
      </c>
      <c r="I721">
        <v>24920.81</v>
      </c>
      <c r="J721">
        <v>24881.19</v>
      </c>
      <c r="K721">
        <v>24882.86</v>
      </c>
      <c r="L721">
        <v>24978.959999999999</v>
      </c>
      <c r="M721" s="31"/>
      <c r="N721" s="31"/>
      <c r="O721" s="31"/>
      <c r="P721" s="31"/>
      <c r="Q721" s="31"/>
      <c r="R721" s="32"/>
      <c r="S721" s="33"/>
      <c r="T721" s="56"/>
      <c r="U721" s="16"/>
      <c r="V721" s="48"/>
      <c r="W721" s="48"/>
      <c r="X721" s="49"/>
      <c r="Y721" s="49"/>
      <c r="Z721" s="50"/>
      <c r="AA721" s="50"/>
    </row>
    <row r="722" spans="1:27" ht="16.5" customHeight="1" thickBot="1" x14ac:dyDescent="0.35">
      <c r="A722" s="100"/>
      <c r="B722" s="114"/>
      <c r="C722" s="34" t="s">
        <v>129</v>
      </c>
      <c r="D722" s="35">
        <f>IF(((D720="")*AND(D721="")),"",(D720-D721)*3)</f>
        <v>11346.030000000006</v>
      </c>
      <c r="E722" s="35">
        <f t="shared" ref="E722:L722" si="236">IF(((E720="")*AND(E721="")),"",(E720-E721)*3)</f>
        <v>11917.469999999994</v>
      </c>
      <c r="F722" s="35">
        <f t="shared" si="236"/>
        <v>11991.930000000004</v>
      </c>
      <c r="G722" s="35">
        <f t="shared" si="236"/>
        <v>12197.699999999993</v>
      </c>
      <c r="H722" s="35">
        <f t="shared" si="236"/>
        <v>12219.900000000009</v>
      </c>
      <c r="I722" s="35">
        <f t="shared" si="236"/>
        <v>12150.869999999992</v>
      </c>
      <c r="J722" s="35">
        <f t="shared" si="236"/>
        <v>12104.310000000001</v>
      </c>
      <c r="K722" s="35">
        <f t="shared" si="236"/>
        <v>12142.799999999996</v>
      </c>
      <c r="L722" s="35">
        <f t="shared" si="236"/>
        <v>12130.530000000006</v>
      </c>
      <c r="M722" s="36"/>
      <c r="N722" s="36"/>
      <c r="O722" s="36"/>
      <c r="P722" s="36"/>
      <c r="Q722" s="36"/>
      <c r="R722" s="37"/>
      <c r="S722" s="38"/>
      <c r="T722" s="57"/>
      <c r="U722" s="16"/>
      <c r="V722" s="51"/>
      <c r="W722" s="51"/>
      <c r="X722" s="52"/>
      <c r="Y722" s="52"/>
      <c r="Z722" s="53"/>
      <c r="AA722" s="53"/>
    </row>
    <row r="723" spans="1:27" ht="15.6" x14ac:dyDescent="0.3">
      <c r="A723" s="100">
        <v>43531</v>
      </c>
      <c r="B723" s="117" t="s">
        <v>431</v>
      </c>
      <c r="C723" s="26" t="s">
        <v>126</v>
      </c>
      <c r="D723">
        <v>29005.87</v>
      </c>
      <c r="E723">
        <v>28942.63</v>
      </c>
      <c r="F723">
        <v>28969.8</v>
      </c>
      <c r="G723">
        <v>28927.48</v>
      </c>
      <c r="H723">
        <v>28998.03</v>
      </c>
      <c r="I723">
        <v>28973.9</v>
      </c>
      <c r="J723">
        <v>28935.37</v>
      </c>
      <c r="K723">
        <v>28922.15</v>
      </c>
      <c r="L723">
        <v>29011.54</v>
      </c>
      <c r="M723" s="27">
        <f>IF((L724=""),"",MAX(D725:L725))</f>
        <v>12579.48</v>
      </c>
      <c r="N723" s="27">
        <f>IF(L724="","",MIN(D725:L725))</f>
        <v>11602.919999999998</v>
      </c>
      <c r="O723" s="27">
        <f>IF((L725=""),"",AVERAGE(D725:L725))</f>
        <v>12338.943333333333</v>
      </c>
      <c r="P723" s="27">
        <f>IF((L724=""),"",STDEV(D725:L725))</f>
        <v>294.96125652363276</v>
      </c>
      <c r="Q723" s="27">
        <f>IF((L724=""),"",P723/O723*100)</f>
        <v>2.3904904055017631</v>
      </c>
      <c r="R723" s="28" t="str">
        <f>IF(L724="","",IF(Q723&lt;Z723,IF(N723&gt;V723,IF(M723&lt;W723,"Pass","Fail"),"Fail"),"Fail"))</f>
        <v>Pass</v>
      </c>
      <c r="S723" s="29" t="s">
        <v>287</v>
      </c>
      <c r="T723" s="55"/>
      <c r="U723" s="16"/>
      <c r="V723" s="54">
        <v>10000</v>
      </c>
      <c r="W723" s="22">
        <v>15600</v>
      </c>
      <c r="X723" s="40">
        <v>8090</v>
      </c>
      <c r="Y723" s="40">
        <v>12070</v>
      </c>
      <c r="Z723" s="47">
        <v>6</v>
      </c>
      <c r="AA723" s="47">
        <v>6</v>
      </c>
    </row>
    <row r="724" spans="1:27" ht="15.75" customHeight="1" x14ac:dyDescent="0.3">
      <c r="A724" s="100"/>
      <c r="B724" s="113"/>
      <c r="C724" s="30" t="s">
        <v>128</v>
      </c>
      <c r="D724">
        <v>25138.23</v>
      </c>
      <c r="E724">
        <v>24857.22</v>
      </c>
      <c r="F724">
        <v>24853.55</v>
      </c>
      <c r="G724">
        <v>24745.71</v>
      </c>
      <c r="H724">
        <v>24804.87</v>
      </c>
      <c r="I724">
        <v>24815.34</v>
      </c>
      <c r="J724">
        <v>24780.560000000001</v>
      </c>
      <c r="K724">
        <v>24772.15</v>
      </c>
      <c r="L724">
        <v>24902.31</v>
      </c>
      <c r="M724" s="31"/>
      <c r="N724" s="31"/>
      <c r="O724" s="31"/>
      <c r="P724" s="31"/>
      <c r="Q724" s="31"/>
      <c r="R724" s="32"/>
      <c r="S724" s="33"/>
      <c r="T724" s="56"/>
      <c r="U724" s="16"/>
      <c r="V724" s="48"/>
      <c r="W724" s="48"/>
      <c r="X724" s="49"/>
      <c r="Y724" s="49"/>
      <c r="Z724" s="50"/>
      <c r="AA724" s="50"/>
    </row>
    <row r="725" spans="1:27" ht="16.5" customHeight="1" thickBot="1" x14ac:dyDescent="0.35">
      <c r="A725" s="100"/>
      <c r="B725" s="114"/>
      <c r="C725" s="34" t="s">
        <v>129</v>
      </c>
      <c r="D725" s="35">
        <f>IF(((D723="")*AND(D724="")),"",(D723-D724)*3)</f>
        <v>11602.919999999998</v>
      </c>
      <c r="E725" s="35">
        <f t="shared" ref="E725:L725" si="237">IF(((E723="")*AND(E724="")),"",(E723-E724)*3)</f>
        <v>12256.23</v>
      </c>
      <c r="F725" s="35">
        <f t="shared" si="237"/>
        <v>12348.75</v>
      </c>
      <c r="G725" s="35">
        <f t="shared" si="237"/>
        <v>12545.310000000001</v>
      </c>
      <c r="H725" s="35">
        <f t="shared" si="237"/>
        <v>12579.48</v>
      </c>
      <c r="I725" s="35">
        <f t="shared" si="237"/>
        <v>12475.680000000004</v>
      </c>
      <c r="J725" s="35">
        <f t="shared" si="237"/>
        <v>12464.429999999993</v>
      </c>
      <c r="K725" s="35">
        <f t="shared" si="237"/>
        <v>12450</v>
      </c>
      <c r="L725" s="35">
        <f t="shared" si="237"/>
        <v>12327.689999999999</v>
      </c>
      <c r="M725" s="36"/>
      <c r="N725" s="36"/>
      <c r="O725" s="36"/>
      <c r="P725" s="36"/>
      <c r="Q725" s="36"/>
      <c r="R725" s="37"/>
      <c r="S725" s="38"/>
      <c r="T725" s="57"/>
      <c r="U725" s="16"/>
      <c r="V725" s="51"/>
      <c r="W725" s="51"/>
      <c r="X725" s="52"/>
      <c r="Y725" s="52"/>
      <c r="Z725" s="53"/>
      <c r="AA725" s="53"/>
    </row>
    <row r="726" spans="1:27" ht="15.6" x14ac:dyDescent="0.3">
      <c r="A726" s="100">
        <v>43535</v>
      </c>
      <c r="B726" s="117" t="s">
        <v>431</v>
      </c>
      <c r="C726" s="26" t="s">
        <v>126</v>
      </c>
      <c r="D726">
        <v>29034.639999999999</v>
      </c>
      <c r="E726">
        <v>28947.68</v>
      </c>
      <c r="F726">
        <v>28930.86</v>
      </c>
      <c r="G726">
        <v>28946.68</v>
      </c>
      <c r="H726">
        <v>29072</v>
      </c>
      <c r="I726">
        <v>29094.240000000002</v>
      </c>
      <c r="J726">
        <v>28931.51</v>
      </c>
      <c r="K726">
        <v>28936.13</v>
      </c>
      <c r="L726">
        <v>29045.62</v>
      </c>
      <c r="M726" s="27">
        <f>IF((L727=""),"",MAX(D728:L728))</f>
        <v>12153.720000000005</v>
      </c>
      <c r="N726" s="27">
        <f>IF(L727="","",MIN(D728:L728))</f>
        <v>11527.140000000003</v>
      </c>
      <c r="O726" s="27">
        <f>IF((L728=""),"",AVERAGE(D728:L728))</f>
        <v>11928.416666666664</v>
      </c>
      <c r="P726" s="27">
        <f>IF((L727=""),"",STDEV(D728:L728))</f>
        <v>195.60096708605462</v>
      </c>
      <c r="Q726" s="27">
        <f>IF((L727=""),"",P726/O726*100)</f>
        <v>1.6397898610689152</v>
      </c>
      <c r="R726" s="28" t="str">
        <f>IF(L727="","",IF(Q726&lt;Z726,IF(N726&gt;V726,IF(M726&lt;W726,"Pass","Fail"),"Fail"),"Fail"))</f>
        <v>Pass</v>
      </c>
      <c r="S726" s="29">
        <v>74</v>
      </c>
      <c r="T726" s="55"/>
      <c r="U726" s="16"/>
      <c r="V726" s="54">
        <v>10000</v>
      </c>
      <c r="W726" s="22">
        <v>15600</v>
      </c>
      <c r="X726" s="40">
        <v>8090</v>
      </c>
      <c r="Y726" s="40">
        <v>12070</v>
      </c>
      <c r="Z726" s="47">
        <v>6</v>
      </c>
      <c r="AA726" s="47">
        <v>6</v>
      </c>
    </row>
    <row r="727" spans="1:27" ht="15.75" customHeight="1" x14ac:dyDescent="0.3">
      <c r="A727" s="100"/>
      <c r="B727" s="113"/>
      <c r="C727" s="30" t="s">
        <v>128</v>
      </c>
      <c r="D727">
        <v>25192.26</v>
      </c>
      <c r="E727">
        <v>25013.49</v>
      </c>
      <c r="F727">
        <v>25000.61</v>
      </c>
      <c r="G727">
        <v>24907.08</v>
      </c>
      <c r="H727">
        <v>25020.76</v>
      </c>
      <c r="I727">
        <v>25109.86</v>
      </c>
      <c r="J727">
        <v>24944.65</v>
      </c>
      <c r="K727">
        <v>24914.75</v>
      </c>
      <c r="L727">
        <v>25050.65</v>
      </c>
      <c r="M727" s="31"/>
      <c r="N727" s="31"/>
      <c r="O727" s="31"/>
      <c r="P727" s="31"/>
      <c r="Q727" s="31"/>
      <c r="R727" s="32"/>
      <c r="S727" s="33"/>
      <c r="T727" s="56"/>
      <c r="U727" s="16"/>
      <c r="V727" s="48"/>
      <c r="W727" s="48"/>
      <c r="X727" s="49"/>
      <c r="Y727" s="49"/>
      <c r="Z727" s="50"/>
      <c r="AA727" s="50"/>
    </row>
    <row r="728" spans="1:27" ht="16.5" customHeight="1" thickBot="1" x14ac:dyDescent="0.35">
      <c r="A728" s="100"/>
      <c r="B728" s="114"/>
      <c r="C728" s="34" t="s">
        <v>129</v>
      </c>
      <c r="D728" s="35">
        <f>IF(((D726="")*AND(D727="")),"",(D726-D727)*3)</f>
        <v>11527.140000000003</v>
      </c>
      <c r="E728" s="35">
        <f t="shared" ref="E728:L728" si="238">IF(((E726="")*AND(E727="")),"",(E726-E727)*3)</f>
        <v>11802.569999999996</v>
      </c>
      <c r="F728" s="35">
        <f t="shared" si="238"/>
        <v>11790.75</v>
      </c>
      <c r="G728" s="35">
        <f t="shared" si="238"/>
        <v>12118.799999999996</v>
      </c>
      <c r="H728" s="35">
        <f t="shared" si="238"/>
        <v>12153.720000000005</v>
      </c>
      <c r="I728" s="35">
        <f t="shared" si="238"/>
        <v>11953.140000000003</v>
      </c>
      <c r="J728" s="35">
        <f t="shared" si="238"/>
        <v>11960.579999999991</v>
      </c>
      <c r="K728" s="35">
        <f t="shared" si="238"/>
        <v>12064.140000000003</v>
      </c>
      <c r="L728" s="35">
        <f t="shared" si="238"/>
        <v>11984.909999999993</v>
      </c>
      <c r="M728" s="36"/>
      <c r="N728" s="36"/>
      <c r="O728" s="36"/>
      <c r="P728" s="36"/>
      <c r="Q728" s="36"/>
      <c r="R728" s="37"/>
      <c r="S728" s="38"/>
      <c r="T728" s="57"/>
      <c r="U728" s="16"/>
      <c r="V728" s="51"/>
      <c r="W728" s="51"/>
      <c r="X728" s="52"/>
      <c r="Y728" s="52"/>
      <c r="Z728" s="53"/>
      <c r="AA728" s="53"/>
    </row>
    <row r="729" spans="1:27" ht="15.6" x14ac:dyDescent="0.3">
      <c r="A729" s="100">
        <v>43536</v>
      </c>
      <c r="B729" s="117" t="s">
        <v>431</v>
      </c>
      <c r="C729" s="26" t="s">
        <v>126</v>
      </c>
      <c r="D729">
        <v>29496</v>
      </c>
      <c r="E729">
        <v>29227</v>
      </c>
      <c r="F729">
        <v>29318</v>
      </c>
      <c r="G729">
        <v>29267</v>
      </c>
      <c r="H729">
        <v>29541</v>
      </c>
      <c r="I729">
        <v>29506</v>
      </c>
      <c r="J729">
        <v>29292</v>
      </c>
      <c r="K729">
        <v>29315</v>
      </c>
      <c r="L729">
        <v>29506</v>
      </c>
      <c r="M729" s="27">
        <f>IF((L730=""),"",MAX(D731:L731))</f>
        <v>12171</v>
      </c>
      <c r="N729" s="27">
        <f>IF(L730="","",MIN(D731:L731))</f>
        <v>11295</v>
      </c>
      <c r="O729" s="27">
        <f>IF((L731=""),"",AVERAGE(D731:L731))</f>
        <v>11798.333333333334</v>
      </c>
      <c r="P729" s="27">
        <f>IF((L730=""),"",STDEV(D731:L731))</f>
        <v>241.55951647575384</v>
      </c>
      <c r="Q729" s="27">
        <f>IF((L730=""),"",P729/O729*100)</f>
        <v>2.0474037277221684</v>
      </c>
      <c r="R729" s="28" t="str">
        <f>IF(L730="","",IF(Q729&lt;Z729,IF(N729&gt;V729,IF(M729&lt;W729,"Pass","Fail"),"Fail"),"Fail"))</f>
        <v>Pass</v>
      </c>
      <c r="S729" s="29">
        <v>74</v>
      </c>
      <c r="T729" s="55"/>
      <c r="U729" s="16"/>
      <c r="V729" s="54">
        <v>10000</v>
      </c>
      <c r="W729" s="22">
        <v>15600</v>
      </c>
      <c r="X729" s="40">
        <v>8090</v>
      </c>
      <c r="Y729" s="40">
        <v>12070</v>
      </c>
      <c r="Z729" s="47">
        <v>6</v>
      </c>
      <c r="AA729" s="47">
        <v>6</v>
      </c>
    </row>
    <row r="730" spans="1:27" ht="15.75" customHeight="1" x14ac:dyDescent="0.3">
      <c r="A730" s="100"/>
      <c r="B730" s="113"/>
      <c r="C730" s="30" t="s">
        <v>128</v>
      </c>
      <c r="D730">
        <v>25521</v>
      </c>
      <c r="E730">
        <v>25347</v>
      </c>
      <c r="F730">
        <v>25368</v>
      </c>
      <c r="G730">
        <v>25359</v>
      </c>
      <c r="H730">
        <v>25776</v>
      </c>
      <c r="I730">
        <v>25557</v>
      </c>
      <c r="J730">
        <v>25309</v>
      </c>
      <c r="K730">
        <v>25258</v>
      </c>
      <c r="L730">
        <v>25578</v>
      </c>
      <c r="M730" s="31"/>
      <c r="N730" s="31"/>
      <c r="O730" s="31"/>
      <c r="P730" s="31"/>
      <c r="Q730" s="31"/>
      <c r="R730" s="32"/>
      <c r="S730" s="33"/>
      <c r="T730" s="56"/>
      <c r="U730" s="16"/>
      <c r="V730" s="48"/>
      <c r="W730" s="48"/>
      <c r="X730" s="49"/>
      <c r="Y730" s="49"/>
      <c r="Z730" s="50"/>
      <c r="AA730" s="50"/>
    </row>
    <row r="731" spans="1:27" ht="16.5" customHeight="1" thickBot="1" x14ac:dyDescent="0.35">
      <c r="A731" s="100"/>
      <c r="B731" s="114"/>
      <c r="C731" s="34" t="s">
        <v>129</v>
      </c>
      <c r="D731" s="35">
        <f>IF(((D729="")*AND(D730="")),"",(D729-D730)*3)</f>
        <v>11925</v>
      </c>
      <c r="E731" s="35">
        <f t="shared" ref="E731:L731" si="239">IF(((E729="")*AND(E730="")),"",(E729-E730)*3)</f>
        <v>11640</v>
      </c>
      <c r="F731" s="35">
        <f t="shared" si="239"/>
        <v>11850</v>
      </c>
      <c r="G731" s="35">
        <f t="shared" si="239"/>
        <v>11724</v>
      </c>
      <c r="H731" s="35">
        <f t="shared" si="239"/>
        <v>11295</v>
      </c>
      <c r="I731" s="35">
        <f t="shared" si="239"/>
        <v>11847</v>
      </c>
      <c r="J731" s="35">
        <f t="shared" si="239"/>
        <v>11949</v>
      </c>
      <c r="K731" s="35">
        <f t="shared" si="239"/>
        <v>12171</v>
      </c>
      <c r="L731" s="35">
        <f t="shared" si="239"/>
        <v>11784</v>
      </c>
      <c r="M731" s="36"/>
      <c r="N731" s="36"/>
      <c r="O731" s="36"/>
      <c r="P731" s="36"/>
      <c r="Q731" s="36"/>
      <c r="R731" s="37"/>
      <c r="S731" s="38"/>
      <c r="T731" s="57"/>
      <c r="U731" s="16"/>
      <c r="V731" s="51"/>
      <c r="W731" s="51"/>
      <c r="X731" s="52"/>
      <c r="Y731" s="52"/>
      <c r="Z731" s="53"/>
      <c r="AA731" s="53"/>
    </row>
    <row r="732" spans="1:27" ht="15.6" x14ac:dyDescent="0.3">
      <c r="A732" s="100">
        <v>43538</v>
      </c>
      <c r="B732" s="117" t="s">
        <v>431</v>
      </c>
      <c r="C732" s="26" t="s">
        <v>126</v>
      </c>
      <c r="D732">
        <v>28995.95</v>
      </c>
      <c r="E732">
        <v>28905.85</v>
      </c>
      <c r="F732">
        <v>28897.19</v>
      </c>
      <c r="G732">
        <v>28908.67</v>
      </c>
      <c r="H732">
        <v>29010.57</v>
      </c>
      <c r="I732">
        <v>28996.81</v>
      </c>
      <c r="J732">
        <v>28905.1</v>
      </c>
      <c r="K732">
        <v>28888.33</v>
      </c>
      <c r="L732">
        <v>28976.720000000001</v>
      </c>
      <c r="M732" s="27">
        <f>IF((L733=""),"",MAX(D734:L734))</f>
        <v>12236.909999999993</v>
      </c>
      <c r="N732" s="27">
        <f>IF(L733="","",MIN(D734:L734))</f>
        <v>11743.170000000009</v>
      </c>
      <c r="O732" s="27">
        <f>IF((L734=""),"",AVERAGE(D734:L734))</f>
        <v>12086.596666666668</v>
      </c>
      <c r="P732" s="27">
        <f>IF((L733=""),"",STDEV(D734:L734))</f>
        <v>180.67674850405825</v>
      </c>
      <c r="Q732" s="27">
        <f>IF((L733=""),"",P732/O732*100)</f>
        <v>1.4948521365186469</v>
      </c>
      <c r="R732" s="28" t="str">
        <f>IF(L733="","",IF(Q732&lt;Z732,IF(N732&gt;V732,IF(M732&lt;W732,"Pass","Fail"),"Fail"),"Fail"))</f>
        <v>Pass</v>
      </c>
      <c r="S732" s="29">
        <v>121</v>
      </c>
      <c r="T732" s="55" t="s">
        <v>321</v>
      </c>
      <c r="U732" s="16"/>
      <c r="V732" s="54">
        <v>10000</v>
      </c>
      <c r="W732" s="22">
        <v>15600</v>
      </c>
      <c r="X732" s="40">
        <v>8090</v>
      </c>
      <c r="Y732" s="40">
        <v>12070</v>
      </c>
      <c r="Z732" s="47">
        <v>6</v>
      </c>
      <c r="AA732" s="47">
        <v>6</v>
      </c>
    </row>
    <row r="733" spans="1:27" ht="15.75" customHeight="1" x14ac:dyDescent="0.3">
      <c r="A733" s="100"/>
      <c r="B733" s="113"/>
      <c r="C733" s="30" t="s">
        <v>128</v>
      </c>
      <c r="D733">
        <v>24934.07</v>
      </c>
      <c r="E733">
        <v>24826.880000000001</v>
      </c>
      <c r="F733">
        <v>24947.35</v>
      </c>
      <c r="G733">
        <v>24831.96</v>
      </c>
      <c r="H733">
        <v>24939.88</v>
      </c>
      <c r="I733">
        <v>25082.42</v>
      </c>
      <c r="J733">
        <v>24877.87</v>
      </c>
      <c r="K733">
        <v>24818.49</v>
      </c>
      <c r="L733">
        <v>24966.48</v>
      </c>
      <c r="M733" s="31"/>
      <c r="N733" s="31"/>
      <c r="O733" s="31"/>
      <c r="P733" s="31"/>
      <c r="Q733" s="31"/>
      <c r="R733" s="32"/>
      <c r="S733" s="33"/>
      <c r="T733" s="56"/>
      <c r="U733" s="16"/>
      <c r="V733" s="48"/>
      <c r="W733" s="48"/>
      <c r="X733" s="49"/>
      <c r="Y733" s="49"/>
      <c r="Z733" s="50"/>
      <c r="AA733" s="50"/>
    </row>
    <row r="734" spans="1:27" ht="16.5" customHeight="1" thickBot="1" x14ac:dyDescent="0.35">
      <c r="A734" s="100"/>
      <c r="B734" s="114"/>
      <c r="C734" s="34" t="s">
        <v>129</v>
      </c>
      <c r="D734" s="35">
        <f>IF(((D732="")*AND(D733="")),"",(D732-D733)*3)</f>
        <v>12185.640000000003</v>
      </c>
      <c r="E734" s="35">
        <f t="shared" ref="E734:L734" si="240">IF(((E732="")*AND(E733="")),"",(E732-E733)*3)</f>
        <v>12236.909999999993</v>
      </c>
      <c r="F734" s="35">
        <f t="shared" si="240"/>
        <v>11849.52</v>
      </c>
      <c r="G734" s="35">
        <f t="shared" si="240"/>
        <v>12230.129999999997</v>
      </c>
      <c r="H734" s="35">
        <f t="shared" si="240"/>
        <v>12212.069999999996</v>
      </c>
      <c r="I734" s="35">
        <f t="shared" si="240"/>
        <v>11743.170000000009</v>
      </c>
      <c r="J734" s="35">
        <f t="shared" si="240"/>
        <v>12081.689999999999</v>
      </c>
      <c r="K734" s="35">
        <f t="shared" si="240"/>
        <v>12209.52</v>
      </c>
      <c r="L734" s="35">
        <f t="shared" si="240"/>
        <v>12030.720000000005</v>
      </c>
      <c r="M734" s="36"/>
      <c r="N734" s="36"/>
      <c r="O734" s="36"/>
      <c r="P734" s="36"/>
      <c r="Q734" s="36"/>
      <c r="R734" s="37"/>
      <c r="S734" s="38"/>
      <c r="T734" s="57"/>
      <c r="U734" s="16"/>
      <c r="V734" s="51"/>
      <c r="W734" s="51"/>
      <c r="X734" s="52"/>
      <c r="Y734" s="52"/>
      <c r="Z734" s="53"/>
      <c r="AA734" s="53"/>
    </row>
    <row r="735" spans="1:27" ht="15.6" x14ac:dyDescent="0.3">
      <c r="A735" s="100">
        <v>43542</v>
      </c>
      <c r="B735" s="117" t="s">
        <v>431</v>
      </c>
      <c r="C735" s="26" t="s">
        <v>126</v>
      </c>
      <c r="D735">
        <v>28921.75</v>
      </c>
      <c r="E735">
        <v>28850.639999999999</v>
      </c>
      <c r="F735">
        <v>28886.51</v>
      </c>
      <c r="G735">
        <v>28859.98</v>
      </c>
      <c r="H735">
        <v>28942.84</v>
      </c>
      <c r="I735">
        <v>28938.09</v>
      </c>
      <c r="J735">
        <v>28852.39</v>
      </c>
      <c r="K735">
        <v>28842.29</v>
      </c>
      <c r="L735">
        <v>28957.11</v>
      </c>
      <c r="M735" s="27">
        <f>IF((L736=""),"",MAX(D737:L737))</f>
        <v>12072.930000000004</v>
      </c>
      <c r="N735" s="27">
        <f>IF(L736="","",MIN(D737:L737))</f>
        <v>11520.990000000005</v>
      </c>
      <c r="O735" s="27">
        <f>IF((L737=""),"",AVERAGE(D737:L737))</f>
        <v>11903.590000000002</v>
      </c>
      <c r="P735" s="27">
        <f>IF((L736=""),"",STDEV(D737:L737))</f>
        <v>171.35312354900282</v>
      </c>
      <c r="Q735" s="27">
        <f>IF((L736=""),"",P735/O735*100)</f>
        <v>1.4395079429735298</v>
      </c>
      <c r="R735" s="28" t="str">
        <f>IF(L736="","",IF(Q735&lt;Z735,IF(N735&gt;V735,IF(M735&lt;W735,"Pass","Fail"),"Fail"),"Fail"))</f>
        <v>Pass</v>
      </c>
      <c r="S735" s="29">
        <v>1340</v>
      </c>
      <c r="T735" s="55"/>
      <c r="U735" s="16"/>
      <c r="V735" s="54">
        <v>10000</v>
      </c>
      <c r="W735" s="22">
        <v>15600</v>
      </c>
      <c r="X735" s="40">
        <v>8090</v>
      </c>
      <c r="Y735" s="40">
        <v>12070</v>
      </c>
      <c r="Z735" s="47">
        <v>6</v>
      </c>
      <c r="AA735" s="47">
        <v>6</v>
      </c>
    </row>
    <row r="736" spans="1:27" ht="15.75" customHeight="1" x14ac:dyDescent="0.3">
      <c r="A736" s="98"/>
      <c r="B736" s="98"/>
      <c r="C736" s="30" t="s">
        <v>128</v>
      </c>
      <c r="D736">
        <v>25081.42</v>
      </c>
      <c r="E736">
        <v>24900.07</v>
      </c>
      <c r="F736">
        <v>24967.21</v>
      </c>
      <c r="G736">
        <v>24835.67</v>
      </c>
      <c r="H736">
        <v>24954.51</v>
      </c>
      <c r="I736">
        <v>24942.55</v>
      </c>
      <c r="J736">
        <v>24854.97</v>
      </c>
      <c r="K736">
        <v>24835.38</v>
      </c>
      <c r="L736">
        <v>24969.05</v>
      </c>
      <c r="M736" s="31"/>
      <c r="N736" s="31"/>
      <c r="O736" s="31"/>
      <c r="P736" s="31"/>
      <c r="Q736" s="31"/>
      <c r="R736" s="32"/>
      <c r="S736" s="33"/>
      <c r="T736" s="56"/>
      <c r="U736" s="16"/>
      <c r="V736" s="48"/>
      <c r="W736" s="48"/>
      <c r="X736" s="49"/>
      <c r="Y736" s="49"/>
      <c r="Z736" s="50"/>
      <c r="AA736" s="50"/>
    </row>
    <row r="737" spans="1:27" ht="16.5" customHeight="1" thickBot="1" x14ac:dyDescent="0.35">
      <c r="A737" s="99"/>
      <c r="B737" s="98"/>
      <c r="C737" s="34" t="s">
        <v>129</v>
      </c>
      <c r="D737" s="35">
        <f>IF(((D735="")*AND(D736="")),"",(D735-D736)*3)</f>
        <v>11520.990000000005</v>
      </c>
      <c r="E737" s="35">
        <f t="shared" ref="E737:L737" si="241">IF(((E735="")*AND(E736="")),"",(E735-E736)*3)</f>
        <v>11851.71</v>
      </c>
      <c r="F737" s="35">
        <f t="shared" si="241"/>
        <v>11757.899999999998</v>
      </c>
      <c r="G737" s="35">
        <f t="shared" si="241"/>
        <v>12072.930000000004</v>
      </c>
      <c r="H737" s="35">
        <f t="shared" si="241"/>
        <v>11964.990000000005</v>
      </c>
      <c r="I737" s="35">
        <f t="shared" si="241"/>
        <v>11986.620000000003</v>
      </c>
      <c r="J737" s="35">
        <f t="shared" si="241"/>
        <v>11992.259999999995</v>
      </c>
      <c r="K737" s="35">
        <f t="shared" si="241"/>
        <v>12020.73</v>
      </c>
      <c r="L737" s="35">
        <f t="shared" si="241"/>
        <v>11964.180000000004</v>
      </c>
      <c r="M737" s="36"/>
      <c r="N737" s="36"/>
      <c r="O737" s="36"/>
      <c r="P737" s="36"/>
      <c r="Q737" s="36"/>
      <c r="R737" s="37"/>
      <c r="S737" s="38"/>
      <c r="T737" s="57"/>
      <c r="U737" s="16"/>
      <c r="V737" s="51"/>
      <c r="W737" s="51"/>
      <c r="X737" s="52"/>
      <c r="Y737" s="52"/>
      <c r="Z737" s="53"/>
      <c r="AA737" s="53"/>
    </row>
    <row r="738" spans="1:27" ht="15.6" x14ac:dyDescent="0.3">
      <c r="A738" s="100">
        <v>43546</v>
      </c>
      <c r="B738" s="117" t="s">
        <v>431</v>
      </c>
      <c r="C738" s="26" t="s">
        <v>126</v>
      </c>
      <c r="D738">
        <v>28927.79</v>
      </c>
      <c r="E738">
        <v>28855.21</v>
      </c>
      <c r="F738">
        <v>28904.27</v>
      </c>
      <c r="G738">
        <v>28859.39</v>
      </c>
      <c r="H738">
        <v>28949.599999999999</v>
      </c>
      <c r="I738">
        <v>28897.06</v>
      </c>
      <c r="J738">
        <v>28842.86</v>
      </c>
      <c r="K738">
        <v>28849.59</v>
      </c>
      <c r="L738">
        <v>28933.89</v>
      </c>
      <c r="M738" s="27">
        <f>IF((L739=""),"",MAX(D740:L740))</f>
        <v>11896.949999999993</v>
      </c>
      <c r="N738" s="27">
        <f>IF(L739="","",MIN(D740:L740))</f>
        <v>11356.29</v>
      </c>
      <c r="O738" s="27">
        <f>IF((L740=""),"",AVERAGE(D740:L740))</f>
        <v>11745.633333333333</v>
      </c>
      <c r="P738" s="27">
        <f>IF((L739=""),"",STDEV(D740:L740))</f>
        <v>168.9268609487543</v>
      </c>
      <c r="Q738" s="27">
        <f>IF((L739=""),"",P738/O738*100)</f>
        <v>1.4382098960074892</v>
      </c>
      <c r="R738" s="28" t="str">
        <f>IF(L739="","",IF(Q738&lt;Z738,IF(N738&gt;V738,IF(M738&lt;W738,"Pass","Fail"),"Fail"),"Fail"))</f>
        <v>Pass</v>
      </c>
      <c r="S738" s="29">
        <v>1428</v>
      </c>
      <c r="T738" s="55"/>
      <c r="U738" s="16"/>
      <c r="V738" s="54">
        <v>10000</v>
      </c>
      <c r="W738" s="22">
        <v>15600</v>
      </c>
      <c r="X738" s="40">
        <v>8090</v>
      </c>
      <c r="Y738" s="40">
        <v>12070</v>
      </c>
      <c r="Z738" s="47">
        <v>6</v>
      </c>
      <c r="AA738" s="47">
        <v>6</v>
      </c>
    </row>
    <row r="739" spans="1:27" ht="15.75" customHeight="1" x14ac:dyDescent="0.3">
      <c r="A739" s="100"/>
      <c r="B739" s="113"/>
      <c r="C739" s="30" t="s">
        <v>128</v>
      </c>
      <c r="D739">
        <v>25142.36</v>
      </c>
      <c r="E739">
        <v>24952.74</v>
      </c>
      <c r="F739">
        <v>25023.919999999998</v>
      </c>
      <c r="G739">
        <v>24893.74</v>
      </c>
      <c r="H739">
        <v>25011.69</v>
      </c>
      <c r="I739">
        <v>24983.23</v>
      </c>
      <c r="J739">
        <v>24906.18</v>
      </c>
      <c r="K739">
        <v>24885.919999999998</v>
      </c>
      <c r="L739">
        <v>24982.98</v>
      </c>
      <c r="M739" s="31"/>
      <c r="N739" s="31"/>
      <c r="O739" s="31"/>
      <c r="P739" s="31"/>
      <c r="Q739" s="31"/>
      <c r="R739" s="32"/>
      <c r="S739" s="33"/>
      <c r="T739" s="56"/>
      <c r="U739" s="16"/>
      <c r="V739" s="48"/>
      <c r="W739" s="48"/>
      <c r="X739" s="49"/>
      <c r="Y739" s="49"/>
      <c r="Z739" s="50"/>
      <c r="AA739" s="50"/>
    </row>
    <row r="740" spans="1:27" ht="16.5" customHeight="1" thickBot="1" x14ac:dyDescent="0.35">
      <c r="A740" s="100"/>
      <c r="B740" s="114"/>
      <c r="C740" s="34" t="s">
        <v>129</v>
      </c>
      <c r="D740" s="35">
        <f>IF(((D738="")*AND(D739="")),"",(D738-D739)*3)</f>
        <v>11356.29</v>
      </c>
      <c r="E740" s="35">
        <f t="shared" ref="E740:L740" si="242">IF(((E738="")*AND(E739="")),"",(E738-E739)*3)</f>
        <v>11707.409999999993</v>
      </c>
      <c r="F740" s="35">
        <f t="shared" si="242"/>
        <v>11641.050000000007</v>
      </c>
      <c r="G740" s="35">
        <f t="shared" si="242"/>
        <v>11896.949999999993</v>
      </c>
      <c r="H740" s="35">
        <f t="shared" si="242"/>
        <v>11813.73</v>
      </c>
      <c r="I740" s="35">
        <f t="shared" si="242"/>
        <v>11741.490000000005</v>
      </c>
      <c r="J740" s="35">
        <f t="shared" si="242"/>
        <v>11810.04</v>
      </c>
      <c r="K740" s="35">
        <f t="shared" si="242"/>
        <v>11891.010000000006</v>
      </c>
      <c r="L740" s="35">
        <f t="shared" si="242"/>
        <v>11852.73</v>
      </c>
      <c r="M740" s="36"/>
      <c r="N740" s="36"/>
      <c r="O740" s="36"/>
      <c r="P740" s="36"/>
      <c r="Q740" s="36"/>
      <c r="R740" s="37"/>
      <c r="S740" s="38"/>
      <c r="T740" s="57"/>
      <c r="U740" s="16"/>
      <c r="V740" s="51"/>
      <c r="W740" s="51"/>
      <c r="X740" s="52"/>
      <c r="Y740" s="52"/>
      <c r="Z740" s="53"/>
      <c r="AA740" s="53"/>
    </row>
    <row r="741" spans="1:27" ht="15.6" x14ac:dyDescent="0.3">
      <c r="A741" s="100">
        <v>43549</v>
      </c>
      <c r="B741" s="117" t="s">
        <v>431</v>
      </c>
      <c r="C741" s="26" t="s">
        <v>126</v>
      </c>
      <c r="D741">
        <v>28915.47</v>
      </c>
      <c r="E741">
        <v>28843.82</v>
      </c>
      <c r="F741">
        <v>28873.88</v>
      </c>
      <c r="G741">
        <v>28843.98</v>
      </c>
      <c r="H741">
        <v>28915.08</v>
      </c>
      <c r="I741">
        <v>28891.63</v>
      </c>
      <c r="J741">
        <v>28834.959999999999</v>
      </c>
      <c r="K741">
        <v>28837.29</v>
      </c>
      <c r="L741">
        <v>28917.08</v>
      </c>
      <c r="M741" s="27">
        <f>IF((L742=""),"",MAX(D743:L743))</f>
        <v>11818.320000000007</v>
      </c>
      <c r="N741" s="27">
        <f>IF(L742="","",MIN(D743:L743))</f>
        <v>11410.740000000005</v>
      </c>
      <c r="O741" s="27">
        <f>IF((L743=""),"",AVERAGE(D743:L743))</f>
        <v>11693.29</v>
      </c>
      <c r="P741" s="27">
        <f>IF((L742=""),"",STDEV(D743:L743))</f>
        <v>131.24122256364356</v>
      </c>
      <c r="Q741" s="27">
        <f>IF((L742=""),"",P741/O741*100)</f>
        <v>1.1223635312529112</v>
      </c>
      <c r="R741" s="28" t="str">
        <f>IF(L742="","",IF(Q741&lt;Z741,IF(N741&gt;V741,IF(M741&lt;W741,"Pass","Fail"),"Fail"),"Fail"))</f>
        <v>Pass</v>
      </c>
      <c r="S741" s="29">
        <v>74</v>
      </c>
      <c r="T741" s="55"/>
      <c r="U741" s="16"/>
      <c r="V741" s="54">
        <v>10000</v>
      </c>
      <c r="W741" s="22">
        <v>15600</v>
      </c>
      <c r="X741" s="40">
        <v>8090</v>
      </c>
      <c r="Y741" s="40">
        <v>12070</v>
      </c>
      <c r="Z741" s="47">
        <v>6</v>
      </c>
      <c r="AA741" s="47">
        <v>6</v>
      </c>
    </row>
    <row r="742" spans="1:27" ht="15.75" customHeight="1" x14ac:dyDescent="0.3">
      <c r="A742" s="100"/>
      <c r="B742" s="113"/>
      <c r="C742" s="30" t="s">
        <v>128</v>
      </c>
      <c r="D742">
        <v>25111.89</v>
      </c>
      <c r="E742">
        <v>24956.21</v>
      </c>
      <c r="F742">
        <v>25015.25</v>
      </c>
      <c r="G742">
        <v>24908.02</v>
      </c>
      <c r="H742">
        <v>25010.67</v>
      </c>
      <c r="I742">
        <v>24991.84</v>
      </c>
      <c r="J742">
        <v>24914.880000000001</v>
      </c>
      <c r="K742">
        <v>24897.85</v>
      </c>
      <c r="L742">
        <v>24986.71</v>
      </c>
      <c r="M742" s="31"/>
      <c r="N742" s="31"/>
      <c r="O742" s="31"/>
      <c r="P742" s="31"/>
      <c r="Q742" s="31"/>
      <c r="R742" s="32"/>
      <c r="S742" s="33"/>
      <c r="T742" s="56"/>
      <c r="U742" s="16"/>
      <c r="V742" s="48"/>
      <c r="W742" s="48"/>
      <c r="X742" s="49"/>
      <c r="Y742" s="49"/>
      <c r="Z742" s="50"/>
      <c r="AA742" s="50"/>
    </row>
    <row r="743" spans="1:27" ht="16.5" customHeight="1" thickBot="1" x14ac:dyDescent="0.35">
      <c r="A743" s="100"/>
      <c r="B743" s="114"/>
      <c r="C743" s="34" t="s">
        <v>129</v>
      </c>
      <c r="D743" s="35">
        <f>IF(((D741="")*AND(D742="")),"",(D741-D742)*3)</f>
        <v>11410.740000000005</v>
      </c>
      <c r="E743" s="35">
        <f t="shared" ref="E743:L743" si="243">IF(((E741="")*AND(E742="")),"",(E741-E742)*3)</f>
        <v>11662.830000000002</v>
      </c>
      <c r="F743" s="35">
        <f t="shared" si="243"/>
        <v>11575.890000000003</v>
      </c>
      <c r="G743" s="35">
        <f t="shared" si="243"/>
        <v>11807.879999999997</v>
      </c>
      <c r="H743" s="35">
        <f t="shared" si="243"/>
        <v>11713.23000000001</v>
      </c>
      <c r="I743" s="35">
        <f t="shared" si="243"/>
        <v>11699.370000000003</v>
      </c>
      <c r="J743" s="35">
        <f t="shared" si="243"/>
        <v>11760.239999999994</v>
      </c>
      <c r="K743" s="35">
        <f t="shared" si="243"/>
        <v>11818.320000000007</v>
      </c>
      <c r="L743" s="35">
        <f t="shared" si="243"/>
        <v>11791.110000000008</v>
      </c>
      <c r="M743" s="36"/>
      <c r="N743" s="36"/>
      <c r="O743" s="36"/>
      <c r="P743" s="36"/>
      <c r="Q743" s="36"/>
      <c r="R743" s="37"/>
      <c r="S743" s="38"/>
      <c r="T743" s="57"/>
      <c r="U743" s="16"/>
      <c r="V743" s="51"/>
      <c r="W743" s="51"/>
      <c r="X743" s="52"/>
      <c r="Y743" s="52"/>
      <c r="Z743" s="53"/>
      <c r="AA743" s="53"/>
    </row>
    <row r="744" spans="1:27" ht="15.6" x14ac:dyDescent="0.3">
      <c r="A744" s="97">
        <v>43552</v>
      </c>
      <c r="B744" s="117" t="s">
        <v>431</v>
      </c>
      <c r="C744" s="26" t="s">
        <v>126</v>
      </c>
      <c r="D744">
        <v>28876.04</v>
      </c>
      <c r="E744">
        <v>28816.91</v>
      </c>
      <c r="F744">
        <v>28867.72</v>
      </c>
      <c r="G744">
        <v>28824.28</v>
      </c>
      <c r="H744">
        <v>28907.439999999999</v>
      </c>
      <c r="I744">
        <v>28859.59</v>
      </c>
      <c r="J744">
        <v>28815.17</v>
      </c>
      <c r="K744">
        <v>28818.5</v>
      </c>
      <c r="L744">
        <v>28923.82</v>
      </c>
      <c r="M744" s="27">
        <f>IF((L745=""),"",MAX(D746:L746))</f>
        <v>11854.560000000001</v>
      </c>
      <c r="N744" s="27">
        <f>IF(L745="","",MIN(D746:L746))</f>
        <v>11288.370000000003</v>
      </c>
      <c r="O744" s="27">
        <f>IF((L746=""),"",AVERAGE(D746:L746))</f>
        <v>11652.593333333332</v>
      </c>
      <c r="P744" s="27">
        <f>IF((L745=""),"",STDEV(D746:L746))</f>
        <v>172.00385591608037</v>
      </c>
      <c r="Q744" s="27">
        <f>IF((L745=""),"",P744/O744*100)</f>
        <v>1.4760993625689078</v>
      </c>
      <c r="R744" s="28" t="str">
        <f>IF(L745="","",IF(Q744&lt;Z744,IF(N744&gt;V744,IF(M744&lt;W744,"Pass","Fail"),"Fail"),"Fail"))</f>
        <v>Pass</v>
      </c>
      <c r="S744" s="29">
        <v>121</v>
      </c>
      <c r="T744" s="55"/>
      <c r="U744" s="16"/>
      <c r="V744" s="54">
        <v>10000</v>
      </c>
      <c r="W744" s="22">
        <v>15600</v>
      </c>
      <c r="X744" s="40">
        <v>8090</v>
      </c>
      <c r="Y744" s="40">
        <v>12070</v>
      </c>
      <c r="Z744" s="47">
        <v>6</v>
      </c>
      <c r="AA744" s="47">
        <v>6</v>
      </c>
    </row>
    <row r="745" spans="1:27" ht="15.75" customHeight="1" x14ac:dyDescent="0.3">
      <c r="A745" s="98"/>
      <c r="B745" s="98"/>
      <c r="C745" s="30" t="s">
        <v>128</v>
      </c>
      <c r="D745">
        <v>25113.25</v>
      </c>
      <c r="E745">
        <v>24940.07</v>
      </c>
      <c r="F745">
        <v>25022.58</v>
      </c>
      <c r="G745">
        <v>24902.17</v>
      </c>
      <c r="H745">
        <v>25030.69</v>
      </c>
      <c r="I745">
        <v>24985.360000000001</v>
      </c>
      <c r="J745">
        <v>24909.05</v>
      </c>
      <c r="K745">
        <v>24876.22</v>
      </c>
      <c r="L745">
        <v>24972.3</v>
      </c>
      <c r="M745" s="31"/>
      <c r="N745" s="31"/>
      <c r="O745" s="31"/>
      <c r="P745" s="31"/>
      <c r="Q745" s="31"/>
      <c r="R745" s="32"/>
      <c r="S745" s="33"/>
      <c r="T745" s="56"/>
      <c r="U745" s="16"/>
      <c r="V745" s="48"/>
      <c r="W745" s="48"/>
      <c r="X745" s="49"/>
      <c r="Y745" s="49"/>
      <c r="Z745" s="50"/>
      <c r="AA745" s="50"/>
    </row>
    <row r="746" spans="1:27" ht="16.5" customHeight="1" thickBot="1" x14ac:dyDescent="0.35">
      <c r="A746" s="99"/>
      <c r="B746" s="98"/>
      <c r="C746" s="34" t="s">
        <v>129</v>
      </c>
      <c r="D746" s="35">
        <f>IF(((D744="")*AND(D745="")),"",(D744-D745)*3)</f>
        <v>11288.370000000003</v>
      </c>
      <c r="E746" s="35">
        <f t="shared" ref="E746:L746" si="244">IF(((E744="")*AND(E745="")),"",(E744-E745)*3)</f>
        <v>11630.52</v>
      </c>
      <c r="F746" s="35">
        <f t="shared" si="244"/>
        <v>11535.419999999998</v>
      </c>
      <c r="G746" s="35">
        <f t="shared" si="244"/>
        <v>11766.330000000002</v>
      </c>
      <c r="H746" s="35">
        <f t="shared" si="244"/>
        <v>11630.25</v>
      </c>
      <c r="I746" s="35">
        <f t="shared" si="244"/>
        <v>11622.689999999999</v>
      </c>
      <c r="J746" s="35">
        <f t="shared" si="244"/>
        <v>11718.359999999997</v>
      </c>
      <c r="K746" s="35">
        <f t="shared" si="244"/>
        <v>11826.839999999997</v>
      </c>
      <c r="L746" s="35">
        <f t="shared" si="244"/>
        <v>11854.560000000001</v>
      </c>
      <c r="M746" s="36"/>
      <c r="N746" s="36"/>
      <c r="O746" s="36"/>
      <c r="P746" s="36"/>
      <c r="Q746" s="36"/>
      <c r="R746" s="37"/>
      <c r="S746" s="38"/>
      <c r="T746" s="57"/>
      <c r="U746" s="16"/>
      <c r="V746" s="51"/>
      <c r="W746" s="51"/>
      <c r="X746" s="52"/>
      <c r="Y746" s="52"/>
      <c r="Z746" s="53"/>
      <c r="AA746" s="53"/>
    </row>
    <row r="747" spans="1:27" ht="15.6" x14ac:dyDescent="0.3">
      <c r="A747" s="97">
        <v>43557</v>
      </c>
      <c r="B747" s="117" t="s">
        <v>431</v>
      </c>
      <c r="C747" s="26" t="s">
        <v>126</v>
      </c>
      <c r="D747">
        <v>28887.18</v>
      </c>
      <c r="E747">
        <v>28805.48</v>
      </c>
      <c r="F747">
        <v>28814.07</v>
      </c>
      <c r="G747">
        <v>28788.06</v>
      </c>
      <c r="H747">
        <v>28875.27</v>
      </c>
      <c r="I747">
        <v>28886.89</v>
      </c>
      <c r="J747">
        <v>28788.58</v>
      </c>
      <c r="K747">
        <v>28776.639999999999</v>
      </c>
      <c r="L747">
        <v>28881.14</v>
      </c>
      <c r="M747" s="27">
        <f>IF((L748=""),"",MAX(D749:L749))</f>
        <v>11767.590000000007</v>
      </c>
      <c r="N747" s="27">
        <f>IF(L748="","",MIN(D749:L749))</f>
        <v>11309.46</v>
      </c>
      <c r="O747" s="27">
        <f>IF((L749=""),"",AVERAGE(D749:L749))</f>
        <v>11617.666666666666</v>
      </c>
      <c r="P747" s="27">
        <f>IF((L748=""),"",STDEV(D749:L749))</f>
        <v>144.58217403954256</v>
      </c>
      <c r="Q747" s="27">
        <f>IF((L748=""),"",P747/O747*100)</f>
        <v>1.2445026887746469</v>
      </c>
      <c r="R747" s="28" t="str">
        <f>IF(L748="","",IF(Q747&lt;Z747,IF(N747&gt;V747,IF(M747&lt;W747,"Pass","Fail"),"Fail"),"Fail"))</f>
        <v>Pass</v>
      </c>
      <c r="S747" s="29">
        <v>1428</v>
      </c>
      <c r="T747" s="55" t="s">
        <v>322</v>
      </c>
      <c r="U747" s="16"/>
      <c r="V747" s="54">
        <v>10000</v>
      </c>
      <c r="W747" s="22">
        <v>15600</v>
      </c>
      <c r="X747" s="40">
        <v>8090</v>
      </c>
      <c r="Y747" s="40">
        <v>12070</v>
      </c>
      <c r="Z747" s="47">
        <v>6</v>
      </c>
      <c r="AA747" s="47">
        <v>6</v>
      </c>
    </row>
    <row r="748" spans="1:27" ht="15.75" customHeight="1" x14ac:dyDescent="0.3">
      <c r="A748" s="98"/>
      <c r="B748" s="98"/>
      <c r="C748" s="30" t="s">
        <v>128</v>
      </c>
      <c r="D748">
        <v>25117.360000000001</v>
      </c>
      <c r="E748">
        <v>24953.63</v>
      </c>
      <c r="F748">
        <v>24983.38</v>
      </c>
      <c r="G748">
        <v>24865.53</v>
      </c>
      <c r="H748">
        <v>24971.93</v>
      </c>
      <c r="I748">
        <v>25008.720000000001</v>
      </c>
      <c r="J748">
        <v>24903.64</v>
      </c>
      <c r="K748">
        <v>24870.14</v>
      </c>
      <c r="L748">
        <v>24975.98</v>
      </c>
      <c r="M748" s="31"/>
      <c r="N748" s="31"/>
      <c r="O748" s="31"/>
      <c r="P748" s="31"/>
      <c r="Q748" s="31"/>
      <c r="R748" s="32"/>
      <c r="S748" s="33"/>
      <c r="T748" s="56"/>
      <c r="U748" s="16"/>
      <c r="V748" s="48"/>
      <c r="W748" s="48"/>
      <c r="X748" s="49"/>
      <c r="Y748" s="49"/>
      <c r="Z748" s="50"/>
      <c r="AA748" s="50"/>
    </row>
    <row r="749" spans="1:27" ht="16.5" customHeight="1" thickBot="1" x14ac:dyDescent="0.35">
      <c r="A749" s="99"/>
      <c r="B749" s="98"/>
      <c r="C749" s="34" t="s">
        <v>129</v>
      </c>
      <c r="D749" s="35">
        <f>IF(((D747="")*AND(D748="")),"",(D747-D748)*3)</f>
        <v>11309.46</v>
      </c>
      <c r="E749" s="35">
        <f t="shared" ref="E749:L749" si="245">IF(((E747="")*AND(E748="")),"",(E747-E748)*3)</f>
        <v>11555.549999999996</v>
      </c>
      <c r="F749" s="35">
        <f t="shared" si="245"/>
        <v>11492.069999999996</v>
      </c>
      <c r="G749" s="35">
        <f t="shared" si="245"/>
        <v>11767.590000000007</v>
      </c>
      <c r="H749" s="35">
        <f t="shared" si="245"/>
        <v>11710.02</v>
      </c>
      <c r="I749" s="35">
        <f t="shared" si="245"/>
        <v>11634.509999999995</v>
      </c>
      <c r="J749" s="35">
        <f t="shared" si="245"/>
        <v>11654.820000000007</v>
      </c>
      <c r="K749" s="35">
        <f t="shared" si="245"/>
        <v>11719.5</v>
      </c>
      <c r="L749" s="35">
        <f t="shared" si="245"/>
        <v>11715.48</v>
      </c>
      <c r="M749" s="36"/>
      <c r="N749" s="36"/>
      <c r="O749" s="36"/>
      <c r="P749" s="36"/>
      <c r="Q749" s="36"/>
      <c r="R749" s="37"/>
      <c r="S749" s="38"/>
      <c r="T749" s="57"/>
      <c r="U749" s="16"/>
      <c r="V749" s="51"/>
      <c r="W749" s="51"/>
      <c r="X749" s="52"/>
      <c r="Y749" s="52"/>
      <c r="Z749" s="53"/>
      <c r="AA749" s="53"/>
    </row>
    <row r="750" spans="1:27" x14ac:dyDescent="0.3">
      <c r="A750" s="97">
        <v>43562</v>
      </c>
      <c r="B750" s="117" t="s">
        <v>431</v>
      </c>
      <c r="C750" s="26" t="s">
        <v>126</v>
      </c>
      <c r="D750" s="16">
        <v>29630</v>
      </c>
      <c r="E750" s="16">
        <v>29415</v>
      </c>
      <c r="F750" s="16">
        <v>29409</v>
      </c>
      <c r="G750" s="16">
        <v>29414</v>
      </c>
      <c r="H750" s="16">
        <v>29578</v>
      </c>
      <c r="I750" s="16">
        <v>29584</v>
      </c>
      <c r="J750" s="16">
        <v>29398</v>
      </c>
      <c r="K750" s="16">
        <v>29403</v>
      </c>
      <c r="L750" s="16">
        <v>29581</v>
      </c>
      <c r="M750" s="27">
        <f>IF((L751=""),"",MAX(D752:L752))</f>
        <v>12180</v>
      </c>
      <c r="N750" s="27">
        <f>IF(L751="","",MIN(D752:L752))</f>
        <v>11535</v>
      </c>
      <c r="O750" s="27">
        <f>IF((L752=""),"",AVERAGE(D752:L752))</f>
        <v>11969</v>
      </c>
      <c r="P750" s="27">
        <f>IF((L751=""),"",STDEV(D752:L752))</f>
        <v>201.81550981032157</v>
      </c>
      <c r="Q750" s="27">
        <f>IF((L751=""),"",P750/O750*100)</f>
        <v>1.6861518072547548</v>
      </c>
      <c r="R750" s="28" t="str">
        <f>IF(L751="","",IF(Q750&lt;Z750,IF(N750&gt;V750,IF(M750&lt;W750,"Pass","Fail"),"Fail"),"Fail"))</f>
        <v>Pass</v>
      </c>
      <c r="S750" s="29">
        <v>1335</v>
      </c>
      <c r="T750" s="55" t="s">
        <v>323</v>
      </c>
      <c r="U750" s="16"/>
      <c r="V750" s="54">
        <v>10000</v>
      </c>
      <c r="W750" s="22">
        <v>15600</v>
      </c>
      <c r="X750" s="40">
        <v>8090</v>
      </c>
      <c r="Y750" s="40">
        <v>12070</v>
      </c>
      <c r="Z750" s="47">
        <v>6</v>
      </c>
      <c r="AA750" s="47">
        <v>6</v>
      </c>
    </row>
    <row r="751" spans="1:27" ht="15.75" customHeight="1" x14ac:dyDescent="0.3">
      <c r="A751" s="98"/>
      <c r="B751" s="98"/>
      <c r="C751" s="30" t="s">
        <v>128</v>
      </c>
      <c r="D751" s="16">
        <v>25635</v>
      </c>
      <c r="E751" s="16">
        <v>25355</v>
      </c>
      <c r="F751" s="16">
        <v>25432</v>
      </c>
      <c r="G751" s="16">
        <v>25411</v>
      </c>
      <c r="H751" s="16">
        <v>25733</v>
      </c>
      <c r="I751" s="16">
        <v>25549</v>
      </c>
      <c r="J751" s="16">
        <v>25358</v>
      </c>
      <c r="K751" s="16">
        <v>25377</v>
      </c>
      <c r="L751" s="16">
        <v>25655</v>
      </c>
      <c r="M751" s="31"/>
      <c r="N751" s="31"/>
      <c r="O751" s="31"/>
      <c r="P751" s="31"/>
      <c r="Q751" s="31"/>
      <c r="R751" s="32"/>
      <c r="S751" s="33"/>
      <c r="T751" s="56"/>
      <c r="U751" s="16"/>
      <c r="V751" s="48"/>
      <c r="W751" s="48"/>
      <c r="X751" s="49"/>
      <c r="Y751" s="49"/>
      <c r="Z751" s="50"/>
      <c r="AA751" s="50"/>
    </row>
    <row r="752" spans="1:27" ht="16.5" customHeight="1" thickBot="1" x14ac:dyDescent="0.35">
      <c r="A752" s="99"/>
      <c r="B752" s="98"/>
      <c r="C752" s="34" t="s">
        <v>129</v>
      </c>
      <c r="D752" s="35">
        <f>IF(((D750="")*AND(D751="")),"",(D750-D751)*3)</f>
        <v>11985</v>
      </c>
      <c r="E752" s="35">
        <f t="shared" ref="E752:L752" si="246">IF(((E750="")*AND(E751="")),"",(E750-E751)*3)</f>
        <v>12180</v>
      </c>
      <c r="F752" s="35">
        <f t="shared" si="246"/>
        <v>11931</v>
      </c>
      <c r="G752" s="35">
        <f t="shared" si="246"/>
        <v>12009</v>
      </c>
      <c r="H752" s="35">
        <f t="shared" si="246"/>
        <v>11535</v>
      </c>
      <c r="I752" s="35">
        <f t="shared" si="246"/>
        <v>12105</v>
      </c>
      <c r="J752" s="35">
        <f t="shared" si="246"/>
        <v>12120</v>
      </c>
      <c r="K752" s="35">
        <f t="shared" si="246"/>
        <v>12078</v>
      </c>
      <c r="L752" s="35">
        <f t="shared" si="246"/>
        <v>11778</v>
      </c>
      <c r="M752" s="36"/>
      <c r="N752" s="36"/>
      <c r="O752" s="36"/>
      <c r="P752" s="36"/>
      <c r="Q752" s="36"/>
      <c r="R752" s="37"/>
      <c r="S752" s="38"/>
      <c r="T752" s="57"/>
      <c r="U752" s="16"/>
      <c r="V752" s="51"/>
      <c r="W752" s="51"/>
      <c r="X752" s="52"/>
      <c r="Y752" s="52"/>
      <c r="Z752" s="53"/>
      <c r="AA752" s="53"/>
    </row>
    <row r="753" spans="1:27" ht="15.6" x14ac:dyDescent="0.3">
      <c r="A753" s="100">
        <v>43566</v>
      </c>
      <c r="B753" s="117" t="s">
        <v>431</v>
      </c>
      <c r="C753" s="26" t="s">
        <v>126</v>
      </c>
      <c r="D753">
        <v>29388.13</v>
      </c>
      <c r="E753">
        <v>29290.11</v>
      </c>
      <c r="F753">
        <v>29305.06</v>
      </c>
      <c r="G753">
        <v>29294.35</v>
      </c>
      <c r="H753">
        <v>29382.65</v>
      </c>
      <c r="I753">
        <v>29358.32</v>
      </c>
      <c r="J753">
        <v>29287.52</v>
      </c>
      <c r="K753">
        <v>29300</v>
      </c>
      <c r="L753">
        <v>29409.26</v>
      </c>
      <c r="M753" s="27">
        <f>IF((L754=""),"",MAX(D755:L755))</f>
        <v>12621.54</v>
      </c>
      <c r="N753" s="27">
        <f>IF(L754="","",MIN(D755:L755))</f>
        <v>12152.130000000008</v>
      </c>
      <c r="O753" s="27">
        <f>IF((L755=""),"",AVERAGE(D755:L755))</f>
        <v>12473.353333333334</v>
      </c>
      <c r="P753" s="27">
        <f>IF((L754=""),"",STDEV(D755:L755))</f>
        <v>150.30964872555339</v>
      </c>
      <c r="Q753" s="27">
        <f>IF((L754=""),"",P753/O753*100)</f>
        <v>1.2050460265875045</v>
      </c>
      <c r="R753" s="28" t="str">
        <f>IF(L754="","",IF(Q753&lt;Z753,IF(N753&gt;V753,IF(M753&lt;W753,"Pass","Fail"),"Fail"),"Fail"))</f>
        <v>Pass</v>
      </c>
      <c r="S753" s="29">
        <v>121</v>
      </c>
      <c r="T753" s="55" t="s">
        <v>324</v>
      </c>
      <c r="U753" s="16"/>
      <c r="V753" s="54">
        <v>10000</v>
      </c>
      <c r="W753" s="22">
        <v>15600</v>
      </c>
      <c r="X753" s="40">
        <v>8090</v>
      </c>
      <c r="Y753" s="40">
        <v>12070</v>
      </c>
      <c r="Z753" s="47">
        <v>6</v>
      </c>
      <c r="AA753" s="47">
        <v>6</v>
      </c>
    </row>
    <row r="754" spans="1:27" ht="15.75" customHeight="1" x14ac:dyDescent="0.3">
      <c r="A754" s="98"/>
      <c r="B754" s="98"/>
      <c r="C754" s="30" t="s">
        <v>128</v>
      </c>
      <c r="D754">
        <v>25232.2</v>
      </c>
      <c r="E754">
        <v>25082.93</v>
      </c>
      <c r="F754">
        <v>25182.46</v>
      </c>
      <c r="G754">
        <v>25137.78</v>
      </c>
      <c r="H754">
        <v>25331.94</v>
      </c>
      <c r="I754">
        <v>25164.98</v>
      </c>
      <c r="J754">
        <v>25084.95</v>
      </c>
      <c r="K754">
        <v>25106.639999999999</v>
      </c>
      <c r="L754">
        <v>25271.46</v>
      </c>
      <c r="M754" s="31"/>
      <c r="N754" s="31"/>
      <c r="O754" s="31"/>
      <c r="P754" s="31"/>
      <c r="Q754" s="31"/>
      <c r="R754" s="32"/>
      <c r="S754" s="33"/>
      <c r="T754" s="56"/>
      <c r="U754" s="16"/>
      <c r="V754" s="48"/>
      <c r="W754" s="48"/>
      <c r="X754" s="49"/>
      <c r="Y754" s="49"/>
      <c r="Z754" s="50"/>
      <c r="AA754" s="50"/>
    </row>
    <row r="755" spans="1:27" ht="16.5" customHeight="1" thickBot="1" x14ac:dyDescent="0.35">
      <c r="A755" s="99"/>
      <c r="B755" s="98"/>
      <c r="C755" s="34" t="s">
        <v>129</v>
      </c>
      <c r="D755" s="35">
        <f>IF(((D753="")*AND(D754="")),"",(D753-D754)*3)</f>
        <v>12467.79</v>
      </c>
      <c r="E755" s="35">
        <f t="shared" ref="E755:L755" si="247">IF(((E753="")*AND(E754="")),"",(E753-E754)*3)</f>
        <v>12621.54</v>
      </c>
      <c r="F755" s="35">
        <f t="shared" si="247"/>
        <v>12367.800000000007</v>
      </c>
      <c r="G755" s="35">
        <f t="shared" si="247"/>
        <v>12469.71</v>
      </c>
      <c r="H755" s="35">
        <f t="shared" si="247"/>
        <v>12152.130000000008</v>
      </c>
      <c r="I755" s="35">
        <f t="shared" si="247"/>
        <v>12580.02</v>
      </c>
      <c r="J755" s="35">
        <f t="shared" si="247"/>
        <v>12607.71</v>
      </c>
      <c r="K755" s="35">
        <f t="shared" si="247"/>
        <v>12580.080000000002</v>
      </c>
      <c r="L755" s="35">
        <f t="shared" si="247"/>
        <v>12413.399999999998</v>
      </c>
      <c r="M755" s="36"/>
      <c r="N755" s="36"/>
      <c r="O755" s="36"/>
      <c r="P755" s="36"/>
      <c r="Q755" s="36"/>
      <c r="R755" s="37"/>
      <c r="S755" s="38"/>
      <c r="T755" s="57"/>
      <c r="U755" s="16"/>
      <c r="V755" s="51"/>
      <c r="W755" s="51"/>
      <c r="X755" s="52"/>
      <c r="Y755" s="52"/>
      <c r="Z755" s="53"/>
      <c r="AA755" s="53"/>
    </row>
    <row r="756" spans="1:27" ht="14.4" x14ac:dyDescent="0.3">
      <c r="A756" s="100">
        <v>43570</v>
      </c>
      <c r="B756" s="117" t="s">
        <v>431</v>
      </c>
      <c r="C756" s="26" t="s">
        <v>126</v>
      </c>
      <c r="D756" s="92">
        <v>29284.51</v>
      </c>
      <c r="E756" s="92">
        <v>29222.560000000001</v>
      </c>
      <c r="F756" s="92">
        <v>29242.03</v>
      </c>
      <c r="G756" s="92">
        <v>29233.68</v>
      </c>
      <c r="H756" s="92">
        <v>29344.16</v>
      </c>
      <c r="I756" s="92">
        <v>29306.11</v>
      </c>
      <c r="J756" s="92">
        <v>29215.42</v>
      </c>
      <c r="K756" s="92">
        <v>29223.040000000001</v>
      </c>
      <c r="L756" s="92">
        <v>29359.279999999999</v>
      </c>
      <c r="M756" s="27">
        <f>IF((L757=""),"",MAX(D758:L758))</f>
        <v>11871.660000000003</v>
      </c>
      <c r="N756" s="27">
        <f>IF(L757="","",MIN(D758:L758))</f>
        <v>11306.399999999998</v>
      </c>
      <c r="O756" s="27">
        <f>IF((L758=""),"",AVERAGE(D758:L758))</f>
        <v>11688.166666666666</v>
      </c>
      <c r="P756" s="27">
        <f>IF((L757=""),"",STDEV(D758:L758))</f>
        <v>172.27289535791974</v>
      </c>
      <c r="Q756" s="27">
        <f>IF((L757=""),"",P756/O756*100)</f>
        <v>1.4739086143357505</v>
      </c>
      <c r="R756" s="28" t="str">
        <f>IF(L757="","",IF(Q756&lt;Z756,IF(N756&gt;V756,IF(M756&lt;W756,"Pass","Fail"),"Fail"),"Fail"))</f>
        <v>Pass</v>
      </c>
      <c r="S756" s="29">
        <v>121</v>
      </c>
      <c r="T756" s="55" t="s">
        <v>325</v>
      </c>
      <c r="U756" s="16"/>
      <c r="V756" s="54">
        <v>10000</v>
      </c>
      <c r="W756" s="22">
        <v>15600</v>
      </c>
      <c r="X756" s="40">
        <v>8090</v>
      </c>
      <c r="Y756" s="40">
        <v>12070</v>
      </c>
      <c r="Z756" s="47">
        <v>6</v>
      </c>
      <c r="AA756" s="47">
        <v>6</v>
      </c>
    </row>
    <row r="757" spans="1:27" ht="14.4" x14ac:dyDescent="0.3">
      <c r="A757" s="98"/>
      <c r="B757" s="98"/>
      <c r="C757" s="30" t="s">
        <v>128</v>
      </c>
      <c r="D757" s="93">
        <v>25515.71</v>
      </c>
      <c r="E757" s="93">
        <v>25337.599999999999</v>
      </c>
      <c r="F757" s="93">
        <v>25374.31</v>
      </c>
      <c r="G757" s="93">
        <v>25285.82</v>
      </c>
      <c r="H757" s="93">
        <v>25386.94</v>
      </c>
      <c r="I757" s="93">
        <v>25420.880000000001</v>
      </c>
      <c r="J757" s="93">
        <v>25308.84</v>
      </c>
      <c r="K757" s="93">
        <v>25276.01</v>
      </c>
      <c r="L757" s="93">
        <v>25460.18</v>
      </c>
      <c r="M757" s="31"/>
      <c r="N757" s="31"/>
      <c r="O757" s="31"/>
      <c r="P757" s="31"/>
      <c r="Q757" s="31"/>
      <c r="R757" s="32"/>
      <c r="S757" s="33"/>
      <c r="T757" s="56"/>
      <c r="U757" s="16"/>
      <c r="V757" s="48"/>
      <c r="W757" s="48"/>
      <c r="X757" s="49"/>
      <c r="Y757" s="49"/>
      <c r="Z757" s="50"/>
      <c r="AA757" s="50"/>
    </row>
    <row r="758" spans="1:27" ht="14.4" thickBot="1" x14ac:dyDescent="0.35">
      <c r="A758" s="99"/>
      <c r="B758" s="98"/>
      <c r="C758" s="34" t="s">
        <v>129</v>
      </c>
      <c r="D758" s="35">
        <f>IF(((D756="")*AND(D757="")),"",(D756-D757)*3)</f>
        <v>11306.399999999998</v>
      </c>
      <c r="E758" s="35">
        <f t="shared" ref="E758:L758" si="248">IF(((E756="")*AND(E757="")),"",(E756-E757)*3)</f>
        <v>11654.880000000008</v>
      </c>
      <c r="F758" s="35">
        <f t="shared" si="248"/>
        <v>11603.159999999993</v>
      </c>
      <c r="G758" s="35">
        <f t="shared" si="248"/>
        <v>11843.580000000002</v>
      </c>
      <c r="H758" s="35">
        <f t="shared" si="248"/>
        <v>11871.660000000003</v>
      </c>
      <c r="I758" s="35">
        <f t="shared" si="248"/>
        <v>11655.689999999999</v>
      </c>
      <c r="J758" s="35">
        <f t="shared" si="248"/>
        <v>11719.739999999994</v>
      </c>
      <c r="K758" s="35">
        <f t="shared" si="248"/>
        <v>11841.090000000007</v>
      </c>
      <c r="L758" s="35">
        <f t="shared" si="248"/>
        <v>11697.299999999996</v>
      </c>
      <c r="M758" s="36"/>
      <c r="N758" s="36"/>
      <c r="O758" s="36"/>
      <c r="P758" s="36"/>
      <c r="Q758" s="36"/>
      <c r="R758" s="37"/>
      <c r="S758" s="38"/>
      <c r="T758" s="57"/>
      <c r="U758" s="16"/>
      <c r="V758" s="51"/>
      <c r="W758" s="51"/>
      <c r="X758" s="52"/>
      <c r="Y758" s="52"/>
      <c r="Z758" s="53"/>
      <c r="AA758" s="53"/>
    </row>
    <row r="759" spans="1:27" ht="14.4" x14ac:dyDescent="0.3">
      <c r="A759" s="100">
        <v>43577</v>
      </c>
      <c r="B759" s="117" t="s">
        <v>431</v>
      </c>
      <c r="C759" s="26" t="s">
        <v>126</v>
      </c>
      <c r="D759" s="92">
        <v>29356</v>
      </c>
      <c r="E759" s="92">
        <v>29451</v>
      </c>
      <c r="F759" s="92">
        <v>29270</v>
      </c>
      <c r="G759" s="92">
        <v>29253</v>
      </c>
      <c r="H759" s="92">
        <v>29252</v>
      </c>
      <c r="I759" s="92">
        <v>29450</v>
      </c>
      <c r="J759" s="92">
        <v>29452</v>
      </c>
      <c r="K759" s="92">
        <v>29274</v>
      </c>
      <c r="L759" s="92">
        <v>29489</v>
      </c>
      <c r="M759" s="27">
        <f>IF((L760=""),"",MAX(D761:L761))</f>
        <v>12612</v>
      </c>
      <c r="N759" s="27">
        <f>IF(L760="","",MIN(D761:L761))</f>
        <v>11445</v>
      </c>
      <c r="O759" s="27">
        <f>IF((L761=""),"",AVERAGE(D761:L761))</f>
        <v>11948.333333333334</v>
      </c>
      <c r="P759" s="27">
        <f>IF((L760=""),"",STDEV(D761:L761))</f>
        <v>445.8604041625585</v>
      </c>
      <c r="Q759" s="27">
        <f>IF((L760=""),"",P759/O759*100)</f>
        <v>3.7315698493169909</v>
      </c>
      <c r="R759" s="28" t="str">
        <f>IF(L760="","",IF(Q759&lt;Z759,IF(N759&gt;V759,IF(M759&lt;W759,"Pass","Fail"),"Fail"),"Fail"))</f>
        <v>Pass</v>
      </c>
      <c r="S759" s="29">
        <v>74</v>
      </c>
      <c r="T759" s="55" t="s">
        <v>326</v>
      </c>
      <c r="U759" s="16"/>
      <c r="V759" s="54">
        <v>10000</v>
      </c>
      <c r="W759" s="22">
        <v>15600</v>
      </c>
      <c r="X759" s="40">
        <v>8090</v>
      </c>
      <c r="Y759" s="40">
        <v>12070</v>
      </c>
      <c r="Z759" s="47">
        <v>6</v>
      </c>
      <c r="AA759" s="47">
        <v>6</v>
      </c>
    </row>
    <row r="760" spans="1:27" ht="14.4" x14ac:dyDescent="0.3">
      <c r="A760" s="98"/>
      <c r="B760" s="98"/>
      <c r="C760" s="30" t="s">
        <v>128</v>
      </c>
      <c r="D760" s="93">
        <v>25448</v>
      </c>
      <c r="E760" s="93">
        <v>25247</v>
      </c>
      <c r="F760" s="93">
        <v>25292</v>
      </c>
      <c r="G760" s="93">
        <v>25193</v>
      </c>
      <c r="H760" s="93">
        <v>25437</v>
      </c>
      <c r="I760" s="93">
        <v>25622</v>
      </c>
      <c r="J760" s="93">
        <v>25272</v>
      </c>
      <c r="K760" s="93">
        <v>25236</v>
      </c>
      <c r="L760" s="93">
        <v>25655</v>
      </c>
      <c r="M760" s="31"/>
      <c r="N760" s="31"/>
      <c r="O760" s="31"/>
      <c r="P760" s="31"/>
      <c r="Q760" s="31"/>
      <c r="R760" s="32"/>
      <c r="S760" s="33"/>
      <c r="T760" s="56"/>
      <c r="U760" s="16"/>
      <c r="V760" s="48"/>
      <c r="W760" s="48"/>
      <c r="X760" s="49"/>
      <c r="Y760" s="49"/>
      <c r="Z760" s="50"/>
      <c r="AA760" s="50"/>
    </row>
    <row r="761" spans="1:27" ht="14.4" thickBot="1" x14ac:dyDescent="0.35">
      <c r="A761" s="99"/>
      <c r="B761" s="98"/>
      <c r="C761" s="34" t="s">
        <v>129</v>
      </c>
      <c r="D761" s="35">
        <f>IF(((D759="")*AND(D760="")),"",(D759-D760)*3)</f>
        <v>11724</v>
      </c>
      <c r="E761" s="35">
        <f t="shared" ref="E761:L761" si="249">IF(((E759="")*AND(E760="")),"",(E759-E760)*3)</f>
        <v>12612</v>
      </c>
      <c r="F761" s="35">
        <f t="shared" si="249"/>
        <v>11934</v>
      </c>
      <c r="G761" s="35">
        <f t="shared" si="249"/>
        <v>12180</v>
      </c>
      <c r="H761" s="35">
        <f t="shared" si="249"/>
        <v>11445</v>
      </c>
      <c r="I761" s="35">
        <f t="shared" si="249"/>
        <v>11484</v>
      </c>
      <c r="J761" s="35">
        <f t="shared" si="249"/>
        <v>12540</v>
      </c>
      <c r="K761" s="35">
        <f t="shared" si="249"/>
        <v>12114</v>
      </c>
      <c r="L761" s="35">
        <f t="shared" si="249"/>
        <v>11502</v>
      </c>
      <c r="M761" s="36"/>
      <c r="N761" s="36"/>
      <c r="O761" s="36"/>
      <c r="P761" s="36"/>
      <c r="Q761" s="36"/>
      <c r="R761" s="37"/>
      <c r="S761" s="38"/>
      <c r="T761" s="57"/>
      <c r="U761" s="16"/>
      <c r="V761" s="51"/>
      <c r="W761" s="51"/>
      <c r="X761" s="52"/>
      <c r="Y761" s="52"/>
      <c r="Z761" s="53"/>
      <c r="AA761" s="53"/>
    </row>
    <row r="762" spans="1:27" ht="15.6" x14ac:dyDescent="0.3">
      <c r="A762" s="100">
        <v>43581</v>
      </c>
      <c r="B762" s="117" t="s">
        <v>431</v>
      </c>
      <c r="C762" s="26" t="s">
        <v>126</v>
      </c>
      <c r="D762">
        <v>29256.95</v>
      </c>
      <c r="E762">
        <v>29145.49</v>
      </c>
      <c r="F762">
        <v>29179.87</v>
      </c>
      <c r="G762">
        <v>29140.3</v>
      </c>
      <c r="H762">
        <v>29228.77</v>
      </c>
      <c r="I762">
        <v>29244.84</v>
      </c>
      <c r="J762">
        <v>29150.17</v>
      </c>
      <c r="K762">
        <v>29155.14</v>
      </c>
      <c r="L762">
        <v>29244.85</v>
      </c>
      <c r="M762" s="27">
        <f>IF((L763=""),"",MAX(D764:L764))</f>
        <v>11524.350000000002</v>
      </c>
      <c r="N762" s="27">
        <f>IF(L763="","",MIN(D764:L764))</f>
        <v>10992.359999999997</v>
      </c>
      <c r="O762" s="27">
        <f>IF((L764=""),"",AVERAGE(D764:L764))</f>
        <v>11356.903333333332</v>
      </c>
      <c r="P762" s="27">
        <f>IF((L763=""),"",STDEV(D764:L764))</f>
        <v>161.73880965927674</v>
      </c>
      <c r="Q762" s="27">
        <f>IF((L763=""),"",P762/O762*100)</f>
        <v>1.4241453406102493</v>
      </c>
      <c r="R762" s="28" t="str">
        <f>IF(L763="","",IF(Q762&lt;Z762,IF(N762&gt;V762,IF(M762&lt;W762,"Pass","Fail"),"Fail"),"Fail"))</f>
        <v>Pass</v>
      </c>
      <c r="S762" s="29">
        <v>1159</v>
      </c>
      <c r="T762" s="55" t="s">
        <v>327</v>
      </c>
      <c r="U762" s="15"/>
      <c r="V762" s="54">
        <v>10000</v>
      </c>
      <c r="W762" s="22">
        <v>15600</v>
      </c>
      <c r="X762" s="40">
        <v>8090</v>
      </c>
      <c r="Y762" s="40">
        <v>12070</v>
      </c>
      <c r="Z762" s="47">
        <v>6</v>
      </c>
      <c r="AA762" s="47">
        <v>6</v>
      </c>
    </row>
    <row r="763" spans="1:27" ht="15.6" x14ac:dyDescent="0.3">
      <c r="A763" s="98"/>
      <c r="B763" s="98"/>
      <c r="C763" s="30" t="s">
        <v>128</v>
      </c>
      <c r="D763">
        <v>25592.83</v>
      </c>
      <c r="E763">
        <v>25383.69</v>
      </c>
      <c r="F763">
        <v>25425.46</v>
      </c>
      <c r="G763">
        <v>25322.21</v>
      </c>
      <c r="H763">
        <v>25436.95</v>
      </c>
      <c r="I763">
        <v>25447.81</v>
      </c>
      <c r="J763">
        <v>25336.47</v>
      </c>
      <c r="K763">
        <v>25313.69</v>
      </c>
      <c r="L763">
        <v>25416.560000000001</v>
      </c>
      <c r="M763" s="31"/>
      <c r="N763" s="31"/>
      <c r="O763" s="31"/>
      <c r="P763" s="31"/>
      <c r="Q763" s="31"/>
      <c r="R763" s="32"/>
      <c r="S763" s="33"/>
      <c r="T763" s="56"/>
      <c r="U763" s="15"/>
      <c r="V763" s="48"/>
      <c r="W763" s="48"/>
      <c r="X763" s="49"/>
      <c r="Y763" s="49"/>
      <c r="Z763" s="50"/>
      <c r="AA763" s="50"/>
    </row>
    <row r="764" spans="1:27" ht="14.4" thickBot="1" x14ac:dyDescent="0.35">
      <c r="A764" s="99"/>
      <c r="B764" s="98"/>
      <c r="C764" s="34" t="s">
        <v>129</v>
      </c>
      <c r="D764" s="35">
        <f>IF(((D762="")*AND(D763="")),"",(D762-D763)*3)</f>
        <v>10992.359999999997</v>
      </c>
      <c r="E764" s="35">
        <f t="shared" ref="E764:L764" si="250">IF(((E762="")*AND(E763="")),"",(E762-E763)*3)</f>
        <v>11285.400000000009</v>
      </c>
      <c r="F764" s="35">
        <f t="shared" si="250"/>
        <v>11263.23</v>
      </c>
      <c r="G764" s="35">
        <f t="shared" si="250"/>
        <v>11454.27</v>
      </c>
      <c r="H764" s="35">
        <f t="shared" si="250"/>
        <v>11375.46</v>
      </c>
      <c r="I764" s="35">
        <f t="shared" si="250"/>
        <v>11391.089999999997</v>
      </c>
      <c r="J764" s="35">
        <f t="shared" si="250"/>
        <v>11441.099999999991</v>
      </c>
      <c r="K764" s="35">
        <f t="shared" si="250"/>
        <v>11524.350000000002</v>
      </c>
      <c r="L764" s="35">
        <f t="shared" si="250"/>
        <v>11484.869999999992</v>
      </c>
      <c r="M764" s="36"/>
      <c r="N764" s="36"/>
      <c r="O764" s="36"/>
      <c r="P764" s="36"/>
      <c r="Q764" s="36"/>
      <c r="R764" s="37"/>
      <c r="S764" s="38"/>
      <c r="T764" s="57"/>
      <c r="U764" s="15"/>
      <c r="V764" s="51"/>
      <c r="W764" s="51"/>
      <c r="X764" s="52"/>
      <c r="Y764" s="52"/>
      <c r="Z764" s="53"/>
      <c r="AA764" s="53"/>
    </row>
    <row r="765" spans="1:27" ht="14.4" x14ac:dyDescent="0.3">
      <c r="A765" s="100">
        <v>43585</v>
      </c>
      <c r="B765" s="117" t="s">
        <v>431</v>
      </c>
      <c r="C765" s="26" t="s">
        <v>126</v>
      </c>
      <c r="D765" s="92">
        <v>29342</v>
      </c>
      <c r="E765" s="92">
        <v>29148</v>
      </c>
      <c r="F765" s="92">
        <v>29126</v>
      </c>
      <c r="G765" s="92">
        <v>29151</v>
      </c>
      <c r="H765" s="92">
        <v>29343</v>
      </c>
      <c r="I765" s="92">
        <v>29358</v>
      </c>
      <c r="J765" s="92">
        <v>29163</v>
      </c>
      <c r="K765" s="92">
        <v>29152</v>
      </c>
      <c r="L765" s="92">
        <v>29347</v>
      </c>
      <c r="M765" s="27">
        <f>IF((L766=""),"",MAX(D767:L767))</f>
        <v>12717</v>
      </c>
      <c r="N765" s="27">
        <f>IF(L766="","",MIN(D767:L767))</f>
        <v>11850</v>
      </c>
      <c r="O765" s="27">
        <f>IF((L767=""),"",AVERAGE(D767:L767))</f>
        <v>12462.333333333334</v>
      </c>
      <c r="P765" s="27">
        <f>IF((L766=""),"",STDEV(D767:L767))</f>
        <v>272.14747840095816</v>
      </c>
      <c r="Q765" s="27">
        <f>IF((L766=""),"",P765/O765*100)</f>
        <v>2.1837602246847152</v>
      </c>
      <c r="R765" s="28" t="str">
        <f>IF(L766="","",IF(Q765&lt;Z765,IF(N765&gt;V765,IF(M765&lt;W765,"Pass","Fail"),"Fail"),"Fail"))</f>
        <v>Pass</v>
      </c>
      <c r="S765" s="29">
        <v>1340</v>
      </c>
      <c r="T765" s="55" t="s">
        <v>328</v>
      </c>
      <c r="U765" s="15"/>
      <c r="V765" s="54">
        <v>10000</v>
      </c>
      <c r="W765" s="22">
        <v>15600</v>
      </c>
      <c r="X765" s="40">
        <v>8090</v>
      </c>
      <c r="Y765" s="40">
        <v>12070</v>
      </c>
      <c r="Z765" s="47">
        <v>6</v>
      </c>
      <c r="AA765" s="47">
        <v>6</v>
      </c>
    </row>
    <row r="766" spans="1:27" ht="14.4" x14ac:dyDescent="0.3">
      <c r="A766" s="98"/>
      <c r="B766" s="98"/>
      <c r="C766" s="30" t="s">
        <v>128</v>
      </c>
      <c r="D766" s="93">
        <v>25152</v>
      </c>
      <c r="E766" s="93">
        <v>24910</v>
      </c>
      <c r="F766" s="93">
        <v>24983</v>
      </c>
      <c r="G766" s="93">
        <v>24937</v>
      </c>
      <c r="H766" s="93">
        <v>25255</v>
      </c>
      <c r="I766" s="93">
        <v>25408</v>
      </c>
      <c r="J766" s="93">
        <v>24986</v>
      </c>
      <c r="K766" s="93">
        <v>24913</v>
      </c>
      <c r="L766" s="93">
        <v>25199</v>
      </c>
      <c r="M766" s="31"/>
      <c r="N766" s="31"/>
      <c r="O766" s="31"/>
      <c r="P766" s="31"/>
      <c r="Q766" s="31"/>
      <c r="R766" s="32"/>
      <c r="S766" s="33"/>
      <c r="T766" s="56"/>
      <c r="U766" s="15"/>
      <c r="V766" s="48"/>
      <c r="W766" s="48"/>
      <c r="X766" s="49"/>
      <c r="Y766" s="49"/>
      <c r="Z766" s="50"/>
      <c r="AA766" s="50"/>
    </row>
    <row r="767" spans="1:27" ht="14.4" thickBot="1" x14ac:dyDescent="0.35">
      <c r="A767" s="99"/>
      <c r="B767" s="98"/>
      <c r="C767" s="34" t="s">
        <v>129</v>
      </c>
      <c r="D767" s="35">
        <f>IF(((D765="")*AND(D766="")),"",(D765-D766)*3)</f>
        <v>12570</v>
      </c>
      <c r="E767" s="35">
        <f t="shared" ref="E767:L767" si="251">IF(((E765="")*AND(E766="")),"",(E765-E766)*3)</f>
        <v>12714</v>
      </c>
      <c r="F767" s="35">
        <f t="shared" si="251"/>
        <v>12429</v>
      </c>
      <c r="G767" s="35">
        <f t="shared" si="251"/>
        <v>12642</v>
      </c>
      <c r="H767" s="35">
        <f t="shared" si="251"/>
        <v>12264</v>
      </c>
      <c r="I767" s="35">
        <f t="shared" si="251"/>
        <v>11850</v>
      </c>
      <c r="J767" s="35">
        <f t="shared" si="251"/>
        <v>12531</v>
      </c>
      <c r="K767" s="35">
        <f t="shared" si="251"/>
        <v>12717</v>
      </c>
      <c r="L767" s="35">
        <f t="shared" si="251"/>
        <v>12444</v>
      </c>
      <c r="M767" s="36"/>
      <c r="N767" s="36"/>
      <c r="O767" s="36"/>
      <c r="P767" s="36"/>
      <c r="Q767" s="36"/>
      <c r="R767" s="37"/>
      <c r="S767" s="38"/>
      <c r="T767" s="57"/>
      <c r="U767" s="15"/>
      <c r="V767" s="51"/>
      <c r="W767" s="51"/>
      <c r="X767" s="52"/>
      <c r="Y767" s="52"/>
      <c r="Z767" s="53"/>
      <c r="AA767" s="53"/>
    </row>
    <row r="768" spans="1:27" ht="14.4" x14ac:dyDescent="0.3">
      <c r="A768" s="100">
        <v>43591</v>
      </c>
      <c r="B768" s="117" t="s">
        <v>431</v>
      </c>
      <c r="C768" s="26" t="s">
        <v>126</v>
      </c>
      <c r="D768" s="92">
        <v>29292.78</v>
      </c>
      <c r="E768" s="92">
        <v>29191.32</v>
      </c>
      <c r="F768" s="92">
        <v>29159.11</v>
      </c>
      <c r="G768" s="92">
        <v>29155.42</v>
      </c>
      <c r="H768" s="92">
        <v>29263.56</v>
      </c>
      <c r="I768" s="92">
        <v>29279.06</v>
      </c>
      <c r="J768" s="92">
        <v>29158.47</v>
      </c>
      <c r="K768" s="92">
        <v>29169.16</v>
      </c>
      <c r="L768" s="92">
        <v>29226.99</v>
      </c>
      <c r="M768" s="27">
        <f>IF((L769=""),"",MAX(D770:L770))</f>
        <v>10575.180000000004</v>
      </c>
      <c r="N768" s="27">
        <f>IF(L769="","",MIN(D770:L770))</f>
        <v>10113.990000000005</v>
      </c>
      <c r="O768" s="27">
        <f>IF((L770=""),"",AVERAGE(D770:L770))</f>
        <v>10353.183333333334</v>
      </c>
      <c r="P768" s="27">
        <f>IF((L769=""),"",STDEV(D770:L770))</f>
        <v>167.91376901552704</v>
      </c>
      <c r="Q768" s="27">
        <f>IF((L769=""),"",P768/O768*100)</f>
        <v>1.6218564243415667</v>
      </c>
      <c r="R768" s="28" t="str">
        <f>IF(L769="","",IF(Q768&lt;Z768,IF(N768&gt;V768,IF(M768&lt;W768,"Pass","Fail"),"Fail"),"Fail"))</f>
        <v>Pass</v>
      </c>
      <c r="S768" s="29">
        <v>1428</v>
      </c>
      <c r="T768" s="55"/>
      <c r="U768" s="15"/>
      <c r="V768" s="54">
        <v>10000</v>
      </c>
      <c r="W768" s="22">
        <v>15600</v>
      </c>
      <c r="X768" s="40">
        <v>8090</v>
      </c>
      <c r="Y768" s="40">
        <v>12070</v>
      </c>
      <c r="Z768" s="47">
        <v>6</v>
      </c>
      <c r="AA768" s="47">
        <v>6</v>
      </c>
    </row>
    <row r="769" spans="1:27" ht="14.4" x14ac:dyDescent="0.3">
      <c r="A769" s="98"/>
      <c r="B769" s="98"/>
      <c r="C769" s="30" t="s">
        <v>128</v>
      </c>
      <c r="D769" s="93">
        <v>25774.22</v>
      </c>
      <c r="E769" s="93">
        <v>25743.79</v>
      </c>
      <c r="F769" s="93">
        <v>25787.78</v>
      </c>
      <c r="G769" s="93">
        <v>25758.15</v>
      </c>
      <c r="H769" s="93">
        <v>25852.07</v>
      </c>
      <c r="I769" s="93">
        <v>25754</v>
      </c>
      <c r="J769" s="93">
        <v>25741.5</v>
      </c>
      <c r="K769" s="93">
        <v>25701.43</v>
      </c>
      <c r="L769" s="93">
        <v>25723.38</v>
      </c>
      <c r="M769" s="31"/>
      <c r="N769" s="31"/>
      <c r="O769" s="31"/>
      <c r="P769" s="31"/>
      <c r="Q769" s="31"/>
      <c r="R769" s="32"/>
      <c r="S769" s="33"/>
      <c r="T769" s="56"/>
      <c r="U769" s="15"/>
      <c r="V769" s="48"/>
      <c r="W769" s="48"/>
      <c r="X769" s="49"/>
      <c r="Y769" s="49"/>
      <c r="Z769" s="50"/>
      <c r="AA769" s="50"/>
    </row>
    <row r="770" spans="1:27" ht="14.4" thickBot="1" x14ac:dyDescent="0.35">
      <c r="A770" s="99"/>
      <c r="B770" s="98"/>
      <c r="C770" s="34" t="s">
        <v>129</v>
      </c>
      <c r="D770" s="35">
        <f>IF(((D768="")*AND(D769="")),"",(D768-D769)*3)</f>
        <v>10555.679999999993</v>
      </c>
      <c r="E770" s="35">
        <f t="shared" ref="E770:L770" si="252">IF(((E768="")*AND(E769="")),"",(E768-E769)*3)</f>
        <v>10342.589999999997</v>
      </c>
      <c r="F770" s="35">
        <f t="shared" si="252"/>
        <v>10113.990000000005</v>
      </c>
      <c r="G770" s="35">
        <f t="shared" si="252"/>
        <v>10191.80999999999</v>
      </c>
      <c r="H770" s="35">
        <f t="shared" si="252"/>
        <v>10234.470000000005</v>
      </c>
      <c r="I770" s="35">
        <f t="shared" si="252"/>
        <v>10575.180000000004</v>
      </c>
      <c r="J770" s="35">
        <f t="shared" si="252"/>
        <v>10250.910000000003</v>
      </c>
      <c r="K770" s="35">
        <f t="shared" si="252"/>
        <v>10403.189999999999</v>
      </c>
      <c r="L770" s="35">
        <f t="shared" si="252"/>
        <v>10510.830000000002</v>
      </c>
      <c r="M770" s="36"/>
      <c r="N770" s="36"/>
      <c r="O770" s="36"/>
      <c r="P770" s="36"/>
      <c r="Q770" s="36"/>
      <c r="R770" s="37"/>
      <c r="S770" s="38"/>
      <c r="T770" s="57"/>
      <c r="U770" s="15"/>
      <c r="V770" s="51"/>
      <c r="W770" s="51"/>
      <c r="X770" s="52"/>
      <c r="Y770" s="52"/>
      <c r="Z770" s="53"/>
      <c r="AA770" s="53"/>
    </row>
    <row r="771" spans="1:27" ht="14.4" x14ac:dyDescent="0.3">
      <c r="A771" s="100">
        <v>43596</v>
      </c>
      <c r="B771" s="117" t="s">
        <v>431</v>
      </c>
      <c r="C771" s="26" t="s">
        <v>126</v>
      </c>
      <c r="D771" s="92">
        <v>29208.69</v>
      </c>
      <c r="E771" s="92">
        <v>29103.87</v>
      </c>
      <c r="F771" s="92">
        <v>29123.46</v>
      </c>
      <c r="G771" s="92">
        <v>29108.400000000001</v>
      </c>
      <c r="H771" s="92">
        <v>29207.73</v>
      </c>
      <c r="I771" s="92">
        <v>29169.57</v>
      </c>
      <c r="J771" s="92">
        <v>29077.72</v>
      </c>
      <c r="K771" s="92">
        <v>29115.22</v>
      </c>
      <c r="L771" s="92">
        <v>29226.26</v>
      </c>
      <c r="M771" s="27">
        <f>IF((L772=""),"",MAX(D773:L773))</f>
        <v>10844.78999999999</v>
      </c>
      <c r="N771" s="27">
        <f>IF(L772="","",MIN(D773:L773))</f>
        <v>10088.310000000001</v>
      </c>
      <c r="O771" s="27">
        <f>IF((L773=""),"",AVERAGE(D773:L773))</f>
        <v>10424.883333333333</v>
      </c>
      <c r="P771" s="27">
        <f>IF((L772=""),"",STDEV(D773:L773))</f>
        <v>219.00626058402682</v>
      </c>
      <c r="Q771" s="27">
        <f>IF((L772=""),"",P771/O771*100)</f>
        <v>2.100802988209558</v>
      </c>
      <c r="R771" s="28" t="str">
        <f>IF(L772="","",IF(Q771&lt;Z771,IF(N771&gt;V771,IF(M771&lt;W771,"Pass","Fail"),"Fail"),"Fail"))</f>
        <v>Pass</v>
      </c>
      <c r="S771" s="29">
        <v>1534</v>
      </c>
      <c r="T771" s="55"/>
      <c r="U771" s="15"/>
      <c r="V771" s="54">
        <v>10000</v>
      </c>
      <c r="W771" s="22">
        <v>15600</v>
      </c>
      <c r="X771" s="40">
        <v>8090</v>
      </c>
      <c r="Y771" s="40">
        <v>12070</v>
      </c>
      <c r="Z771" s="47">
        <v>6</v>
      </c>
      <c r="AA771" s="47">
        <v>6</v>
      </c>
    </row>
    <row r="772" spans="1:27" ht="14.4" x14ac:dyDescent="0.3">
      <c r="A772" s="98"/>
      <c r="B772" s="98"/>
      <c r="C772" s="30" t="s">
        <v>128</v>
      </c>
      <c r="D772" s="93">
        <v>25676.91</v>
      </c>
      <c r="E772" s="93">
        <v>25635.48</v>
      </c>
      <c r="F772" s="93">
        <v>25760.69</v>
      </c>
      <c r="G772" s="93">
        <v>25686.86</v>
      </c>
      <c r="H772" s="93">
        <v>25760.62</v>
      </c>
      <c r="I772" s="93">
        <v>25653.96</v>
      </c>
      <c r="J772" s="93">
        <v>25645.99</v>
      </c>
      <c r="K772" s="93">
        <v>25634.43</v>
      </c>
      <c r="L772" s="93">
        <v>25611.33</v>
      </c>
      <c r="M772" s="31"/>
      <c r="N772" s="31"/>
      <c r="O772" s="31"/>
      <c r="P772" s="31"/>
      <c r="Q772" s="31"/>
      <c r="R772" s="32"/>
      <c r="S772" s="33"/>
      <c r="T772" s="56"/>
      <c r="U772" s="15"/>
      <c r="V772" s="48"/>
      <c r="W772" s="48"/>
      <c r="X772" s="49"/>
      <c r="Y772" s="49"/>
      <c r="Z772" s="50"/>
      <c r="AA772" s="50"/>
    </row>
    <row r="773" spans="1:27" ht="14.4" thickBot="1" x14ac:dyDescent="0.35">
      <c r="A773" s="99"/>
      <c r="B773" s="98"/>
      <c r="C773" s="34" t="s">
        <v>129</v>
      </c>
      <c r="D773" s="35">
        <f>IF(((D771="")*AND(D772="")),"",(D771-D772)*3)</f>
        <v>10595.339999999997</v>
      </c>
      <c r="E773" s="35">
        <f t="shared" ref="E773:L773" si="253">IF(((E771="")*AND(E772="")),"",(E771-E772)*3)</f>
        <v>10405.169999999998</v>
      </c>
      <c r="F773" s="35">
        <f t="shared" si="253"/>
        <v>10088.310000000001</v>
      </c>
      <c r="G773" s="35">
        <f t="shared" si="253"/>
        <v>10264.620000000003</v>
      </c>
      <c r="H773" s="35">
        <f t="shared" si="253"/>
        <v>10341.330000000002</v>
      </c>
      <c r="I773" s="35">
        <f t="shared" si="253"/>
        <v>10546.830000000002</v>
      </c>
      <c r="J773" s="35">
        <f t="shared" si="253"/>
        <v>10295.189999999999</v>
      </c>
      <c r="K773" s="35">
        <f t="shared" si="253"/>
        <v>10442.370000000003</v>
      </c>
      <c r="L773" s="35">
        <f t="shared" si="253"/>
        <v>10844.78999999999</v>
      </c>
      <c r="M773" s="36"/>
      <c r="N773" s="36"/>
      <c r="O773" s="36"/>
      <c r="P773" s="36"/>
      <c r="Q773" s="36"/>
      <c r="R773" s="37"/>
      <c r="S773" s="38"/>
      <c r="T773" s="57"/>
      <c r="U773" s="15"/>
      <c r="V773" s="51"/>
      <c r="W773" s="51"/>
      <c r="X773" s="52"/>
      <c r="Y773" s="52"/>
      <c r="Z773" s="53"/>
      <c r="AA773" s="53"/>
    </row>
    <row r="774" spans="1:27" ht="14.4" x14ac:dyDescent="0.3">
      <c r="A774" s="100">
        <v>43600</v>
      </c>
      <c r="B774" s="117" t="s">
        <v>431</v>
      </c>
      <c r="C774" s="26" t="s">
        <v>126</v>
      </c>
      <c r="D774" s="92">
        <v>29247.1</v>
      </c>
      <c r="E774" s="92">
        <v>29129.55</v>
      </c>
      <c r="F774" s="92">
        <v>29146.33</v>
      </c>
      <c r="G774" s="92">
        <v>29118</v>
      </c>
      <c r="H774" s="92">
        <v>29198.880000000001</v>
      </c>
      <c r="I774" s="92">
        <v>29212.95</v>
      </c>
      <c r="J774" s="92">
        <v>29114.3</v>
      </c>
      <c r="K774" s="92">
        <v>29123.49</v>
      </c>
      <c r="L774" s="92">
        <v>29202.57</v>
      </c>
      <c r="M774" s="27">
        <f>IF((L775=""),"",MAX(D776:L776))</f>
        <v>11304.120000000003</v>
      </c>
      <c r="N774" s="27">
        <f>IF(L775="","",MIN(D776:L776))</f>
        <v>10647.929999999993</v>
      </c>
      <c r="O774" s="27">
        <f>IF((L776=""),"",AVERAGE(D776:L776))</f>
        <v>10953.296666666667</v>
      </c>
      <c r="P774" s="27">
        <f>IF((L775=""),"",STDEV(D776:L776))</f>
        <v>244.17261952356699</v>
      </c>
      <c r="Q774" s="27">
        <f>IF((L775=""),"",P774/O774*100)</f>
        <v>2.2292157964335884</v>
      </c>
      <c r="R774" s="28" t="str">
        <f>IF(L775="","",IF(Q774&lt;Z774,IF(N774&gt;V774,IF(M774&lt;W774,"Pass","Fail"),"Fail"),"Fail"))</f>
        <v>Pass</v>
      </c>
      <c r="S774" s="29" t="s">
        <v>106</v>
      </c>
      <c r="T774" s="55"/>
      <c r="U774" s="15"/>
      <c r="V774" s="54">
        <v>10000</v>
      </c>
      <c r="W774" s="22">
        <v>15600</v>
      </c>
      <c r="X774" s="40">
        <v>8090</v>
      </c>
      <c r="Y774" s="40">
        <v>12070</v>
      </c>
      <c r="Z774" s="47">
        <v>6</v>
      </c>
      <c r="AA774" s="47">
        <v>6</v>
      </c>
    </row>
    <row r="775" spans="1:27" ht="14.4" x14ac:dyDescent="0.3">
      <c r="A775" s="98"/>
      <c r="B775" s="98"/>
      <c r="C775" s="30" t="s">
        <v>128</v>
      </c>
      <c r="D775" s="93">
        <v>25697.79</v>
      </c>
      <c r="E775" s="93">
        <v>25551.25</v>
      </c>
      <c r="F775" s="93">
        <v>25590.48</v>
      </c>
      <c r="G775" s="93">
        <v>25436.02</v>
      </c>
      <c r="H775" s="93">
        <v>25441.48</v>
      </c>
      <c r="I775" s="93">
        <v>25444.91</v>
      </c>
      <c r="J775" s="93">
        <v>25446.74</v>
      </c>
      <c r="K775" s="93">
        <v>25504.880000000001</v>
      </c>
      <c r="L775" s="93">
        <v>25519.73</v>
      </c>
      <c r="M775" s="31"/>
      <c r="N775" s="31"/>
      <c r="O775" s="31"/>
      <c r="P775" s="31"/>
      <c r="Q775" s="31"/>
      <c r="R775" s="32"/>
      <c r="S775" s="33"/>
      <c r="T775" s="56"/>
      <c r="U775" s="15"/>
      <c r="V775" s="48"/>
      <c r="W775" s="48"/>
      <c r="X775" s="49"/>
      <c r="Y775" s="49"/>
      <c r="Z775" s="50"/>
      <c r="AA775" s="50"/>
    </row>
    <row r="776" spans="1:27" ht="14.4" thickBot="1" x14ac:dyDescent="0.35">
      <c r="A776" s="99"/>
      <c r="B776" s="98"/>
      <c r="C776" s="34" t="s">
        <v>129</v>
      </c>
      <c r="D776" s="35">
        <f>IF(((D774="")*AND(D775="")),"",(D774-D775)*3)</f>
        <v>10647.929999999993</v>
      </c>
      <c r="E776" s="35">
        <f t="shared" ref="E776:L776" si="254">IF(((E774="")*AND(E775="")),"",(E774-E775)*3)</f>
        <v>10734.899999999998</v>
      </c>
      <c r="F776" s="35">
        <f t="shared" si="254"/>
        <v>10667.550000000007</v>
      </c>
      <c r="G776" s="35">
        <f t="shared" si="254"/>
        <v>11045.939999999999</v>
      </c>
      <c r="H776" s="35">
        <f t="shared" si="254"/>
        <v>11272.200000000004</v>
      </c>
      <c r="I776" s="35">
        <f t="shared" si="254"/>
        <v>11304.120000000003</v>
      </c>
      <c r="J776" s="35">
        <f t="shared" si="254"/>
        <v>11002.679999999993</v>
      </c>
      <c r="K776" s="35">
        <f t="shared" si="254"/>
        <v>10855.830000000002</v>
      </c>
      <c r="L776" s="35">
        <f t="shared" si="254"/>
        <v>11048.52</v>
      </c>
      <c r="M776" s="36"/>
      <c r="N776" s="36"/>
      <c r="O776" s="36"/>
      <c r="P776" s="36"/>
      <c r="Q776" s="36"/>
      <c r="R776" s="37"/>
      <c r="S776" s="38"/>
      <c r="T776" s="57"/>
      <c r="U776" s="15"/>
      <c r="V776" s="51"/>
      <c r="W776" s="51"/>
      <c r="X776" s="52"/>
      <c r="Y776" s="52"/>
      <c r="Z776" s="53"/>
      <c r="AA776" s="53"/>
    </row>
    <row r="777" spans="1:27" ht="15.6" x14ac:dyDescent="0.3">
      <c r="A777" s="100">
        <v>43605</v>
      </c>
      <c r="B777" s="117" t="s">
        <v>431</v>
      </c>
      <c r="C777" s="26" t="s">
        <v>126</v>
      </c>
      <c r="D777">
        <v>29477.17</v>
      </c>
      <c r="E777">
        <v>29354.79</v>
      </c>
      <c r="F777">
        <v>29381.75</v>
      </c>
      <c r="G777">
        <v>29353.23</v>
      </c>
      <c r="H777">
        <v>29483.31</v>
      </c>
      <c r="I777">
        <v>29491.79</v>
      </c>
      <c r="J777">
        <v>29346.17</v>
      </c>
      <c r="K777">
        <v>29329.7</v>
      </c>
      <c r="L777">
        <v>29433.1</v>
      </c>
      <c r="M777" s="27">
        <f>IF((L778=""),"",MAX(D779:L779))</f>
        <v>13204.649999999998</v>
      </c>
      <c r="N777" s="27">
        <f>IF(L778="","",MIN(D779:L779))</f>
        <v>12353.579999999991</v>
      </c>
      <c r="O777" s="27">
        <f>IF((L779=""),"",AVERAGE(D779:L779))</f>
        <v>12706.083333333334</v>
      </c>
      <c r="P777" s="27">
        <f>IF((L778=""),"",STDEV(D779:L779))</f>
        <v>272.5037736435965</v>
      </c>
      <c r="Q777" s="27">
        <f>IF((L778=""),"",P777/O777*100)</f>
        <v>2.1446717016935182</v>
      </c>
      <c r="R777" s="28" t="str">
        <f>IF(L778="","",IF(Q777&lt;Z777,IF(N777&gt;V777,IF(M777&lt;W777,"Pass","Fail"),"Fail"),"Fail"))</f>
        <v>Pass</v>
      </c>
      <c r="S777" s="29">
        <v>1335</v>
      </c>
      <c r="T777" s="50" t="s">
        <v>329</v>
      </c>
      <c r="U777" s="15"/>
      <c r="V777" s="54">
        <v>10000</v>
      </c>
      <c r="W777" s="22">
        <v>15600</v>
      </c>
      <c r="X777" s="40">
        <v>8090</v>
      </c>
      <c r="Y777" s="40">
        <v>12070</v>
      </c>
      <c r="Z777" s="47">
        <v>6</v>
      </c>
      <c r="AA777" s="47">
        <v>6</v>
      </c>
    </row>
    <row r="778" spans="1:27" ht="15.6" x14ac:dyDescent="0.3">
      <c r="A778" s="98"/>
      <c r="B778" s="98"/>
      <c r="C778" s="30" t="s">
        <v>128</v>
      </c>
      <c r="D778">
        <v>25359.31</v>
      </c>
      <c r="E778">
        <v>25191.05</v>
      </c>
      <c r="F778">
        <v>25209.89</v>
      </c>
      <c r="G778">
        <v>25104.21</v>
      </c>
      <c r="H778">
        <v>25138.12</v>
      </c>
      <c r="I778">
        <v>25090.240000000002</v>
      </c>
      <c r="J778">
        <v>25086.66</v>
      </c>
      <c r="K778">
        <v>25143.85</v>
      </c>
      <c r="L778">
        <v>25209.43</v>
      </c>
      <c r="M778" s="31"/>
      <c r="N778" s="31"/>
      <c r="O778" s="31"/>
      <c r="P778" s="31"/>
      <c r="Q778" s="31"/>
      <c r="R778" s="32"/>
      <c r="S778" s="33"/>
      <c r="U778" s="15"/>
      <c r="V778" s="48"/>
      <c r="W778" s="48"/>
      <c r="X778" s="49"/>
      <c r="Y778" s="49"/>
      <c r="Z778" s="50"/>
      <c r="AA778" s="50"/>
    </row>
    <row r="779" spans="1:27" ht="14.4" thickBot="1" x14ac:dyDescent="0.35">
      <c r="A779" s="99"/>
      <c r="B779" s="98"/>
      <c r="C779" s="34" t="s">
        <v>129</v>
      </c>
      <c r="D779" s="35">
        <f>IF(((D777="")*AND(D778="")),"",(D777-D778)*3)</f>
        <v>12353.579999999991</v>
      </c>
      <c r="E779" s="35">
        <f t="shared" ref="E779:L779" si="255">IF(((E777="")*AND(E778="")),"",(E777-E778)*3)</f>
        <v>12491.220000000005</v>
      </c>
      <c r="F779" s="35">
        <f t="shared" si="255"/>
        <v>12515.580000000002</v>
      </c>
      <c r="G779" s="35">
        <f t="shared" si="255"/>
        <v>12747.060000000001</v>
      </c>
      <c r="H779" s="35">
        <f t="shared" si="255"/>
        <v>13035.570000000007</v>
      </c>
      <c r="I779" s="35">
        <f t="shared" si="255"/>
        <v>13204.649999999998</v>
      </c>
      <c r="J779" s="35">
        <f t="shared" si="255"/>
        <v>12778.529999999995</v>
      </c>
      <c r="K779" s="35">
        <f t="shared" si="255"/>
        <v>12557.550000000007</v>
      </c>
      <c r="L779" s="35">
        <f t="shared" si="255"/>
        <v>12671.009999999995</v>
      </c>
      <c r="M779" s="36"/>
      <c r="N779" s="36"/>
      <c r="O779" s="36"/>
      <c r="P779" s="36"/>
      <c r="Q779" s="36"/>
      <c r="R779" s="37"/>
      <c r="S779" s="38"/>
      <c r="U779" s="15"/>
      <c r="V779" s="51"/>
      <c r="W779" s="51"/>
      <c r="X779" s="52"/>
      <c r="Y779" s="52"/>
      <c r="Z779" s="53"/>
      <c r="AA779" s="53"/>
    </row>
    <row r="780" spans="1:27" ht="15.6" x14ac:dyDescent="0.3">
      <c r="A780" s="100">
        <v>43605</v>
      </c>
      <c r="B780" s="117" t="s">
        <v>431</v>
      </c>
      <c r="C780" s="26" t="s">
        <v>126</v>
      </c>
      <c r="D780">
        <v>29477.17</v>
      </c>
      <c r="E780">
        <v>29354.79</v>
      </c>
      <c r="F780">
        <v>29381.75</v>
      </c>
      <c r="G780">
        <v>29353.23</v>
      </c>
      <c r="H780">
        <v>29483.31</v>
      </c>
      <c r="I780">
        <v>29491.79</v>
      </c>
      <c r="J780">
        <v>29346.17</v>
      </c>
      <c r="K780">
        <v>29329.7</v>
      </c>
      <c r="L780">
        <v>29433.1</v>
      </c>
      <c r="M780" s="27">
        <f>IF((L781=""),"",MAX(D782:L782))</f>
        <v>13204.649999999998</v>
      </c>
      <c r="N780" s="27">
        <f>IF(L781="","",MIN(D782:L782))</f>
        <v>12353.579999999991</v>
      </c>
      <c r="O780" s="27">
        <f>IF((L782=""),"",AVERAGE(D782:L782))</f>
        <v>12706.083333333334</v>
      </c>
      <c r="P780" s="27">
        <f>IF((L781=""),"",STDEV(D782:L782))</f>
        <v>272.5037736435965</v>
      </c>
      <c r="Q780" s="27">
        <f>IF((L781=""),"",P780/O780*100)</f>
        <v>2.1446717016935182</v>
      </c>
      <c r="R780" s="28" t="str">
        <f>IF(L781="","",IF(Q780&lt;Z780,IF(N780&gt;V780,IF(M780&lt;W780,"Pass","Fail"),"Fail"),"Fail"))</f>
        <v>Pass</v>
      </c>
      <c r="S780" s="29">
        <v>1335</v>
      </c>
      <c r="T780" s="55"/>
      <c r="V780" s="54">
        <v>10000</v>
      </c>
      <c r="W780" s="22">
        <v>15600</v>
      </c>
      <c r="X780" s="40">
        <v>8090</v>
      </c>
      <c r="Y780" s="40">
        <v>12070</v>
      </c>
      <c r="Z780" s="47">
        <v>6</v>
      </c>
      <c r="AA780" s="47">
        <v>6</v>
      </c>
    </row>
    <row r="781" spans="1:27" ht="15.6" x14ac:dyDescent="0.3">
      <c r="A781" s="98"/>
      <c r="B781" s="98"/>
      <c r="C781" s="30" t="s">
        <v>128</v>
      </c>
      <c r="D781">
        <v>25359.31</v>
      </c>
      <c r="E781">
        <v>25191.05</v>
      </c>
      <c r="F781">
        <v>25209.89</v>
      </c>
      <c r="G781">
        <v>25104.21</v>
      </c>
      <c r="H781">
        <v>25138.12</v>
      </c>
      <c r="I781">
        <v>25090.240000000002</v>
      </c>
      <c r="J781">
        <v>25086.66</v>
      </c>
      <c r="K781">
        <v>25143.85</v>
      </c>
      <c r="L781">
        <v>25209.43</v>
      </c>
      <c r="M781" s="31"/>
      <c r="N781" s="31"/>
      <c r="O781" s="31"/>
      <c r="P781" s="31"/>
      <c r="Q781" s="31"/>
      <c r="R781" s="32"/>
      <c r="S781" s="33"/>
      <c r="T781" s="56"/>
      <c r="V781" s="48"/>
      <c r="W781" s="48"/>
      <c r="X781" s="49"/>
      <c r="Y781" s="49"/>
      <c r="Z781" s="50"/>
      <c r="AA781" s="50"/>
    </row>
    <row r="782" spans="1:27" ht="14.4" thickBot="1" x14ac:dyDescent="0.35">
      <c r="A782" s="99"/>
      <c r="B782" s="98"/>
      <c r="C782" s="34" t="s">
        <v>129</v>
      </c>
      <c r="D782" s="35">
        <f>IF(((D780="")*AND(D781="")),"",(D780-D781)*3)</f>
        <v>12353.579999999991</v>
      </c>
      <c r="E782" s="35">
        <f t="shared" ref="E782:L782" si="256">IF(((E780="")*AND(E781="")),"",(E780-E781)*3)</f>
        <v>12491.220000000005</v>
      </c>
      <c r="F782" s="35">
        <f t="shared" si="256"/>
        <v>12515.580000000002</v>
      </c>
      <c r="G782" s="35">
        <f t="shared" si="256"/>
        <v>12747.060000000001</v>
      </c>
      <c r="H782" s="35">
        <f t="shared" si="256"/>
        <v>13035.570000000007</v>
      </c>
      <c r="I782" s="35">
        <f t="shared" si="256"/>
        <v>13204.649999999998</v>
      </c>
      <c r="J782" s="35">
        <f t="shared" si="256"/>
        <v>12778.529999999995</v>
      </c>
      <c r="K782" s="35">
        <f t="shared" si="256"/>
        <v>12557.550000000007</v>
      </c>
      <c r="L782" s="35">
        <f t="shared" si="256"/>
        <v>12671.009999999995</v>
      </c>
      <c r="M782" s="36"/>
      <c r="N782" s="36"/>
      <c r="O782" s="36"/>
      <c r="P782" s="36"/>
      <c r="Q782" s="36"/>
      <c r="R782" s="37"/>
      <c r="S782" s="38"/>
      <c r="T782" s="57"/>
      <c r="V782" s="51"/>
      <c r="W782" s="51"/>
      <c r="X782" s="52"/>
      <c r="Y782" s="52"/>
      <c r="Z782" s="53"/>
      <c r="AA782" s="53"/>
    </row>
    <row r="783" spans="1:27" ht="15.6" x14ac:dyDescent="0.3">
      <c r="A783" s="100">
        <v>43609</v>
      </c>
      <c r="B783" s="117" t="s">
        <v>431</v>
      </c>
      <c r="C783" s="26" t="s">
        <v>126</v>
      </c>
      <c r="D783">
        <v>29505</v>
      </c>
      <c r="E783">
        <v>29354</v>
      </c>
      <c r="F783">
        <v>29377</v>
      </c>
      <c r="G783">
        <v>29332</v>
      </c>
      <c r="H783">
        <v>29432</v>
      </c>
      <c r="I783">
        <v>29465</v>
      </c>
      <c r="J783">
        <v>29324</v>
      </c>
      <c r="K783">
        <v>29341</v>
      </c>
      <c r="L783">
        <v>29444</v>
      </c>
      <c r="M783" s="27">
        <f>IF((L784=""),"",MAX(D785:L785))</f>
        <v>16233</v>
      </c>
      <c r="N783" s="27">
        <f>IF(L784="","",MIN(D785:L785))</f>
        <v>15141</v>
      </c>
      <c r="O783" s="27">
        <f>IF((L785=""),"",AVERAGE(D785:L785))</f>
        <v>15714</v>
      </c>
      <c r="P783" s="27">
        <f>IF((L784=""),"",STDEV(D785:L785))</f>
        <v>364.97808153367237</v>
      </c>
      <c r="Q783" s="27">
        <f>IF((L784=""),"",P783/O783*100)</f>
        <v>2.3226300212146644</v>
      </c>
      <c r="R783" s="28" t="str">
        <f>IF(L784="","",IF(Q783&lt;Z783,IF(N783&gt;V783,IF(M783&lt;W783,"Pass","Fail"),"Fail"),"Fail"))</f>
        <v>Fail</v>
      </c>
      <c r="S783" s="29">
        <v>1340</v>
      </c>
      <c r="T783" s="55"/>
      <c r="V783" s="54">
        <v>10000</v>
      </c>
      <c r="W783" s="22">
        <v>15600</v>
      </c>
      <c r="X783" s="40">
        <v>8090</v>
      </c>
      <c r="Y783" s="40">
        <v>12070</v>
      </c>
      <c r="Z783" s="47">
        <v>6</v>
      </c>
      <c r="AA783" s="47">
        <v>6</v>
      </c>
    </row>
    <row r="784" spans="1:27" ht="15.6" x14ac:dyDescent="0.3">
      <c r="A784" s="98"/>
      <c r="B784" s="98"/>
      <c r="C784" s="30" t="s">
        <v>128</v>
      </c>
      <c r="D784">
        <v>24188</v>
      </c>
      <c r="E784">
        <v>24061</v>
      </c>
      <c r="F784">
        <v>24330</v>
      </c>
      <c r="G784">
        <v>24083</v>
      </c>
      <c r="H784">
        <v>24281</v>
      </c>
      <c r="I784">
        <v>24338</v>
      </c>
      <c r="J784">
        <v>24151</v>
      </c>
      <c r="K784">
        <v>23967</v>
      </c>
      <c r="L784">
        <v>24033</v>
      </c>
      <c r="M784" s="31"/>
      <c r="N784" s="31"/>
      <c r="O784" s="31"/>
      <c r="P784" s="31"/>
      <c r="Q784" s="31"/>
      <c r="R784" s="32"/>
      <c r="S784" s="33"/>
      <c r="T784" s="56"/>
      <c r="V784" s="48"/>
      <c r="W784" s="48"/>
      <c r="X784" s="49"/>
      <c r="Y784" s="49"/>
      <c r="Z784" s="50"/>
      <c r="AA784" s="50"/>
    </row>
    <row r="785" spans="1:27" ht="14.4" thickBot="1" x14ac:dyDescent="0.35">
      <c r="A785" s="99"/>
      <c r="B785" s="98"/>
      <c r="C785" s="34" t="s">
        <v>129</v>
      </c>
      <c r="D785" s="35">
        <f>IF(((D783="")*AND(D784="")),"",(D783-D784)*3)</f>
        <v>15951</v>
      </c>
      <c r="E785" s="35">
        <f t="shared" ref="E785:L785" si="257">IF(((E783="")*AND(E784="")),"",(E783-E784)*3)</f>
        <v>15879</v>
      </c>
      <c r="F785" s="35">
        <f t="shared" si="257"/>
        <v>15141</v>
      </c>
      <c r="G785" s="35">
        <f t="shared" si="257"/>
        <v>15747</v>
      </c>
      <c r="H785" s="35">
        <f t="shared" si="257"/>
        <v>15453</v>
      </c>
      <c r="I785" s="35">
        <f t="shared" si="257"/>
        <v>15381</v>
      </c>
      <c r="J785" s="35">
        <f t="shared" si="257"/>
        <v>15519</v>
      </c>
      <c r="K785" s="35">
        <f t="shared" si="257"/>
        <v>16122</v>
      </c>
      <c r="L785" s="35">
        <f t="shared" si="257"/>
        <v>16233</v>
      </c>
      <c r="M785" s="36"/>
      <c r="N785" s="36"/>
      <c r="O785" s="36"/>
      <c r="P785" s="36"/>
      <c r="Q785" s="36"/>
      <c r="R785" s="37"/>
      <c r="S785" s="38"/>
      <c r="T785" s="57"/>
      <c r="V785" s="51"/>
      <c r="W785" s="51"/>
      <c r="X785" s="52"/>
      <c r="Y785" s="52"/>
      <c r="Z785" s="53"/>
      <c r="AA785" s="53"/>
    </row>
    <row r="786" spans="1:27" ht="15.6" x14ac:dyDescent="0.3">
      <c r="A786" s="100">
        <v>43609</v>
      </c>
      <c r="B786" s="117" t="s">
        <v>431</v>
      </c>
      <c r="C786" s="26" t="s">
        <v>126</v>
      </c>
      <c r="D786">
        <v>29413.58</v>
      </c>
      <c r="E786">
        <v>29262.45</v>
      </c>
      <c r="F786">
        <v>29257.88</v>
      </c>
      <c r="G786">
        <v>29266.080000000002</v>
      </c>
      <c r="H786">
        <v>29392.13</v>
      </c>
      <c r="I786">
        <v>29353.02</v>
      </c>
      <c r="J786">
        <v>29246.2</v>
      </c>
      <c r="K786">
        <v>29264.36</v>
      </c>
      <c r="L786">
        <v>29397.62</v>
      </c>
      <c r="M786" s="27">
        <f>IF((L787=""),"",MAX(D788:L788))</f>
        <v>13315.799999999996</v>
      </c>
      <c r="N786" s="27">
        <f>IF(L787="","",MIN(D788:L788))</f>
        <v>12446.73000000001</v>
      </c>
      <c r="O786" s="27">
        <f>IF((L788=""),"",AVERAGE(D788:L788))</f>
        <v>12856.413333333338</v>
      </c>
      <c r="P786" s="27">
        <f>IF((L787=""),"",STDEV(D788:L788))</f>
        <v>299.44148063519503</v>
      </c>
      <c r="Q786" s="27">
        <f>IF((L787=""),"",P786/O786*100)</f>
        <v>2.3291214499056365</v>
      </c>
      <c r="R786" s="28" t="str">
        <f>IF(L787="","",IF(Q786&lt;Z786,IF(N786&gt;V786,IF(M786&lt;W786,"Pass","Fail"),"Fail"),"Fail"))</f>
        <v>Pass</v>
      </c>
      <c r="S786" s="29">
        <v>1340</v>
      </c>
      <c r="T786" s="55" t="s">
        <v>330</v>
      </c>
      <c r="V786" s="54">
        <v>10000</v>
      </c>
      <c r="W786" s="22">
        <v>15600</v>
      </c>
      <c r="X786" s="40">
        <v>8090</v>
      </c>
      <c r="Y786" s="40">
        <v>12070</v>
      </c>
      <c r="Z786" s="47">
        <v>6</v>
      </c>
      <c r="AA786" s="47">
        <v>6</v>
      </c>
    </row>
    <row r="787" spans="1:27" ht="15.6" x14ac:dyDescent="0.3">
      <c r="A787" s="98"/>
      <c r="B787" s="98"/>
      <c r="C787" s="30" t="s">
        <v>128</v>
      </c>
      <c r="D787">
        <v>25264.67</v>
      </c>
      <c r="E787">
        <v>25061.98</v>
      </c>
      <c r="F787">
        <v>25077.73</v>
      </c>
      <c r="G787">
        <v>24927.84</v>
      </c>
      <c r="H787">
        <v>24978.74</v>
      </c>
      <c r="I787">
        <v>25078.68</v>
      </c>
      <c r="J787">
        <v>24960.47</v>
      </c>
      <c r="K787">
        <v>24974.95</v>
      </c>
      <c r="L787">
        <v>24959.02</v>
      </c>
      <c r="M787" s="31"/>
      <c r="N787" s="31"/>
      <c r="O787" s="31"/>
      <c r="P787" s="31"/>
      <c r="Q787" s="31"/>
      <c r="R787" s="32"/>
      <c r="S787" s="33"/>
      <c r="T787" s="56"/>
      <c r="V787" s="48"/>
      <c r="W787" s="48"/>
      <c r="X787" s="49"/>
      <c r="Y787" s="49"/>
      <c r="Z787" s="50"/>
      <c r="AA787" s="50"/>
    </row>
    <row r="788" spans="1:27" ht="14.4" thickBot="1" x14ac:dyDescent="0.35">
      <c r="A788" s="99"/>
      <c r="B788" s="98"/>
      <c r="C788" s="34" t="s">
        <v>129</v>
      </c>
      <c r="D788" s="35">
        <f>IF(((D786="")*AND(D787="")),"",(D786-D787)*3)</f>
        <v>12446.73000000001</v>
      </c>
      <c r="E788" s="35">
        <f t="shared" ref="E788:L788" si="258">IF(((E786="")*AND(E787="")),"",(E786-E787)*3)</f>
        <v>12601.410000000003</v>
      </c>
      <c r="F788" s="35">
        <f t="shared" si="258"/>
        <v>12540.450000000004</v>
      </c>
      <c r="G788" s="35">
        <f t="shared" si="258"/>
        <v>13014.720000000005</v>
      </c>
      <c r="H788" s="35">
        <f t="shared" si="258"/>
        <v>13240.169999999998</v>
      </c>
      <c r="I788" s="35">
        <f t="shared" si="258"/>
        <v>12823.02</v>
      </c>
      <c r="J788" s="35">
        <f t="shared" si="258"/>
        <v>12857.189999999999</v>
      </c>
      <c r="K788" s="35">
        <f t="shared" si="258"/>
        <v>12868.23</v>
      </c>
      <c r="L788" s="35">
        <f t="shared" si="258"/>
        <v>13315.799999999996</v>
      </c>
      <c r="M788" s="36"/>
      <c r="N788" s="36"/>
      <c r="O788" s="36"/>
      <c r="P788" s="36"/>
      <c r="Q788" s="36"/>
      <c r="R788" s="37"/>
      <c r="S788" s="38"/>
      <c r="T788" s="57"/>
      <c r="V788" s="51"/>
      <c r="W788" s="51"/>
      <c r="X788" s="52"/>
      <c r="Y788" s="52"/>
      <c r="Z788" s="53"/>
      <c r="AA788" s="53"/>
    </row>
    <row r="789" spans="1:27" ht="15.6" x14ac:dyDescent="0.3">
      <c r="A789" s="100">
        <v>43613</v>
      </c>
      <c r="B789" s="117" t="s">
        <v>431</v>
      </c>
      <c r="C789" s="26" t="s">
        <v>126</v>
      </c>
      <c r="D789">
        <v>29362.97</v>
      </c>
      <c r="E789">
        <v>29265.38</v>
      </c>
      <c r="F789">
        <v>29303.63</v>
      </c>
      <c r="G789">
        <v>29259.599999999999</v>
      </c>
      <c r="H789">
        <v>29394.52</v>
      </c>
      <c r="I789">
        <v>29370.09</v>
      </c>
      <c r="J789">
        <v>29260.9</v>
      </c>
      <c r="K789">
        <v>29269.39</v>
      </c>
      <c r="L789">
        <v>29403.66</v>
      </c>
      <c r="M789" s="27">
        <f>IF((L790=""),"",MAX(D791:L791))</f>
        <v>12501.870000000003</v>
      </c>
      <c r="N789" s="27">
        <f>IF(L790="","",MIN(D791:L791))</f>
        <v>11816.490000000005</v>
      </c>
      <c r="O789" s="27">
        <f>IF((L791=""),"",AVERAGE(D791:L791))</f>
        <v>12158.550000000003</v>
      </c>
      <c r="P789" s="27">
        <f>IF((L790=""),"",STDEV(D791:L791))</f>
        <v>260.64476256007833</v>
      </c>
      <c r="Q789" s="27">
        <f>IF((L790=""),"",P789/O789*100)</f>
        <v>2.1437158424325129</v>
      </c>
      <c r="R789" s="28" t="str">
        <f>IF(L790="","",IF(Q789&lt;Z789,IF(N789&gt;V789,IF(M789&lt;W789,"Pass","Fail"),"Fail"),"Fail"))</f>
        <v>Pass</v>
      </c>
      <c r="S789" s="29">
        <v>1340</v>
      </c>
      <c r="T789" s="55"/>
      <c r="V789" s="54">
        <v>10000</v>
      </c>
      <c r="W789" s="22">
        <v>15600</v>
      </c>
      <c r="X789" s="40">
        <v>8090</v>
      </c>
      <c r="Y789" s="40">
        <v>12070</v>
      </c>
      <c r="Z789" s="47">
        <v>6</v>
      </c>
      <c r="AA789" s="47">
        <v>6</v>
      </c>
    </row>
    <row r="790" spans="1:27" ht="15.6" x14ac:dyDescent="0.3">
      <c r="A790" s="98"/>
      <c r="B790" s="98"/>
      <c r="C790" s="30" t="s">
        <v>128</v>
      </c>
      <c r="D790">
        <v>25424.14</v>
      </c>
      <c r="E790">
        <v>25293.32</v>
      </c>
      <c r="F790">
        <v>25362.95</v>
      </c>
      <c r="G790">
        <v>25176.44</v>
      </c>
      <c r="H790">
        <v>25227.23</v>
      </c>
      <c r="I790">
        <v>25270.9</v>
      </c>
      <c r="J790">
        <v>25190.03</v>
      </c>
      <c r="K790">
        <v>25226.77</v>
      </c>
      <c r="L790">
        <v>25242.71</v>
      </c>
      <c r="M790" s="31"/>
      <c r="N790" s="31"/>
      <c r="O790" s="31"/>
      <c r="P790" s="31"/>
      <c r="Q790" s="31"/>
      <c r="R790" s="32"/>
      <c r="S790" s="33"/>
      <c r="T790" s="56"/>
      <c r="V790" s="48"/>
      <c r="W790" s="48"/>
      <c r="X790" s="49"/>
      <c r="Y790" s="49"/>
      <c r="Z790" s="50"/>
      <c r="AA790" s="50"/>
    </row>
    <row r="791" spans="1:27" ht="14.4" thickBot="1" x14ac:dyDescent="0.35">
      <c r="A791" s="99"/>
      <c r="B791" s="98"/>
      <c r="C791" s="34" t="s">
        <v>129</v>
      </c>
      <c r="D791" s="35">
        <f>IF(((D789="")*AND(D790="")),"",(D789-D790)*3)</f>
        <v>11816.490000000005</v>
      </c>
      <c r="E791" s="35">
        <f t="shared" ref="E791:L791" si="259">IF(((E789="")*AND(E790="")),"",(E789-E790)*3)</f>
        <v>11916.180000000004</v>
      </c>
      <c r="F791" s="35">
        <f t="shared" si="259"/>
        <v>11822.04</v>
      </c>
      <c r="G791" s="35">
        <f t="shared" si="259"/>
        <v>12249.48</v>
      </c>
      <c r="H791" s="35">
        <f t="shared" si="259"/>
        <v>12501.870000000003</v>
      </c>
      <c r="I791" s="35">
        <f t="shared" si="259"/>
        <v>12297.569999999996</v>
      </c>
      <c r="J791" s="35">
        <f t="shared" si="259"/>
        <v>12212.610000000008</v>
      </c>
      <c r="K791" s="35">
        <f t="shared" si="259"/>
        <v>12127.859999999997</v>
      </c>
      <c r="L791" s="35">
        <f t="shared" si="259"/>
        <v>12482.850000000002</v>
      </c>
      <c r="M791" s="36"/>
      <c r="N791" s="36"/>
      <c r="O791" s="36"/>
      <c r="P791" s="36"/>
      <c r="Q791" s="36"/>
      <c r="R791" s="37"/>
      <c r="S791" s="38"/>
      <c r="T791" s="57"/>
      <c r="V791" s="51"/>
      <c r="W791" s="51"/>
      <c r="X791" s="52"/>
      <c r="Y791" s="52"/>
      <c r="Z791" s="53"/>
      <c r="AA791" s="53"/>
    </row>
    <row r="792" spans="1:27" ht="15.6" x14ac:dyDescent="0.3">
      <c r="A792" s="100">
        <v>43617</v>
      </c>
      <c r="B792" s="117" t="s">
        <v>431</v>
      </c>
      <c r="C792" s="26" t="s">
        <v>126</v>
      </c>
      <c r="D792">
        <v>29382.23</v>
      </c>
      <c r="E792">
        <v>29249</v>
      </c>
      <c r="F792">
        <v>29261.81</v>
      </c>
      <c r="G792">
        <v>29228.21</v>
      </c>
      <c r="H792">
        <v>29319.1</v>
      </c>
      <c r="I792">
        <v>29336.7</v>
      </c>
      <c r="J792">
        <v>29205.26</v>
      </c>
      <c r="K792">
        <v>29243.43</v>
      </c>
      <c r="L792">
        <v>29344.959999999999</v>
      </c>
      <c r="M792" s="27">
        <f>IF((L793=""),"",MAX(D794:L794))</f>
        <v>12634.049999999996</v>
      </c>
      <c r="N792" s="27">
        <f>IF(L793="","",MIN(D794:L794))</f>
        <v>11976.27</v>
      </c>
      <c r="O792" s="27">
        <f>IF((L794=""),"",AVERAGE(D794:L794))</f>
        <v>12318.529999999999</v>
      </c>
      <c r="P792" s="27">
        <f>IF((L793=""),"",STDEV(D794:L794))</f>
        <v>245.28249876417937</v>
      </c>
      <c r="Q792" s="27">
        <f>IF((L793=""),"",P792/O792*100)</f>
        <v>1.9911669555066993</v>
      </c>
      <c r="R792" s="28" t="str">
        <f>IF(L793="","",IF(Q792&lt;Z792,IF(N792&gt;V792,IF(M792&lt;W792,"Pass","Fail"),"Fail"),"Fail"))</f>
        <v>Pass</v>
      </c>
      <c r="S792" s="29">
        <v>121</v>
      </c>
      <c r="T792" s="55" t="s">
        <v>334</v>
      </c>
      <c r="V792" s="54">
        <v>10000</v>
      </c>
      <c r="W792" s="22">
        <v>15600</v>
      </c>
      <c r="X792" s="40">
        <v>8090</v>
      </c>
      <c r="Y792" s="40">
        <v>12070</v>
      </c>
      <c r="Z792" s="47">
        <v>6</v>
      </c>
      <c r="AA792" s="47">
        <v>6</v>
      </c>
    </row>
    <row r="793" spans="1:27" ht="15.6" x14ac:dyDescent="0.3">
      <c r="A793" s="98"/>
      <c r="B793" s="98"/>
      <c r="C793" s="30" t="s">
        <v>128</v>
      </c>
      <c r="D793">
        <v>25193.23</v>
      </c>
      <c r="E793">
        <v>25110.09</v>
      </c>
      <c r="F793">
        <v>25266.959999999999</v>
      </c>
      <c r="G793">
        <v>25174.880000000001</v>
      </c>
      <c r="H793">
        <v>25327.01</v>
      </c>
      <c r="I793">
        <v>25197.68</v>
      </c>
      <c r="J793">
        <v>25136.240000000002</v>
      </c>
      <c r="K793">
        <v>25075.41</v>
      </c>
      <c r="L793">
        <v>25133.61</v>
      </c>
      <c r="M793" s="31"/>
      <c r="N793" s="31"/>
      <c r="O793" s="31"/>
      <c r="P793" s="31"/>
      <c r="Q793" s="31"/>
      <c r="R793" s="32"/>
      <c r="S793" s="33"/>
      <c r="T793" s="56"/>
      <c r="V793" s="48"/>
      <c r="W793" s="48"/>
      <c r="X793" s="49"/>
      <c r="Y793" s="49"/>
      <c r="Z793" s="50"/>
      <c r="AA793" s="50"/>
    </row>
    <row r="794" spans="1:27" ht="14.4" thickBot="1" x14ac:dyDescent="0.35">
      <c r="A794" s="99"/>
      <c r="B794" s="98"/>
      <c r="C794" s="34" t="s">
        <v>129</v>
      </c>
      <c r="D794" s="35">
        <f>IF(((D792="")*AND(D793="")),"",(D792-D793)*3)</f>
        <v>12567</v>
      </c>
      <c r="E794" s="35">
        <f t="shared" ref="E794:L794" si="260">IF(((E792="")*AND(E793="")),"",(E792-E793)*3)</f>
        <v>12416.73</v>
      </c>
      <c r="F794" s="35">
        <f t="shared" si="260"/>
        <v>11984.550000000007</v>
      </c>
      <c r="G794" s="35">
        <f t="shared" si="260"/>
        <v>12159.989999999994</v>
      </c>
      <c r="H794" s="35">
        <f t="shared" si="260"/>
        <v>11976.27</v>
      </c>
      <c r="I794" s="35">
        <f t="shared" si="260"/>
        <v>12417.060000000001</v>
      </c>
      <c r="J794" s="35">
        <f t="shared" si="260"/>
        <v>12207.05999999999</v>
      </c>
      <c r="K794" s="35">
        <f t="shared" si="260"/>
        <v>12504.060000000001</v>
      </c>
      <c r="L794" s="35">
        <f t="shared" si="260"/>
        <v>12634.049999999996</v>
      </c>
      <c r="M794" s="36"/>
      <c r="N794" s="36"/>
      <c r="O794" s="36"/>
      <c r="P794" s="36"/>
      <c r="Q794" s="36"/>
      <c r="R794" s="37"/>
      <c r="S794" s="38"/>
      <c r="T794" s="57"/>
      <c r="V794" s="51"/>
      <c r="W794" s="51"/>
      <c r="X794" s="52"/>
      <c r="Y794" s="52"/>
      <c r="Z794" s="53"/>
      <c r="AA794" s="53"/>
    </row>
    <row r="795" spans="1:27" ht="15.6" x14ac:dyDescent="0.3">
      <c r="A795" s="100">
        <v>43622</v>
      </c>
      <c r="B795" s="117" t="s">
        <v>431</v>
      </c>
      <c r="C795" s="26" t="s">
        <v>126</v>
      </c>
      <c r="D795" s="104">
        <v>29362.76</v>
      </c>
      <c r="E795" s="104">
        <v>29219.42</v>
      </c>
      <c r="F795" s="104">
        <v>29240.97</v>
      </c>
      <c r="G795" s="104">
        <v>29217.26</v>
      </c>
      <c r="H795" s="104">
        <v>29321.279999999999</v>
      </c>
      <c r="I795" s="104">
        <v>29360.95</v>
      </c>
      <c r="J795" s="104">
        <v>29210.98</v>
      </c>
      <c r="K795" s="104">
        <v>29208.09</v>
      </c>
      <c r="L795" s="104">
        <v>29305.64</v>
      </c>
      <c r="M795" s="27">
        <f>IF((L796=""),"",MAX(D797:L797))</f>
        <v>12176.340000000007</v>
      </c>
      <c r="N795" s="27">
        <f>IF(L796="","",MIN(D797:L797))</f>
        <v>11562.240000000005</v>
      </c>
      <c r="O795" s="27">
        <f>IF((L797=""),"",AVERAGE(D797:L797))</f>
        <v>11908.183333333332</v>
      </c>
      <c r="P795" s="27">
        <f>IF((L796=""),"",STDEV(D797:L797))</f>
        <v>225.14036177460505</v>
      </c>
      <c r="Q795" s="27">
        <f>IF((L796=""),"",P795/O795*100)</f>
        <v>1.8906356702150628</v>
      </c>
      <c r="R795" s="28" t="str">
        <f>IF(L796="","",IF(Q795&lt;Z795,IF(N795&gt;V795,IF(M795&lt;W795,"Pass","Fail"),"Fail"),"Fail"))</f>
        <v>Pass</v>
      </c>
      <c r="S795" s="29">
        <v>64</v>
      </c>
      <c r="T795" s="55" t="s">
        <v>335</v>
      </c>
      <c r="V795" s="54">
        <v>10000</v>
      </c>
      <c r="W795" s="22">
        <v>15600</v>
      </c>
      <c r="X795" s="40">
        <v>8090</v>
      </c>
      <c r="Y795" s="40">
        <v>12070</v>
      </c>
      <c r="Z795" s="47">
        <v>6</v>
      </c>
      <c r="AA795" s="47">
        <v>6</v>
      </c>
    </row>
    <row r="796" spans="1:27" ht="15.6" x14ac:dyDescent="0.3">
      <c r="A796" s="98"/>
      <c r="B796" s="98"/>
      <c r="C796" s="30" t="s">
        <v>128</v>
      </c>
      <c r="D796" s="104">
        <v>25331.63</v>
      </c>
      <c r="E796" s="104">
        <v>25233.599999999999</v>
      </c>
      <c r="F796" s="104">
        <v>25386.89</v>
      </c>
      <c r="G796" s="104">
        <v>25312.400000000001</v>
      </c>
      <c r="H796" s="104">
        <v>25434.67</v>
      </c>
      <c r="I796" s="104">
        <v>25302.17</v>
      </c>
      <c r="J796" s="104">
        <v>25260.37</v>
      </c>
      <c r="K796" s="104">
        <v>25212.04</v>
      </c>
      <c r="L796" s="104">
        <v>25249.03</v>
      </c>
      <c r="M796" s="31"/>
      <c r="N796" s="31"/>
      <c r="O796" s="31"/>
      <c r="P796" s="31"/>
      <c r="Q796" s="31"/>
      <c r="R796" s="32"/>
      <c r="S796" s="33"/>
      <c r="T796" s="56"/>
      <c r="V796" s="48"/>
      <c r="W796" s="48"/>
      <c r="X796" s="49"/>
      <c r="Y796" s="49"/>
      <c r="Z796" s="50"/>
      <c r="AA796" s="50"/>
    </row>
    <row r="797" spans="1:27" ht="14.4" thickBot="1" x14ac:dyDescent="0.35">
      <c r="A797" s="99"/>
      <c r="B797" s="98"/>
      <c r="C797" s="34" t="s">
        <v>129</v>
      </c>
      <c r="D797" s="35">
        <f>IF(((D795="")*AND(D796="")),"",(D795-D796)*3)</f>
        <v>12093.389999999992</v>
      </c>
      <c r="E797" s="35">
        <f t="shared" ref="E797:L797" si="261">IF(((E795="")*AND(E796="")),"",(E795-E796)*3)</f>
        <v>11957.46</v>
      </c>
      <c r="F797" s="35">
        <f t="shared" si="261"/>
        <v>11562.240000000005</v>
      </c>
      <c r="G797" s="35">
        <f t="shared" si="261"/>
        <v>11714.579999999991</v>
      </c>
      <c r="H797" s="35">
        <f t="shared" si="261"/>
        <v>11659.830000000002</v>
      </c>
      <c r="I797" s="35">
        <f t="shared" si="261"/>
        <v>12176.340000000007</v>
      </c>
      <c r="J797" s="35">
        <f t="shared" si="261"/>
        <v>11851.830000000002</v>
      </c>
      <c r="K797" s="35">
        <f t="shared" si="261"/>
        <v>11988.149999999998</v>
      </c>
      <c r="L797" s="35">
        <f t="shared" si="261"/>
        <v>12169.830000000002</v>
      </c>
      <c r="M797" s="36"/>
      <c r="N797" s="36"/>
      <c r="O797" s="36"/>
      <c r="P797" s="36"/>
      <c r="Q797" s="36"/>
      <c r="R797" s="37"/>
      <c r="S797" s="38"/>
      <c r="T797" s="57"/>
      <c r="V797" s="51"/>
      <c r="W797" s="51"/>
      <c r="X797" s="52"/>
      <c r="Y797" s="52"/>
      <c r="Z797" s="53"/>
      <c r="AA797" s="53"/>
    </row>
    <row r="798" spans="1:27" ht="15.6" x14ac:dyDescent="0.3">
      <c r="A798" s="100">
        <v>43626</v>
      </c>
      <c r="B798" s="117" t="s">
        <v>431</v>
      </c>
      <c r="C798" s="26" t="s">
        <v>126</v>
      </c>
      <c r="D798">
        <v>29354.75</v>
      </c>
      <c r="E798">
        <v>29200.82</v>
      </c>
      <c r="F798">
        <v>29209.83</v>
      </c>
      <c r="G798">
        <v>29201.27</v>
      </c>
      <c r="H798">
        <v>29293.08</v>
      </c>
      <c r="I798">
        <v>29335.05</v>
      </c>
      <c r="J798">
        <v>29201.61</v>
      </c>
      <c r="K798">
        <v>29190.639999999999</v>
      </c>
      <c r="L798">
        <v>29298.82</v>
      </c>
      <c r="M798" s="27">
        <f>IF((L799=""),"",MAX(D800:L800))</f>
        <v>11611.830000000002</v>
      </c>
      <c r="N798" s="27">
        <f>IF(L799="","",MIN(D800:L800))</f>
        <v>11081.73</v>
      </c>
      <c r="O798" s="27">
        <f>IF((L800=""),"",AVERAGE(D800:L800))</f>
        <v>11421.23</v>
      </c>
      <c r="P798" s="27">
        <f>IF((L799=""),"",STDEV(D800:L800))</f>
        <v>193.62928529796221</v>
      </c>
      <c r="Q798" s="27">
        <f>IF((L799=""),"",P798/O798*100)</f>
        <v>1.695345293790268</v>
      </c>
      <c r="R798" s="28" t="str">
        <f>IF(L799="","",IF(Q798&lt;Z798,IF(N798&gt;V798,IF(M798&lt;W798,"Pass","Fail"),"Fail"),"Fail"))</f>
        <v>Pass</v>
      </c>
      <c r="S798" s="29">
        <v>1428</v>
      </c>
      <c r="T798" s="55" t="s">
        <v>337</v>
      </c>
      <c r="V798" s="54">
        <v>10000</v>
      </c>
      <c r="W798" s="22">
        <v>15600</v>
      </c>
      <c r="X798" s="40">
        <v>8090</v>
      </c>
      <c r="Y798" s="40">
        <v>12070</v>
      </c>
      <c r="Z798" s="47">
        <v>6</v>
      </c>
      <c r="AA798" s="47">
        <v>6</v>
      </c>
    </row>
    <row r="799" spans="1:27" ht="15.6" x14ac:dyDescent="0.3">
      <c r="A799" s="98"/>
      <c r="B799" s="98"/>
      <c r="C799" s="30" t="s">
        <v>128</v>
      </c>
      <c r="D799">
        <v>25660.84</v>
      </c>
      <c r="E799">
        <v>25439.87</v>
      </c>
      <c r="F799">
        <v>25481.62</v>
      </c>
      <c r="G799">
        <v>25359.74</v>
      </c>
      <c r="H799">
        <v>25436.38</v>
      </c>
      <c r="I799">
        <v>25480.12</v>
      </c>
      <c r="J799">
        <v>25347.84</v>
      </c>
      <c r="K799">
        <v>25387.56</v>
      </c>
      <c r="L799">
        <v>25428.21</v>
      </c>
      <c r="M799" s="31"/>
      <c r="N799" s="31"/>
      <c r="O799" s="31"/>
      <c r="P799" s="31"/>
      <c r="Q799" s="31"/>
      <c r="R799" s="32"/>
      <c r="S799" s="33"/>
      <c r="T799" s="56"/>
      <c r="V799" s="48"/>
      <c r="W799" s="48"/>
      <c r="X799" s="49"/>
      <c r="Y799" s="49"/>
      <c r="Z799" s="50"/>
      <c r="AA799" s="50"/>
    </row>
    <row r="800" spans="1:27" ht="14.4" thickBot="1" x14ac:dyDescent="0.35">
      <c r="A800" s="99"/>
      <c r="B800" s="98"/>
      <c r="C800" s="34" t="s">
        <v>129</v>
      </c>
      <c r="D800" s="35">
        <f>IF(((D798="")*AND(D799="")),"",(D798-D799)*3)</f>
        <v>11081.73</v>
      </c>
      <c r="E800" s="35">
        <f t="shared" ref="E800:L800" si="262">IF(((E798="")*AND(E799="")),"",(E798-E799)*3)</f>
        <v>11282.850000000002</v>
      </c>
      <c r="F800" s="35">
        <f t="shared" si="262"/>
        <v>11184.630000000008</v>
      </c>
      <c r="G800" s="35">
        <f t="shared" si="262"/>
        <v>11524.589999999997</v>
      </c>
      <c r="H800" s="35">
        <f t="shared" si="262"/>
        <v>11570.100000000002</v>
      </c>
      <c r="I800" s="35">
        <f t="shared" si="262"/>
        <v>11564.79</v>
      </c>
      <c r="J800" s="35">
        <f t="shared" si="262"/>
        <v>11561.310000000001</v>
      </c>
      <c r="K800" s="35">
        <f t="shared" si="262"/>
        <v>11409.239999999994</v>
      </c>
      <c r="L800" s="35">
        <f t="shared" si="262"/>
        <v>11611.830000000002</v>
      </c>
      <c r="M800" s="36"/>
      <c r="N800" s="36"/>
      <c r="O800" s="36"/>
      <c r="P800" s="36"/>
      <c r="Q800" s="36"/>
      <c r="R800" s="37"/>
      <c r="S800" s="38"/>
      <c r="T800" s="57"/>
      <c r="V800" s="51"/>
      <c r="W800" s="51"/>
      <c r="X800" s="52"/>
      <c r="Y800" s="52"/>
      <c r="Z800" s="53"/>
      <c r="AA800" s="53"/>
    </row>
    <row r="801" spans="1:27" ht="15.6" x14ac:dyDescent="0.3">
      <c r="A801" s="100">
        <v>43630</v>
      </c>
      <c r="B801" s="117" t="s">
        <v>431</v>
      </c>
      <c r="C801" s="26" t="s">
        <v>126</v>
      </c>
      <c r="D801">
        <v>29222.78</v>
      </c>
      <c r="E801">
        <v>29117.38</v>
      </c>
      <c r="F801">
        <v>29146.38</v>
      </c>
      <c r="G801">
        <v>29117.96</v>
      </c>
      <c r="H801">
        <v>29238.51</v>
      </c>
      <c r="I801">
        <v>29256.36</v>
      </c>
      <c r="J801">
        <v>29107.47</v>
      </c>
      <c r="K801">
        <v>29095.57</v>
      </c>
      <c r="L801">
        <v>29208.58</v>
      </c>
      <c r="M801" s="27">
        <f>IF((L802=""),"",MAX(D803:L803))</f>
        <v>14861.339999999997</v>
      </c>
      <c r="N801" s="27">
        <f>IF(L802="","",MIN(D803:L803))</f>
        <v>13738.71</v>
      </c>
      <c r="O801" s="27">
        <f>IF((L803=""),"",AVERAGE(D803:L803))</f>
        <v>14516.216666666667</v>
      </c>
      <c r="P801" s="27">
        <f>IF((L802=""),"",STDEV(D803:L803))</f>
        <v>344.00819953890664</v>
      </c>
      <c r="Q801" s="27">
        <f>IF((L802=""),"",P801/O801*100)</f>
        <v>2.3698199567993954</v>
      </c>
      <c r="R801" s="28" t="str">
        <f>IF(L802="","",IF(Q801&lt;Z801,IF(N801&gt;V801,IF(M801&lt;W801,"Pass","Fail"),"Fail"),"Fail"))</f>
        <v>Pass</v>
      </c>
      <c r="S801" s="29">
        <v>1428</v>
      </c>
      <c r="T801" s="55" t="s">
        <v>338</v>
      </c>
      <c r="V801" s="54">
        <v>10000</v>
      </c>
      <c r="W801" s="22">
        <v>15600</v>
      </c>
      <c r="X801" s="40">
        <v>8090</v>
      </c>
      <c r="Y801" s="40">
        <v>12070</v>
      </c>
      <c r="Z801" s="47">
        <v>6</v>
      </c>
      <c r="AA801" s="47">
        <v>6</v>
      </c>
    </row>
    <row r="802" spans="1:27" ht="15.6" x14ac:dyDescent="0.3">
      <c r="A802" s="98"/>
      <c r="B802" s="98"/>
      <c r="C802" s="30" t="s">
        <v>128</v>
      </c>
      <c r="D802">
        <v>24643.21</v>
      </c>
      <c r="E802">
        <v>24343.15</v>
      </c>
      <c r="F802">
        <v>24292.51</v>
      </c>
      <c r="G802">
        <v>24164.18</v>
      </c>
      <c r="H802">
        <v>24294.91</v>
      </c>
      <c r="I802">
        <v>24407.58</v>
      </c>
      <c r="J802">
        <v>24173.51</v>
      </c>
      <c r="K802">
        <v>24258.16</v>
      </c>
      <c r="L802">
        <v>24385.13</v>
      </c>
      <c r="M802" s="31"/>
      <c r="N802" s="31"/>
      <c r="O802" s="31"/>
      <c r="P802" s="31"/>
      <c r="Q802" s="31"/>
      <c r="R802" s="32"/>
      <c r="S802" s="33"/>
      <c r="T802" s="56"/>
      <c r="V802" s="48"/>
      <c r="W802" s="48"/>
      <c r="X802" s="49"/>
      <c r="Y802" s="49"/>
      <c r="Z802" s="50"/>
      <c r="AA802" s="50"/>
    </row>
    <row r="803" spans="1:27" ht="14.4" thickBot="1" x14ac:dyDescent="0.35">
      <c r="A803" s="99"/>
      <c r="B803" s="98"/>
      <c r="C803" s="34" t="s">
        <v>129</v>
      </c>
      <c r="D803" s="35">
        <f>IF(((D801="")*AND(D802="")),"",(D801-D802)*3)</f>
        <v>13738.71</v>
      </c>
      <c r="E803" s="35">
        <f t="shared" ref="E803:L803" si="263">IF(((E801="")*AND(E802="")),"",(E801-E802)*3)</f>
        <v>14322.689999999999</v>
      </c>
      <c r="F803" s="35">
        <f t="shared" si="263"/>
        <v>14561.610000000008</v>
      </c>
      <c r="G803" s="35">
        <f t="shared" si="263"/>
        <v>14861.339999999997</v>
      </c>
      <c r="H803" s="35">
        <f t="shared" si="263"/>
        <v>14830.799999999996</v>
      </c>
      <c r="I803" s="35">
        <f t="shared" si="263"/>
        <v>14546.339999999997</v>
      </c>
      <c r="J803" s="35">
        <f t="shared" si="263"/>
        <v>14801.880000000008</v>
      </c>
      <c r="K803" s="35">
        <f t="shared" si="263"/>
        <v>14512.23</v>
      </c>
      <c r="L803" s="35">
        <f t="shared" si="263"/>
        <v>14470.350000000002</v>
      </c>
      <c r="M803" s="36"/>
      <c r="N803" s="36"/>
      <c r="O803" s="36"/>
      <c r="P803" s="36"/>
      <c r="Q803" s="36"/>
      <c r="R803" s="37"/>
      <c r="S803" s="38"/>
      <c r="T803" s="57"/>
      <c r="V803" s="51"/>
      <c r="W803" s="51"/>
      <c r="X803" s="52"/>
      <c r="Y803" s="52"/>
      <c r="Z803" s="53"/>
      <c r="AA803" s="53"/>
    </row>
    <row r="804" spans="1:27" ht="15.6" x14ac:dyDescent="0.3">
      <c r="A804" s="100">
        <v>43634</v>
      </c>
      <c r="B804" s="117" t="s">
        <v>431</v>
      </c>
      <c r="C804" s="26" t="s">
        <v>126</v>
      </c>
      <c r="D804">
        <v>29237.18</v>
      </c>
      <c r="E804">
        <v>29110.3</v>
      </c>
      <c r="F804">
        <v>29093.33</v>
      </c>
      <c r="G804">
        <v>29080.93</v>
      </c>
      <c r="H804">
        <v>29198.07</v>
      </c>
      <c r="I804">
        <v>29271.03</v>
      </c>
      <c r="J804">
        <v>29105.17</v>
      </c>
      <c r="K804">
        <v>29084.81</v>
      </c>
      <c r="L804">
        <v>29170.77</v>
      </c>
      <c r="M804" s="27">
        <f>IF((L805=""),"",MAX(D806:L806))</f>
        <v>12047.939999999999</v>
      </c>
      <c r="N804" s="27">
        <f>IF(L805="","",MIN(D806:L806))</f>
        <v>11452.5</v>
      </c>
      <c r="O804" s="27">
        <f>IF((L806=""),"",AVERAGE(D806:L806))</f>
        <v>11821.603333333334</v>
      </c>
      <c r="P804" s="27">
        <f>IF((L805=""),"",STDEV(D806:L806))</f>
        <v>181.00553707000196</v>
      </c>
      <c r="Q804" s="27">
        <f>IF((L805=""),"",P804/O804*100)</f>
        <v>1.5311420284219932</v>
      </c>
      <c r="R804" s="28" t="str">
        <f>IF(L805="","",IF(Q804&lt;Z804,IF(N804&gt;V804,IF(M804&lt;W804,"Pass","Fail"),"Fail"),"Fail"))</f>
        <v>Pass</v>
      </c>
      <c r="S804" s="29">
        <v>1335</v>
      </c>
      <c r="T804" s="55"/>
      <c r="V804" s="54">
        <v>10000</v>
      </c>
      <c r="W804" s="22">
        <v>15600</v>
      </c>
      <c r="X804" s="40">
        <v>8090</v>
      </c>
      <c r="Y804" s="40">
        <v>12070</v>
      </c>
      <c r="Z804" s="47">
        <v>6</v>
      </c>
      <c r="AA804" s="47">
        <v>6</v>
      </c>
    </row>
    <row r="805" spans="1:27" ht="15.6" x14ac:dyDescent="0.3">
      <c r="A805" s="98"/>
      <c r="B805" s="98"/>
      <c r="C805" s="30" t="s">
        <v>128</v>
      </c>
      <c r="D805">
        <v>25358.55</v>
      </c>
      <c r="E805">
        <v>25128.87</v>
      </c>
      <c r="F805">
        <v>25138.49</v>
      </c>
      <c r="G805">
        <v>25108.78</v>
      </c>
      <c r="H805">
        <v>25276.959999999999</v>
      </c>
      <c r="I805">
        <v>25453.53</v>
      </c>
      <c r="J805">
        <v>25156.25</v>
      </c>
      <c r="K805">
        <v>25068.83</v>
      </c>
      <c r="L805">
        <v>25196.52</v>
      </c>
      <c r="M805" s="31"/>
      <c r="N805" s="31"/>
      <c r="O805" s="31"/>
      <c r="P805" s="31"/>
      <c r="Q805" s="31"/>
      <c r="R805" s="32"/>
      <c r="S805" s="33"/>
      <c r="T805" s="56"/>
      <c r="V805" s="48"/>
      <c r="W805" s="48"/>
      <c r="X805" s="49"/>
      <c r="Y805" s="49"/>
      <c r="Z805" s="50"/>
      <c r="AA805" s="50"/>
    </row>
    <row r="806" spans="1:27" ht="14.4" thickBot="1" x14ac:dyDescent="0.35">
      <c r="A806" s="99"/>
      <c r="B806" s="98"/>
      <c r="C806" s="34" t="s">
        <v>129</v>
      </c>
      <c r="D806" s="35">
        <f>IF(((D804="")*AND(D805="")),"",(D804-D805)*3)</f>
        <v>11635.890000000003</v>
      </c>
      <c r="E806" s="35">
        <f t="shared" ref="E806:L806" si="264">IF(((E804="")*AND(E805="")),"",(E804-E805)*3)</f>
        <v>11944.29</v>
      </c>
      <c r="F806" s="35">
        <f t="shared" si="264"/>
        <v>11864.52</v>
      </c>
      <c r="G806" s="35">
        <f t="shared" si="264"/>
        <v>11916.450000000004</v>
      </c>
      <c r="H806" s="35">
        <f t="shared" si="264"/>
        <v>11763.330000000002</v>
      </c>
      <c r="I806" s="35">
        <f t="shared" si="264"/>
        <v>11452.5</v>
      </c>
      <c r="J806" s="35">
        <f t="shared" si="264"/>
        <v>11846.759999999995</v>
      </c>
      <c r="K806" s="35">
        <f t="shared" si="264"/>
        <v>12047.939999999999</v>
      </c>
      <c r="L806" s="35">
        <f t="shared" si="264"/>
        <v>11922.75</v>
      </c>
      <c r="M806" s="36"/>
      <c r="N806" s="36"/>
      <c r="O806" s="36"/>
      <c r="P806" s="36"/>
      <c r="Q806" s="36"/>
      <c r="R806" s="37"/>
      <c r="S806" s="38"/>
      <c r="T806" s="57"/>
      <c r="V806" s="51"/>
      <c r="W806" s="51"/>
      <c r="X806" s="52"/>
      <c r="Y806" s="52"/>
      <c r="Z806" s="53"/>
      <c r="AA806" s="53"/>
    </row>
    <row r="807" spans="1:27" ht="15.6" x14ac:dyDescent="0.3">
      <c r="A807" s="100">
        <v>43639</v>
      </c>
      <c r="B807" s="117" t="s">
        <v>431</v>
      </c>
      <c r="C807" s="26" t="s">
        <v>126</v>
      </c>
      <c r="D807">
        <v>29180.86</v>
      </c>
      <c r="E807">
        <v>29151.38</v>
      </c>
      <c r="F807">
        <v>29130.959999999999</v>
      </c>
      <c r="G807">
        <v>29159.86</v>
      </c>
      <c r="H807">
        <v>29259.87</v>
      </c>
      <c r="I807">
        <v>29177.23</v>
      </c>
      <c r="J807">
        <v>29182.49</v>
      </c>
      <c r="K807">
        <v>29123.03</v>
      </c>
      <c r="L807">
        <v>29219.25</v>
      </c>
      <c r="M807" s="27">
        <f>IF((L808=""),"",MAX(D809:L809))</f>
        <v>13838.79</v>
      </c>
      <c r="N807" s="27">
        <f>IF(L808="","",MIN(D809:L809))</f>
        <v>12293.100000000002</v>
      </c>
      <c r="O807" s="27">
        <f>IF((L809=""),"",AVERAGE(D809:L809))</f>
        <v>13101.406666666668</v>
      </c>
      <c r="P807" s="27">
        <f>IF((L808=""),"",STDEV(D809:L809))</f>
        <v>458.12073408654942</v>
      </c>
      <c r="Q807" s="27">
        <f>IF((L808=""),"",P807/O807*100)</f>
        <v>3.4967293645813302</v>
      </c>
      <c r="R807" s="28" t="str">
        <f>IF(L808="","",IF(Q807&lt;Z807,IF(N807&gt;V807,IF(M807&lt;W807,"Pass","Fail"),"Fail"),"Fail"))</f>
        <v>Pass</v>
      </c>
      <c r="S807" s="29">
        <v>74</v>
      </c>
      <c r="T807" s="105" t="s">
        <v>341</v>
      </c>
      <c r="V807" s="54">
        <v>10000</v>
      </c>
      <c r="W807" s="22">
        <v>15600</v>
      </c>
      <c r="X807" s="40">
        <v>8090</v>
      </c>
      <c r="Y807" s="40">
        <v>12070</v>
      </c>
      <c r="Z807" s="47">
        <v>6</v>
      </c>
      <c r="AA807" s="47">
        <v>6</v>
      </c>
    </row>
    <row r="808" spans="1:27" ht="15.6" x14ac:dyDescent="0.3">
      <c r="A808" s="98"/>
      <c r="B808" s="98"/>
      <c r="C808" s="30" t="s">
        <v>128</v>
      </c>
      <c r="D808">
        <v>25083.16</v>
      </c>
      <c r="E808">
        <v>24867.46</v>
      </c>
      <c r="F808">
        <v>24887.94</v>
      </c>
      <c r="G808">
        <v>24763.27</v>
      </c>
      <c r="H808">
        <v>24752.52</v>
      </c>
      <c r="I808">
        <v>24824.35</v>
      </c>
      <c r="J808">
        <v>24715.81</v>
      </c>
      <c r="K808">
        <v>24779.88</v>
      </c>
      <c r="L808">
        <v>24606.32</v>
      </c>
      <c r="M808" s="31"/>
      <c r="N808" s="31"/>
      <c r="O808" s="31"/>
      <c r="P808" s="31"/>
      <c r="Q808" s="31"/>
      <c r="R808" s="32"/>
      <c r="S808" s="33"/>
      <c r="T808" s="56"/>
      <c r="V808" s="48"/>
      <c r="W808" s="48"/>
      <c r="X808" s="49"/>
      <c r="Y808" s="49"/>
      <c r="Z808" s="50"/>
      <c r="AA808" s="50"/>
    </row>
    <row r="809" spans="1:27" ht="14.4" thickBot="1" x14ac:dyDescent="0.35">
      <c r="A809" s="99"/>
      <c r="B809" s="98"/>
      <c r="C809" s="34" t="s">
        <v>129</v>
      </c>
      <c r="D809" s="35">
        <f>IF(((D807="")*AND(D808="")),"",(D807-D808)*3)</f>
        <v>12293.100000000002</v>
      </c>
      <c r="E809" s="35">
        <f t="shared" ref="E809:L809" si="265">IF(((E807="")*AND(E808="")),"",(E807-E808)*3)</f>
        <v>12851.760000000006</v>
      </c>
      <c r="F809" s="35">
        <f t="shared" si="265"/>
        <v>12729.060000000001</v>
      </c>
      <c r="G809" s="35">
        <f t="shared" si="265"/>
        <v>13189.77</v>
      </c>
      <c r="H809" s="35">
        <f t="shared" si="265"/>
        <v>13522.049999999996</v>
      </c>
      <c r="I809" s="35">
        <f t="shared" si="265"/>
        <v>13058.640000000003</v>
      </c>
      <c r="J809" s="35">
        <f t="shared" si="265"/>
        <v>13400.04</v>
      </c>
      <c r="K809" s="35">
        <f t="shared" si="265"/>
        <v>13029.449999999993</v>
      </c>
      <c r="L809" s="35">
        <f t="shared" si="265"/>
        <v>13838.79</v>
      </c>
      <c r="M809" s="36"/>
      <c r="N809" s="36"/>
      <c r="O809" s="36"/>
      <c r="P809" s="36"/>
      <c r="Q809" s="36"/>
      <c r="R809" s="37"/>
      <c r="S809" s="38"/>
      <c r="T809" s="57"/>
      <c r="V809" s="51"/>
      <c r="W809" s="51"/>
      <c r="X809" s="52"/>
      <c r="Y809" s="52"/>
      <c r="Z809" s="53"/>
      <c r="AA809" s="53"/>
    </row>
    <row r="810" spans="1:27" ht="15.6" x14ac:dyDescent="0.3">
      <c r="A810" s="100">
        <v>43643</v>
      </c>
      <c r="B810" s="117" t="s">
        <v>431</v>
      </c>
      <c r="C810" s="26" t="s">
        <v>126</v>
      </c>
      <c r="D810">
        <v>29001.3</v>
      </c>
      <c r="E810">
        <v>28892.92</v>
      </c>
      <c r="F810">
        <v>28919.63</v>
      </c>
      <c r="G810">
        <v>28889.38</v>
      </c>
      <c r="H810">
        <v>29028.35</v>
      </c>
      <c r="I810">
        <v>29027.55</v>
      </c>
      <c r="J810">
        <v>28890.66</v>
      </c>
      <c r="K810">
        <v>28875.01</v>
      </c>
      <c r="L810">
        <v>29013.82</v>
      </c>
      <c r="M810" s="27">
        <f>IF((L811=""),"",MAX(D812:L812))</f>
        <v>11220.299999999996</v>
      </c>
      <c r="N810" s="27">
        <f>IF(L811="","",MIN(D812:L812))</f>
        <v>10663.049999999996</v>
      </c>
      <c r="O810" s="27">
        <f>IF((L812=""),"",AVERAGE(D812:L812))</f>
        <v>11006.023333333329</v>
      </c>
      <c r="P810" s="27">
        <f>IF((L811=""),"",STDEV(D812:L812))</f>
        <v>176.505197657178</v>
      </c>
      <c r="Q810" s="27">
        <f>IF((L811=""),"",P810/O810*100)</f>
        <v>1.603714550764276</v>
      </c>
      <c r="R810" s="28" t="str">
        <f>IF(L811="","",IF(Q810&lt;Z810,IF(N810&gt;V810,IF(M810&lt;W810,"Pass","Fail"),"Fail"),"Fail"))</f>
        <v>Pass</v>
      </c>
      <c r="S810" s="29">
        <v>1340</v>
      </c>
      <c r="T810" s="55" t="s">
        <v>343</v>
      </c>
      <c r="V810" s="54">
        <v>10000</v>
      </c>
      <c r="W810" s="22">
        <v>15600</v>
      </c>
      <c r="X810" s="40">
        <v>8090</v>
      </c>
      <c r="Y810" s="40">
        <v>12070</v>
      </c>
      <c r="Z810" s="47">
        <v>6</v>
      </c>
      <c r="AA810" s="47">
        <v>6</v>
      </c>
    </row>
    <row r="811" spans="1:27" ht="15.6" x14ac:dyDescent="0.3">
      <c r="A811" s="98"/>
      <c r="B811" s="98"/>
      <c r="C811" s="30" t="s">
        <v>128</v>
      </c>
      <c r="D811">
        <v>25261.200000000001</v>
      </c>
      <c r="E811">
        <v>25183.65</v>
      </c>
      <c r="F811">
        <v>25296.13</v>
      </c>
      <c r="G811">
        <v>25252.66</v>
      </c>
      <c r="H811">
        <v>25474</v>
      </c>
      <c r="I811">
        <v>25333.58</v>
      </c>
      <c r="J811">
        <v>25249.87</v>
      </c>
      <c r="K811">
        <v>25161.46</v>
      </c>
      <c r="L811">
        <v>25308</v>
      </c>
      <c r="M811" s="31"/>
      <c r="N811" s="31"/>
      <c r="O811" s="31"/>
      <c r="P811" s="31"/>
      <c r="Q811" s="31"/>
      <c r="R811" s="32"/>
      <c r="S811" s="33"/>
      <c r="T811" s="56"/>
      <c r="V811" s="48"/>
      <c r="W811" s="48"/>
      <c r="X811" s="49"/>
      <c r="Y811" s="49"/>
      <c r="Z811" s="50"/>
      <c r="AA811" s="50"/>
    </row>
    <row r="812" spans="1:27" ht="14.4" thickBot="1" x14ac:dyDescent="0.35">
      <c r="A812" s="99"/>
      <c r="B812" s="98"/>
      <c r="C812" s="34" t="s">
        <v>129</v>
      </c>
      <c r="D812" s="35">
        <f>IF(((D810="")*AND(D811="")),"",(D810-D811)*3)</f>
        <v>11220.299999999996</v>
      </c>
      <c r="E812" s="35">
        <f t="shared" ref="E812:L812" si="266">IF(((E810="")*AND(E811="")),"",(E810-E811)*3)</f>
        <v>11127.80999999999</v>
      </c>
      <c r="F812" s="35">
        <f t="shared" si="266"/>
        <v>10870.5</v>
      </c>
      <c r="G812" s="35">
        <f t="shared" si="266"/>
        <v>10910.160000000003</v>
      </c>
      <c r="H812" s="35">
        <f t="shared" si="266"/>
        <v>10663.049999999996</v>
      </c>
      <c r="I812" s="35">
        <f t="shared" si="266"/>
        <v>11081.909999999993</v>
      </c>
      <c r="J812" s="35">
        <f t="shared" si="266"/>
        <v>10922.370000000003</v>
      </c>
      <c r="K812" s="35">
        <f t="shared" si="266"/>
        <v>11140.649999999998</v>
      </c>
      <c r="L812" s="35">
        <f t="shared" si="266"/>
        <v>11117.46</v>
      </c>
      <c r="M812" s="36"/>
      <c r="N812" s="36"/>
      <c r="O812" s="36"/>
      <c r="P812" s="36"/>
      <c r="Q812" s="36"/>
      <c r="R812" s="37"/>
      <c r="S812" s="38"/>
      <c r="T812" s="57"/>
      <c r="V812" s="51"/>
      <c r="W812" s="51"/>
      <c r="X812" s="52"/>
      <c r="Y812" s="52"/>
      <c r="Z812" s="53"/>
      <c r="AA812" s="53"/>
    </row>
    <row r="813" spans="1:27" ht="15.6" x14ac:dyDescent="0.3">
      <c r="A813" s="100">
        <v>43647</v>
      </c>
      <c r="B813" s="117" t="s">
        <v>431</v>
      </c>
      <c r="C813" s="26" t="s">
        <v>126</v>
      </c>
      <c r="D813">
        <v>28986.65</v>
      </c>
      <c r="E813">
        <v>28865.040000000001</v>
      </c>
      <c r="F813">
        <v>28901.62</v>
      </c>
      <c r="G813">
        <v>28874.45</v>
      </c>
      <c r="H813">
        <v>28991.3</v>
      </c>
      <c r="I813">
        <v>28948.66</v>
      </c>
      <c r="J813">
        <v>28857.279999999999</v>
      </c>
      <c r="K813">
        <v>28866.39</v>
      </c>
      <c r="L813">
        <v>29021.9</v>
      </c>
      <c r="M813" s="27">
        <f>IF((L814=""),"",MAX(D815:L815))</f>
        <v>11223.75</v>
      </c>
      <c r="N813" s="27">
        <f>IF(L814="","",MIN(D815:L815))</f>
        <v>10745.220000000005</v>
      </c>
      <c r="O813" s="27">
        <f>IF((L815=""),"",AVERAGE(D815:L815))</f>
        <v>11058.880000000001</v>
      </c>
      <c r="P813" s="27">
        <f>IF((L814=""),"",STDEV(D815:L815))</f>
        <v>184.29302109683837</v>
      </c>
      <c r="Q813" s="27">
        <f>IF((L814=""),"",P813/O813*100)</f>
        <v>1.6664709364496075</v>
      </c>
      <c r="R813" s="28" t="str">
        <f>IF(L814="","",IF(Q813&lt;Z813,IF(N813&gt;V813,IF(M813&lt;W813,"Pass","Fail"),"Fail"),"Fail"))</f>
        <v>Pass</v>
      </c>
      <c r="S813" s="29">
        <v>1159</v>
      </c>
      <c r="T813" s="55" t="s">
        <v>345</v>
      </c>
      <c r="V813" s="54">
        <v>10000</v>
      </c>
      <c r="W813" s="22">
        <v>15600</v>
      </c>
      <c r="X813" s="40">
        <v>8090</v>
      </c>
      <c r="Y813" s="40">
        <v>12070</v>
      </c>
      <c r="Z813" s="47">
        <v>6</v>
      </c>
      <c r="AA813" s="47">
        <v>6</v>
      </c>
    </row>
    <row r="814" spans="1:27" ht="15.6" x14ac:dyDescent="0.3">
      <c r="A814" s="98"/>
      <c r="B814" s="98"/>
      <c r="C814" s="30" t="s">
        <v>128</v>
      </c>
      <c r="D814">
        <v>25404.91</v>
      </c>
      <c r="E814">
        <v>25227.48</v>
      </c>
      <c r="F814">
        <v>25288.77</v>
      </c>
      <c r="G814">
        <v>25153.02</v>
      </c>
      <c r="H814">
        <v>25252.57</v>
      </c>
      <c r="I814">
        <v>25207.41</v>
      </c>
      <c r="J814">
        <v>25121.43</v>
      </c>
      <c r="K814">
        <v>25189.51</v>
      </c>
      <c r="L814">
        <v>25291.55</v>
      </c>
      <c r="M814" s="31"/>
      <c r="N814" s="31"/>
      <c r="O814" s="31"/>
      <c r="P814" s="31"/>
      <c r="Q814" s="31"/>
      <c r="R814" s="32"/>
      <c r="S814" s="33"/>
      <c r="T814" s="56"/>
      <c r="V814" s="48"/>
      <c r="W814" s="48"/>
      <c r="X814" s="49"/>
      <c r="Y814" s="49"/>
      <c r="Z814" s="50"/>
      <c r="AA814" s="50"/>
    </row>
    <row r="815" spans="1:27" ht="14.4" thickBot="1" x14ac:dyDescent="0.35">
      <c r="A815" s="99"/>
      <c r="B815" s="98"/>
      <c r="C815" s="34" t="s">
        <v>129</v>
      </c>
      <c r="D815" s="35">
        <f>IF(((D813="")*AND(D814="")),"",(D813-D814)*3)</f>
        <v>10745.220000000005</v>
      </c>
      <c r="E815" s="35">
        <f t="shared" ref="E815:L815" si="267">IF(((E813="")*AND(E814="")),"",(E813-E814)*3)</f>
        <v>10912.680000000004</v>
      </c>
      <c r="F815" s="35">
        <f t="shared" si="267"/>
        <v>10838.549999999996</v>
      </c>
      <c r="G815" s="35">
        <f t="shared" si="267"/>
        <v>11164.29</v>
      </c>
      <c r="H815" s="35">
        <f t="shared" si="267"/>
        <v>11216.189999999999</v>
      </c>
      <c r="I815" s="35">
        <f t="shared" si="267"/>
        <v>11223.75</v>
      </c>
      <c r="J815" s="35">
        <f t="shared" si="267"/>
        <v>11207.549999999996</v>
      </c>
      <c r="K815" s="35">
        <f t="shared" si="267"/>
        <v>11030.640000000003</v>
      </c>
      <c r="L815" s="35">
        <f t="shared" si="267"/>
        <v>11191.050000000007</v>
      </c>
      <c r="M815" s="36"/>
      <c r="N815" s="36"/>
      <c r="O815" s="36"/>
      <c r="P815" s="36"/>
      <c r="Q815" s="36"/>
      <c r="R815" s="37"/>
      <c r="S815" s="38"/>
      <c r="T815" s="57"/>
      <c r="V815" s="51"/>
      <c r="W815" s="51"/>
      <c r="X815" s="52"/>
      <c r="Y815" s="52"/>
      <c r="Z815" s="53"/>
      <c r="AA815" s="53"/>
    </row>
    <row r="816" spans="1:27" ht="15.6" x14ac:dyDescent="0.3">
      <c r="A816" s="100">
        <v>43651</v>
      </c>
      <c r="B816" s="117" t="s">
        <v>431</v>
      </c>
      <c r="C816" s="26" t="s">
        <v>126</v>
      </c>
      <c r="D816">
        <v>29204.560000000001</v>
      </c>
      <c r="E816">
        <v>29082.7</v>
      </c>
      <c r="F816">
        <v>29096.46</v>
      </c>
      <c r="G816">
        <v>29101.77</v>
      </c>
      <c r="H816">
        <v>29204.92</v>
      </c>
      <c r="I816">
        <v>29166.7</v>
      </c>
      <c r="J816">
        <v>29064.15</v>
      </c>
      <c r="K816">
        <v>29097.29</v>
      </c>
      <c r="L816">
        <v>29212.39</v>
      </c>
      <c r="M816" s="27">
        <f>IF((L817=""),"",MAX(D818:L818))</f>
        <v>11033.370000000003</v>
      </c>
      <c r="N816" s="27">
        <f>IF(L817="","",MIN(D818:L818))</f>
        <v>10461.240000000005</v>
      </c>
      <c r="O816" s="27">
        <f>IF((L818=""),"",AVERAGE(D818:L818))</f>
        <v>10772.696666666665</v>
      </c>
      <c r="P816" s="27">
        <f>IF((L817=""),"",STDEV(D818:L818))</f>
        <v>181.98796251400756</v>
      </c>
      <c r="Q816" s="27">
        <f>IF((L817=""),"",P816/O816*100)</f>
        <v>1.6893445359611994</v>
      </c>
      <c r="R816" s="28" t="str">
        <f>IF(L817="","",IF(Q816&lt;Z816,IF(N816&gt;V816,IF(M816&lt;W816,"Pass","Fail"),"Fail"),"Fail"))</f>
        <v>Pass</v>
      </c>
      <c r="S816" s="29">
        <v>1159</v>
      </c>
      <c r="T816" s="55" t="s">
        <v>347</v>
      </c>
      <c r="V816" s="54">
        <v>10000</v>
      </c>
      <c r="W816" s="22">
        <v>15600</v>
      </c>
      <c r="X816" s="40">
        <v>8090</v>
      </c>
      <c r="Y816" s="40">
        <v>12070</v>
      </c>
      <c r="Z816" s="47">
        <v>6</v>
      </c>
      <c r="AA816" s="47">
        <v>6</v>
      </c>
    </row>
    <row r="817" spans="1:27" ht="15.6" x14ac:dyDescent="0.3">
      <c r="A817" s="98"/>
      <c r="B817" s="98"/>
      <c r="C817" s="30" t="s">
        <v>128</v>
      </c>
      <c r="D817">
        <v>25717.48</v>
      </c>
      <c r="E817">
        <v>25526.87</v>
      </c>
      <c r="F817">
        <v>25584.06</v>
      </c>
      <c r="G817">
        <v>25483.43</v>
      </c>
      <c r="H817">
        <v>25577.15</v>
      </c>
      <c r="I817">
        <v>25488.91</v>
      </c>
      <c r="J817">
        <v>25446.1</v>
      </c>
      <c r="K817">
        <v>25494.22</v>
      </c>
      <c r="L817">
        <v>25594.63</v>
      </c>
      <c r="M817" s="31"/>
      <c r="N817" s="31"/>
      <c r="O817" s="31"/>
      <c r="P817" s="31"/>
      <c r="Q817" s="31"/>
      <c r="R817" s="32"/>
      <c r="S817" s="33"/>
      <c r="T817" s="56"/>
      <c r="V817" s="48"/>
      <c r="W817" s="48"/>
      <c r="X817" s="49"/>
      <c r="Y817" s="49"/>
      <c r="Z817" s="50"/>
      <c r="AA817" s="50"/>
    </row>
    <row r="818" spans="1:27" ht="14.4" thickBot="1" x14ac:dyDescent="0.35">
      <c r="A818" s="99"/>
      <c r="B818" s="98"/>
      <c r="C818" s="34" t="s">
        <v>129</v>
      </c>
      <c r="D818" s="35">
        <f>IF(((D816="")*AND(D817="")),"",(D816-D817)*3)</f>
        <v>10461.240000000005</v>
      </c>
      <c r="E818" s="35">
        <f t="shared" ref="E818:L818" si="268">IF(((E816="")*AND(E817="")),"",(E816-E817)*3)</f>
        <v>10667.490000000005</v>
      </c>
      <c r="F818" s="35">
        <f t="shared" si="268"/>
        <v>10537.199999999993</v>
      </c>
      <c r="G818" s="35">
        <f t="shared" si="268"/>
        <v>10855.02</v>
      </c>
      <c r="H818" s="35">
        <f t="shared" si="268"/>
        <v>10883.30999999999</v>
      </c>
      <c r="I818" s="35">
        <f t="shared" si="268"/>
        <v>11033.370000000003</v>
      </c>
      <c r="J818" s="35">
        <f t="shared" si="268"/>
        <v>10854.150000000009</v>
      </c>
      <c r="K818" s="35">
        <f t="shared" si="268"/>
        <v>10809.21</v>
      </c>
      <c r="L818" s="35">
        <f t="shared" si="268"/>
        <v>10853.279999999995</v>
      </c>
      <c r="M818" s="36"/>
      <c r="N818" s="36"/>
      <c r="O818" s="36"/>
      <c r="P818" s="36"/>
      <c r="Q818" s="36"/>
      <c r="R818" s="37"/>
      <c r="S818" s="38"/>
      <c r="T818" s="57"/>
      <c r="V818" s="51"/>
      <c r="W818" s="51"/>
      <c r="X818" s="52"/>
      <c r="Y818" s="52"/>
      <c r="Z818" s="53"/>
      <c r="AA818" s="53"/>
    </row>
    <row r="819" spans="1:27" ht="15.6" x14ac:dyDescent="0.3">
      <c r="A819" s="100">
        <v>43655</v>
      </c>
      <c r="B819" s="117" t="s">
        <v>431</v>
      </c>
      <c r="C819" s="26" t="s">
        <v>126</v>
      </c>
      <c r="D819">
        <v>29177</v>
      </c>
      <c r="E819">
        <v>29045</v>
      </c>
      <c r="F819">
        <v>29054</v>
      </c>
      <c r="G819">
        <v>29049</v>
      </c>
      <c r="H819">
        <v>29197</v>
      </c>
      <c r="I819">
        <v>29174</v>
      </c>
      <c r="J819">
        <v>29057</v>
      </c>
      <c r="K819">
        <v>29044</v>
      </c>
      <c r="L819">
        <v>29158</v>
      </c>
      <c r="M819" s="27">
        <f>IF((L820=""),"",MAX(D821:L821))</f>
        <v>12030</v>
      </c>
      <c r="N819" s="27">
        <f>IF(L820="","",MIN(D821:L821))</f>
        <v>11322</v>
      </c>
      <c r="O819" s="27">
        <f>IF((L821=""),"",AVERAGE(D821:L821))</f>
        <v>11686.333333333334</v>
      </c>
      <c r="P819" s="27">
        <f>IF((L820=""),"",STDEV(D821:L821))</f>
        <v>230.03423658229659</v>
      </c>
      <c r="Q819" s="27">
        <f>IF((L820=""),"",P819/O819*100)</f>
        <v>1.9684038613391419</v>
      </c>
      <c r="R819" s="28" t="str">
        <f>IF(L820="","",IF(Q819&lt;Z819,IF(N819&gt;V819,IF(M819&lt;W819,"Pass","Fail"),"Fail"),"Fail"))</f>
        <v>Pass</v>
      </c>
      <c r="S819" s="29">
        <v>1340</v>
      </c>
      <c r="T819" s="55" t="s">
        <v>349</v>
      </c>
      <c r="V819" s="54">
        <v>10000</v>
      </c>
      <c r="W819" s="22">
        <v>15600</v>
      </c>
      <c r="X819" s="40">
        <v>8090</v>
      </c>
      <c r="Y819" s="40">
        <v>12070</v>
      </c>
      <c r="Z819" s="47">
        <v>6</v>
      </c>
      <c r="AA819" s="47">
        <v>6</v>
      </c>
    </row>
    <row r="820" spans="1:27" ht="15.6" x14ac:dyDescent="0.3">
      <c r="A820" s="98"/>
      <c r="B820" s="98"/>
      <c r="C820" s="30" t="s">
        <v>128</v>
      </c>
      <c r="D820">
        <v>25403</v>
      </c>
      <c r="E820">
        <v>25209</v>
      </c>
      <c r="F820">
        <v>25234</v>
      </c>
      <c r="G820">
        <v>25116</v>
      </c>
      <c r="H820">
        <v>25233</v>
      </c>
      <c r="I820">
        <v>25164</v>
      </c>
      <c r="J820">
        <v>25106</v>
      </c>
      <c r="K820">
        <v>25175</v>
      </c>
      <c r="L820">
        <v>25256</v>
      </c>
      <c r="M820" s="31"/>
      <c r="N820" s="31"/>
      <c r="O820" s="31"/>
      <c r="P820" s="31"/>
      <c r="Q820" s="31"/>
      <c r="R820" s="32"/>
      <c r="S820" s="33"/>
      <c r="T820" s="56"/>
      <c r="V820" s="48"/>
      <c r="W820" s="48"/>
      <c r="X820" s="49"/>
      <c r="Y820" s="49"/>
      <c r="Z820" s="50"/>
      <c r="AA820" s="50"/>
    </row>
    <row r="821" spans="1:27" ht="14.4" thickBot="1" x14ac:dyDescent="0.35">
      <c r="A821" s="99"/>
      <c r="B821" s="98"/>
      <c r="C821" s="34" t="s">
        <v>129</v>
      </c>
      <c r="D821" s="35">
        <f>IF(((D819="")*AND(D820="")),"",(D819-D820)*3)</f>
        <v>11322</v>
      </c>
      <c r="E821" s="35">
        <f t="shared" ref="E821:L821" si="269">IF(((E819="")*AND(E820="")),"",(E819-E820)*3)</f>
        <v>11508</v>
      </c>
      <c r="F821" s="35">
        <f t="shared" si="269"/>
        <v>11460</v>
      </c>
      <c r="G821" s="35">
        <f t="shared" si="269"/>
        <v>11799</v>
      </c>
      <c r="H821" s="35">
        <f t="shared" si="269"/>
        <v>11892</v>
      </c>
      <c r="I821" s="35">
        <f t="shared" si="269"/>
        <v>12030</v>
      </c>
      <c r="J821" s="35">
        <f t="shared" si="269"/>
        <v>11853</v>
      </c>
      <c r="K821" s="35">
        <f t="shared" si="269"/>
        <v>11607</v>
      </c>
      <c r="L821" s="35">
        <f t="shared" si="269"/>
        <v>11706</v>
      </c>
      <c r="M821" s="36"/>
      <c r="N821" s="36"/>
      <c r="O821" s="36"/>
      <c r="P821" s="36"/>
      <c r="Q821" s="36"/>
      <c r="R821" s="37"/>
      <c r="S821" s="38"/>
      <c r="T821" s="57"/>
      <c r="V821" s="51"/>
      <c r="W821" s="51"/>
      <c r="X821" s="52"/>
      <c r="Y821" s="52"/>
      <c r="Z821" s="53"/>
      <c r="AA821" s="53"/>
    </row>
    <row r="822" spans="1:27" ht="15.6" x14ac:dyDescent="0.3">
      <c r="A822" s="100">
        <v>43657</v>
      </c>
      <c r="B822" s="117" t="s">
        <v>431</v>
      </c>
      <c r="C822" s="26" t="s">
        <v>126</v>
      </c>
      <c r="D822">
        <v>29130.3</v>
      </c>
      <c r="E822">
        <v>29014.28</v>
      </c>
      <c r="F822">
        <v>29003.75</v>
      </c>
      <c r="G822">
        <v>28993.72</v>
      </c>
      <c r="H822">
        <v>29095.69</v>
      </c>
      <c r="I822">
        <v>29127.9</v>
      </c>
      <c r="J822">
        <v>29003.86</v>
      </c>
      <c r="K822">
        <v>28978.01</v>
      </c>
      <c r="L822">
        <v>29121.42</v>
      </c>
      <c r="M822" s="27">
        <f>IF((L823=""),"",MAX(D824:L824))</f>
        <v>11574.330000000002</v>
      </c>
      <c r="N822" s="27">
        <f>IF(L823="","",MIN(D824:L824))</f>
        <v>10931.759999999995</v>
      </c>
      <c r="O822" s="27">
        <f>IF((L824=""),"",AVERAGE(D824:L824))</f>
        <v>11230.57</v>
      </c>
      <c r="P822" s="27">
        <f>IF((L823=""),"",STDEV(D824:L824))</f>
        <v>192.60567631822593</v>
      </c>
      <c r="Q822" s="27">
        <f>IF((L823=""),"",P822/O822*100)</f>
        <v>1.7150124732602703</v>
      </c>
      <c r="R822" s="28" t="str">
        <f>IF(L823="","",IF(Q822&lt;Z822,IF(N822&gt;V822,IF(M822&lt;W822,"Pass","Fail"),"Fail"),"Fail"))</f>
        <v>Pass</v>
      </c>
      <c r="S822" s="29">
        <v>121</v>
      </c>
      <c r="T822" s="55"/>
      <c r="V822" s="54">
        <v>10000</v>
      </c>
      <c r="W822" s="22">
        <v>15600</v>
      </c>
      <c r="X822" s="40">
        <v>8090</v>
      </c>
      <c r="Y822" s="40">
        <v>12070</v>
      </c>
      <c r="Z822" s="47">
        <v>6</v>
      </c>
      <c r="AA822" s="47">
        <v>6</v>
      </c>
    </row>
    <row r="823" spans="1:27" ht="15.6" x14ac:dyDescent="0.3">
      <c r="A823" s="98"/>
      <c r="B823" s="98"/>
      <c r="C823" s="30" t="s">
        <v>128</v>
      </c>
      <c r="D823">
        <v>25486.38</v>
      </c>
      <c r="E823">
        <v>25283.81</v>
      </c>
      <c r="F823">
        <v>25300.73</v>
      </c>
      <c r="G823">
        <v>25213.06</v>
      </c>
      <c r="H823">
        <v>25352.6</v>
      </c>
      <c r="I823">
        <v>25269.79</v>
      </c>
      <c r="J823">
        <v>25195.85</v>
      </c>
      <c r="K823">
        <v>25248.26</v>
      </c>
      <c r="L823">
        <v>25426.74</v>
      </c>
      <c r="M823" s="31"/>
      <c r="N823" s="31"/>
      <c r="O823" s="31"/>
      <c r="P823" s="31"/>
      <c r="Q823" s="31"/>
      <c r="R823" s="32"/>
      <c r="S823" s="33"/>
      <c r="T823" s="56"/>
      <c r="V823" s="48"/>
      <c r="W823" s="48"/>
      <c r="X823" s="49"/>
      <c r="Y823" s="49"/>
      <c r="Z823" s="50"/>
      <c r="AA823" s="50"/>
    </row>
    <row r="824" spans="1:27" ht="14.4" thickBot="1" x14ac:dyDescent="0.35">
      <c r="A824" s="99"/>
      <c r="B824" s="98"/>
      <c r="C824" s="34" t="s">
        <v>129</v>
      </c>
      <c r="D824" s="35">
        <f>IF(((D822="")*AND(D823="")),"",(D822-D823)*3)</f>
        <v>10931.759999999995</v>
      </c>
      <c r="E824" s="35">
        <f t="shared" ref="E824:L824" si="270">IF(((E822="")*AND(E823="")),"",(E822-E823)*3)</f>
        <v>11191.409999999993</v>
      </c>
      <c r="F824" s="35">
        <f t="shared" si="270"/>
        <v>11109.060000000001</v>
      </c>
      <c r="G824" s="35">
        <f t="shared" si="270"/>
        <v>11341.98</v>
      </c>
      <c r="H824" s="35">
        <f t="shared" si="270"/>
        <v>11229.27</v>
      </c>
      <c r="I824" s="35">
        <f t="shared" si="270"/>
        <v>11574.330000000002</v>
      </c>
      <c r="J824" s="35">
        <f t="shared" si="270"/>
        <v>11424.030000000006</v>
      </c>
      <c r="K824" s="35">
        <f t="shared" si="270"/>
        <v>11189.25</v>
      </c>
      <c r="L824" s="35">
        <f t="shared" si="270"/>
        <v>11084.03999999999</v>
      </c>
      <c r="M824" s="36"/>
      <c r="N824" s="36"/>
      <c r="O824" s="36"/>
      <c r="P824" s="36"/>
      <c r="Q824" s="36"/>
      <c r="R824" s="37"/>
      <c r="S824" s="38"/>
      <c r="T824" s="57"/>
      <c r="V824" s="51"/>
      <c r="W824" s="51"/>
      <c r="X824" s="52"/>
      <c r="Y824" s="52"/>
      <c r="Z824" s="53"/>
      <c r="AA824" s="53"/>
    </row>
    <row r="825" spans="1:27" ht="15.6" x14ac:dyDescent="0.3">
      <c r="A825" s="100">
        <v>43661</v>
      </c>
      <c r="B825" s="117" t="s">
        <v>431</v>
      </c>
      <c r="C825" s="26" t="s">
        <v>126</v>
      </c>
      <c r="D825">
        <v>29119.33</v>
      </c>
      <c r="E825">
        <v>29038.59</v>
      </c>
      <c r="F825">
        <v>29087.32</v>
      </c>
      <c r="G825">
        <v>29041.42</v>
      </c>
      <c r="H825">
        <v>29172.58</v>
      </c>
      <c r="I825">
        <v>29129.93</v>
      </c>
      <c r="J825">
        <v>29043.98</v>
      </c>
      <c r="K825">
        <v>29012.83</v>
      </c>
      <c r="L825">
        <v>29127.35</v>
      </c>
      <c r="M825" s="27">
        <f>IF((L826=""),"",MAX(D827:L827))</f>
        <v>12114.419999999998</v>
      </c>
      <c r="N825" s="27">
        <f>IF(L826="","",MIN(D827:L827))</f>
        <v>11737.529999999995</v>
      </c>
      <c r="O825" s="27">
        <f>IF((L827=""),"",AVERAGE(D827:L827))</f>
        <v>11966.769999999999</v>
      </c>
      <c r="P825" s="27">
        <f>IF((L826=""),"",STDEV(D827:L827))</f>
        <v>121.58439198762166</v>
      </c>
      <c r="Q825" s="27">
        <f>IF((L826=""),"",P825/O825*100)</f>
        <v>1.0160167863811342</v>
      </c>
      <c r="R825" s="28" t="str">
        <f>IF(L826="","",IF(Q825&lt;Z825,IF(N825&gt;V825,IF(M825&lt;W825,"Pass","Fail"),"Fail"),"Fail"))</f>
        <v>Pass</v>
      </c>
      <c r="S825" s="29">
        <v>1335</v>
      </c>
      <c r="T825" s="55" t="s">
        <v>351</v>
      </c>
      <c r="V825" s="54">
        <v>10000</v>
      </c>
      <c r="W825" s="22">
        <v>15600</v>
      </c>
      <c r="X825" s="40">
        <v>8090</v>
      </c>
      <c r="Y825" s="40">
        <v>12070</v>
      </c>
      <c r="Z825" s="47">
        <v>6</v>
      </c>
      <c r="AA825" s="47">
        <v>6</v>
      </c>
    </row>
    <row r="826" spans="1:27" ht="15.6" x14ac:dyDescent="0.3">
      <c r="A826" s="98"/>
      <c r="B826" s="98"/>
      <c r="C826" s="30" t="s">
        <v>128</v>
      </c>
      <c r="D826">
        <v>25141.71</v>
      </c>
      <c r="E826">
        <v>25029.93</v>
      </c>
      <c r="F826">
        <v>25102.86</v>
      </c>
      <c r="G826">
        <v>25028.95</v>
      </c>
      <c r="H826">
        <v>25233.42</v>
      </c>
      <c r="I826">
        <v>25109.63</v>
      </c>
      <c r="J826">
        <v>25005.84</v>
      </c>
      <c r="K826">
        <v>25005.84</v>
      </c>
      <c r="L826">
        <v>25214.84</v>
      </c>
      <c r="M826" s="31"/>
      <c r="N826" s="31"/>
      <c r="O826" s="31"/>
      <c r="P826" s="31"/>
      <c r="Q826" s="31"/>
      <c r="R826" s="32"/>
      <c r="S826" s="33"/>
      <c r="T826" s="56"/>
      <c r="V826" s="48"/>
      <c r="W826" s="48"/>
      <c r="X826" s="49"/>
      <c r="Y826" s="49"/>
      <c r="Z826" s="50"/>
      <c r="AA826" s="50"/>
    </row>
    <row r="827" spans="1:27" ht="14.4" thickBot="1" x14ac:dyDescent="0.35">
      <c r="A827" s="99"/>
      <c r="B827" s="98"/>
      <c r="C827" s="34" t="s">
        <v>129</v>
      </c>
      <c r="D827" s="35">
        <f>IF(((D825="")*AND(D826="")),"",(D825-D826)*3)</f>
        <v>11932.860000000008</v>
      </c>
      <c r="E827" s="35">
        <f t="shared" ref="E827:L827" si="271">IF(((E825="")*AND(E826="")),"",(E825-E826)*3)</f>
        <v>12025.98</v>
      </c>
      <c r="F827" s="35">
        <f t="shared" si="271"/>
        <v>11953.379999999997</v>
      </c>
      <c r="G827" s="35">
        <f t="shared" si="271"/>
        <v>12037.409999999993</v>
      </c>
      <c r="H827" s="35">
        <f t="shared" si="271"/>
        <v>11817.48000000001</v>
      </c>
      <c r="I827" s="35">
        <f t="shared" si="271"/>
        <v>12060.899999999998</v>
      </c>
      <c r="J827" s="35">
        <f t="shared" si="271"/>
        <v>12114.419999999998</v>
      </c>
      <c r="K827" s="35">
        <f t="shared" si="271"/>
        <v>12020.970000000005</v>
      </c>
      <c r="L827" s="35">
        <f t="shared" si="271"/>
        <v>11737.529999999995</v>
      </c>
      <c r="M827" s="36"/>
      <c r="N827" s="36"/>
      <c r="O827" s="36"/>
      <c r="P827" s="36"/>
      <c r="Q827" s="36"/>
      <c r="R827" s="37"/>
      <c r="S827" s="38"/>
      <c r="T827" s="57"/>
      <c r="V827" s="51"/>
      <c r="W827" s="51"/>
      <c r="X827" s="52"/>
      <c r="Y827" s="52"/>
      <c r="Z827" s="53"/>
      <c r="AA827" s="53"/>
    </row>
    <row r="828" spans="1:27" ht="15.6" x14ac:dyDescent="0.3">
      <c r="A828" s="100">
        <v>43669</v>
      </c>
      <c r="B828" s="117" t="s">
        <v>431</v>
      </c>
      <c r="C828" s="26" t="s">
        <v>126</v>
      </c>
      <c r="D828">
        <v>29087.200000000001</v>
      </c>
      <c r="E828">
        <v>28961.38</v>
      </c>
      <c r="F828">
        <v>28946.61</v>
      </c>
      <c r="G828">
        <v>28942.82</v>
      </c>
      <c r="H828">
        <v>29062.42</v>
      </c>
      <c r="I828">
        <v>29055.88</v>
      </c>
      <c r="J828">
        <v>28953.82</v>
      </c>
      <c r="K828">
        <v>28934.86</v>
      </c>
      <c r="L828">
        <v>29061.7</v>
      </c>
      <c r="M828" s="27">
        <f>IF((L829=""),"",MAX(D830:L830))</f>
        <v>11466.419999999998</v>
      </c>
      <c r="N828" s="27">
        <f>IF(L829="","",MIN(D830:L830))</f>
        <v>10761.570000000007</v>
      </c>
      <c r="O828" s="27">
        <f>IF((L830=""),"",AVERAGE(D830:L830))</f>
        <v>11033.070000000002</v>
      </c>
      <c r="P828" s="27">
        <f>IF((L829=""),"",STDEV(D830:L830))</f>
        <v>220.6663969094497</v>
      </c>
      <c r="Q828" s="27">
        <f>IF((L829=""),"",P828/O828*100)</f>
        <v>2.0000452902904602</v>
      </c>
      <c r="R828" s="28" t="str">
        <f>IF(L829="","",IF(Q828&lt;Z828,IF(N828&gt;V828,IF(M828&lt;W828,"Pass","Fail"),"Fail"),"Fail"))</f>
        <v>Pass</v>
      </c>
      <c r="S828" s="29">
        <v>1340</v>
      </c>
      <c r="T828" s="55" t="s">
        <v>354</v>
      </c>
      <c r="V828" s="54">
        <v>10000</v>
      </c>
      <c r="W828" s="22">
        <v>15600</v>
      </c>
      <c r="X828" s="40">
        <v>8090</v>
      </c>
      <c r="Y828" s="40">
        <v>12070</v>
      </c>
      <c r="Z828" s="47">
        <v>6</v>
      </c>
      <c r="AA828" s="47">
        <v>6</v>
      </c>
    </row>
    <row r="829" spans="1:27" ht="15.6" x14ac:dyDescent="0.3">
      <c r="A829" s="98"/>
      <c r="B829" s="98"/>
      <c r="C829" s="30" t="s">
        <v>128</v>
      </c>
      <c r="D829">
        <v>25500.01</v>
      </c>
      <c r="E829">
        <v>25316.29</v>
      </c>
      <c r="F829">
        <v>25336.94</v>
      </c>
      <c r="G829">
        <v>25249.3</v>
      </c>
      <c r="H829">
        <v>25336.99</v>
      </c>
      <c r="I829">
        <v>25233.74</v>
      </c>
      <c r="J829">
        <v>25219.01</v>
      </c>
      <c r="K829">
        <v>25292.47</v>
      </c>
      <c r="L829">
        <v>25422.73</v>
      </c>
      <c r="M829" s="31"/>
      <c r="N829" s="31"/>
      <c r="O829" s="31"/>
      <c r="P829" s="31"/>
      <c r="Q829" s="31"/>
      <c r="R829" s="32"/>
      <c r="S829" s="33"/>
      <c r="T829" s="56"/>
      <c r="V829" s="48"/>
      <c r="W829" s="48"/>
      <c r="X829" s="49"/>
      <c r="Y829" s="49"/>
      <c r="Z829" s="50"/>
      <c r="AA829" s="50"/>
    </row>
    <row r="830" spans="1:27" ht="14.4" thickBot="1" x14ac:dyDescent="0.35">
      <c r="A830" s="99"/>
      <c r="B830" s="98"/>
      <c r="C830" s="34" t="s">
        <v>129</v>
      </c>
      <c r="D830" s="35">
        <f>IF(((D828="")*AND(D829="")),"",(D828-D829)*3)</f>
        <v>10761.570000000007</v>
      </c>
      <c r="E830" s="35">
        <f t="shared" ref="E830:L830" si="272">IF(((E828="")*AND(E829="")),"",(E828-E829)*3)</f>
        <v>10935.27</v>
      </c>
      <c r="F830" s="35">
        <f t="shared" si="272"/>
        <v>10829.010000000006</v>
      </c>
      <c r="G830" s="35">
        <f t="shared" si="272"/>
        <v>11080.560000000001</v>
      </c>
      <c r="H830" s="35">
        <f t="shared" si="272"/>
        <v>11176.28999999999</v>
      </c>
      <c r="I830" s="35">
        <f t="shared" si="272"/>
        <v>11466.419999999998</v>
      </c>
      <c r="J830" s="35">
        <f t="shared" si="272"/>
        <v>11204.430000000004</v>
      </c>
      <c r="K830" s="35">
        <f t="shared" si="272"/>
        <v>10927.169999999998</v>
      </c>
      <c r="L830" s="35">
        <f t="shared" si="272"/>
        <v>10916.910000000003</v>
      </c>
      <c r="M830" s="36"/>
      <c r="N830" s="36"/>
      <c r="O830" s="36"/>
      <c r="P830" s="36"/>
      <c r="Q830" s="36"/>
      <c r="R830" s="37"/>
      <c r="S830" s="38"/>
      <c r="T830" s="57"/>
      <c r="V830" s="51"/>
      <c r="W830" s="51"/>
      <c r="X830" s="52"/>
      <c r="Y830" s="52"/>
      <c r="Z830" s="53"/>
      <c r="AA830" s="53"/>
    </row>
    <row r="831" spans="1:27" ht="15.6" x14ac:dyDescent="0.3">
      <c r="A831" s="100">
        <v>43673</v>
      </c>
      <c r="B831" s="117" t="s">
        <v>431</v>
      </c>
      <c r="C831" s="26" t="s">
        <v>126</v>
      </c>
      <c r="D831">
        <v>29046.41</v>
      </c>
      <c r="E831">
        <v>28936</v>
      </c>
      <c r="F831">
        <v>28941.69</v>
      </c>
      <c r="G831">
        <v>28937.200000000001</v>
      </c>
      <c r="H831">
        <v>29089.94</v>
      </c>
      <c r="I831">
        <v>29058.55</v>
      </c>
      <c r="J831">
        <v>28931.56</v>
      </c>
      <c r="K831">
        <v>28913.41</v>
      </c>
      <c r="L831">
        <v>29036.89</v>
      </c>
      <c r="M831" s="27">
        <f>IF((L832=""),"",MAX(D833:L833))</f>
        <v>12185.849999999991</v>
      </c>
      <c r="N831" s="27">
        <f>IF(L832="","",MIN(D833:L833))</f>
        <v>11180.370000000003</v>
      </c>
      <c r="O831" s="27">
        <f>IF((L833=""),"",AVERAGE(D833:L833))</f>
        <v>11698.509999999997</v>
      </c>
      <c r="P831" s="27">
        <f>IF((L832=""),"",STDEV(D833:L833))</f>
        <v>314.3318732247788</v>
      </c>
      <c r="Q831" s="27">
        <f>IF((L832=""),"",P831/O831*100)</f>
        <v>2.6869393899289644</v>
      </c>
      <c r="R831" s="28" t="str">
        <f>IF(L832="","",IF(Q831&lt;Z831,IF(N831&gt;V831,IF(M831&lt;W831,"Pass","Fail"),"Fail"),"Fail"))</f>
        <v>Pass</v>
      </c>
      <c r="S831" s="29">
        <v>1340</v>
      </c>
      <c r="T831" s="55" t="s">
        <v>356</v>
      </c>
      <c r="V831" s="54">
        <v>10000</v>
      </c>
      <c r="W831" s="22">
        <v>15600</v>
      </c>
      <c r="X831" s="40">
        <v>8090</v>
      </c>
      <c r="Y831" s="40">
        <v>12070</v>
      </c>
      <c r="Z831" s="47">
        <v>6</v>
      </c>
      <c r="AA831" s="47">
        <v>6</v>
      </c>
    </row>
    <row r="832" spans="1:27" ht="15.6" x14ac:dyDescent="0.3">
      <c r="A832" s="98"/>
      <c r="B832" s="98"/>
      <c r="C832" s="30" t="s">
        <v>128</v>
      </c>
      <c r="D832">
        <v>25319.62</v>
      </c>
      <c r="E832">
        <v>25104.49</v>
      </c>
      <c r="F832">
        <v>25153.69</v>
      </c>
      <c r="G832">
        <v>24986.06</v>
      </c>
      <c r="H832">
        <v>25027.99</v>
      </c>
      <c r="I832">
        <v>25069.83</v>
      </c>
      <c r="J832">
        <v>24982.880000000001</v>
      </c>
      <c r="K832">
        <v>25041.49</v>
      </c>
      <c r="L832">
        <v>25110.07</v>
      </c>
      <c r="M832" s="31"/>
      <c r="N832" s="31"/>
      <c r="O832" s="31"/>
      <c r="P832" s="31"/>
      <c r="Q832" s="31"/>
      <c r="R832" s="32"/>
      <c r="S832" s="33"/>
      <c r="T832" s="56"/>
      <c r="V832" s="48"/>
      <c r="W832" s="48"/>
      <c r="X832" s="49"/>
      <c r="Y832" s="49"/>
      <c r="Z832" s="50"/>
      <c r="AA832" s="50"/>
    </row>
    <row r="833" spans="1:27" ht="14.4" thickBot="1" x14ac:dyDescent="0.35">
      <c r="A833" s="99"/>
      <c r="B833" s="98"/>
      <c r="C833" s="34" t="s">
        <v>129</v>
      </c>
      <c r="D833" s="35">
        <f>IF(((D831="")*AND(D832="")),"",(D831-D832)*3)</f>
        <v>11180.370000000003</v>
      </c>
      <c r="E833" s="35">
        <f t="shared" ref="E833:L833" si="273">IF(((E831="")*AND(E832="")),"",(E831-E832)*3)</f>
        <v>11494.529999999995</v>
      </c>
      <c r="F833" s="35">
        <f t="shared" si="273"/>
        <v>11364</v>
      </c>
      <c r="G833" s="35">
        <f t="shared" si="273"/>
        <v>11853.419999999998</v>
      </c>
      <c r="H833" s="35">
        <f t="shared" si="273"/>
        <v>12185.849999999991</v>
      </c>
      <c r="I833" s="35">
        <f t="shared" si="273"/>
        <v>11966.159999999993</v>
      </c>
      <c r="J833" s="35">
        <f t="shared" si="273"/>
        <v>11846.04</v>
      </c>
      <c r="K833" s="35">
        <f t="shared" si="273"/>
        <v>11615.759999999995</v>
      </c>
      <c r="L833" s="35">
        <f t="shared" si="273"/>
        <v>11780.46</v>
      </c>
      <c r="M833" s="36"/>
      <c r="N833" s="36"/>
      <c r="O833" s="36"/>
      <c r="P833" s="36"/>
      <c r="Q833" s="36"/>
      <c r="R833" s="37"/>
      <c r="S833" s="38"/>
      <c r="T833" s="57"/>
      <c r="V833" s="51"/>
      <c r="W833" s="51"/>
      <c r="X833" s="52"/>
      <c r="Y833" s="52"/>
      <c r="Z833" s="53"/>
      <c r="AA833" s="53"/>
    </row>
    <row r="834" spans="1:27" ht="15.6" x14ac:dyDescent="0.3">
      <c r="A834" s="100">
        <v>43677</v>
      </c>
      <c r="B834" s="117" t="s">
        <v>431</v>
      </c>
      <c r="C834" s="26" t="s">
        <v>126</v>
      </c>
      <c r="D834">
        <v>29032.37</v>
      </c>
      <c r="E834">
        <v>28971.5</v>
      </c>
      <c r="F834">
        <v>28834.59</v>
      </c>
      <c r="G834">
        <v>28916.13</v>
      </c>
      <c r="H834">
        <v>28997.23</v>
      </c>
      <c r="I834">
        <v>29051.81</v>
      </c>
      <c r="J834">
        <v>28905.42</v>
      </c>
      <c r="K834">
        <v>28897.94</v>
      </c>
      <c r="L834">
        <v>29082.78</v>
      </c>
      <c r="M834" s="27">
        <f>IF((L835=""),"",MAX(D836:L836))</f>
        <v>12490.200000000004</v>
      </c>
      <c r="N834" s="27">
        <f>IF(L835="","",MIN(D836:L836))</f>
        <v>11566.199999999993</v>
      </c>
      <c r="O834" s="27">
        <f>IF((L836=""),"",AVERAGE(D836:L836))</f>
        <v>12106.306666666665</v>
      </c>
      <c r="P834" s="27">
        <f>IF((L835=""),"",STDEV(D836:L836))</f>
        <v>290.52686024703667</v>
      </c>
      <c r="Q834" s="27">
        <f>IF((L835=""),"",P834/O834*100)</f>
        <v>2.3997976281814273</v>
      </c>
      <c r="R834" s="28" t="str">
        <f>IF(L835="","",IF(Q834&lt;Z834,IF(N834&gt;V834,IF(M834&lt;W834,"Pass","Fail"),"Fail"),"Fail"))</f>
        <v>Pass</v>
      </c>
      <c r="S834" s="29">
        <v>1159</v>
      </c>
      <c r="T834" s="55" t="s">
        <v>357</v>
      </c>
      <c r="V834" s="54">
        <v>10000</v>
      </c>
      <c r="W834" s="22">
        <v>15600</v>
      </c>
      <c r="X834" s="40">
        <v>8090</v>
      </c>
      <c r="Y834" s="40">
        <v>12070</v>
      </c>
      <c r="Z834" s="47">
        <v>6</v>
      </c>
      <c r="AA834" s="47">
        <v>6</v>
      </c>
    </row>
    <row r="835" spans="1:27" ht="15.6" x14ac:dyDescent="0.3">
      <c r="A835" s="98"/>
      <c r="B835" s="98"/>
      <c r="C835" s="30" t="s">
        <v>128</v>
      </c>
      <c r="D835">
        <v>25176.97</v>
      </c>
      <c r="E835">
        <v>24945.759999999998</v>
      </c>
      <c r="F835">
        <v>24890.84</v>
      </c>
      <c r="G835">
        <v>24803.75</v>
      </c>
      <c r="H835">
        <v>24886.78</v>
      </c>
      <c r="I835">
        <v>24888.41</v>
      </c>
      <c r="J835">
        <v>24830.74</v>
      </c>
      <c r="K835">
        <v>24925.759999999998</v>
      </c>
      <c r="L835">
        <v>25021.84</v>
      </c>
      <c r="M835" s="31"/>
      <c r="N835" s="31"/>
      <c r="O835" s="31"/>
      <c r="P835" s="31"/>
      <c r="Q835" s="31"/>
      <c r="R835" s="32"/>
      <c r="S835" s="33"/>
      <c r="T835" s="56"/>
      <c r="V835" s="48"/>
      <c r="W835" s="48"/>
      <c r="X835" s="49"/>
      <c r="Y835" s="49"/>
      <c r="Z835" s="50"/>
      <c r="AA835" s="50"/>
    </row>
    <row r="836" spans="1:27" ht="14.4" thickBot="1" x14ac:dyDescent="0.35">
      <c r="A836" s="99"/>
      <c r="B836" s="98"/>
      <c r="C836" s="34" t="s">
        <v>129</v>
      </c>
      <c r="D836" s="35">
        <f>IF(((D834="")*AND(D835="")),"",(D834-D835)*3)</f>
        <v>11566.199999999993</v>
      </c>
      <c r="E836" s="35">
        <f t="shared" ref="E836:L836" si="274">IF(((E834="")*AND(E835="")),"",(E834-E835)*3)</f>
        <v>12077.220000000005</v>
      </c>
      <c r="F836" s="35">
        <f t="shared" si="274"/>
        <v>11831.25</v>
      </c>
      <c r="G836" s="35">
        <f t="shared" si="274"/>
        <v>12337.140000000003</v>
      </c>
      <c r="H836" s="35">
        <f t="shared" si="274"/>
        <v>12331.350000000002</v>
      </c>
      <c r="I836" s="35">
        <f t="shared" si="274"/>
        <v>12490.200000000004</v>
      </c>
      <c r="J836" s="35">
        <f t="shared" si="274"/>
        <v>12224.03999999999</v>
      </c>
      <c r="K836" s="35">
        <f t="shared" si="274"/>
        <v>11916.54</v>
      </c>
      <c r="L836" s="35">
        <f t="shared" si="274"/>
        <v>12182.819999999996</v>
      </c>
      <c r="M836" s="36"/>
      <c r="N836" s="36"/>
      <c r="O836" s="36"/>
      <c r="P836" s="36"/>
      <c r="Q836" s="36"/>
      <c r="R836" s="37"/>
      <c r="S836" s="38"/>
      <c r="T836" s="57"/>
      <c r="V836" s="51"/>
      <c r="W836" s="51"/>
      <c r="X836" s="52"/>
      <c r="Y836" s="52"/>
      <c r="Z836" s="53"/>
      <c r="AA836" s="53"/>
    </row>
    <row r="837" spans="1:27" ht="15.6" x14ac:dyDescent="0.3">
      <c r="A837" s="100">
        <v>43681</v>
      </c>
      <c r="B837" s="117" t="s">
        <v>431</v>
      </c>
      <c r="C837" s="26" t="s">
        <v>126</v>
      </c>
      <c r="D837">
        <v>26649.35</v>
      </c>
      <c r="E837">
        <v>26632.880000000001</v>
      </c>
      <c r="F837">
        <v>26718.19</v>
      </c>
      <c r="G837">
        <v>26597.97</v>
      </c>
      <c r="H837">
        <v>26570.36</v>
      </c>
      <c r="I837">
        <v>26637.57</v>
      </c>
      <c r="J837">
        <v>26604.27</v>
      </c>
      <c r="K837">
        <v>26582.94</v>
      </c>
      <c r="L837">
        <v>26632.54</v>
      </c>
      <c r="M837" s="27">
        <f>IF((L838=""),"",MAX(D839:L839))</f>
        <v>12258.689999999999</v>
      </c>
      <c r="N837" s="27">
        <f>IF(L838="","",MIN(D839:L839))</f>
        <v>11167.409999999993</v>
      </c>
      <c r="O837" s="27">
        <f>IF((L839=""),"",AVERAGE(D839:L839))</f>
        <v>11600.093333333331</v>
      </c>
      <c r="P837" s="27">
        <f>IF((L838=""),"",STDEV(D839:L839))</f>
        <v>359.48165113118171</v>
      </c>
      <c r="Q837" s="27">
        <f>IF((L838=""),"",P837/O837*100)</f>
        <v>3.0989548170116605</v>
      </c>
      <c r="R837" s="28" t="str">
        <f>IF(L838="","",IF(Q837&lt;Z837,IF(N837&gt;V837,IF(M837&lt;W837,"Pass","Fail"),"Fail"),"Fail"))</f>
        <v>Pass</v>
      </c>
      <c r="S837" s="29">
        <v>74</v>
      </c>
      <c r="T837" s="55" t="s">
        <v>360</v>
      </c>
      <c r="V837" s="54">
        <v>10000</v>
      </c>
      <c r="W837" s="22">
        <v>15600</v>
      </c>
      <c r="X837" s="40">
        <v>8090</v>
      </c>
      <c r="Y837" s="40">
        <v>12070</v>
      </c>
      <c r="Z837" s="47">
        <v>6</v>
      </c>
      <c r="AA837" s="47">
        <v>6</v>
      </c>
    </row>
    <row r="838" spans="1:27" ht="15.6" x14ac:dyDescent="0.3">
      <c r="A838" s="98"/>
      <c r="B838" s="98"/>
      <c r="C838" s="30" t="s">
        <v>128</v>
      </c>
      <c r="D838">
        <v>22844.02</v>
      </c>
      <c r="E838">
        <v>22872.9</v>
      </c>
      <c r="F838">
        <v>22995.72</v>
      </c>
      <c r="G838">
        <v>22703.83</v>
      </c>
      <c r="H838">
        <v>22484.13</v>
      </c>
      <c r="I838">
        <v>22610.27</v>
      </c>
      <c r="J838">
        <v>22755.919999999998</v>
      </c>
      <c r="K838">
        <v>22775.64</v>
      </c>
      <c r="L838">
        <v>22783.360000000001</v>
      </c>
      <c r="M838" s="31"/>
      <c r="N838" s="31"/>
      <c r="O838" s="31"/>
      <c r="P838" s="31"/>
      <c r="Q838" s="31"/>
      <c r="R838" s="32"/>
      <c r="S838" s="33"/>
      <c r="T838" s="56"/>
      <c r="V838" s="48"/>
      <c r="W838" s="48"/>
      <c r="X838" s="49"/>
      <c r="Y838" s="49"/>
      <c r="Z838" s="50"/>
      <c r="AA838" s="50"/>
    </row>
    <row r="839" spans="1:27" ht="14.4" thickBot="1" x14ac:dyDescent="0.35">
      <c r="A839" s="99"/>
      <c r="B839" s="98"/>
      <c r="C839" s="34" t="s">
        <v>129</v>
      </c>
      <c r="D839" s="35">
        <f>IF(((D837="")*AND(D838="")),"",(D837-D838)*3)</f>
        <v>11415.989999999994</v>
      </c>
      <c r="E839" s="35">
        <f t="shared" ref="E839:L839" si="275">IF(((E837="")*AND(E838="")),"",(E837-E838)*3)</f>
        <v>11279.939999999999</v>
      </c>
      <c r="F839" s="35">
        <f t="shared" si="275"/>
        <v>11167.409999999993</v>
      </c>
      <c r="G839" s="35">
        <f t="shared" si="275"/>
        <v>11682.419999999998</v>
      </c>
      <c r="H839" s="35">
        <f t="shared" si="275"/>
        <v>12258.689999999999</v>
      </c>
      <c r="I839" s="35">
        <f t="shared" si="275"/>
        <v>12081.899999999998</v>
      </c>
      <c r="J839" s="35">
        <f t="shared" si="275"/>
        <v>11545.050000000007</v>
      </c>
      <c r="K839" s="35">
        <f t="shared" si="275"/>
        <v>11421.899999999998</v>
      </c>
      <c r="L839" s="35">
        <f t="shared" si="275"/>
        <v>11547.54</v>
      </c>
      <c r="M839" s="36"/>
      <c r="N839" s="36"/>
      <c r="O839" s="36"/>
      <c r="P839" s="36"/>
      <c r="Q839" s="36"/>
      <c r="R839" s="37"/>
      <c r="S839" s="38"/>
      <c r="T839" s="57"/>
      <c r="V839" s="51"/>
      <c r="W839" s="51"/>
      <c r="X839" s="52"/>
      <c r="Y839" s="52"/>
      <c r="Z839" s="53"/>
      <c r="AA839" s="53"/>
    </row>
    <row r="840" spans="1:27" ht="15.6" x14ac:dyDescent="0.3">
      <c r="A840" s="100">
        <v>43687</v>
      </c>
      <c r="B840" s="117" t="s">
        <v>431</v>
      </c>
      <c r="C840" s="26" t="s">
        <v>126</v>
      </c>
      <c r="D840">
        <v>28979.8</v>
      </c>
      <c r="E840">
        <v>28854.09</v>
      </c>
      <c r="F840">
        <v>28858.06</v>
      </c>
      <c r="G840">
        <v>28846.94</v>
      </c>
      <c r="H840">
        <v>28977.3</v>
      </c>
      <c r="I840">
        <v>28966.31</v>
      </c>
      <c r="J840">
        <v>28857.62</v>
      </c>
      <c r="K840">
        <v>28827.01</v>
      </c>
      <c r="L840">
        <v>28954.51</v>
      </c>
      <c r="M840" s="27">
        <f>IF((L841=""),"",MAX(D842:L842))</f>
        <v>11675.219999999994</v>
      </c>
      <c r="N840" s="27">
        <f>IF(L841="","",MIN(D842:L842))</f>
        <v>10888.109999999997</v>
      </c>
      <c r="O840" s="27">
        <f>IF((L842=""),"",AVERAGE(D842:L842))</f>
        <v>11322.683333333327</v>
      </c>
      <c r="P840" s="27">
        <f>IF((L841=""),"",STDEV(D842:L842))</f>
        <v>231.46091036068987</v>
      </c>
      <c r="Q840" s="27">
        <f>IF((L841=""),"",P840/O840*100)</f>
        <v>2.0442231187308955</v>
      </c>
      <c r="R840" s="28" t="str">
        <f>IF(L841="","",IF(Q840&lt;Z840,IF(N840&gt;V840,IF(M840&lt;W840,"Pass","Fail"),"Fail"),"Fail"))</f>
        <v>Pass</v>
      </c>
      <c r="S840" s="29" t="s">
        <v>362</v>
      </c>
      <c r="T840" s="55" t="s">
        <v>364</v>
      </c>
      <c r="V840" s="54">
        <v>10000</v>
      </c>
      <c r="W840" s="22">
        <v>15600</v>
      </c>
      <c r="X840" s="40">
        <v>8090</v>
      </c>
      <c r="Y840" s="40">
        <v>12070</v>
      </c>
      <c r="Z840" s="47">
        <v>6</v>
      </c>
      <c r="AA840" s="47">
        <v>6</v>
      </c>
    </row>
    <row r="841" spans="1:27" ht="15.6" x14ac:dyDescent="0.3">
      <c r="A841" s="98"/>
      <c r="B841" s="98"/>
      <c r="C841" s="30" t="s">
        <v>128</v>
      </c>
      <c r="D841">
        <v>25350.43</v>
      </c>
      <c r="E841">
        <v>25114.77</v>
      </c>
      <c r="F841">
        <v>25134.28</v>
      </c>
      <c r="G841">
        <v>25013.56</v>
      </c>
      <c r="H841">
        <v>25085.56</v>
      </c>
      <c r="I841">
        <v>25137.29</v>
      </c>
      <c r="J841">
        <v>25046.74</v>
      </c>
      <c r="K841">
        <v>25055.88</v>
      </c>
      <c r="L841">
        <v>25215.08</v>
      </c>
      <c r="M841" s="31"/>
      <c r="N841" s="31"/>
      <c r="O841" s="31"/>
      <c r="P841" s="31"/>
      <c r="Q841" s="31"/>
      <c r="R841" s="32"/>
      <c r="S841" s="33"/>
      <c r="T841" s="56"/>
      <c r="V841" s="48"/>
      <c r="W841" s="48"/>
      <c r="X841" s="49"/>
      <c r="Y841" s="49"/>
      <c r="Z841" s="50"/>
      <c r="AA841" s="50"/>
    </row>
    <row r="842" spans="1:27" ht="14.4" thickBot="1" x14ac:dyDescent="0.35">
      <c r="A842" s="99"/>
      <c r="B842" s="98"/>
      <c r="C842" s="34" t="s">
        <v>129</v>
      </c>
      <c r="D842" s="35">
        <f>IF(((D840="")*AND(D841="")),"",(D840-D841)*3)</f>
        <v>10888.109999999997</v>
      </c>
      <c r="E842" s="35">
        <f t="shared" ref="E842:L842" si="276">IF(((E840="")*AND(E841="")),"",(E840-E841)*3)</f>
        <v>11217.96</v>
      </c>
      <c r="F842" s="35">
        <f t="shared" si="276"/>
        <v>11171.340000000007</v>
      </c>
      <c r="G842" s="35">
        <f t="shared" si="276"/>
        <v>11500.139999999992</v>
      </c>
      <c r="H842" s="35">
        <f t="shared" si="276"/>
        <v>11675.219999999994</v>
      </c>
      <c r="I842" s="35">
        <f t="shared" si="276"/>
        <v>11487.060000000001</v>
      </c>
      <c r="J842" s="35">
        <f t="shared" si="276"/>
        <v>11432.639999999992</v>
      </c>
      <c r="K842" s="35">
        <f t="shared" si="276"/>
        <v>11313.389999999992</v>
      </c>
      <c r="L842" s="35">
        <f t="shared" si="276"/>
        <v>11218.28999999999</v>
      </c>
      <c r="M842" s="36"/>
      <c r="N842" s="36"/>
      <c r="O842" s="36"/>
      <c r="P842" s="36"/>
      <c r="Q842" s="36"/>
      <c r="R842" s="37"/>
      <c r="S842" s="38"/>
      <c r="T842" s="57"/>
      <c r="V842" s="51"/>
      <c r="W842" s="51"/>
      <c r="X842" s="52"/>
      <c r="Y842" s="52"/>
      <c r="Z842" s="53"/>
      <c r="AA842" s="53"/>
    </row>
    <row r="843" spans="1:27" ht="15.6" x14ac:dyDescent="0.3">
      <c r="A843" s="100">
        <v>43691</v>
      </c>
      <c r="B843" s="117" t="s">
        <v>431</v>
      </c>
      <c r="C843" s="26" t="s">
        <v>126</v>
      </c>
      <c r="D843">
        <v>28952.94</v>
      </c>
      <c r="E843">
        <v>28815.27</v>
      </c>
      <c r="F843">
        <v>28827.37</v>
      </c>
      <c r="G843">
        <v>28823.81</v>
      </c>
      <c r="H843">
        <v>28932.42</v>
      </c>
      <c r="I843">
        <v>28908.03</v>
      </c>
      <c r="J843">
        <v>28803.81</v>
      </c>
      <c r="K843">
        <v>28830.55</v>
      </c>
      <c r="L843">
        <v>28943.97</v>
      </c>
      <c r="M843" s="27">
        <f>IF((L844=""),"",MAX(D845:L845))</f>
        <v>11652.54</v>
      </c>
      <c r="N843" s="27">
        <f>IF(L844="","",MIN(D845:L845))</f>
        <v>11091.80999999999</v>
      </c>
      <c r="O843" s="27">
        <f>IF((L845=""),"",AVERAGE(D845:L845))</f>
        <v>11416.463333333331</v>
      </c>
      <c r="P843" s="27">
        <f>IF((L844=""),"",STDEV(D845:L845))</f>
        <v>172.63573949214739</v>
      </c>
      <c r="Q843" s="27">
        <f>IF((L844=""),"",P843/O843*100)</f>
        <v>1.5121647961509455</v>
      </c>
      <c r="R843" s="28" t="str">
        <f>IF(L844="","",IF(Q843&lt;Z843,IF(N843&gt;V843,IF(M843&lt;W843,"Pass","Fail"),"Fail"),"Fail"))</f>
        <v>Pass</v>
      </c>
      <c r="S843" s="29">
        <v>1159</v>
      </c>
      <c r="T843" s="55" t="s">
        <v>366</v>
      </c>
      <c r="V843" s="54">
        <v>10000</v>
      </c>
      <c r="W843" s="22">
        <v>15600</v>
      </c>
      <c r="X843" s="40">
        <v>8090</v>
      </c>
      <c r="Y843" s="40">
        <v>12070</v>
      </c>
      <c r="Z843" s="47">
        <v>6</v>
      </c>
      <c r="AA843" s="47">
        <v>6</v>
      </c>
    </row>
    <row r="844" spans="1:27" ht="15.6" x14ac:dyDescent="0.3">
      <c r="A844" s="98"/>
      <c r="B844" s="98"/>
      <c r="C844" s="30" t="s">
        <v>128</v>
      </c>
      <c r="D844">
        <v>25142.68</v>
      </c>
      <c r="E844">
        <v>24977.63</v>
      </c>
      <c r="F844">
        <v>25074.26</v>
      </c>
      <c r="G844">
        <v>25039.74</v>
      </c>
      <c r="H844">
        <v>25235.15</v>
      </c>
      <c r="I844">
        <v>25105.439999999999</v>
      </c>
      <c r="J844">
        <v>24994.66</v>
      </c>
      <c r="K844">
        <v>24959.43</v>
      </c>
      <c r="L844">
        <v>25059.79</v>
      </c>
      <c r="M844" s="31"/>
      <c r="N844" s="31"/>
      <c r="O844" s="31"/>
      <c r="P844" s="31"/>
      <c r="Q844" s="31"/>
      <c r="R844" s="32"/>
      <c r="S844" s="33"/>
      <c r="T844" s="56"/>
      <c r="V844" s="48"/>
      <c r="W844" s="48"/>
      <c r="X844" s="49"/>
      <c r="Y844" s="49"/>
      <c r="Z844" s="50"/>
      <c r="AA844" s="50"/>
    </row>
    <row r="845" spans="1:27" ht="14.4" thickBot="1" x14ac:dyDescent="0.35">
      <c r="A845" s="99"/>
      <c r="B845" s="98"/>
      <c r="C845" s="34" t="s">
        <v>129</v>
      </c>
      <c r="D845" s="35">
        <f>IF(((D843="")*AND(D844="")),"",(D843-D844)*3)</f>
        <v>11430.779999999995</v>
      </c>
      <c r="E845" s="35">
        <f t="shared" ref="E845:L845" si="277">IF(((E843="")*AND(E844="")),"",(E843-E844)*3)</f>
        <v>11512.919999999998</v>
      </c>
      <c r="F845" s="35">
        <f t="shared" si="277"/>
        <v>11259.330000000002</v>
      </c>
      <c r="G845" s="35">
        <f t="shared" si="277"/>
        <v>11352.21</v>
      </c>
      <c r="H845" s="35">
        <f t="shared" si="277"/>
        <v>11091.80999999999</v>
      </c>
      <c r="I845" s="35">
        <f t="shared" si="277"/>
        <v>11407.77</v>
      </c>
      <c r="J845" s="35">
        <f t="shared" si="277"/>
        <v>11427.450000000004</v>
      </c>
      <c r="K845" s="35">
        <f t="shared" si="277"/>
        <v>11613.359999999997</v>
      </c>
      <c r="L845" s="35">
        <f t="shared" si="277"/>
        <v>11652.54</v>
      </c>
      <c r="M845" s="36"/>
      <c r="N845" s="36"/>
      <c r="O845" s="36"/>
      <c r="P845" s="36"/>
      <c r="Q845" s="36"/>
      <c r="R845" s="37"/>
      <c r="S845" s="38"/>
      <c r="T845" s="57"/>
      <c r="V845" s="51"/>
      <c r="W845" s="51"/>
      <c r="X845" s="52"/>
      <c r="Y845" s="52"/>
      <c r="Z845" s="53"/>
      <c r="AA845" s="53"/>
    </row>
    <row r="846" spans="1:27" ht="15.6" x14ac:dyDescent="0.3">
      <c r="A846" s="100">
        <v>43696</v>
      </c>
      <c r="B846" s="117" t="s">
        <v>431</v>
      </c>
      <c r="C846" s="26" t="s">
        <v>126</v>
      </c>
      <c r="D846">
        <v>28989.77</v>
      </c>
      <c r="E846">
        <v>28843.21</v>
      </c>
      <c r="F846">
        <v>28865.71</v>
      </c>
      <c r="G846">
        <v>28837.75</v>
      </c>
      <c r="H846">
        <v>28944.53</v>
      </c>
      <c r="I846">
        <v>28939.43</v>
      </c>
      <c r="J846">
        <v>28828.3</v>
      </c>
      <c r="K846">
        <v>28841.66</v>
      </c>
      <c r="L846">
        <v>28945.18</v>
      </c>
      <c r="M846" s="27">
        <f>IF((L847=""),"",MAX(D848:L848))</f>
        <v>11574.48</v>
      </c>
      <c r="N846" s="27">
        <f>IF(L847="","",MIN(D848:L848))</f>
        <v>10908.96</v>
      </c>
      <c r="O846" s="27">
        <f>IF((L848=""),"",AVERAGE(D848:L848))</f>
        <v>11318.636666666667</v>
      </c>
      <c r="P846" s="27">
        <f>IF((L847=""),"",STDEV(D848:L848))</f>
        <v>195.24336819723334</v>
      </c>
      <c r="Q846" s="27">
        <f>IF((L847=""),"",P846/O846*100)</f>
        <v>1.7249724851776906</v>
      </c>
      <c r="R846" s="28" t="str">
        <f>IF(L847="","",IF(Q846&lt;Z846,IF(N846&gt;V846,IF(M846&lt;W846,"Pass","Fail"),"Fail"),"Fail"))</f>
        <v>Pass</v>
      </c>
      <c r="S846" s="29">
        <v>1340</v>
      </c>
      <c r="T846" s="55"/>
      <c r="V846" s="54">
        <v>10000</v>
      </c>
      <c r="W846" s="22">
        <v>15600</v>
      </c>
      <c r="X846" s="40">
        <v>8090</v>
      </c>
      <c r="Y846" s="40">
        <v>12070</v>
      </c>
      <c r="Z846" s="47">
        <v>6</v>
      </c>
      <c r="AA846" s="47">
        <v>6</v>
      </c>
    </row>
    <row r="847" spans="1:27" ht="15.6" x14ac:dyDescent="0.3">
      <c r="A847" s="98"/>
      <c r="B847" s="98"/>
      <c r="C847" s="30" t="s">
        <v>128</v>
      </c>
      <c r="D847">
        <v>25353.45</v>
      </c>
      <c r="E847">
        <v>25110.74</v>
      </c>
      <c r="F847">
        <v>25135.85</v>
      </c>
      <c r="G847">
        <v>25014.1</v>
      </c>
      <c r="H847">
        <v>25086.37</v>
      </c>
      <c r="I847">
        <v>25142.31</v>
      </c>
      <c r="J847">
        <v>25026.42</v>
      </c>
      <c r="K847">
        <v>25052.36</v>
      </c>
      <c r="L847">
        <v>25158.03</v>
      </c>
      <c r="M847" s="31"/>
      <c r="N847" s="31"/>
      <c r="O847" s="31"/>
      <c r="P847" s="31"/>
      <c r="Q847" s="31"/>
      <c r="R847" s="32"/>
      <c r="S847" s="33"/>
      <c r="T847" s="56"/>
      <c r="V847" s="48"/>
      <c r="W847" s="48"/>
      <c r="X847" s="49"/>
      <c r="Y847" s="49"/>
      <c r="Z847" s="50"/>
      <c r="AA847" s="50"/>
    </row>
    <row r="848" spans="1:27" ht="14.4" thickBot="1" x14ac:dyDescent="0.35">
      <c r="A848" s="99"/>
      <c r="B848" s="98"/>
      <c r="C848" s="34" t="s">
        <v>129</v>
      </c>
      <c r="D848" s="35">
        <f>IF(((D846="")*AND(D847="")),"",(D846-D847)*3)</f>
        <v>10908.96</v>
      </c>
      <c r="E848" s="35">
        <f t="shared" ref="E848:L848" si="278">IF(((E846="")*AND(E847="")),"",(E846-E847)*3)</f>
        <v>11197.409999999993</v>
      </c>
      <c r="F848" s="35">
        <f t="shared" si="278"/>
        <v>11189.580000000002</v>
      </c>
      <c r="G848" s="35">
        <f t="shared" si="278"/>
        <v>11470.950000000004</v>
      </c>
      <c r="H848" s="35">
        <f t="shared" si="278"/>
        <v>11574.48</v>
      </c>
      <c r="I848" s="35">
        <f t="shared" si="278"/>
        <v>11391.359999999997</v>
      </c>
      <c r="J848" s="35">
        <f t="shared" si="278"/>
        <v>11405.640000000003</v>
      </c>
      <c r="K848" s="35">
        <f t="shared" si="278"/>
        <v>11367.899999999998</v>
      </c>
      <c r="L848" s="35">
        <f t="shared" si="278"/>
        <v>11361.450000000004</v>
      </c>
      <c r="M848" s="36"/>
      <c r="N848" s="36"/>
      <c r="O848" s="36"/>
      <c r="P848" s="36"/>
      <c r="Q848" s="36"/>
      <c r="R848" s="37"/>
      <c r="S848" s="38"/>
      <c r="T848" s="57"/>
      <c r="V848" s="51"/>
      <c r="W848" s="51"/>
      <c r="X848" s="52"/>
      <c r="Y848" s="52"/>
      <c r="Z848" s="53"/>
      <c r="AA848" s="53"/>
    </row>
    <row r="849" spans="1:27" ht="15.6" x14ac:dyDescent="0.3">
      <c r="A849" s="100">
        <v>43700</v>
      </c>
      <c r="B849" s="117" t="s">
        <v>431</v>
      </c>
      <c r="C849" s="26" t="s">
        <v>126</v>
      </c>
      <c r="D849">
        <v>29310.86</v>
      </c>
      <c r="E849">
        <v>29108.75</v>
      </c>
      <c r="F849">
        <v>29129.33</v>
      </c>
      <c r="G849">
        <v>29115.67</v>
      </c>
      <c r="H849">
        <v>29204.76</v>
      </c>
      <c r="I849">
        <v>29213.46</v>
      </c>
      <c r="J849">
        <v>29058.400000000001</v>
      </c>
      <c r="K849">
        <v>29118.63</v>
      </c>
      <c r="L849">
        <v>29210.82</v>
      </c>
      <c r="M849" s="27">
        <f>IF((L850=""),"",MAX(D851:L851))</f>
        <v>15320.339999999997</v>
      </c>
      <c r="N849" s="27">
        <f>IF(L850="","",MIN(D851:L851))</f>
        <v>13750.02</v>
      </c>
      <c r="O849" s="27">
        <f>IF((L851=""),"",AVERAGE(D851:L851))</f>
        <v>14861.789999999999</v>
      </c>
      <c r="P849" s="27">
        <f>IF((L850=""),"",STDEV(D851:L851))</f>
        <v>484.57218781106315</v>
      </c>
      <c r="Q849" s="27">
        <f>IF((L850=""),"",P849/O849*100)</f>
        <v>3.2605237176077924</v>
      </c>
      <c r="R849" s="28" t="str">
        <f>IF(L850="","",IF(Q849&lt;Z849,IF(N849&gt;V849,IF(M849&lt;W849,"Pass","Fail"),"Fail"),"Fail"))</f>
        <v>Pass</v>
      </c>
      <c r="S849" s="29">
        <v>1340</v>
      </c>
      <c r="T849" s="55" t="s">
        <v>369</v>
      </c>
      <c r="V849" s="54">
        <v>10000</v>
      </c>
      <c r="W849" s="22">
        <v>15600</v>
      </c>
      <c r="X849" s="40">
        <v>8090</v>
      </c>
      <c r="Y849" s="40">
        <v>12070</v>
      </c>
      <c r="Z849" s="47">
        <v>6</v>
      </c>
      <c r="AA849" s="47">
        <v>6</v>
      </c>
    </row>
    <row r="850" spans="1:27" ht="15.6" x14ac:dyDescent="0.3">
      <c r="A850" s="98"/>
      <c r="B850" s="98"/>
      <c r="C850" s="30" t="s">
        <v>128</v>
      </c>
      <c r="D850">
        <v>24204.080000000002</v>
      </c>
      <c r="E850">
        <v>24023.67</v>
      </c>
      <c r="F850">
        <v>24063.33</v>
      </c>
      <c r="G850">
        <v>24237.14</v>
      </c>
      <c r="H850">
        <v>24621.42</v>
      </c>
      <c r="I850">
        <v>24265.16</v>
      </c>
      <c r="J850">
        <v>24100.32</v>
      </c>
      <c r="K850">
        <v>24064.15</v>
      </c>
      <c r="L850">
        <v>24306.04</v>
      </c>
      <c r="M850" s="31"/>
      <c r="N850" s="31"/>
      <c r="O850" s="31"/>
      <c r="P850" s="31"/>
      <c r="Q850" s="31"/>
      <c r="R850" s="32"/>
      <c r="S850" s="33"/>
      <c r="T850" s="56"/>
      <c r="V850" s="48"/>
      <c r="W850" s="48"/>
      <c r="X850" s="49"/>
      <c r="Y850" s="49"/>
      <c r="Z850" s="50"/>
      <c r="AA850" s="50"/>
    </row>
    <row r="851" spans="1:27" ht="14.4" thickBot="1" x14ac:dyDescent="0.35">
      <c r="A851" s="100"/>
      <c r="B851" s="114"/>
      <c r="C851" s="34" t="s">
        <v>129</v>
      </c>
      <c r="D851" s="35">
        <f>IF(((D849="")*AND(D850="")),"",(D849-D850)*3)</f>
        <v>15320.339999999997</v>
      </c>
      <c r="E851" s="35">
        <f t="shared" ref="E851:L851" si="279">IF(((E849="")*AND(E850="")),"",(E849-E850)*3)</f>
        <v>15255.240000000005</v>
      </c>
      <c r="F851" s="35">
        <f t="shared" si="279"/>
        <v>15198</v>
      </c>
      <c r="G851" s="35">
        <f t="shared" si="279"/>
        <v>14635.589999999997</v>
      </c>
      <c r="H851" s="35">
        <f t="shared" si="279"/>
        <v>13750.02</v>
      </c>
      <c r="I851" s="35">
        <f t="shared" si="279"/>
        <v>14844.899999999998</v>
      </c>
      <c r="J851" s="35">
        <f t="shared" si="279"/>
        <v>14874.240000000005</v>
      </c>
      <c r="K851" s="35">
        <f t="shared" si="279"/>
        <v>15163.439999999999</v>
      </c>
      <c r="L851" s="35">
        <f t="shared" si="279"/>
        <v>14714.339999999997</v>
      </c>
      <c r="M851" s="36"/>
      <c r="N851" s="36"/>
      <c r="O851" s="36"/>
      <c r="P851" s="36"/>
      <c r="Q851" s="36"/>
      <c r="R851" s="37"/>
      <c r="S851" s="38"/>
      <c r="T851" s="57"/>
      <c r="V851" s="51"/>
      <c r="W851" s="51"/>
      <c r="X851" s="52"/>
      <c r="Y851" s="52"/>
      <c r="Z851" s="53"/>
      <c r="AA851" s="53"/>
    </row>
    <row r="852" spans="1:27" ht="15.6" x14ac:dyDescent="0.3">
      <c r="A852" s="100">
        <v>43704</v>
      </c>
      <c r="B852" s="117" t="s">
        <v>431</v>
      </c>
      <c r="C852" s="26" t="s">
        <v>126</v>
      </c>
      <c r="D852">
        <v>28899.25</v>
      </c>
      <c r="E852">
        <v>28743.74</v>
      </c>
      <c r="F852">
        <v>28733.03</v>
      </c>
      <c r="G852">
        <v>28750.17</v>
      </c>
      <c r="H852">
        <v>28893.43</v>
      </c>
      <c r="I852">
        <v>28725.91</v>
      </c>
      <c r="J852">
        <v>28741.79</v>
      </c>
      <c r="K852">
        <v>28718.19</v>
      </c>
      <c r="L852">
        <v>28796.95</v>
      </c>
      <c r="M852" s="27">
        <f>IF((L853=""),"",MAX(D854:L854))</f>
        <v>9821.5499999999956</v>
      </c>
      <c r="N852" s="27">
        <f>IF(L853="","",MIN(D854:L854))</f>
        <v>9170.3700000000026</v>
      </c>
      <c r="O852" s="27">
        <f>IF((L854=""),"",AVERAGE(D854:L854))</f>
        <v>9485.6899999999987</v>
      </c>
      <c r="P852" s="27">
        <f>IF((L853=""),"",STDEV(D854:L854))</f>
        <v>207.55426013454769</v>
      </c>
      <c r="Q852" s="27">
        <f>IF((L853=""),"",P852/O852*100)</f>
        <v>2.1880776214966726</v>
      </c>
      <c r="R852" s="28" t="str">
        <f>IF(L853="","",IF(Q852&lt;Z852,IF(N852&gt;V852,IF(M852&lt;W852,"Pass","Fail"),"Fail"),"Fail"))</f>
        <v>Fail</v>
      </c>
      <c r="S852" s="29">
        <v>1159</v>
      </c>
      <c r="T852" s="55"/>
      <c r="V852" s="54">
        <v>10000</v>
      </c>
      <c r="W852" s="22">
        <v>15600</v>
      </c>
      <c r="X852" s="40">
        <v>8090</v>
      </c>
      <c r="Y852" s="40">
        <v>12070</v>
      </c>
      <c r="Z852" s="47">
        <v>6</v>
      </c>
      <c r="AA852" s="47">
        <v>6</v>
      </c>
    </row>
    <row r="853" spans="1:27" ht="15.6" x14ac:dyDescent="0.3">
      <c r="A853" s="98"/>
      <c r="B853" s="98"/>
      <c r="C853" s="30" t="s">
        <v>128</v>
      </c>
      <c r="D853">
        <v>25842.46</v>
      </c>
      <c r="E853">
        <v>25620.94</v>
      </c>
      <c r="F853">
        <v>25657.93</v>
      </c>
      <c r="G853">
        <v>25573.65</v>
      </c>
      <c r="H853">
        <v>25714.23</v>
      </c>
      <c r="I853">
        <v>25452.06</v>
      </c>
      <c r="J853">
        <v>25551.62</v>
      </c>
      <c r="K853">
        <v>25562.959999999999</v>
      </c>
      <c r="L853">
        <v>25569.54</v>
      </c>
      <c r="M853" s="31"/>
      <c r="N853" s="31"/>
      <c r="O853" s="31"/>
      <c r="P853" s="31"/>
      <c r="Q853" s="31"/>
      <c r="R853" s="32"/>
      <c r="S853" s="33"/>
      <c r="T853" s="56"/>
      <c r="V853" s="48"/>
      <c r="W853" s="48"/>
      <c r="X853" s="49"/>
      <c r="Y853" s="49"/>
      <c r="Z853" s="50"/>
      <c r="AA853" s="50"/>
    </row>
    <row r="854" spans="1:27" ht="14.4" thickBot="1" x14ac:dyDescent="0.35">
      <c r="A854" s="100"/>
      <c r="B854" s="114"/>
      <c r="C854" s="34" t="s">
        <v>129</v>
      </c>
      <c r="D854" s="35">
        <f>IF(((D852="")*AND(D853="")),"",(D852-D853)*3)</f>
        <v>9170.3700000000026</v>
      </c>
      <c r="E854" s="35">
        <f t="shared" ref="E854:L854" si="280">IF(((E852="")*AND(E853="")),"",(E852-E853)*3)</f>
        <v>9368.4000000000087</v>
      </c>
      <c r="F854" s="35">
        <f t="shared" si="280"/>
        <v>9225.2999999999956</v>
      </c>
      <c r="G854" s="35">
        <f t="shared" si="280"/>
        <v>9529.5599999999904</v>
      </c>
      <c r="H854" s="35">
        <f t="shared" si="280"/>
        <v>9537.6000000000022</v>
      </c>
      <c r="I854" s="35">
        <f t="shared" si="280"/>
        <v>9821.5499999999956</v>
      </c>
      <c r="J854" s="35">
        <f t="shared" si="280"/>
        <v>9570.5100000000057</v>
      </c>
      <c r="K854" s="35">
        <f t="shared" si="280"/>
        <v>9465.6899999999987</v>
      </c>
      <c r="L854" s="35">
        <f t="shared" si="280"/>
        <v>9682.23</v>
      </c>
      <c r="M854" s="36"/>
      <c r="N854" s="36"/>
      <c r="O854" s="36"/>
      <c r="P854" s="36"/>
      <c r="Q854" s="36"/>
      <c r="R854" s="37"/>
      <c r="S854" s="38"/>
      <c r="T854" s="57"/>
      <c r="V854" s="51"/>
      <c r="W854" s="51"/>
      <c r="X854" s="52"/>
      <c r="Y854" s="52"/>
      <c r="Z854" s="53"/>
      <c r="AA854" s="53"/>
    </row>
    <row r="855" spans="1:27" ht="15.6" x14ac:dyDescent="0.3">
      <c r="A855" s="100">
        <v>43704</v>
      </c>
      <c r="B855" s="117" t="s">
        <v>431</v>
      </c>
      <c r="C855" s="26" t="s">
        <v>126</v>
      </c>
      <c r="D855">
        <v>28897.74</v>
      </c>
      <c r="E855">
        <v>28766.52</v>
      </c>
      <c r="F855">
        <v>28760.5</v>
      </c>
      <c r="G855">
        <v>28767.4</v>
      </c>
      <c r="H855">
        <v>28871.56</v>
      </c>
      <c r="I855">
        <v>28887.73</v>
      </c>
      <c r="J855">
        <v>28771.27</v>
      </c>
      <c r="K855">
        <v>28755.25</v>
      </c>
      <c r="L855">
        <v>28889.74</v>
      </c>
      <c r="M855" s="27">
        <f>IF((L856=""),"",MAX(D857:L857))</f>
        <v>11001.450000000004</v>
      </c>
      <c r="N855" s="27">
        <f>IF(L856="","",MIN(D857:L857))</f>
        <v>10425.840000000007</v>
      </c>
      <c r="O855" s="27">
        <f>IF((L857=""),"",AVERAGE(D857:L857))</f>
        <v>10831.773333333334</v>
      </c>
      <c r="P855" s="27">
        <f>IF((L856=""),"",STDEV(D857:L857))</f>
        <v>192.62318928415618</v>
      </c>
      <c r="Q855" s="27">
        <f>IF((L856=""),"",P855/O855*100)</f>
        <v>1.7783162863220565</v>
      </c>
      <c r="R855" s="28" t="str">
        <f>IF(L856="","",IF(Q855&lt;Z855,IF(N855&gt;V855,IF(M855&lt;W855,"Pass","Fail"),"Fail"),"Fail"))</f>
        <v>Pass</v>
      </c>
      <c r="S855" s="29">
        <v>1159</v>
      </c>
      <c r="T855" s="55" t="s">
        <v>371</v>
      </c>
      <c r="V855" s="54">
        <v>10000</v>
      </c>
      <c r="W855" s="22">
        <v>15600</v>
      </c>
      <c r="X855" s="40">
        <v>8090</v>
      </c>
      <c r="Y855" s="40">
        <v>12070</v>
      </c>
      <c r="Z855" s="47">
        <v>6</v>
      </c>
      <c r="AA855" s="47">
        <v>6</v>
      </c>
    </row>
    <row r="856" spans="1:27" ht="15.6" x14ac:dyDescent="0.3">
      <c r="A856" s="98"/>
      <c r="B856" s="98"/>
      <c r="C856" s="30" t="s">
        <v>128</v>
      </c>
      <c r="D856">
        <v>25422.46</v>
      </c>
      <c r="E856">
        <v>25201.07</v>
      </c>
      <c r="F856">
        <v>25193.74</v>
      </c>
      <c r="G856">
        <v>25103.759999999998</v>
      </c>
      <c r="H856">
        <v>25204.41</v>
      </c>
      <c r="I856">
        <v>25223.06</v>
      </c>
      <c r="J856">
        <v>25122.35</v>
      </c>
      <c r="K856">
        <v>25138.93</v>
      </c>
      <c r="L856">
        <v>25262.61</v>
      </c>
      <c r="M856" s="31"/>
      <c r="N856" s="31"/>
      <c r="O856" s="31"/>
      <c r="P856" s="31"/>
      <c r="Q856" s="31"/>
      <c r="R856" s="32"/>
      <c r="S856" s="33"/>
      <c r="T856" s="56"/>
      <c r="V856" s="48"/>
      <c r="W856" s="48"/>
      <c r="X856" s="49"/>
      <c r="Y856" s="49"/>
      <c r="Z856" s="50"/>
      <c r="AA856" s="50"/>
    </row>
    <row r="857" spans="1:27" ht="14.4" thickBot="1" x14ac:dyDescent="0.35">
      <c r="A857" s="100"/>
      <c r="B857" s="114"/>
      <c r="C857" s="34" t="s">
        <v>129</v>
      </c>
      <c r="D857" s="35">
        <f>IF(((D855="")*AND(D856="")),"",(D855-D856)*3)</f>
        <v>10425.840000000007</v>
      </c>
      <c r="E857" s="35">
        <f t="shared" ref="E857:L857" si="281">IF(((E855="")*AND(E856="")),"",(E855-E856)*3)</f>
        <v>10696.350000000002</v>
      </c>
      <c r="F857" s="35">
        <f t="shared" si="281"/>
        <v>10700.279999999995</v>
      </c>
      <c r="G857" s="35">
        <f t="shared" si="281"/>
        <v>10990.920000000009</v>
      </c>
      <c r="H857" s="35">
        <f t="shared" si="281"/>
        <v>11001.450000000004</v>
      </c>
      <c r="I857" s="35">
        <f t="shared" si="281"/>
        <v>10994.009999999995</v>
      </c>
      <c r="J857" s="35">
        <f t="shared" si="281"/>
        <v>10946.760000000006</v>
      </c>
      <c r="K857" s="35">
        <f t="shared" si="281"/>
        <v>10848.96</v>
      </c>
      <c r="L857" s="35">
        <f t="shared" si="281"/>
        <v>10881.390000000003</v>
      </c>
      <c r="M857" s="36"/>
      <c r="N857" s="36"/>
      <c r="O857" s="36"/>
      <c r="P857" s="36"/>
      <c r="Q857" s="36"/>
      <c r="R857" s="37"/>
      <c r="S857" s="38"/>
      <c r="T857" s="57"/>
      <c r="V857" s="51"/>
      <c r="W857" s="51"/>
      <c r="X857" s="52"/>
      <c r="Y857" s="52"/>
      <c r="Z857" s="53"/>
      <c r="AA857" s="53"/>
    </row>
    <row r="858" spans="1:27" ht="15.6" x14ac:dyDescent="0.3">
      <c r="A858" s="100">
        <v>43704</v>
      </c>
      <c r="B858" s="117" t="s">
        <v>431</v>
      </c>
      <c r="C858" s="26" t="s">
        <v>126</v>
      </c>
      <c r="D858">
        <v>29282.85</v>
      </c>
      <c r="E858">
        <v>29141.09</v>
      </c>
      <c r="F858">
        <v>29154.639999999999</v>
      </c>
      <c r="G858">
        <v>29118</v>
      </c>
      <c r="H858">
        <v>29227.81</v>
      </c>
      <c r="I858">
        <v>29241.43</v>
      </c>
      <c r="J858">
        <v>29124.15</v>
      </c>
      <c r="K858">
        <v>29111.37</v>
      </c>
      <c r="L858">
        <v>29212.46</v>
      </c>
      <c r="M858" s="27">
        <f>IF((L859=""),"",MAX(D860:L860))</f>
        <v>11866.259999999995</v>
      </c>
      <c r="N858" s="27">
        <f>IF(L859="","",MIN(D860:L860))</f>
        <v>11267.939999999999</v>
      </c>
      <c r="O858" s="27">
        <f>IF((L860=""),"",AVERAGE(D860:L860))</f>
        <v>11643.636666666665</v>
      </c>
      <c r="P858" s="27">
        <f>IF((L859=""),"",STDEV(D860:L860))</f>
        <v>182.62635879029037</v>
      </c>
      <c r="Q858" s="27">
        <f>IF((L859=""),"",P858/O858*100)</f>
        <v>1.5684649394214785</v>
      </c>
      <c r="R858" s="28" t="str">
        <f>IF(L859="","",IF(Q858&lt;Z858,IF(N858&gt;V858,IF(M858&lt;W858,"Pass","Fail"),"Fail"),"Fail"))</f>
        <v>Pass</v>
      </c>
      <c r="S858" s="29">
        <v>121</v>
      </c>
      <c r="T858" s="49" t="s">
        <v>373</v>
      </c>
      <c r="V858" s="54">
        <v>10000</v>
      </c>
      <c r="W858" s="22">
        <v>15600</v>
      </c>
      <c r="X858" s="40">
        <v>8090</v>
      </c>
      <c r="Y858" s="40">
        <v>12070</v>
      </c>
      <c r="Z858" s="47">
        <v>6</v>
      </c>
      <c r="AA858" s="47">
        <v>6</v>
      </c>
    </row>
    <row r="859" spans="1:27" ht="15.6" x14ac:dyDescent="0.3">
      <c r="A859" s="98"/>
      <c r="B859" s="98"/>
      <c r="C859" s="30" t="s">
        <v>128</v>
      </c>
      <c r="D859">
        <v>25364.54</v>
      </c>
      <c r="E859">
        <v>25216.02</v>
      </c>
      <c r="F859">
        <v>25317.72</v>
      </c>
      <c r="G859">
        <v>25265.83</v>
      </c>
      <c r="H859">
        <v>25471.83</v>
      </c>
      <c r="I859">
        <v>25370.49</v>
      </c>
      <c r="J859">
        <v>25236.17</v>
      </c>
      <c r="K859">
        <v>25183.25</v>
      </c>
      <c r="L859">
        <v>25257.040000000001</v>
      </c>
      <c r="M859" s="31"/>
      <c r="N859" s="31"/>
      <c r="O859" s="31"/>
      <c r="P859" s="31"/>
      <c r="Q859" s="31"/>
      <c r="R859" s="32"/>
      <c r="S859" s="33"/>
      <c r="T859" s="56"/>
      <c r="V859" s="48"/>
      <c r="W859" s="48"/>
      <c r="X859" s="49"/>
      <c r="Y859" s="49"/>
      <c r="Z859" s="50"/>
      <c r="AA859" s="50"/>
    </row>
    <row r="860" spans="1:27" ht="14.4" thickBot="1" x14ac:dyDescent="0.35">
      <c r="A860" s="100"/>
      <c r="B860" s="114"/>
      <c r="C860" s="34" t="s">
        <v>129</v>
      </c>
      <c r="D860" s="35">
        <f>IF(((D858="")*AND(D859="")),"",(D858-D859)*3)</f>
        <v>11754.929999999993</v>
      </c>
      <c r="E860" s="35">
        <f t="shared" ref="E860:L860" si="282">IF(((E858="")*AND(E859="")),"",(E858-E859)*3)</f>
        <v>11775.21</v>
      </c>
      <c r="F860" s="35">
        <f t="shared" si="282"/>
        <v>11510.759999999995</v>
      </c>
      <c r="G860" s="35">
        <f t="shared" si="282"/>
        <v>11556.509999999995</v>
      </c>
      <c r="H860" s="35">
        <f t="shared" si="282"/>
        <v>11267.939999999999</v>
      </c>
      <c r="I860" s="35">
        <f t="shared" si="282"/>
        <v>11612.819999999996</v>
      </c>
      <c r="J860" s="35">
        <f t="shared" si="282"/>
        <v>11663.94000000001</v>
      </c>
      <c r="K860" s="35">
        <f t="shared" si="282"/>
        <v>11784.359999999997</v>
      </c>
      <c r="L860" s="35">
        <f t="shared" si="282"/>
        <v>11866.259999999995</v>
      </c>
      <c r="M860" s="36"/>
      <c r="N860" s="36"/>
      <c r="O860" s="36"/>
      <c r="P860" s="36"/>
      <c r="Q860" s="36"/>
      <c r="R860" s="37"/>
      <c r="S860" s="38"/>
      <c r="T860" s="57"/>
      <c r="V860" s="51"/>
      <c r="W860" s="51"/>
      <c r="X860" s="52"/>
      <c r="Y860" s="52"/>
      <c r="Z860" s="53"/>
      <c r="AA860" s="53"/>
    </row>
    <row r="861" spans="1:27" ht="15.6" x14ac:dyDescent="0.3">
      <c r="A861" s="100">
        <v>43712</v>
      </c>
      <c r="B861" s="117" t="s">
        <v>431</v>
      </c>
      <c r="C861" s="26" t="s">
        <v>126</v>
      </c>
      <c r="D861">
        <v>28809.08</v>
      </c>
      <c r="E861">
        <v>28739.7</v>
      </c>
      <c r="F861">
        <v>28752.42</v>
      </c>
      <c r="G861">
        <v>28737.94</v>
      </c>
      <c r="H861">
        <v>28871.65</v>
      </c>
      <c r="I861">
        <v>28865.759999999998</v>
      </c>
      <c r="J861">
        <v>28738.62</v>
      </c>
      <c r="K861">
        <v>28714.95</v>
      </c>
      <c r="L861">
        <v>28838.27</v>
      </c>
      <c r="M861" s="27">
        <f>IF((L862=""),"",MAX(D863:L863))</f>
        <v>9949.4699999999939</v>
      </c>
      <c r="N861" s="27">
        <f>IF(L862="","",MIN(D863:L863))</f>
        <v>9521.0100000000057</v>
      </c>
      <c r="O861" s="27">
        <f>IF((L863=""),"",AVERAGE(D863:L863))</f>
        <v>9789.4199999999983</v>
      </c>
      <c r="P861" s="27">
        <f>IF((L862=""),"",STDEV(D863:L863))</f>
        <v>143.17392980217983</v>
      </c>
      <c r="Q861" s="27">
        <f>IF((L862=""),"",P861/O861*100)</f>
        <v>1.4625374108188212</v>
      </c>
      <c r="R861" s="28" t="str">
        <f>IF(L862="","",IF(Q861&lt;Z861,IF(N861&gt;V861,IF(M861&lt;W861,"Pass","Fail"),"Fail"),"Fail"))</f>
        <v>Fail</v>
      </c>
      <c r="S861" s="29">
        <v>1428</v>
      </c>
      <c r="T861" s="55"/>
      <c r="V861" s="54">
        <v>10000</v>
      </c>
      <c r="W861" s="22">
        <v>15600</v>
      </c>
      <c r="X861" s="40">
        <v>8090</v>
      </c>
      <c r="Y861" s="40">
        <v>12070</v>
      </c>
      <c r="Z861" s="47">
        <v>6</v>
      </c>
      <c r="AA861" s="47">
        <v>6</v>
      </c>
    </row>
    <row r="862" spans="1:27" ht="15.6" x14ac:dyDescent="0.3">
      <c r="A862" s="98"/>
      <c r="B862" s="98"/>
      <c r="C862" s="30" t="s">
        <v>128</v>
      </c>
      <c r="D862">
        <v>25635.41</v>
      </c>
      <c r="E862">
        <v>25499.57</v>
      </c>
      <c r="F862">
        <v>25541.8</v>
      </c>
      <c r="G862">
        <v>25421.45</v>
      </c>
      <c r="H862">
        <v>25560.44</v>
      </c>
      <c r="I862">
        <v>25592.89</v>
      </c>
      <c r="J862">
        <v>25437.4</v>
      </c>
      <c r="K862">
        <v>25436.77</v>
      </c>
      <c r="L862">
        <v>25574.400000000001</v>
      </c>
      <c r="M862" s="31"/>
      <c r="N862" s="31"/>
      <c r="O862" s="31"/>
      <c r="P862" s="31"/>
      <c r="Q862" s="31"/>
      <c r="R862" s="32"/>
      <c r="S862" s="33"/>
      <c r="T862" s="56"/>
      <c r="V862" s="48"/>
      <c r="W862" s="48"/>
      <c r="X862" s="49"/>
      <c r="Y862" s="49"/>
      <c r="Z862" s="50"/>
      <c r="AA862" s="50"/>
    </row>
    <row r="863" spans="1:27" ht="14.4" thickBot="1" x14ac:dyDescent="0.35">
      <c r="A863" s="100"/>
      <c r="B863" s="114"/>
      <c r="C863" s="34" t="s">
        <v>129</v>
      </c>
      <c r="D863" s="35">
        <f>IF(((D861="")*AND(D862="")),"",(D861-D862)*3)</f>
        <v>9521.0100000000057</v>
      </c>
      <c r="E863" s="35">
        <f t="shared" ref="E863:L863" si="283">IF(((E861="")*AND(E862="")),"",(E861-E862)*3)</f>
        <v>9720.3900000000031</v>
      </c>
      <c r="F863" s="35">
        <f t="shared" si="283"/>
        <v>9631.8599999999969</v>
      </c>
      <c r="G863" s="35">
        <f t="shared" si="283"/>
        <v>9949.4699999999939</v>
      </c>
      <c r="H863" s="35">
        <f t="shared" si="283"/>
        <v>9933.6300000000083</v>
      </c>
      <c r="I863" s="35">
        <f t="shared" si="283"/>
        <v>9818.6099999999969</v>
      </c>
      <c r="J863" s="35">
        <f t="shared" si="283"/>
        <v>9903.6599999999926</v>
      </c>
      <c r="K863" s="35">
        <f t="shared" si="283"/>
        <v>9834.5400000000009</v>
      </c>
      <c r="L863" s="35">
        <f t="shared" si="283"/>
        <v>9791.6099999999969</v>
      </c>
      <c r="M863" s="36"/>
      <c r="N863" s="36"/>
      <c r="O863" s="36"/>
      <c r="P863" s="36"/>
      <c r="Q863" s="36"/>
      <c r="R863" s="37"/>
      <c r="S863" s="38"/>
      <c r="T863" s="57"/>
      <c r="V863" s="51"/>
      <c r="W863" s="51"/>
      <c r="X863" s="52"/>
      <c r="Y863" s="52"/>
      <c r="Z863" s="53"/>
      <c r="AA863" s="53"/>
    </row>
    <row r="864" spans="1:27" ht="15.6" x14ac:dyDescent="0.3">
      <c r="A864" s="100">
        <v>43713</v>
      </c>
      <c r="B864" s="117" t="s">
        <v>431</v>
      </c>
      <c r="C864" s="26" t="s">
        <v>126</v>
      </c>
      <c r="D864" s="104">
        <v>28915.97</v>
      </c>
      <c r="E864" s="104">
        <v>28779.48</v>
      </c>
      <c r="F864" s="104">
        <v>28793.51</v>
      </c>
      <c r="G864" s="104">
        <v>28768</v>
      </c>
      <c r="H864" s="104">
        <v>28847.599999999999</v>
      </c>
      <c r="I864" s="104">
        <v>28876.61</v>
      </c>
      <c r="J864" s="104">
        <v>28758.09</v>
      </c>
      <c r="K864" s="104">
        <v>28772.74</v>
      </c>
      <c r="L864" s="104">
        <v>28913.58</v>
      </c>
      <c r="M864" s="27">
        <f>IF((L865=""),"",MAX(D866:L866))</f>
        <v>12103.080000000002</v>
      </c>
      <c r="N864" s="27">
        <f>IF(L865="","",MIN(D866:L866))</f>
        <v>11450.52</v>
      </c>
      <c r="O864" s="27">
        <f>IF((L866=""),"",AVERAGE(D866:L866))</f>
        <v>11838.713333333333</v>
      </c>
      <c r="P864" s="27">
        <f>IF((L865=""),"",STDEV(D866:L866))</f>
        <v>219.55290006055677</v>
      </c>
      <c r="Q864" s="27">
        <f>IF((L865=""),"",P864/O864*100)</f>
        <v>1.8545334605102646</v>
      </c>
      <c r="R864" s="28" t="str">
        <f>IF(L865="","",IF(Q864&lt;Z864,IF(N864&gt;V864,IF(M864&lt;W864,"Pass","Fail"),"Fail"),"Fail"))</f>
        <v>Pass</v>
      </c>
      <c r="S864" s="29">
        <v>1428</v>
      </c>
      <c r="T864" s="55" t="s">
        <v>376</v>
      </c>
      <c r="V864" s="54">
        <v>10000</v>
      </c>
      <c r="W864" s="22">
        <v>15600</v>
      </c>
      <c r="X864" s="40">
        <v>8090</v>
      </c>
      <c r="Y864" s="40">
        <v>12070</v>
      </c>
      <c r="Z864" s="47">
        <v>6</v>
      </c>
      <c r="AA864" s="47">
        <v>6</v>
      </c>
    </row>
    <row r="865" spans="1:27" ht="15.6" x14ac:dyDescent="0.3">
      <c r="A865" s="98"/>
      <c r="B865" s="98"/>
      <c r="C865" s="30" t="s">
        <v>128</v>
      </c>
      <c r="D865" s="104">
        <v>24949.48</v>
      </c>
      <c r="E865" s="104">
        <v>24771.34</v>
      </c>
      <c r="F865" s="104">
        <v>24875.83</v>
      </c>
      <c r="G865" s="104">
        <v>24838.2</v>
      </c>
      <c r="H865" s="104">
        <v>25030.76</v>
      </c>
      <c r="I865" s="104">
        <v>25005.83</v>
      </c>
      <c r="J865" s="104">
        <v>24817.62</v>
      </c>
      <c r="K865" s="104">
        <v>24741.16</v>
      </c>
      <c r="L865" s="104">
        <v>24879.22</v>
      </c>
      <c r="M865" s="31"/>
      <c r="N865" s="31"/>
      <c r="O865" s="31"/>
      <c r="P865" s="31"/>
      <c r="Q865" s="31"/>
      <c r="R865" s="32"/>
      <c r="S865" s="33"/>
      <c r="T865" s="56"/>
      <c r="V865" s="48"/>
      <c r="W865" s="48"/>
      <c r="X865" s="49"/>
      <c r="Y865" s="49"/>
      <c r="Z865" s="50"/>
      <c r="AA865" s="50"/>
    </row>
    <row r="866" spans="1:27" ht="14.4" thickBot="1" x14ac:dyDescent="0.35">
      <c r="A866" s="100"/>
      <c r="B866" s="114"/>
      <c r="C866" s="34" t="s">
        <v>129</v>
      </c>
      <c r="D866" s="35">
        <f>IF(((D864="")*AND(D865="")),"",(D864-D865)*3)</f>
        <v>11899.470000000005</v>
      </c>
      <c r="E866" s="35">
        <f t="shared" ref="E866:L866" si="284">IF(((E864="")*AND(E865="")),"",(E864-E865)*3)</f>
        <v>12024.419999999998</v>
      </c>
      <c r="F866" s="35">
        <f t="shared" si="284"/>
        <v>11753.03999999999</v>
      </c>
      <c r="G866" s="35">
        <f t="shared" si="284"/>
        <v>11789.399999999998</v>
      </c>
      <c r="H866" s="35">
        <f t="shared" si="284"/>
        <v>11450.52</v>
      </c>
      <c r="I866" s="35">
        <f t="shared" si="284"/>
        <v>11612.339999999997</v>
      </c>
      <c r="J866" s="35">
        <f t="shared" si="284"/>
        <v>11821.410000000003</v>
      </c>
      <c r="K866" s="35">
        <f t="shared" si="284"/>
        <v>12094.740000000005</v>
      </c>
      <c r="L866" s="35">
        <f t="shared" si="284"/>
        <v>12103.080000000002</v>
      </c>
      <c r="M866" s="36"/>
      <c r="N866" s="36"/>
      <c r="O866" s="36"/>
      <c r="P866" s="36"/>
      <c r="Q866" s="36"/>
      <c r="R866" s="37"/>
      <c r="S866" s="38"/>
      <c r="T866" s="57"/>
      <c r="V866" s="51"/>
      <c r="W866" s="51"/>
      <c r="X866" s="52"/>
      <c r="Y866" s="52"/>
      <c r="Z866" s="53"/>
      <c r="AA866" s="53"/>
    </row>
    <row r="867" spans="1:27" ht="15.6" x14ac:dyDescent="0.3">
      <c r="A867" s="100">
        <v>43717</v>
      </c>
      <c r="B867" s="117" t="s">
        <v>431</v>
      </c>
      <c r="C867" s="26" t="s">
        <v>126</v>
      </c>
      <c r="D867">
        <v>29353.73</v>
      </c>
      <c r="E867">
        <v>29284.65</v>
      </c>
      <c r="F867">
        <v>29283.23</v>
      </c>
      <c r="G867">
        <v>29241.64</v>
      </c>
      <c r="H867">
        <v>29407.02</v>
      </c>
      <c r="I867">
        <v>29357.7</v>
      </c>
      <c r="J867">
        <v>29270.32</v>
      </c>
      <c r="K867">
        <v>29236.7</v>
      </c>
      <c r="L867">
        <v>29359.78</v>
      </c>
      <c r="M867" s="27">
        <f>IF((L868=""),"",MAX(D869:L869))</f>
        <v>12868.859999999997</v>
      </c>
      <c r="N867" s="27">
        <f>IF(L868="","",MIN(D869:L869))</f>
        <v>11932.199999999993</v>
      </c>
      <c r="O867" s="27">
        <f>IF((L869=""),"",AVERAGE(D869:L869))</f>
        <v>12485.14</v>
      </c>
      <c r="P867" s="27">
        <f>IF((L868=""),"",STDEV(D869:L869))</f>
        <v>286.00400561006268</v>
      </c>
      <c r="Q867" s="27">
        <f>IF((L868=""),"",P867/O867*100)</f>
        <v>2.2907552947749301</v>
      </c>
      <c r="R867" s="28" t="str">
        <f>IF(L868="","",IF(Q867&lt;Z867,IF(N867&gt;V867,IF(M867&lt;W867,"Pass","Fail"),"Fail"),"Fail"))</f>
        <v>Pass</v>
      </c>
      <c r="S867" s="29">
        <v>74</v>
      </c>
      <c r="T867" s="55" t="s">
        <v>378</v>
      </c>
      <c r="V867" s="54">
        <v>10000</v>
      </c>
      <c r="W867" s="22">
        <v>15600</v>
      </c>
      <c r="X867" s="40">
        <v>8090</v>
      </c>
      <c r="Y867" s="40">
        <v>12070</v>
      </c>
      <c r="Z867" s="47">
        <v>6</v>
      </c>
      <c r="AA867" s="47">
        <v>6</v>
      </c>
    </row>
    <row r="868" spans="1:27" ht="15.6" x14ac:dyDescent="0.3">
      <c r="A868" s="98"/>
      <c r="B868" s="98"/>
      <c r="C868" s="30" t="s">
        <v>128</v>
      </c>
      <c r="D868">
        <v>25376.33</v>
      </c>
      <c r="E868">
        <v>25158.52</v>
      </c>
      <c r="F868">
        <v>25166.18</v>
      </c>
      <c r="G868">
        <v>25035.13</v>
      </c>
      <c r="H868">
        <v>25117.4</v>
      </c>
      <c r="I868">
        <v>25117.61</v>
      </c>
      <c r="J868">
        <v>25021.98</v>
      </c>
      <c r="K868">
        <v>25091.71</v>
      </c>
      <c r="L868">
        <v>25254.49</v>
      </c>
      <c r="M868" s="31"/>
      <c r="N868" s="31"/>
      <c r="O868" s="31"/>
      <c r="P868" s="31"/>
      <c r="Q868" s="31"/>
      <c r="R868" s="32"/>
      <c r="S868" s="33"/>
      <c r="T868" s="56"/>
      <c r="V868" s="48"/>
      <c r="W868" s="48"/>
      <c r="X868" s="49"/>
      <c r="Y868" s="49"/>
      <c r="Z868" s="50"/>
      <c r="AA868" s="50"/>
    </row>
    <row r="869" spans="1:27" ht="14.4" thickBot="1" x14ac:dyDescent="0.35">
      <c r="A869" s="100"/>
      <c r="B869" s="114"/>
      <c r="C869" s="34" t="s">
        <v>129</v>
      </c>
      <c r="D869" s="35">
        <f>IF(((D867="")*AND(D868="")),"",(D867-D868)*3)</f>
        <v>11932.199999999993</v>
      </c>
      <c r="E869" s="35">
        <f t="shared" ref="E869:L869" si="285">IF(((E867="")*AND(E868="")),"",(E867-E868)*3)</f>
        <v>12378.390000000003</v>
      </c>
      <c r="F869" s="35">
        <f t="shared" si="285"/>
        <v>12351.149999999998</v>
      </c>
      <c r="G869" s="35">
        <f t="shared" si="285"/>
        <v>12619.529999999995</v>
      </c>
      <c r="H869" s="35">
        <f t="shared" si="285"/>
        <v>12868.859999999997</v>
      </c>
      <c r="I869" s="35">
        <f t="shared" si="285"/>
        <v>12720.27</v>
      </c>
      <c r="J869" s="35">
        <f t="shared" si="285"/>
        <v>12745.02</v>
      </c>
      <c r="K869" s="35">
        <f t="shared" si="285"/>
        <v>12434.970000000005</v>
      </c>
      <c r="L869" s="35">
        <f t="shared" si="285"/>
        <v>12315.869999999992</v>
      </c>
      <c r="M869" s="36"/>
      <c r="N869" s="36"/>
      <c r="O869" s="36"/>
      <c r="P869" s="36"/>
      <c r="Q869" s="36"/>
      <c r="R869" s="37"/>
      <c r="S869" s="38"/>
      <c r="T869" s="57"/>
      <c r="V869" s="51"/>
      <c r="W869" s="51"/>
      <c r="X869" s="52"/>
      <c r="Y869" s="52"/>
      <c r="Z869" s="53"/>
      <c r="AA869" s="53"/>
    </row>
    <row r="870" spans="1:27" ht="15.6" x14ac:dyDescent="0.3">
      <c r="A870" s="100">
        <v>43721</v>
      </c>
      <c r="B870" s="117" t="s">
        <v>431</v>
      </c>
      <c r="C870" s="26" t="s">
        <v>126</v>
      </c>
      <c r="D870">
        <v>29117.03</v>
      </c>
      <c r="E870">
        <v>28982.84</v>
      </c>
      <c r="F870">
        <v>28994.2</v>
      </c>
      <c r="G870">
        <v>28955.57</v>
      </c>
      <c r="H870">
        <v>29057.62</v>
      </c>
      <c r="I870">
        <v>29078.91</v>
      </c>
      <c r="J870">
        <v>28955.62</v>
      </c>
      <c r="K870">
        <v>28964.57</v>
      </c>
      <c r="L870">
        <v>29118.97</v>
      </c>
      <c r="M870" s="27">
        <f>IF((L871=""),"",MAX(D872:L872))</f>
        <v>10523.160000000003</v>
      </c>
      <c r="N870" s="27">
        <f>IF(L871="","",MIN(D872:L872))</f>
        <v>10052.790000000001</v>
      </c>
      <c r="O870" s="27">
        <f>IF((L872=""),"",AVERAGE(D872:L872))</f>
        <v>10257.826666666666</v>
      </c>
      <c r="P870" s="27">
        <f>IF((L871=""),"",STDEV(D872:L872))</f>
        <v>156.06635303613672</v>
      </c>
      <c r="Q870" s="27">
        <f>IF((L871=""),"",P870/O870*100)</f>
        <v>1.5214368316758786</v>
      </c>
      <c r="R870" s="28" t="str">
        <f>IF(L871="","",IF(Q870&lt;Z870,IF(N870&gt;V870,IF(M870&lt;W870,"Pass","Fail"),"Fail"),"Fail"))</f>
        <v>Pass</v>
      </c>
      <c r="S870" s="29">
        <v>1159</v>
      </c>
      <c r="T870" s="55" t="s">
        <v>380</v>
      </c>
      <c r="V870" s="54">
        <v>10000</v>
      </c>
      <c r="W870" s="22">
        <v>15600</v>
      </c>
      <c r="X870" s="40">
        <v>8090</v>
      </c>
      <c r="Y870" s="40">
        <v>12070</v>
      </c>
      <c r="Z870" s="47">
        <v>6</v>
      </c>
      <c r="AA870" s="47">
        <v>6</v>
      </c>
    </row>
    <row r="871" spans="1:27" ht="15.6" x14ac:dyDescent="0.3">
      <c r="A871" s="98"/>
      <c r="B871" s="98"/>
      <c r="C871" s="30" t="s">
        <v>128</v>
      </c>
      <c r="D871">
        <v>25766.1</v>
      </c>
      <c r="E871">
        <v>25595.58</v>
      </c>
      <c r="F871">
        <v>25622.47</v>
      </c>
      <c r="G871">
        <v>25503.39</v>
      </c>
      <c r="H871">
        <v>25597.54</v>
      </c>
      <c r="I871">
        <v>25571.19</v>
      </c>
      <c r="J871">
        <v>25502.34</v>
      </c>
      <c r="K871">
        <v>25549.38</v>
      </c>
      <c r="L871">
        <v>25743.86</v>
      </c>
      <c r="M871" s="31"/>
      <c r="N871" s="31"/>
      <c r="O871" s="31"/>
      <c r="P871" s="31"/>
      <c r="Q871" s="31"/>
      <c r="R871" s="32"/>
      <c r="S871" s="33"/>
      <c r="T871" s="56"/>
      <c r="V871" s="48"/>
      <c r="W871" s="48"/>
      <c r="X871" s="49"/>
      <c r="Y871" s="49"/>
      <c r="Z871" s="50"/>
      <c r="AA871" s="50"/>
    </row>
    <row r="872" spans="1:27" ht="14.4" thickBot="1" x14ac:dyDescent="0.35">
      <c r="A872" s="100"/>
      <c r="B872" s="114"/>
      <c r="C872" s="34" t="s">
        <v>129</v>
      </c>
      <c r="D872" s="35">
        <f>IF(((D870="")*AND(D871="")),"",(D870-D871)*3)</f>
        <v>10052.790000000001</v>
      </c>
      <c r="E872" s="35">
        <f t="shared" ref="E872:L872" si="286">IF(((E870="")*AND(E871="")),"",(E870-E871)*3)</f>
        <v>10161.779999999995</v>
      </c>
      <c r="F872" s="35">
        <f t="shared" si="286"/>
        <v>10115.189999999999</v>
      </c>
      <c r="G872" s="35">
        <f t="shared" si="286"/>
        <v>10356.540000000001</v>
      </c>
      <c r="H872" s="35">
        <f t="shared" si="286"/>
        <v>10380.239999999994</v>
      </c>
      <c r="I872" s="35">
        <f t="shared" si="286"/>
        <v>10523.160000000003</v>
      </c>
      <c r="J872" s="35">
        <f t="shared" si="286"/>
        <v>10359.839999999997</v>
      </c>
      <c r="K872" s="35">
        <f t="shared" si="286"/>
        <v>10245.569999999996</v>
      </c>
      <c r="L872" s="35">
        <f t="shared" si="286"/>
        <v>10125.330000000002</v>
      </c>
      <c r="M872" s="36"/>
      <c r="N872" s="36"/>
      <c r="O872" s="36"/>
      <c r="P872" s="36"/>
      <c r="Q872" s="36"/>
      <c r="R872" s="37"/>
      <c r="S872" s="38"/>
      <c r="T872" s="57"/>
      <c r="V872" s="51"/>
      <c r="W872" s="51"/>
      <c r="X872" s="52"/>
      <c r="Y872" s="52"/>
      <c r="Z872" s="53"/>
      <c r="AA872" s="53"/>
    </row>
    <row r="873" spans="1:27" ht="15.6" x14ac:dyDescent="0.3">
      <c r="A873" s="100">
        <v>43725</v>
      </c>
      <c r="B873" s="117" t="s">
        <v>431</v>
      </c>
      <c r="C873" s="26" t="s">
        <v>126</v>
      </c>
      <c r="D873">
        <v>28809.06</v>
      </c>
      <c r="E873">
        <v>28701.68</v>
      </c>
      <c r="F873">
        <v>28682</v>
      </c>
      <c r="G873">
        <v>28697.49</v>
      </c>
      <c r="H873">
        <v>28817.69</v>
      </c>
      <c r="I873">
        <v>28812.41</v>
      </c>
      <c r="J873">
        <v>28686.79</v>
      </c>
      <c r="K873">
        <v>28706.240000000002</v>
      </c>
      <c r="L873">
        <v>28844.94</v>
      </c>
      <c r="M873" s="27">
        <f>IF((L874=""),"",MAX(D875:L875))</f>
        <v>9797.5799999999908</v>
      </c>
      <c r="N873" s="27">
        <f>IF(L874="","",MIN(D875:L875))</f>
        <v>9193.7400000000052</v>
      </c>
      <c r="O873" s="27">
        <f>IF((L875=""),"",AVERAGE(D875:L875))</f>
        <v>9585.739999999998</v>
      </c>
      <c r="P873" s="27">
        <f>IF((L874=""),"",STDEV(D875:L875))</f>
        <v>195.39125229907114</v>
      </c>
      <c r="Q873" s="27">
        <f>IF((L874=""),"",P873/O873*100)</f>
        <v>2.038353348818883</v>
      </c>
      <c r="R873" s="28" t="str">
        <f>IF(L874="","",IF(Q873&lt;Z873,IF(N873&gt;V873,IF(M873&lt;W873,"Pass","Fail"),"Fail"),"Fail"))</f>
        <v>Fail</v>
      </c>
      <c r="S873" s="29">
        <v>1340</v>
      </c>
      <c r="T873" s="55"/>
      <c r="V873" s="54">
        <v>10000</v>
      </c>
      <c r="W873" s="22">
        <v>15600</v>
      </c>
      <c r="X873" s="40">
        <v>8090</v>
      </c>
      <c r="Y873" s="40">
        <v>12070</v>
      </c>
      <c r="Z873" s="47">
        <v>6</v>
      </c>
      <c r="AA873" s="47">
        <v>6</v>
      </c>
    </row>
    <row r="874" spans="1:27" ht="15.6" x14ac:dyDescent="0.3">
      <c r="A874" s="98"/>
      <c r="B874" s="98"/>
      <c r="C874" s="30" t="s">
        <v>128</v>
      </c>
      <c r="D874">
        <v>25744.48</v>
      </c>
      <c r="E874">
        <v>25548.080000000002</v>
      </c>
      <c r="F874">
        <v>25546.34</v>
      </c>
      <c r="G874">
        <v>25448.11</v>
      </c>
      <c r="H874">
        <v>25551.83</v>
      </c>
      <c r="I874">
        <v>25566.5</v>
      </c>
      <c r="J874">
        <v>25469.41</v>
      </c>
      <c r="K874">
        <v>25491.22</v>
      </c>
      <c r="L874">
        <v>25635.11</v>
      </c>
      <c r="M874" s="31"/>
      <c r="N874" s="31"/>
      <c r="O874" s="31"/>
      <c r="P874" s="31"/>
      <c r="Q874" s="31"/>
      <c r="R874" s="32"/>
      <c r="S874" s="33"/>
      <c r="T874" s="56"/>
      <c r="V874" s="48"/>
      <c r="W874" s="48"/>
      <c r="X874" s="49"/>
      <c r="Y874" s="49"/>
      <c r="Z874" s="50"/>
      <c r="AA874" s="50"/>
    </row>
    <row r="875" spans="1:27" ht="14.4" thickBot="1" x14ac:dyDescent="0.35">
      <c r="A875" s="100"/>
      <c r="B875" s="114"/>
      <c r="C875" s="34" t="s">
        <v>129</v>
      </c>
      <c r="D875" s="35">
        <f>IF(((D873="")*AND(D874="")),"",(D873-D874)*3)</f>
        <v>9193.7400000000052</v>
      </c>
      <c r="E875" s="35">
        <f t="shared" ref="E875:L875" si="287">IF(((E873="")*AND(E874="")),"",(E873-E874)*3)</f>
        <v>9460.7999999999956</v>
      </c>
      <c r="F875" s="35">
        <f t="shared" si="287"/>
        <v>9406.98</v>
      </c>
      <c r="G875" s="35">
        <f t="shared" si="287"/>
        <v>9748.1400000000031</v>
      </c>
      <c r="H875" s="35">
        <f t="shared" si="287"/>
        <v>9797.5799999999908</v>
      </c>
      <c r="I875" s="35">
        <f t="shared" si="287"/>
        <v>9737.73</v>
      </c>
      <c r="J875" s="35">
        <f t="shared" si="287"/>
        <v>9652.1400000000031</v>
      </c>
      <c r="K875" s="35">
        <f t="shared" si="287"/>
        <v>9645.0600000000013</v>
      </c>
      <c r="L875" s="35">
        <f t="shared" si="287"/>
        <v>9629.4899999999943</v>
      </c>
      <c r="M875" s="36"/>
      <c r="N875" s="36"/>
      <c r="O875" s="36"/>
      <c r="P875" s="36"/>
      <c r="Q875" s="36"/>
      <c r="R875" s="37"/>
      <c r="S875" s="38"/>
      <c r="T875" s="57"/>
      <c r="V875" s="51"/>
      <c r="W875" s="51"/>
      <c r="X875" s="52"/>
      <c r="Y875" s="52"/>
      <c r="Z875" s="53"/>
      <c r="AA875" s="53"/>
    </row>
    <row r="876" spans="1:27" ht="15.6" x14ac:dyDescent="0.3">
      <c r="A876" s="100">
        <v>43725</v>
      </c>
      <c r="B876" s="117" t="s">
        <v>431</v>
      </c>
      <c r="C876" s="26" t="s">
        <v>126</v>
      </c>
      <c r="D876">
        <v>29035.82</v>
      </c>
      <c r="E876">
        <v>28926.12</v>
      </c>
      <c r="F876">
        <v>28916.2</v>
      </c>
      <c r="G876">
        <v>28915.05</v>
      </c>
      <c r="H876">
        <v>29068.18</v>
      </c>
      <c r="I876">
        <v>29026.57</v>
      </c>
      <c r="J876">
        <v>28921.54</v>
      </c>
      <c r="K876">
        <v>28916.6</v>
      </c>
      <c r="L876">
        <v>29044.26</v>
      </c>
      <c r="M876" s="27">
        <f>IF((L877=""),"",MAX(D878:L878))</f>
        <v>10670.129999999997</v>
      </c>
      <c r="N876" s="27">
        <f>IF(L877="","",MIN(D878:L878))</f>
        <v>10113.029999999995</v>
      </c>
      <c r="O876" s="27">
        <f>IF((L878=""),"",AVERAGE(D878:L878))</f>
        <v>10472.373333333333</v>
      </c>
      <c r="P876" s="27">
        <f>IF((L877=""),"",STDEV(D878:L878))</f>
        <v>177.099009455165</v>
      </c>
      <c r="Q876" s="27">
        <f>IF((L877=""),"",P876/O876*100)</f>
        <v>1.6911067225942256</v>
      </c>
      <c r="R876" s="28" t="str">
        <f>IF(L877="","",IF(Q876&lt;Z876,IF(N876&gt;V876,IF(M876&lt;W876,"Pass","Fail"),"Fail"),"Fail"))</f>
        <v>Pass</v>
      </c>
      <c r="S876" s="29">
        <v>1340</v>
      </c>
      <c r="T876" s="55"/>
      <c r="V876" s="54">
        <v>10000</v>
      </c>
      <c r="W876" s="22">
        <v>15600</v>
      </c>
      <c r="X876" s="40">
        <v>8090</v>
      </c>
      <c r="Y876" s="40">
        <v>12070</v>
      </c>
      <c r="Z876" s="47">
        <v>6</v>
      </c>
      <c r="AA876" s="47">
        <v>6</v>
      </c>
    </row>
    <row r="877" spans="1:27" ht="15.6" x14ac:dyDescent="0.3">
      <c r="A877" s="98"/>
      <c r="B877" s="98"/>
      <c r="C877" s="30" t="s">
        <v>128</v>
      </c>
      <c r="D877">
        <v>25664.81</v>
      </c>
      <c r="E877">
        <v>25473.200000000001</v>
      </c>
      <c r="F877">
        <v>25474.07</v>
      </c>
      <c r="G877">
        <v>25389.19</v>
      </c>
      <c r="H877">
        <v>25511.47</v>
      </c>
      <c r="I877">
        <v>25490.67</v>
      </c>
      <c r="J877">
        <v>25388.87</v>
      </c>
      <c r="K877">
        <v>25426.58</v>
      </c>
      <c r="L877">
        <v>25534.36</v>
      </c>
      <c r="M877" s="31"/>
      <c r="N877" s="31"/>
      <c r="O877" s="31"/>
      <c r="P877" s="31"/>
      <c r="Q877" s="31"/>
      <c r="R877" s="32"/>
      <c r="S877" s="33"/>
      <c r="T877" s="56"/>
      <c r="V877" s="48"/>
      <c r="W877" s="48"/>
      <c r="X877" s="49"/>
      <c r="Y877" s="49"/>
      <c r="Z877" s="50"/>
      <c r="AA877" s="50"/>
    </row>
    <row r="878" spans="1:27" ht="14.4" thickBot="1" x14ac:dyDescent="0.35">
      <c r="A878" s="100"/>
      <c r="B878" s="114"/>
      <c r="C878" s="34" t="s">
        <v>129</v>
      </c>
      <c r="D878" s="35">
        <f>IF(((D876="")*AND(D877="")),"",(D876-D877)*3)</f>
        <v>10113.029999999995</v>
      </c>
      <c r="E878" s="35">
        <f t="shared" ref="E878:L878" si="288">IF(((E876="")*AND(E877="")),"",(E876-E877)*3)</f>
        <v>10358.759999999995</v>
      </c>
      <c r="F878" s="35">
        <f t="shared" si="288"/>
        <v>10326.390000000003</v>
      </c>
      <c r="G878" s="35">
        <f t="shared" si="288"/>
        <v>10577.580000000002</v>
      </c>
      <c r="H878" s="35">
        <f t="shared" si="288"/>
        <v>10670.129999999997</v>
      </c>
      <c r="I878" s="35">
        <f t="shared" si="288"/>
        <v>10607.700000000004</v>
      </c>
      <c r="J878" s="35">
        <f t="shared" si="288"/>
        <v>10598.010000000006</v>
      </c>
      <c r="K878" s="35">
        <f t="shared" si="288"/>
        <v>10470.05999999999</v>
      </c>
      <c r="L878" s="35">
        <f t="shared" si="288"/>
        <v>10529.699999999993</v>
      </c>
      <c r="M878" s="36"/>
      <c r="N878" s="36"/>
      <c r="O878" s="36"/>
      <c r="P878" s="36"/>
      <c r="Q878" s="36"/>
      <c r="R878" s="37"/>
      <c r="S878" s="38"/>
      <c r="T878" s="57"/>
      <c r="V878" s="51"/>
      <c r="W878" s="51"/>
      <c r="X878" s="52"/>
      <c r="Y878" s="52"/>
      <c r="Z878" s="53"/>
      <c r="AA878" s="53"/>
    </row>
    <row r="879" spans="1:27" ht="15.6" x14ac:dyDescent="0.3">
      <c r="A879" s="100">
        <v>43729</v>
      </c>
      <c r="B879" s="117" t="s">
        <v>431</v>
      </c>
      <c r="C879" s="26" t="s">
        <v>126</v>
      </c>
      <c r="D879" s="104">
        <v>29021.79</v>
      </c>
      <c r="E879" s="104">
        <v>28907.89</v>
      </c>
      <c r="F879" s="104">
        <v>28934.5</v>
      </c>
      <c r="G879" s="104">
        <v>28912.3</v>
      </c>
      <c r="H879" s="104">
        <v>29041.55</v>
      </c>
      <c r="I879" s="104">
        <v>28988.400000000001</v>
      </c>
      <c r="J879" s="104">
        <v>28888.84</v>
      </c>
      <c r="K879" s="104">
        <v>28903.7</v>
      </c>
      <c r="L879" s="104">
        <v>29040.15</v>
      </c>
      <c r="M879" s="27">
        <f>IF((L880=""),"",MAX(D881:L881))</f>
        <v>10284.420000000009</v>
      </c>
      <c r="N879" s="27">
        <f>IF(L880="","",MIN(D881:L881))</f>
        <v>10014.450000000004</v>
      </c>
      <c r="O879" s="27">
        <f>IF((L881=""),"",AVERAGE(D881:L881))</f>
        <v>10176.526666666668</v>
      </c>
      <c r="P879" s="27">
        <f>IF((L880=""),"",STDEV(D881:L881))</f>
        <v>98.471147804825833</v>
      </c>
      <c r="Q879" s="27">
        <f>IF((L880=""),"",P879/O879*100)</f>
        <v>0.96763022424310274</v>
      </c>
      <c r="R879" s="28" t="str">
        <f>IF(L880="","",IF(Q879&lt;Z879,IF(N879&gt;V879,IF(M879&lt;W879,"Pass","Fail"),"Fail"),"Fail"))</f>
        <v>Pass</v>
      </c>
      <c r="S879" s="29">
        <v>64</v>
      </c>
      <c r="T879" s="55" t="s">
        <v>382</v>
      </c>
      <c r="V879" s="54">
        <v>10000</v>
      </c>
      <c r="W879" s="22">
        <v>15600</v>
      </c>
      <c r="X879" s="40">
        <v>8090</v>
      </c>
      <c r="Y879" s="40">
        <v>12070</v>
      </c>
      <c r="Z879" s="47">
        <v>6</v>
      </c>
      <c r="AA879" s="47">
        <v>6</v>
      </c>
    </row>
    <row r="880" spans="1:27" ht="15.6" x14ac:dyDescent="0.3">
      <c r="A880" s="98"/>
      <c r="B880" s="98"/>
      <c r="C880" s="30" t="s">
        <v>128</v>
      </c>
      <c r="D880" s="104">
        <v>25661.19</v>
      </c>
      <c r="E880" s="104">
        <v>25541.89</v>
      </c>
      <c r="F880" s="104">
        <v>25596.35</v>
      </c>
      <c r="G880" s="104">
        <v>25504.21</v>
      </c>
      <c r="H880" s="104">
        <v>25632.07</v>
      </c>
      <c r="I880" s="104">
        <v>25569.83</v>
      </c>
      <c r="J880" s="104">
        <v>25462.639999999999</v>
      </c>
      <c r="K880" s="104">
        <v>25529.35</v>
      </c>
      <c r="L880" s="104">
        <v>25612.01</v>
      </c>
      <c r="M880" s="31"/>
      <c r="N880" s="31"/>
      <c r="O880" s="31"/>
      <c r="P880" s="31"/>
      <c r="Q880" s="31"/>
      <c r="R880" s="32"/>
      <c r="S880" s="33"/>
      <c r="T880" s="56"/>
      <c r="V880" s="48"/>
      <c r="W880" s="48"/>
      <c r="X880" s="49"/>
      <c r="Y880" s="49"/>
      <c r="Z880" s="50"/>
      <c r="AA880" s="50"/>
    </row>
    <row r="881" spans="1:27" ht="14.4" thickBot="1" x14ac:dyDescent="0.35">
      <c r="A881" s="100"/>
      <c r="B881" s="114"/>
      <c r="C881" s="34" t="s">
        <v>129</v>
      </c>
      <c r="D881" s="35">
        <f>IF(((D879="")*AND(D880="")),"",(D879-D880)*3)</f>
        <v>10081.800000000007</v>
      </c>
      <c r="E881" s="35">
        <f t="shared" ref="E881:L881" si="289">IF(((E879="")*AND(E880="")),"",(E879-E880)*3)</f>
        <v>10098</v>
      </c>
      <c r="F881" s="35">
        <f t="shared" si="289"/>
        <v>10014.450000000004</v>
      </c>
      <c r="G881" s="35">
        <f t="shared" si="289"/>
        <v>10224.27</v>
      </c>
      <c r="H881" s="35">
        <f t="shared" si="289"/>
        <v>10228.439999999999</v>
      </c>
      <c r="I881" s="35">
        <f t="shared" si="289"/>
        <v>10255.709999999999</v>
      </c>
      <c r="J881" s="35">
        <f t="shared" si="289"/>
        <v>10278.600000000002</v>
      </c>
      <c r="K881" s="35">
        <f t="shared" si="289"/>
        <v>10123.050000000007</v>
      </c>
      <c r="L881" s="35">
        <f t="shared" si="289"/>
        <v>10284.420000000009</v>
      </c>
      <c r="M881" s="36"/>
      <c r="N881" s="36"/>
      <c r="O881" s="36"/>
      <c r="P881" s="36"/>
      <c r="Q881" s="36"/>
      <c r="R881" s="37"/>
      <c r="S881" s="38"/>
      <c r="T881" s="57"/>
      <c r="V881" s="51"/>
      <c r="W881" s="51"/>
      <c r="X881" s="52"/>
      <c r="Y881" s="52"/>
      <c r="Z881" s="53"/>
      <c r="AA881" s="53"/>
    </row>
    <row r="882" spans="1:27" ht="15.6" x14ac:dyDescent="0.3">
      <c r="A882" s="100">
        <v>43733</v>
      </c>
      <c r="B882" s="117" t="s">
        <v>431</v>
      </c>
      <c r="C882" s="26" t="s">
        <v>126</v>
      </c>
      <c r="D882">
        <v>29010.61</v>
      </c>
      <c r="E882">
        <v>28889.51</v>
      </c>
      <c r="F882">
        <v>28883.11</v>
      </c>
      <c r="G882">
        <v>28905.51</v>
      </c>
      <c r="H882">
        <v>29041.11</v>
      </c>
      <c r="I882">
        <v>29018.57</v>
      </c>
      <c r="J882">
        <v>28882.400000000001</v>
      </c>
      <c r="K882">
        <v>28887.3</v>
      </c>
      <c r="L882">
        <v>29045.360000000001</v>
      </c>
      <c r="M882" s="27">
        <f>IF((L883=""),"",MAX(D884:L884))</f>
        <v>10253.790000000001</v>
      </c>
      <c r="N882" s="27">
        <f>IF(L883="","",MIN(D884:L884))</f>
        <v>9552.75</v>
      </c>
      <c r="O882" s="27">
        <f>IF((L884=""),"",AVERAGE(D884:L884))</f>
        <v>9974.0166666666664</v>
      </c>
      <c r="P882" s="27">
        <f>IF((L883=""),"",STDEV(D884:L884))</f>
        <v>206.70068021175004</v>
      </c>
      <c r="Q882" s="27">
        <f>IF((L883=""),"",P882/O882*100)</f>
        <v>2.0723915662036867</v>
      </c>
      <c r="R882" s="28" t="str">
        <f>IF(L883="","",IF(Q882&lt;Z882,IF(N882&gt;V882,IF(M882&lt;W882,"Pass","Fail"),"Fail"),"Fail"))</f>
        <v>Fail</v>
      </c>
      <c r="S882" s="29">
        <v>1335</v>
      </c>
      <c r="T882" s="55"/>
      <c r="V882" s="54">
        <v>10000</v>
      </c>
      <c r="W882" s="22">
        <v>15600</v>
      </c>
      <c r="X882" s="40">
        <v>8090</v>
      </c>
      <c r="Y882" s="40">
        <v>12070</v>
      </c>
      <c r="Z882" s="47">
        <v>6</v>
      </c>
      <c r="AA882" s="47">
        <v>6</v>
      </c>
    </row>
    <row r="883" spans="1:27" ht="15.6" x14ac:dyDescent="0.3">
      <c r="A883" s="98"/>
      <c r="B883" s="98"/>
      <c r="C883" s="30" t="s">
        <v>128</v>
      </c>
      <c r="D883">
        <v>25826.36</v>
      </c>
      <c r="E883">
        <v>25597.79</v>
      </c>
      <c r="F883">
        <v>25585</v>
      </c>
      <c r="G883">
        <v>25544.37</v>
      </c>
      <c r="H883">
        <v>25647.4</v>
      </c>
      <c r="I883">
        <v>25600.639999999999</v>
      </c>
      <c r="J883">
        <v>25524.3</v>
      </c>
      <c r="K883">
        <v>25574.43</v>
      </c>
      <c r="L883">
        <v>25741.14</v>
      </c>
      <c r="M883" s="31"/>
      <c r="N883" s="31"/>
      <c r="O883" s="31"/>
      <c r="P883" s="31"/>
      <c r="Q883" s="31"/>
      <c r="R883" s="32"/>
      <c r="S883" s="33"/>
      <c r="T883" s="56"/>
      <c r="V883" s="48"/>
      <c r="W883" s="48"/>
      <c r="X883" s="49"/>
      <c r="Y883" s="49"/>
      <c r="Z883" s="50"/>
      <c r="AA883" s="50"/>
    </row>
    <row r="884" spans="1:27" ht="14.4" thickBot="1" x14ac:dyDescent="0.35">
      <c r="A884" s="100"/>
      <c r="B884" s="114"/>
      <c r="C884" s="34" t="s">
        <v>129</v>
      </c>
      <c r="D884" s="35">
        <f>IF(((D882="")*AND(D883="")),"",(D882-D883)*3)</f>
        <v>9552.75</v>
      </c>
      <c r="E884" s="35">
        <f t="shared" ref="E884:L884" si="290">IF(((E882="")*AND(E883="")),"",(E882-E883)*3)</f>
        <v>9875.1599999999926</v>
      </c>
      <c r="F884" s="35">
        <f t="shared" si="290"/>
        <v>9894.3300000000017</v>
      </c>
      <c r="G884" s="35">
        <f t="shared" si="290"/>
        <v>10083.419999999998</v>
      </c>
      <c r="H884" s="35">
        <f t="shared" si="290"/>
        <v>10181.129999999997</v>
      </c>
      <c r="I884" s="35">
        <f t="shared" si="290"/>
        <v>10253.790000000001</v>
      </c>
      <c r="J884" s="35">
        <f t="shared" si="290"/>
        <v>10074.300000000007</v>
      </c>
      <c r="K884" s="35">
        <f t="shared" si="290"/>
        <v>9938.6099999999969</v>
      </c>
      <c r="L884" s="35">
        <f t="shared" si="290"/>
        <v>9912.6600000000035</v>
      </c>
      <c r="M884" s="36"/>
      <c r="N884" s="36"/>
      <c r="O884" s="36"/>
      <c r="P884" s="36"/>
      <c r="Q884" s="36"/>
      <c r="R884" s="37"/>
      <c r="S884" s="38"/>
      <c r="T884" s="57"/>
      <c r="V884" s="51"/>
      <c r="W884" s="51"/>
      <c r="X884" s="52"/>
      <c r="Y884" s="52"/>
      <c r="Z884" s="53"/>
      <c r="AA884" s="53"/>
    </row>
    <row r="885" spans="1:27" ht="15.6" x14ac:dyDescent="0.3">
      <c r="A885" s="100">
        <v>43734</v>
      </c>
      <c r="B885" s="117" t="s">
        <v>431</v>
      </c>
      <c r="C885" s="26" t="s">
        <v>126</v>
      </c>
      <c r="D885">
        <v>29185.599999999999</v>
      </c>
      <c r="E885">
        <v>29185.52</v>
      </c>
      <c r="F885">
        <v>29097.16</v>
      </c>
      <c r="G885">
        <v>29116.41</v>
      </c>
      <c r="H885">
        <v>29162.25</v>
      </c>
      <c r="I885">
        <v>29233.85</v>
      </c>
      <c r="J885">
        <v>29144.66</v>
      </c>
      <c r="K885">
        <v>29148.38</v>
      </c>
      <c r="L885">
        <v>29237.42</v>
      </c>
      <c r="M885" s="27">
        <f>IF((L886=""),"",MAX(D887:L887))</f>
        <v>11056.71</v>
      </c>
      <c r="N885" s="27">
        <f>IF(L886="","",MIN(D887:L887))</f>
        <v>10430.549999999996</v>
      </c>
      <c r="O885" s="27">
        <f>IF((L887=""),"",AVERAGE(D887:L887))</f>
        <v>10662.843333333332</v>
      </c>
      <c r="P885" s="27">
        <f>IF((L886=""),"",STDEV(D887:L887))</f>
        <v>172.87199570780754</v>
      </c>
      <c r="Q885" s="27">
        <f>IF((L886=""),"",P885/O885*100)</f>
        <v>1.6212560787364179</v>
      </c>
      <c r="R885" s="28" t="str">
        <f>IF(L886="","",IF(Q885&lt;Z885,IF(N885&gt;V885,IF(M885&lt;W885,"Pass","Fail"),"Fail"),"Fail"))</f>
        <v>Pass</v>
      </c>
      <c r="S885" s="29">
        <v>1159</v>
      </c>
      <c r="T885" s="50" t="s">
        <v>386</v>
      </c>
      <c r="V885" s="54">
        <v>10000</v>
      </c>
      <c r="W885" s="22">
        <v>15600</v>
      </c>
      <c r="X885" s="40">
        <v>8090</v>
      </c>
      <c r="Y885" s="40">
        <v>12070</v>
      </c>
      <c r="Z885" s="47">
        <v>6</v>
      </c>
      <c r="AA885" s="47">
        <v>6</v>
      </c>
    </row>
    <row r="886" spans="1:27" ht="15.6" x14ac:dyDescent="0.3">
      <c r="A886" s="98"/>
      <c r="B886" s="98"/>
      <c r="C886" s="30" t="s">
        <v>128</v>
      </c>
      <c r="D886">
        <v>25660.62</v>
      </c>
      <c r="E886">
        <v>25663.47</v>
      </c>
      <c r="F886">
        <v>25620.31</v>
      </c>
      <c r="G886">
        <v>25577.53</v>
      </c>
      <c r="H886">
        <v>25476.68</v>
      </c>
      <c r="I886">
        <v>25696.46</v>
      </c>
      <c r="J886">
        <v>25562.18</v>
      </c>
      <c r="K886">
        <v>25583.34</v>
      </c>
      <c r="L886">
        <v>25682.13</v>
      </c>
      <c r="M886" s="31"/>
      <c r="N886" s="31"/>
      <c r="O886" s="31"/>
      <c r="P886" s="31"/>
      <c r="Q886" s="31"/>
      <c r="R886" s="32"/>
      <c r="S886" s="33"/>
      <c r="V886" s="48"/>
      <c r="W886" s="48"/>
      <c r="X886" s="49"/>
      <c r="Y886" s="49"/>
      <c r="Z886" s="50"/>
      <c r="AA886" s="50"/>
    </row>
    <row r="887" spans="1:27" ht="14.4" thickBot="1" x14ac:dyDescent="0.35">
      <c r="A887" s="100"/>
      <c r="B887" s="114"/>
      <c r="C887" s="34" t="s">
        <v>129</v>
      </c>
      <c r="D887" s="35">
        <f>IF(((D885="")*AND(D886="")),"",(D885-D886)*3)</f>
        <v>10574.939999999999</v>
      </c>
      <c r="E887" s="35">
        <f t="shared" ref="E887:L887" si="291">IF(((E885="")*AND(E886="")),"",(E885-E886)*3)</f>
        <v>10566.149999999998</v>
      </c>
      <c r="F887" s="35">
        <f t="shared" si="291"/>
        <v>10430.549999999996</v>
      </c>
      <c r="G887" s="35">
        <f t="shared" si="291"/>
        <v>10616.640000000003</v>
      </c>
      <c r="H887" s="35">
        <f t="shared" si="291"/>
        <v>11056.71</v>
      </c>
      <c r="I887" s="35">
        <f t="shared" si="291"/>
        <v>10612.169999999998</v>
      </c>
      <c r="J887" s="35">
        <f t="shared" si="291"/>
        <v>10747.439999999999</v>
      </c>
      <c r="K887" s="35">
        <f t="shared" si="291"/>
        <v>10695.120000000003</v>
      </c>
      <c r="L887" s="35">
        <f t="shared" si="291"/>
        <v>10665.869999999992</v>
      </c>
      <c r="M887" s="36"/>
      <c r="N887" s="36"/>
      <c r="O887" s="36"/>
      <c r="P887" s="36"/>
      <c r="Q887" s="36"/>
      <c r="R887" s="37"/>
      <c r="S887" s="38"/>
      <c r="V887" s="51"/>
      <c r="W887" s="51"/>
      <c r="X887" s="52"/>
      <c r="Y887" s="52"/>
      <c r="Z887" s="53"/>
      <c r="AA887" s="53"/>
    </row>
    <row r="888" spans="1:27" ht="15.6" x14ac:dyDescent="0.3">
      <c r="A888" s="39">
        <v>43738</v>
      </c>
      <c r="B888" s="117" t="s">
        <v>431</v>
      </c>
      <c r="C888" s="26" t="s">
        <v>126</v>
      </c>
      <c r="D888">
        <v>29043.4</v>
      </c>
      <c r="E888">
        <v>28919.88</v>
      </c>
      <c r="F888">
        <v>28867.48</v>
      </c>
      <c r="G888">
        <v>28897.79</v>
      </c>
      <c r="H888">
        <v>29012.73</v>
      </c>
      <c r="I888">
        <v>29025.25</v>
      </c>
      <c r="J888">
        <v>28904.639999999999</v>
      </c>
      <c r="K888">
        <v>28907.07</v>
      </c>
      <c r="L888">
        <v>29043.58</v>
      </c>
      <c r="M888" s="27">
        <f>IF((L889=""),"",MAX(D890:L890))</f>
        <v>11364.600000000002</v>
      </c>
      <c r="N888" s="27">
        <f>IF(L889="","",MIN(D890:L890))</f>
        <v>10621.169999999998</v>
      </c>
      <c r="O888" s="27">
        <f>IF((L890=""),"",AVERAGE(D890:L890))</f>
        <v>11101.206666666671</v>
      </c>
      <c r="P888" s="27">
        <f>IF((L889=""),"",STDEV(D890:L890))</f>
        <v>223.51497824530864</v>
      </c>
      <c r="Q888" s="27">
        <f>IF((L889=""),"",P888/O888*100)</f>
        <v>2.0134295753312275</v>
      </c>
      <c r="R888" s="28" t="str">
        <f>IF(L889="","",IF(Q888&lt;Z888,IF(N888&gt;V888,IF(M888&lt;W888,"Pass","Fail"),"Fail"),"Fail"))</f>
        <v>Pass</v>
      </c>
      <c r="S888" s="29">
        <v>121</v>
      </c>
      <c r="T888" s="50" t="s">
        <v>388</v>
      </c>
      <c r="V888" s="54">
        <v>10000</v>
      </c>
      <c r="W888" s="22">
        <v>15600</v>
      </c>
      <c r="X888" s="40">
        <v>8090</v>
      </c>
      <c r="Y888" s="40">
        <v>12070</v>
      </c>
      <c r="Z888" s="47">
        <v>6</v>
      </c>
      <c r="AA888" s="47">
        <v>6</v>
      </c>
    </row>
    <row r="889" spans="1:27" ht="15.6" x14ac:dyDescent="0.3">
      <c r="A889" s="98"/>
      <c r="B889" s="98"/>
      <c r="C889" s="30" t="s">
        <v>128</v>
      </c>
      <c r="D889">
        <v>25255.200000000001</v>
      </c>
      <c r="E889">
        <v>25162.79</v>
      </c>
      <c r="F889">
        <v>25179.18</v>
      </c>
      <c r="G889">
        <v>25245.06</v>
      </c>
      <c r="H889">
        <v>25472.34</v>
      </c>
      <c r="I889">
        <v>25348.57</v>
      </c>
      <c r="J889">
        <v>25202.46</v>
      </c>
      <c r="K889">
        <v>25167.23</v>
      </c>
      <c r="L889">
        <v>25285.37</v>
      </c>
      <c r="M889" s="31"/>
      <c r="N889" s="31"/>
      <c r="O889" s="31"/>
      <c r="P889" s="31"/>
      <c r="Q889" s="31"/>
      <c r="R889" s="32"/>
      <c r="S889" s="33"/>
      <c r="V889" s="48"/>
      <c r="W889" s="48"/>
      <c r="X889" s="49"/>
      <c r="Y889" s="49"/>
      <c r="Z889" s="50"/>
      <c r="AA889" s="50"/>
    </row>
    <row r="890" spans="1:27" ht="14.4" thickBot="1" x14ac:dyDescent="0.35">
      <c r="A890" s="100"/>
      <c r="B890" s="114"/>
      <c r="C890" s="34" t="s">
        <v>129</v>
      </c>
      <c r="D890" s="35">
        <f>IF(((D888="")*AND(D889="")),"",(D888-D889)*3)</f>
        <v>11364.600000000002</v>
      </c>
      <c r="E890" s="35">
        <f t="shared" ref="E890:L890" si="292">IF(((E888="")*AND(E889="")),"",(E888-E889)*3)</f>
        <v>11271.27</v>
      </c>
      <c r="F890" s="35">
        <f t="shared" si="292"/>
        <v>11064.899999999998</v>
      </c>
      <c r="G890" s="35">
        <f t="shared" si="292"/>
        <v>10958.189999999999</v>
      </c>
      <c r="H890" s="35">
        <f t="shared" si="292"/>
        <v>10621.169999999998</v>
      </c>
      <c r="I890" s="35">
        <f t="shared" si="292"/>
        <v>11030.04</v>
      </c>
      <c r="J890" s="35">
        <f t="shared" si="292"/>
        <v>11106.54</v>
      </c>
      <c r="K890" s="35">
        <f t="shared" si="292"/>
        <v>11219.52</v>
      </c>
      <c r="L890" s="35">
        <f t="shared" si="292"/>
        <v>11274.630000000008</v>
      </c>
      <c r="M890" s="36"/>
      <c r="N890" s="36"/>
      <c r="O890" s="36"/>
      <c r="P890" s="36"/>
      <c r="Q890" s="36"/>
      <c r="R890" s="37"/>
      <c r="S890" s="38"/>
      <c r="V890" s="51"/>
      <c r="W890" s="51"/>
      <c r="X890" s="52"/>
      <c r="Y890" s="52"/>
      <c r="Z890" s="53"/>
      <c r="AA890" s="53"/>
    </row>
    <row r="891" spans="1:27" ht="15.6" x14ac:dyDescent="0.3">
      <c r="A891" s="39">
        <v>43742</v>
      </c>
      <c r="B891" s="117" t="s">
        <v>431</v>
      </c>
      <c r="C891" s="26" t="s">
        <v>126</v>
      </c>
      <c r="D891">
        <v>29044.32</v>
      </c>
      <c r="E891">
        <v>28908.86</v>
      </c>
      <c r="F891">
        <v>28913.26</v>
      </c>
      <c r="G891">
        <v>28886</v>
      </c>
      <c r="H891">
        <v>28999.07</v>
      </c>
      <c r="I891">
        <v>29000.53</v>
      </c>
      <c r="J891">
        <v>28888.35</v>
      </c>
      <c r="K891">
        <v>28894.81</v>
      </c>
      <c r="L891">
        <v>29041.23</v>
      </c>
      <c r="M891" s="27">
        <f>IF((L892=""),"",MAX(D893:L893))</f>
        <v>12064.080000000002</v>
      </c>
      <c r="N891" s="27">
        <f>IF(L892="","",MIN(D893:L893))</f>
        <v>11272.049999999996</v>
      </c>
      <c r="O891" s="27">
        <f>IF((L893=""),"",AVERAGE(D893:L893))</f>
        <v>11769.309999999998</v>
      </c>
      <c r="P891" s="27">
        <f>IF((L892=""),"",STDEV(D893:L893))</f>
        <v>261.00028491364054</v>
      </c>
      <c r="Q891" s="27">
        <f>IF((L892=""),"",P891/O891*100)</f>
        <v>2.2176345504846129</v>
      </c>
      <c r="R891" s="28" t="str">
        <f>IF(L892="","",IF(Q891&lt;Z891,IF(N891&gt;V891,IF(M891&lt;W891,"Pass","Fail"),"Fail"),"Fail"))</f>
        <v>Pass</v>
      </c>
      <c r="S891" s="29">
        <v>121</v>
      </c>
      <c r="T891" s="50" t="s">
        <v>390</v>
      </c>
      <c r="V891" s="54">
        <v>10000</v>
      </c>
      <c r="W891" s="22">
        <v>15600</v>
      </c>
      <c r="X891" s="40">
        <v>8090</v>
      </c>
      <c r="Y891" s="40">
        <v>12070</v>
      </c>
      <c r="Z891" s="47">
        <v>6</v>
      </c>
      <c r="AA891" s="47">
        <v>6</v>
      </c>
    </row>
    <row r="892" spans="1:27" ht="15.6" x14ac:dyDescent="0.3">
      <c r="A892" s="98"/>
      <c r="B892" s="98"/>
      <c r="C892" s="30" t="s">
        <v>128</v>
      </c>
      <c r="D892">
        <v>25047.83</v>
      </c>
      <c r="E892">
        <v>24915.89</v>
      </c>
      <c r="F892">
        <v>25047.74</v>
      </c>
      <c r="G892">
        <v>25001.279999999999</v>
      </c>
      <c r="H892">
        <v>25241.72</v>
      </c>
      <c r="I892">
        <v>25131.61</v>
      </c>
      <c r="J892">
        <v>24964.55</v>
      </c>
      <c r="K892">
        <v>24898.01</v>
      </c>
      <c r="L892">
        <v>25019.87</v>
      </c>
      <c r="M892" s="31"/>
      <c r="N892" s="31"/>
      <c r="O892" s="31"/>
      <c r="P892" s="31"/>
      <c r="Q892" s="31"/>
      <c r="R892" s="32"/>
      <c r="S892" s="33"/>
      <c r="V892" s="48"/>
      <c r="W892" s="48"/>
      <c r="X892" s="49"/>
      <c r="Y892" s="49"/>
      <c r="Z892" s="50"/>
      <c r="AA892" s="50"/>
    </row>
    <row r="893" spans="1:27" ht="14.4" thickBot="1" x14ac:dyDescent="0.35">
      <c r="A893" s="100"/>
      <c r="B893" s="114"/>
      <c r="C893" s="34" t="s">
        <v>129</v>
      </c>
      <c r="D893" s="35">
        <f>IF(((D891="")*AND(D892="")),"",(D891-D892)*3)</f>
        <v>11989.469999999994</v>
      </c>
      <c r="E893" s="35">
        <f t="shared" ref="E893:L893" si="293">IF(((E891="")*AND(E892="")),"",(E891-E892)*3)</f>
        <v>11978.910000000003</v>
      </c>
      <c r="F893" s="35">
        <f t="shared" si="293"/>
        <v>11596.55999999999</v>
      </c>
      <c r="G893" s="35">
        <f t="shared" si="293"/>
        <v>11654.160000000003</v>
      </c>
      <c r="H893" s="35">
        <f t="shared" si="293"/>
        <v>11272.049999999996</v>
      </c>
      <c r="I893" s="35">
        <f t="shared" si="293"/>
        <v>11606.759999999995</v>
      </c>
      <c r="J893" s="35">
        <f t="shared" si="293"/>
        <v>11771.399999999998</v>
      </c>
      <c r="K893" s="35">
        <f t="shared" si="293"/>
        <v>11990.400000000009</v>
      </c>
      <c r="L893" s="35">
        <f t="shared" si="293"/>
        <v>12064.080000000002</v>
      </c>
      <c r="M893" s="36"/>
      <c r="N893" s="36"/>
      <c r="O893" s="36"/>
      <c r="P893" s="36"/>
      <c r="Q893" s="36"/>
      <c r="R893" s="37"/>
      <c r="S893" s="38"/>
      <c r="V893" s="51"/>
      <c r="W893" s="51"/>
      <c r="X893" s="52"/>
      <c r="Y893" s="52"/>
      <c r="Z893" s="53"/>
      <c r="AA893" s="53"/>
    </row>
    <row r="894" spans="1:27" ht="15.6" x14ac:dyDescent="0.3">
      <c r="A894" s="39">
        <v>43747</v>
      </c>
      <c r="B894" s="117" t="s">
        <v>431</v>
      </c>
      <c r="C894" s="26" t="s">
        <v>126</v>
      </c>
      <c r="D894">
        <v>28811.87</v>
      </c>
      <c r="E894">
        <v>28695.63</v>
      </c>
      <c r="F894">
        <v>28680.080000000002</v>
      </c>
      <c r="G894">
        <v>28701.43</v>
      </c>
      <c r="H894">
        <v>28827.68</v>
      </c>
      <c r="I894">
        <v>28818.51</v>
      </c>
      <c r="J894">
        <v>28691.42</v>
      </c>
      <c r="K894">
        <v>28693.58</v>
      </c>
      <c r="L894">
        <v>28793.29</v>
      </c>
      <c r="M894" s="27">
        <f>IF((L895=""),"",MAX(D896:L896))</f>
        <v>10883.819999999996</v>
      </c>
      <c r="N894" s="27">
        <f>IF(L895="","",MIN(D896:L896))</f>
        <v>10250.669999999998</v>
      </c>
      <c r="O894" s="27">
        <f>IF((L896=""),"",AVERAGE(D896:L896))</f>
        <v>10633.66</v>
      </c>
      <c r="P894" s="27">
        <f>IF((L895=""),"",STDEV(D896:L896))</f>
        <v>221.22848132643261</v>
      </c>
      <c r="Q894" s="27">
        <f>IF((L895=""),"",P894/O894*100)</f>
        <v>2.0804547195079834</v>
      </c>
      <c r="R894" s="28" t="str">
        <f>IF(L895="","",IF(Q894&lt;Z894,IF(N894&gt;V894,IF(M894&lt;W894,"Pass","Fail"),"Fail"),"Fail"))</f>
        <v>Pass</v>
      </c>
      <c r="S894" s="29">
        <v>1335</v>
      </c>
      <c r="T894" s="50" t="s">
        <v>392</v>
      </c>
      <c r="V894" s="54">
        <v>10000</v>
      </c>
      <c r="W894" s="22">
        <v>15600</v>
      </c>
      <c r="X894" s="40">
        <v>8090</v>
      </c>
      <c r="Y894" s="40">
        <v>12070</v>
      </c>
      <c r="Z894" s="47">
        <v>6</v>
      </c>
      <c r="AA894" s="47">
        <v>6</v>
      </c>
    </row>
    <row r="895" spans="1:27" ht="15.6" x14ac:dyDescent="0.3">
      <c r="A895" s="98"/>
      <c r="B895" s="98"/>
      <c r="C895" s="30" t="s">
        <v>128</v>
      </c>
      <c r="D895">
        <v>25183.93</v>
      </c>
      <c r="E895">
        <v>25088.54</v>
      </c>
      <c r="F895">
        <v>25218.26</v>
      </c>
      <c r="G895">
        <v>25189.200000000001</v>
      </c>
      <c r="H895">
        <v>25410.79</v>
      </c>
      <c r="I895">
        <v>25300.639999999999</v>
      </c>
      <c r="J895">
        <v>25147.06</v>
      </c>
      <c r="K895">
        <v>25094</v>
      </c>
      <c r="L895">
        <v>25180.09</v>
      </c>
      <c r="M895" s="31"/>
      <c r="N895" s="31"/>
      <c r="O895" s="31"/>
      <c r="P895" s="31"/>
      <c r="Q895" s="31"/>
      <c r="R895" s="32"/>
      <c r="S895" s="33"/>
    </row>
    <row r="896" spans="1:27" ht="14.4" thickBot="1" x14ac:dyDescent="0.35">
      <c r="A896" s="100"/>
      <c r="B896" s="114"/>
      <c r="C896" s="34" t="s">
        <v>129</v>
      </c>
      <c r="D896" s="35">
        <f>IF(((D894="")*AND(D895="")),"",(D894-D895)*3)</f>
        <v>10883.819999999996</v>
      </c>
      <c r="E896" s="35">
        <f t="shared" ref="E896:L896" si="294">IF(((E894="")*AND(E895="")),"",(E894-E895)*3)</f>
        <v>10821.27</v>
      </c>
      <c r="F896" s="35">
        <f t="shared" si="294"/>
        <v>10385.46000000001</v>
      </c>
      <c r="G896" s="35">
        <f t="shared" si="294"/>
        <v>10536.689999999999</v>
      </c>
      <c r="H896" s="35">
        <f t="shared" si="294"/>
        <v>10250.669999999998</v>
      </c>
      <c r="I896" s="35">
        <f t="shared" si="294"/>
        <v>10553.609999999997</v>
      </c>
      <c r="J896" s="35">
        <f t="shared" si="294"/>
        <v>10633.079999999991</v>
      </c>
      <c r="K896" s="35">
        <f t="shared" si="294"/>
        <v>10798.740000000005</v>
      </c>
      <c r="L896" s="35">
        <f t="shared" si="294"/>
        <v>10839.600000000002</v>
      </c>
      <c r="M896" s="36"/>
      <c r="N896" s="36"/>
      <c r="O896" s="36"/>
      <c r="P896" s="36"/>
      <c r="Q896" s="36"/>
      <c r="R896" s="37"/>
      <c r="S896" s="38"/>
    </row>
    <row r="897" spans="1:27" ht="15.6" x14ac:dyDescent="0.3">
      <c r="A897" s="39">
        <v>43752</v>
      </c>
      <c r="B897" s="117" t="s">
        <v>431</v>
      </c>
      <c r="C897" s="26" t="s">
        <v>126</v>
      </c>
      <c r="D897">
        <v>28797.71</v>
      </c>
      <c r="E897">
        <v>28662.82</v>
      </c>
      <c r="F897">
        <v>28655.78</v>
      </c>
      <c r="G897">
        <v>28659.119999999999</v>
      </c>
      <c r="H897">
        <v>28753.71</v>
      </c>
      <c r="I897">
        <v>28766.35</v>
      </c>
      <c r="J897">
        <v>29035.59</v>
      </c>
      <c r="K897">
        <v>28665.84</v>
      </c>
      <c r="L897">
        <v>28803.16</v>
      </c>
      <c r="M897" s="27">
        <f>IF((L898=""),"",MAX(D899:L899))</f>
        <v>11126.04</v>
      </c>
      <c r="N897" s="27">
        <f>IF(L898="","",MIN(D899:L899))</f>
        <v>9164.73</v>
      </c>
      <c r="O897" s="27">
        <f>IF((L899=""),"",AVERAGE(D899:L899))</f>
        <v>9739.6666666666661</v>
      </c>
      <c r="P897" s="27">
        <f>IF((L898=""),"",STDEV(D899:L899))</f>
        <v>553.73223362018632</v>
      </c>
      <c r="Q897" s="27">
        <f>IF((L898=""),"",P897/O897*100)</f>
        <v>5.6853304386206203</v>
      </c>
      <c r="R897" s="28" t="str">
        <f>IF(L898="","",IF(Q897&lt;Z897,IF(N897&gt;V897,IF(M897&lt;W897,"Pass","Fail"),"Fail"),"Fail"))</f>
        <v>Fail</v>
      </c>
      <c r="S897" s="29">
        <v>1340</v>
      </c>
      <c r="V897" s="54">
        <v>10000</v>
      </c>
      <c r="W897" s="22">
        <v>15600</v>
      </c>
      <c r="X897" s="40">
        <v>8090</v>
      </c>
      <c r="Y897" s="40">
        <v>12070</v>
      </c>
      <c r="Z897" s="47">
        <v>6</v>
      </c>
      <c r="AA897" s="47">
        <v>6</v>
      </c>
    </row>
    <row r="898" spans="1:27" ht="15.6" x14ac:dyDescent="0.3">
      <c r="A898" s="98"/>
      <c r="B898" s="98"/>
      <c r="C898" s="30" t="s">
        <v>128</v>
      </c>
      <c r="D898">
        <v>25742.799999999999</v>
      </c>
      <c r="E898">
        <v>25514.12</v>
      </c>
      <c r="F898">
        <v>25491.33</v>
      </c>
      <c r="G898">
        <v>25420.94</v>
      </c>
      <c r="H898">
        <v>25506.3</v>
      </c>
      <c r="I898">
        <v>25498.61</v>
      </c>
      <c r="J898">
        <v>25326.91</v>
      </c>
      <c r="K898">
        <v>25471.38</v>
      </c>
      <c r="L898">
        <v>25608.69</v>
      </c>
      <c r="M898" s="31"/>
      <c r="N898" s="31"/>
      <c r="O898" s="31"/>
      <c r="P898" s="31"/>
      <c r="Q898" s="31"/>
      <c r="R898" s="32"/>
      <c r="S898" s="33"/>
    </row>
    <row r="899" spans="1:27" ht="14.4" thickBot="1" x14ac:dyDescent="0.35">
      <c r="A899" s="100"/>
      <c r="B899" s="114"/>
      <c r="C899" s="34" t="s">
        <v>129</v>
      </c>
      <c r="D899" s="35">
        <f>IF(((D897="")*AND(D898="")),"",(D897-D898)*3)</f>
        <v>9164.73</v>
      </c>
      <c r="E899" s="35">
        <f t="shared" ref="E899:L899" si="295">IF(((E897="")*AND(E898="")),"",(E897-E898)*3)</f>
        <v>9446.1000000000022</v>
      </c>
      <c r="F899" s="35">
        <f t="shared" si="295"/>
        <v>9493.3499999999913</v>
      </c>
      <c r="G899" s="35">
        <f t="shared" si="295"/>
        <v>9714.5400000000009</v>
      </c>
      <c r="H899" s="35">
        <f t="shared" si="295"/>
        <v>9742.23</v>
      </c>
      <c r="I899" s="35">
        <f t="shared" si="295"/>
        <v>9803.2199999999939</v>
      </c>
      <c r="J899" s="35">
        <f t="shared" si="295"/>
        <v>11126.04</v>
      </c>
      <c r="K899" s="35">
        <f t="shared" si="295"/>
        <v>9583.3799999999974</v>
      </c>
      <c r="L899" s="35">
        <f t="shared" si="295"/>
        <v>9583.4100000000035</v>
      </c>
      <c r="M899" s="36"/>
      <c r="N899" s="36"/>
      <c r="O899" s="36"/>
      <c r="P899" s="36"/>
      <c r="Q899" s="36"/>
      <c r="R899" s="37"/>
      <c r="S899" s="38"/>
    </row>
    <row r="900" spans="1:27" ht="15.6" x14ac:dyDescent="0.3">
      <c r="A900" s="39">
        <v>43752</v>
      </c>
      <c r="B900" s="117" t="s">
        <v>431</v>
      </c>
      <c r="C900" s="26" t="s">
        <v>126</v>
      </c>
      <c r="D900">
        <v>29400.97</v>
      </c>
      <c r="E900">
        <v>29282.73</v>
      </c>
      <c r="F900">
        <v>29288.32</v>
      </c>
      <c r="G900">
        <v>29277.23</v>
      </c>
      <c r="H900">
        <v>29393.63</v>
      </c>
      <c r="I900">
        <v>29355.71</v>
      </c>
      <c r="J900">
        <v>29264.51</v>
      </c>
      <c r="K900">
        <v>29269.54</v>
      </c>
      <c r="L900">
        <v>29416.46</v>
      </c>
      <c r="M900" s="27">
        <f>IF((L901=""),"",MAX(D902:L902))</f>
        <v>12076.679999999993</v>
      </c>
      <c r="N900" s="27">
        <f>IF(L901="","",MIN(D902:L902))</f>
        <v>11461.29</v>
      </c>
      <c r="O900" s="27">
        <f>IF((L902=""),"",AVERAGE(D902:L902))</f>
        <v>11857.702499999998</v>
      </c>
      <c r="P900" s="27">
        <f>IF((L901=""),"",STDEV(D902:L902))</f>
        <v>196.39610694061193</v>
      </c>
      <c r="Q900" s="27">
        <f>IF((L901=""),"",P900/O900*100)</f>
        <v>1.656274534975152</v>
      </c>
      <c r="R900" s="28" t="str">
        <f>IF(L901="","",IF(Q900&lt;Z900,IF(N900&gt;V900,IF(M900&lt;W900,"Pass","Fail"),"Fail"),"Fail"))</f>
        <v>Pass</v>
      </c>
      <c r="S900" s="29">
        <v>1340</v>
      </c>
      <c r="T900" s="50" t="s">
        <v>394</v>
      </c>
      <c r="V900" s="54">
        <v>10000</v>
      </c>
      <c r="W900" s="22">
        <v>15600</v>
      </c>
      <c r="X900" s="40">
        <v>8090</v>
      </c>
      <c r="Y900" s="40">
        <v>12070</v>
      </c>
      <c r="Z900" s="47">
        <v>6</v>
      </c>
      <c r="AA900" s="47">
        <v>6</v>
      </c>
    </row>
    <row r="901" spans="1:27" ht="15.6" x14ac:dyDescent="0.3">
      <c r="A901" s="98"/>
      <c r="B901" s="115"/>
      <c r="D901">
        <v>25580.54</v>
      </c>
      <c r="E901">
        <v>25358.06</v>
      </c>
      <c r="F901">
        <v>25381.83</v>
      </c>
      <c r="G901">
        <v>25287.46</v>
      </c>
      <c r="H901">
        <v>25394.16</v>
      </c>
      <c r="I901">
        <v>25330.15</v>
      </c>
      <c r="J901">
        <v>25275.52</v>
      </c>
      <c r="K901">
        <v>25319.1</v>
      </c>
      <c r="L901">
        <v>25477.07</v>
      </c>
      <c r="M901" s="31"/>
      <c r="N901" s="31"/>
      <c r="O901" s="31"/>
      <c r="P901" s="31"/>
      <c r="Q901" s="31"/>
      <c r="R901" s="32"/>
      <c r="S901" s="33"/>
    </row>
    <row r="902" spans="1:27" ht="14.4" thickBot="1" x14ac:dyDescent="0.35">
      <c r="A902" s="100"/>
      <c r="B902" s="114"/>
      <c r="C902" s="34" t="s">
        <v>129</v>
      </c>
      <c r="D902" s="35">
        <f>IF(((D900="")*AND(D901="")),"",(D900-D901)*3)</f>
        <v>11461.29</v>
      </c>
      <c r="E902" s="30" t="s">
        <v>128</v>
      </c>
      <c r="F902" s="35">
        <f t="shared" ref="F902:L902" si="296">IF(((F900="")*AND(F901="")),"",(F900-F901)*3)</f>
        <v>11719.469999999994</v>
      </c>
      <c r="G902" s="35">
        <f t="shared" si="296"/>
        <v>11969.310000000001</v>
      </c>
      <c r="H902" s="35">
        <f t="shared" si="296"/>
        <v>11998.410000000003</v>
      </c>
      <c r="I902" s="35">
        <f t="shared" si="296"/>
        <v>12076.679999999993</v>
      </c>
      <c r="J902" s="35">
        <f t="shared" si="296"/>
        <v>11966.969999999994</v>
      </c>
      <c r="K902" s="35">
        <f t="shared" si="296"/>
        <v>11851.320000000007</v>
      </c>
      <c r="L902" s="35">
        <f t="shared" si="296"/>
        <v>11818.169999999998</v>
      </c>
      <c r="M902" s="36"/>
      <c r="N902" s="36"/>
      <c r="O902" s="36"/>
      <c r="P902" s="36"/>
      <c r="Q902" s="36"/>
      <c r="R902" s="37"/>
      <c r="S902" s="38"/>
    </row>
    <row r="903" spans="1:27" ht="15.6" x14ac:dyDescent="0.3">
      <c r="A903" s="39">
        <v>43756</v>
      </c>
      <c r="B903" s="117" t="s">
        <v>431</v>
      </c>
      <c r="C903" s="26" t="s">
        <v>126</v>
      </c>
      <c r="D903">
        <v>29304.89</v>
      </c>
      <c r="E903">
        <v>29148.93</v>
      </c>
      <c r="F903">
        <v>29140.86</v>
      </c>
      <c r="G903">
        <v>29142.28</v>
      </c>
      <c r="H903">
        <v>29265.3</v>
      </c>
      <c r="I903">
        <v>29229.439999999999</v>
      </c>
      <c r="J903">
        <v>29130.25</v>
      </c>
      <c r="K903">
        <v>29160.43</v>
      </c>
      <c r="L903">
        <v>29281.69</v>
      </c>
      <c r="M903" s="27">
        <f>IF((L904=""),"",MAX(D905:L905))</f>
        <v>11731.259999999995</v>
      </c>
      <c r="N903" s="27">
        <f>IF(L904="","",MIN(D905:L905))</f>
        <v>10984.169999999998</v>
      </c>
      <c r="O903" s="27">
        <f>IF((L905=""),"",AVERAGE(D905:L905))</f>
        <v>11413.129999999997</v>
      </c>
      <c r="P903" s="27">
        <f>IF((L904=""),"",STDEV(D905:L905))</f>
        <v>225.87091545836446</v>
      </c>
      <c r="Q903" s="27">
        <f>IF((L904=""),"",P903/O903*100)</f>
        <v>1.9790444466887218</v>
      </c>
      <c r="R903" s="28" t="str">
        <f>IF(L904="","",IF(Q903&lt;Z903,IF(N903&gt;V903,IF(M903&lt;W903,"Pass","Fail"),"Fail"),"Fail"))</f>
        <v>Pass</v>
      </c>
      <c r="S903" s="29">
        <v>1340</v>
      </c>
      <c r="T903" s="50" t="s">
        <v>396</v>
      </c>
      <c r="V903" s="54">
        <v>10000</v>
      </c>
      <c r="W903" s="22">
        <v>15600</v>
      </c>
      <c r="X903" s="40">
        <v>8090</v>
      </c>
      <c r="Y903" s="40">
        <v>12070</v>
      </c>
      <c r="Z903" s="47">
        <v>6</v>
      </c>
      <c r="AA903" s="47">
        <v>6</v>
      </c>
    </row>
    <row r="904" spans="1:27" ht="15.6" x14ac:dyDescent="0.3">
      <c r="A904" s="98"/>
      <c r="B904" s="115"/>
      <c r="D904">
        <v>25643.5</v>
      </c>
      <c r="E904">
        <v>25389.83</v>
      </c>
      <c r="F904">
        <v>25392.22</v>
      </c>
      <c r="G904">
        <v>25283.89</v>
      </c>
      <c r="H904">
        <v>25402.33</v>
      </c>
      <c r="I904">
        <v>25319.02</v>
      </c>
      <c r="J904">
        <v>25282.2</v>
      </c>
      <c r="K904">
        <v>25359.040000000001</v>
      </c>
      <c r="L904">
        <v>25492.65</v>
      </c>
      <c r="M904" s="31"/>
      <c r="N904" s="31"/>
      <c r="O904" s="31"/>
      <c r="P904" s="31"/>
      <c r="Q904" s="31"/>
      <c r="R904" s="32"/>
      <c r="S904" s="30"/>
    </row>
    <row r="905" spans="1:27" ht="14.4" thickBot="1" x14ac:dyDescent="0.35">
      <c r="A905" s="100"/>
      <c r="B905" s="114"/>
      <c r="C905" s="34" t="s">
        <v>129</v>
      </c>
      <c r="D905" s="35">
        <f>IF(((D903="")*AND(D904="")),"",(D903-D904)*3)</f>
        <v>10984.169999999998</v>
      </c>
      <c r="E905" s="35">
        <f t="shared" ref="E905:L905" si="297">IF(((E903="")*AND(E904="")),"",(E903-E904)*3)</f>
        <v>11277.299999999996</v>
      </c>
      <c r="F905" s="35">
        <f t="shared" si="297"/>
        <v>11245.919999999998</v>
      </c>
      <c r="G905" s="35">
        <f t="shared" si="297"/>
        <v>11575.169999999998</v>
      </c>
      <c r="H905" s="35">
        <f t="shared" si="297"/>
        <v>11588.909999999993</v>
      </c>
      <c r="I905" s="35">
        <f t="shared" si="297"/>
        <v>11731.259999999995</v>
      </c>
      <c r="J905" s="35">
        <f t="shared" si="297"/>
        <v>11544.149999999998</v>
      </c>
      <c r="K905" s="35">
        <f t="shared" si="297"/>
        <v>11404.169999999998</v>
      </c>
      <c r="L905" s="35">
        <f t="shared" si="297"/>
        <v>11367.119999999992</v>
      </c>
      <c r="M905" s="36"/>
      <c r="N905" s="36"/>
      <c r="O905" s="36"/>
      <c r="P905" s="36"/>
      <c r="Q905" s="36"/>
      <c r="R905" s="37"/>
      <c r="S905" s="38"/>
    </row>
    <row r="906" spans="1:27" ht="15.6" x14ac:dyDescent="0.3">
      <c r="A906" s="39">
        <v>43760</v>
      </c>
      <c r="B906" s="117" t="s">
        <v>431</v>
      </c>
      <c r="C906" s="26" t="s">
        <v>126</v>
      </c>
      <c r="D906">
        <v>29305.27</v>
      </c>
      <c r="E906">
        <v>29177.17</v>
      </c>
      <c r="F906">
        <v>29148.12</v>
      </c>
      <c r="G906">
        <v>29178.16</v>
      </c>
      <c r="H906">
        <v>29266.68</v>
      </c>
      <c r="I906">
        <v>29293.919999999998</v>
      </c>
      <c r="J906">
        <v>29179.73</v>
      </c>
      <c r="K906">
        <v>29168.91</v>
      </c>
      <c r="L906">
        <v>29279.599999999999</v>
      </c>
      <c r="M906" s="27">
        <f>IF((L907=""),"",MAX(D908:L908))</f>
        <v>12964.200000000004</v>
      </c>
      <c r="N906" s="27">
        <f>IF(L907="","",MIN(D908:L908))</f>
        <v>12134.939999999999</v>
      </c>
      <c r="O906" s="27">
        <f>IF((L908=""),"",AVERAGE(D908:L908))</f>
        <v>12664.699999999997</v>
      </c>
      <c r="P906" s="27">
        <f>IF((L907=""),"",STDEV(D908:L908))</f>
        <v>266.35522850133907</v>
      </c>
      <c r="Q906" s="27">
        <f>IF((L907=""),"",P906/O906*100)</f>
        <v>2.103130974293423</v>
      </c>
      <c r="R906" s="28" t="str">
        <f>IF(L907="","",IF(Q906&lt;Z906,IF(N906&gt;V906,IF(M906&lt;W906,"Pass","Fail"),"Fail"),"Fail"))</f>
        <v>Pass</v>
      </c>
      <c r="S906" s="29">
        <v>1335</v>
      </c>
      <c r="T906" s="50" t="s">
        <v>400</v>
      </c>
      <c r="V906" s="54">
        <v>10000</v>
      </c>
      <c r="W906" s="22">
        <v>15600</v>
      </c>
      <c r="X906" s="40">
        <v>8090</v>
      </c>
      <c r="Y906" s="40">
        <v>12070</v>
      </c>
      <c r="Z906" s="47">
        <v>6</v>
      </c>
      <c r="AA906" s="47">
        <v>6</v>
      </c>
    </row>
    <row r="907" spans="1:27" ht="15.6" x14ac:dyDescent="0.3">
      <c r="A907" s="98"/>
      <c r="B907" s="98"/>
      <c r="C907" s="30" t="s">
        <v>128</v>
      </c>
      <c r="D907">
        <v>25260.29</v>
      </c>
      <c r="E907">
        <v>25000.47</v>
      </c>
      <c r="F907">
        <v>24983.72</v>
      </c>
      <c r="G907">
        <v>24876.25</v>
      </c>
      <c r="H907">
        <v>24945.279999999999</v>
      </c>
      <c r="I907">
        <v>25002.77</v>
      </c>
      <c r="J907">
        <v>24893.63</v>
      </c>
      <c r="K907">
        <v>24948.84</v>
      </c>
      <c r="L907">
        <v>25092.21</v>
      </c>
      <c r="M907" s="31"/>
      <c r="N907" s="31"/>
      <c r="O907" s="31"/>
      <c r="P907" s="31"/>
      <c r="Q907" s="31"/>
      <c r="R907" s="32"/>
      <c r="S907" s="33"/>
      <c r="Z907" s="47"/>
      <c r="AA907" s="47"/>
    </row>
    <row r="908" spans="1:27" ht="14.4" thickBot="1" x14ac:dyDescent="0.35">
      <c r="A908" s="100"/>
      <c r="B908" s="114"/>
      <c r="C908" s="34" t="s">
        <v>129</v>
      </c>
      <c r="D908" s="35">
        <f>IF(((D906="")*AND(D907="")),"",(D906-D907)*3)</f>
        <v>12134.939999999999</v>
      </c>
      <c r="E908" s="35">
        <f t="shared" ref="E908:L908" si="298">IF(((E906="")*AND(E907="")),"",(E906-E907)*3)</f>
        <v>12530.099999999991</v>
      </c>
      <c r="F908" s="35">
        <f t="shared" si="298"/>
        <v>12493.199999999993</v>
      </c>
      <c r="G908" s="35">
        <f t="shared" si="298"/>
        <v>12905.73</v>
      </c>
      <c r="H908" s="35">
        <f t="shared" si="298"/>
        <v>12964.200000000004</v>
      </c>
      <c r="I908" s="35">
        <f t="shared" si="298"/>
        <v>12873.449999999993</v>
      </c>
      <c r="J908" s="35">
        <f t="shared" si="298"/>
        <v>12858.299999999996</v>
      </c>
      <c r="K908" s="35">
        <f t="shared" si="298"/>
        <v>12660.21</v>
      </c>
      <c r="L908" s="35">
        <f t="shared" si="298"/>
        <v>12562.169999999998</v>
      </c>
      <c r="M908" s="36"/>
      <c r="N908" s="36"/>
      <c r="O908" s="36"/>
      <c r="P908" s="36"/>
      <c r="Q908" s="36"/>
      <c r="R908" s="37"/>
      <c r="S908" s="38"/>
      <c r="Z908" s="47"/>
      <c r="AA908" s="47"/>
    </row>
    <row r="909" spans="1:27" ht="15.6" x14ac:dyDescent="0.3">
      <c r="A909" s="39">
        <v>43766</v>
      </c>
      <c r="B909" s="117" t="s">
        <v>431</v>
      </c>
      <c r="C909" s="26" t="s">
        <v>126</v>
      </c>
      <c r="D909">
        <v>29209.14</v>
      </c>
      <c r="E909">
        <v>29064.85</v>
      </c>
      <c r="F909">
        <v>29036.63</v>
      </c>
      <c r="G909">
        <v>29038.59</v>
      </c>
      <c r="H909">
        <v>29152.43</v>
      </c>
      <c r="I909">
        <v>29120.11</v>
      </c>
      <c r="J909">
        <v>29017.57</v>
      </c>
      <c r="K909">
        <v>29050.43</v>
      </c>
      <c r="L909">
        <v>29167.74</v>
      </c>
      <c r="M909" s="27">
        <f>IF((L910=""),"",MAX(D911:L911))</f>
        <v>11186.700000000004</v>
      </c>
      <c r="N909" s="27">
        <f>IF(L910="","",MIN(D911:L911))</f>
        <v>10413.689999999999</v>
      </c>
      <c r="O909" s="27">
        <f>IF((L911=""),"",AVERAGE(D911:L911))</f>
        <v>10875.463333333335</v>
      </c>
      <c r="P909" s="27">
        <f>IF((L910=""),"",STDEV(D911:L911))</f>
        <v>245.54391430047758</v>
      </c>
      <c r="Q909" s="27">
        <f>IF((L910=""),"",P909/O909*100)</f>
        <v>2.2577788805363777</v>
      </c>
      <c r="R909" s="28" t="str">
        <f>IF(L910="","",IF(Q909&lt;Z909,IF(N909&gt;V909,IF(M909&lt;W909,"Pass","Fail"),"Fail"),"Fail"))</f>
        <v>Pass</v>
      </c>
      <c r="S909" s="29">
        <v>1428</v>
      </c>
      <c r="T909" s="50" t="s">
        <v>401</v>
      </c>
      <c r="V909" s="54">
        <v>10000</v>
      </c>
      <c r="W909" s="22">
        <v>15600</v>
      </c>
      <c r="X909" s="40">
        <v>8090</v>
      </c>
      <c r="Y909" s="40">
        <v>12070</v>
      </c>
      <c r="Z909" s="47">
        <v>6</v>
      </c>
      <c r="AA909" s="47">
        <v>6</v>
      </c>
    </row>
    <row r="910" spans="1:27" ht="15.6" x14ac:dyDescent="0.3">
      <c r="A910" s="98"/>
      <c r="B910" s="98"/>
      <c r="C910" s="30" t="s">
        <v>128</v>
      </c>
      <c r="D910">
        <v>25499.09</v>
      </c>
      <c r="E910">
        <v>25379.1</v>
      </c>
      <c r="F910">
        <v>25456.94</v>
      </c>
      <c r="G910">
        <v>25443.4</v>
      </c>
      <c r="H910">
        <v>25681.200000000001</v>
      </c>
      <c r="I910">
        <v>25544.25</v>
      </c>
      <c r="J910">
        <v>25412.57</v>
      </c>
      <c r="K910">
        <v>25375.71</v>
      </c>
      <c r="L910">
        <v>25438.84</v>
      </c>
      <c r="M910" s="31"/>
      <c r="N910" s="31"/>
      <c r="O910" s="31"/>
      <c r="P910" s="31"/>
      <c r="Q910" s="31"/>
      <c r="R910" s="32"/>
      <c r="S910" s="33"/>
      <c r="Z910" s="47"/>
      <c r="AA910" s="47"/>
    </row>
    <row r="911" spans="1:27" ht="14.4" thickBot="1" x14ac:dyDescent="0.35">
      <c r="A911" s="100"/>
      <c r="B911" s="114"/>
      <c r="C911" s="34" t="s">
        <v>129</v>
      </c>
      <c r="D911" s="35">
        <f>IF(((D909="")*AND(D910="")),"",(D909-D910)*3)</f>
        <v>11130.149999999998</v>
      </c>
      <c r="E911" s="35">
        <f t="shared" ref="E911:L911" si="299">IF(((E909="")*AND(E910="")),"",(E909-E910)*3)</f>
        <v>11057.25</v>
      </c>
      <c r="F911" s="35">
        <f t="shared" si="299"/>
        <v>10739.070000000007</v>
      </c>
      <c r="G911" s="35">
        <f t="shared" si="299"/>
        <v>10785.569999999996</v>
      </c>
      <c r="H911" s="35">
        <f t="shared" si="299"/>
        <v>10413.689999999999</v>
      </c>
      <c r="I911" s="35">
        <f t="shared" si="299"/>
        <v>10727.580000000002</v>
      </c>
      <c r="J911" s="35">
        <f t="shared" si="299"/>
        <v>10815</v>
      </c>
      <c r="K911" s="35">
        <f t="shared" si="299"/>
        <v>11024.160000000003</v>
      </c>
      <c r="L911" s="35">
        <f t="shared" si="299"/>
        <v>11186.700000000004</v>
      </c>
      <c r="M911" s="36"/>
      <c r="N911" s="36"/>
      <c r="O911" s="36"/>
      <c r="P911" s="36"/>
      <c r="Q911" s="36"/>
      <c r="R911" s="37"/>
      <c r="S911" s="38"/>
      <c r="Z911" s="47"/>
      <c r="AA911" s="47"/>
    </row>
    <row r="912" spans="1:27" ht="15.6" x14ac:dyDescent="0.3">
      <c r="A912" s="39">
        <v>43770</v>
      </c>
      <c r="B912" s="117" t="s">
        <v>431</v>
      </c>
      <c r="C912" s="26" t="s">
        <v>126</v>
      </c>
      <c r="D912" s="104">
        <v>29223.8</v>
      </c>
      <c r="E912" s="104">
        <v>29111.37</v>
      </c>
      <c r="F912" s="104">
        <v>29081.25</v>
      </c>
      <c r="G912" s="104">
        <v>29077.85</v>
      </c>
      <c r="H912" s="104">
        <v>29196.09</v>
      </c>
      <c r="I912" s="104">
        <v>29226.7</v>
      </c>
      <c r="J912" s="104">
        <v>29093.61</v>
      </c>
      <c r="K912" s="104">
        <v>29087.45</v>
      </c>
      <c r="L912" s="104">
        <v>29186.67</v>
      </c>
      <c r="M912" s="27">
        <f>IF((L913=""),"",MAX(D914:L914))</f>
        <v>11593.01999999999</v>
      </c>
      <c r="N912" s="27">
        <f>IF(L913="","",MIN(D914:L914))</f>
        <v>10859.279999999995</v>
      </c>
      <c r="O912" s="27">
        <f>IF((L914=""),"",AVERAGE(D914:L914))</f>
        <v>11297.64333333333</v>
      </c>
      <c r="P912" s="27">
        <f>IF((L913=""),"",STDEV(D914:L914))</f>
        <v>226.53898047576615</v>
      </c>
      <c r="Q912" s="27">
        <f>IF((L913=""),"",P912/O912*100)</f>
        <v>2.0051879298346251</v>
      </c>
      <c r="R912" s="28" t="str">
        <f>IF(L913="","",IF(Q912&lt;Z912,IF(N912&gt;V912,IF(M912&lt;W912,"Pass","Fail"),"Fail"),"Fail"))</f>
        <v>Pass</v>
      </c>
      <c r="S912" s="29">
        <v>1428</v>
      </c>
      <c r="T912" s="50" t="s">
        <v>402</v>
      </c>
      <c r="V912" s="54">
        <v>10000</v>
      </c>
      <c r="W912" s="22">
        <v>15600</v>
      </c>
      <c r="X912" s="40">
        <v>8090</v>
      </c>
      <c r="Y912" s="40">
        <v>12070</v>
      </c>
      <c r="Z912" s="47">
        <v>6</v>
      </c>
      <c r="AA912" s="47">
        <v>6</v>
      </c>
    </row>
    <row r="913" spans="1:27" ht="15.6" x14ac:dyDescent="0.3">
      <c r="A913" s="98"/>
      <c r="B913" s="98"/>
      <c r="C913" s="30" t="s">
        <v>128</v>
      </c>
      <c r="D913" s="104">
        <v>25383.32</v>
      </c>
      <c r="E913" s="104">
        <v>25294.59</v>
      </c>
      <c r="F913" s="104">
        <v>25364.68</v>
      </c>
      <c r="G913" s="104">
        <v>25364.03</v>
      </c>
      <c r="H913" s="104">
        <v>25576.33</v>
      </c>
      <c r="I913" s="104">
        <v>25467.73</v>
      </c>
      <c r="J913" s="104">
        <v>25332.04</v>
      </c>
      <c r="K913" s="104">
        <v>25286.81</v>
      </c>
      <c r="L913" s="104">
        <v>25322.33</v>
      </c>
      <c r="M913" s="31"/>
      <c r="N913" s="31"/>
      <c r="O913" s="31"/>
      <c r="P913" s="31"/>
      <c r="Q913" s="31"/>
      <c r="R913" s="32"/>
      <c r="S913" s="33"/>
      <c r="Z913" s="47"/>
      <c r="AA913" s="47"/>
    </row>
    <row r="914" spans="1:27" ht="14.4" thickBot="1" x14ac:dyDescent="0.35">
      <c r="A914" s="100"/>
      <c r="B914" s="114"/>
      <c r="C914" s="34" t="s">
        <v>129</v>
      </c>
      <c r="D914" s="35">
        <f>IF(((D912="")*AND(D913="")),"",(D912-D913)*3)</f>
        <v>11521.439999999999</v>
      </c>
      <c r="E914" s="35">
        <f t="shared" ref="E914:L914" si="300">IF(((E912="")*AND(E913="")),"",(E912-E913)*3)</f>
        <v>11450.339999999997</v>
      </c>
      <c r="F914" s="35">
        <f t="shared" si="300"/>
        <v>11149.71</v>
      </c>
      <c r="G914" s="35">
        <f t="shared" si="300"/>
        <v>11141.46</v>
      </c>
      <c r="H914" s="35">
        <f t="shared" si="300"/>
        <v>10859.279999999995</v>
      </c>
      <c r="I914" s="35">
        <f t="shared" si="300"/>
        <v>11276.910000000003</v>
      </c>
      <c r="J914" s="35">
        <f t="shared" si="300"/>
        <v>11284.71</v>
      </c>
      <c r="K914" s="35">
        <f t="shared" si="300"/>
        <v>11401.919999999998</v>
      </c>
      <c r="L914" s="35">
        <f t="shared" si="300"/>
        <v>11593.01999999999</v>
      </c>
      <c r="M914" s="36"/>
      <c r="N914" s="36"/>
      <c r="O914" s="36"/>
      <c r="P914" s="36"/>
      <c r="Q914" s="36"/>
      <c r="R914" s="37"/>
      <c r="S914" s="38"/>
      <c r="Z914" s="47"/>
      <c r="AA914" s="47"/>
    </row>
    <row r="915" spans="1:27" ht="15.6" x14ac:dyDescent="0.3">
      <c r="A915" s="39">
        <v>43773</v>
      </c>
      <c r="B915" s="117" t="s">
        <v>431</v>
      </c>
      <c r="C915" s="26" t="s">
        <v>126</v>
      </c>
      <c r="D915">
        <v>29175.48</v>
      </c>
      <c r="E915">
        <v>29030.68</v>
      </c>
      <c r="F915">
        <v>29010.22</v>
      </c>
      <c r="G915">
        <v>29005.95</v>
      </c>
      <c r="H915">
        <v>29120.71</v>
      </c>
      <c r="I915">
        <v>29126.19</v>
      </c>
      <c r="J915">
        <v>29003.83</v>
      </c>
      <c r="K915">
        <v>29020.44</v>
      </c>
      <c r="L915">
        <v>29121.88</v>
      </c>
      <c r="M915" s="27">
        <f>IF((L916=""),"",MAX(D917:L917))</f>
        <v>11963.159999999993</v>
      </c>
      <c r="N915" s="27">
        <f>IF(L916="","",MIN(D917:L917))</f>
        <v>11132.669999999998</v>
      </c>
      <c r="O915" s="27">
        <f>IF((L917=""),"",AVERAGE(D917:L917))</f>
        <v>11569.84</v>
      </c>
      <c r="P915" s="27">
        <f>IF((L916=""),"",STDEV(D917:L917))</f>
        <v>252.43039094966386</v>
      </c>
      <c r="Q915" s="27">
        <f>IF((L916=""),"",P915/O915*100)</f>
        <v>2.1817967314125681</v>
      </c>
      <c r="R915" s="28" t="str">
        <f>IF(L916="","",IF(Q915&lt;Z915,IF(N915&gt;V915,IF(M915&lt;W915,"Pass","Fail"),"Fail"),"Fail"))</f>
        <v>Pass</v>
      </c>
      <c r="S915" s="29">
        <v>121</v>
      </c>
      <c r="T915" s="50" t="s">
        <v>403</v>
      </c>
      <c r="V915" s="54">
        <v>10000</v>
      </c>
      <c r="W915" s="22">
        <v>15600</v>
      </c>
      <c r="X915" s="40">
        <v>8090</v>
      </c>
      <c r="Y915" s="40">
        <v>12070</v>
      </c>
      <c r="Z915" s="47">
        <v>6</v>
      </c>
      <c r="AA915" s="47">
        <v>6</v>
      </c>
    </row>
    <row r="916" spans="1:27" ht="15.6" x14ac:dyDescent="0.3">
      <c r="A916" s="98"/>
      <c r="B916" s="98"/>
      <c r="C916" s="30" t="s">
        <v>128</v>
      </c>
      <c r="D916">
        <v>25464.59</v>
      </c>
      <c r="E916">
        <v>25210.2</v>
      </c>
      <c r="F916">
        <v>25206.400000000001</v>
      </c>
      <c r="G916">
        <v>25092.94</v>
      </c>
      <c r="H916">
        <v>25217.17</v>
      </c>
      <c r="I916">
        <v>25138.47</v>
      </c>
      <c r="J916">
        <v>25077.55</v>
      </c>
      <c r="K916">
        <v>25171.38</v>
      </c>
      <c r="L916">
        <v>25327.16</v>
      </c>
      <c r="M916" s="31"/>
      <c r="N916" s="31"/>
      <c r="O916" s="31"/>
      <c r="P916" s="31"/>
      <c r="Q916" s="31"/>
      <c r="R916" s="32"/>
      <c r="S916" s="33"/>
      <c r="Z916" s="47"/>
      <c r="AA916" s="47"/>
    </row>
    <row r="917" spans="1:27" ht="14.4" thickBot="1" x14ac:dyDescent="0.35">
      <c r="A917" s="100"/>
      <c r="B917" s="114"/>
      <c r="C917" s="34" t="s">
        <v>129</v>
      </c>
      <c r="D917" s="35">
        <f>IF(((D915="")*AND(D916="")),"",(D915-D916)*3)</f>
        <v>11132.669999999998</v>
      </c>
      <c r="E917" s="35">
        <f t="shared" ref="E917:L917" si="301">IF(((E915="")*AND(E916="")),"",(E915-E916)*3)</f>
        <v>11461.439999999999</v>
      </c>
      <c r="F917" s="35">
        <f t="shared" si="301"/>
        <v>11411.46</v>
      </c>
      <c r="G917" s="35">
        <f t="shared" si="301"/>
        <v>11739.030000000006</v>
      </c>
      <c r="H917" s="35">
        <f t="shared" si="301"/>
        <v>11710.620000000003</v>
      </c>
      <c r="I917" s="35">
        <f t="shared" si="301"/>
        <v>11963.159999999993</v>
      </c>
      <c r="J917" s="35">
        <f t="shared" si="301"/>
        <v>11778.840000000007</v>
      </c>
      <c r="K917" s="35">
        <f t="shared" si="301"/>
        <v>11547.179999999993</v>
      </c>
      <c r="L917" s="35">
        <f t="shared" si="301"/>
        <v>11384.160000000003</v>
      </c>
      <c r="M917" s="36"/>
      <c r="N917" s="36"/>
      <c r="O917" s="36"/>
      <c r="P917" s="36"/>
      <c r="Q917" s="36"/>
      <c r="R917" s="37"/>
      <c r="S917" s="38"/>
      <c r="Z917" s="47"/>
      <c r="AA917" s="47"/>
    </row>
    <row r="918" spans="1:27" ht="15.6" x14ac:dyDescent="0.3">
      <c r="A918" s="39">
        <v>43779</v>
      </c>
      <c r="B918" s="117" t="s">
        <v>431</v>
      </c>
      <c r="C918" s="26" t="s">
        <v>126</v>
      </c>
      <c r="D918">
        <v>29110.53</v>
      </c>
      <c r="E918">
        <v>28988.57</v>
      </c>
      <c r="F918">
        <v>28974.68</v>
      </c>
      <c r="G918">
        <v>28964.34</v>
      </c>
      <c r="H918">
        <v>29073.97</v>
      </c>
      <c r="I918">
        <v>29105.01</v>
      </c>
      <c r="J918">
        <v>28965.73</v>
      </c>
      <c r="K918">
        <v>28959.040000000001</v>
      </c>
      <c r="L918">
        <v>29050.25</v>
      </c>
      <c r="M918" s="27">
        <f>IF((L919=""),"",MAX(D920:L920))</f>
        <v>10495.620000000003</v>
      </c>
      <c r="N918" s="27">
        <f>IF(L919="","",MIN(D920:L920))</f>
        <v>9910.4700000000048</v>
      </c>
      <c r="O918" s="27">
        <f>IF((L920=""),"",AVERAGE(D920:L920))</f>
        <v>10188.796666666667</v>
      </c>
      <c r="P918" s="27">
        <f>IF((L919=""),"",STDEV(D920:L920))</f>
        <v>208.13890662247582</v>
      </c>
      <c r="Q918" s="27">
        <f>IF((L919=""),"",P918/O918*100)</f>
        <v>2.0428212813728654</v>
      </c>
      <c r="R918" s="28" t="str">
        <f>IF(L919="","",IF(Q918&lt;Z918,IF(N918&gt;V918,IF(M918&lt;W918,"Pass","Fail"),"Fail"),"Fail"))</f>
        <v>Fail</v>
      </c>
      <c r="S918" s="29">
        <v>121</v>
      </c>
      <c r="T918" s="50" t="s">
        <v>406</v>
      </c>
      <c r="U918" s="49" t="s">
        <v>410</v>
      </c>
      <c r="V918" s="54">
        <v>10000</v>
      </c>
      <c r="W918" s="22">
        <v>15600</v>
      </c>
      <c r="X918" s="40">
        <v>8090</v>
      </c>
      <c r="Y918" s="40">
        <v>12070</v>
      </c>
      <c r="Z918" s="47">
        <v>6</v>
      </c>
      <c r="AA918" s="47">
        <v>6</v>
      </c>
    </row>
    <row r="919" spans="1:27" ht="15.6" x14ac:dyDescent="0.3">
      <c r="A919" s="98"/>
      <c r="B919" s="98"/>
      <c r="C919" s="30" t="s">
        <v>128</v>
      </c>
      <c r="D919">
        <v>25782.86</v>
      </c>
      <c r="E919">
        <v>25643.69</v>
      </c>
      <c r="F919">
        <v>25671.19</v>
      </c>
      <c r="G919">
        <v>25565.8</v>
      </c>
      <c r="H919">
        <v>25575.43</v>
      </c>
      <c r="I919">
        <v>25621.18</v>
      </c>
      <c r="J919">
        <v>25592.74</v>
      </c>
      <c r="K919">
        <v>25579</v>
      </c>
      <c r="L919">
        <v>25593.84</v>
      </c>
      <c r="M919" s="31"/>
      <c r="N919" s="31"/>
      <c r="O919" s="31"/>
      <c r="P919" s="31"/>
      <c r="Q919" s="31"/>
      <c r="R919" s="32"/>
      <c r="S919" s="33"/>
      <c r="Z919" s="47"/>
      <c r="AA919" s="47"/>
    </row>
    <row r="920" spans="1:27" ht="14.4" thickBot="1" x14ac:dyDescent="0.35">
      <c r="A920" s="100"/>
      <c r="B920" s="114"/>
      <c r="C920" s="34" t="s">
        <v>129</v>
      </c>
      <c r="D920" s="35">
        <f>IF(((D918="")*AND(D919="")),"",(D918-D919)*3)</f>
        <v>9983.0099999999948</v>
      </c>
      <c r="E920" s="35">
        <f t="shared" ref="E920:L920" si="302">IF(((E918="")*AND(E919="")),"",(E918-E919)*3)</f>
        <v>10034.640000000003</v>
      </c>
      <c r="F920" s="35">
        <f t="shared" si="302"/>
        <v>9910.4700000000048</v>
      </c>
      <c r="G920" s="35">
        <f t="shared" si="302"/>
        <v>10195.620000000003</v>
      </c>
      <c r="H920" s="35">
        <f t="shared" si="302"/>
        <v>10495.620000000003</v>
      </c>
      <c r="I920" s="35">
        <f t="shared" si="302"/>
        <v>10451.489999999994</v>
      </c>
      <c r="J920" s="35">
        <f t="shared" si="302"/>
        <v>10118.969999999994</v>
      </c>
      <c r="K920" s="35">
        <f t="shared" si="302"/>
        <v>10140.120000000003</v>
      </c>
      <c r="L920" s="35">
        <f t="shared" si="302"/>
        <v>10369.23</v>
      </c>
      <c r="M920" s="36"/>
      <c r="N920" s="36"/>
      <c r="O920" s="36"/>
      <c r="P920" s="36"/>
      <c r="Q920" s="36"/>
      <c r="R920" s="37"/>
      <c r="S920" s="38"/>
      <c r="Z920" s="47"/>
      <c r="AA920" s="47"/>
    </row>
    <row r="921" spans="1:27" ht="15.6" x14ac:dyDescent="0.3">
      <c r="A921" s="39">
        <v>43780</v>
      </c>
      <c r="B921" s="117" t="s">
        <v>431</v>
      </c>
      <c r="C921" s="26" t="s">
        <v>126</v>
      </c>
      <c r="D921">
        <v>29071.72</v>
      </c>
      <c r="E921">
        <v>28949.07</v>
      </c>
      <c r="F921">
        <v>28925.96</v>
      </c>
      <c r="G921">
        <v>28929.360000000001</v>
      </c>
      <c r="H921">
        <v>29045.98</v>
      </c>
      <c r="I921">
        <v>29046.74</v>
      </c>
      <c r="J921">
        <v>28937.7</v>
      </c>
      <c r="K921">
        <v>28921.72</v>
      </c>
      <c r="L921">
        <v>29051.06</v>
      </c>
      <c r="M921" s="27">
        <f>IF((L922=""),"",MAX(D923:L923))</f>
        <v>10682.219999999994</v>
      </c>
      <c r="N921" s="27">
        <f>IF(L922="","",MIN(D923:L923))</f>
        <v>10055.100000000002</v>
      </c>
      <c r="O921" s="27">
        <f>IF((L923=""),"",AVERAGE(D923:L923))</f>
        <v>10349.163333333334</v>
      </c>
      <c r="P921" s="27">
        <f>IF((L922=""),"",STDEV(D923:L923))</f>
        <v>219.47037488007251</v>
      </c>
      <c r="Q921" s="27">
        <f>IF((L922=""),"",P921/O921*100)</f>
        <v>2.120658142220893</v>
      </c>
      <c r="R921" s="28" t="str">
        <f>IF(L922="","",IF(Q921&lt;Z921,IF(N921&gt;V921,IF(M921&lt;W921,"Pass","Fail"),"Fail"),"Fail"))</f>
        <v>Pass</v>
      </c>
      <c r="S921" s="29">
        <v>1340</v>
      </c>
      <c r="T921" s="50" t="s">
        <v>407</v>
      </c>
      <c r="V921" s="54">
        <v>10000</v>
      </c>
      <c r="W921" s="22">
        <v>15600</v>
      </c>
      <c r="X921" s="40">
        <v>8090</v>
      </c>
      <c r="Y921" s="40">
        <v>12070</v>
      </c>
      <c r="Z921" s="47">
        <v>6</v>
      </c>
      <c r="AA921" s="47">
        <v>6</v>
      </c>
    </row>
    <row r="922" spans="1:27" ht="15.6" x14ac:dyDescent="0.3">
      <c r="A922" s="98"/>
      <c r="B922" s="98"/>
      <c r="C922" s="30" t="s">
        <v>128</v>
      </c>
      <c r="D922">
        <v>25684.880000000001</v>
      </c>
      <c r="E922">
        <v>25554.22</v>
      </c>
      <c r="F922">
        <v>25574.26</v>
      </c>
      <c r="G922">
        <v>25491.63</v>
      </c>
      <c r="H922">
        <v>25485.24</v>
      </c>
      <c r="I922">
        <v>25500.13</v>
      </c>
      <c r="J922">
        <v>25497.18</v>
      </c>
      <c r="K922">
        <v>25501.51</v>
      </c>
      <c r="L922">
        <v>25542.77</v>
      </c>
      <c r="M922" s="31"/>
      <c r="N922" s="31"/>
      <c r="O922" s="31"/>
      <c r="P922" s="31"/>
      <c r="Q922" s="31"/>
      <c r="R922" s="32"/>
      <c r="S922" s="33"/>
      <c r="Z922" s="47"/>
      <c r="AA922" s="47"/>
    </row>
    <row r="923" spans="1:27" ht="14.4" thickBot="1" x14ac:dyDescent="0.35">
      <c r="A923" s="100"/>
      <c r="B923" s="114"/>
      <c r="C923" s="34" t="s">
        <v>129</v>
      </c>
      <c r="D923" s="35">
        <f>IF(((D921="")*AND(D922="")),"",(D921-D922)*3)</f>
        <v>10160.52</v>
      </c>
      <c r="E923" s="35">
        <f t="shared" ref="E923:L923" si="303">IF(((E921="")*AND(E922="")),"",(E921-E922)*3)</f>
        <v>10184.549999999996</v>
      </c>
      <c r="F923" s="35">
        <f t="shared" si="303"/>
        <v>10055.100000000002</v>
      </c>
      <c r="G923" s="35">
        <f t="shared" si="303"/>
        <v>10313.189999999999</v>
      </c>
      <c r="H923" s="35">
        <f t="shared" si="303"/>
        <v>10682.219999999994</v>
      </c>
      <c r="I923" s="35">
        <f t="shared" si="303"/>
        <v>10639.830000000002</v>
      </c>
      <c r="J923" s="35">
        <f t="shared" si="303"/>
        <v>10321.560000000001</v>
      </c>
      <c r="K923" s="35">
        <f t="shared" si="303"/>
        <v>10260.630000000008</v>
      </c>
      <c r="L923" s="35">
        <f t="shared" si="303"/>
        <v>10524.870000000003</v>
      </c>
      <c r="M923" s="36"/>
      <c r="N923" s="36"/>
      <c r="O923" s="36"/>
      <c r="P923" s="36"/>
      <c r="Q923" s="36"/>
      <c r="R923" s="37"/>
      <c r="S923" s="38"/>
      <c r="Z923" s="47"/>
      <c r="AA923" s="47"/>
    </row>
    <row r="924" spans="1:27" ht="15.6" x14ac:dyDescent="0.3">
      <c r="A924" s="39">
        <v>43784</v>
      </c>
      <c r="B924" s="117" t="s">
        <v>431</v>
      </c>
      <c r="C924" s="26" t="s">
        <v>126</v>
      </c>
      <c r="D924">
        <v>29159.439999999999</v>
      </c>
      <c r="E924">
        <v>29006.53</v>
      </c>
      <c r="F924">
        <v>29039.16</v>
      </c>
      <c r="G924">
        <v>29000.54</v>
      </c>
      <c r="H924">
        <v>29121.67</v>
      </c>
      <c r="I924">
        <v>29141.45</v>
      </c>
      <c r="J924">
        <v>29012.07</v>
      </c>
      <c r="K924">
        <v>28997.1</v>
      </c>
      <c r="L924">
        <v>29098.87</v>
      </c>
      <c r="M924" s="27">
        <f>IF((L925=""),"",MAX(D926:L926))</f>
        <v>11326.950000000004</v>
      </c>
      <c r="N924" s="27">
        <f>IF(L925="","",MIN(D926:L926))</f>
        <v>10614.299999999996</v>
      </c>
      <c r="O924" s="27">
        <f>IF((L926=""),"",AVERAGE(D926:L926))</f>
        <v>10895.543333333329</v>
      </c>
      <c r="P924" s="27">
        <f>IF((L925=""),"",STDEV(D926:L926))</f>
        <v>260.78176383712349</v>
      </c>
      <c r="Q924" s="27">
        <f>IF((L925=""),"",P924/O924*100)</f>
        <v>2.3934718614655925</v>
      </c>
      <c r="R924" s="28" t="str">
        <f>IF(L925="","",IF(Q924&lt;Z924,IF(N924&gt;V924,IF(M924&lt;W924,"Pass","Fail"),"Fail"),"Fail"))</f>
        <v>Pass</v>
      </c>
      <c r="S924" s="29">
        <v>1340</v>
      </c>
      <c r="T924" s="50" t="s">
        <v>409</v>
      </c>
      <c r="V924" s="54">
        <v>10000</v>
      </c>
      <c r="W924" s="22">
        <v>15600</v>
      </c>
      <c r="X924" s="40">
        <v>8090</v>
      </c>
      <c r="Y924" s="40">
        <v>12070</v>
      </c>
      <c r="Z924" s="47">
        <v>6</v>
      </c>
      <c r="AA924" s="47">
        <v>6</v>
      </c>
    </row>
    <row r="925" spans="1:27" ht="15.6" x14ac:dyDescent="0.3">
      <c r="A925" s="98"/>
      <c r="B925" s="98"/>
      <c r="C925" s="30" t="s">
        <v>128</v>
      </c>
      <c r="D925">
        <v>25620.29</v>
      </c>
      <c r="E925">
        <v>25451.58</v>
      </c>
      <c r="F925">
        <v>25501.06</v>
      </c>
      <c r="G925">
        <v>25357.56</v>
      </c>
      <c r="H925">
        <v>25374.25</v>
      </c>
      <c r="I925">
        <v>25365.8</v>
      </c>
      <c r="J925">
        <v>25384.17</v>
      </c>
      <c r="K925">
        <v>25405.43</v>
      </c>
      <c r="L925">
        <v>25430.06</v>
      </c>
      <c r="M925" s="31"/>
      <c r="N925" s="31"/>
      <c r="O925" s="31"/>
      <c r="P925" s="31"/>
      <c r="Q925" s="31"/>
      <c r="R925" s="32"/>
      <c r="S925" s="33"/>
      <c r="Z925" s="47"/>
      <c r="AA925" s="47"/>
    </row>
    <row r="926" spans="1:27" ht="14.4" thickBot="1" x14ac:dyDescent="0.35">
      <c r="A926" s="100"/>
      <c r="B926" s="114"/>
      <c r="C926" s="34" t="s">
        <v>129</v>
      </c>
      <c r="D926" s="35">
        <f>IF(((D924="")*AND(D925="")),"",(D924-D925)*3)</f>
        <v>10617.449999999993</v>
      </c>
      <c r="E926" s="35">
        <f t="shared" ref="E926:L926" si="304">IF(((E924="")*AND(E925="")),"",(E924-E925)*3)</f>
        <v>10664.849999999991</v>
      </c>
      <c r="F926" s="35">
        <f t="shared" si="304"/>
        <v>10614.299999999996</v>
      </c>
      <c r="G926" s="35">
        <f t="shared" si="304"/>
        <v>10928.939999999999</v>
      </c>
      <c r="H926" s="35">
        <f t="shared" si="304"/>
        <v>11242.259999999995</v>
      </c>
      <c r="I926" s="35">
        <f t="shared" si="304"/>
        <v>11326.950000000004</v>
      </c>
      <c r="J926" s="35">
        <f t="shared" si="304"/>
        <v>10883.700000000004</v>
      </c>
      <c r="K926" s="35">
        <f t="shared" si="304"/>
        <v>10775.009999999995</v>
      </c>
      <c r="L926" s="35">
        <f t="shared" si="304"/>
        <v>11006.429999999993</v>
      </c>
      <c r="M926" s="36"/>
      <c r="N926" s="36"/>
      <c r="O926" s="36"/>
      <c r="P926" s="36"/>
      <c r="Q926" s="36"/>
      <c r="R926" s="37"/>
      <c r="S926" s="38"/>
      <c r="Z926" s="47"/>
      <c r="AA926" s="47"/>
    </row>
    <row r="927" spans="1:27" ht="15.6" x14ac:dyDescent="0.3">
      <c r="A927" s="39">
        <v>43788</v>
      </c>
      <c r="B927" s="117" t="s">
        <v>431</v>
      </c>
      <c r="C927" s="26" t="s">
        <v>126</v>
      </c>
      <c r="D927" s="104">
        <v>29003.69</v>
      </c>
      <c r="E927" s="104">
        <v>28955.42</v>
      </c>
      <c r="F927" s="104">
        <v>28961.84</v>
      </c>
      <c r="G927" s="104">
        <v>28961.279999999999</v>
      </c>
      <c r="H927" s="104">
        <v>29020.14</v>
      </c>
      <c r="I927" s="104">
        <v>29080.81</v>
      </c>
      <c r="J927" s="104">
        <v>28952.85</v>
      </c>
      <c r="K927" s="104">
        <v>28950.26</v>
      </c>
      <c r="L927" s="104">
        <v>29055.360000000001</v>
      </c>
      <c r="M927" s="27">
        <f>IF((L928=""),"",MAX(D929:L929))</f>
        <v>13237.679999999993</v>
      </c>
      <c r="N927" s="27">
        <f>IF(L928="","",MIN(D929:L929))</f>
        <v>11492.279999999995</v>
      </c>
      <c r="O927" s="27">
        <f>IF((L929=""),"",AVERAGE(D929:L929))</f>
        <v>12045.019999999997</v>
      </c>
      <c r="P927" s="27">
        <f>IF((L928=""),"",STDEV(D929:L929))</f>
        <v>499.05658246335128</v>
      </c>
      <c r="Q927" s="27">
        <f>IF((L928=""),"",P927/O927*100)</f>
        <v>4.1432607207240126</v>
      </c>
      <c r="R927" s="28" t="str">
        <f>IF(L928="","",IF(Q927&lt;Z927,IF(N927&gt;V927,IF(M927&lt;W927,"Pass","Fail"),"Fail"),"Fail"))</f>
        <v>Pass</v>
      </c>
      <c r="S927" s="29">
        <v>74</v>
      </c>
      <c r="T927" s="50" t="s">
        <v>414</v>
      </c>
      <c r="V927" s="54">
        <v>10000</v>
      </c>
      <c r="W927" s="22">
        <v>15600</v>
      </c>
      <c r="X927" s="40">
        <v>8090</v>
      </c>
      <c r="Y927" s="40">
        <v>12070</v>
      </c>
      <c r="Z927" s="47">
        <v>6</v>
      </c>
      <c r="AA927" s="47">
        <v>6</v>
      </c>
    </row>
    <row r="928" spans="1:27" ht="15.6" x14ac:dyDescent="0.3">
      <c r="A928" s="98"/>
      <c r="B928" s="98"/>
      <c r="C928" s="30" t="s">
        <v>128</v>
      </c>
      <c r="D928" s="104">
        <v>24994.98</v>
      </c>
      <c r="E928" s="104">
        <v>25066.45</v>
      </c>
      <c r="F928" s="104">
        <v>25131.08</v>
      </c>
      <c r="G928" s="104">
        <v>24972.09</v>
      </c>
      <c r="H928" s="104">
        <v>24607.58</v>
      </c>
      <c r="I928" s="104">
        <v>24993.06</v>
      </c>
      <c r="J928" s="104">
        <v>24990.63</v>
      </c>
      <c r="K928" s="104">
        <v>25003.62</v>
      </c>
      <c r="L928" s="104">
        <v>25047.1</v>
      </c>
      <c r="M928" s="31"/>
      <c r="N928" s="31"/>
      <c r="O928" s="31"/>
      <c r="P928" s="31"/>
      <c r="Q928" s="31"/>
      <c r="R928" s="32"/>
      <c r="S928" s="33"/>
      <c r="Z928" s="47"/>
      <c r="AA928" s="47"/>
    </row>
    <row r="929" spans="1:27" ht="14.4" thickBot="1" x14ac:dyDescent="0.35">
      <c r="A929" s="100"/>
      <c r="B929" s="114"/>
      <c r="C929" s="34" t="s">
        <v>129</v>
      </c>
      <c r="D929" s="35">
        <f>IF(((D927="")*AND(D928="")),"",(D927-D928)*3)</f>
        <v>12026.129999999997</v>
      </c>
      <c r="E929" s="35">
        <f t="shared" ref="E929:L929" si="305">IF(((E927="")*AND(E928="")),"",(E927-E928)*3)</f>
        <v>11666.909999999993</v>
      </c>
      <c r="F929" s="35">
        <f t="shared" si="305"/>
        <v>11492.279999999995</v>
      </c>
      <c r="G929" s="35">
        <f t="shared" si="305"/>
        <v>11967.569999999996</v>
      </c>
      <c r="H929" s="35">
        <f t="shared" si="305"/>
        <v>13237.679999999993</v>
      </c>
      <c r="I929" s="35">
        <f t="shared" si="305"/>
        <v>12263.25</v>
      </c>
      <c r="J929" s="35">
        <f t="shared" si="305"/>
        <v>11886.659999999993</v>
      </c>
      <c r="K929" s="35">
        <f t="shared" si="305"/>
        <v>11839.919999999998</v>
      </c>
      <c r="L929" s="35">
        <f t="shared" si="305"/>
        <v>12024.780000000006</v>
      </c>
      <c r="M929" s="36"/>
      <c r="N929" s="36"/>
      <c r="O929" s="36"/>
      <c r="P929" s="36"/>
      <c r="Q929" s="36"/>
      <c r="R929" s="37"/>
      <c r="S929" s="38"/>
      <c r="Z929" s="47"/>
      <c r="AA929" s="47"/>
    </row>
    <row r="930" spans="1:27" ht="15.6" x14ac:dyDescent="0.3">
      <c r="A930" s="39">
        <v>43792</v>
      </c>
      <c r="B930" s="117" t="s">
        <v>431</v>
      </c>
      <c r="C930" s="26" t="s">
        <v>126</v>
      </c>
      <c r="D930">
        <v>29064.46</v>
      </c>
      <c r="E930">
        <v>28944.99</v>
      </c>
      <c r="F930">
        <v>28941.55</v>
      </c>
      <c r="G930">
        <v>28926.27</v>
      </c>
      <c r="H930">
        <v>29017.62</v>
      </c>
      <c r="I930">
        <v>29045.49</v>
      </c>
      <c r="J930">
        <v>28930.02</v>
      </c>
      <c r="K930">
        <v>28926.89</v>
      </c>
      <c r="L930">
        <v>29051.45</v>
      </c>
      <c r="M930" s="27">
        <f>IF((L931=""),"",MAX(D932:L932))</f>
        <v>12041.52</v>
      </c>
      <c r="N930" s="27">
        <f>IF(L931="","",MIN(D932:L932))</f>
        <v>11125.589999999997</v>
      </c>
      <c r="O930" s="27">
        <f>IF((L932=""),"",AVERAGE(D932:L932))</f>
        <v>11555.03</v>
      </c>
      <c r="P930" s="27">
        <f>IF((L931=""),"",STDEV(D932:L932))</f>
        <v>298.72577203013651</v>
      </c>
      <c r="Q930" s="27">
        <f>IF((L931=""),"",P930/O930*100)</f>
        <v>2.5852444522440572</v>
      </c>
      <c r="R930" s="28" t="str">
        <f>IF(L931="","",IF(Q930&lt;Z930,IF(N930&gt;V930,IF(M930&lt;W930,"Pass","Fail"),"Fail"),"Fail"))</f>
        <v>Pass</v>
      </c>
      <c r="S930" s="29">
        <v>121</v>
      </c>
      <c r="T930" s="50" t="s">
        <v>417</v>
      </c>
      <c r="V930" s="54">
        <v>10000</v>
      </c>
      <c r="W930" s="22">
        <v>15600</v>
      </c>
      <c r="X930" s="40">
        <v>8090</v>
      </c>
      <c r="Y930" s="40">
        <v>12070</v>
      </c>
      <c r="Z930" s="47">
        <v>6</v>
      </c>
      <c r="AA930" s="47">
        <v>6</v>
      </c>
    </row>
    <row r="931" spans="1:27" ht="15.6" x14ac:dyDescent="0.3">
      <c r="A931" s="98"/>
      <c r="B931" s="98"/>
      <c r="C931" s="30" t="s">
        <v>128</v>
      </c>
      <c r="D931">
        <v>25050.62</v>
      </c>
      <c r="E931">
        <v>25078.65</v>
      </c>
      <c r="F931">
        <v>25233.02</v>
      </c>
      <c r="G931">
        <v>25138.98</v>
      </c>
      <c r="H931">
        <v>25260.9</v>
      </c>
      <c r="I931">
        <v>25160.92</v>
      </c>
      <c r="J931">
        <v>25113.84</v>
      </c>
      <c r="K931">
        <v>25076.61</v>
      </c>
      <c r="L931">
        <v>25070.11</v>
      </c>
      <c r="M931" s="31"/>
      <c r="N931" s="31"/>
      <c r="O931" s="31"/>
      <c r="P931" s="31"/>
      <c r="Q931" s="31"/>
      <c r="R931" s="32"/>
      <c r="S931" s="33"/>
      <c r="Z931" s="47"/>
      <c r="AA931" s="47"/>
    </row>
    <row r="932" spans="1:27" ht="14.4" thickBot="1" x14ac:dyDescent="0.35">
      <c r="A932" s="100"/>
      <c r="B932" s="114"/>
      <c r="C932" s="34" t="s">
        <v>129</v>
      </c>
      <c r="D932" s="35">
        <f>IF(((D930="")*AND(D931="")),"",(D930-D931)*3)</f>
        <v>12041.52</v>
      </c>
      <c r="E932" s="35">
        <f t="shared" ref="E932:L932" si="306">IF(((E930="")*AND(E931="")),"",(E930-E931)*3)</f>
        <v>11599.02</v>
      </c>
      <c r="F932" s="35">
        <f t="shared" si="306"/>
        <v>11125.589999999997</v>
      </c>
      <c r="G932" s="35">
        <f t="shared" si="306"/>
        <v>11361.870000000003</v>
      </c>
      <c r="H932" s="35">
        <f t="shared" si="306"/>
        <v>11270.159999999993</v>
      </c>
      <c r="I932" s="35">
        <f t="shared" si="306"/>
        <v>11653.71000000001</v>
      </c>
      <c r="J932" s="35">
        <f t="shared" si="306"/>
        <v>11448.54</v>
      </c>
      <c r="K932" s="35">
        <f t="shared" si="306"/>
        <v>11550.839999999997</v>
      </c>
      <c r="L932" s="35">
        <f t="shared" si="306"/>
        <v>11944.02</v>
      </c>
      <c r="M932" s="36"/>
      <c r="N932" s="36"/>
      <c r="O932" s="36"/>
      <c r="P932" s="36"/>
      <c r="Q932" s="36"/>
      <c r="R932" s="37"/>
      <c r="S932" s="38"/>
      <c r="Z932" s="47"/>
      <c r="AA932" s="47"/>
    </row>
    <row r="933" spans="1:27" ht="15.6" x14ac:dyDescent="0.3">
      <c r="A933" s="39">
        <v>43796</v>
      </c>
      <c r="B933" s="117" t="s">
        <v>431</v>
      </c>
      <c r="C933" s="26" t="s">
        <v>126</v>
      </c>
      <c r="D933">
        <v>29084.29</v>
      </c>
      <c r="E933">
        <v>28922.52</v>
      </c>
      <c r="F933">
        <v>28904.3</v>
      </c>
      <c r="G933">
        <v>28913.119999999999</v>
      </c>
      <c r="H933">
        <v>29019.97</v>
      </c>
      <c r="I933">
        <v>29004.2</v>
      </c>
      <c r="J933">
        <v>28893.45</v>
      </c>
      <c r="K933">
        <v>28920.37</v>
      </c>
      <c r="L933">
        <v>29046.68</v>
      </c>
      <c r="M933" s="27">
        <f>IF((L934=""),"",MAX(D935:L935))</f>
        <v>11168.52</v>
      </c>
      <c r="N933" s="27">
        <f>IF(L934="","",MIN(D935:L935))</f>
        <v>10543.350000000002</v>
      </c>
      <c r="O933" s="27">
        <f>IF((L935=""),"",AVERAGE(D935:L935))</f>
        <v>10876.326666666668</v>
      </c>
      <c r="P933" s="27">
        <f>IF((L934=""),"",STDEV(D935:L935))</f>
        <v>219.71617612274318</v>
      </c>
      <c r="Q933" s="27">
        <f>IF((L934=""),"",P933/O933*100)</f>
        <v>2.0201321903664455</v>
      </c>
      <c r="R933" s="28" t="str">
        <f>IF(L934="","",IF(Q933&lt;Z933,IF(N933&gt;V933,IF(M933&lt;W933,"Pass","Fail"),"Fail"),"Fail"))</f>
        <v>Pass</v>
      </c>
      <c r="S933" s="29">
        <v>1428</v>
      </c>
      <c r="T933" s="50" t="s">
        <v>420</v>
      </c>
      <c r="V933" s="54">
        <v>10000</v>
      </c>
      <c r="W933" s="22">
        <v>15600</v>
      </c>
      <c r="X933" s="40">
        <v>8090</v>
      </c>
      <c r="Y933" s="40">
        <v>12070</v>
      </c>
      <c r="Z933" s="47">
        <v>6</v>
      </c>
      <c r="AA933" s="47">
        <v>6</v>
      </c>
    </row>
    <row r="934" spans="1:27" ht="15.6" x14ac:dyDescent="0.3">
      <c r="A934" s="98"/>
      <c r="B934" s="98"/>
      <c r="C934" s="30" t="s">
        <v>128</v>
      </c>
      <c r="D934">
        <v>25525.56</v>
      </c>
      <c r="E934">
        <v>25351.73</v>
      </c>
      <c r="F934">
        <v>25389.85</v>
      </c>
      <c r="G934">
        <v>25287.48</v>
      </c>
      <c r="H934">
        <v>25297.17</v>
      </c>
      <c r="I934">
        <v>25281.360000000001</v>
      </c>
      <c r="J934">
        <v>25281.73</v>
      </c>
      <c r="K934">
        <v>25306.07</v>
      </c>
      <c r="L934">
        <v>25358.97</v>
      </c>
      <c r="M934" s="31"/>
      <c r="N934" s="31"/>
      <c r="O934" s="31"/>
      <c r="P934" s="31"/>
      <c r="Q934" s="31"/>
      <c r="R934" s="32"/>
      <c r="S934" s="33"/>
      <c r="Z934" s="47"/>
      <c r="AA934" s="47"/>
    </row>
    <row r="935" spans="1:27" ht="14.4" thickBot="1" x14ac:dyDescent="0.35">
      <c r="A935" s="100"/>
      <c r="B935" s="114"/>
      <c r="C935" s="34" t="s">
        <v>129</v>
      </c>
      <c r="D935" s="35">
        <f>IF(((D933="")*AND(D934="")),"",(D933-D934)*3)</f>
        <v>10676.189999999999</v>
      </c>
      <c r="E935" s="35">
        <f t="shared" ref="E935:L935" si="307">IF(((E933="")*AND(E934="")),"",(E933-E934)*3)</f>
        <v>10712.370000000003</v>
      </c>
      <c r="F935" s="35">
        <f t="shared" si="307"/>
        <v>10543.350000000002</v>
      </c>
      <c r="G935" s="35">
        <f t="shared" si="307"/>
        <v>10876.919999999998</v>
      </c>
      <c r="H935" s="35">
        <f t="shared" si="307"/>
        <v>11168.400000000009</v>
      </c>
      <c r="I935" s="35">
        <f t="shared" si="307"/>
        <v>11168.52</v>
      </c>
      <c r="J935" s="35">
        <f t="shared" si="307"/>
        <v>10835.160000000003</v>
      </c>
      <c r="K935" s="35">
        <f t="shared" si="307"/>
        <v>10842.899999999998</v>
      </c>
      <c r="L935" s="35">
        <f t="shared" si="307"/>
        <v>11063.129999999997</v>
      </c>
      <c r="M935" s="36"/>
      <c r="N935" s="36"/>
      <c r="O935" s="36"/>
      <c r="P935" s="36"/>
      <c r="Q935" s="36"/>
      <c r="R935" s="37"/>
      <c r="S935" s="38"/>
      <c r="Z935" s="47"/>
      <c r="AA935" s="47"/>
    </row>
    <row r="936" spans="1:27" ht="15.6" x14ac:dyDescent="0.3">
      <c r="A936" s="39">
        <v>43800</v>
      </c>
      <c r="B936" s="117" t="s">
        <v>431</v>
      </c>
      <c r="C936" s="26" t="s">
        <v>126</v>
      </c>
      <c r="D936">
        <v>29009.86</v>
      </c>
      <c r="E936">
        <v>28875.88</v>
      </c>
      <c r="F936">
        <v>28839.35</v>
      </c>
      <c r="G936">
        <v>28864.05</v>
      </c>
      <c r="H936">
        <v>28973.27</v>
      </c>
      <c r="I936">
        <v>28991.06</v>
      </c>
      <c r="J936">
        <v>28864.43</v>
      </c>
      <c r="K936">
        <v>28866.18</v>
      </c>
      <c r="L936">
        <v>28994.46</v>
      </c>
      <c r="M936" s="27">
        <f>IF((L937=""),"",MAX(D938:L938))</f>
        <v>11262</v>
      </c>
      <c r="N936" s="27">
        <f>IF(L937="","",MIN(D938:L938))</f>
        <v>10518.659999999993</v>
      </c>
      <c r="O936" s="27">
        <f>IF((L938=""),"",AVERAGE(D938:L938))</f>
        <v>10897.283333333333</v>
      </c>
      <c r="P936" s="27">
        <f>IF((L937=""),"",STDEV(D938:L938))</f>
        <v>220.84516493462306</v>
      </c>
      <c r="Q936" s="27">
        <f>IF((L937=""),"",P936/O936*100)</f>
        <v>2.0266075330820041</v>
      </c>
      <c r="R936" s="28" t="str">
        <f>IF(L937="","",IF(Q936&lt;Z936,IF(N936&gt;V936,IF(M936&lt;W936,"Pass","Fail"),"Fail"),"Fail"))</f>
        <v>Pass</v>
      </c>
      <c r="S936" s="29">
        <v>1335</v>
      </c>
      <c r="T936" s="50" t="s">
        <v>422</v>
      </c>
      <c r="V936" s="54">
        <v>10000</v>
      </c>
      <c r="W936" s="22">
        <v>15600</v>
      </c>
      <c r="X936" s="40">
        <v>8090</v>
      </c>
      <c r="Y936" s="40">
        <v>12070</v>
      </c>
      <c r="Z936" s="47">
        <v>6</v>
      </c>
      <c r="AA936" s="47">
        <v>6</v>
      </c>
    </row>
    <row r="937" spans="1:27" ht="15.6" x14ac:dyDescent="0.3">
      <c r="A937" s="98"/>
      <c r="B937" s="98"/>
      <c r="C937" s="30" t="s">
        <v>128</v>
      </c>
      <c r="D937">
        <v>25446.41</v>
      </c>
      <c r="E937">
        <v>25271.08</v>
      </c>
      <c r="F937">
        <v>25333.13</v>
      </c>
      <c r="G937">
        <v>25226.45</v>
      </c>
      <c r="H937">
        <v>25219.27</v>
      </c>
      <c r="I937">
        <v>25297.17</v>
      </c>
      <c r="J937">
        <v>25224.07</v>
      </c>
      <c r="K937">
        <v>25258.5</v>
      </c>
      <c r="L937">
        <v>25310.61</v>
      </c>
      <c r="M937" s="31"/>
      <c r="N937" s="31"/>
      <c r="O937" s="31"/>
      <c r="P937" s="31"/>
      <c r="Q937" s="31"/>
      <c r="R937" s="32"/>
      <c r="S937" s="33"/>
      <c r="Z937" s="47"/>
      <c r="AA937" s="47"/>
    </row>
    <row r="938" spans="1:27" ht="14.4" thickBot="1" x14ac:dyDescent="0.35">
      <c r="A938" s="100"/>
      <c r="B938" s="114"/>
      <c r="C938" s="34" t="s">
        <v>129</v>
      </c>
      <c r="D938" s="35">
        <f>IF(((D936="")*AND(D937="")),"",(D936-D937)*3)</f>
        <v>10690.350000000002</v>
      </c>
      <c r="E938" s="35">
        <f t="shared" ref="E938:L938" si="308">IF(((E936="")*AND(E937="")),"",(E936-E937)*3)</f>
        <v>10814.399999999998</v>
      </c>
      <c r="F938" s="35">
        <f t="shared" si="308"/>
        <v>10518.659999999993</v>
      </c>
      <c r="G938" s="35">
        <f t="shared" si="308"/>
        <v>10912.799999999996</v>
      </c>
      <c r="H938" s="35">
        <f t="shared" si="308"/>
        <v>11262</v>
      </c>
      <c r="I938" s="35">
        <f t="shared" si="308"/>
        <v>11081.670000000009</v>
      </c>
      <c r="J938" s="35">
        <f t="shared" si="308"/>
        <v>10921.080000000002</v>
      </c>
      <c r="K938" s="35">
        <f t="shared" si="308"/>
        <v>10823.04</v>
      </c>
      <c r="L938" s="35">
        <f t="shared" si="308"/>
        <v>11051.549999999996</v>
      </c>
      <c r="M938" s="36"/>
      <c r="N938" s="36"/>
      <c r="O938" s="36"/>
      <c r="P938" s="36"/>
      <c r="Q938" s="36"/>
      <c r="R938" s="37"/>
      <c r="S938" s="38"/>
      <c r="Z938" s="47"/>
      <c r="AA938" s="47"/>
    </row>
    <row r="939" spans="1:27" ht="15.6" x14ac:dyDescent="0.3">
      <c r="A939" s="39">
        <v>43804</v>
      </c>
      <c r="B939" s="117" t="s">
        <v>431</v>
      </c>
      <c r="C939" s="26" t="s">
        <v>126</v>
      </c>
      <c r="D939">
        <v>29289.88</v>
      </c>
      <c r="E939">
        <v>29157.03</v>
      </c>
      <c r="F939">
        <v>29144.41</v>
      </c>
      <c r="G939">
        <v>29121.759999999998</v>
      </c>
      <c r="H939">
        <v>29218.400000000001</v>
      </c>
      <c r="I939">
        <v>29286.98</v>
      </c>
      <c r="J939">
        <v>29135.84</v>
      </c>
      <c r="K939">
        <v>29124.33</v>
      </c>
      <c r="L939">
        <v>29224.42</v>
      </c>
      <c r="M939" s="27">
        <f>IF((L940=""),"",MAX(D941:L941))</f>
        <v>12290.430000000004</v>
      </c>
      <c r="N939" s="27">
        <f>IF(L940="","",MIN(D941:L941))</f>
        <v>11407.860000000008</v>
      </c>
      <c r="O939" s="27">
        <f>IF((L941=""),"",AVERAGE(D941:L941))</f>
        <v>11881.016666666668</v>
      </c>
      <c r="P939" s="27">
        <f>IF((L940=""),"",STDEV(D941:L941))</f>
        <v>293.29046822220357</v>
      </c>
      <c r="Q939" s="27">
        <f>IF((L940=""),"",P939/O939*100)</f>
        <v>2.468563730282932</v>
      </c>
      <c r="R939" s="28" t="str">
        <f>IF(L940="","",IF(Q939&lt;Z939,IF(N939&gt;V939,IF(M939&lt;W939,"Pass","Fail"),"Fail"),"Fail"))</f>
        <v>Pass</v>
      </c>
      <c r="S939" s="29">
        <v>1335</v>
      </c>
      <c r="V939" s="54">
        <v>10000</v>
      </c>
      <c r="W939" s="22">
        <v>15600</v>
      </c>
      <c r="X939" s="40">
        <v>8090</v>
      </c>
      <c r="Y939" s="40">
        <v>12070</v>
      </c>
      <c r="Z939" s="47">
        <v>6</v>
      </c>
      <c r="AA939" s="47">
        <v>6</v>
      </c>
    </row>
    <row r="940" spans="1:27" ht="15.6" x14ac:dyDescent="0.3">
      <c r="A940" s="98"/>
      <c r="B940" s="98"/>
      <c r="C940" s="30" t="s">
        <v>128</v>
      </c>
      <c r="D940">
        <v>25193.07</v>
      </c>
      <c r="E940">
        <v>25151.71</v>
      </c>
      <c r="F940">
        <v>25262.48</v>
      </c>
      <c r="G940">
        <v>25224.43</v>
      </c>
      <c r="H940">
        <v>25415.78</v>
      </c>
      <c r="I940">
        <v>25363.040000000001</v>
      </c>
      <c r="J940">
        <v>25197.200000000001</v>
      </c>
      <c r="K940">
        <v>25118.38</v>
      </c>
      <c r="L940">
        <v>25133.91</v>
      </c>
      <c r="M940" s="31"/>
      <c r="N940" s="31"/>
      <c r="O940" s="31"/>
      <c r="P940" s="31"/>
      <c r="Q940" s="31"/>
      <c r="R940" s="32"/>
      <c r="S940" s="33"/>
      <c r="Z940" s="47"/>
      <c r="AA940" s="47"/>
    </row>
    <row r="941" spans="1:27" ht="14.4" thickBot="1" x14ac:dyDescent="0.35">
      <c r="A941" s="100"/>
      <c r="B941" s="114"/>
      <c r="C941" s="34" t="s">
        <v>129</v>
      </c>
      <c r="D941" s="35">
        <f>IF(((D939="")*AND(D940="")),"",(D939-D940)*3)</f>
        <v>12290.430000000004</v>
      </c>
      <c r="E941" s="35">
        <f t="shared" ref="E941:L941" si="309">IF(((E939="")*AND(E940="")),"",(E939-E940)*3)</f>
        <v>12015.96</v>
      </c>
      <c r="F941" s="35">
        <f t="shared" si="309"/>
        <v>11645.79</v>
      </c>
      <c r="G941" s="35">
        <f t="shared" si="309"/>
        <v>11691.989999999994</v>
      </c>
      <c r="H941" s="35">
        <f t="shared" si="309"/>
        <v>11407.860000000008</v>
      </c>
      <c r="I941" s="35">
        <f t="shared" si="309"/>
        <v>11771.819999999996</v>
      </c>
      <c r="J941" s="35">
        <f t="shared" si="309"/>
        <v>11815.919999999998</v>
      </c>
      <c r="K941" s="35">
        <f t="shared" si="309"/>
        <v>12017.850000000002</v>
      </c>
      <c r="L941" s="35">
        <f t="shared" si="309"/>
        <v>12271.529999999995</v>
      </c>
      <c r="M941" s="36"/>
      <c r="N941" s="36"/>
      <c r="O941" s="36"/>
      <c r="P941" s="36"/>
      <c r="Q941" s="36"/>
      <c r="R941" s="37"/>
      <c r="S941" s="38"/>
      <c r="Z941" s="47"/>
      <c r="AA941" s="47"/>
    </row>
  </sheetData>
  <autoFilter ref="A11:Z941" xr:uid="{00000000-0009-0000-0000-000002000000}"/>
  <mergeCells count="1">
    <mergeCell ref="D8:L8"/>
  </mergeCells>
  <conditionalFormatting sqref="Q921:Q932 R12:R932 Q933:R938">
    <cfRule type="cellIs" dxfId="3" priority="2399" stopIfTrue="1" operator="equal">
      <formula>"Fail"</formula>
    </cfRule>
    <cfRule type="cellIs" dxfId="2" priority="2400" stopIfTrue="1" operator="equal">
      <formula>"Pass"</formula>
    </cfRule>
  </conditionalFormatting>
  <conditionalFormatting sqref="Q939:R941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/>
  </sheetViews>
  <sheetFormatPr defaultColWidth="8.8984375" defaultRowHeight="15.6" x14ac:dyDescent="0.3"/>
  <cols>
    <col min="1" max="1" width="13.5" bestFit="1" customWidth="1"/>
    <col min="2" max="2" width="9.09765625" customWidth="1"/>
  </cols>
  <sheetData>
    <row r="1" spans="1:2" x14ac:dyDescent="0.3">
      <c r="A1" t="s">
        <v>0</v>
      </c>
      <c r="B1" t="s">
        <v>6</v>
      </c>
    </row>
    <row r="2" spans="1:2" x14ac:dyDescent="0.3">
      <c r="A2" t="s">
        <v>1</v>
      </c>
    </row>
    <row r="3" spans="1:2" x14ac:dyDescent="0.3">
      <c r="A3" t="s">
        <v>2</v>
      </c>
    </row>
    <row r="4" spans="1:2" x14ac:dyDescent="0.3">
      <c r="A4" t="s">
        <v>3</v>
      </c>
      <c r="B4" t="b">
        <v>0</v>
      </c>
    </row>
    <row r="5" spans="1:2" x14ac:dyDescent="0.3">
      <c r="A5" t="s">
        <v>4</v>
      </c>
    </row>
    <row r="6" spans="1:2" x14ac:dyDescent="0.3">
      <c r="A6" t="s">
        <v>5</v>
      </c>
      <c r="B6" t="b">
        <v>0</v>
      </c>
    </row>
    <row r="13" spans="1:2" x14ac:dyDescent="0.3">
      <c r="A13" s="1" t="s">
        <v>7</v>
      </c>
    </row>
    <row r="14" spans="1:2" x14ac:dyDescent="0.3">
      <c r="A14" t="s">
        <v>9</v>
      </c>
    </row>
    <row r="15" spans="1:2" x14ac:dyDescent="0.3">
      <c r="A15" t="s">
        <v>10</v>
      </c>
    </row>
    <row r="16" spans="1:2" x14ac:dyDescent="0.3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183"/>
  <sheetViews>
    <sheetView workbookViewId="0">
      <selection activeCell="D19" sqref="D19"/>
    </sheetView>
  </sheetViews>
  <sheetFormatPr defaultColWidth="11.3984375" defaultRowHeight="15.6" x14ac:dyDescent="0.3"/>
  <sheetData>
    <row r="1" spans="1:2" x14ac:dyDescent="0.3">
      <c r="A1" s="2"/>
      <c r="B1" s="2"/>
    </row>
    <row r="2" spans="1:2" x14ac:dyDescent="0.3">
      <c r="A2" s="3"/>
    </row>
    <row r="3" spans="1:2" x14ac:dyDescent="0.3">
      <c r="A3" s="3"/>
    </row>
    <row r="4" spans="1:2" x14ac:dyDescent="0.3">
      <c r="A4" s="3"/>
    </row>
    <row r="5" spans="1:2" x14ac:dyDescent="0.3">
      <c r="A5" s="3"/>
    </row>
    <row r="6" spans="1:2" x14ac:dyDescent="0.3">
      <c r="A6" s="3"/>
    </row>
    <row r="7" spans="1:2" x14ac:dyDescent="0.3">
      <c r="A7" s="3"/>
    </row>
    <row r="8" spans="1:2" x14ac:dyDescent="0.3">
      <c r="A8" s="3"/>
    </row>
    <row r="9" spans="1:2" x14ac:dyDescent="0.3">
      <c r="A9" s="3"/>
    </row>
    <row r="10" spans="1:2" x14ac:dyDescent="0.3">
      <c r="A10" s="3"/>
    </row>
    <row r="11" spans="1:2" x14ac:dyDescent="0.3">
      <c r="A11" s="3"/>
    </row>
    <row r="12" spans="1:2" x14ac:dyDescent="0.3">
      <c r="A12" s="3"/>
    </row>
    <row r="13" spans="1:2" x14ac:dyDescent="0.3">
      <c r="A13" s="3"/>
    </row>
    <row r="14" spans="1:2" x14ac:dyDescent="0.3">
      <c r="A14" s="3"/>
    </row>
    <row r="15" spans="1:2" x14ac:dyDescent="0.3">
      <c r="A15" s="3"/>
    </row>
    <row r="16" spans="1:2" x14ac:dyDescent="0.3">
      <c r="A16" s="3"/>
    </row>
    <row r="17" spans="1:1" x14ac:dyDescent="0.3">
      <c r="A17" s="3"/>
    </row>
    <row r="18" spans="1:1" x14ac:dyDescent="0.3">
      <c r="A18" s="3"/>
    </row>
    <row r="19" spans="1:1" x14ac:dyDescent="0.3">
      <c r="A19" s="3"/>
    </row>
    <row r="20" spans="1:1" x14ac:dyDescent="0.3">
      <c r="A20" s="3"/>
    </row>
    <row r="21" spans="1:1" x14ac:dyDescent="0.3">
      <c r="A21" s="3"/>
    </row>
    <row r="22" spans="1:1" x14ac:dyDescent="0.3">
      <c r="A22" s="3"/>
    </row>
    <row r="23" spans="1:1" x14ac:dyDescent="0.3">
      <c r="A23" s="3"/>
    </row>
    <row r="24" spans="1:1" x14ac:dyDescent="0.3">
      <c r="A24" s="3"/>
    </row>
    <row r="25" spans="1:1" x14ac:dyDescent="0.3">
      <c r="A25" s="3"/>
    </row>
    <row r="26" spans="1:1" x14ac:dyDescent="0.3">
      <c r="A26" s="3"/>
    </row>
    <row r="27" spans="1:1" x14ac:dyDescent="0.3">
      <c r="A27" s="3"/>
    </row>
    <row r="28" spans="1:1" x14ac:dyDescent="0.3">
      <c r="A28" s="3"/>
    </row>
    <row r="29" spans="1:1" x14ac:dyDescent="0.3">
      <c r="A29" s="3"/>
    </row>
    <row r="30" spans="1:1" x14ac:dyDescent="0.3">
      <c r="A30" s="3"/>
    </row>
    <row r="31" spans="1:1" x14ac:dyDescent="0.3">
      <c r="A31" s="3"/>
    </row>
    <row r="32" spans="1:1" x14ac:dyDescent="0.3">
      <c r="A32" s="3"/>
    </row>
    <row r="33" spans="1:1" x14ac:dyDescent="0.3">
      <c r="A33" s="3"/>
    </row>
    <row r="34" spans="1:1" x14ac:dyDescent="0.3">
      <c r="A34" s="3"/>
    </row>
    <row r="35" spans="1:1" x14ac:dyDescent="0.3">
      <c r="A35" s="3"/>
    </row>
    <row r="36" spans="1:1" x14ac:dyDescent="0.3">
      <c r="A36" s="3"/>
    </row>
    <row r="37" spans="1:1" x14ac:dyDescent="0.3">
      <c r="A37" s="3"/>
    </row>
    <row r="38" spans="1:1" x14ac:dyDescent="0.3">
      <c r="A38" s="3"/>
    </row>
    <row r="39" spans="1:1" x14ac:dyDescent="0.3">
      <c r="A39" s="3"/>
    </row>
    <row r="40" spans="1:1" x14ac:dyDescent="0.3">
      <c r="A40" s="3"/>
    </row>
    <row r="41" spans="1:1" x14ac:dyDescent="0.3">
      <c r="A41" s="3"/>
    </row>
    <row r="42" spans="1:1" x14ac:dyDescent="0.3">
      <c r="A42" s="3"/>
    </row>
    <row r="43" spans="1:1" x14ac:dyDescent="0.3">
      <c r="A43" s="3"/>
    </row>
    <row r="44" spans="1:1" x14ac:dyDescent="0.3">
      <c r="A44" s="3"/>
    </row>
    <row r="45" spans="1:1" x14ac:dyDescent="0.3">
      <c r="A45" s="3"/>
    </row>
    <row r="46" spans="1:1" x14ac:dyDescent="0.3">
      <c r="A46" s="3"/>
    </row>
    <row r="47" spans="1:1" x14ac:dyDescent="0.3">
      <c r="A47" s="3"/>
    </row>
    <row r="48" spans="1:1" x14ac:dyDescent="0.3">
      <c r="A48" s="3"/>
    </row>
    <row r="49" spans="1:1" x14ac:dyDescent="0.3">
      <c r="A49" s="3"/>
    </row>
    <row r="50" spans="1:1" x14ac:dyDescent="0.3">
      <c r="A50" s="3"/>
    </row>
    <row r="51" spans="1:1" x14ac:dyDescent="0.3">
      <c r="A51" s="3"/>
    </row>
    <row r="52" spans="1:1" x14ac:dyDescent="0.3">
      <c r="A52" s="3"/>
    </row>
    <row r="53" spans="1:1" x14ac:dyDescent="0.3">
      <c r="A53" s="3"/>
    </row>
    <row r="54" spans="1:1" x14ac:dyDescent="0.3">
      <c r="A54" s="3"/>
    </row>
    <row r="55" spans="1:1" x14ac:dyDescent="0.3">
      <c r="A55" s="3"/>
    </row>
    <row r="56" spans="1:1" x14ac:dyDescent="0.3">
      <c r="A56" s="3"/>
    </row>
    <row r="57" spans="1:1" x14ac:dyDescent="0.3">
      <c r="A57" s="3"/>
    </row>
    <row r="58" spans="1:1" x14ac:dyDescent="0.3">
      <c r="A58" s="3"/>
    </row>
    <row r="59" spans="1:1" x14ac:dyDescent="0.3">
      <c r="A59" s="3"/>
    </row>
    <row r="60" spans="1:1" x14ac:dyDescent="0.3">
      <c r="A60" s="3"/>
    </row>
    <row r="61" spans="1:1" x14ac:dyDescent="0.3">
      <c r="A61" s="3"/>
    </row>
    <row r="62" spans="1:1" x14ac:dyDescent="0.3">
      <c r="A62" s="3"/>
    </row>
    <row r="63" spans="1:1" x14ac:dyDescent="0.3">
      <c r="A63" s="3"/>
    </row>
    <row r="64" spans="1:1" x14ac:dyDescent="0.3">
      <c r="A64" s="3"/>
    </row>
    <row r="65" spans="1:1" x14ac:dyDescent="0.3">
      <c r="A65" s="3"/>
    </row>
    <row r="66" spans="1:1" x14ac:dyDescent="0.3">
      <c r="A66" s="3"/>
    </row>
    <row r="67" spans="1:1" x14ac:dyDescent="0.3">
      <c r="A67" s="3"/>
    </row>
    <row r="68" spans="1:1" x14ac:dyDescent="0.3">
      <c r="A68" s="3"/>
    </row>
    <row r="69" spans="1:1" x14ac:dyDescent="0.3">
      <c r="A69" s="3"/>
    </row>
    <row r="70" spans="1:1" x14ac:dyDescent="0.3">
      <c r="A70" s="3"/>
    </row>
    <row r="71" spans="1:1" x14ac:dyDescent="0.3">
      <c r="A71" s="3"/>
    </row>
    <row r="72" spans="1:1" x14ac:dyDescent="0.3">
      <c r="A72" s="3"/>
    </row>
    <row r="73" spans="1:1" x14ac:dyDescent="0.3">
      <c r="A73" s="3"/>
    </row>
    <row r="74" spans="1:1" x14ac:dyDescent="0.3">
      <c r="A74" s="3"/>
    </row>
    <row r="75" spans="1:1" x14ac:dyDescent="0.3">
      <c r="A75" s="3"/>
    </row>
    <row r="76" spans="1:1" x14ac:dyDescent="0.3">
      <c r="A76" s="3"/>
    </row>
    <row r="77" spans="1:1" x14ac:dyDescent="0.3">
      <c r="A77" s="3"/>
    </row>
    <row r="78" spans="1:1" x14ac:dyDescent="0.3">
      <c r="A78" s="3"/>
    </row>
    <row r="79" spans="1:1" x14ac:dyDescent="0.3">
      <c r="A79" s="3"/>
    </row>
    <row r="80" spans="1:1" x14ac:dyDescent="0.3">
      <c r="A80" s="3"/>
    </row>
    <row r="81" spans="1:1" x14ac:dyDescent="0.3">
      <c r="A81" s="3"/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  <row r="92" spans="1:1" x14ac:dyDescent="0.3">
      <c r="A92" s="3"/>
    </row>
    <row r="93" spans="1:1" x14ac:dyDescent="0.3">
      <c r="A93" s="3"/>
    </row>
    <row r="94" spans="1:1" x14ac:dyDescent="0.3">
      <c r="A94" s="3"/>
    </row>
    <row r="95" spans="1:1" x14ac:dyDescent="0.3">
      <c r="A95" s="3"/>
    </row>
    <row r="96" spans="1:1" x14ac:dyDescent="0.3">
      <c r="A96" s="3"/>
    </row>
    <row r="97" spans="1:1" x14ac:dyDescent="0.3">
      <c r="A97" s="3"/>
    </row>
    <row r="98" spans="1:1" x14ac:dyDescent="0.3">
      <c r="A98" s="3"/>
    </row>
    <row r="99" spans="1:1" x14ac:dyDescent="0.3">
      <c r="A99" s="3"/>
    </row>
    <row r="100" spans="1:1" x14ac:dyDescent="0.3">
      <c r="A100" s="3"/>
    </row>
    <row r="101" spans="1:1" x14ac:dyDescent="0.3">
      <c r="A101" s="3"/>
    </row>
    <row r="102" spans="1:1" x14ac:dyDescent="0.3">
      <c r="A102" s="3"/>
    </row>
    <row r="103" spans="1:1" x14ac:dyDescent="0.3">
      <c r="A103" s="3"/>
    </row>
    <row r="104" spans="1:1" x14ac:dyDescent="0.3">
      <c r="A104" s="3"/>
    </row>
    <row r="105" spans="1:1" x14ac:dyDescent="0.3">
      <c r="A105" s="3"/>
    </row>
    <row r="106" spans="1:1" x14ac:dyDescent="0.3">
      <c r="A106" s="3"/>
    </row>
    <row r="107" spans="1:1" x14ac:dyDescent="0.3">
      <c r="A107" s="3"/>
    </row>
    <row r="108" spans="1:1" x14ac:dyDescent="0.3">
      <c r="A108" s="3"/>
    </row>
    <row r="109" spans="1:1" x14ac:dyDescent="0.3">
      <c r="A109" s="3"/>
    </row>
    <row r="110" spans="1:1" x14ac:dyDescent="0.3">
      <c r="A110" s="3"/>
    </row>
    <row r="111" spans="1:1" x14ac:dyDescent="0.3">
      <c r="A111" s="3"/>
    </row>
    <row r="112" spans="1:1" x14ac:dyDescent="0.3">
      <c r="A112" s="3"/>
    </row>
    <row r="113" spans="1:1" x14ac:dyDescent="0.3">
      <c r="A113" s="3"/>
    </row>
    <row r="114" spans="1:1" x14ac:dyDescent="0.3">
      <c r="A114" s="3"/>
    </row>
    <row r="115" spans="1:1" x14ac:dyDescent="0.3">
      <c r="A115" s="3"/>
    </row>
    <row r="116" spans="1:1" x14ac:dyDescent="0.3">
      <c r="A116" s="3"/>
    </row>
    <row r="117" spans="1:1" x14ac:dyDescent="0.3">
      <c r="A117" s="3"/>
    </row>
    <row r="118" spans="1:1" x14ac:dyDescent="0.3">
      <c r="A118" s="3"/>
    </row>
    <row r="119" spans="1:1" x14ac:dyDescent="0.3">
      <c r="A119" s="3"/>
    </row>
    <row r="120" spans="1:1" x14ac:dyDescent="0.3">
      <c r="A120" s="3"/>
    </row>
    <row r="121" spans="1:1" x14ac:dyDescent="0.3">
      <c r="A121" s="3"/>
    </row>
    <row r="122" spans="1:1" x14ac:dyDescent="0.3">
      <c r="A122" s="3"/>
    </row>
    <row r="123" spans="1:1" x14ac:dyDescent="0.3">
      <c r="A123" s="3"/>
    </row>
    <row r="124" spans="1:1" x14ac:dyDescent="0.3">
      <c r="A124" s="3"/>
    </row>
    <row r="125" spans="1:1" x14ac:dyDescent="0.3">
      <c r="A125" s="3"/>
    </row>
    <row r="126" spans="1:1" x14ac:dyDescent="0.3">
      <c r="A126" s="3"/>
    </row>
    <row r="127" spans="1:1" x14ac:dyDescent="0.3">
      <c r="A127" s="3"/>
    </row>
    <row r="128" spans="1:1" x14ac:dyDescent="0.3">
      <c r="A128" s="3"/>
    </row>
    <row r="129" spans="1:1" x14ac:dyDescent="0.3">
      <c r="A129" s="3"/>
    </row>
    <row r="130" spans="1:1" x14ac:dyDescent="0.3">
      <c r="A130" s="3"/>
    </row>
    <row r="131" spans="1:1" x14ac:dyDescent="0.3">
      <c r="A131" s="3"/>
    </row>
    <row r="132" spans="1:1" x14ac:dyDescent="0.3">
      <c r="A132" s="3"/>
    </row>
    <row r="133" spans="1:1" x14ac:dyDescent="0.3">
      <c r="A133" s="3"/>
    </row>
    <row r="134" spans="1:1" x14ac:dyDescent="0.3">
      <c r="A134" s="3"/>
    </row>
    <row r="135" spans="1:1" x14ac:dyDescent="0.3">
      <c r="A135" s="3"/>
    </row>
    <row r="136" spans="1:1" x14ac:dyDescent="0.3">
      <c r="A136" s="3"/>
    </row>
    <row r="137" spans="1:1" x14ac:dyDescent="0.3">
      <c r="A137" s="3"/>
    </row>
    <row r="138" spans="1:1" x14ac:dyDescent="0.3">
      <c r="A138" s="3"/>
    </row>
    <row r="139" spans="1:1" x14ac:dyDescent="0.3">
      <c r="A139" s="3"/>
    </row>
    <row r="140" spans="1:1" x14ac:dyDescent="0.3">
      <c r="A140" s="3"/>
    </row>
    <row r="141" spans="1:1" x14ac:dyDescent="0.3">
      <c r="A141" s="3"/>
    </row>
    <row r="142" spans="1:1" x14ac:dyDescent="0.3">
      <c r="A142" s="3"/>
    </row>
    <row r="143" spans="1:1" x14ac:dyDescent="0.3">
      <c r="A143" s="3"/>
    </row>
    <row r="144" spans="1:1" x14ac:dyDescent="0.3">
      <c r="A144" s="3"/>
    </row>
    <row r="145" spans="1:1" x14ac:dyDescent="0.3">
      <c r="A145" s="3"/>
    </row>
    <row r="146" spans="1:1" x14ac:dyDescent="0.3">
      <c r="A146" s="3"/>
    </row>
    <row r="147" spans="1:1" x14ac:dyDescent="0.3">
      <c r="A147" s="3"/>
    </row>
    <row r="148" spans="1:1" x14ac:dyDescent="0.3">
      <c r="A148" s="3"/>
    </row>
    <row r="149" spans="1:1" x14ac:dyDescent="0.3">
      <c r="A149" s="3"/>
    </row>
    <row r="150" spans="1:1" x14ac:dyDescent="0.3">
      <c r="A150" s="3"/>
    </row>
    <row r="151" spans="1:1" x14ac:dyDescent="0.3">
      <c r="A151" s="3"/>
    </row>
    <row r="152" spans="1:1" x14ac:dyDescent="0.3">
      <c r="A152" s="3"/>
    </row>
    <row r="153" spans="1:1" x14ac:dyDescent="0.3">
      <c r="A153" s="3"/>
    </row>
    <row r="154" spans="1:1" x14ac:dyDescent="0.3">
      <c r="A154" s="3"/>
    </row>
    <row r="155" spans="1:1" x14ac:dyDescent="0.3">
      <c r="A155" s="3"/>
    </row>
    <row r="156" spans="1:1" x14ac:dyDescent="0.3">
      <c r="A156" s="3"/>
    </row>
    <row r="157" spans="1:1" x14ac:dyDescent="0.3">
      <c r="A157" s="3"/>
    </row>
    <row r="158" spans="1:1" x14ac:dyDescent="0.3">
      <c r="A158" s="3"/>
    </row>
    <row r="159" spans="1:1" x14ac:dyDescent="0.3">
      <c r="A159" s="3"/>
    </row>
    <row r="160" spans="1:1" x14ac:dyDescent="0.3">
      <c r="A160" s="3"/>
    </row>
    <row r="161" spans="1:1" x14ac:dyDescent="0.3">
      <c r="A161" s="3"/>
    </row>
    <row r="162" spans="1:1" x14ac:dyDescent="0.3">
      <c r="A162" s="3"/>
    </row>
    <row r="163" spans="1:1" x14ac:dyDescent="0.3">
      <c r="A163" s="3"/>
    </row>
    <row r="164" spans="1:1" x14ac:dyDescent="0.3">
      <c r="A164" s="3"/>
    </row>
    <row r="165" spans="1:1" x14ac:dyDescent="0.3">
      <c r="A165" s="3"/>
    </row>
    <row r="166" spans="1:1" x14ac:dyDescent="0.3">
      <c r="A166" s="3"/>
    </row>
    <row r="167" spans="1:1" x14ac:dyDescent="0.3">
      <c r="A167" s="3"/>
    </row>
    <row r="168" spans="1:1" x14ac:dyDescent="0.3">
      <c r="A168" s="3"/>
    </row>
    <row r="169" spans="1:1" x14ac:dyDescent="0.3">
      <c r="A169" s="3"/>
    </row>
    <row r="170" spans="1:1" x14ac:dyDescent="0.3">
      <c r="A170" s="3"/>
    </row>
    <row r="171" spans="1:1" x14ac:dyDescent="0.3">
      <c r="A171" s="3"/>
    </row>
    <row r="172" spans="1:1" x14ac:dyDescent="0.3">
      <c r="A172" s="3"/>
    </row>
    <row r="173" spans="1:1" x14ac:dyDescent="0.3">
      <c r="A173" s="3"/>
    </row>
    <row r="174" spans="1:1" x14ac:dyDescent="0.3">
      <c r="A174" s="3"/>
    </row>
    <row r="175" spans="1:1" x14ac:dyDescent="0.3">
      <c r="A175" s="3"/>
    </row>
    <row r="176" spans="1:1" x14ac:dyDescent="0.3">
      <c r="A176" s="3"/>
    </row>
    <row r="177" spans="1:1" x14ac:dyDescent="0.3">
      <c r="A177" s="3"/>
    </row>
    <row r="178" spans="1:1" x14ac:dyDescent="0.3">
      <c r="A178" s="3"/>
    </row>
    <row r="179" spans="1:1" x14ac:dyDescent="0.3">
      <c r="A179" s="3"/>
    </row>
    <row r="180" spans="1:1" x14ac:dyDescent="0.3">
      <c r="A180" s="3"/>
    </row>
    <row r="181" spans="1:1" x14ac:dyDescent="0.3">
      <c r="A181" s="3"/>
    </row>
    <row r="182" spans="1:1" x14ac:dyDescent="0.3">
      <c r="A182" s="3"/>
    </row>
    <row r="183" spans="1:1" x14ac:dyDescent="0.3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A685"/>
  <sheetViews>
    <sheetView workbookViewId="0">
      <selection activeCell="K8" sqref="K8"/>
    </sheetView>
  </sheetViews>
  <sheetFormatPr defaultColWidth="14.5" defaultRowHeight="15.6" x14ac:dyDescent="0.3"/>
  <cols>
    <col min="1" max="1" width="11.69921875" style="2" customWidth="1"/>
    <col min="2" max="2" width="14.5" style="2"/>
    <col min="3" max="3" width="9.09765625" style="2" customWidth="1"/>
    <col min="4" max="16384" width="14.5" style="2"/>
  </cols>
  <sheetData>
    <row r="2" spans="1:1" x14ac:dyDescent="0.3">
      <c r="A2" s="4"/>
    </row>
    <row r="3" spans="1:1" x14ac:dyDescent="0.3">
      <c r="A3" s="4"/>
    </row>
    <row r="4" spans="1:1" x14ac:dyDescent="0.3">
      <c r="A4" s="4"/>
    </row>
    <row r="5" spans="1:1" x14ac:dyDescent="0.3">
      <c r="A5" s="4"/>
    </row>
    <row r="6" spans="1:1" x14ac:dyDescent="0.3">
      <c r="A6" s="4"/>
    </row>
    <row r="7" spans="1:1" x14ac:dyDescent="0.3">
      <c r="A7" s="4"/>
    </row>
    <row r="8" spans="1:1" x14ac:dyDescent="0.3">
      <c r="A8" s="4"/>
    </row>
    <row r="9" spans="1:1" x14ac:dyDescent="0.3">
      <c r="A9" s="4"/>
    </row>
    <row r="10" spans="1:1" x14ac:dyDescent="0.3">
      <c r="A10" s="4"/>
    </row>
    <row r="11" spans="1:1" x14ac:dyDescent="0.3">
      <c r="A11" s="4"/>
    </row>
    <row r="12" spans="1:1" x14ac:dyDescent="0.3">
      <c r="A12" s="4"/>
    </row>
    <row r="13" spans="1:1" x14ac:dyDescent="0.3">
      <c r="A13" s="4"/>
    </row>
    <row r="14" spans="1:1" x14ac:dyDescent="0.3">
      <c r="A14" s="4"/>
    </row>
    <row r="15" spans="1:1" x14ac:dyDescent="0.3">
      <c r="A15" s="4"/>
    </row>
    <row r="16" spans="1:1" x14ac:dyDescent="0.3">
      <c r="A16" s="4"/>
    </row>
    <row r="17" spans="1:1" x14ac:dyDescent="0.3">
      <c r="A17" s="4"/>
    </row>
    <row r="18" spans="1:1" x14ac:dyDescent="0.3">
      <c r="A18" s="4"/>
    </row>
    <row r="19" spans="1:1" x14ac:dyDescent="0.3">
      <c r="A19" s="4"/>
    </row>
    <row r="20" spans="1:1" x14ac:dyDescent="0.3">
      <c r="A20" s="4"/>
    </row>
    <row r="21" spans="1:1" x14ac:dyDescent="0.3">
      <c r="A21" s="4"/>
    </row>
    <row r="22" spans="1:1" x14ac:dyDescent="0.3">
      <c r="A22" s="4"/>
    </row>
    <row r="23" spans="1:1" x14ac:dyDescent="0.3">
      <c r="A23" s="4"/>
    </row>
    <row r="24" spans="1:1" x14ac:dyDescent="0.3">
      <c r="A24" s="4"/>
    </row>
    <row r="25" spans="1:1" x14ac:dyDescent="0.3">
      <c r="A25" s="4"/>
    </row>
    <row r="26" spans="1:1" x14ac:dyDescent="0.3">
      <c r="A26" s="4"/>
    </row>
    <row r="27" spans="1:1" x14ac:dyDescent="0.3">
      <c r="A27" s="4"/>
    </row>
    <row r="28" spans="1:1" x14ac:dyDescent="0.3">
      <c r="A28" s="4"/>
    </row>
    <row r="29" spans="1:1" x14ac:dyDescent="0.3">
      <c r="A29" s="4"/>
    </row>
    <row r="30" spans="1:1" x14ac:dyDescent="0.3">
      <c r="A30" s="4"/>
    </row>
    <row r="31" spans="1:1" x14ac:dyDescent="0.3">
      <c r="A31" s="4"/>
    </row>
    <row r="32" spans="1:1" x14ac:dyDescent="0.3">
      <c r="A32" s="4"/>
    </row>
    <row r="33" spans="1:1" x14ac:dyDescent="0.3">
      <c r="A33" s="4"/>
    </row>
    <row r="34" spans="1:1" x14ac:dyDescent="0.3">
      <c r="A34" s="4"/>
    </row>
    <row r="35" spans="1:1" x14ac:dyDescent="0.3">
      <c r="A35" s="4"/>
    </row>
    <row r="36" spans="1:1" x14ac:dyDescent="0.3">
      <c r="A36" s="4"/>
    </row>
    <row r="37" spans="1:1" x14ac:dyDescent="0.3">
      <c r="A37" s="4"/>
    </row>
    <row r="38" spans="1:1" x14ac:dyDescent="0.3">
      <c r="A38" s="4"/>
    </row>
    <row r="39" spans="1:1" x14ac:dyDescent="0.3">
      <c r="A39" s="4"/>
    </row>
    <row r="40" spans="1:1" x14ac:dyDescent="0.3">
      <c r="A40" s="4"/>
    </row>
    <row r="41" spans="1:1" x14ac:dyDescent="0.3">
      <c r="A41" s="4"/>
    </row>
    <row r="42" spans="1:1" x14ac:dyDescent="0.3">
      <c r="A42" s="4"/>
    </row>
    <row r="43" spans="1:1" x14ac:dyDescent="0.3">
      <c r="A43" s="4"/>
    </row>
    <row r="44" spans="1:1" x14ac:dyDescent="0.3">
      <c r="A44" s="4"/>
    </row>
    <row r="45" spans="1:1" x14ac:dyDescent="0.3">
      <c r="A45" s="4"/>
    </row>
    <row r="46" spans="1:1" x14ac:dyDescent="0.3">
      <c r="A46" s="4"/>
    </row>
    <row r="47" spans="1:1" x14ac:dyDescent="0.3">
      <c r="A47" s="4"/>
    </row>
    <row r="48" spans="1:1" x14ac:dyDescent="0.3">
      <c r="A48" s="4"/>
    </row>
    <row r="49" spans="1:1" x14ac:dyDescent="0.3">
      <c r="A49" s="4"/>
    </row>
    <row r="50" spans="1:1" x14ac:dyDescent="0.3">
      <c r="A50" s="4"/>
    </row>
    <row r="51" spans="1:1" x14ac:dyDescent="0.3">
      <c r="A51" s="4"/>
    </row>
    <row r="52" spans="1:1" x14ac:dyDescent="0.3">
      <c r="A52" s="4"/>
    </row>
    <row r="53" spans="1:1" x14ac:dyDescent="0.3">
      <c r="A53" s="4"/>
    </row>
    <row r="54" spans="1:1" x14ac:dyDescent="0.3">
      <c r="A54" s="4"/>
    </row>
    <row r="55" spans="1:1" x14ac:dyDescent="0.3">
      <c r="A55" s="4"/>
    </row>
    <row r="56" spans="1:1" x14ac:dyDescent="0.3">
      <c r="A56" s="4"/>
    </row>
    <row r="57" spans="1:1" x14ac:dyDescent="0.3">
      <c r="A57" s="4"/>
    </row>
    <row r="58" spans="1:1" x14ac:dyDescent="0.3">
      <c r="A58" s="4"/>
    </row>
    <row r="59" spans="1:1" x14ac:dyDescent="0.3">
      <c r="A59" s="4"/>
    </row>
    <row r="60" spans="1:1" x14ac:dyDescent="0.3">
      <c r="A60" s="4"/>
    </row>
    <row r="61" spans="1:1" x14ac:dyDescent="0.3">
      <c r="A61" s="4"/>
    </row>
    <row r="62" spans="1:1" x14ac:dyDescent="0.3">
      <c r="A62" s="4"/>
    </row>
    <row r="63" spans="1:1" x14ac:dyDescent="0.3">
      <c r="A63" s="4"/>
    </row>
    <row r="64" spans="1:1" x14ac:dyDescent="0.3">
      <c r="A64" s="4"/>
    </row>
    <row r="65" spans="1:1" x14ac:dyDescent="0.3">
      <c r="A65" s="4"/>
    </row>
    <row r="66" spans="1:1" x14ac:dyDescent="0.3">
      <c r="A66" s="4"/>
    </row>
    <row r="67" spans="1:1" x14ac:dyDescent="0.3">
      <c r="A67" s="4"/>
    </row>
    <row r="68" spans="1:1" x14ac:dyDescent="0.3">
      <c r="A68" s="4"/>
    </row>
    <row r="69" spans="1:1" x14ac:dyDescent="0.3">
      <c r="A69" s="4"/>
    </row>
    <row r="70" spans="1:1" x14ac:dyDescent="0.3">
      <c r="A70" s="4"/>
    </row>
    <row r="71" spans="1:1" x14ac:dyDescent="0.3">
      <c r="A71" s="4"/>
    </row>
    <row r="72" spans="1:1" x14ac:dyDescent="0.3">
      <c r="A72" s="4"/>
    </row>
    <row r="73" spans="1:1" x14ac:dyDescent="0.3">
      <c r="A73" s="4"/>
    </row>
    <row r="74" spans="1:1" x14ac:dyDescent="0.3">
      <c r="A74" s="4"/>
    </row>
    <row r="75" spans="1:1" x14ac:dyDescent="0.3">
      <c r="A75" s="4"/>
    </row>
    <row r="76" spans="1:1" x14ac:dyDescent="0.3">
      <c r="A76" s="4"/>
    </row>
    <row r="77" spans="1:1" x14ac:dyDescent="0.3">
      <c r="A77" s="4"/>
    </row>
    <row r="78" spans="1:1" x14ac:dyDescent="0.3">
      <c r="A78" s="4"/>
    </row>
    <row r="79" spans="1:1" x14ac:dyDescent="0.3">
      <c r="A79" s="4"/>
    </row>
    <row r="80" spans="1:1" x14ac:dyDescent="0.3">
      <c r="A80" s="4"/>
    </row>
    <row r="81" spans="1:1" x14ac:dyDescent="0.3">
      <c r="A81" s="4"/>
    </row>
    <row r="82" spans="1:1" x14ac:dyDescent="0.3">
      <c r="A82" s="4"/>
    </row>
    <row r="83" spans="1:1" x14ac:dyDescent="0.3">
      <c r="A83" s="4"/>
    </row>
    <row r="84" spans="1:1" x14ac:dyDescent="0.3">
      <c r="A84" s="4"/>
    </row>
    <row r="85" spans="1:1" x14ac:dyDescent="0.3">
      <c r="A85" s="4"/>
    </row>
    <row r="86" spans="1:1" x14ac:dyDescent="0.3">
      <c r="A86" s="4"/>
    </row>
    <row r="87" spans="1:1" x14ac:dyDescent="0.3">
      <c r="A87" s="4"/>
    </row>
    <row r="88" spans="1:1" x14ac:dyDescent="0.3">
      <c r="A88" s="4"/>
    </row>
    <row r="89" spans="1:1" x14ac:dyDescent="0.3">
      <c r="A89" s="4"/>
    </row>
    <row r="90" spans="1:1" x14ac:dyDescent="0.3">
      <c r="A90" s="4"/>
    </row>
    <row r="91" spans="1:1" x14ac:dyDescent="0.3">
      <c r="A91" s="4"/>
    </row>
    <row r="92" spans="1:1" x14ac:dyDescent="0.3">
      <c r="A92" s="4"/>
    </row>
    <row r="93" spans="1:1" x14ac:dyDescent="0.3">
      <c r="A93" s="4"/>
    </row>
    <row r="94" spans="1:1" x14ac:dyDescent="0.3">
      <c r="A94" s="4"/>
    </row>
    <row r="95" spans="1:1" x14ac:dyDescent="0.3">
      <c r="A95" s="4"/>
    </row>
    <row r="96" spans="1:1" x14ac:dyDescent="0.3">
      <c r="A96" s="4"/>
    </row>
    <row r="97" spans="1:1" x14ac:dyDescent="0.3">
      <c r="A97" s="4"/>
    </row>
    <row r="98" spans="1:1" x14ac:dyDescent="0.3">
      <c r="A98" s="4"/>
    </row>
    <row r="99" spans="1:1" x14ac:dyDescent="0.3">
      <c r="A99" s="4"/>
    </row>
    <row r="100" spans="1:1" x14ac:dyDescent="0.3">
      <c r="A100" s="4"/>
    </row>
    <row r="101" spans="1:1" x14ac:dyDescent="0.3">
      <c r="A101" s="4"/>
    </row>
    <row r="102" spans="1:1" x14ac:dyDescent="0.3">
      <c r="A102" s="4"/>
    </row>
    <row r="103" spans="1:1" x14ac:dyDescent="0.3">
      <c r="A103" s="4"/>
    </row>
    <row r="104" spans="1:1" x14ac:dyDescent="0.3">
      <c r="A104" s="4"/>
    </row>
    <row r="105" spans="1:1" x14ac:dyDescent="0.3">
      <c r="A105" s="4"/>
    </row>
    <row r="106" spans="1:1" x14ac:dyDescent="0.3">
      <c r="A106" s="4"/>
    </row>
    <row r="107" spans="1:1" x14ac:dyDescent="0.3">
      <c r="A107" s="4"/>
    </row>
    <row r="108" spans="1:1" x14ac:dyDescent="0.3">
      <c r="A108" s="4"/>
    </row>
    <row r="109" spans="1:1" x14ac:dyDescent="0.3">
      <c r="A109" s="4"/>
    </row>
    <row r="110" spans="1:1" x14ac:dyDescent="0.3">
      <c r="A110" s="4"/>
    </row>
    <row r="111" spans="1:1" x14ac:dyDescent="0.3">
      <c r="A111" s="4"/>
    </row>
    <row r="112" spans="1:1" x14ac:dyDescent="0.3">
      <c r="A112" s="4"/>
    </row>
    <row r="113" spans="1:1" x14ac:dyDescent="0.3">
      <c r="A113" s="4"/>
    </row>
    <row r="114" spans="1:1" x14ac:dyDescent="0.3">
      <c r="A114" s="4"/>
    </row>
    <row r="115" spans="1:1" x14ac:dyDescent="0.3">
      <c r="A115" s="4"/>
    </row>
    <row r="116" spans="1:1" x14ac:dyDescent="0.3">
      <c r="A116" s="4"/>
    </row>
    <row r="117" spans="1:1" x14ac:dyDescent="0.3">
      <c r="A117" s="4"/>
    </row>
    <row r="118" spans="1:1" x14ac:dyDescent="0.3">
      <c r="A118" s="4"/>
    </row>
    <row r="119" spans="1:1" x14ac:dyDescent="0.3">
      <c r="A119" s="4"/>
    </row>
    <row r="120" spans="1:1" x14ac:dyDescent="0.3">
      <c r="A120" s="4"/>
    </row>
    <row r="121" spans="1:1" x14ac:dyDescent="0.3">
      <c r="A121" s="4"/>
    </row>
    <row r="122" spans="1:1" x14ac:dyDescent="0.3">
      <c r="A122" s="4"/>
    </row>
    <row r="123" spans="1:1" x14ac:dyDescent="0.3">
      <c r="A123" s="4"/>
    </row>
    <row r="124" spans="1:1" x14ac:dyDescent="0.3">
      <c r="A124" s="4"/>
    </row>
    <row r="125" spans="1:1" x14ac:dyDescent="0.3">
      <c r="A125" s="4"/>
    </row>
    <row r="126" spans="1:1" x14ac:dyDescent="0.3">
      <c r="A126" s="4"/>
    </row>
    <row r="127" spans="1:1" x14ac:dyDescent="0.3">
      <c r="A127" s="4"/>
    </row>
    <row r="128" spans="1:1" x14ac:dyDescent="0.3">
      <c r="A128" s="4"/>
    </row>
    <row r="129" spans="1:1" x14ac:dyDescent="0.3">
      <c r="A129" s="4"/>
    </row>
    <row r="130" spans="1:1" x14ac:dyDescent="0.3">
      <c r="A130" s="4"/>
    </row>
    <row r="131" spans="1:1" x14ac:dyDescent="0.3">
      <c r="A131" s="4"/>
    </row>
    <row r="132" spans="1:1" x14ac:dyDescent="0.3">
      <c r="A132" s="4"/>
    </row>
    <row r="133" spans="1:1" x14ac:dyDescent="0.3">
      <c r="A133" s="4"/>
    </row>
    <row r="134" spans="1:1" x14ac:dyDescent="0.3">
      <c r="A134" s="4"/>
    </row>
    <row r="135" spans="1:1" x14ac:dyDescent="0.3">
      <c r="A135" s="4"/>
    </row>
    <row r="136" spans="1:1" x14ac:dyDescent="0.3">
      <c r="A136" s="4"/>
    </row>
    <row r="137" spans="1:1" x14ac:dyDescent="0.3">
      <c r="A137" s="4"/>
    </row>
    <row r="138" spans="1:1" x14ac:dyDescent="0.3">
      <c r="A138" s="4"/>
    </row>
    <row r="139" spans="1:1" x14ac:dyDescent="0.3">
      <c r="A139" s="4"/>
    </row>
    <row r="140" spans="1:1" x14ac:dyDescent="0.3">
      <c r="A140" s="4"/>
    </row>
    <row r="141" spans="1:1" x14ac:dyDescent="0.3">
      <c r="A141" s="4"/>
    </row>
    <row r="142" spans="1:1" x14ac:dyDescent="0.3">
      <c r="A142" s="4"/>
    </row>
    <row r="143" spans="1:1" x14ac:dyDescent="0.3">
      <c r="A143" s="4"/>
    </row>
    <row r="144" spans="1:1" x14ac:dyDescent="0.3">
      <c r="A144" s="4"/>
    </row>
    <row r="145" spans="1:1" x14ac:dyDescent="0.3">
      <c r="A145" s="4"/>
    </row>
    <row r="146" spans="1:1" x14ac:dyDescent="0.3">
      <c r="A146" s="4"/>
    </row>
    <row r="147" spans="1:1" x14ac:dyDescent="0.3">
      <c r="A147" s="4"/>
    </row>
    <row r="148" spans="1:1" x14ac:dyDescent="0.3">
      <c r="A148" s="4"/>
    </row>
    <row r="149" spans="1:1" x14ac:dyDescent="0.3">
      <c r="A149" s="4"/>
    </row>
    <row r="150" spans="1:1" x14ac:dyDescent="0.3">
      <c r="A150" s="4"/>
    </row>
    <row r="151" spans="1:1" x14ac:dyDescent="0.3">
      <c r="A151" s="4"/>
    </row>
    <row r="152" spans="1:1" x14ac:dyDescent="0.3">
      <c r="A152" s="4"/>
    </row>
    <row r="153" spans="1:1" x14ac:dyDescent="0.3">
      <c r="A153" s="4"/>
    </row>
    <row r="154" spans="1:1" x14ac:dyDescent="0.3">
      <c r="A154" s="4"/>
    </row>
    <row r="155" spans="1:1" x14ac:dyDescent="0.3">
      <c r="A155" s="4"/>
    </row>
    <row r="156" spans="1:1" x14ac:dyDescent="0.3">
      <c r="A156" s="4"/>
    </row>
    <row r="157" spans="1:1" x14ac:dyDescent="0.3">
      <c r="A157" s="4"/>
    </row>
    <row r="158" spans="1:1" x14ac:dyDescent="0.3">
      <c r="A158" s="4"/>
    </row>
    <row r="159" spans="1:1" x14ac:dyDescent="0.3">
      <c r="A159" s="4"/>
    </row>
    <row r="160" spans="1:1" x14ac:dyDescent="0.3">
      <c r="A160" s="4"/>
    </row>
    <row r="161" spans="1:1" x14ac:dyDescent="0.3">
      <c r="A161" s="4"/>
    </row>
    <row r="162" spans="1:1" x14ac:dyDescent="0.3">
      <c r="A162" s="4"/>
    </row>
    <row r="163" spans="1:1" x14ac:dyDescent="0.3">
      <c r="A163" s="4"/>
    </row>
    <row r="164" spans="1:1" x14ac:dyDescent="0.3">
      <c r="A164" s="4"/>
    </row>
    <row r="165" spans="1:1" x14ac:dyDescent="0.3">
      <c r="A165" s="4"/>
    </row>
    <row r="166" spans="1:1" x14ac:dyDescent="0.3">
      <c r="A166" s="4"/>
    </row>
    <row r="167" spans="1:1" x14ac:dyDescent="0.3">
      <c r="A167" s="4"/>
    </row>
    <row r="168" spans="1:1" x14ac:dyDescent="0.3">
      <c r="A168" s="4"/>
    </row>
    <row r="169" spans="1:1" x14ac:dyDescent="0.3">
      <c r="A169" s="4"/>
    </row>
    <row r="170" spans="1:1" x14ac:dyDescent="0.3">
      <c r="A170" s="4"/>
    </row>
    <row r="171" spans="1:1" x14ac:dyDescent="0.3">
      <c r="A171" s="4"/>
    </row>
    <row r="172" spans="1:1" x14ac:dyDescent="0.3">
      <c r="A172" s="4"/>
    </row>
    <row r="173" spans="1:1" x14ac:dyDescent="0.3">
      <c r="A173" s="4"/>
    </row>
    <row r="174" spans="1:1" x14ac:dyDescent="0.3">
      <c r="A174" s="4"/>
    </row>
    <row r="175" spans="1:1" x14ac:dyDescent="0.3">
      <c r="A175" s="4"/>
    </row>
    <row r="176" spans="1:1" x14ac:dyDescent="0.3">
      <c r="A176" s="4"/>
    </row>
    <row r="177" spans="1:1" x14ac:dyDescent="0.3">
      <c r="A177" s="4"/>
    </row>
    <row r="178" spans="1:1" x14ac:dyDescent="0.3">
      <c r="A178" s="4"/>
    </row>
    <row r="179" spans="1:1" x14ac:dyDescent="0.3">
      <c r="A179" s="4"/>
    </row>
    <row r="180" spans="1:1" x14ac:dyDescent="0.3">
      <c r="A180" s="4"/>
    </row>
    <row r="181" spans="1:1" x14ac:dyDescent="0.3">
      <c r="A181" s="4"/>
    </row>
    <row r="182" spans="1:1" x14ac:dyDescent="0.3">
      <c r="A182" s="4"/>
    </row>
    <row r="183" spans="1:1" x14ac:dyDescent="0.3">
      <c r="A183" s="4"/>
    </row>
    <row r="184" spans="1:1" x14ac:dyDescent="0.3">
      <c r="A184" s="4"/>
    </row>
    <row r="185" spans="1:1" x14ac:dyDescent="0.3">
      <c r="A185" s="4"/>
    </row>
    <row r="186" spans="1:1" x14ac:dyDescent="0.3">
      <c r="A186" s="4"/>
    </row>
    <row r="187" spans="1:1" x14ac:dyDescent="0.3">
      <c r="A187" s="4"/>
    </row>
    <row r="188" spans="1:1" x14ac:dyDescent="0.3">
      <c r="A188" s="4"/>
    </row>
    <row r="189" spans="1:1" x14ac:dyDescent="0.3">
      <c r="A189" s="4"/>
    </row>
    <row r="190" spans="1:1" x14ac:dyDescent="0.3">
      <c r="A190" s="4"/>
    </row>
    <row r="191" spans="1:1" x14ac:dyDescent="0.3">
      <c r="A191" s="4"/>
    </row>
    <row r="192" spans="1:1" x14ac:dyDescent="0.3">
      <c r="A192" s="4"/>
    </row>
    <row r="193" spans="1:1" x14ac:dyDescent="0.3">
      <c r="A193" s="4"/>
    </row>
    <row r="194" spans="1:1" x14ac:dyDescent="0.3">
      <c r="A194" s="4"/>
    </row>
    <row r="195" spans="1:1" x14ac:dyDescent="0.3">
      <c r="A195" s="4"/>
    </row>
    <row r="196" spans="1:1" x14ac:dyDescent="0.3">
      <c r="A196" s="4"/>
    </row>
    <row r="197" spans="1:1" x14ac:dyDescent="0.3">
      <c r="A197" s="4"/>
    </row>
    <row r="198" spans="1:1" x14ac:dyDescent="0.3">
      <c r="A198" s="4"/>
    </row>
    <row r="199" spans="1:1" x14ac:dyDescent="0.3">
      <c r="A199" s="4"/>
    </row>
    <row r="200" spans="1:1" x14ac:dyDescent="0.3">
      <c r="A200" s="4"/>
    </row>
    <row r="201" spans="1:1" x14ac:dyDescent="0.3">
      <c r="A201" s="4"/>
    </row>
    <row r="202" spans="1:1" x14ac:dyDescent="0.3">
      <c r="A202" s="4"/>
    </row>
    <row r="203" spans="1:1" x14ac:dyDescent="0.3">
      <c r="A203" s="4"/>
    </row>
    <row r="204" spans="1:1" x14ac:dyDescent="0.3">
      <c r="A204" s="4"/>
    </row>
    <row r="205" spans="1:1" x14ac:dyDescent="0.3">
      <c r="A205" s="4"/>
    </row>
    <row r="206" spans="1:1" x14ac:dyDescent="0.3">
      <c r="A206" s="4"/>
    </row>
    <row r="207" spans="1:1" x14ac:dyDescent="0.3">
      <c r="A207" s="4"/>
    </row>
    <row r="208" spans="1:1" x14ac:dyDescent="0.3">
      <c r="A208" s="4"/>
    </row>
    <row r="209" spans="1:1" x14ac:dyDescent="0.3">
      <c r="A209" s="4"/>
    </row>
    <row r="210" spans="1:1" x14ac:dyDescent="0.3">
      <c r="A210" s="4"/>
    </row>
    <row r="211" spans="1:1" x14ac:dyDescent="0.3">
      <c r="A211" s="4"/>
    </row>
    <row r="212" spans="1:1" x14ac:dyDescent="0.3">
      <c r="A212" s="4"/>
    </row>
    <row r="213" spans="1:1" x14ac:dyDescent="0.3">
      <c r="A213" s="4"/>
    </row>
    <row r="214" spans="1:1" x14ac:dyDescent="0.3">
      <c r="A214" s="4"/>
    </row>
    <row r="215" spans="1:1" x14ac:dyDescent="0.3">
      <c r="A215" s="4"/>
    </row>
    <row r="216" spans="1:1" x14ac:dyDescent="0.3">
      <c r="A216" s="4"/>
    </row>
    <row r="217" spans="1:1" x14ac:dyDescent="0.3">
      <c r="A217" s="4"/>
    </row>
    <row r="218" spans="1:1" x14ac:dyDescent="0.3">
      <c r="A218" s="4"/>
    </row>
    <row r="219" spans="1:1" x14ac:dyDescent="0.3">
      <c r="A219" s="4"/>
    </row>
    <row r="220" spans="1:1" x14ac:dyDescent="0.3">
      <c r="A220" s="4"/>
    </row>
    <row r="221" spans="1:1" x14ac:dyDescent="0.3">
      <c r="A221" s="4"/>
    </row>
    <row r="222" spans="1:1" x14ac:dyDescent="0.3">
      <c r="A222" s="4"/>
    </row>
    <row r="223" spans="1:1" x14ac:dyDescent="0.3">
      <c r="A223" s="4"/>
    </row>
    <row r="224" spans="1:1" x14ac:dyDescent="0.3">
      <c r="A224" s="4"/>
    </row>
    <row r="225" spans="1:1" x14ac:dyDescent="0.3">
      <c r="A225" s="4"/>
    </row>
    <row r="226" spans="1:1" x14ac:dyDescent="0.3">
      <c r="A226" s="4"/>
    </row>
    <row r="227" spans="1:1" x14ac:dyDescent="0.3">
      <c r="A227" s="4"/>
    </row>
    <row r="228" spans="1:1" x14ac:dyDescent="0.3">
      <c r="A228" s="4"/>
    </row>
    <row r="229" spans="1:1" x14ac:dyDescent="0.3">
      <c r="A229" s="4"/>
    </row>
    <row r="230" spans="1:1" x14ac:dyDescent="0.3">
      <c r="A230" s="4"/>
    </row>
    <row r="231" spans="1:1" x14ac:dyDescent="0.3">
      <c r="A231" s="4"/>
    </row>
    <row r="232" spans="1:1" x14ac:dyDescent="0.3">
      <c r="A232" s="4"/>
    </row>
    <row r="233" spans="1:1" x14ac:dyDescent="0.3">
      <c r="A233" s="4"/>
    </row>
    <row r="234" spans="1:1" x14ac:dyDescent="0.3">
      <c r="A234" s="4"/>
    </row>
    <row r="235" spans="1:1" x14ac:dyDescent="0.3">
      <c r="A235" s="4"/>
    </row>
    <row r="236" spans="1:1" x14ac:dyDescent="0.3">
      <c r="A236" s="4"/>
    </row>
    <row r="237" spans="1:1" x14ac:dyDescent="0.3">
      <c r="A237" s="4"/>
    </row>
    <row r="238" spans="1:1" x14ac:dyDescent="0.3">
      <c r="A238" s="4"/>
    </row>
    <row r="239" spans="1:1" x14ac:dyDescent="0.3">
      <c r="A239" s="4"/>
    </row>
    <row r="240" spans="1:1" x14ac:dyDescent="0.3">
      <c r="A240" s="4"/>
    </row>
    <row r="241" spans="1:1" x14ac:dyDescent="0.3">
      <c r="A241" s="4"/>
    </row>
    <row r="242" spans="1:1" x14ac:dyDescent="0.3">
      <c r="A242" s="4"/>
    </row>
    <row r="243" spans="1:1" x14ac:dyDescent="0.3">
      <c r="A243" s="4"/>
    </row>
    <row r="244" spans="1:1" x14ac:dyDescent="0.3">
      <c r="A244" s="4"/>
    </row>
    <row r="245" spans="1:1" x14ac:dyDescent="0.3">
      <c r="A245" s="4"/>
    </row>
    <row r="246" spans="1:1" x14ac:dyDescent="0.3">
      <c r="A246" s="4"/>
    </row>
    <row r="247" spans="1:1" x14ac:dyDescent="0.3">
      <c r="A247" s="4"/>
    </row>
    <row r="248" spans="1:1" x14ac:dyDescent="0.3">
      <c r="A248" s="4"/>
    </row>
    <row r="249" spans="1:1" x14ac:dyDescent="0.3">
      <c r="A249" s="4"/>
    </row>
    <row r="250" spans="1:1" x14ac:dyDescent="0.3">
      <c r="A250" s="4"/>
    </row>
    <row r="251" spans="1:1" x14ac:dyDescent="0.3">
      <c r="A251" s="4"/>
    </row>
    <row r="252" spans="1:1" x14ac:dyDescent="0.3">
      <c r="A252" s="4"/>
    </row>
    <row r="253" spans="1:1" x14ac:dyDescent="0.3">
      <c r="A253" s="4"/>
    </row>
    <row r="254" spans="1:1" x14ac:dyDescent="0.3">
      <c r="A254" s="4"/>
    </row>
    <row r="255" spans="1:1" x14ac:dyDescent="0.3">
      <c r="A255" s="4"/>
    </row>
    <row r="256" spans="1:1" x14ac:dyDescent="0.3">
      <c r="A256" s="4"/>
    </row>
    <row r="257" spans="1:1" x14ac:dyDescent="0.3">
      <c r="A257" s="4"/>
    </row>
    <row r="258" spans="1:1" x14ac:dyDescent="0.3">
      <c r="A258" s="4"/>
    </row>
    <row r="259" spans="1:1" x14ac:dyDescent="0.3">
      <c r="A259" s="4"/>
    </row>
    <row r="260" spans="1:1" x14ac:dyDescent="0.3">
      <c r="A260" s="4"/>
    </row>
    <row r="261" spans="1:1" x14ac:dyDescent="0.3">
      <c r="A261" s="4"/>
    </row>
    <row r="262" spans="1:1" x14ac:dyDescent="0.3">
      <c r="A262" s="4"/>
    </row>
    <row r="263" spans="1:1" x14ac:dyDescent="0.3">
      <c r="A263" s="4"/>
    </row>
    <row r="264" spans="1:1" x14ac:dyDescent="0.3">
      <c r="A264" s="4"/>
    </row>
    <row r="265" spans="1:1" x14ac:dyDescent="0.3">
      <c r="A265" s="4"/>
    </row>
    <row r="266" spans="1:1" x14ac:dyDescent="0.3">
      <c r="A266" s="4"/>
    </row>
    <row r="267" spans="1:1" x14ac:dyDescent="0.3">
      <c r="A267" s="4"/>
    </row>
    <row r="268" spans="1:1" x14ac:dyDescent="0.3">
      <c r="A268" s="4"/>
    </row>
    <row r="269" spans="1:1" x14ac:dyDescent="0.3">
      <c r="A269" s="4"/>
    </row>
    <row r="270" spans="1:1" x14ac:dyDescent="0.3">
      <c r="A270" s="4"/>
    </row>
    <row r="271" spans="1:1" x14ac:dyDescent="0.3">
      <c r="A271" s="4"/>
    </row>
    <row r="272" spans="1:1" x14ac:dyDescent="0.3">
      <c r="A272" s="4"/>
    </row>
    <row r="273" spans="1:1" x14ac:dyDescent="0.3">
      <c r="A273" s="4"/>
    </row>
    <row r="274" spans="1:1" x14ac:dyDescent="0.3">
      <c r="A274" s="4"/>
    </row>
    <row r="275" spans="1:1" x14ac:dyDescent="0.3">
      <c r="A275" s="4"/>
    </row>
    <row r="276" spans="1:1" x14ac:dyDescent="0.3">
      <c r="A276" s="4"/>
    </row>
    <row r="277" spans="1:1" x14ac:dyDescent="0.3">
      <c r="A277" s="4"/>
    </row>
    <row r="278" spans="1:1" x14ac:dyDescent="0.3">
      <c r="A278" s="4"/>
    </row>
    <row r="279" spans="1:1" x14ac:dyDescent="0.3">
      <c r="A279" s="4"/>
    </row>
    <row r="280" spans="1:1" x14ac:dyDescent="0.3">
      <c r="A280" s="4"/>
    </row>
    <row r="281" spans="1:1" x14ac:dyDescent="0.3">
      <c r="A281" s="4"/>
    </row>
    <row r="282" spans="1:1" x14ac:dyDescent="0.3">
      <c r="A282" s="4"/>
    </row>
    <row r="283" spans="1:1" x14ac:dyDescent="0.3">
      <c r="A283" s="4"/>
    </row>
    <row r="284" spans="1:1" x14ac:dyDescent="0.3">
      <c r="A284" s="4"/>
    </row>
    <row r="285" spans="1:1" x14ac:dyDescent="0.3">
      <c r="A285" s="4"/>
    </row>
    <row r="286" spans="1:1" x14ac:dyDescent="0.3">
      <c r="A286" s="4"/>
    </row>
    <row r="287" spans="1:1" x14ac:dyDescent="0.3">
      <c r="A287" s="4"/>
    </row>
    <row r="288" spans="1:1" x14ac:dyDescent="0.3">
      <c r="A288" s="4"/>
    </row>
    <row r="289" spans="1:1" x14ac:dyDescent="0.3">
      <c r="A289" s="4"/>
    </row>
    <row r="290" spans="1:1" x14ac:dyDescent="0.3">
      <c r="A290" s="4"/>
    </row>
    <row r="291" spans="1:1" x14ac:dyDescent="0.3">
      <c r="A291" s="4"/>
    </row>
    <row r="292" spans="1:1" x14ac:dyDescent="0.3">
      <c r="A292" s="4"/>
    </row>
    <row r="293" spans="1:1" x14ac:dyDescent="0.3">
      <c r="A293" s="4"/>
    </row>
    <row r="294" spans="1:1" x14ac:dyDescent="0.3">
      <c r="A294" s="4"/>
    </row>
    <row r="295" spans="1:1" x14ac:dyDescent="0.3">
      <c r="A295" s="4"/>
    </row>
    <row r="296" spans="1:1" x14ac:dyDescent="0.3">
      <c r="A296" s="4"/>
    </row>
    <row r="297" spans="1:1" x14ac:dyDescent="0.3">
      <c r="A297" s="4"/>
    </row>
    <row r="298" spans="1:1" x14ac:dyDescent="0.3">
      <c r="A298" s="4"/>
    </row>
    <row r="299" spans="1:1" x14ac:dyDescent="0.3">
      <c r="A299" s="4"/>
    </row>
    <row r="300" spans="1:1" x14ac:dyDescent="0.3">
      <c r="A300" s="4"/>
    </row>
    <row r="301" spans="1:1" x14ac:dyDescent="0.3">
      <c r="A301" s="4"/>
    </row>
    <row r="302" spans="1:1" x14ac:dyDescent="0.3">
      <c r="A302" s="4"/>
    </row>
    <row r="303" spans="1:1" x14ac:dyDescent="0.3">
      <c r="A303" s="4"/>
    </row>
    <row r="304" spans="1:1" x14ac:dyDescent="0.3">
      <c r="A304" s="4"/>
    </row>
    <row r="305" spans="1:1" x14ac:dyDescent="0.3">
      <c r="A305" s="4"/>
    </row>
    <row r="306" spans="1:1" x14ac:dyDescent="0.3">
      <c r="A306" s="4"/>
    </row>
    <row r="307" spans="1:1" x14ac:dyDescent="0.3">
      <c r="A307" s="4"/>
    </row>
    <row r="308" spans="1:1" x14ac:dyDescent="0.3">
      <c r="A308" s="4"/>
    </row>
    <row r="309" spans="1:1" x14ac:dyDescent="0.3">
      <c r="A309" s="4"/>
    </row>
    <row r="310" spans="1:1" x14ac:dyDescent="0.3">
      <c r="A310" s="4"/>
    </row>
    <row r="311" spans="1:1" x14ac:dyDescent="0.3">
      <c r="A311" s="4"/>
    </row>
    <row r="312" spans="1:1" x14ac:dyDescent="0.3">
      <c r="A312" s="4"/>
    </row>
    <row r="313" spans="1:1" x14ac:dyDescent="0.3">
      <c r="A313" s="4"/>
    </row>
    <row r="314" spans="1:1" x14ac:dyDescent="0.3">
      <c r="A314" s="4"/>
    </row>
    <row r="315" spans="1:1" x14ac:dyDescent="0.3">
      <c r="A315" s="4"/>
    </row>
    <row r="316" spans="1:1" x14ac:dyDescent="0.3">
      <c r="A316" s="4"/>
    </row>
    <row r="317" spans="1:1" x14ac:dyDescent="0.3">
      <c r="A317" s="4"/>
    </row>
    <row r="318" spans="1:1" x14ac:dyDescent="0.3">
      <c r="A318" s="4"/>
    </row>
    <row r="319" spans="1:1" x14ac:dyDescent="0.3">
      <c r="A319" s="4"/>
    </row>
    <row r="320" spans="1:1" x14ac:dyDescent="0.3">
      <c r="A320" s="4"/>
    </row>
    <row r="321" spans="1:1" x14ac:dyDescent="0.3">
      <c r="A321" s="4"/>
    </row>
    <row r="322" spans="1:1" x14ac:dyDescent="0.3">
      <c r="A322" s="4"/>
    </row>
    <row r="323" spans="1:1" x14ac:dyDescent="0.3">
      <c r="A323" s="4"/>
    </row>
    <row r="324" spans="1:1" x14ac:dyDescent="0.3">
      <c r="A324" s="4"/>
    </row>
    <row r="325" spans="1:1" x14ac:dyDescent="0.3">
      <c r="A325" s="4"/>
    </row>
    <row r="326" spans="1:1" x14ac:dyDescent="0.3">
      <c r="A326" s="4"/>
    </row>
    <row r="327" spans="1:1" x14ac:dyDescent="0.3">
      <c r="A327" s="4"/>
    </row>
    <row r="328" spans="1:1" x14ac:dyDescent="0.3">
      <c r="A328" s="4"/>
    </row>
    <row r="329" spans="1:1" x14ac:dyDescent="0.3">
      <c r="A329" s="4"/>
    </row>
    <row r="330" spans="1:1" x14ac:dyDescent="0.3">
      <c r="A330" s="4"/>
    </row>
    <row r="331" spans="1:1" x14ac:dyDescent="0.3">
      <c r="A331" s="4"/>
    </row>
    <row r="332" spans="1:1" x14ac:dyDescent="0.3">
      <c r="A332" s="4"/>
    </row>
    <row r="333" spans="1:1" x14ac:dyDescent="0.3">
      <c r="A333" s="4"/>
    </row>
    <row r="334" spans="1:1" x14ac:dyDescent="0.3">
      <c r="A334" s="4"/>
    </row>
    <row r="335" spans="1:1" x14ac:dyDescent="0.3">
      <c r="A335" s="4"/>
    </row>
    <row r="336" spans="1:1" x14ac:dyDescent="0.3">
      <c r="A336" s="4"/>
    </row>
    <row r="337" spans="1:1" x14ac:dyDescent="0.3">
      <c r="A337" s="4"/>
    </row>
    <row r="338" spans="1:1" x14ac:dyDescent="0.3">
      <c r="A338" s="4"/>
    </row>
    <row r="339" spans="1:1" x14ac:dyDescent="0.3">
      <c r="A339" s="4"/>
    </row>
    <row r="340" spans="1:1" x14ac:dyDescent="0.3">
      <c r="A340" s="4"/>
    </row>
    <row r="341" spans="1:1" x14ac:dyDescent="0.3">
      <c r="A341" s="4"/>
    </row>
    <row r="342" spans="1:1" x14ac:dyDescent="0.3">
      <c r="A342" s="4"/>
    </row>
    <row r="343" spans="1:1" x14ac:dyDescent="0.3">
      <c r="A343" s="4"/>
    </row>
    <row r="344" spans="1:1" x14ac:dyDescent="0.3">
      <c r="A344" s="4"/>
    </row>
    <row r="345" spans="1:1" x14ac:dyDescent="0.3">
      <c r="A345" s="4"/>
    </row>
    <row r="346" spans="1:1" x14ac:dyDescent="0.3">
      <c r="A346" s="4"/>
    </row>
    <row r="347" spans="1:1" x14ac:dyDescent="0.3">
      <c r="A347" s="4"/>
    </row>
    <row r="348" spans="1:1" x14ac:dyDescent="0.3">
      <c r="A348" s="4"/>
    </row>
    <row r="349" spans="1:1" x14ac:dyDescent="0.3">
      <c r="A349" s="4"/>
    </row>
    <row r="350" spans="1:1" x14ac:dyDescent="0.3">
      <c r="A350" s="4"/>
    </row>
    <row r="351" spans="1:1" x14ac:dyDescent="0.3">
      <c r="A351" s="4"/>
    </row>
    <row r="352" spans="1:1" x14ac:dyDescent="0.3">
      <c r="A352" s="4"/>
    </row>
    <row r="353" spans="1:1" x14ac:dyDescent="0.3">
      <c r="A353" s="4"/>
    </row>
    <row r="354" spans="1:1" x14ac:dyDescent="0.3">
      <c r="A354" s="4"/>
    </row>
    <row r="355" spans="1:1" x14ac:dyDescent="0.3">
      <c r="A355" s="4"/>
    </row>
    <row r="356" spans="1:1" x14ac:dyDescent="0.3">
      <c r="A356" s="4"/>
    </row>
    <row r="357" spans="1:1" x14ac:dyDescent="0.3">
      <c r="A357" s="4"/>
    </row>
    <row r="358" spans="1:1" x14ac:dyDescent="0.3">
      <c r="A358" s="4"/>
    </row>
    <row r="359" spans="1:1" x14ac:dyDescent="0.3">
      <c r="A359" s="4"/>
    </row>
    <row r="360" spans="1:1" x14ac:dyDescent="0.3">
      <c r="A360" s="4"/>
    </row>
    <row r="361" spans="1:1" x14ac:dyDescent="0.3">
      <c r="A361" s="4"/>
    </row>
    <row r="362" spans="1:1" x14ac:dyDescent="0.3">
      <c r="A362" s="4"/>
    </row>
    <row r="363" spans="1:1" x14ac:dyDescent="0.3">
      <c r="A363" s="4"/>
    </row>
    <row r="364" spans="1:1" x14ac:dyDescent="0.3">
      <c r="A364" s="4"/>
    </row>
    <row r="365" spans="1:1" x14ac:dyDescent="0.3">
      <c r="A365" s="4"/>
    </row>
    <row r="366" spans="1:1" x14ac:dyDescent="0.3">
      <c r="A366" s="4"/>
    </row>
    <row r="367" spans="1:1" x14ac:dyDescent="0.3">
      <c r="A367" s="4"/>
    </row>
    <row r="368" spans="1:1" x14ac:dyDescent="0.3">
      <c r="A368" s="4"/>
    </row>
    <row r="369" spans="1:1" x14ac:dyDescent="0.3">
      <c r="A369" s="4"/>
    </row>
    <row r="370" spans="1:1" x14ac:dyDescent="0.3">
      <c r="A370" s="4"/>
    </row>
    <row r="371" spans="1:1" x14ac:dyDescent="0.3">
      <c r="A371" s="4"/>
    </row>
    <row r="372" spans="1:1" x14ac:dyDescent="0.3">
      <c r="A372" s="4"/>
    </row>
    <row r="373" spans="1:1" x14ac:dyDescent="0.3">
      <c r="A373" s="4"/>
    </row>
    <row r="374" spans="1:1" x14ac:dyDescent="0.3">
      <c r="A374" s="4"/>
    </row>
    <row r="375" spans="1:1" x14ac:dyDescent="0.3">
      <c r="A375" s="4"/>
    </row>
    <row r="376" spans="1:1" x14ac:dyDescent="0.3">
      <c r="A376" s="4"/>
    </row>
    <row r="377" spans="1:1" x14ac:dyDescent="0.3">
      <c r="A377" s="4"/>
    </row>
    <row r="378" spans="1:1" x14ac:dyDescent="0.3">
      <c r="A378" s="4"/>
    </row>
    <row r="379" spans="1:1" x14ac:dyDescent="0.3">
      <c r="A379" s="4"/>
    </row>
    <row r="380" spans="1:1" x14ac:dyDescent="0.3">
      <c r="A380" s="4"/>
    </row>
    <row r="381" spans="1:1" x14ac:dyDescent="0.3">
      <c r="A381" s="4"/>
    </row>
    <row r="382" spans="1:1" x14ac:dyDescent="0.3">
      <c r="A382" s="4"/>
    </row>
    <row r="383" spans="1:1" x14ac:dyDescent="0.3">
      <c r="A383" s="4"/>
    </row>
    <row r="384" spans="1:1" x14ac:dyDescent="0.3">
      <c r="A384" s="4"/>
    </row>
    <row r="385" spans="1:1" x14ac:dyDescent="0.3">
      <c r="A385" s="4"/>
    </row>
    <row r="386" spans="1:1" x14ac:dyDescent="0.3">
      <c r="A386" s="4"/>
    </row>
    <row r="387" spans="1:1" x14ac:dyDescent="0.3">
      <c r="A387" s="4"/>
    </row>
    <row r="388" spans="1:1" x14ac:dyDescent="0.3">
      <c r="A388" s="4"/>
    </row>
    <row r="389" spans="1:1" x14ac:dyDescent="0.3">
      <c r="A389" s="4"/>
    </row>
    <row r="390" spans="1:1" x14ac:dyDescent="0.3">
      <c r="A390" s="4"/>
    </row>
    <row r="391" spans="1:1" x14ac:dyDescent="0.3">
      <c r="A391" s="4"/>
    </row>
    <row r="392" spans="1:1" x14ac:dyDescent="0.3">
      <c r="A392" s="4"/>
    </row>
    <row r="393" spans="1:1" x14ac:dyDescent="0.3">
      <c r="A393" s="4"/>
    </row>
    <row r="394" spans="1:1" x14ac:dyDescent="0.3">
      <c r="A394" s="4"/>
    </row>
    <row r="395" spans="1:1" x14ac:dyDescent="0.3">
      <c r="A395" s="4"/>
    </row>
    <row r="396" spans="1:1" x14ac:dyDescent="0.3">
      <c r="A396" s="4"/>
    </row>
    <row r="397" spans="1:1" x14ac:dyDescent="0.3">
      <c r="A397" s="4"/>
    </row>
    <row r="398" spans="1:1" x14ac:dyDescent="0.3">
      <c r="A398" s="4"/>
    </row>
    <row r="399" spans="1:1" x14ac:dyDescent="0.3">
      <c r="A399" s="4"/>
    </row>
    <row r="400" spans="1:1" x14ac:dyDescent="0.3">
      <c r="A400" s="4"/>
    </row>
    <row r="401" spans="1:1" x14ac:dyDescent="0.3">
      <c r="A401" s="4"/>
    </row>
    <row r="402" spans="1:1" x14ac:dyDescent="0.3">
      <c r="A402" s="4"/>
    </row>
    <row r="403" spans="1:1" x14ac:dyDescent="0.3">
      <c r="A403" s="4"/>
    </row>
    <row r="404" spans="1:1" x14ac:dyDescent="0.3">
      <c r="A404" s="4"/>
    </row>
    <row r="405" spans="1:1" x14ac:dyDescent="0.3">
      <c r="A405" s="4"/>
    </row>
    <row r="406" spans="1:1" x14ac:dyDescent="0.3">
      <c r="A406" s="4"/>
    </row>
    <row r="407" spans="1:1" x14ac:dyDescent="0.3">
      <c r="A407" s="4"/>
    </row>
    <row r="408" spans="1:1" x14ac:dyDescent="0.3">
      <c r="A408" s="4"/>
    </row>
    <row r="409" spans="1:1" x14ac:dyDescent="0.3">
      <c r="A409" s="4"/>
    </row>
    <row r="410" spans="1:1" x14ac:dyDescent="0.3">
      <c r="A410" s="4"/>
    </row>
    <row r="411" spans="1:1" x14ac:dyDescent="0.3">
      <c r="A411" s="4"/>
    </row>
    <row r="412" spans="1:1" x14ac:dyDescent="0.3">
      <c r="A412" s="4"/>
    </row>
    <row r="413" spans="1:1" x14ac:dyDescent="0.3">
      <c r="A413" s="4"/>
    </row>
    <row r="414" spans="1:1" x14ac:dyDescent="0.3">
      <c r="A414" s="4"/>
    </row>
    <row r="415" spans="1:1" x14ac:dyDescent="0.3">
      <c r="A415" s="4"/>
    </row>
    <row r="416" spans="1:1" x14ac:dyDescent="0.3">
      <c r="A416" s="4"/>
    </row>
    <row r="417" spans="1:1" x14ac:dyDescent="0.3">
      <c r="A417" s="4"/>
    </row>
    <row r="418" spans="1:1" x14ac:dyDescent="0.3">
      <c r="A418" s="4"/>
    </row>
    <row r="419" spans="1:1" x14ac:dyDescent="0.3">
      <c r="A419" s="4"/>
    </row>
    <row r="420" spans="1:1" x14ac:dyDescent="0.3">
      <c r="A420" s="4"/>
    </row>
    <row r="421" spans="1:1" x14ac:dyDescent="0.3">
      <c r="A421" s="4"/>
    </row>
    <row r="422" spans="1:1" x14ac:dyDescent="0.3">
      <c r="A422" s="4"/>
    </row>
    <row r="423" spans="1:1" x14ac:dyDescent="0.3">
      <c r="A423" s="4"/>
    </row>
    <row r="424" spans="1:1" x14ac:dyDescent="0.3">
      <c r="A424" s="4"/>
    </row>
    <row r="425" spans="1:1" x14ac:dyDescent="0.3">
      <c r="A425" s="4"/>
    </row>
    <row r="426" spans="1:1" x14ac:dyDescent="0.3">
      <c r="A426" s="4"/>
    </row>
    <row r="427" spans="1:1" x14ac:dyDescent="0.3">
      <c r="A427" s="4"/>
    </row>
    <row r="428" spans="1:1" x14ac:dyDescent="0.3">
      <c r="A428" s="4"/>
    </row>
    <row r="429" spans="1:1" x14ac:dyDescent="0.3">
      <c r="A429" s="4"/>
    </row>
    <row r="430" spans="1:1" x14ac:dyDescent="0.3">
      <c r="A430" s="4"/>
    </row>
    <row r="431" spans="1:1" x14ac:dyDescent="0.3">
      <c r="A431" s="4"/>
    </row>
    <row r="432" spans="1:1" x14ac:dyDescent="0.3">
      <c r="A432" s="4"/>
    </row>
    <row r="433" spans="1:1" x14ac:dyDescent="0.3">
      <c r="A433" s="4"/>
    </row>
    <row r="434" spans="1:1" x14ac:dyDescent="0.3">
      <c r="A434" s="4"/>
    </row>
    <row r="435" spans="1:1" x14ac:dyDescent="0.3">
      <c r="A435" s="4"/>
    </row>
    <row r="436" spans="1:1" x14ac:dyDescent="0.3">
      <c r="A436" s="4"/>
    </row>
    <row r="437" spans="1:1" x14ac:dyDescent="0.3">
      <c r="A437" s="4"/>
    </row>
    <row r="438" spans="1:1" x14ac:dyDescent="0.3">
      <c r="A438" s="4"/>
    </row>
    <row r="439" spans="1:1" x14ac:dyDescent="0.3">
      <c r="A439" s="4"/>
    </row>
    <row r="440" spans="1:1" x14ac:dyDescent="0.3">
      <c r="A440" s="4"/>
    </row>
    <row r="441" spans="1:1" x14ac:dyDescent="0.3">
      <c r="A441" s="4"/>
    </row>
    <row r="442" spans="1:1" x14ac:dyDescent="0.3">
      <c r="A442" s="4"/>
    </row>
    <row r="443" spans="1:1" x14ac:dyDescent="0.3">
      <c r="A443" s="4"/>
    </row>
    <row r="444" spans="1:1" x14ac:dyDescent="0.3">
      <c r="A444" s="4"/>
    </row>
    <row r="445" spans="1:1" x14ac:dyDescent="0.3">
      <c r="A445" s="4"/>
    </row>
    <row r="446" spans="1:1" x14ac:dyDescent="0.3">
      <c r="A446" s="4"/>
    </row>
    <row r="447" spans="1:1" x14ac:dyDescent="0.3">
      <c r="A447" s="4"/>
    </row>
    <row r="448" spans="1:1" x14ac:dyDescent="0.3">
      <c r="A448" s="4"/>
    </row>
    <row r="449" spans="1:1" x14ac:dyDescent="0.3">
      <c r="A449" s="4"/>
    </row>
    <row r="450" spans="1:1" x14ac:dyDescent="0.3">
      <c r="A450" s="4"/>
    </row>
    <row r="451" spans="1:1" x14ac:dyDescent="0.3">
      <c r="A451" s="4"/>
    </row>
    <row r="452" spans="1:1" x14ac:dyDescent="0.3">
      <c r="A452" s="4"/>
    </row>
    <row r="453" spans="1:1" x14ac:dyDescent="0.3">
      <c r="A453" s="4"/>
    </row>
    <row r="454" spans="1:1" x14ac:dyDescent="0.3">
      <c r="A454" s="4"/>
    </row>
    <row r="455" spans="1:1" x14ac:dyDescent="0.3">
      <c r="A455" s="4"/>
    </row>
    <row r="456" spans="1:1" x14ac:dyDescent="0.3">
      <c r="A456" s="4"/>
    </row>
    <row r="457" spans="1:1" x14ac:dyDescent="0.3">
      <c r="A457" s="4"/>
    </row>
    <row r="458" spans="1:1" x14ac:dyDescent="0.3">
      <c r="A458" s="4"/>
    </row>
    <row r="459" spans="1:1" x14ac:dyDescent="0.3">
      <c r="A459" s="4"/>
    </row>
    <row r="460" spans="1:1" x14ac:dyDescent="0.3">
      <c r="A460" s="4"/>
    </row>
    <row r="461" spans="1:1" x14ac:dyDescent="0.3">
      <c r="A461" s="4"/>
    </row>
    <row r="462" spans="1:1" x14ac:dyDescent="0.3">
      <c r="A462" s="4"/>
    </row>
    <row r="463" spans="1:1" x14ac:dyDescent="0.3">
      <c r="A463" s="4"/>
    </row>
    <row r="464" spans="1:1" x14ac:dyDescent="0.3">
      <c r="A464" s="4"/>
    </row>
    <row r="465" spans="1:1" x14ac:dyDescent="0.3">
      <c r="A465" s="4"/>
    </row>
    <row r="466" spans="1:1" x14ac:dyDescent="0.3">
      <c r="A466" s="4"/>
    </row>
    <row r="467" spans="1:1" x14ac:dyDescent="0.3">
      <c r="A467" s="4"/>
    </row>
    <row r="468" spans="1:1" x14ac:dyDescent="0.3">
      <c r="A468" s="4"/>
    </row>
    <row r="469" spans="1:1" x14ac:dyDescent="0.3">
      <c r="A469" s="4"/>
    </row>
    <row r="470" spans="1:1" x14ac:dyDescent="0.3">
      <c r="A470" s="4"/>
    </row>
    <row r="471" spans="1:1" x14ac:dyDescent="0.3">
      <c r="A471" s="4"/>
    </row>
    <row r="472" spans="1:1" x14ac:dyDescent="0.3">
      <c r="A472" s="4"/>
    </row>
    <row r="473" spans="1:1" x14ac:dyDescent="0.3">
      <c r="A473" s="4"/>
    </row>
    <row r="474" spans="1:1" x14ac:dyDescent="0.3">
      <c r="A474" s="4"/>
    </row>
    <row r="475" spans="1:1" x14ac:dyDescent="0.3">
      <c r="A475" s="4"/>
    </row>
    <row r="476" spans="1:1" x14ac:dyDescent="0.3">
      <c r="A476" s="4"/>
    </row>
    <row r="477" spans="1:1" x14ac:dyDescent="0.3">
      <c r="A477" s="4"/>
    </row>
    <row r="478" spans="1:1" x14ac:dyDescent="0.3">
      <c r="A478" s="4"/>
    </row>
    <row r="479" spans="1:1" x14ac:dyDescent="0.3">
      <c r="A479" s="4"/>
    </row>
    <row r="480" spans="1:1" x14ac:dyDescent="0.3">
      <c r="A480" s="4"/>
    </row>
    <row r="481" spans="1:1" x14ac:dyDescent="0.3">
      <c r="A481" s="4"/>
    </row>
    <row r="482" spans="1:1" x14ac:dyDescent="0.3">
      <c r="A482" s="4"/>
    </row>
    <row r="483" spans="1:1" x14ac:dyDescent="0.3">
      <c r="A483" s="4"/>
    </row>
    <row r="484" spans="1:1" x14ac:dyDescent="0.3">
      <c r="A484" s="4"/>
    </row>
    <row r="485" spans="1:1" x14ac:dyDescent="0.3">
      <c r="A485" s="4"/>
    </row>
    <row r="486" spans="1:1" x14ac:dyDescent="0.3">
      <c r="A486" s="4"/>
    </row>
    <row r="487" spans="1:1" x14ac:dyDescent="0.3">
      <c r="A487" s="4"/>
    </row>
    <row r="488" spans="1:1" x14ac:dyDescent="0.3">
      <c r="A488" s="4"/>
    </row>
    <row r="489" spans="1:1" x14ac:dyDescent="0.3">
      <c r="A489" s="4"/>
    </row>
    <row r="490" spans="1:1" x14ac:dyDescent="0.3">
      <c r="A490" s="4"/>
    </row>
    <row r="491" spans="1:1" x14ac:dyDescent="0.3">
      <c r="A491" s="4"/>
    </row>
    <row r="492" spans="1:1" x14ac:dyDescent="0.3">
      <c r="A492" s="4"/>
    </row>
    <row r="493" spans="1:1" x14ac:dyDescent="0.3">
      <c r="A493" s="4"/>
    </row>
    <row r="494" spans="1:1" x14ac:dyDescent="0.3">
      <c r="A494" s="4"/>
    </row>
    <row r="495" spans="1:1" x14ac:dyDescent="0.3">
      <c r="A495" s="4"/>
    </row>
    <row r="496" spans="1:1" x14ac:dyDescent="0.3">
      <c r="A496" s="4"/>
    </row>
    <row r="497" spans="1:1" x14ac:dyDescent="0.3">
      <c r="A497" s="4"/>
    </row>
    <row r="498" spans="1:1" x14ac:dyDescent="0.3">
      <c r="A498" s="4"/>
    </row>
    <row r="499" spans="1:1" x14ac:dyDescent="0.3">
      <c r="A499" s="4"/>
    </row>
    <row r="500" spans="1:1" x14ac:dyDescent="0.3">
      <c r="A500" s="4"/>
    </row>
    <row r="501" spans="1:1" x14ac:dyDescent="0.3">
      <c r="A501" s="4"/>
    </row>
    <row r="502" spans="1:1" x14ac:dyDescent="0.3">
      <c r="A502" s="4"/>
    </row>
    <row r="503" spans="1:1" x14ac:dyDescent="0.3">
      <c r="A503" s="4"/>
    </row>
    <row r="504" spans="1:1" x14ac:dyDescent="0.3">
      <c r="A504" s="4"/>
    </row>
    <row r="505" spans="1:1" x14ac:dyDescent="0.3">
      <c r="A505" s="4"/>
    </row>
    <row r="506" spans="1:1" x14ac:dyDescent="0.3">
      <c r="A506" s="4"/>
    </row>
    <row r="507" spans="1:1" x14ac:dyDescent="0.3">
      <c r="A507" s="4"/>
    </row>
    <row r="508" spans="1:1" x14ac:dyDescent="0.3">
      <c r="A508" s="4"/>
    </row>
    <row r="509" spans="1:1" x14ac:dyDescent="0.3">
      <c r="A509" s="4"/>
    </row>
    <row r="510" spans="1:1" x14ac:dyDescent="0.3">
      <c r="A510" s="4"/>
    </row>
    <row r="511" spans="1:1" x14ac:dyDescent="0.3">
      <c r="A511" s="4"/>
    </row>
    <row r="512" spans="1:1" x14ac:dyDescent="0.3">
      <c r="A512" s="4"/>
    </row>
    <row r="513" spans="1:1" x14ac:dyDescent="0.3">
      <c r="A513" s="4"/>
    </row>
    <row r="514" spans="1:1" x14ac:dyDescent="0.3">
      <c r="A514" s="4"/>
    </row>
    <row r="515" spans="1:1" x14ac:dyDescent="0.3">
      <c r="A515" s="4"/>
    </row>
    <row r="516" spans="1:1" x14ac:dyDescent="0.3">
      <c r="A516" s="4"/>
    </row>
    <row r="517" spans="1:1" x14ac:dyDescent="0.3">
      <c r="A517" s="4"/>
    </row>
    <row r="518" spans="1:1" x14ac:dyDescent="0.3">
      <c r="A518" s="4"/>
    </row>
    <row r="519" spans="1:1" x14ac:dyDescent="0.3">
      <c r="A519" s="4"/>
    </row>
    <row r="520" spans="1:1" x14ac:dyDescent="0.3">
      <c r="A520" s="4"/>
    </row>
    <row r="521" spans="1:1" x14ac:dyDescent="0.3">
      <c r="A521" s="4"/>
    </row>
    <row r="522" spans="1:1" x14ac:dyDescent="0.3">
      <c r="A522" s="4"/>
    </row>
    <row r="523" spans="1:1" x14ac:dyDescent="0.3">
      <c r="A523" s="4"/>
    </row>
    <row r="524" spans="1:1" x14ac:dyDescent="0.3">
      <c r="A524" s="4"/>
    </row>
    <row r="525" spans="1:1" x14ac:dyDescent="0.3">
      <c r="A525" s="4"/>
    </row>
    <row r="526" spans="1:1" x14ac:dyDescent="0.3">
      <c r="A526" s="4"/>
    </row>
    <row r="527" spans="1:1" x14ac:dyDescent="0.3">
      <c r="A527" s="4"/>
    </row>
    <row r="528" spans="1:1" x14ac:dyDescent="0.3">
      <c r="A528" s="4"/>
    </row>
    <row r="529" spans="1:1" x14ac:dyDescent="0.3">
      <c r="A529" s="4"/>
    </row>
    <row r="530" spans="1:1" x14ac:dyDescent="0.3">
      <c r="A530" s="4"/>
    </row>
    <row r="531" spans="1:1" x14ac:dyDescent="0.3">
      <c r="A531" s="4"/>
    </row>
    <row r="532" spans="1:1" x14ac:dyDescent="0.3">
      <c r="A532" s="4"/>
    </row>
    <row r="533" spans="1:1" x14ac:dyDescent="0.3">
      <c r="A533" s="4"/>
    </row>
    <row r="534" spans="1:1" x14ac:dyDescent="0.3">
      <c r="A534" s="4"/>
    </row>
    <row r="535" spans="1:1" x14ac:dyDescent="0.3">
      <c r="A535" s="4"/>
    </row>
    <row r="536" spans="1:1" x14ac:dyDescent="0.3">
      <c r="A536" s="4"/>
    </row>
    <row r="537" spans="1:1" x14ac:dyDescent="0.3">
      <c r="A537" s="4"/>
    </row>
    <row r="538" spans="1:1" x14ac:dyDescent="0.3">
      <c r="A538" s="4"/>
    </row>
    <row r="539" spans="1:1" x14ac:dyDescent="0.3">
      <c r="A539" s="4"/>
    </row>
    <row r="540" spans="1:1" x14ac:dyDescent="0.3">
      <c r="A540" s="4"/>
    </row>
    <row r="541" spans="1:1" x14ac:dyDescent="0.3">
      <c r="A541" s="4"/>
    </row>
    <row r="542" spans="1:1" x14ac:dyDescent="0.3">
      <c r="A542" s="4"/>
    </row>
    <row r="543" spans="1:1" x14ac:dyDescent="0.3">
      <c r="A543" s="4"/>
    </row>
    <row r="544" spans="1:1" x14ac:dyDescent="0.3">
      <c r="A544" s="4"/>
    </row>
    <row r="545" spans="1:1" x14ac:dyDescent="0.3">
      <c r="A545" s="4"/>
    </row>
    <row r="546" spans="1:1" x14ac:dyDescent="0.3">
      <c r="A546" s="4"/>
    </row>
    <row r="547" spans="1:1" x14ac:dyDescent="0.3">
      <c r="A547" s="4"/>
    </row>
    <row r="548" spans="1:1" x14ac:dyDescent="0.3">
      <c r="A548" s="4"/>
    </row>
    <row r="549" spans="1:1" x14ac:dyDescent="0.3">
      <c r="A549" s="4"/>
    </row>
    <row r="550" spans="1:1" x14ac:dyDescent="0.3">
      <c r="A550" s="4"/>
    </row>
    <row r="551" spans="1:1" x14ac:dyDescent="0.3">
      <c r="A551" s="4"/>
    </row>
    <row r="552" spans="1:1" x14ac:dyDescent="0.3">
      <c r="A552" s="4"/>
    </row>
    <row r="553" spans="1:1" x14ac:dyDescent="0.3">
      <c r="A553" s="4"/>
    </row>
    <row r="554" spans="1:1" x14ac:dyDescent="0.3">
      <c r="A554" s="4"/>
    </row>
    <row r="555" spans="1:1" x14ac:dyDescent="0.3">
      <c r="A555" s="4"/>
    </row>
    <row r="556" spans="1:1" x14ac:dyDescent="0.3">
      <c r="A556" s="4"/>
    </row>
    <row r="557" spans="1:1" x14ac:dyDescent="0.3">
      <c r="A557" s="4"/>
    </row>
    <row r="558" spans="1:1" x14ac:dyDescent="0.3">
      <c r="A558" s="4"/>
    </row>
    <row r="559" spans="1:1" x14ac:dyDescent="0.3">
      <c r="A559" s="4"/>
    </row>
    <row r="560" spans="1:1" x14ac:dyDescent="0.3">
      <c r="A560" s="4"/>
    </row>
    <row r="561" spans="1:1" x14ac:dyDescent="0.3">
      <c r="A561" s="4"/>
    </row>
    <row r="562" spans="1:1" x14ac:dyDescent="0.3">
      <c r="A562" s="4"/>
    </row>
    <row r="563" spans="1:1" x14ac:dyDescent="0.3">
      <c r="A563" s="4"/>
    </row>
    <row r="564" spans="1:1" x14ac:dyDescent="0.3">
      <c r="A564" s="4"/>
    </row>
    <row r="565" spans="1:1" x14ac:dyDescent="0.3">
      <c r="A565" s="4"/>
    </row>
    <row r="566" spans="1:1" x14ac:dyDescent="0.3">
      <c r="A566" s="4"/>
    </row>
    <row r="567" spans="1:1" x14ac:dyDescent="0.3">
      <c r="A567" s="4"/>
    </row>
    <row r="568" spans="1:1" x14ac:dyDescent="0.3">
      <c r="A568" s="4"/>
    </row>
    <row r="569" spans="1:1" x14ac:dyDescent="0.3">
      <c r="A569" s="4"/>
    </row>
    <row r="570" spans="1:1" x14ac:dyDescent="0.3">
      <c r="A570" s="4"/>
    </row>
    <row r="571" spans="1:1" x14ac:dyDescent="0.3">
      <c r="A571" s="4"/>
    </row>
    <row r="572" spans="1:1" x14ac:dyDescent="0.3">
      <c r="A572" s="4"/>
    </row>
    <row r="573" spans="1:1" x14ac:dyDescent="0.3">
      <c r="A573" s="4"/>
    </row>
    <row r="574" spans="1:1" x14ac:dyDescent="0.3">
      <c r="A574" s="4"/>
    </row>
    <row r="575" spans="1:1" x14ac:dyDescent="0.3">
      <c r="A575" s="4"/>
    </row>
    <row r="576" spans="1:1" x14ac:dyDescent="0.3">
      <c r="A576" s="4"/>
    </row>
    <row r="577" spans="1:1" x14ac:dyDescent="0.3">
      <c r="A577" s="4"/>
    </row>
    <row r="578" spans="1:1" x14ac:dyDescent="0.3">
      <c r="A578" s="4"/>
    </row>
    <row r="579" spans="1:1" x14ac:dyDescent="0.3">
      <c r="A579" s="4"/>
    </row>
    <row r="580" spans="1:1" x14ac:dyDescent="0.3">
      <c r="A580" s="4"/>
    </row>
    <row r="581" spans="1:1" x14ac:dyDescent="0.3">
      <c r="A581" s="4"/>
    </row>
    <row r="582" spans="1:1" x14ac:dyDescent="0.3">
      <c r="A582" s="4"/>
    </row>
    <row r="583" spans="1:1" x14ac:dyDescent="0.3">
      <c r="A583" s="4"/>
    </row>
    <row r="584" spans="1:1" x14ac:dyDescent="0.3">
      <c r="A584" s="4"/>
    </row>
    <row r="585" spans="1:1" x14ac:dyDescent="0.3">
      <c r="A585" s="4"/>
    </row>
    <row r="586" spans="1:1" x14ac:dyDescent="0.3">
      <c r="A586" s="4"/>
    </row>
    <row r="587" spans="1:1" x14ac:dyDescent="0.3">
      <c r="A587" s="4"/>
    </row>
    <row r="588" spans="1:1" x14ac:dyDescent="0.3">
      <c r="A588" s="4"/>
    </row>
    <row r="589" spans="1:1" x14ac:dyDescent="0.3">
      <c r="A589" s="4"/>
    </row>
    <row r="590" spans="1:1" x14ac:dyDescent="0.3">
      <c r="A590" s="4"/>
    </row>
    <row r="591" spans="1:1" x14ac:dyDescent="0.3">
      <c r="A591" s="4"/>
    </row>
    <row r="592" spans="1:1" x14ac:dyDescent="0.3">
      <c r="A592" s="4"/>
    </row>
    <row r="593" spans="1:1" x14ac:dyDescent="0.3">
      <c r="A593" s="4"/>
    </row>
    <row r="594" spans="1:1" x14ac:dyDescent="0.3">
      <c r="A594" s="4"/>
    </row>
    <row r="595" spans="1:1" x14ac:dyDescent="0.3">
      <c r="A595" s="4"/>
    </row>
    <row r="596" spans="1:1" x14ac:dyDescent="0.3">
      <c r="A596" s="4"/>
    </row>
    <row r="597" spans="1:1" x14ac:dyDescent="0.3">
      <c r="A597" s="4"/>
    </row>
    <row r="598" spans="1:1" x14ac:dyDescent="0.3">
      <c r="A598" s="4"/>
    </row>
    <row r="599" spans="1:1" x14ac:dyDescent="0.3">
      <c r="A599" s="4"/>
    </row>
    <row r="600" spans="1:1" x14ac:dyDescent="0.3">
      <c r="A600" s="4"/>
    </row>
    <row r="601" spans="1:1" x14ac:dyDescent="0.3">
      <c r="A601" s="4"/>
    </row>
    <row r="602" spans="1:1" x14ac:dyDescent="0.3">
      <c r="A602" s="4"/>
    </row>
    <row r="603" spans="1:1" x14ac:dyDescent="0.3">
      <c r="A603" s="4"/>
    </row>
    <row r="604" spans="1:1" x14ac:dyDescent="0.3">
      <c r="A604" s="4"/>
    </row>
    <row r="605" spans="1:1" x14ac:dyDescent="0.3">
      <c r="A605" s="4"/>
    </row>
    <row r="606" spans="1:1" x14ac:dyDescent="0.3">
      <c r="A606" s="4"/>
    </row>
    <row r="607" spans="1:1" x14ac:dyDescent="0.3">
      <c r="A607" s="4"/>
    </row>
    <row r="608" spans="1:1" x14ac:dyDescent="0.3">
      <c r="A608" s="4"/>
    </row>
    <row r="609" spans="1:1" x14ac:dyDescent="0.3">
      <c r="A609" s="4"/>
    </row>
    <row r="610" spans="1:1" x14ac:dyDescent="0.3">
      <c r="A610" s="4"/>
    </row>
    <row r="611" spans="1:1" x14ac:dyDescent="0.3">
      <c r="A611" s="4"/>
    </row>
    <row r="612" spans="1:1" x14ac:dyDescent="0.3">
      <c r="A612" s="4"/>
    </row>
    <row r="613" spans="1:1" x14ac:dyDescent="0.3">
      <c r="A613" s="4"/>
    </row>
    <row r="614" spans="1:1" x14ac:dyDescent="0.3">
      <c r="A614" s="4"/>
    </row>
    <row r="615" spans="1:1" x14ac:dyDescent="0.3">
      <c r="A615" s="4"/>
    </row>
    <row r="616" spans="1:1" x14ac:dyDescent="0.3">
      <c r="A616" s="4"/>
    </row>
    <row r="617" spans="1:1" x14ac:dyDescent="0.3">
      <c r="A617" s="4"/>
    </row>
    <row r="618" spans="1:1" x14ac:dyDescent="0.3">
      <c r="A618" s="4"/>
    </row>
    <row r="619" spans="1:1" x14ac:dyDescent="0.3">
      <c r="A619" s="4"/>
    </row>
    <row r="620" spans="1:1" x14ac:dyDescent="0.3">
      <c r="A620" s="4"/>
    </row>
    <row r="621" spans="1:1" x14ac:dyDescent="0.3">
      <c r="A621" s="4"/>
    </row>
    <row r="622" spans="1:1" x14ac:dyDescent="0.3">
      <c r="A622" s="4"/>
    </row>
    <row r="623" spans="1:1" x14ac:dyDescent="0.3">
      <c r="A623" s="4"/>
    </row>
    <row r="624" spans="1:1" x14ac:dyDescent="0.3">
      <c r="A624" s="4"/>
    </row>
    <row r="625" spans="1:1" x14ac:dyDescent="0.3">
      <c r="A625" s="4"/>
    </row>
    <row r="626" spans="1:1" x14ac:dyDescent="0.3">
      <c r="A626" s="4"/>
    </row>
    <row r="627" spans="1:1" x14ac:dyDescent="0.3">
      <c r="A627" s="4"/>
    </row>
    <row r="628" spans="1:1" x14ac:dyDescent="0.3">
      <c r="A628" s="4"/>
    </row>
    <row r="629" spans="1:1" x14ac:dyDescent="0.3">
      <c r="A629" s="4"/>
    </row>
    <row r="630" spans="1:1" x14ac:dyDescent="0.3">
      <c r="A630" s="4"/>
    </row>
    <row r="631" spans="1:1" x14ac:dyDescent="0.3">
      <c r="A631" s="4"/>
    </row>
    <row r="632" spans="1:1" x14ac:dyDescent="0.3">
      <c r="A632" s="4"/>
    </row>
    <row r="633" spans="1:1" x14ac:dyDescent="0.3">
      <c r="A633" s="4"/>
    </row>
    <row r="634" spans="1:1" x14ac:dyDescent="0.3">
      <c r="A634" s="4"/>
    </row>
    <row r="635" spans="1:1" x14ac:dyDescent="0.3">
      <c r="A635" s="4"/>
    </row>
    <row r="636" spans="1:1" x14ac:dyDescent="0.3">
      <c r="A636" s="4"/>
    </row>
    <row r="637" spans="1:1" x14ac:dyDescent="0.3">
      <c r="A637" s="4"/>
    </row>
    <row r="638" spans="1:1" x14ac:dyDescent="0.3">
      <c r="A638" s="4"/>
    </row>
    <row r="639" spans="1:1" x14ac:dyDescent="0.3">
      <c r="A639" s="4"/>
    </row>
    <row r="640" spans="1:1" x14ac:dyDescent="0.3">
      <c r="A640" s="4"/>
    </row>
    <row r="641" spans="1:1" x14ac:dyDescent="0.3">
      <c r="A641" s="4"/>
    </row>
    <row r="642" spans="1:1" x14ac:dyDescent="0.3">
      <c r="A642" s="4"/>
    </row>
    <row r="643" spans="1:1" x14ac:dyDescent="0.3">
      <c r="A643" s="4"/>
    </row>
    <row r="644" spans="1:1" x14ac:dyDescent="0.3">
      <c r="A644" s="4"/>
    </row>
    <row r="645" spans="1:1" x14ac:dyDescent="0.3">
      <c r="A645" s="4"/>
    </row>
    <row r="646" spans="1:1" x14ac:dyDescent="0.3">
      <c r="A646" s="4"/>
    </row>
    <row r="647" spans="1:1" x14ac:dyDescent="0.3">
      <c r="A647" s="4"/>
    </row>
    <row r="648" spans="1:1" x14ac:dyDescent="0.3">
      <c r="A648" s="4"/>
    </row>
    <row r="649" spans="1:1" x14ac:dyDescent="0.3">
      <c r="A649" s="4"/>
    </row>
    <row r="650" spans="1:1" x14ac:dyDescent="0.3">
      <c r="A650" s="4"/>
    </row>
    <row r="651" spans="1:1" x14ac:dyDescent="0.3">
      <c r="A651" s="4"/>
    </row>
    <row r="652" spans="1:1" x14ac:dyDescent="0.3">
      <c r="A652" s="4"/>
    </row>
    <row r="653" spans="1:1" x14ac:dyDescent="0.3">
      <c r="A653" s="4"/>
    </row>
    <row r="654" spans="1:1" x14ac:dyDescent="0.3">
      <c r="A654" s="4"/>
    </row>
    <row r="655" spans="1:1" x14ac:dyDescent="0.3">
      <c r="A655" s="4"/>
    </row>
    <row r="656" spans="1:1" x14ac:dyDescent="0.3">
      <c r="A656" s="4"/>
    </row>
    <row r="657" spans="1:1" x14ac:dyDescent="0.3">
      <c r="A657" s="4"/>
    </row>
    <row r="658" spans="1:1" x14ac:dyDescent="0.3">
      <c r="A658" s="4"/>
    </row>
    <row r="659" spans="1:1" x14ac:dyDescent="0.3">
      <c r="A659" s="4"/>
    </row>
    <row r="660" spans="1:1" x14ac:dyDescent="0.3">
      <c r="A660" s="4"/>
    </row>
    <row r="661" spans="1:1" x14ac:dyDescent="0.3">
      <c r="A661" s="4"/>
    </row>
    <row r="662" spans="1:1" x14ac:dyDescent="0.3">
      <c r="A662" s="4"/>
    </row>
    <row r="663" spans="1:1" x14ac:dyDescent="0.3">
      <c r="A663" s="4"/>
    </row>
    <row r="664" spans="1:1" x14ac:dyDescent="0.3">
      <c r="A664" s="4"/>
    </row>
    <row r="665" spans="1:1" x14ac:dyDescent="0.3">
      <c r="A665" s="4"/>
    </row>
    <row r="666" spans="1:1" x14ac:dyDescent="0.3">
      <c r="A666" s="4"/>
    </row>
    <row r="667" spans="1:1" x14ac:dyDescent="0.3">
      <c r="A667" s="4"/>
    </row>
    <row r="668" spans="1:1" x14ac:dyDescent="0.3">
      <c r="A668" s="4"/>
    </row>
    <row r="669" spans="1:1" x14ac:dyDescent="0.3">
      <c r="A669" s="4"/>
    </row>
    <row r="670" spans="1:1" x14ac:dyDescent="0.3">
      <c r="A670" s="4"/>
    </row>
    <row r="671" spans="1:1" x14ac:dyDescent="0.3">
      <c r="A671" s="4"/>
    </row>
    <row r="672" spans="1:1" x14ac:dyDescent="0.3">
      <c r="A672" s="4"/>
    </row>
    <row r="673" spans="1:1" x14ac:dyDescent="0.3">
      <c r="A673" s="4"/>
    </row>
    <row r="674" spans="1:1" x14ac:dyDescent="0.3">
      <c r="A674" s="4"/>
    </row>
    <row r="675" spans="1:1" x14ac:dyDescent="0.3">
      <c r="A675" s="4"/>
    </row>
    <row r="676" spans="1:1" x14ac:dyDescent="0.3">
      <c r="A676" s="4"/>
    </row>
    <row r="677" spans="1:1" x14ac:dyDescent="0.3">
      <c r="A677" s="4"/>
    </row>
    <row r="678" spans="1:1" x14ac:dyDescent="0.3">
      <c r="A678" s="4"/>
    </row>
    <row r="679" spans="1:1" x14ac:dyDescent="0.3">
      <c r="A679" s="4"/>
    </row>
    <row r="682" spans="1:1" x14ac:dyDescent="0.3">
      <c r="A682" s="4"/>
    </row>
    <row r="685" spans="1:1" x14ac:dyDescent="0.3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"/>
  <sheetViews>
    <sheetView tabSelected="1" workbookViewId="0">
      <selection activeCell="G16" sqref="G16"/>
    </sheetView>
  </sheetViews>
  <sheetFormatPr defaultRowHeight="15.6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342900</xdr:colOff>
                    <xdr:row>2</xdr:row>
                    <xdr:rowOff>15240</xdr:rowOff>
                  </from>
                  <to>
                    <xdr:col>5</xdr:col>
                    <xdr:colOff>327660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 filterMode="1"/>
  <dimension ref="C2:H85"/>
  <sheetViews>
    <sheetView topLeftCell="A53" workbookViewId="0">
      <selection activeCell="H72" sqref="H72"/>
    </sheetView>
  </sheetViews>
  <sheetFormatPr defaultRowHeight="15.6" x14ac:dyDescent="0.3"/>
  <sheetData>
    <row r="2" spans="3:8" x14ac:dyDescent="0.3">
      <c r="F2" t="s">
        <v>423</v>
      </c>
    </row>
    <row r="3" spans="3:8" x14ac:dyDescent="0.3">
      <c r="C3" s="74">
        <v>29</v>
      </c>
      <c r="D3" s="74">
        <v>28</v>
      </c>
      <c r="E3" s="74">
        <f t="shared" ref="E3" si="0">IF(((C3="")*AND(D3="")),"",(D3-C3))</f>
        <v>-1</v>
      </c>
      <c r="F3" s="74">
        <v>-1</v>
      </c>
      <c r="H3" s="74">
        <v>-1</v>
      </c>
    </row>
    <row r="4" spans="3:8" x14ac:dyDescent="0.3">
      <c r="C4" s="74">
        <v>18</v>
      </c>
      <c r="D4" s="74">
        <v>34</v>
      </c>
      <c r="E4" s="74">
        <f>IF(((C4="")*AND(D4="")),"",(D4-C4))</f>
        <v>16</v>
      </c>
      <c r="F4" s="74">
        <v>16</v>
      </c>
      <c r="H4" s="74">
        <v>16</v>
      </c>
    </row>
    <row r="5" spans="3:8" x14ac:dyDescent="0.3">
      <c r="C5" s="74">
        <v>12</v>
      </c>
      <c r="D5" s="74">
        <v>50</v>
      </c>
      <c r="E5" s="74">
        <f t="shared" ref="E5:E66" si="1">IF(((C5="")*AND(D5="")),"",(D5-C5))</f>
        <v>38</v>
      </c>
      <c r="F5" s="74">
        <v>16</v>
      </c>
      <c r="H5" s="74">
        <v>16</v>
      </c>
    </row>
    <row r="6" spans="3:8" x14ac:dyDescent="0.3">
      <c r="C6" s="74">
        <v>11</v>
      </c>
      <c r="D6" s="74">
        <v>27</v>
      </c>
      <c r="E6" s="74">
        <f t="shared" si="1"/>
        <v>16</v>
      </c>
      <c r="F6" s="74">
        <v>10</v>
      </c>
      <c r="H6" s="74">
        <v>10</v>
      </c>
    </row>
    <row r="7" spans="3:8" x14ac:dyDescent="0.3">
      <c r="C7" s="74">
        <v>12</v>
      </c>
      <c r="D7" s="74">
        <v>22</v>
      </c>
      <c r="E7" s="74">
        <f t="shared" si="1"/>
        <v>10</v>
      </c>
      <c r="F7" s="74">
        <v>3</v>
      </c>
      <c r="H7" s="74">
        <v>3</v>
      </c>
    </row>
    <row r="8" spans="3:8" x14ac:dyDescent="0.3">
      <c r="C8" s="74">
        <v>9</v>
      </c>
      <c r="D8" s="74">
        <v>12</v>
      </c>
      <c r="E8" s="74">
        <f t="shared" si="1"/>
        <v>3</v>
      </c>
      <c r="F8" s="74">
        <v>6</v>
      </c>
      <c r="H8" s="74">
        <v>6</v>
      </c>
    </row>
    <row r="9" spans="3:8" x14ac:dyDescent="0.3">
      <c r="C9" s="74">
        <v>34</v>
      </c>
      <c r="D9" s="74">
        <v>40</v>
      </c>
      <c r="E9" s="74">
        <f t="shared" si="1"/>
        <v>6</v>
      </c>
      <c r="F9" s="74">
        <v>10</v>
      </c>
      <c r="H9" s="74">
        <v>10</v>
      </c>
    </row>
    <row r="10" spans="3:8" x14ac:dyDescent="0.3">
      <c r="C10" s="74">
        <v>38</v>
      </c>
      <c r="D10" s="74">
        <v>48</v>
      </c>
      <c r="E10" s="74">
        <f t="shared" si="1"/>
        <v>10</v>
      </c>
      <c r="F10" s="74">
        <v>19</v>
      </c>
      <c r="H10" s="74">
        <v>19</v>
      </c>
    </row>
    <row r="11" spans="3:8" x14ac:dyDescent="0.3">
      <c r="C11" s="74">
        <v>33</v>
      </c>
      <c r="D11" s="74">
        <v>52</v>
      </c>
      <c r="E11" s="74">
        <f t="shared" si="1"/>
        <v>19</v>
      </c>
      <c r="F11" s="74">
        <v>9</v>
      </c>
      <c r="H11" s="74">
        <v>9</v>
      </c>
    </row>
    <row r="12" spans="3:8" x14ac:dyDescent="0.3">
      <c r="C12" s="74">
        <v>24</v>
      </c>
      <c r="D12" s="74">
        <v>55</v>
      </c>
      <c r="E12" s="74">
        <f t="shared" si="1"/>
        <v>31</v>
      </c>
      <c r="F12" s="74">
        <v>10</v>
      </c>
      <c r="H12" s="74">
        <v>10</v>
      </c>
    </row>
    <row r="13" spans="3:8" x14ac:dyDescent="0.3">
      <c r="C13" s="74">
        <v>23</v>
      </c>
      <c r="D13" s="74">
        <v>32</v>
      </c>
      <c r="E13" s="74">
        <f t="shared" si="1"/>
        <v>9</v>
      </c>
      <c r="F13" s="74">
        <v>30</v>
      </c>
      <c r="H13" s="74">
        <v>30</v>
      </c>
    </row>
    <row r="14" spans="3:8" x14ac:dyDescent="0.3">
      <c r="C14" s="74">
        <v>14</v>
      </c>
      <c r="D14" s="74">
        <v>24</v>
      </c>
      <c r="E14" s="74">
        <f t="shared" si="1"/>
        <v>10</v>
      </c>
      <c r="F14" s="74">
        <v>16</v>
      </c>
      <c r="H14" s="74">
        <v>16</v>
      </c>
    </row>
    <row r="15" spans="3:8" hidden="1" x14ac:dyDescent="0.3">
      <c r="C15" s="74">
        <v>27</v>
      </c>
      <c r="D15" s="74">
        <v>57</v>
      </c>
      <c r="E15" s="74">
        <f t="shared" si="1"/>
        <v>30</v>
      </c>
      <c r="F15" s="74">
        <v>-9</v>
      </c>
      <c r="H15" s="74">
        <v>-4</v>
      </c>
    </row>
    <row r="16" spans="3:8" x14ac:dyDescent="0.3">
      <c r="C16" s="74">
        <v>37</v>
      </c>
      <c r="D16" s="74">
        <v>53</v>
      </c>
      <c r="E16" s="74">
        <f t="shared" si="1"/>
        <v>16</v>
      </c>
      <c r="F16" s="74">
        <v>-4</v>
      </c>
      <c r="H16" s="74">
        <v>10</v>
      </c>
    </row>
    <row r="17" spans="3:8" x14ac:dyDescent="0.3">
      <c r="C17" s="74">
        <v>50</v>
      </c>
      <c r="D17" s="74">
        <v>41</v>
      </c>
      <c r="E17" s="74">
        <f t="shared" si="1"/>
        <v>-9</v>
      </c>
      <c r="F17" s="74">
        <v>10</v>
      </c>
      <c r="H17" s="74">
        <v>7</v>
      </c>
    </row>
    <row r="18" spans="3:8" x14ac:dyDescent="0.3">
      <c r="C18" s="74">
        <v>29</v>
      </c>
      <c r="D18" s="74">
        <v>25</v>
      </c>
      <c r="E18" s="74">
        <f t="shared" si="1"/>
        <v>-4</v>
      </c>
      <c r="F18" s="74">
        <v>7</v>
      </c>
      <c r="H18" s="74">
        <v>5</v>
      </c>
    </row>
    <row r="19" spans="3:8" x14ac:dyDescent="0.3">
      <c r="C19" s="74">
        <v>25</v>
      </c>
      <c r="D19" s="74">
        <v>35</v>
      </c>
      <c r="E19" s="74">
        <f t="shared" si="1"/>
        <v>10</v>
      </c>
      <c r="F19" s="74">
        <v>5</v>
      </c>
      <c r="H19" s="74">
        <v>-4</v>
      </c>
    </row>
    <row r="20" spans="3:8" x14ac:dyDescent="0.3">
      <c r="C20" s="74">
        <v>19</v>
      </c>
      <c r="D20" s="74">
        <v>26</v>
      </c>
      <c r="E20" s="74">
        <f t="shared" si="1"/>
        <v>7</v>
      </c>
      <c r="F20" s="74">
        <v>-4</v>
      </c>
      <c r="H20" s="74">
        <v>0</v>
      </c>
    </row>
    <row r="21" spans="3:8" x14ac:dyDescent="0.3">
      <c r="C21" s="74">
        <v>40</v>
      </c>
      <c r="D21" s="74">
        <v>45</v>
      </c>
      <c r="E21" s="74">
        <f t="shared" si="1"/>
        <v>5</v>
      </c>
      <c r="F21" s="74">
        <v>0</v>
      </c>
      <c r="H21" s="74">
        <v>0</v>
      </c>
    </row>
    <row r="22" spans="3:8" x14ac:dyDescent="0.3">
      <c r="C22" s="74">
        <v>35</v>
      </c>
      <c r="D22" s="74">
        <v>31</v>
      </c>
      <c r="E22" s="74">
        <f t="shared" si="1"/>
        <v>-4</v>
      </c>
      <c r="F22" s="74">
        <v>0</v>
      </c>
      <c r="H22" s="74">
        <v>0</v>
      </c>
    </row>
    <row r="23" spans="3:8" x14ac:dyDescent="0.3">
      <c r="C23" s="74">
        <v>13</v>
      </c>
      <c r="D23" s="74">
        <v>13</v>
      </c>
      <c r="E23" s="74">
        <f t="shared" si="1"/>
        <v>0</v>
      </c>
      <c r="F23" s="74">
        <v>0</v>
      </c>
      <c r="H23" s="74">
        <v>1</v>
      </c>
    </row>
    <row r="24" spans="3:8" x14ac:dyDescent="0.3">
      <c r="C24" s="74">
        <v>36</v>
      </c>
      <c r="D24" s="74">
        <v>36</v>
      </c>
      <c r="E24" s="74">
        <f t="shared" si="1"/>
        <v>0</v>
      </c>
      <c r="F24" s="74">
        <v>1</v>
      </c>
      <c r="H24" s="74">
        <v>0</v>
      </c>
    </row>
    <row r="25" spans="3:8" x14ac:dyDescent="0.3">
      <c r="C25" s="74">
        <v>14</v>
      </c>
      <c r="D25" s="74">
        <v>14</v>
      </c>
      <c r="E25" s="74">
        <f t="shared" si="1"/>
        <v>0</v>
      </c>
      <c r="F25" s="74">
        <v>0</v>
      </c>
      <c r="H25" s="74">
        <v>3</v>
      </c>
    </row>
    <row r="26" spans="3:8" x14ac:dyDescent="0.3">
      <c r="C26" s="74">
        <v>17</v>
      </c>
      <c r="D26" s="74">
        <v>18</v>
      </c>
      <c r="E26" s="74">
        <f t="shared" si="1"/>
        <v>1</v>
      </c>
      <c r="F26" s="74">
        <v>3</v>
      </c>
      <c r="H26" s="74">
        <v>1</v>
      </c>
    </row>
    <row r="27" spans="3:8" x14ac:dyDescent="0.3">
      <c r="C27" s="74">
        <v>7</v>
      </c>
      <c r="D27" s="74">
        <v>7</v>
      </c>
      <c r="E27" s="74">
        <f t="shared" si="1"/>
        <v>0</v>
      </c>
      <c r="F27" s="74">
        <v>1</v>
      </c>
      <c r="H27" s="74">
        <v>1</v>
      </c>
    </row>
    <row r="28" spans="3:8" x14ac:dyDescent="0.3">
      <c r="C28" s="74">
        <v>22</v>
      </c>
      <c r="D28" s="74">
        <v>25</v>
      </c>
      <c r="E28" s="74">
        <f t="shared" si="1"/>
        <v>3</v>
      </c>
      <c r="F28" s="74">
        <v>1</v>
      </c>
      <c r="H28" s="74">
        <v>1</v>
      </c>
    </row>
    <row r="29" spans="3:8" hidden="1" x14ac:dyDescent="0.3">
      <c r="C29" s="74">
        <v>9</v>
      </c>
      <c r="D29" s="74">
        <v>10</v>
      </c>
      <c r="E29" s="74">
        <f t="shared" si="1"/>
        <v>1</v>
      </c>
      <c r="F29" s="74">
        <v>-6</v>
      </c>
      <c r="H29" s="74">
        <v>-1</v>
      </c>
    </row>
    <row r="30" spans="3:8" x14ac:dyDescent="0.3">
      <c r="C30" s="74">
        <v>20</v>
      </c>
      <c r="D30" s="74">
        <v>21</v>
      </c>
      <c r="E30" s="74">
        <f t="shared" si="1"/>
        <v>1</v>
      </c>
      <c r="F30" s="74">
        <v>1</v>
      </c>
      <c r="H30" s="74">
        <v>1</v>
      </c>
    </row>
    <row r="31" spans="3:8" x14ac:dyDescent="0.3">
      <c r="C31" s="74">
        <v>44</v>
      </c>
      <c r="D31" s="74">
        <v>38</v>
      </c>
      <c r="E31" s="74">
        <f t="shared" si="1"/>
        <v>-6</v>
      </c>
      <c r="F31" s="74">
        <v>-1</v>
      </c>
      <c r="H31" s="74">
        <v>22</v>
      </c>
    </row>
    <row r="32" spans="3:8" x14ac:dyDescent="0.3">
      <c r="C32" s="74">
        <v>42</v>
      </c>
      <c r="D32" s="74">
        <v>43</v>
      </c>
      <c r="E32" s="74">
        <f t="shared" si="1"/>
        <v>1</v>
      </c>
      <c r="F32" s="74">
        <v>1</v>
      </c>
      <c r="H32" s="74">
        <v>30</v>
      </c>
    </row>
    <row r="33" spans="3:8" x14ac:dyDescent="0.3">
      <c r="C33" s="74">
        <v>6</v>
      </c>
      <c r="D33" s="74">
        <v>5</v>
      </c>
      <c r="E33" s="74">
        <f t="shared" si="1"/>
        <v>-1</v>
      </c>
      <c r="F33" s="74">
        <v>22</v>
      </c>
      <c r="H33" s="74">
        <v>7</v>
      </c>
    </row>
    <row r="34" spans="3:8" hidden="1" x14ac:dyDescent="0.3">
      <c r="C34" s="74">
        <v>14</v>
      </c>
      <c r="D34" s="74">
        <v>15</v>
      </c>
      <c r="E34" s="74">
        <f t="shared" si="1"/>
        <v>1</v>
      </c>
      <c r="F34" s="74">
        <v>-9</v>
      </c>
      <c r="H34" s="74">
        <v>8</v>
      </c>
    </row>
    <row r="35" spans="3:8" hidden="1" x14ac:dyDescent="0.3">
      <c r="C35" s="74">
        <v>26</v>
      </c>
      <c r="D35" s="74">
        <v>48</v>
      </c>
      <c r="E35" s="74">
        <f t="shared" si="1"/>
        <v>22</v>
      </c>
      <c r="F35" s="74">
        <v>-12</v>
      </c>
      <c r="H35" s="74">
        <v>9</v>
      </c>
    </row>
    <row r="36" spans="3:8" x14ac:dyDescent="0.3">
      <c r="C36" s="74">
        <v>29</v>
      </c>
      <c r="D36" s="74">
        <v>20</v>
      </c>
      <c r="E36" s="74">
        <f t="shared" si="1"/>
        <v>-9</v>
      </c>
      <c r="F36" s="74">
        <v>30</v>
      </c>
      <c r="H36" s="74">
        <v>23</v>
      </c>
    </row>
    <row r="37" spans="3:8" hidden="1" x14ac:dyDescent="0.3">
      <c r="C37" s="74">
        <v>58</v>
      </c>
      <c r="D37" s="74">
        <v>46</v>
      </c>
      <c r="E37" s="74">
        <f t="shared" si="1"/>
        <v>-12</v>
      </c>
      <c r="F37" s="74">
        <v>-7</v>
      </c>
      <c r="H37" s="74">
        <v>3</v>
      </c>
    </row>
    <row r="38" spans="3:8" x14ac:dyDescent="0.3">
      <c r="C38" s="74">
        <v>38</v>
      </c>
      <c r="D38" s="74">
        <v>68</v>
      </c>
      <c r="E38" s="74">
        <f t="shared" si="1"/>
        <v>30</v>
      </c>
      <c r="F38" s="74">
        <v>7</v>
      </c>
      <c r="H38" s="74">
        <v>0</v>
      </c>
    </row>
    <row r="39" spans="3:8" x14ac:dyDescent="0.3">
      <c r="C39" s="74">
        <v>26</v>
      </c>
      <c r="D39" s="74">
        <v>19</v>
      </c>
      <c r="E39" s="74">
        <f t="shared" si="1"/>
        <v>-7</v>
      </c>
      <c r="F39" s="74">
        <v>8</v>
      </c>
      <c r="H39" s="74">
        <v>3</v>
      </c>
    </row>
    <row r="40" spans="3:8" x14ac:dyDescent="0.3">
      <c r="C40" s="74">
        <v>24</v>
      </c>
      <c r="D40" s="74">
        <v>31</v>
      </c>
      <c r="E40" s="74">
        <f t="shared" si="1"/>
        <v>7</v>
      </c>
      <c r="F40" s="74">
        <v>9</v>
      </c>
      <c r="H40" s="74">
        <v>1</v>
      </c>
    </row>
    <row r="41" spans="3:8" x14ac:dyDescent="0.3">
      <c r="C41" s="74">
        <v>28</v>
      </c>
      <c r="D41" s="74">
        <v>36</v>
      </c>
      <c r="E41" s="74">
        <f t="shared" si="1"/>
        <v>8</v>
      </c>
      <c r="F41" s="74">
        <v>23</v>
      </c>
      <c r="H41" s="74">
        <v>3</v>
      </c>
    </row>
    <row r="42" spans="3:8" hidden="1" x14ac:dyDescent="0.3">
      <c r="C42" s="74">
        <v>42</v>
      </c>
      <c r="D42" s="74">
        <v>51</v>
      </c>
      <c r="E42" s="74">
        <f t="shared" si="1"/>
        <v>9</v>
      </c>
      <c r="F42" s="74">
        <v>-9</v>
      </c>
      <c r="H42" s="74">
        <v>1</v>
      </c>
    </row>
    <row r="43" spans="3:8" x14ac:dyDescent="0.3">
      <c r="C43" s="74">
        <v>29</v>
      </c>
      <c r="D43" s="74">
        <v>52</v>
      </c>
      <c r="E43" s="74">
        <f t="shared" si="1"/>
        <v>23</v>
      </c>
      <c r="F43" s="74">
        <v>3</v>
      </c>
      <c r="H43" s="74">
        <v>0</v>
      </c>
    </row>
    <row r="44" spans="3:8" x14ac:dyDescent="0.3">
      <c r="C44" s="74">
        <v>19</v>
      </c>
      <c r="D44" s="74">
        <v>10</v>
      </c>
      <c r="E44" s="74">
        <f t="shared" si="1"/>
        <v>-9</v>
      </c>
      <c r="F44" s="74">
        <v>0</v>
      </c>
      <c r="H44" s="74">
        <v>-5</v>
      </c>
    </row>
    <row r="45" spans="3:8" x14ac:dyDescent="0.3">
      <c r="C45" s="74">
        <v>3</v>
      </c>
      <c r="D45" s="74">
        <v>6</v>
      </c>
      <c r="E45" s="74">
        <f t="shared" si="1"/>
        <v>3</v>
      </c>
      <c r="F45" s="74">
        <v>3</v>
      </c>
      <c r="H45" s="74">
        <v>-1</v>
      </c>
    </row>
    <row r="46" spans="3:8" hidden="1" x14ac:dyDescent="0.3">
      <c r="C46" s="74">
        <v>13</v>
      </c>
      <c r="D46" s="74">
        <v>49</v>
      </c>
      <c r="E46" s="74">
        <f t="shared" si="1"/>
        <v>36</v>
      </c>
      <c r="F46" s="74">
        <v>-9</v>
      </c>
      <c r="H46" s="74">
        <v>0</v>
      </c>
    </row>
    <row r="47" spans="3:8" x14ac:dyDescent="0.3">
      <c r="C47" s="74">
        <v>14</v>
      </c>
      <c r="D47" s="74">
        <v>14</v>
      </c>
      <c r="E47" s="74">
        <f t="shared" si="1"/>
        <v>0</v>
      </c>
      <c r="F47" s="74">
        <v>1</v>
      </c>
      <c r="H47" s="74">
        <v>2</v>
      </c>
    </row>
    <row r="48" spans="3:8" x14ac:dyDescent="0.3">
      <c r="C48" s="74">
        <v>23</v>
      </c>
      <c r="D48" s="74">
        <v>26</v>
      </c>
      <c r="E48" s="74">
        <f t="shared" si="1"/>
        <v>3</v>
      </c>
      <c r="F48" s="74">
        <v>3</v>
      </c>
      <c r="H48" s="74">
        <v>10</v>
      </c>
    </row>
    <row r="49" spans="3:8" x14ac:dyDescent="0.3">
      <c r="C49" s="74">
        <v>29</v>
      </c>
      <c r="D49" s="74">
        <v>20</v>
      </c>
      <c r="E49" s="74">
        <f t="shared" si="1"/>
        <v>-9</v>
      </c>
      <c r="F49" s="74">
        <v>1</v>
      </c>
      <c r="H49" s="74">
        <v>7</v>
      </c>
    </row>
    <row r="50" spans="3:8" x14ac:dyDescent="0.3">
      <c r="C50" s="74">
        <v>34</v>
      </c>
      <c r="D50" s="74">
        <v>35</v>
      </c>
      <c r="E50" s="74">
        <f t="shared" si="1"/>
        <v>1</v>
      </c>
      <c r="F50" s="74">
        <v>0</v>
      </c>
      <c r="H50" s="74">
        <v>5</v>
      </c>
    </row>
    <row r="51" spans="3:8" x14ac:dyDescent="0.3">
      <c r="C51" s="74">
        <v>39</v>
      </c>
      <c r="D51" s="74">
        <v>42</v>
      </c>
      <c r="E51" s="74">
        <f t="shared" si="1"/>
        <v>3</v>
      </c>
      <c r="F51" s="74">
        <v>-5</v>
      </c>
      <c r="H51" s="74">
        <v>1</v>
      </c>
    </row>
    <row r="52" spans="3:8" x14ac:dyDescent="0.3">
      <c r="C52" s="74">
        <v>9</v>
      </c>
      <c r="D52" s="74">
        <v>10</v>
      </c>
      <c r="E52" s="74">
        <f t="shared" si="1"/>
        <v>1</v>
      </c>
      <c r="F52" s="74">
        <v>-1</v>
      </c>
      <c r="H52" s="74">
        <v>18</v>
      </c>
    </row>
    <row r="53" spans="3:8" x14ac:dyDescent="0.3">
      <c r="C53" s="74">
        <v>16</v>
      </c>
      <c r="D53" s="74">
        <v>16</v>
      </c>
      <c r="E53" s="74">
        <f t="shared" si="1"/>
        <v>0</v>
      </c>
      <c r="F53" s="74">
        <v>0</v>
      </c>
      <c r="H53" s="74">
        <v>9</v>
      </c>
    </row>
    <row r="54" spans="3:8" x14ac:dyDescent="0.3">
      <c r="C54" s="74">
        <v>5</v>
      </c>
      <c r="D54" s="74"/>
      <c r="E54" s="74">
        <f t="shared" si="1"/>
        <v>-5</v>
      </c>
      <c r="F54" s="74">
        <v>2</v>
      </c>
      <c r="H54" s="74">
        <v>8</v>
      </c>
    </row>
    <row r="55" spans="3:8" x14ac:dyDescent="0.3">
      <c r="C55" s="74">
        <v>20</v>
      </c>
      <c r="D55" s="74">
        <v>19</v>
      </c>
      <c r="E55" s="74">
        <f t="shared" si="1"/>
        <v>-1</v>
      </c>
      <c r="F55" s="74">
        <v>10</v>
      </c>
      <c r="H55" s="74">
        <v>2</v>
      </c>
    </row>
    <row r="56" spans="3:8" x14ac:dyDescent="0.3">
      <c r="C56" s="74">
        <v>22</v>
      </c>
      <c r="D56" s="74">
        <v>22</v>
      </c>
      <c r="E56" s="74">
        <f t="shared" si="1"/>
        <v>0</v>
      </c>
      <c r="F56" s="74">
        <v>7</v>
      </c>
      <c r="H56" s="74">
        <v>8</v>
      </c>
    </row>
    <row r="57" spans="3:8" x14ac:dyDescent="0.3">
      <c r="C57" s="74">
        <v>24</v>
      </c>
      <c r="D57" s="74">
        <v>26</v>
      </c>
      <c r="E57" s="74">
        <f t="shared" si="1"/>
        <v>2</v>
      </c>
      <c r="F57" s="74">
        <v>5</v>
      </c>
      <c r="H57" s="74">
        <v>16</v>
      </c>
    </row>
    <row r="58" spans="3:8" x14ac:dyDescent="0.3">
      <c r="C58" s="74">
        <v>6</v>
      </c>
      <c r="D58" s="74">
        <v>16</v>
      </c>
      <c r="E58" s="74">
        <f t="shared" si="1"/>
        <v>10</v>
      </c>
      <c r="F58" s="74">
        <v>1</v>
      </c>
      <c r="H58" s="74">
        <v>2</v>
      </c>
    </row>
    <row r="59" spans="3:8" hidden="1" x14ac:dyDescent="0.3">
      <c r="C59" s="74">
        <v>6</v>
      </c>
      <c r="D59" s="74">
        <v>13</v>
      </c>
      <c r="E59" s="74">
        <f t="shared" si="1"/>
        <v>7</v>
      </c>
      <c r="F59" s="74">
        <v>-8</v>
      </c>
      <c r="H59" s="74">
        <v>6</v>
      </c>
    </row>
    <row r="60" spans="3:8" x14ac:dyDescent="0.3">
      <c r="C60" s="74">
        <v>5</v>
      </c>
      <c r="D60" s="74">
        <v>10</v>
      </c>
      <c r="E60" s="74">
        <f t="shared" si="1"/>
        <v>5</v>
      </c>
      <c r="F60" s="74">
        <v>18</v>
      </c>
      <c r="H60" s="74">
        <v>4</v>
      </c>
    </row>
    <row r="61" spans="3:8" x14ac:dyDescent="0.3">
      <c r="C61" s="74">
        <v>13</v>
      </c>
      <c r="D61" s="74">
        <v>14</v>
      </c>
      <c r="E61" s="74">
        <f t="shared" si="1"/>
        <v>1</v>
      </c>
      <c r="F61" s="74">
        <v>9</v>
      </c>
      <c r="H61" s="74">
        <v>13</v>
      </c>
    </row>
    <row r="62" spans="3:8" hidden="1" x14ac:dyDescent="0.3">
      <c r="C62" s="74">
        <v>13</v>
      </c>
      <c r="D62" s="74">
        <v>5</v>
      </c>
      <c r="E62" s="74">
        <f t="shared" si="1"/>
        <v>-8</v>
      </c>
      <c r="F62" s="74">
        <v>-7</v>
      </c>
      <c r="H62" s="74">
        <v>-2</v>
      </c>
    </row>
    <row r="63" spans="3:8" x14ac:dyDescent="0.3">
      <c r="C63" s="74">
        <v>41</v>
      </c>
      <c r="D63" s="74">
        <v>59</v>
      </c>
      <c r="E63" s="74">
        <f t="shared" si="1"/>
        <v>18</v>
      </c>
      <c r="F63" s="74">
        <v>8</v>
      </c>
      <c r="H63" s="74">
        <v>-2</v>
      </c>
    </row>
    <row r="64" spans="3:8" x14ac:dyDescent="0.3">
      <c r="C64" s="74">
        <v>45</v>
      </c>
      <c r="D64" s="74">
        <v>54</v>
      </c>
      <c r="E64" s="74">
        <f t="shared" si="1"/>
        <v>9</v>
      </c>
      <c r="F64" s="74">
        <v>2</v>
      </c>
      <c r="H64" s="74">
        <v>-4</v>
      </c>
    </row>
    <row r="65" spans="3:8" x14ac:dyDescent="0.3">
      <c r="C65" s="74">
        <v>24</v>
      </c>
      <c r="D65" s="74">
        <v>17</v>
      </c>
      <c r="E65" s="74">
        <f t="shared" si="1"/>
        <v>-7</v>
      </c>
      <c r="F65" s="74">
        <v>8</v>
      </c>
      <c r="H65" s="74">
        <v>9</v>
      </c>
    </row>
    <row r="66" spans="3:8" x14ac:dyDescent="0.3">
      <c r="C66" s="74">
        <v>20</v>
      </c>
      <c r="D66" s="74">
        <v>28</v>
      </c>
      <c r="E66" s="74">
        <f t="shared" si="1"/>
        <v>8</v>
      </c>
      <c r="F66" s="74">
        <v>16</v>
      </c>
      <c r="H66" s="74">
        <v>24</v>
      </c>
    </row>
    <row r="67" spans="3:8" x14ac:dyDescent="0.3">
      <c r="C67" s="74">
        <v>18</v>
      </c>
      <c r="D67" s="74">
        <v>20</v>
      </c>
      <c r="E67" s="74">
        <f t="shared" ref="E67:E84" si="2">IF(((C67="")*AND(D67="")),"",(D67-C67))</f>
        <v>2</v>
      </c>
      <c r="F67" s="74">
        <v>2</v>
      </c>
      <c r="H67" s="74">
        <v>-3</v>
      </c>
    </row>
    <row r="68" spans="3:8" x14ac:dyDescent="0.3">
      <c r="C68" s="74">
        <v>31</v>
      </c>
      <c r="D68" s="74">
        <v>39</v>
      </c>
      <c r="E68" s="74">
        <f t="shared" si="2"/>
        <v>8</v>
      </c>
      <c r="F68" s="74">
        <v>6</v>
      </c>
      <c r="H68" s="74">
        <v>20</v>
      </c>
    </row>
    <row r="69" spans="3:8" x14ac:dyDescent="0.3">
      <c r="C69" s="74">
        <v>2</v>
      </c>
      <c r="D69" s="74">
        <v>18</v>
      </c>
      <c r="E69" s="74">
        <f t="shared" si="2"/>
        <v>16</v>
      </c>
      <c r="F69" s="74">
        <v>4</v>
      </c>
      <c r="H69" s="74">
        <v>1</v>
      </c>
    </row>
    <row r="70" spans="3:8" x14ac:dyDescent="0.3">
      <c r="C70" s="74">
        <v>1</v>
      </c>
      <c r="D70" s="74">
        <v>3</v>
      </c>
      <c r="E70" s="74">
        <f t="shared" si="2"/>
        <v>2</v>
      </c>
      <c r="F70" s="74">
        <v>13</v>
      </c>
      <c r="H70" s="74">
        <v>6</v>
      </c>
    </row>
    <row r="71" spans="3:8" x14ac:dyDescent="0.3">
      <c r="C71" s="74">
        <v>5</v>
      </c>
      <c r="D71" s="74">
        <v>11</v>
      </c>
      <c r="E71" s="74">
        <f t="shared" si="2"/>
        <v>6</v>
      </c>
      <c r="F71" s="74">
        <v>-2</v>
      </c>
      <c r="H71" s="74">
        <v>23</v>
      </c>
    </row>
    <row r="72" spans="3:8" x14ac:dyDescent="0.3">
      <c r="C72" s="74">
        <v>11</v>
      </c>
      <c r="D72" s="74">
        <v>15</v>
      </c>
      <c r="E72" s="74">
        <f t="shared" si="2"/>
        <v>4</v>
      </c>
      <c r="F72" s="74">
        <v>-2</v>
      </c>
      <c r="H72" s="108">
        <f>PERCENTILE(H3:H71,0.95)</f>
        <v>23</v>
      </c>
    </row>
    <row r="73" spans="3:8" x14ac:dyDescent="0.3">
      <c r="C73" s="74">
        <v>15</v>
      </c>
      <c r="D73" s="74">
        <v>28</v>
      </c>
      <c r="E73" s="74">
        <f t="shared" si="2"/>
        <v>13</v>
      </c>
      <c r="F73" s="74">
        <v>-4</v>
      </c>
    </row>
    <row r="74" spans="3:8" x14ac:dyDescent="0.3">
      <c r="C74" s="74">
        <v>3</v>
      </c>
      <c r="D74" s="74">
        <v>1</v>
      </c>
      <c r="E74" s="74">
        <f t="shared" si="2"/>
        <v>-2</v>
      </c>
      <c r="F74" s="74">
        <v>9</v>
      </c>
    </row>
    <row r="75" spans="3:8" x14ac:dyDescent="0.3">
      <c r="C75" s="74">
        <v>18</v>
      </c>
      <c r="D75" s="74">
        <v>16</v>
      </c>
      <c r="E75" s="74">
        <f t="shared" si="2"/>
        <v>-2</v>
      </c>
      <c r="F75" s="74">
        <v>24</v>
      </c>
    </row>
    <row r="76" spans="3:8" x14ac:dyDescent="0.3">
      <c r="C76" s="74">
        <v>20</v>
      </c>
      <c r="D76" s="74">
        <v>16</v>
      </c>
      <c r="E76" s="74">
        <f t="shared" si="2"/>
        <v>-4</v>
      </c>
      <c r="F76" s="74">
        <v>-3</v>
      </c>
    </row>
    <row r="77" spans="3:8" x14ac:dyDescent="0.3">
      <c r="C77" s="74">
        <v>57</v>
      </c>
      <c r="D77" s="74">
        <v>66</v>
      </c>
      <c r="E77" s="74">
        <f t="shared" si="2"/>
        <v>9</v>
      </c>
      <c r="F77" s="74">
        <v>20</v>
      </c>
    </row>
    <row r="78" spans="3:8" x14ac:dyDescent="0.3">
      <c r="C78" s="74">
        <v>33</v>
      </c>
      <c r="D78" s="74">
        <v>57</v>
      </c>
      <c r="E78" s="74">
        <f t="shared" si="2"/>
        <v>24</v>
      </c>
      <c r="F78" s="74">
        <v>1</v>
      </c>
    </row>
    <row r="79" spans="3:8" x14ac:dyDescent="0.3">
      <c r="C79" s="74">
        <v>33</v>
      </c>
      <c r="D79" s="74">
        <v>30</v>
      </c>
      <c r="E79" s="74">
        <f t="shared" si="2"/>
        <v>-3</v>
      </c>
      <c r="F79" s="74">
        <v>6</v>
      </c>
    </row>
    <row r="80" spans="3:8" x14ac:dyDescent="0.3">
      <c r="C80" s="74">
        <v>4</v>
      </c>
      <c r="D80" s="74">
        <v>24</v>
      </c>
      <c r="E80" s="74">
        <f t="shared" si="2"/>
        <v>20</v>
      </c>
      <c r="F80" s="74">
        <v>23</v>
      </c>
    </row>
    <row r="81" spans="3:6" x14ac:dyDescent="0.3">
      <c r="C81" s="74">
        <v>22</v>
      </c>
      <c r="D81" s="74">
        <v>23</v>
      </c>
      <c r="E81" s="74">
        <f t="shared" si="2"/>
        <v>1</v>
      </c>
      <c r="F81" s="108">
        <f>PERCENTILE(F3:F80,0.95)</f>
        <v>23</v>
      </c>
    </row>
    <row r="82" spans="3:6" x14ac:dyDescent="0.3">
      <c r="C82" s="74">
        <v>23</v>
      </c>
      <c r="D82" s="74">
        <v>29</v>
      </c>
      <c r="E82" s="74">
        <f t="shared" si="2"/>
        <v>6</v>
      </c>
      <c r="F82" s="74"/>
    </row>
    <row r="83" spans="3:6" x14ac:dyDescent="0.3">
      <c r="C83" s="74">
        <v>2</v>
      </c>
      <c r="D83" s="74">
        <v>40</v>
      </c>
      <c r="E83" s="74">
        <f t="shared" si="2"/>
        <v>38</v>
      </c>
      <c r="F83" s="74"/>
    </row>
    <row r="84" spans="3:6" x14ac:dyDescent="0.3">
      <c r="C84" s="74">
        <v>2</v>
      </c>
      <c r="D84" s="74">
        <v>25</v>
      </c>
      <c r="E84" s="74">
        <f t="shared" si="2"/>
        <v>23</v>
      </c>
      <c r="F84" s="74"/>
    </row>
    <row r="85" spans="3:6" x14ac:dyDescent="0.3">
      <c r="E85" s="108">
        <f>PERCENTILE(E3:E84,0.95)</f>
        <v>30</v>
      </c>
      <c r="F85" s="74"/>
    </row>
  </sheetData>
  <autoFilter ref="C2:F86" xr:uid="{00000000-0009-0000-0000-000006000000}">
    <filterColumn colId="3">
      <filters blank="1">
        <filter val="0"/>
        <filter val="1"/>
        <filter val="-1"/>
        <filter val="10"/>
        <filter val="13"/>
        <filter val="16"/>
        <filter val="18"/>
        <filter val="19"/>
        <filter val="2"/>
        <filter val="-2"/>
        <filter val="20"/>
        <filter val="22"/>
        <filter val="23"/>
        <filter val="24"/>
        <filter val="3"/>
        <filter val="-3"/>
        <filter val="30"/>
        <filter val="4"/>
        <filter val="-4"/>
        <filter val="5"/>
        <filter val="-5"/>
        <filter val="6"/>
        <filter val="7"/>
        <filter val="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ASFE1-CP</vt:lpstr>
      <vt:lpstr>ASFE1-ER</vt:lpstr>
      <vt:lpstr>_xlwings.conf</vt:lpstr>
      <vt:lpstr>CP Plot</vt:lpstr>
      <vt:lpstr>ER Plot</vt:lpstr>
      <vt:lpstr>RUN_code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2019-12-11T07:55:08Z</dcterms:modified>
</cp:coreProperties>
</file>