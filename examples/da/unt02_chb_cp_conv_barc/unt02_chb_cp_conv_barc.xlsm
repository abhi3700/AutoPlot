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oding\github_repos\AutoPlot\examples\da\unt02_chb_cp_conv_barc\"/>
    </mc:Choice>
  </mc:AlternateContent>
  <xr:revisionPtr revIDLastSave="0" documentId="13_ncr:1_{EC277F23-C535-4257-8EF0-E510E45AF006}" xr6:coauthVersionLast="46" xr6:coauthVersionMax="46" xr10:uidLastSave="{00000000-0000-0000-0000-000000000000}"/>
  <bookViews>
    <workbookView xWindow="-108" yWindow="-108" windowWidth="23256" windowHeight="12576" activeTab="1" xr2:uid="{163F88C3-7D78-4992-A41D-8AE55FF6BA81}"/>
  </bookViews>
  <sheets>
    <sheet name="RESP1B-CP" sheetId="2" r:id="rId1"/>
    <sheet name="RUN_code" sheetId="1" r:id="rId2"/>
    <sheet name="RUN_code_2" sheetId="3" r:id="rId3"/>
  </sheets>
  <definedNames>
    <definedName name="_xlnm._FilterDatabase" localSheetId="0" hidden="1">'RESP1B-CP'!$A$10:$R$132</definedName>
    <definedName name="_xlnm._FilterDatabase" localSheetId="1" hidden="1">RUN_code!$A$70:$H$70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1" i="2" l="1"/>
  <c r="O101" i="2" s="1"/>
  <c r="I101" i="2"/>
  <c r="L101" i="2"/>
  <c r="L132" i="2"/>
  <c r="I132" i="2"/>
  <c r="F132" i="2"/>
  <c r="O132" i="2" s="1"/>
  <c r="L131" i="2"/>
  <c r="I131" i="2"/>
  <c r="F131" i="2"/>
  <c r="O131" i="2" s="1"/>
  <c r="L130" i="2"/>
  <c r="I130" i="2"/>
  <c r="F130" i="2"/>
  <c r="O130" i="2" s="1"/>
  <c r="L129" i="2"/>
  <c r="I129" i="2"/>
  <c r="F129" i="2"/>
  <c r="O129" i="2" s="1"/>
  <c r="L128" i="2"/>
  <c r="I128" i="2"/>
  <c r="F128" i="2"/>
  <c r="O128" i="2" s="1"/>
  <c r="L127" i="2"/>
  <c r="I127" i="2"/>
  <c r="F127" i="2"/>
  <c r="O127" i="2" s="1"/>
  <c r="L126" i="2"/>
  <c r="I126" i="2"/>
  <c r="F126" i="2"/>
  <c r="O126" i="2" s="1"/>
  <c r="L125" i="2"/>
  <c r="I125" i="2"/>
  <c r="F125" i="2"/>
  <c r="O125" i="2" s="1"/>
  <c r="L124" i="2"/>
  <c r="I124" i="2"/>
  <c r="F124" i="2"/>
  <c r="O124" i="2" s="1"/>
  <c r="L123" i="2"/>
  <c r="I123" i="2"/>
  <c r="F123" i="2"/>
  <c r="O123" i="2" s="1"/>
  <c r="L122" i="2"/>
  <c r="I122" i="2"/>
  <c r="F122" i="2"/>
  <c r="O122" i="2" s="1"/>
  <c r="L121" i="2"/>
  <c r="I121" i="2"/>
  <c r="F121" i="2"/>
  <c r="O121" i="2" s="1"/>
  <c r="L120" i="2"/>
  <c r="I120" i="2"/>
  <c r="F120" i="2"/>
  <c r="O120" i="2" s="1"/>
  <c r="L119" i="2"/>
  <c r="I119" i="2"/>
  <c r="F119" i="2"/>
  <c r="O119" i="2" s="1"/>
  <c r="L118" i="2"/>
  <c r="I118" i="2"/>
  <c r="F118" i="2"/>
  <c r="O118" i="2" s="1"/>
  <c r="L117" i="2"/>
  <c r="I117" i="2"/>
  <c r="F117" i="2"/>
  <c r="O117" i="2" s="1"/>
  <c r="L116" i="2"/>
  <c r="I116" i="2"/>
  <c r="F116" i="2"/>
  <c r="O116" i="2" s="1"/>
  <c r="L115" i="2"/>
  <c r="I115" i="2"/>
  <c r="F115" i="2"/>
  <c r="O115" i="2" s="1"/>
  <c r="L114" i="2"/>
  <c r="I114" i="2"/>
  <c r="F114" i="2"/>
  <c r="O114" i="2" s="1"/>
  <c r="L113" i="2"/>
  <c r="I113" i="2"/>
  <c r="F113" i="2"/>
  <c r="O113" i="2" s="1"/>
  <c r="L112" i="2"/>
  <c r="I112" i="2"/>
  <c r="F112" i="2"/>
  <c r="O112" i="2" s="1"/>
  <c r="L111" i="2"/>
  <c r="I111" i="2"/>
  <c r="F111" i="2"/>
  <c r="O111" i="2" s="1"/>
  <c r="L110" i="2"/>
  <c r="I110" i="2"/>
  <c r="F110" i="2"/>
  <c r="O110" i="2" s="1"/>
  <c r="L109" i="2"/>
  <c r="I109" i="2"/>
  <c r="F109" i="2"/>
  <c r="O109" i="2" s="1"/>
  <c r="L108" i="2"/>
  <c r="I108" i="2"/>
  <c r="F108" i="2"/>
  <c r="O108" i="2" s="1"/>
  <c r="L107" i="2"/>
  <c r="I107" i="2"/>
  <c r="F107" i="2"/>
  <c r="O107" i="2" s="1"/>
  <c r="L106" i="2"/>
  <c r="I106" i="2"/>
  <c r="F106" i="2"/>
  <c r="O106" i="2" s="1"/>
  <c r="L105" i="2"/>
  <c r="I105" i="2"/>
  <c r="F105" i="2"/>
  <c r="O105" i="2" s="1"/>
  <c r="L104" i="2"/>
  <c r="I104" i="2"/>
  <c r="F104" i="2"/>
  <c r="O104" i="2" s="1"/>
  <c r="L103" i="2"/>
  <c r="I103" i="2"/>
  <c r="F103" i="2"/>
  <c r="O103" i="2" s="1"/>
  <c r="L102" i="2"/>
  <c r="I102" i="2"/>
  <c r="F102" i="2"/>
  <c r="O102" i="2" s="1"/>
  <c r="L100" i="2"/>
  <c r="I100" i="2"/>
  <c r="F100" i="2"/>
  <c r="O100" i="2" s="1"/>
  <c r="L99" i="2"/>
  <c r="I99" i="2"/>
  <c r="F99" i="2"/>
  <c r="O99" i="2" s="1"/>
  <c r="L98" i="2"/>
  <c r="I98" i="2"/>
  <c r="F98" i="2"/>
  <c r="O98" i="2" s="1"/>
  <c r="L97" i="2"/>
  <c r="I97" i="2"/>
  <c r="F97" i="2"/>
  <c r="O97" i="2" s="1"/>
  <c r="L96" i="2"/>
  <c r="I96" i="2"/>
  <c r="F96" i="2"/>
  <c r="O96" i="2" s="1"/>
  <c r="L95" i="2"/>
  <c r="I95" i="2"/>
  <c r="F95" i="2"/>
  <c r="O95" i="2" s="1"/>
  <c r="L94" i="2"/>
  <c r="I94" i="2"/>
  <c r="F94" i="2"/>
  <c r="O94" i="2" s="1"/>
  <c r="L93" i="2"/>
  <c r="I93" i="2"/>
  <c r="F93" i="2"/>
  <c r="O93" i="2" s="1"/>
  <c r="L92" i="2"/>
  <c r="I92" i="2"/>
  <c r="F92" i="2"/>
  <c r="O92" i="2" s="1"/>
  <c r="L91" i="2"/>
  <c r="I91" i="2"/>
  <c r="F91" i="2"/>
  <c r="O91" i="2" s="1"/>
  <c r="L90" i="2"/>
  <c r="I90" i="2"/>
  <c r="F90" i="2"/>
  <c r="O90" i="2" s="1"/>
  <c r="L89" i="2"/>
  <c r="I89" i="2"/>
  <c r="F89" i="2"/>
  <c r="O89" i="2" s="1"/>
  <c r="L88" i="2"/>
  <c r="I88" i="2"/>
  <c r="F88" i="2"/>
  <c r="O88" i="2" s="1"/>
  <c r="L87" i="2"/>
  <c r="I87" i="2"/>
  <c r="F87" i="2"/>
  <c r="O87" i="2" s="1"/>
  <c r="L86" i="2"/>
  <c r="I86" i="2"/>
  <c r="F86" i="2"/>
  <c r="O86" i="2" s="1"/>
  <c r="L85" i="2"/>
  <c r="I85" i="2"/>
  <c r="F85" i="2"/>
  <c r="O85" i="2" s="1"/>
  <c r="L84" i="2"/>
  <c r="I84" i="2"/>
  <c r="F84" i="2"/>
  <c r="O84" i="2" s="1"/>
  <c r="L83" i="2"/>
  <c r="I83" i="2"/>
  <c r="F83" i="2"/>
  <c r="O83" i="2" s="1"/>
  <c r="L82" i="2"/>
  <c r="I82" i="2"/>
  <c r="F82" i="2"/>
  <c r="O82" i="2" s="1"/>
  <c r="L81" i="2"/>
  <c r="I81" i="2"/>
  <c r="F81" i="2"/>
  <c r="O81" i="2" s="1"/>
  <c r="L80" i="2"/>
  <c r="I80" i="2"/>
  <c r="F80" i="2"/>
  <c r="O80" i="2" s="1"/>
  <c r="L79" i="2"/>
  <c r="I79" i="2"/>
  <c r="F79" i="2"/>
  <c r="O79" i="2" s="1"/>
  <c r="L78" i="2"/>
  <c r="I78" i="2"/>
  <c r="F78" i="2"/>
  <c r="O78" i="2" s="1"/>
  <c r="L77" i="2"/>
  <c r="I77" i="2"/>
  <c r="F77" i="2"/>
  <c r="O77" i="2" s="1"/>
  <c r="L76" i="2"/>
  <c r="I76" i="2"/>
  <c r="F76" i="2"/>
  <c r="O76" i="2" s="1"/>
  <c r="L75" i="2"/>
  <c r="I75" i="2"/>
  <c r="F75" i="2"/>
  <c r="O75" i="2" s="1"/>
  <c r="L74" i="2"/>
  <c r="I74" i="2"/>
  <c r="F74" i="2"/>
  <c r="O74" i="2" s="1"/>
  <c r="L73" i="2"/>
  <c r="I73" i="2"/>
  <c r="F73" i="2"/>
  <c r="O73" i="2" s="1"/>
  <c r="L72" i="2"/>
  <c r="I72" i="2"/>
  <c r="F72" i="2"/>
  <c r="O72" i="2" s="1"/>
  <c r="L71" i="2"/>
  <c r="I71" i="2"/>
  <c r="F71" i="2"/>
  <c r="O71" i="2" s="1"/>
  <c r="L70" i="2"/>
  <c r="I70" i="2"/>
  <c r="F70" i="2"/>
  <c r="O70" i="2" s="1"/>
  <c r="L69" i="2"/>
  <c r="I69" i="2"/>
  <c r="F69" i="2"/>
  <c r="O69" i="2" s="1"/>
  <c r="L68" i="2"/>
  <c r="I68" i="2"/>
  <c r="F68" i="2"/>
  <c r="O68" i="2" s="1"/>
  <c r="L67" i="2"/>
  <c r="I67" i="2"/>
  <c r="F67" i="2"/>
  <c r="O67" i="2" s="1"/>
  <c r="L66" i="2"/>
  <c r="I66" i="2"/>
  <c r="F66" i="2"/>
  <c r="O66" i="2" s="1"/>
  <c r="L65" i="2"/>
  <c r="I65" i="2"/>
  <c r="F65" i="2"/>
  <c r="O65" i="2" s="1"/>
  <c r="L64" i="2"/>
  <c r="I64" i="2"/>
  <c r="F64" i="2"/>
  <c r="O64" i="2" s="1"/>
  <c r="L63" i="2"/>
  <c r="I63" i="2"/>
  <c r="F63" i="2"/>
  <c r="O63" i="2" s="1"/>
  <c r="L62" i="2"/>
  <c r="I62" i="2"/>
  <c r="F62" i="2"/>
  <c r="O62" i="2" s="1"/>
  <c r="L61" i="2"/>
  <c r="I61" i="2"/>
  <c r="F61" i="2"/>
  <c r="O61" i="2" s="1"/>
  <c r="L60" i="2"/>
  <c r="I60" i="2"/>
  <c r="F60" i="2"/>
  <c r="O60" i="2" s="1"/>
  <c r="L59" i="2"/>
  <c r="I59" i="2"/>
  <c r="F59" i="2"/>
  <c r="O59" i="2" s="1"/>
  <c r="L58" i="2"/>
  <c r="I58" i="2"/>
  <c r="F58" i="2"/>
  <c r="O58" i="2" s="1"/>
  <c r="L57" i="2"/>
  <c r="I57" i="2"/>
  <c r="F57" i="2"/>
  <c r="O57" i="2" s="1"/>
  <c r="L56" i="2"/>
  <c r="I56" i="2"/>
  <c r="F56" i="2"/>
  <c r="O56" i="2" s="1"/>
  <c r="L55" i="2"/>
  <c r="I55" i="2"/>
  <c r="F55" i="2"/>
  <c r="O55" i="2" s="1"/>
  <c r="L54" i="2"/>
  <c r="I54" i="2"/>
  <c r="F54" i="2"/>
  <c r="O54" i="2" s="1"/>
  <c r="L53" i="2"/>
  <c r="I53" i="2"/>
  <c r="F53" i="2"/>
  <c r="O53" i="2" s="1"/>
  <c r="L52" i="2"/>
  <c r="I52" i="2"/>
  <c r="F52" i="2"/>
  <c r="O52" i="2" s="1"/>
  <c r="L51" i="2"/>
  <c r="I51" i="2"/>
  <c r="F51" i="2"/>
  <c r="O51" i="2" s="1"/>
  <c r="L50" i="2"/>
  <c r="I50" i="2"/>
  <c r="F50" i="2"/>
  <c r="O50" i="2" s="1"/>
  <c r="L49" i="2"/>
  <c r="I49" i="2"/>
  <c r="F49" i="2"/>
  <c r="O49" i="2" s="1"/>
  <c r="L48" i="2"/>
  <c r="I48" i="2"/>
  <c r="F48" i="2"/>
  <c r="O48" i="2" s="1"/>
  <c r="O47" i="2"/>
  <c r="L47" i="2"/>
  <c r="I47" i="2"/>
  <c r="F47" i="2"/>
  <c r="O46" i="2"/>
  <c r="L46" i="2"/>
  <c r="I46" i="2"/>
  <c r="F46" i="2"/>
  <c r="O45" i="2"/>
  <c r="L45" i="2"/>
  <c r="I45" i="2"/>
  <c r="F45" i="2"/>
  <c r="O44" i="2"/>
  <c r="L44" i="2"/>
  <c r="I44" i="2"/>
  <c r="F44" i="2"/>
  <c r="O43" i="2"/>
  <c r="L43" i="2"/>
  <c r="I43" i="2"/>
  <c r="F43" i="2"/>
  <c r="O42" i="2"/>
  <c r="L42" i="2"/>
  <c r="I42" i="2"/>
  <c r="F42" i="2"/>
  <c r="O41" i="2"/>
  <c r="L41" i="2"/>
  <c r="I41" i="2"/>
  <c r="F41" i="2"/>
  <c r="O40" i="2"/>
  <c r="L40" i="2"/>
  <c r="I40" i="2"/>
  <c r="F40" i="2"/>
  <c r="O39" i="2"/>
  <c r="L39" i="2"/>
  <c r="I39" i="2"/>
  <c r="F39" i="2"/>
  <c r="O38" i="2"/>
  <c r="L38" i="2"/>
  <c r="I38" i="2"/>
  <c r="F38" i="2"/>
  <c r="O37" i="2"/>
  <c r="L37" i="2"/>
  <c r="I37" i="2"/>
  <c r="F37" i="2"/>
  <c r="O36" i="2"/>
  <c r="L36" i="2"/>
  <c r="I36" i="2"/>
  <c r="F36" i="2"/>
  <c r="O35" i="2"/>
  <c r="L35" i="2"/>
  <c r="I35" i="2"/>
  <c r="F35" i="2"/>
  <c r="O34" i="2"/>
  <c r="L34" i="2"/>
  <c r="I34" i="2"/>
  <c r="F34" i="2"/>
  <c r="O33" i="2"/>
  <c r="L33" i="2"/>
  <c r="I33" i="2"/>
  <c r="F33" i="2"/>
  <c r="O32" i="2"/>
  <c r="L32" i="2"/>
  <c r="I32" i="2"/>
  <c r="F32" i="2"/>
  <c r="O31" i="2"/>
  <c r="L31" i="2"/>
  <c r="I31" i="2"/>
  <c r="F31" i="2"/>
  <c r="O30" i="2"/>
  <c r="L30" i="2"/>
  <c r="I30" i="2"/>
  <c r="F30" i="2"/>
  <c r="O29" i="2"/>
  <c r="L29" i="2"/>
  <c r="I29" i="2"/>
  <c r="F29" i="2"/>
  <c r="O28" i="2"/>
  <c r="L28" i="2"/>
  <c r="I28" i="2"/>
  <c r="F28" i="2"/>
  <c r="O27" i="2"/>
  <c r="L27" i="2"/>
  <c r="I27" i="2"/>
  <c r="F27" i="2"/>
  <c r="O26" i="2"/>
  <c r="L26" i="2"/>
  <c r="I26" i="2"/>
  <c r="F26" i="2"/>
  <c r="O25" i="2"/>
  <c r="L25" i="2"/>
  <c r="I25" i="2"/>
  <c r="F25" i="2"/>
  <c r="O24" i="2"/>
  <c r="L24" i="2"/>
  <c r="I24" i="2"/>
  <c r="F24" i="2"/>
  <c r="O23" i="2"/>
  <c r="L23" i="2"/>
  <c r="I23" i="2"/>
  <c r="F23" i="2"/>
  <c r="O22" i="2"/>
  <c r="L22" i="2"/>
  <c r="I22" i="2"/>
  <c r="F22" i="2"/>
  <c r="O21" i="2"/>
  <c r="L21" i="2"/>
  <c r="I21" i="2"/>
  <c r="F21" i="2"/>
  <c r="O20" i="2"/>
  <c r="L20" i="2"/>
  <c r="I20" i="2"/>
  <c r="F20" i="2"/>
  <c r="O19" i="2"/>
  <c r="L19" i="2"/>
  <c r="I19" i="2"/>
  <c r="F19" i="2"/>
  <c r="O18" i="2"/>
  <c r="L18" i="2"/>
  <c r="I18" i="2"/>
  <c r="F18" i="2"/>
  <c r="O17" i="2"/>
  <c r="L17" i="2"/>
  <c r="I17" i="2"/>
  <c r="F17" i="2"/>
  <c r="O16" i="2"/>
  <c r="L16" i="2"/>
  <c r="I16" i="2"/>
  <c r="F16" i="2"/>
  <c r="O15" i="2"/>
  <c r="L15" i="2"/>
  <c r="I15" i="2"/>
  <c r="F15" i="2"/>
  <c r="O14" i="2"/>
  <c r="L14" i="2"/>
  <c r="I14" i="2"/>
  <c r="F14" i="2"/>
  <c r="O13" i="2"/>
  <c r="L13" i="2"/>
  <c r="I13" i="2"/>
  <c r="F13" i="2"/>
  <c r="O12" i="2"/>
  <c r="L12" i="2"/>
  <c r="I12" i="2"/>
  <c r="F12" i="2"/>
  <c r="O11" i="2"/>
  <c r="L11" i="2"/>
  <c r="I11" i="2"/>
  <c r="F11" i="2"/>
</calcChain>
</file>

<file path=xl/sharedStrings.xml><?xml version="1.0" encoding="utf-8"?>
<sst xmlns="http://schemas.openxmlformats.org/spreadsheetml/2006/main" count="1015" uniqueCount="147">
  <si>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</si>
  <si>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</si>
  <si>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</si>
  <si>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</si>
  <si>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</si>
  <si>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</si>
  <si>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</si>
  <si>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</si>
  <si>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</si>
  <si>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</si>
  <si>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&gt;0.16u</t>
  </si>
  <si>
    <t>&gt;0.5u</t>
  </si>
  <si>
    <t>AC</t>
  </si>
  <si>
    <t>Date (MM/DD/YYYY)</t>
  </si>
  <si>
    <t>LOAD
LOCK</t>
  </si>
  <si>
    <t>Pre
CP</t>
  </si>
  <si>
    <t>Post CP</t>
  </si>
  <si>
    <t>Delta CP 0.16u</t>
  </si>
  <si>
    <t>Delta CP 0.5u</t>
  </si>
  <si>
    <t>Post
CP</t>
  </si>
  <si>
    <t>Delta CP AC</t>
  </si>
  <si>
    <t>UCL</t>
  </si>
  <si>
    <t>USL</t>
  </si>
  <si>
    <t>Result</t>
  </si>
  <si>
    <t xml:space="preserve"> Employee code</t>
  </si>
  <si>
    <t>LPDN values</t>
  </si>
  <si>
    <t>Remarks</t>
  </si>
  <si>
    <t>CPX</t>
  </si>
  <si>
    <t>A</t>
  </si>
  <si>
    <t>B</t>
  </si>
  <si>
    <t>CONVENTIONAL CP</t>
  </si>
  <si>
    <t>CPX(LPDN pre-1 post-2)</t>
  </si>
  <si>
    <t>CPX(LPDN pre-3 post-2)</t>
  </si>
  <si>
    <t>CPX(LPDN pre-2 post-6)</t>
  </si>
  <si>
    <t>BARC CP</t>
  </si>
  <si>
    <t>CPX(LPDN pre-2 post-2)</t>
  </si>
  <si>
    <t>CPX(LPDN pre-1 post-4)</t>
  </si>
  <si>
    <t>CPX(LPDN pre-7 post-6)</t>
  </si>
  <si>
    <t>CPX(LPDN pre-0 post-2)</t>
  </si>
  <si>
    <t>CPX(LPDN pre-02 post-4)</t>
  </si>
  <si>
    <t>CPX(LPDN pre-0 2post-3)</t>
  </si>
  <si>
    <t>CPX(LPDN pre-0, post-2)</t>
  </si>
  <si>
    <t>CPX(LPDN pre-1, post-24)</t>
  </si>
  <si>
    <t>CPX(LPDN pre-0, post-4)</t>
  </si>
  <si>
    <t>CPX(LPDN pre-1, post-1)</t>
  </si>
  <si>
    <t>LLB</t>
  </si>
  <si>
    <t>CPX(LPDN pre-7, post-10)</t>
  </si>
  <si>
    <t>CPX(LPDN pre-6, post-4)</t>
  </si>
  <si>
    <t>CPX(LPDN pre-1, post-4)</t>
  </si>
  <si>
    <t>CPX(LPDN pre-3, post-5)</t>
  </si>
  <si>
    <t>LLA</t>
  </si>
  <si>
    <t>CPX(LPDN pre-1, post-11)</t>
  </si>
  <si>
    <t>CPX(LPDN pre-5, post-4)</t>
  </si>
  <si>
    <t>CPX(LPDN pre-2, post-2)</t>
  </si>
  <si>
    <t>CPX(LPDN pre-4, post-4)</t>
  </si>
  <si>
    <t>CPX(LPDN pre-1 post-3)</t>
  </si>
  <si>
    <t>Wf#16, CONV. CP</t>
  </si>
  <si>
    <t>CPX(LPDN pre-1 post-1)</t>
  </si>
  <si>
    <t>Wf#18, BARC CP</t>
  </si>
  <si>
    <t>AFTER FOCUS RING CHANGE Wf#16, CONV. CP</t>
  </si>
  <si>
    <t>CPX(LPDN pre-1 post-6)</t>
  </si>
  <si>
    <t>Wf#16</t>
  </si>
  <si>
    <t>CPX(LPDN pre-3 post-13)</t>
  </si>
  <si>
    <t>Wf#18, BARC CP. SRS review shows Si &amp; O</t>
  </si>
  <si>
    <t>CPX(LPDN pre-3 post-5)</t>
  </si>
  <si>
    <t>CPX(LPDN pre-1 post-0)</t>
  </si>
  <si>
    <t>CPX(LPDN pre-4 post-5)</t>
  </si>
  <si>
    <t>QC after Overnight ch purge 
CONVENTIONAL Wf#16</t>
  </si>
  <si>
    <t>CPX(LPDN pre-5 post-5)</t>
  </si>
  <si>
    <t>102/121</t>
  </si>
  <si>
    <t xml:space="preserve">AFTER 2hrs CH B PURGE </t>
  </si>
  <si>
    <t>1534/1428/1159</t>
  </si>
  <si>
    <t>STD CP</t>
  </si>
  <si>
    <t>CPX(LPDN pre-1 post-01)</t>
  </si>
  <si>
    <t>NEW CP</t>
  </si>
  <si>
    <t>CPX(LPDN pre-1 post-34)</t>
  </si>
  <si>
    <t>NEW CP WF#09</t>
  </si>
  <si>
    <t>CPX(LPDN pre-4 post-04)</t>
  </si>
  <si>
    <t>CONVENTIONAL CP  wf#16</t>
  </si>
  <si>
    <t>CPX(LPDN pre-35 post-68)</t>
  </si>
  <si>
    <t>CPX(LPDN pre-33 post-36)</t>
  </si>
  <si>
    <t>CONV CP</t>
  </si>
  <si>
    <t>CPX(LPDN pre-36 post-71)</t>
  </si>
  <si>
    <t>CPX(LPDN pre-30 post-60)</t>
  </si>
  <si>
    <t>CONV CP, BEFORE MP 22 LOT RUN</t>
  </si>
  <si>
    <t>CPX(LPDN pre-26 post-59)</t>
  </si>
  <si>
    <t>CONV CP, AFTER MP 22 LOT RUN</t>
  </si>
  <si>
    <t>CPX(LPDN pre-2 post-0)</t>
  </si>
  <si>
    <t>CPX(LPDN pre-0 post-10)</t>
  </si>
  <si>
    <t>CPX(LPDN pre-2 post-)</t>
  </si>
  <si>
    <t>CONV CP, CP DONE AFTER RUNNING BACKSIDE CONT. LOT MP20</t>
  </si>
  <si>
    <t>CPX(LPDN pre-0 post-)</t>
  </si>
  <si>
    <t>BARC CP, CP DONE AFTER RUNNING BACKSIDE CONT. LOT MP20</t>
  </si>
  <si>
    <t>CPX(LPDN pre-0 post-1)</t>
  </si>
  <si>
    <t>CPX(LPDN pre-0 post-4)</t>
  </si>
  <si>
    <t>CPX(LPDN pre-2 post-1)</t>
  </si>
  <si>
    <t>CPX(LPDN pre-0 post-0)</t>
  </si>
  <si>
    <t xml:space="preserve">CONV CP, AFTER 2.5HR OF CH PURGE </t>
  </si>
  <si>
    <t xml:space="preserve">BARC CP, AFTER 2.5HR OF CH PURGE </t>
  </si>
  <si>
    <t xml:space="preserve">BARC CP, AFTER 1 HR CH PURGE </t>
  </si>
  <si>
    <t>CPX(LPDN pre-6 post-2)</t>
  </si>
  <si>
    <t xml:space="preserve">BARC CP, AFTER 30 MIN CH PURGE </t>
  </si>
  <si>
    <t>CONV CP, After 1 hr Ch Purge</t>
  </si>
  <si>
    <t>CONV CP, After CH RF PM, 25 wfs seasoning without DUMMY-2</t>
  </si>
  <si>
    <t>BARC CP, After CH RF PM, 25 wfs seasoning</t>
  </si>
  <si>
    <t>1534/102</t>
  </si>
  <si>
    <t>CONV CP, 50 wfs seasoning without DUMMY-2</t>
  </si>
  <si>
    <t>BARC CP, 50 wfs seasoning</t>
  </si>
  <si>
    <t>1534/121</t>
  </si>
  <si>
    <t>CPX(LPDN pre-0 post-5)</t>
  </si>
  <si>
    <t>CONV CP, 75 wfs seasoning without DUMMY-2</t>
  </si>
  <si>
    <t>CPX(LPDN pre-0 post-52)</t>
  </si>
  <si>
    <t>BARC CP, 75 wfs seasoning &amp; Eng Dry Clean</t>
  </si>
  <si>
    <t>NOX 1000 wf, BARC CP, 75 wfs seasoning &amp; Eng Dry Clean</t>
  </si>
  <si>
    <t>CPX(LPDN pre-4 post-2)</t>
  </si>
  <si>
    <t>CONV CP without DUMMY-2</t>
  </si>
  <si>
    <t>BARC CP without Eng Dry Clean</t>
  </si>
  <si>
    <t>CPX(LPDN pre-5 post-9)</t>
  </si>
  <si>
    <t>CONV CP without DUMMY-2. std 3 Si wf seasoning</t>
  </si>
  <si>
    <t>CPX(LPDN pre-1 post-13)</t>
  </si>
  <si>
    <t>BARC CP without Eng Dry Clean, std 3 Si wf seasoning</t>
  </si>
  <si>
    <r>
      <t xml:space="preserve">BARC CP without Eng Dry Clean, std 3 Si wf seasoning. </t>
    </r>
    <r>
      <rPr>
        <b/>
        <sz val="10"/>
        <color theme="1"/>
        <rFont val="Arial"/>
        <family val="2"/>
      </rPr>
      <t>One time used wf</t>
    </r>
  </si>
  <si>
    <t>BARC CP w/o Eng Dry Clean, std 3 Si wf seasoning, but 1 wf run in Eng-Dry-Clean a day before</t>
  </si>
  <si>
    <t>BARC CP without Eng Dry Clean, purging 30 min &amp; std 8 Si wf seasoning</t>
  </si>
  <si>
    <t>CPX(LPDN pre-5 post-12)</t>
  </si>
  <si>
    <t>CPX(LPDN pre-4 post-8)</t>
  </si>
  <si>
    <t>BARC CP without Eng Dry Clean, std 5 Si wf seasoning</t>
  </si>
  <si>
    <t>After fab shutdown. CONV CP without DUMMY-2, std 3 Si wf seasoning</t>
  </si>
  <si>
    <t>After fab shutdown. BARC CP without Eng Dry Clean, std 3 Si wf seasoning</t>
  </si>
  <si>
    <t>CPX(LPDN pre-2, post-3)</t>
  </si>
  <si>
    <t>BARC CP without Eng Dry Clean, 8 std Si wf seasoning</t>
  </si>
  <si>
    <t>CPX(LPDN pre-3, post-10)</t>
  </si>
  <si>
    <t>BARC CP without Eng Dry Clean, 5 std Si wf seasoning</t>
  </si>
  <si>
    <t>CPX(LPDN pre-5, post-447)</t>
  </si>
  <si>
    <t xml:space="preserve">BARC CP with Eng Dry Clean, </t>
  </si>
  <si>
    <t>CPX(LPDN pre-5 post-3)</t>
  </si>
  <si>
    <t>CPX(LPDN pre-8, post-11)</t>
  </si>
  <si>
    <t xml:space="preserve">CONV. CP with0UT Eng Dry Clean, </t>
  </si>
  <si>
    <t>CPX(LPDN pre-1, post-6)</t>
  </si>
  <si>
    <t xml:space="preserve">BARC CP with0UT Eng Dry Clean, </t>
  </si>
  <si>
    <t>CPX(LPDN pre-4, post-6)</t>
  </si>
  <si>
    <t>CPX(LPDN pre-1, post-3)</t>
  </si>
  <si>
    <t>CPX(LPDN pre-3, post-4)</t>
  </si>
  <si>
    <t>CPX(LPDN pre-6, post-7)</t>
  </si>
  <si>
    <t>CP type</t>
  </si>
  <si>
    <t>.</t>
  </si>
  <si>
    <t>BARC CP without Eng Dry Clean, std 3 Si wf seasoning. One time used wf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</si>
</sst>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0"/>
      <color indexed="23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33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67">
    <xf numFmtId="0" fontId="0" fillId="0" borderId="0" xfId="0"/>
    <xf numFmtId="0" fontId="3" fillId="2" borderId="0" xfId="1" applyFont="1" applyFill="1" applyAlignment="1">
      <alignment horizontal="center" vertical="center"/>
    </xf>
    <xf numFmtId="164" fontId="2" fillId="2" borderId="0" xfId="1" applyNumberFormat="1" applyFont="1" applyFill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164" fontId="4" fillId="2" borderId="2" xfId="1" applyNumberFormat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164" fontId="7" fillId="0" borderId="0" xfId="2" applyNumberFormat="1" applyFont="1" applyAlignment="1">
      <alignment horizontal="center" vertical="center" wrapText="1"/>
    </xf>
    <xf numFmtId="164" fontId="7" fillId="0" borderId="3" xfId="2" applyNumberFormat="1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/>
    </xf>
    <xf numFmtId="0" fontId="8" fillId="0" borderId="3" xfId="2" applyFont="1" applyBorder="1" applyAlignment="1">
      <alignment horizontal="center" vertical="center"/>
    </xf>
    <xf numFmtId="0" fontId="4" fillId="2" borderId="7" xfId="1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164" fontId="7" fillId="0" borderId="8" xfId="2" applyNumberFormat="1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7" fillId="0" borderId="9" xfId="2" applyFont="1" applyBorder="1" applyAlignment="1">
      <alignment horizontal="center" vertical="center"/>
    </xf>
    <xf numFmtId="164" fontId="9" fillId="0" borderId="10" xfId="2" applyNumberFormat="1" applyFont="1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 wrapText="1"/>
    </xf>
    <xf numFmtId="0" fontId="9" fillId="0" borderId="10" xfId="2" applyFont="1" applyBorder="1" applyAlignment="1">
      <alignment horizontal="center" vertical="center" wrapText="1"/>
    </xf>
    <xf numFmtId="0" fontId="9" fillId="0" borderId="11" xfId="2" applyFont="1" applyBorder="1" applyAlignment="1">
      <alignment horizontal="center" vertical="center" wrapText="1"/>
    </xf>
    <xf numFmtId="0" fontId="9" fillId="0" borderId="12" xfId="2" applyFont="1" applyBorder="1" applyAlignment="1">
      <alignment horizontal="center" vertical="center" wrapText="1"/>
    </xf>
    <xf numFmtId="0" fontId="9" fillId="0" borderId="13" xfId="2" applyFont="1" applyBorder="1" applyAlignment="1">
      <alignment horizontal="center" vertical="center" wrapText="1"/>
    </xf>
    <xf numFmtId="0" fontId="9" fillId="0" borderId="14" xfId="2" applyFont="1" applyBorder="1" applyAlignment="1">
      <alignment horizontal="center" vertical="center" wrapText="1"/>
    </xf>
    <xf numFmtId="0" fontId="9" fillId="0" borderId="11" xfId="2" applyFont="1" applyBorder="1" applyAlignment="1">
      <alignment horizontal="center" vertical="center"/>
    </xf>
    <xf numFmtId="0" fontId="10" fillId="0" borderId="12" xfId="2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4" fontId="11" fillId="0" borderId="15" xfId="1" applyNumberFormat="1" applyFont="1" applyBorder="1" applyAlignment="1">
      <alignment horizontal="center" vertical="center"/>
    </xf>
    <xf numFmtId="0" fontId="1" fillId="0" borderId="16" xfId="1" applyBorder="1" applyAlignment="1">
      <alignment horizontal="center" vertical="center"/>
    </xf>
    <xf numFmtId="0" fontId="12" fillId="0" borderId="15" xfId="1" applyFont="1" applyBorder="1" applyAlignment="1">
      <alignment horizontal="center" vertical="center"/>
    </xf>
    <xf numFmtId="0" fontId="1" fillId="0" borderId="15" xfId="1" applyBorder="1" applyAlignment="1">
      <alignment horizontal="center" vertical="center"/>
    </xf>
    <xf numFmtId="0" fontId="1" fillId="0" borderId="17" xfId="1" applyBorder="1" applyAlignment="1">
      <alignment horizontal="center" vertical="center"/>
    </xf>
    <xf numFmtId="0" fontId="1" fillId="0" borderId="18" xfId="1" applyBorder="1" applyAlignment="1">
      <alignment horizontal="center" vertical="center"/>
    </xf>
    <xf numFmtId="0" fontId="1" fillId="0" borderId="19" xfId="1" applyBorder="1" applyAlignment="1">
      <alignment horizontal="center" vertical="center"/>
    </xf>
    <xf numFmtId="0" fontId="1" fillId="3" borderId="15" xfId="1" applyFill="1" applyBorder="1" applyAlignment="1">
      <alignment horizontal="center" vertical="center"/>
    </xf>
    <xf numFmtId="0" fontId="1" fillId="3" borderId="0" xfId="1" applyFill="1" applyAlignment="1">
      <alignment horizontal="center" vertical="center"/>
    </xf>
    <xf numFmtId="0" fontId="1" fillId="0" borderId="0" xfId="1" applyAlignment="1">
      <alignment horizontal="center" vertical="center" wrapText="1"/>
    </xf>
    <xf numFmtId="164" fontId="11" fillId="3" borderId="15" xfId="1" applyNumberFormat="1" applyFont="1" applyFill="1" applyBorder="1" applyAlignment="1">
      <alignment horizontal="center" vertical="center"/>
    </xf>
    <xf numFmtId="0" fontId="1" fillId="3" borderId="16" xfId="1" applyFill="1" applyBorder="1" applyAlignment="1">
      <alignment horizontal="center" vertical="center"/>
    </xf>
    <xf numFmtId="0" fontId="1" fillId="3" borderId="17" xfId="1" applyFill="1" applyBorder="1" applyAlignment="1">
      <alignment horizontal="center" vertical="center"/>
    </xf>
    <xf numFmtId="0" fontId="1" fillId="3" borderId="18" xfId="1" applyFill="1" applyBorder="1" applyAlignment="1">
      <alignment horizontal="center" vertical="center"/>
    </xf>
    <xf numFmtId="0" fontId="1" fillId="3" borderId="19" xfId="1" applyFill="1" applyBorder="1" applyAlignment="1">
      <alignment horizontal="center" vertical="center"/>
    </xf>
    <xf numFmtId="0" fontId="12" fillId="3" borderId="15" xfId="1" applyFont="1" applyFill="1" applyBorder="1" applyAlignment="1">
      <alignment horizontal="center" vertical="center"/>
    </xf>
    <xf numFmtId="0" fontId="11" fillId="0" borderId="15" xfId="1" applyFont="1" applyBorder="1" applyAlignment="1">
      <alignment horizontal="center" vertical="center"/>
    </xf>
    <xf numFmtId="0" fontId="11" fillId="4" borderId="15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164" fontId="7" fillId="0" borderId="0" xfId="2" applyNumberFormat="1" applyFont="1" applyBorder="1" applyAlignment="1">
      <alignment horizontal="center" vertical="center" wrapText="1"/>
    </xf>
    <xf numFmtId="164" fontId="7" fillId="0" borderId="20" xfId="2" applyNumberFormat="1" applyFont="1" applyBorder="1" applyAlignment="1">
      <alignment horizontal="center" vertical="center" wrapText="1"/>
    </xf>
    <xf numFmtId="0" fontId="1" fillId="0" borderId="21" xfId="1" applyBorder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7" fillId="0" borderId="6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</cellXfs>
  <cellStyles count="3">
    <cellStyle name="Normal" xfId="0" builtinId="0"/>
    <cellStyle name="Normal 2" xfId="1" xr:uid="{CA517F7E-4E5B-4FC5-936D-52DE35E8B92B}"/>
    <cellStyle name="Normal 3" xfId="2" xr:uid="{CA08A52D-E3ED-465B-AFAC-6214579579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0B4F3-2410-46C5-9661-1AFD814B4805}">
  <sheetPr codeName="Sheet12"/>
  <dimension ref="A1:U132"/>
  <sheetViews>
    <sheetView zoomScale="85" zoomScaleNormal="85" workbookViewId="0">
      <pane ySplit="10" topLeftCell="A38" activePane="bottomLeft" state="frozen"/>
      <selection pane="bottomLeft" activeCell="A45" sqref="A45"/>
    </sheetView>
  </sheetViews>
  <sheetFormatPr defaultColWidth="9.77734375" defaultRowHeight="14.1" customHeight="1" x14ac:dyDescent="0.3"/>
  <cols>
    <col min="1" max="1" width="11.109375" style="7" customWidth="1"/>
    <col min="2" max="2" width="7.6640625" style="7" customWidth="1"/>
    <col min="3" max="3" width="19.5546875" style="7" customWidth="1"/>
    <col min="4" max="4" width="6.44140625" style="7" customWidth="1"/>
    <col min="5" max="5" width="6" style="7" customWidth="1"/>
    <col min="6" max="6" width="8.109375" style="7" customWidth="1"/>
    <col min="7" max="7" width="5.77734375" style="7" customWidth="1"/>
    <col min="8" max="8" width="6.109375" style="7" customWidth="1"/>
    <col min="9" max="9" width="7.21875" style="7" customWidth="1"/>
    <col min="10" max="10" width="6.109375" style="7" customWidth="1"/>
    <col min="11" max="11" width="6" style="7" customWidth="1"/>
    <col min="12" max="12" width="7" style="7" customWidth="1"/>
    <col min="13" max="14" width="6.88671875" style="7" customWidth="1"/>
    <col min="15" max="16" width="11.6640625" style="7" customWidth="1"/>
    <col min="17" max="17" width="26.109375" style="7" customWidth="1"/>
    <col min="18" max="18" width="69.88671875" style="7" customWidth="1"/>
    <col min="19" max="16384" width="9.77734375" style="7"/>
  </cols>
  <sheetData>
    <row r="1" spans="1:18" s="1" customFormat="1" ht="14.1" customHeight="1" x14ac:dyDescent="0.3">
      <c r="A1" s="56" t="s">
        <v>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1:18" ht="14.1" customHeight="1" x14ac:dyDescent="0.3">
      <c r="A2" s="2" t="s">
        <v>1</v>
      </c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P2" s="3"/>
      <c r="Q2" s="6" t="s">
        <v>2</v>
      </c>
    </row>
    <row r="3" spans="1:18" ht="14.1" customHeight="1" x14ac:dyDescent="0.3">
      <c r="A3" s="2" t="s">
        <v>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8" t="s">
        <v>4</v>
      </c>
      <c r="P3" s="58"/>
      <c r="Q3" s="59"/>
    </row>
    <row r="4" spans="1:18" ht="14.1" customHeight="1" x14ac:dyDescent="0.3">
      <c r="A4" s="2" t="s">
        <v>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 t="s">
        <v>6</v>
      </c>
      <c r="Q4" s="8"/>
    </row>
    <row r="5" spans="1:18" ht="14.1" customHeight="1" x14ac:dyDescent="0.3">
      <c r="A5" s="2" t="s">
        <v>7</v>
      </c>
      <c r="B5" s="9"/>
      <c r="C5" s="9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8"/>
    </row>
    <row r="6" spans="1:18" ht="14.1" customHeight="1" x14ac:dyDescent="0.3">
      <c r="A6" s="2" t="s">
        <v>8</v>
      </c>
      <c r="B6" s="9"/>
      <c r="C6" s="9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8"/>
    </row>
    <row r="7" spans="1:18" ht="14.1" customHeight="1" thickBot="1" x14ac:dyDescent="0.35">
      <c r="A7" s="10"/>
      <c r="B7" s="11"/>
      <c r="C7" s="52"/>
      <c r="D7" s="5"/>
      <c r="E7" s="5"/>
      <c r="F7" s="5"/>
      <c r="G7" s="5"/>
      <c r="H7" s="5"/>
      <c r="I7" s="5"/>
      <c r="J7" s="5"/>
      <c r="K7" s="5"/>
      <c r="L7" s="5"/>
      <c r="M7" s="12"/>
      <c r="N7" s="12"/>
      <c r="O7" s="12"/>
      <c r="P7" s="12"/>
    </row>
    <row r="8" spans="1:18" s="19" customFormat="1" ht="14.1" customHeight="1" thickBot="1" x14ac:dyDescent="0.35">
      <c r="A8" s="13"/>
      <c r="B8" s="14"/>
      <c r="C8" s="53"/>
      <c r="D8" s="60" t="s">
        <v>9</v>
      </c>
      <c r="E8" s="61"/>
      <c r="F8" s="61"/>
      <c r="G8" s="61"/>
      <c r="H8" s="61"/>
      <c r="I8" s="61"/>
      <c r="J8" s="61"/>
      <c r="K8" s="61"/>
      <c r="L8" s="62"/>
      <c r="M8" s="15"/>
      <c r="N8" s="15"/>
      <c r="O8" s="16"/>
      <c r="P8" s="17"/>
      <c r="Q8" s="18"/>
    </row>
    <row r="9" spans="1:18" s="19" customFormat="1" ht="14.1" customHeight="1" thickBot="1" x14ac:dyDescent="0.35">
      <c r="A9" s="13"/>
      <c r="B9" s="20"/>
      <c r="C9" s="54"/>
      <c r="D9" s="60" t="s">
        <v>10</v>
      </c>
      <c r="E9" s="61"/>
      <c r="F9" s="62"/>
      <c r="G9" s="60" t="s">
        <v>11</v>
      </c>
      <c r="H9" s="61"/>
      <c r="I9" s="62"/>
      <c r="J9" s="60" t="s">
        <v>12</v>
      </c>
      <c r="K9" s="61"/>
      <c r="L9" s="62"/>
      <c r="M9" s="21"/>
      <c r="N9" s="21"/>
      <c r="O9" s="22"/>
      <c r="Q9" s="23"/>
    </row>
    <row r="10" spans="1:18" s="33" customFormat="1" ht="64.5" customHeight="1" thickBot="1" x14ac:dyDescent="0.35">
      <c r="A10" s="24" t="s">
        <v>13</v>
      </c>
      <c r="B10" s="63" t="s">
        <v>14</v>
      </c>
      <c r="C10" s="25" t="s">
        <v>144</v>
      </c>
      <c r="D10" s="26" t="s">
        <v>15</v>
      </c>
      <c r="E10" s="27" t="s">
        <v>16</v>
      </c>
      <c r="F10" s="28" t="s">
        <v>17</v>
      </c>
      <c r="G10" s="29" t="s">
        <v>15</v>
      </c>
      <c r="H10" s="27" t="s">
        <v>16</v>
      </c>
      <c r="I10" s="30" t="s">
        <v>18</v>
      </c>
      <c r="J10" s="26" t="s">
        <v>15</v>
      </c>
      <c r="K10" s="27" t="s">
        <v>19</v>
      </c>
      <c r="L10" s="28" t="s">
        <v>20</v>
      </c>
      <c r="M10" s="29" t="s">
        <v>21</v>
      </c>
      <c r="N10" s="27" t="s">
        <v>22</v>
      </c>
      <c r="O10" s="31" t="s">
        <v>23</v>
      </c>
      <c r="P10" s="31" t="s">
        <v>24</v>
      </c>
      <c r="Q10" s="31" t="s">
        <v>25</v>
      </c>
      <c r="R10" s="32" t="s">
        <v>26</v>
      </c>
    </row>
    <row r="11" spans="1:18" ht="14.1" customHeight="1" x14ac:dyDescent="0.3">
      <c r="A11" s="34">
        <v>44176</v>
      </c>
      <c r="B11" s="35" t="s">
        <v>29</v>
      </c>
      <c r="C11" s="55" t="s">
        <v>30</v>
      </c>
      <c r="D11" s="38">
        <v>20</v>
      </c>
      <c r="E11" s="37">
        <v>21</v>
      </c>
      <c r="F11" s="39">
        <f t="shared" ref="F11:F61" si="0">IF(E11="","",(E11-D11))</f>
        <v>1</v>
      </c>
      <c r="G11" s="38">
        <v>10</v>
      </c>
      <c r="H11" s="37">
        <v>10</v>
      </c>
      <c r="I11" s="35">
        <f t="shared" ref="I11:I23" si="1">H11-G11</f>
        <v>0</v>
      </c>
      <c r="J11" s="38">
        <v>7</v>
      </c>
      <c r="K11" s="37">
        <v>7</v>
      </c>
      <c r="L11" s="39">
        <f t="shared" ref="L11:L57" si="2">K11-J11</f>
        <v>0</v>
      </c>
      <c r="M11" s="40">
        <v>35</v>
      </c>
      <c r="N11" s="37">
        <v>50</v>
      </c>
      <c r="O11" s="36" t="str">
        <f t="shared" ref="O11:O18" si="3">IF(F11="","",IF(F11&lt;=M11,"Pass","Fail"))</f>
        <v>Pass</v>
      </c>
      <c r="P11" s="37">
        <v>121</v>
      </c>
      <c r="Q11" s="35" t="s">
        <v>32</v>
      </c>
      <c r="R11" s="7" t="s">
        <v>30</v>
      </c>
    </row>
    <row r="12" spans="1:18" ht="14.1" customHeight="1" x14ac:dyDescent="0.3">
      <c r="A12" s="34">
        <v>44176</v>
      </c>
      <c r="B12" s="35" t="s">
        <v>28</v>
      </c>
      <c r="C12" s="7" t="s">
        <v>34</v>
      </c>
      <c r="D12" s="38">
        <v>21</v>
      </c>
      <c r="E12" s="37">
        <v>20</v>
      </c>
      <c r="F12" s="39">
        <f t="shared" si="0"/>
        <v>-1</v>
      </c>
      <c r="G12" s="38">
        <v>10</v>
      </c>
      <c r="H12" s="37">
        <v>9</v>
      </c>
      <c r="I12" s="35">
        <f t="shared" si="1"/>
        <v>-1</v>
      </c>
      <c r="J12" s="38">
        <v>7</v>
      </c>
      <c r="K12" s="37">
        <v>6</v>
      </c>
      <c r="L12" s="39">
        <f t="shared" si="2"/>
        <v>-1</v>
      </c>
      <c r="M12" s="40">
        <v>35</v>
      </c>
      <c r="N12" s="37">
        <v>50</v>
      </c>
      <c r="O12" s="36" t="str">
        <f t="shared" si="3"/>
        <v>Pass</v>
      </c>
      <c r="P12" s="37">
        <v>121</v>
      </c>
      <c r="Q12" s="35" t="s">
        <v>33</v>
      </c>
      <c r="R12" s="7" t="s">
        <v>34</v>
      </c>
    </row>
    <row r="13" spans="1:18" ht="14.1" customHeight="1" x14ac:dyDescent="0.3">
      <c r="A13" s="34">
        <v>44179</v>
      </c>
      <c r="B13" s="35" t="s">
        <v>29</v>
      </c>
      <c r="C13" s="55" t="s">
        <v>30</v>
      </c>
      <c r="D13" s="38">
        <v>5</v>
      </c>
      <c r="E13" s="37">
        <v>11</v>
      </c>
      <c r="F13" s="39">
        <f t="shared" si="0"/>
        <v>6</v>
      </c>
      <c r="G13" s="38">
        <v>1</v>
      </c>
      <c r="H13" s="37">
        <v>2</v>
      </c>
      <c r="I13" s="35">
        <f t="shared" si="1"/>
        <v>1</v>
      </c>
      <c r="J13" s="38">
        <v>1</v>
      </c>
      <c r="K13" s="37">
        <v>2</v>
      </c>
      <c r="L13" s="39">
        <f t="shared" si="2"/>
        <v>1</v>
      </c>
      <c r="M13" s="40">
        <v>35</v>
      </c>
      <c r="N13" s="37">
        <v>50</v>
      </c>
      <c r="O13" s="36" t="str">
        <f t="shared" si="3"/>
        <v>Pass</v>
      </c>
      <c r="P13" s="37">
        <v>1340</v>
      </c>
      <c r="Q13" s="35" t="s">
        <v>35</v>
      </c>
      <c r="R13" s="7" t="s">
        <v>30</v>
      </c>
    </row>
    <row r="14" spans="1:18" ht="14.1" customHeight="1" x14ac:dyDescent="0.3">
      <c r="A14" s="34">
        <v>44179</v>
      </c>
      <c r="B14" s="35" t="s">
        <v>28</v>
      </c>
      <c r="C14" s="7" t="s">
        <v>34</v>
      </c>
      <c r="D14" s="38">
        <v>6</v>
      </c>
      <c r="E14" s="37">
        <v>17</v>
      </c>
      <c r="F14" s="39">
        <f t="shared" si="0"/>
        <v>11</v>
      </c>
      <c r="G14" s="38">
        <v>2</v>
      </c>
      <c r="H14" s="37">
        <v>4</v>
      </c>
      <c r="I14" s="35">
        <f t="shared" si="1"/>
        <v>2</v>
      </c>
      <c r="J14" s="38">
        <v>2</v>
      </c>
      <c r="K14" s="37">
        <v>2</v>
      </c>
      <c r="L14" s="39">
        <f t="shared" si="2"/>
        <v>0</v>
      </c>
      <c r="M14" s="40">
        <v>35</v>
      </c>
      <c r="N14" s="37">
        <v>50</v>
      </c>
      <c r="O14" s="36" t="str">
        <f t="shared" si="3"/>
        <v>Pass</v>
      </c>
      <c r="P14" s="37">
        <v>1340</v>
      </c>
      <c r="Q14" s="35" t="s">
        <v>31</v>
      </c>
      <c r="R14" s="7" t="s">
        <v>34</v>
      </c>
    </row>
    <row r="15" spans="1:18" ht="14.1" customHeight="1" x14ac:dyDescent="0.3">
      <c r="A15" s="34">
        <v>44182</v>
      </c>
      <c r="B15" s="35" t="s">
        <v>29</v>
      </c>
      <c r="C15" s="55" t="s">
        <v>30</v>
      </c>
      <c r="D15" s="38">
        <v>4</v>
      </c>
      <c r="E15" s="37">
        <v>10</v>
      </c>
      <c r="F15" s="39">
        <f t="shared" si="0"/>
        <v>6</v>
      </c>
      <c r="G15" s="38">
        <v>1</v>
      </c>
      <c r="H15" s="37">
        <v>1</v>
      </c>
      <c r="I15" s="35">
        <f t="shared" si="1"/>
        <v>0</v>
      </c>
      <c r="J15" s="38">
        <v>0</v>
      </c>
      <c r="K15" s="37">
        <v>1</v>
      </c>
      <c r="L15" s="39">
        <f t="shared" si="2"/>
        <v>1</v>
      </c>
      <c r="M15" s="40">
        <v>35</v>
      </c>
      <c r="N15" s="37">
        <v>50</v>
      </c>
      <c r="O15" s="36" t="str">
        <f t="shared" si="3"/>
        <v>Pass</v>
      </c>
      <c r="P15" s="37">
        <v>1340</v>
      </c>
      <c r="Q15" s="35" t="s">
        <v>36</v>
      </c>
      <c r="R15" s="7" t="s">
        <v>30</v>
      </c>
    </row>
    <row r="16" spans="1:18" ht="14.1" customHeight="1" x14ac:dyDescent="0.3">
      <c r="A16" s="34">
        <v>44182</v>
      </c>
      <c r="B16" s="35" t="s">
        <v>28</v>
      </c>
      <c r="C16" s="7" t="s">
        <v>34</v>
      </c>
      <c r="D16" s="38">
        <v>9</v>
      </c>
      <c r="E16" s="37">
        <v>10</v>
      </c>
      <c r="F16" s="39">
        <f t="shared" si="0"/>
        <v>1</v>
      </c>
      <c r="G16" s="38">
        <v>0</v>
      </c>
      <c r="H16" s="37">
        <v>1</v>
      </c>
      <c r="I16" s="35">
        <f t="shared" si="1"/>
        <v>1</v>
      </c>
      <c r="J16" s="38">
        <v>0</v>
      </c>
      <c r="K16" s="37">
        <v>1</v>
      </c>
      <c r="L16" s="39">
        <f t="shared" si="2"/>
        <v>1</v>
      </c>
      <c r="M16" s="40">
        <v>35</v>
      </c>
      <c r="N16" s="37">
        <v>50</v>
      </c>
      <c r="O16" s="36" t="str">
        <f t="shared" si="3"/>
        <v>Pass</v>
      </c>
      <c r="P16" s="37">
        <v>1340</v>
      </c>
      <c r="Q16" s="35" t="s">
        <v>35</v>
      </c>
      <c r="R16" s="7" t="s">
        <v>34</v>
      </c>
    </row>
    <row r="17" spans="1:18" ht="14.1" customHeight="1" x14ac:dyDescent="0.3">
      <c r="A17" s="34">
        <v>44185</v>
      </c>
      <c r="B17" s="35" t="s">
        <v>29</v>
      </c>
      <c r="C17" s="55" t="s">
        <v>30</v>
      </c>
      <c r="D17" s="38">
        <v>49</v>
      </c>
      <c r="E17" s="37">
        <v>47</v>
      </c>
      <c r="F17" s="39">
        <f t="shared" si="0"/>
        <v>-2</v>
      </c>
      <c r="G17" s="38">
        <v>1</v>
      </c>
      <c r="H17" s="37">
        <v>1</v>
      </c>
      <c r="I17" s="35">
        <f t="shared" si="1"/>
        <v>0</v>
      </c>
      <c r="J17" s="38">
        <v>0</v>
      </c>
      <c r="K17" s="37">
        <v>0</v>
      </c>
      <c r="L17" s="39">
        <f t="shared" si="2"/>
        <v>0</v>
      </c>
      <c r="M17" s="40">
        <v>35</v>
      </c>
      <c r="N17" s="37">
        <v>50</v>
      </c>
      <c r="O17" s="36" t="str">
        <f t="shared" si="3"/>
        <v>Pass</v>
      </c>
      <c r="P17" s="37">
        <v>1340</v>
      </c>
      <c r="Q17" s="35" t="s">
        <v>37</v>
      </c>
      <c r="R17" s="7" t="s">
        <v>30</v>
      </c>
    </row>
    <row r="18" spans="1:18" ht="14.1" customHeight="1" x14ac:dyDescent="0.3">
      <c r="A18" s="34">
        <v>44185</v>
      </c>
      <c r="B18" s="35" t="s">
        <v>28</v>
      </c>
      <c r="C18" s="7" t="s">
        <v>34</v>
      </c>
      <c r="D18" s="38">
        <v>9</v>
      </c>
      <c r="E18" s="37">
        <v>17</v>
      </c>
      <c r="F18" s="39">
        <f t="shared" si="0"/>
        <v>8</v>
      </c>
      <c r="G18" s="38">
        <v>0</v>
      </c>
      <c r="H18" s="37">
        <v>1</v>
      </c>
      <c r="I18" s="35">
        <f t="shared" si="1"/>
        <v>1</v>
      </c>
      <c r="J18" s="38">
        <v>0</v>
      </c>
      <c r="K18" s="37">
        <v>0</v>
      </c>
      <c r="L18" s="39">
        <f t="shared" si="2"/>
        <v>0</v>
      </c>
      <c r="M18" s="40">
        <v>35</v>
      </c>
      <c r="N18" s="37">
        <v>50</v>
      </c>
      <c r="O18" s="36" t="str">
        <f t="shared" si="3"/>
        <v>Pass</v>
      </c>
      <c r="P18" s="37">
        <v>1340</v>
      </c>
      <c r="Q18" s="35" t="s">
        <v>38</v>
      </c>
      <c r="R18" s="7" t="s">
        <v>34</v>
      </c>
    </row>
    <row r="19" spans="1:18" ht="14.1" customHeight="1" x14ac:dyDescent="0.3">
      <c r="A19" s="34">
        <v>44188</v>
      </c>
      <c r="B19" s="35" t="s">
        <v>29</v>
      </c>
      <c r="C19" s="7" t="s">
        <v>34</v>
      </c>
      <c r="D19" s="38">
        <v>3</v>
      </c>
      <c r="E19" s="37">
        <v>39</v>
      </c>
      <c r="F19" s="39">
        <f t="shared" si="0"/>
        <v>36</v>
      </c>
      <c r="G19" s="38">
        <v>0</v>
      </c>
      <c r="H19" s="37">
        <v>7</v>
      </c>
      <c r="I19" s="35">
        <f t="shared" si="1"/>
        <v>7</v>
      </c>
      <c r="J19" s="38">
        <v>0</v>
      </c>
      <c r="K19" s="37">
        <v>3</v>
      </c>
      <c r="L19" s="39">
        <f t="shared" si="2"/>
        <v>3</v>
      </c>
      <c r="M19" s="40">
        <v>35</v>
      </c>
      <c r="N19" s="37">
        <v>50</v>
      </c>
      <c r="O19" s="36" t="str">
        <f>IF(F19="","",IF(F19&lt;=M19,"Pass","Fail"))</f>
        <v>Fail</v>
      </c>
      <c r="P19" s="37">
        <v>1519</v>
      </c>
      <c r="Q19" s="35" t="s">
        <v>37</v>
      </c>
      <c r="R19" s="7" t="s">
        <v>34</v>
      </c>
    </row>
    <row r="20" spans="1:18" ht="14.1" customHeight="1" x14ac:dyDescent="0.3">
      <c r="A20" s="34">
        <v>44188</v>
      </c>
      <c r="B20" s="35" t="s">
        <v>29</v>
      </c>
      <c r="C20" s="55" t="s">
        <v>30</v>
      </c>
      <c r="D20" s="38">
        <v>4</v>
      </c>
      <c r="E20" s="37">
        <v>14</v>
      </c>
      <c r="F20" s="39">
        <f t="shared" si="0"/>
        <v>10</v>
      </c>
      <c r="G20" s="38">
        <v>0</v>
      </c>
      <c r="H20" s="37">
        <v>4</v>
      </c>
      <c r="I20" s="35">
        <f t="shared" si="1"/>
        <v>4</v>
      </c>
      <c r="J20" s="38">
        <v>0</v>
      </c>
      <c r="K20" s="37">
        <v>3</v>
      </c>
      <c r="L20" s="39">
        <f t="shared" si="2"/>
        <v>3</v>
      </c>
      <c r="M20" s="40">
        <v>35</v>
      </c>
      <c r="N20" s="37">
        <v>50</v>
      </c>
      <c r="O20" s="36" t="str">
        <f t="shared" ref="O20:O83" si="4">IF(F20="","",IF(F20&lt;=M20,"Pass","Fail"))</f>
        <v>Pass</v>
      </c>
      <c r="P20" s="37">
        <v>1519</v>
      </c>
      <c r="Q20" s="35" t="s">
        <v>38</v>
      </c>
      <c r="R20" s="7" t="s">
        <v>30</v>
      </c>
    </row>
    <row r="21" spans="1:18" ht="14.1" customHeight="1" x14ac:dyDescent="0.3">
      <c r="A21" s="34">
        <v>44193</v>
      </c>
      <c r="B21" s="35" t="s">
        <v>29</v>
      </c>
      <c r="C21" s="7" t="s">
        <v>34</v>
      </c>
      <c r="D21" s="38">
        <v>15</v>
      </c>
      <c r="E21" s="37">
        <v>33</v>
      </c>
      <c r="F21" s="39">
        <f t="shared" si="0"/>
        <v>18</v>
      </c>
      <c r="G21" s="38">
        <v>0</v>
      </c>
      <c r="H21" s="37">
        <v>5</v>
      </c>
      <c r="I21" s="35">
        <f t="shared" si="1"/>
        <v>5</v>
      </c>
      <c r="J21" s="38">
        <v>0</v>
      </c>
      <c r="K21" s="37">
        <v>2</v>
      </c>
      <c r="L21" s="39">
        <f t="shared" si="2"/>
        <v>2</v>
      </c>
      <c r="M21" s="40">
        <v>35</v>
      </c>
      <c r="N21" s="37">
        <v>50</v>
      </c>
      <c r="O21" s="36" t="str">
        <f t="shared" si="4"/>
        <v>Pass</v>
      </c>
      <c r="P21" s="37">
        <v>1159</v>
      </c>
      <c r="Q21" s="35" t="s">
        <v>39</v>
      </c>
      <c r="R21" s="7" t="s">
        <v>34</v>
      </c>
    </row>
    <row r="22" spans="1:18" ht="14.1" customHeight="1" x14ac:dyDescent="0.3">
      <c r="A22" s="34">
        <v>44193</v>
      </c>
      <c r="B22" s="35" t="s">
        <v>29</v>
      </c>
      <c r="C22" s="55" t="s">
        <v>30</v>
      </c>
      <c r="D22" s="38">
        <v>2</v>
      </c>
      <c r="E22" s="37">
        <v>12</v>
      </c>
      <c r="F22" s="39">
        <f t="shared" si="0"/>
        <v>10</v>
      </c>
      <c r="G22" s="38">
        <v>1</v>
      </c>
      <c r="H22" s="37">
        <v>3</v>
      </c>
      <c r="I22" s="35">
        <f t="shared" si="1"/>
        <v>2</v>
      </c>
      <c r="J22" s="38">
        <v>1</v>
      </c>
      <c r="K22" s="37">
        <v>1</v>
      </c>
      <c r="L22" s="39">
        <f t="shared" si="2"/>
        <v>0</v>
      </c>
      <c r="M22" s="40">
        <v>35</v>
      </c>
      <c r="N22" s="37">
        <v>50</v>
      </c>
      <c r="O22" s="36" t="str">
        <f t="shared" si="4"/>
        <v>Pass</v>
      </c>
      <c r="P22" s="37">
        <v>1159</v>
      </c>
      <c r="Q22" s="35" t="s">
        <v>40</v>
      </c>
      <c r="R22" s="7" t="s">
        <v>30</v>
      </c>
    </row>
    <row r="23" spans="1:18" ht="14.1" customHeight="1" x14ac:dyDescent="0.3">
      <c r="A23" s="34">
        <v>44196</v>
      </c>
      <c r="B23" s="35" t="s">
        <v>28</v>
      </c>
      <c r="C23" s="55" t="s">
        <v>30</v>
      </c>
      <c r="D23" s="38">
        <v>2</v>
      </c>
      <c r="E23" s="37">
        <v>12</v>
      </c>
      <c r="F23" s="39">
        <f t="shared" si="0"/>
        <v>10</v>
      </c>
      <c r="G23" s="38">
        <v>1</v>
      </c>
      <c r="H23" s="37">
        <v>3</v>
      </c>
      <c r="I23" s="35">
        <f t="shared" si="1"/>
        <v>2</v>
      </c>
      <c r="J23" s="38">
        <v>1</v>
      </c>
      <c r="K23" s="37">
        <v>1</v>
      </c>
      <c r="L23" s="39">
        <f t="shared" si="2"/>
        <v>0</v>
      </c>
      <c r="M23" s="40">
        <v>35</v>
      </c>
      <c r="N23" s="37">
        <v>50</v>
      </c>
      <c r="O23" s="36" t="str">
        <f t="shared" si="4"/>
        <v>Pass</v>
      </c>
      <c r="P23" s="37">
        <v>1340</v>
      </c>
      <c r="Q23" s="35" t="s">
        <v>40</v>
      </c>
      <c r="R23" s="7" t="s">
        <v>30</v>
      </c>
    </row>
    <row r="24" spans="1:18" ht="14.1" customHeight="1" x14ac:dyDescent="0.3">
      <c r="A24" s="34">
        <v>44200</v>
      </c>
      <c r="B24" s="35" t="s">
        <v>28</v>
      </c>
      <c r="C24" s="55" t="s">
        <v>30</v>
      </c>
      <c r="D24" s="38">
        <v>2</v>
      </c>
      <c r="E24" s="37">
        <v>9</v>
      </c>
      <c r="F24" s="39">
        <f t="shared" si="0"/>
        <v>7</v>
      </c>
      <c r="G24" s="38">
        <v>1</v>
      </c>
      <c r="H24" s="37">
        <v>2</v>
      </c>
      <c r="I24" s="35">
        <f t="shared" ref="I24:I87" si="5">H24-G24</f>
        <v>1</v>
      </c>
      <c r="J24" s="38">
        <v>1</v>
      </c>
      <c r="K24" s="37">
        <v>1</v>
      </c>
      <c r="L24" s="39">
        <f t="shared" si="2"/>
        <v>0</v>
      </c>
      <c r="M24" s="40">
        <v>35</v>
      </c>
      <c r="N24" s="37">
        <v>50</v>
      </c>
      <c r="O24" s="36" t="str">
        <f t="shared" si="4"/>
        <v>Pass</v>
      </c>
      <c r="P24" s="37">
        <v>74</v>
      </c>
      <c r="Q24" s="35" t="s">
        <v>40</v>
      </c>
      <c r="R24" s="7" t="s">
        <v>30</v>
      </c>
    </row>
    <row r="25" spans="1:18" ht="14.1" customHeight="1" x14ac:dyDescent="0.3">
      <c r="A25" s="34">
        <v>44200</v>
      </c>
      <c r="B25" s="35" t="s">
        <v>28</v>
      </c>
      <c r="C25" s="7" t="s">
        <v>34</v>
      </c>
      <c r="D25" s="38">
        <v>7</v>
      </c>
      <c r="E25" s="37">
        <v>18</v>
      </c>
      <c r="F25" s="39">
        <f t="shared" si="0"/>
        <v>11</v>
      </c>
      <c r="G25" s="38">
        <v>2</v>
      </c>
      <c r="H25" s="37">
        <v>3</v>
      </c>
      <c r="I25" s="35">
        <f t="shared" si="5"/>
        <v>1</v>
      </c>
      <c r="J25" s="38">
        <v>1</v>
      </c>
      <c r="K25" s="37">
        <v>0</v>
      </c>
      <c r="L25" s="39">
        <f t="shared" si="2"/>
        <v>-1</v>
      </c>
      <c r="M25" s="40">
        <v>35</v>
      </c>
      <c r="N25" s="37">
        <v>50</v>
      </c>
      <c r="O25" s="36" t="str">
        <f t="shared" si="4"/>
        <v>Pass</v>
      </c>
      <c r="P25" s="37">
        <v>74</v>
      </c>
      <c r="Q25" s="35" t="s">
        <v>39</v>
      </c>
      <c r="R25" s="7" t="s">
        <v>34</v>
      </c>
    </row>
    <row r="26" spans="1:18" ht="14.1" customHeight="1" x14ac:dyDescent="0.3">
      <c r="A26" s="34">
        <v>44203</v>
      </c>
      <c r="B26" s="35" t="s">
        <v>28</v>
      </c>
      <c r="C26" s="55" t="s">
        <v>30</v>
      </c>
      <c r="D26" s="38">
        <v>0</v>
      </c>
      <c r="E26" s="37">
        <v>14</v>
      </c>
      <c r="F26" s="39">
        <f t="shared" si="0"/>
        <v>14</v>
      </c>
      <c r="G26" s="38">
        <v>0</v>
      </c>
      <c r="H26" s="37">
        <v>6</v>
      </c>
      <c r="I26" s="35">
        <f t="shared" si="5"/>
        <v>6</v>
      </c>
      <c r="J26" s="38">
        <v>0</v>
      </c>
      <c r="K26" s="37">
        <v>2</v>
      </c>
      <c r="L26" s="39">
        <f t="shared" si="2"/>
        <v>2</v>
      </c>
      <c r="M26" s="40">
        <v>35</v>
      </c>
      <c r="N26" s="37">
        <v>50</v>
      </c>
      <c r="O26" s="36" t="str">
        <f t="shared" si="4"/>
        <v>Pass</v>
      </c>
      <c r="P26" s="37">
        <v>74</v>
      </c>
      <c r="Q26" s="35" t="s">
        <v>40</v>
      </c>
      <c r="R26" s="7" t="s">
        <v>30</v>
      </c>
    </row>
    <row r="27" spans="1:18" ht="14.1" customHeight="1" x14ac:dyDescent="0.3">
      <c r="A27" s="34">
        <v>44203</v>
      </c>
      <c r="B27" s="35" t="s">
        <v>28</v>
      </c>
      <c r="C27" s="7" t="s">
        <v>34</v>
      </c>
      <c r="D27" s="38">
        <v>0</v>
      </c>
      <c r="E27" s="37">
        <v>13</v>
      </c>
      <c r="F27" s="39">
        <f t="shared" si="0"/>
        <v>13</v>
      </c>
      <c r="G27" s="38">
        <v>0</v>
      </c>
      <c r="H27" s="37">
        <v>4</v>
      </c>
      <c r="I27" s="35">
        <f t="shared" si="5"/>
        <v>4</v>
      </c>
      <c r="J27" s="38">
        <v>0</v>
      </c>
      <c r="K27" s="37">
        <v>2</v>
      </c>
      <c r="L27" s="39">
        <f t="shared" si="2"/>
        <v>2</v>
      </c>
      <c r="M27" s="40">
        <v>35</v>
      </c>
      <c r="N27" s="37">
        <v>50</v>
      </c>
      <c r="O27" s="36" t="str">
        <f t="shared" si="4"/>
        <v>Pass</v>
      </c>
      <c r="P27" s="37">
        <v>74</v>
      </c>
      <c r="Q27" s="35" t="s">
        <v>39</v>
      </c>
      <c r="R27" s="7" t="s">
        <v>34</v>
      </c>
    </row>
    <row r="28" spans="1:18" ht="14.1" customHeight="1" x14ac:dyDescent="0.3">
      <c r="A28" s="34">
        <v>44207</v>
      </c>
      <c r="B28" s="35" t="s">
        <v>29</v>
      </c>
      <c r="C28" s="55" t="s">
        <v>30</v>
      </c>
      <c r="D28" s="38">
        <v>2</v>
      </c>
      <c r="E28" s="37">
        <v>16</v>
      </c>
      <c r="F28" s="39">
        <f t="shared" si="0"/>
        <v>14</v>
      </c>
      <c r="G28" s="38">
        <v>0</v>
      </c>
      <c r="H28" s="37">
        <v>3</v>
      </c>
      <c r="I28" s="35">
        <f t="shared" si="5"/>
        <v>3</v>
      </c>
      <c r="J28" s="38">
        <v>0</v>
      </c>
      <c r="K28" s="37">
        <v>1</v>
      </c>
      <c r="L28" s="39">
        <f t="shared" si="2"/>
        <v>1</v>
      </c>
      <c r="M28" s="40">
        <v>35</v>
      </c>
      <c r="N28" s="37">
        <v>50</v>
      </c>
      <c r="O28" s="36" t="str">
        <f t="shared" si="4"/>
        <v>Pass</v>
      </c>
      <c r="P28" s="37">
        <v>121</v>
      </c>
      <c r="Q28" s="35" t="s">
        <v>41</v>
      </c>
      <c r="R28" s="7" t="s">
        <v>30</v>
      </c>
    </row>
    <row r="29" spans="1:18" ht="14.1" customHeight="1" x14ac:dyDescent="0.3">
      <c r="A29" s="34">
        <v>44207</v>
      </c>
      <c r="B29" s="35" t="s">
        <v>29</v>
      </c>
      <c r="C29" s="7" t="s">
        <v>34</v>
      </c>
      <c r="D29" s="38">
        <v>12</v>
      </c>
      <c r="E29" s="37">
        <v>20</v>
      </c>
      <c r="F29" s="39">
        <f t="shared" si="0"/>
        <v>8</v>
      </c>
      <c r="G29" s="38">
        <v>0</v>
      </c>
      <c r="H29" s="37">
        <v>3</v>
      </c>
      <c r="I29" s="35">
        <f t="shared" si="5"/>
        <v>3</v>
      </c>
      <c r="J29" s="38">
        <v>0</v>
      </c>
      <c r="K29" s="37">
        <v>2</v>
      </c>
      <c r="L29" s="39">
        <f t="shared" si="2"/>
        <v>2</v>
      </c>
      <c r="M29" s="40">
        <v>35</v>
      </c>
      <c r="N29" s="37">
        <v>50</v>
      </c>
      <c r="O29" s="36" t="str">
        <f t="shared" si="4"/>
        <v>Pass</v>
      </c>
      <c r="P29" s="37">
        <v>121</v>
      </c>
      <c r="Q29" s="35" t="s">
        <v>42</v>
      </c>
      <c r="R29" s="7" t="s">
        <v>34</v>
      </c>
    </row>
    <row r="30" spans="1:18" ht="14.1" customHeight="1" x14ac:dyDescent="0.3">
      <c r="A30" s="34">
        <v>44211</v>
      </c>
      <c r="B30" s="35" t="s">
        <v>28</v>
      </c>
      <c r="C30" s="55" t="s">
        <v>30</v>
      </c>
      <c r="D30" s="38">
        <v>12</v>
      </c>
      <c r="E30" s="37">
        <v>29</v>
      </c>
      <c r="F30" s="39">
        <f t="shared" si="0"/>
        <v>17</v>
      </c>
      <c r="G30" s="38">
        <v>0</v>
      </c>
      <c r="H30" s="37">
        <v>2</v>
      </c>
      <c r="I30" s="35">
        <f t="shared" si="5"/>
        <v>2</v>
      </c>
      <c r="J30" s="38">
        <v>0</v>
      </c>
      <c r="K30" s="37">
        <v>1</v>
      </c>
      <c r="L30" s="39">
        <f t="shared" si="2"/>
        <v>1</v>
      </c>
      <c r="M30" s="40">
        <v>35</v>
      </c>
      <c r="N30" s="37">
        <v>50</v>
      </c>
      <c r="O30" s="36" t="str">
        <f t="shared" si="4"/>
        <v>Pass</v>
      </c>
      <c r="P30" s="37">
        <v>121</v>
      </c>
      <c r="Q30" s="35" t="s">
        <v>43</v>
      </c>
      <c r="R30" s="7" t="s">
        <v>30</v>
      </c>
    </row>
    <row r="31" spans="1:18" ht="14.1" customHeight="1" x14ac:dyDescent="0.3">
      <c r="A31" s="34">
        <v>44211</v>
      </c>
      <c r="B31" s="35" t="s">
        <v>28</v>
      </c>
      <c r="C31" s="7" t="s">
        <v>34</v>
      </c>
      <c r="D31" s="38">
        <v>4</v>
      </c>
      <c r="E31" s="37">
        <v>17</v>
      </c>
      <c r="F31" s="39">
        <f t="shared" si="0"/>
        <v>13</v>
      </c>
      <c r="G31" s="38">
        <v>1</v>
      </c>
      <c r="H31" s="37">
        <v>6</v>
      </c>
      <c r="I31" s="35">
        <f t="shared" si="5"/>
        <v>5</v>
      </c>
      <c r="J31" s="38">
        <v>1</v>
      </c>
      <c r="K31" s="37">
        <v>4</v>
      </c>
      <c r="L31" s="39">
        <f t="shared" si="2"/>
        <v>3</v>
      </c>
      <c r="M31" s="40">
        <v>35</v>
      </c>
      <c r="N31" s="37">
        <v>50</v>
      </c>
      <c r="O31" s="36" t="str">
        <f t="shared" si="4"/>
        <v>Pass</v>
      </c>
      <c r="P31" s="37">
        <v>121</v>
      </c>
      <c r="Q31" s="35" t="s">
        <v>44</v>
      </c>
      <c r="R31" s="7" t="s">
        <v>34</v>
      </c>
    </row>
    <row r="32" spans="1:18" ht="14.1" customHeight="1" x14ac:dyDescent="0.3">
      <c r="A32" s="34">
        <v>44215</v>
      </c>
      <c r="B32" s="35" t="s">
        <v>45</v>
      </c>
      <c r="C32" s="55" t="s">
        <v>30</v>
      </c>
      <c r="D32" s="38">
        <v>38</v>
      </c>
      <c r="E32" s="37">
        <v>44</v>
      </c>
      <c r="F32" s="39">
        <f t="shared" si="0"/>
        <v>6</v>
      </c>
      <c r="G32" s="38">
        <v>3</v>
      </c>
      <c r="H32" s="37">
        <v>4</v>
      </c>
      <c r="I32" s="35">
        <f t="shared" si="5"/>
        <v>1</v>
      </c>
      <c r="J32" s="38">
        <v>2</v>
      </c>
      <c r="K32" s="37">
        <v>1</v>
      </c>
      <c r="L32" s="39">
        <f t="shared" si="2"/>
        <v>-1</v>
      </c>
      <c r="M32" s="40">
        <v>35</v>
      </c>
      <c r="N32" s="37">
        <v>50</v>
      </c>
      <c r="O32" s="36" t="str">
        <f t="shared" si="4"/>
        <v>Pass</v>
      </c>
      <c r="P32" s="37">
        <v>121</v>
      </c>
      <c r="Q32" s="35" t="s">
        <v>46</v>
      </c>
      <c r="R32" s="7" t="s">
        <v>30</v>
      </c>
    </row>
    <row r="33" spans="1:21" ht="14.1" customHeight="1" x14ac:dyDescent="0.3">
      <c r="A33" s="34">
        <v>44215</v>
      </c>
      <c r="B33" s="35" t="s">
        <v>45</v>
      </c>
      <c r="C33" s="7" t="s">
        <v>34</v>
      </c>
      <c r="D33" s="38">
        <v>5</v>
      </c>
      <c r="E33" s="37">
        <v>14</v>
      </c>
      <c r="F33" s="39">
        <f t="shared" si="0"/>
        <v>9</v>
      </c>
      <c r="G33" s="38">
        <v>0</v>
      </c>
      <c r="H33" s="37">
        <v>4</v>
      </c>
      <c r="I33" s="35">
        <f t="shared" si="5"/>
        <v>4</v>
      </c>
      <c r="J33" s="38">
        <v>0</v>
      </c>
      <c r="K33" s="37">
        <v>3</v>
      </c>
      <c r="L33" s="39">
        <f t="shared" si="2"/>
        <v>3</v>
      </c>
      <c r="M33" s="40">
        <v>35</v>
      </c>
      <c r="N33" s="37">
        <v>50</v>
      </c>
      <c r="O33" s="36" t="str">
        <f t="shared" si="4"/>
        <v>Pass</v>
      </c>
      <c r="P33" s="37">
        <v>121</v>
      </c>
      <c r="Q33" s="35" t="s">
        <v>47</v>
      </c>
      <c r="R33" s="7" t="s">
        <v>34</v>
      </c>
    </row>
    <row r="34" spans="1:21" ht="14.1" customHeight="1" x14ac:dyDescent="0.3">
      <c r="A34" s="34">
        <v>44218</v>
      </c>
      <c r="B34" s="35" t="s">
        <v>45</v>
      </c>
      <c r="C34" s="55" t="s">
        <v>30</v>
      </c>
      <c r="D34" s="38">
        <v>2</v>
      </c>
      <c r="E34" s="37">
        <v>18</v>
      </c>
      <c r="F34" s="39">
        <f t="shared" si="0"/>
        <v>16</v>
      </c>
      <c r="G34" s="38">
        <v>0</v>
      </c>
      <c r="H34" s="37">
        <v>3</v>
      </c>
      <c r="I34" s="35">
        <f t="shared" si="5"/>
        <v>3</v>
      </c>
      <c r="J34" s="38">
        <v>0</v>
      </c>
      <c r="K34" s="37">
        <v>2</v>
      </c>
      <c r="L34" s="39">
        <f t="shared" si="2"/>
        <v>2</v>
      </c>
      <c r="M34" s="40">
        <v>35</v>
      </c>
      <c r="N34" s="37">
        <v>50</v>
      </c>
      <c r="O34" s="36" t="str">
        <f t="shared" si="4"/>
        <v>Pass</v>
      </c>
      <c r="P34" s="37">
        <v>1335</v>
      </c>
      <c r="Q34" s="35" t="s">
        <v>48</v>
      </c>
      <c r="R34" s="7" t="s">
        <v>30</v>
      </c>
    </row>
    <row r="35" spans="1:21" ht="14.1" customHeight="1" x14ac:dyDescent="0.3">
      <c r="A35" s="34">
        <v>44218</v>
      </c>
      <c r="B35" s="35" t="s">
        <v>45</v>
      </c>
      <c r="C35" s="7" t="s">
        <v>34</v>
      </c>
      <c r="D35" s="38">
        <v>4</v>
      </c>
      <c r="E35" s="37">
        <v>18</v>
      </c>
      <c r="F35" s="39">
        <f t="shared" si="0"/>
        <v>14</v>
      </c>
      <c r="G35" s="38">
        <v>0</v>
      </c>
      <c r="H35" s="37">
        <v>3</v>
      </c>
      <c r="I35" s="35">
        <f t="shared" si="5"/>
        <v>3</v>
      </c>
      <c r="J35" s="38">
        <v>0</v>
      </c>
      <c r="K35" s="37">
        <v>0</v>
      </c>
      <c r="L35" s="39">
        <f t="shared" si="2"/>
        <v>0</v>
      </c>
      <c r="M35" s="40">
        <v>35</v>
      </c>
      <c r="N35" s="37">
        <v>50</v>
      </c>
      <c r="O35" s="36" t="str">
        <f t="shared" si="4"/>
        <v>Pass</v>
      </c>
      <c r="P35" s="37">
        <v>1335</v>
      </c>
      <c r="Q35" s="35" t="s">
        <v>49</v>
      </c>
      <c r="R35" s="7" t="s">
        <v>34</v>
      </c>
    </row>
    <row r="36" spans="1:21" ht="14.1" customHeight="1" x14ac:dyDescent="0.3">
      <c r="A36" s="34">
        <v>44223</v>
      </c>
      <c r="B36" s="35" t="s">
        <v>50</v>
      </c>
      <c r="C36" s="55" t="s">
        <v>30</v>
      </c>
      <c r="D36" s="38">
        <v>10</v>
      </c>
      <c r="E36" s="37">
        <v>32</v>
      </c>
      <c r="F36" s="39">
        <f t="shared" si="0"/>
        <v>22</v>
      </c>
      <c r="G36" s="38">
        <v>1</v>
      </c>
      <c r="H36" s="37">
        <v>1</v>
      </c>
      <c r="I36" s="35">
        <f t="shared" si="5"/>
        <v>0</v>
      </c>
      <c r="J36" s="38">
        <v>0</v>
      </c>
      <c r="K36" s="37">
        <v>0</v>
      </c>
      <c r="L36" s="39">
        <f t="shared" si="2"/>
        <v>0</v>
      </c>
      <c r="M36" s="40">
        <v>35</v>
      </c>
      <c r="N36" s="37">
        <v>50</v>
      </c>
      <c r="O36" s="36" t="str">
        <f t="shared" si="4"/>
        <v>Pass</v>
      </c>
      <c r="P36" s="37">
        <v>1428</v>
      </c>
      <c r="Q36" s="35" t="s">
        <v>51</v>
      </c>
      <c r="R36" s="7" t="s">
        <v>30</v>
      </c>
    </row>
    <row r="37" spans="1:21" ht="14.1" customHeight="1" x14ac:dyDescent="0.3">
      <c r="A37" s="34">
        <v>44223</v>
      </c>
      <c r="B37" s="35" t="s">
        <v>50</v>
      </c>
      <c r="C37" s="7" t="s">
        <v>34</v>
      </c>
      <c r="D37" s="38">
        <v>1</v>
      </c>
      <c r="E37" s="37">
        <v>6</v>
      </c>
      <c r="F37" s="39">
        <f t="shared" si="0"/>
        <v>5</v>
      </c>
      <c r="G37" s="38">
        <v>0</v>
      </c>
      <c r="H37" s="37">
        <v>3</v>
      </c>
      <c r="I37" s="35">
        <f t="shared" si="5"/>
        <v>3</v>
      </c>
      <c r="J37" s="38">
        <v>0</v>
      </c>
      <c r="K37" s="37">
        <v>2</v>
      </c>
      <c r="L37" s="39">
        <f t="shared" si="2"/>
        <v>2</v>
      </c>
      <c r="M37" s="40">
        <v>35</v>
      </c>
      <c r="N37" s="37">
        <v>50</v>
      </c>
      <c r="O37" s="36" t="str">
        <f t="shared" si="4"/>
        <v>Pass</v>
      </c>
      <c r="P37" s="37">
        <v>1428</v>
      </c>
      <c r="Q37" s="35" t="s">
        <v>52</v>
      </c>
      <c r="R37" s="7" t="s">
        <v>34</v>
      </c>
    </row>
    <row r="38" spans="1:21" ht="14.1" customHeight="1" x14ac:dyDescent="0.3">
      <c r="A38" s="34">
        <v>44227</v>
      </c>
      <c r="B38" s="35" t="s">
        <v>45</v>
      </c>
      <c r="C38" s="55" t="s">
        <v>30</v>
      </c>
      <c r="D38" s="38">
        <v>14</v>
      </c>
      <c r="E38" s="37">
        <v>31</v>
      </c>
      <c r="F38" s="39">
        <f t="shared" si="0"/>
        <v>17</v>
      </c>
      <c r="G38" s="38">
        <v>4</v>
      </c>
      <c r="H38" s="37">
        <v>12</v>
      </c>
      <c r="I38" s="35">
        <f t="shared" si="5"/>
        <v>8</v>
      </c>
      <c r="J38" s="38">
        <v>4</v>
      </c>
      <c r="K38" s="37">
        <v>4</v>
      </c>
      <c r="L38" s="39">
        <f t="shared" si="2"/>
        <v>0</v>
      </c>
      <c r="M38" s="40">
        <v>35</v>
      </c>
      <c r="N38" s="37">
        <v>50</v>
      </c>
      <c r="O38" s="36" t="str">
        <f t="shared" si="4"/>
        <v>Pass</v>
      </c>
      <c r="P38" s="37">
        <v>1428</v>
      </c>
      <c r="Q38" s="35" t="s">
        <v>51</v>
      </c>
      <c r="R38" s="7" t="s">
        <v>30</v>
      </c>
    </row>
    <row r="39" spans="1:21" ht="14.1" customHeight="1" x14ac:dyDescent="0.3">
      <c r="A39" s="34">
        <v>44227</v>
      </c>
      <c r="B39" s="35" t="s">
        <v>45</v>
      </c>
      <c r="C39" s="7" t="s">
        <v>34</v>
      </c>
      <c r="D39" s="38">
        <v>10</v>
      </c>
      <c r="E39" s="37">
        <v>12</v>
      </c>
      <c r="F39" s="39">
        <f t="shared" si="0"/>
        <v>2</v>
      </c>
      <c r="G39" s="38">
        <v>2</v>
      </c>
      <c r="H39" s="37">
        <v>6</v>
      </c>
      <c r="I39" s="35">
        <f t="shared" si="5"/>
        <v>4</v>
      </c>
      <c r="J39" s="38">
        <v>2</v>
      </c>
      <c r="K39" s="37">
        <v>1</v>
      </c>
      <c r="L39" s="39">
        <f t="shared" si="2"/>
        <v>-1</v>
      </c>
      <c r="M39" s="40">
        <v>35</v>
      </c>
      <c r="N39" s="37">
        <v>50</v>
      </c>
      <c r="O39" s="36" t="str">
        <f t="shared" si="4"/>
        <v>Pass</v>
      </c>
      <c r="P39" s="37">
        <v>1428</v>
      </c>
      <c r="Q39" s="35" t="s">
        <v>52</v>
      </c>
      <c r="R39" s="7" t="s">
        <v>34</v>
      </c>
    </row>
    <row r="40" spans="1:21" ht="14.1" customHeight="1" x14ac:dyDescent="0.3">
      <c r="A40" s="34">
        <v>44230</v>
      </c>
      <c r="B40" s="35" t="s">
        <v>45</v>
      </c>
      <c r="C40" s="55" t="s">
        <v>30</v>
      </c>
      <c r="D40" s="38">
        <v>3</v>
      </c>
      <c r="E40" s="37">
        <v>16</v>
      </c>
      <c r="F40" s="39">
        <f t="shared" si="0"/>
        <v>13</v>
      </c>
      <c r="G40" s="38">
        <v>1</v>
      </c>
      <c r="H40" s="37">
        <v>2</v>
      </c>
      <c r="I40" s="35">
        <f t="shared" si="5"/>
        <v>1</v>
      </c>
      <c r="J40" s="38">
        <v>0</v>
      </c>
      <c r="K40" s="37">
        <v>0</v>
      </c>
      <c r="L40" s="39">
        <f t="shared" si="2"/>
        <v>0</v>
      </c>
      <c r="M40" s="40">
        <v>35</v>
      </c>
      <c r="N40" s="37">
        <v>50</v>
      </c>
      <c r="O40" s="36" t="str">
        <f t="shared" si="4"/>
        <v>Pass</v>
      </c>
      <c r="P40" s="37">
        <v>1340</v>
      </c>
      <c r="Q40" s="35" t="s">
        <v>53</v>
      </c>
      <c r="R40" s="7" t="s">
        <v>30</v>
      </c>
    </row>
    <row r="41" spans="1:21" ht="14.1" customHeight="1" x14ac:dyDescent="0.3">
      <c r="A41" s="34">
        <v>44230</v>
      </c>
      <c r="B41" s="35" t="s">
        <v>45</v>
      </c>
      <c r="C41" s="7" t="s">
        <v>34</v>
      </c>
      <c r="D41" s="38">
        <v>11</v>
      </c>
      <c r="E41" s="37">
        <v>12</v>
      </c>
      <c r="F41" s="39">
        <f t="shared" si="0"/>
        <v>1</v>
      </c>
      <c r="G41" s="38">
        <v>1</v>
      </c>
      <c r="H41" s="37">
        <v>1</v>
      </c>
      <c r="I41" s="35">
        <f t="shared" si="5"/>
        <v>0</v>
      </c>
      <c r="J41" s="38">
        <v>1</v>
      </c>
      <c r="K41" s="37">
        <v>1</v>
      </c>
      <c r="L41" s="39">
        <f t="shared" si="2"/>
        <v>0</v>
      </c>
      <c r="M41" s="40">
        <v>35</v>
      </c>
      <c r="N41" s="37">
        <v>50</v>
      </c>
      <c r="O41" s="36" t="str">
        <f t="shared" si="4"/>
        <v>Pass</v>
      </c>
      <c r="P41" s="37">
        <v>1340</v>
      </c>
      <c r="Q41" s="35" t="s">
        <v>54</v>
      </c>
      <c r="R41" s="7" t="s">
        <v>34</v>
      </c>
    </row>
    <row r="42" spans="1:21" ht="14.1" customHeight="1" x14ac:dyDescent="0.3">
      <c r="A42" s="34">
        <v>44234</v>
      </c>
      <c r="B42" s="35" t="s">
        <v>50</v>
      </c>
      <c r="C42" s="55" t="s">
        <v>30</v>
      </c>
      <c r="D42" s="38">
        <v>1</v>
      </c>
      <c r="E42" s="37">
        <v>19</v>
      </c>
      <c r="F42" s="39">
        <f t="shared" si="0"/>
        <v>18</v>
      </c>
      <c r="G42" s="38">
        <v>1</v>
      </c>
      <c r="H42" s="37">
        <v>5</v>
      </c>
      <c r="I42" s="35">
        <f t="shared" si="5"/>
        <v>4</v>
      </c>
      <c r="J42" s="38">
        <v>0</v>
      </c>
      <c r="K42" s="37">
        <v>3</v>
      </c>
      <c r="L42" s="39">
        <f t="shared" si="2"/>
        <v>3</v>
      </c>
      <c r="M42" s="40">
        <v>35</v>
      </c>
      <c r="N42" s="37">
        <v>50</v>
      </c>
      <c r="O42" s="36" t="str">
        <f t="shared" si="4"/>
        <v>Pass</v>
      </c>
      <c r="P42" s="37">
        <v>121</v>
      </c>
      <c r="Q42" s="35" t="s">
        <v>55</v>
      </c>
      <c r="R42" s="7" t="s">
        <v>56</v>
      </c>
      <c r="S42" s="37"/>
      <c r="T42" s="37"/>
      <c r="U42" s="37"/>
    </row>
    <row r="43" spans="1:21" ht="14.1" customHeight="1" x14ac:dyDescent="0.3">
      <c r="A43" s="34">
        <v>44234</v>
      </c>
      <c r="B43" s="35" t="s">
        <v>50</v>
      </c>
      <c r="C43" s="7" t="s">
        <v>34</v>
      </c>
      <c r="D43" s="38">
        <v>0</v>
      </c>
      <c r="E43" s="37">
        <v>5</v>
      </c>
      <c r="F43" s="39">
        <f t="shared" si="0"/>
        <v>5</v>
      </c>
      <c r="G43" s="38">
        <v>0</v>
      </c>
      <c r="H43" s="37">
        <v>1</v>
      </c>
      <c r="I43" s="35">
        <f t="shared" si="5"/>
        <v>1</v>
      </c>
      <c r="J43" s="38">
        <v>0</v>
      </c>
      <c r="K43" s="37">
        <v>0</v>
      </c>
      <c r="L43" s="39">
        <f t="shared" si="2"/>
        <v>0</v>
      </c>
      <c r="M43" s="40">
        <v>35</v>
      </c>
      <c r="N43" s="37">
        <v>50</v>
      </c>
      <c r="O43" s="36" t="str">
        <f t="shared" si="4"/>
        <v>Pass</v>
      </c>
      <c r="P43" s="37">
        <v>121</v>
      </c>
      <c r="Q43" s="35" t="s">
        <v>57</v>
      </c>
      <c r="R43" s="7" t="s">
        <v>58</v>
      </c>
      <c r="S43" s="37"/>
      <c r="T43" s="37"/>
      <c r="U43" s="37"/>
    </row>
    <row r="44" spans="1:21" ht="14.1" customHeight="1" x14ac:dyDescent="0.3">
      <c r="A44" s="44">
        <v>44236</v>
      </c>
      <c r="B44" s="45" t="s">
        <v>50</v>
      </c>
      <c r="C44" s="55" t="s">
        <v>30</v>
      </c>
      <c r="D44" s="46">
        <v>2</v>
      </c>
      <c r="E44" s="41">
        <v>29</v>
      </c>
      <c r="F44" s="47">
        <f t="shared" si="0"/>
        <v>27</v>
      </c>
      <c r="G44" s="46">
        <v>1</v>
      </c>
      <c r="H44" s="41">
        <v>3</v>
      </c>
      <c r="I44" s="45">
        <f t="shared" si="5"/>
        <v>2</v>
      </c>
      <c r="J44" s="46">
        <v>0</v>
      </c>
      <c r="K44" s="41">
        <v>0</v>
      </c>
      <c r="L44" s="47">
        <f t="shared" si="2"/>
        <v>0</v>
      </c>
      <c r="M44" s="48">
        <v>35</v>
      </c>
      <c r="N44" s="41">
        <v>50</v>
      </c>
      <c r="O44" s="49" t="str">
        <f t="shared" si="4"/>
        <v>Pass</v>
      </c>
      <c r="P44" s="41">
        <v>64</v>
      </c>
      <c r="Q44" s="45" t="s">
        <v>55</v>
      </c>
      <c r="R44" s="42" t="s">
        <v>59</v>
      </c>
      <c r="S44" s="37"/>
      <c r="T44" s="37"/>
      <c r="U44" s="37"/>
    </row>
    <row r="45" spans="1:21" ht="14.1" customHeight="1" x14ac:dyDescent="0.3">
      <c r="A45" s="34">
        <v>44236</v>
      </c>
      <c r="B45" s="35" t="s">
        <v>45</v>
      </c>
      <c r="C45" s="55"/>
      <c r="D45" s="38">
        <v>5</v>
      </c>
      <c r="E45" s="37">
        <v>12</v>
      </c>
      <c r="F45" s="39">
        <f t="shared" si="0"/>
        <v>7</v>
      </c>
      <c r="G45" s="38">
        <v>0</v>
      </c>
      <c r="H45" s="37">
        <v>1</v>
      </c>
      <c r="I45" s="35">
        <f t="shared" si="5"/>
        <v>1</v>
      </c>
      <c r="J45" s="38">
        <v>0</v>
      </c>
      <c r="K45" s="37">
        <v>1</v>
      </c>
      <c r="L45" s="39">
        <f t="shared" si="2"/>
        <v>1</v>
      </c>
      <c r="M45" s="40">
        <v>35</v>
      </c>
      <c r="N45" s="37">
        <v>50</v>
      </c>
      <c r="O45" s="36" t="str">
        <f t="shared" si="4"/>
        <v>Pass</v>
      </c>
      <c r="P45" s="37">
        <v>74</v>
      </c>
      <c r="Q45" s="35" t="s">
        <v>31</v>
      </c>
      <c r="S45" s="37"/>
      <c r="T45" s="37"/>
      <c r="U45" s="37"/>
    </row>
    <row r="46" spans="1:21" ht="14.1" customHeight="1" x14ac:dyDescent="0.3">
      <c r="A46" s="34">
        <v>44244</v>
      </c>
      <c r="B46" s="35" t="s">
        <v>50</v>
      </c>
      <c r="C46" s="55"/>
      <c r="D46" s="38">
        <v>2</v>
      </c>
      <c r="E46" s="37">
        <v>34</v>
      </c>
      <c r="F46" s="39">
        <f t="shared" si="0"/>
        <v>32</v>
      </c>
      <c r="G46" s="38">
        <v>0</v>
      </c>
      <c r="H46" s="37">
        <v>10</v>
      </c>
      <c r="I46" s="35">
        <f t="shared" si="5"/>
        <v>10</v>
      </c>
      <c r="J46" s="38">
        <v>0</v>
      </c>
      <c r="K46" s="37">
        <v>5</v>
      </c>
      <c r="L46" s="39">
        <f t="shared" si="2"/>
        <v>5</v>
      </c>
      <c r="M46" s="40">
        <v>35</v>
      </c>
      <c r="N46" s="37">
        <v>50</v>
      </c>
      <c r="O46" s="36" t="str">
        <f t="shared" si="4"/>
        <v>Pass</v>
      </c>
      <c r="P46" s="37">
        <v>1159</v>
      </c>
      <c r="Q46" s="35" t="s">
        <v>60</v>
      </c>
      <c r="R46" s="7" t="s">
        <v>61</v>
      </c>
      <c r="S46" s="37"/>
      <c r="T46" s="37"/>
      <c r="U46" s="37"/>
    </row>
    <row r="47" spans="1:21" ht="14.1" customHeight="1" x14ac:dyDescent="0.3">
      <c r="A47" s="34">
        <v>44244</v>
      </c>
      <c r="B47" s="35" t="s">
        <v>50</v>
      </c>
      <c r="C47" s="7" t="s">
        <v>34</v>
      </c>
      <c r="D47" s="38">
        <v>9</v>
      </c>
      <c r="E47" s="37">
        <v>233</v>
      </c>
      <c r="F47" s="39">
        <f t="shared" si="0"/>
        <v>224</v>
      </c>
      <c r="G47" s="38">
        <v>0</v>
      </c>
      <c r="H47" s="37">
        <v>119</v>
      </c>
      <c r="I47" s="35">
        <f t="shared" si="5"/>
        <v>119</v>
      </c>
      <c r="J47" s="38">
        <v>0</v>
      </c>
      <c r="K47" s="37">
        <v>33</v>
      </c>
      <c r="L47" s="39">
        <f t="shared" si="2"/>
        <v>33</v>
      </c>
      <c r="M47" s="40">
        <v>35</v>
      </c>
      <c r="N47" s="37">
        <v>50</v>
      </c>
      <c r="O47" s="36" t="str">
        <f t="shared" si="4"/>
        <v>Fail</v>
      </c>
      <c r="P47" s="37">
        <v>1159</v>
      </c>
      <c r="Q47" s="35" t="s">
        <v>62</v>
      </c>
      <c r="R47" s="7" t="s">
        <v>63</v>
      </c>
      <c r="S47" s="37"/>
      <c r="T47" s="37"/>
      <c r="U47" s="37"/>
    </row>
    <row r="48" spans="1:21" ht="14.1" customHeight="1" x14ac:dyDescent="0.3">
      <c r="A48" s="34">
        <v>44244</v>
      </c>
      <c r="B48" s="35" t="s">
        <v>45</v>
      </c>
      <c r="C48" s="55"/>
      <c r="D48" s="38">
        <v>5</v>
      </c>
      <c r="E48" s="37">
        <v>26</v>
      </c>
      <c r="F48" s="39">
        <f t="shared" si="0"/>
        <v>21</v>
      </c>
      <c r="G48" s="38">
        <v>0</v>
      </c>
      <c r="H48" s="37">
        <v>5</v>
      </c>
      <c r="I48" s="35">
        <f t="shared" si="5"/>
        <v>5</v>
      </c>
      <c r="J48" s="38">
        <v>0</v>
      </c>
      <c r="K48" s="37">
        <v>2</v>
      </c>
      <c r="L48" s="39">
        <f t="shared" si="2"/>
        <v>2</v>
      </c>
      <c r="M48" s="40">
        <v>35</v>
      </c>
      <c r="N48" s="37">
        <v>50</v>
      </c>
      <c r="O48" s="36" t="str">
        <f t="shared" si="4"/>
        <v>Pass</v>
      </c>
      <c r="P48" s="37">
        <v>1159</v>
      </c>
      <c r="Q48" s="35" t="s">
        <v>64</v>
      </c>
      <c r="R48" s="7" t="s">
        <v>61</v>
      </c>
      <c r="S48" s="37"/>
      <c r="T48" s="37"/>
      <c r="U48" s="37"/>
    </row>
    <row r="49" spans="1:21" ht="14.1" customHeight="1" x14ac:dyDescent="0.3">
      <c r="A49" s="34">
        <v>44244</v>
      </c>
      <c r="B49" s="35" t="s">
        <v>45</v>
      </c>
      <c r="C49" s="7" t="s">
        <v>34</v>
      </c>
      <c r="D49" s="38">
        <v>3</v>
      </c>
      <c r="E49" s="37">
        <v>15</v>
      </c>
      <c r="F49" s="39">
        <f t="shared" si="0"/>
        <v>12</v>
      </c>
      <c r="G49" s="38">
        <v>1</v>
      </c>
      <c r="H49" s="37">
        <v>5</v>
      </c>
      <c r="I49" s="35">
        <f t="shared" si="5"/>
        <v>4</v>
      </c>
      <c r="J49" s="38">
        <v>1</v>
      </c>
      <c r="K49" s="37">
        <v>2</v>
      </c>
      <c r="L49" s="39">
        <f t="shared" si="2"/>
        <v>1</v>
      </c>
      <c r="M49" s="40">
        <v>35</v>
      </c>
      <c r="N49" s="37">
        <v>50</v>
      </c>
      <c r="O49" s="36" t="str">
        <f t="shared" si="4"/>
        <v>Pass</v>
      </c>
      <c r="P49" s="37">
        <v>1159</v>
      </c>
      <c r="Q49" s="35" t="s">
        <v>65</v>
      </c>
      <c r="R49" s="7" t="s">
        <v>58</v>
      </c>
      <c r="S49" s="37"/>
      <c r="T49" s="37"/>
      <c r="U49" s="37"/>
    </row>
    <row r="50" spans="1:21" ht="14.1" customHeight="1" x14ac:dyDescent="0.3">
      <c r="A50" s="34">
        <v>44244</v>
      </c>
      <c r="B50" s="35" t="s">
        <v>45</v>
      </c>
      <c r="C50" s="55"/>
      <c r="D50" s="38">
        <v>3</v>
      </c>
      <c r="E50" s="37">
        <v>26</v>
      </c>
      <c r="F50" s="39">
        <f t="shared" si="0"/>
        <v>23</v>
      </c>
      <c r="G50" s="38">
        <v>0</v>
      </c>
      <c r="H50" s="37">
        <v>5</v>
      </c>
      <c r="I50" s="35">
        <f t="shared" si="5"/>
        <v>5</v>
      </c>
      <c r="J50" s="38">
        <v>0</v>
      </c>
      <c r="K50" s="37">
        <v>0</v>
      </c>
      <c r="L50" s="39">
        <f t="shared" si="2"/>
        <v>0</v>
      </c>
      <c r="M50" s="40">
        <v>35</v>
      </c>
      <c r="N50" s="37">
        <v>50</v>
      </c>
      <c r="O50" s="36" t="str">
        <f t="shared" si="4"/>
        <v>Pass</v>
      </c>
      <c r="P50" s="37">
        <v>1519</v>
      </c>
      <c r="Q50" s="35" t="s">
        <v>64</v>
      </c>
      <c r="R50" s="7" t="s">
        <v>61</v>
      </c>
      <c r="S50" s="37"/>
      <c r="T50" s="37"/>
      <c r="U50" s="37"/>
    </row>
    <row r="51" spans="1:21" ht="14.1" customHeight="1" x14ac:dyDescent="0.3">
      <c r="A51" s="34">
        <v>44244</v>
      </c>
      <c r="B51" s="35" t="s">
        <v>45</v>
      </c>
      <c r="C51" s="7" t="s">
        <v>34</v>
      </c>
      <c r="D51" s="38">
        <v>4</v>
      </c>
      <c r="E51" s="37">
        <v>87</v>
      </c>
      <c r="F51" s="39">
        <f t="shared" si="0"/>
        <v>83</v>
      </c>
      <c r="G51" s="38">
        <v>0</v>
      </c>
      <c r="H51" s="37">
        <v>15</v>
      </c>
      <c r="I51" s="35">
        <f t="shared" si="5"/>
        <v>15</v>
      </c>
      <c r="J51" s="38">
        <v>0</v>
      </c>
      <c r="K51" s="37">
        <v>8</v>
      </c>
      <c r="L51" s="39">
        <f t="shared" si="2"/>
        <v>8</v>
      </c>
      <c r="M51" s="40">
        <v>35</v>
      </c>
      <c r="N51" s="37">
        <v>50</v>
      </c>
      <c r="O51" s="36" t="str">
        <f t="shared" si="4"/>
        <v>Fail</v>
      </c>
      <c r="P51" s="37">
        <v>1519</v>
      </c>
      <c r="Q51" s="35" t="s">
        <v>65</v>
      </c>
      <c r="R51" s="7" t="s">
        <v>58</v>
      </c>
      <c r="S51" s="37"/>
      <c r="T51" s="37"/>
      <c r="U51" s="37"/>
    </row>
    <row r="52" spans="1:21" ht="24.75" customHeight="1" x14ac:dyDescent="0.3">
      <c r="A52" s="34">
        <v>44246</v>
      </c>
      <c r="B52" s="35" t="s">
        <v>50</v>
      </c>
      <c r="C52" s="55" t="s">
        <v>30</v>
      </c>
      <c r="D52" s="38">
        <v>4</v>
      </c>
      <c r="E52" s="37">
        <v>12</v>
      </c>
      <c r="F52" s="39">
        <f t="shared" si="0"/>
        <v>8</v>
      </c>
      <c r="G52" s="38">
        <v>0</v>
      </c>
      <c r="H52" s="37">
        <v>2</v>
      </c>
      <c r="I52" s="35">
        <f t="shared" si="5"/>
        <v>2</v>
      </c>
      <c r="J52" s="38">
        <v>0</v>
      </c>
      <c r="K52" s="37">
        <v>1</v>
      </c>
      <c r="L52" s="39">
        <f t="shared" si="2"/>
        <v>1</v>
      </c>
      <c r="M52" s="40">
        <v>35</v>
      </c>
      <c r="N52" s="37">
        <v>50</v>
      </c>
      <c r="O52" s="36" t="str">
        <f t="shared" si="4"/>
        <v>Pass</v>
      </c>
      <c r="P52" s="37">
        <v>74</v>
      </c>
      <c r="Q52" s="35" t="s">
        <v>66</v>
      </c>
      <c r="R52" s="43" t="s">
        <v>67</v>
      </c>
      <c r="S52" s="37"/>
      <c r="T52" s="37"/>
      <c r="U52" s="37"/>
    </row>
    <row r="53" spans="1:21" ht="14.1" customHeight="1" x14ac:dyDescent="0.3">
      <c r="A53" s="34">
        <v>44246</v>
      </c>
      <c r="B53" s="35" t="s">
        <v>50</v>
      </c>
      <c r="C53" s="7" t="s">
        <v>34</v>
      </c>
      <c r="D53" s="38">
        <v>1</v>
      </c>
      <c r="E53" s="37">
        <v>9</v>
      </c>
      <c r="F53" s="39">
        <f t="shared" si="0"/>
        <v>8</v>
      </c>
      <c r="G53" s="38">
        <v>0</v>
      </c>
      <c r="H53" s="37">
        <v>3</v>
      </c>
      <c r="I53" s="35">
        <f t="shared" si="5"/>
        <v>3</v>
      </c>
      <c r="J53" s="38">
        <v>0</v>
      </c>
      <c r="K53" s="37">
        <v>3</v>
      </c>
      <c r="L53" s="39">
        <f t="shared" si="2"/>
        <v>3</v>
      </c>
      <c r="M53" s="40">
        <v>35</v>
      </c>
      <c r="N53" s="37">
        <v>50</v>
      </c>
      <c r="O53" s="36" t="str">
        <f t="shared" si="4"/>
        <v>Pass</v>
      </c>
      <c r="P53" s="37">
        <v>74</v>
      </c>
      <c r="Q53" s="35" t="s">
        <v>68</v>
      </c>
      <c r="R53" s="7" t="s">
        <v>58</v>
      </c>
      <c r="S53" s="37"/>
      <c r="T53" s="37"/>
      <c r="U53" s="37"/>
    </row>
    <row r="54" spans="1:21" ht="14.1" customHeight="1" x14ac:dyDescent="0.3">
      <c r="A54" s="34">
        <v>44249</v>
      </c>
      <c r="B54" s="35" t="s">
        <v>45</v>
      </c>
      <c r="C54" s="7" t="s">
        <v>34</v>
      </c>
      <c r="D54" s="38">
        <v>1</v>
      </c>
      <c r="E54" s="37">
        <v>76</v>
      </c>
      <c r="F54" s="39">
        <f t="shared" si="0"/>
        <v>75</v>
      </c>
      <c r="G54" s="38">
        <v>0</v>
      </c>
      <c r="H54" s="37">
        <v>18</v>
      </c>
      <c r="I54" s="35">
        <f t="shared" si="5"/>
        <v>18</v>
      </c>
      <c r="J54" s="38">
        <v>0</v>
      </c>
      <c r="K54" s="37">
        <v>9</v>
      </c>
      <c r="L54" s="39">
        <f t="shared" si="2"/>
        <v>9</v>
      </c>
      <c r="M54" s="40">
        <v>35</v>
      </c>
      <c r="N54" s="37">
        <v>50</v>
      </c>
      <c r="O54" s="36" t="str">
        <f t="shared" si="4"/>
        <v>Fail</v>
      </c>
      <c r="P54" s="37" t="s">
        <v>69</v>
      </c>
      <c r="Q54" s="35" t="s">
        <v>65</v>
      </c>
      <c r="R54" s="7" t="s">
        <v>58</v>
      </c>
      <c r="S54" s="37"/>
      <c r="T54" s="37"/>
      <c r="U54" s="37"/>
    </row>
    <row r="55" spans="1:21" ht="14.1" customHeight="1" x14ac:dyDescent="0.3">
      <c r="A55" s="34">
        <v>44249</v>
      </c>
      <c r="B55" s="35" t="s">
        <v>45</v>
      </c>
      <c r="C55" s="55" t="s">
        <v>30</v>
      </c>
      <c r="D55" s="38">
        <v>15</v>
      </c>
      <c r="E55" s="37">
        <v>24</v>
      </c>
      <c r="F55" s="39">
        <f t="shared" si="0"/>
        <v>9</v>
      </c>
      <c r="G55" s="38">
        <v>1</v>
      </c>
      <c r="H55" s="37">
        <v>4</v>
      </c>
      <c r="I55" s="35">
        <f t="shared" si="5"/>
        <v>3</v>
      </c>
      <c r="J55" s="38">
        <v>2</v>
      </c>
      <c r="K55" s="37">
        <v>6</v>
      </c>
      <c r="L55" s="39">
        <f t="shared" si="2"/>
        <v>4</v>
      </c>
      <c r="M55" s="40">
        <v>35</v>
      </c>
      <c r="N55" s="37">
        <v>50</v>
      </c>
      <c r="O55" s="36" t="str">
        <f t="shared" si="4"/>
        <v>Pass</v>
      </c>
      <c r="P55" s="37">
        <v>64</v>
      </c>
      <c r="Q55" s="35" t="s">
        <v>65</v>
      </c>
      <c r="R55" s="7" t="s">
        <v>70</v>
      </c>
      <c r="S55" s="37"/>
      <c r="T55" s="37"/>
      <c r="U55" s="37"/>
    </row>
    <row r="56" spans="1:21" ht="14.1" customHeight="1" x14ac:dyDescent="0.3">
      <c r="A56" s="34">
        <v>44249</v>
      </c>
      <c r="B56" s="37" t="s">
        <v>45</v>
      </c>
      <c r="C56" s="55" t="s">
        <v>30</v>
      </c>
      <c r="D56" s="37">
        <v>19</v>
      </c>
      <c r="E56" s="37">
        <v>18</v>
      </c>
      <c r="F56" s="37">
        <f t="shared" si="0"/>
        <v>-1</v>
      </c>
      <c r="G56" s="37">
        <v>0</v>
      </c>
      <c r="H56" s="37">
        <v>0</v>
      </c>
      <c r="I56" s="37">
        <f t="shared" si="5"/>
        <v>0</v>
      </c>
      <c r="J56" s="37">
        <v>0</v>
      </c>
      <c r="K56" s="37">
        <v>0</v>
      </c>
      <c r="L56" s="37">
        <f t="shared" si="2"/>
        <v>0</v>
      </c>
      <c r="M56" s="40">
        <v>35</v>
      </c>
      <c r="N56" s="37">
        <v>50</v>
      </c>
      <c r="O56" s="36" t="str">
        <f t="shared" si="4"/>
        <v>Pass</v>
      </c>
      <c r="P56" s="7" t="s">
        <v>71</v>
      </c>
      <c r="Q56" s="35" t="s">
        <v>60</v>
      </c>
      <c r="R56" s="7" t="s">
        <v>72</v>
      </c>
    </row>
    <row r="57" spans="1:21" ht="14.1" customHeight="1" x14ac:dyDescent="0.3">
      <c r="A57" s="34">
        <v>44249</v>
      </c>
      <c r="B57" s="37" t="s">
        <v>45</v>
      </c>
      <c r="C57" s="37" t="s">
        <v>34</v>
      </c>
      <c r="D57" s="37">
        <v>4</v>
      </c>
      <c r="E57" s="37">
        <v>8</v>
      </c>
      <c r="F57" s="37">
        <f t="shared" si="0"/>
        <v>4</v>
      </c>
      <c r="G57" s="37">
        <v>0</v>
      </c>
      <c r="H57" s="37">
        <v>2</v>
      </c>
      <c r="I57" s="37">
        <f t="shared" si="5"/>
        <v>2</v>
      </c>
      <c r="J57" s="37">
        <v>0</v>
      </c>
      <c r="K57" s="37">
        <v>1</v>
      </c>
      <c r="L57" s="37">
        <f t="shared" si="2"/>
        <v>1</v>
      </c>
      <c r="M57" s="40">
        <v>35</v>
      </c>
      <c r="N57" s="37">
        <v>50</v>
      </c>
      <c r="O57" s="36" t="str">
        <f t="shared" si="4"/>
        <v>Pass</v>
      </c>
      <c r="P57" s="7" t="s">
        <v>71</v>
      </c>
      <c r="Q57" s="35" t="s">
        <v>73</v>
      </c>
      <c r="R57" s="7" t="s">
        <v>74</v>
      </c>
    </row>
    <row r="58" spans="1:21" ht="14.1" customHeight="1" x14ac:dyDescent="0.3">
      <c r="A58" s="34">
        <v>44251</v>
      </c>
      <c r="B58" s="37" t="s">
        <v>50</v>
      </c>
      <c r="C58" s="37" t="s">
        <v>34</v>
      </c>
      <c r="D58" s="37">
        <v>3</v>
      </c>
      <c r="E58" s="37">
        <v>14</v>
      </c>
      <c r="F58" s="37">
        <f t="shared" si="0"/>
        <v>11</v>
      </c>
      <c r="G58" s="37">
        <v>0</v>
      </c>
      <c r="H58" s="37">
        <v>6</v>
      </c>
      <c r="I58" s="37">
        <f t="shared" si="5"/>
        <v>6</v>
      </c>
      <c r="J58" s="37">
        <v>0</v>
      </c>
      <c r="K58" s="37">
        <v>2</v>
      </c>
      <c r="L58" s="37">
        <f t="shared" ref="L58:L121" si="6">K58-J58</f>
        <v>2</v>
      </c>
      <c r="M58" s="40">
        <v>35</v>
      </c>
      <c r="N58" s="37">
        <v>50</v>
      </c>
      <c r="O58" s="36" t="str">
        <f t="shared" si="4"/>
        <v>Pass</v>
      </c>
      <c r="P58" s="37">
        <v>74</v>
      </c>
      <c r="Q58" s="35" t="s">
        <v>73</v>
      </c>
      <c r="R58" s="7" t="s">
        <v>74</v>
      </c>
    </row>
    <row r="59" spans="1:21" ht="14.1" customHeight="1" x14ac:dyDescent="0.3">
      <c r="A59" s="34">
        <v>44251</v>
      </c>
      <c r="B59" s="37" t="s">
        <v>45</v>
      </c>
      <c r="C59" s="37" t="s">
        <v>34</v>
      </c>
      <c r="D59" s="37">
        <v>2</v>
      </c>
      <c r="E59" s="37">
        <v>565</v>
      </c>
      <c r="F59" s="37">
        <f t="shared" si="0"/>
        <v>563</v>
      </c>
      <c r="G59" s="37">
        <v>0</v>
      </c>
      <c r="H59" s="37">
        <v>244</v>
      </c>
      <c r="I59" s="37">
        <f t="shared" si="5"/>
        <v>244</v>
      </c>
      <c r="J59" s="37">
        <v>0</v>
      </c>
      <c r="K59" s="37">
        <v>139</v>
      </c>
      <c r="L59" s="37">
        <f t="shared" si="6"/>
        <v>139</v>
      </c>
      <c r="M59" s="40">
        <v>35</v>
      </c>
      <c r="N59" s="37">
        <v>50</v>
      </c>
      <c r="O59" s="36" t="str">
        <f t="shared" si="4"/>
        <v>Fail</v>
      </c>
      <c r="P59" s="7">
        <v>1428</v>
      </c>
      <c r="Q59" s="35" t="s">
        <v>75</v>
      </c>
      <c r="R59" s="7" t="s">
        <v>76</v>
      </c>
    </row>
    <row r="60" spans="1:21" ht="14.1" customHeight="1" x14ac:dyDescent="0.3">
      <c r="A60" s="34">
        <v>44251</v>
      </c>
      <c r="B60" s="37" t="s">
        <v>45</v>
      </c>
      <c r="C60" s="55" t="s">
        <v>30</v>
      </c>
      <c r="D60" s="37">
        <v>4</v>
      </c>
      <c r="E60" s="37">
        <v>13</v>
      </c>
      <c r="F60" s="37">
        <f t="shared" si="0"/>
        <v>9</v>
      </c>
      <c r="G60" s="37">
        <v>0</v>
      </c>
      <c r="H60" s="37">
        <v>1</v>
      </c>
      <c r="I60" s="37">
        <f t="shared" si="5"/>
        <v>1</v>
      </c>
      <c r="J60" s="37">
        <v>0</v>
      </c>
      <c r="K60" s="37">
        <v>1</v>
      </c>
      <c r="L60" s="37">
        <f t="shared" si="6"/>
        <v>1</v>
      </c>
      <c r="M60" s="40">
        <v>35</v>
      </c>
      <c r="N60" s="37">
        <v>50</v>
      </c>
      <c r="O60" s="36" t="str">
        <f t="shared" si="4"/>
        <v>Pass</v>
      </c>
      <c r="P60" s="37">
        <v>1428</v>
      </c>
      <c r="Q60" s="35" t="s">
        <v>77</v>
      </c>
      <c r="R60" s="7" t="s">
        <v>78</v>
      </c>
    </row>
    <row r="61" spans="1:21" ht="14.1" customHeight="1" x14ac:dyDescent="0.3">
      <c r="A61" s="34">
        <v>44252</v>
      </c>
      <c r="B61" s="37" t="s">
        <v>45</v>
      </c>
      <c r="C61" s="7" t="s">
        <v>34</v>
      </c>
      <c r="D61" s="37">
        <v>4</v>
      </c>
      <c r="E61" s="37">
        <v>82</v>
      </c>
      <c r="F61" s="37">
        <f t="shared" si="0"/>
        <v>78</v>
      </c>
      <c r="G61" s="37">
        <v>0</v>
      </c>
      <c r="H61" s="37">
        <v>24</v>
      </c>
      <c r="I61" s="37">
        <f t="shared" si="5"/>
        <v>24</v>
      </c>
      <c r="J61" s="37">
        <v>0</v>
      </c>
      <c r="K61" s="37">
        <v>10</v>
      </c>
      <c r="L61" s="37">
        <f t="shared" si="6"/>
        <v>10</v>
      </c>
      <c r="M61" s="40">
        <v>35</v>
      </c>
      <c r="N61" s="37">
        <v>50</v>
      </c>
      <c r="O61" s="36" t="str">
        <f t="shared" si="4"/>
        <v>Fail</v>
      </c>
      <c r="P61" s="7">
        <v>121</v>
      </c>
      <c r="Q61" s="35" t="s">
        <v>79</v>
      </c>
      <c r="R61" s="7" t="s">
        <v>34</v>
      </c>
    </row>
    <row r="62" spans="1:21" ht="14.1" customHeight="1" x14ac:dyDescent="0.3">
      <c r="A62" s="34">
        <v>44252</v>
      </c>
      <c r="B62" s="37" t="s">
        <v>45</v>
      </c>
      <c r="C62" s="55" t="s">
        <v>30</v>
      </c>
      <c r="D62" s="37">
        <v>1</v>
      </c>
      <c r="E62" s="37">
        <v>4</v>
      </c>
      <c r="F62" s="37">
        <f t="shared" ref="F62:F125" si="7">IF(E62="","",(E62-D62))</f>
        <v>3</v>
      </c>
      <c r="G62" s="37">
        <v>0</v>
      </c>
      <c r="H62" s="37">
        <v>1</v>
      </c>
      <c r="I62" s="37">
        <f t="shared" si="5"/>
        <v>1</v>
      </c>
      <c r="J62" s="37">
        <v>0</v>
      </c>
      <c r="K62" s="37">
        <v>1</v>
      </c>
      <c r="L62" s="37">
        <f t="shared" si="6"/>
        <v>1</v>
      </c>
      <c r="M62" s="40">
        <v>35</v>
      </c>
      <c r="N62" s="37">
        <v>50</v>
      </c>
      <c r="O62" s="36" t="str">
        <f t="shared" si="4"/>
        <v>Pass</v>
      </c>
      <c r="P62" s="37">
        <v>121</v>
      </c>
      <c r="Q62" s="35" t="s">
        <v>80</v>
      </c>
      <c r="R62" s="7" t="s">
        <v>81</v>
      </c>
    </row>
    <row r="63" spans="1:21" ht="14.1" customHeight="1" x14ac:dyDescent="0.3">
      <c r="A63" s="34">
        <v>44252</v>
      </c>
      <c r="B63" s="37" t="s">
        <v>45</v>
      </c>
      <c r="C63" s="7" t="s">
        <v>34</v>
      </c>
      <c r="D63" s="37">
        <v>4</v>
      </c>
      <c r="E63" s="37">
        <v>91</v>
      </c>
      <c r="F63" s="37">
        <f t="shared" si="7"/>
        <v>87</v>
      </c>
      <c r="G63" s="37">
        <v>1</v>
      </c>
      <c r="H63" s="37">
        <v>28</v>
      </c>
      <c r="I63" s="37">
        <f t="shared" si="5"/>
        <v>27</v>
      </c>
      <c r="J63" s="37">
        <v>1</v>
      </c>
      <c r="K63" s="37">
        <v>13</v>
      </c>
      <c r="L63" s="37">
        <f t="shared" si="6"/>
        <v>12</v>
      </c>
      <c r="M63" s="40">
        <v>35</v>
      </c>
      <c r="N63" s="37">
        <v>50</v>
      </c>
      <c r="O63" s="36" t="str">
        <f t="shared" si="4"/>
        <v>Fail</v>
      </c>
      <c r="P63" s="7">
        <v>121</v>
      </c>
      <c r="Q63" s="35" t="s">
        <v>82</v>
      </c>
      <c r="R63" s="7" t="s">
        <v>34</v>
      </c>
    </row>
    <row r="64" spans="1:21" ht="14.1" customHeight="1" x14ac:dyDescent="0.3">
      <c r="A64" s="34">
        <v>44252</v>
      </c>
      <c r="B64" s="37" t="s">
        <v>45</v>
      </c>
      <c r="C64" s="55" t="s">
        <v>30</v>
      </c>
      <c r="D64" s="37">
        <v>1</v>
      </c>
      <c r="E64" s="37">
        <v>30</v>
      </c>
      <c r="F64" s="37">
        <f t="shared" si="7"/>
        <v>29</v>
      </c>
      <c r="G64" s="37">
        <v>0</v>
      </c>
      <c r="H64" s="37">
        <v>9</v>
      </c>
      <c r="I64" s="37">
        <f t="shared" si="5"/>
        <v>9</v>
      </c>
      <c r="J64" s="37">
        <v>0</v>
      </c>
      <c r="K64" s="37">
        <v>2</v>
      </c>
      <c r="L64" s="37">
        <f t="shared" si="6"/>
        <v>2</v>
      </c>
      <c r="M64" s="40">
        <v>35</v>
      </c>
      <c r="N64" s="37">
        <v>50</v>
      </c>
      <c r="O64" s="36" t="str">
        <f t="shared" si="4"/>
        <v>Pass</v>
      </c>
      <c r="P64" s="37">
        <v>1519</v>
      </c>
      <c r="Q64" s="35" t="s">
        <v>83</v>
      </c>
      <c r="R64" s="7" t="s">
        <v>84</v>
      </c>
    </row>
    <row r="65" spans="1:18" ht="14.1" customHeight="1" x14ac:dyDescent="0.3">
      <c r="A65" s="34">
        <v>44252</v>
      </c>
      <c r="B65" s="37" t="s">
        <v>50</v>
      </c>
      <c r="C65" s="55" t="s">
        <v>30</v>
      </c>
      <c r="D65" s="37">
        <v>5</v>
      </c>
      <c r="E65" s="37">
        <v>8</v>
      </c>
      <c r="F65" s="37">
        <f t="shared" si="7"/>
        <v>3</v>
      </c>
      <c r="G65" s="37">
        <v>0</v>
      </c>
      <c r="H65" s="37">
        <v>1</v>
      </c>
      <c r="I65" s="37">
        <f t="shared" si="5"/>
        <v>1</v>
      </c>
      <c r="J65" s="37">
        <v>0</v>
      </c>
      <c r="K65" s="37">
        <v>0</v>
      </c>
      <c r="L65" s="37">
        <f t="shared" si="6"/>
        <v>0</v>
      </c>
      <c r="M65" s="40">
        <v>35</v>
      </c>
      <c r="N65" s="37">
        <v>50</v>
      </c>
      <c r="O65" s="36" t="str">
        <f t="shared" si="4"/>
        <v>Pass</v>
      </c>
      <c r="P65" s="37">
        <v>1519</v>
      </c>
      <c r="Q65" s="35" t="s">
        <v>85</v>
      </c>
      <c r="R65" s="7" t="s">
        <v>86</v>
      </c>
    </row>
    <row r="66" spans="1:18" ht="14.1" customHeight="1" x14ac:dyDescent="0.3">
      <c r="A66" s="34">
        <v>44253</v>
      </c>
      <c r="B66" s="37" t="s">
        <v>50</v>
      </c>
      <c r="C66" s="55" t="s">
        <v>30</v>
      </c>
      <c r="D66" s="37">
        <v>3</v>
      </c>
      <c r="E66" s="37">
        <v>32</v>
      </c>
      <c r="F66" s="37">
        <f t="shared" si="7"/>
        <v>29</v>
      </c>
      <c r="G66" s="37">
        <v>0</v>
      </c>
      <c r="H66" s="37">
        <v>4</v>
      </c>
      <c r="I66" s="37">
        <f t="shared" si="5"/>
        <v>4</v>
      </c>
      <c r="J66" s="37">
        <v>0</v>
      </c>
      <c r="K66" s="37">
        <v>0</v>
      </c>
      <c r="L66" s="37">
        <f t="shared" si="6"/>
        <v>0</v>
      </c>
      <c r="M66" s="40">
        <v>35</v>
      </c>
      <c r="N66" s="37">
        <v>50</v>
      </c>
      <c r="O66" s="36" t="str">
        <f t="shared" si="4"/>
        <v>Pass</v>
      </c>
      <c r="P66" s="37">
        <v>121</v>
      </c>
      <c r="Q66" s="35" t="s">
        <v>85</v>
      </c>
      <c r="R66" s="7" t="s">
        <v>81</v>
      </c>
    </row>
    <row r="67" spans="1:18" ht="14.1" customHeight="1" x14ac:dyDescent="0.3">
      <c r="A67" s="34">
        <v>44253</v>
      </c>
      <c r="B67" s="37" t="s">
        <v>50</v>
      </c>
      <c r="C67" s="7" t="s">
        <v>34</v>
      </c>
      <c r="D67" s="37">
        <v>4</v>
      </c>
      <c r="E67" s="37">
        <v>13</v>
      </c>
      <c r="F67" s="37">
        <f t="shared" si="7"/>
        <v>9</v>
      </c>
      <c r="G67" s="37">
        <v>2</v>
      </c>
      <c r="H67" s="37">
        <v>4</v>
      </c>
      <c r="I67" s="37">
        <f t="shared" si="5"/>
        <v>2</v>
      </c>
      <c r="J67" s="37">
        <v>1</v>
      </c>
      <c r="K67" s="37">
        <v>2</v>
      </c>
      <c r="L67" s="37">
        <f t="shared" si="6"/>
        <v>1</v>
      </c>
      <c r="M67" s="40">
        <v>35</v>
      </c>
      <c r="N67" s="37">
        <v>50</v>
      </c>
      <c r="O67" s="36" t="str">
        <f t="shared" si="4"/>
        <v>Pass</v>
      </c>
      <c r="P67" s="7">
        <v>121</v>
      </c>
      <c r="Q67" s="35" t="s">
        <v>36</v>
      </c>
      <c r="R67" s="7" t="s">
        <v>34</v>
      </c>
    </row>
    <row r="68" spans="1:18" ht="14.1" customHeight="1" x14ac:dyDescent="0.3">
      <c r="A68" s="34">
        <v>44254</v>
      </c>
      <c r="B68" s="37" t="s">
        <v>50</v>
      </c>
      <c r="C68" s="55" t="s">
        <v>30</v>
      </c>
      <c r="D68" s="37">
        <v>9</v>
      </c>
      <c r="E68" s="37">
        <v>11</v>
      </c>
      <c r="F68" s="37">
        <f t="shared" si="7"/>
        <v>2</v>
      </c>
      <c r="G68" s="37">
        <v>0</v>
      </c>
      <c r="H68" s="37">
        <v>0</v>
      </c>
      <c r="I68" s="37">
        <f t="shared" si="5"/>
        <v>0</v>
      </c>
      <c r="J68" s="37">
        <v>0</v>
      </c>
      <c r="K68" s="37">
        <v>0</v>
      </c>
      <c r="L68" s="37">
        <f t="shared" si="6"/>
        <v>0</v>
      </c>
      <c r="M68" s="40">
        <v>35</v>
      </c>
      <c r="N68" s="37">
        <v>50</v>
      </c>
      <c r="O68" s="36" t="str">
        <f t="shared" si="4"/>
        <v>Pass</v>
      </c>
      <c r="P68" s="37">
        <v>1428</v>
      </c>
      <c r="Q68" s="35" t="s">
        <v>64</v>
      </c>
      <c r="R68" s="7" t="s">
        <v>81</v>
      </c>
    </row>
    <row r="69" spans="1:18" ht="12.75" customHeight="1" x14ac:dyDescent="0.3">
      <c r="A69" s="34">
        <v>44254</v>
      </c>
      <c r="B69" s="37" t="s">
        <v>50</v>
      </c>
      <c r="C69" s="7" t="s">
        <v>34</v>
      </c>
      <c r="D69" s="37">
        <v>14</v>
      </c>
      <c r="E69" s="37">
        <v>14</v>
      </c>
      <c r="F69" s="37">
        <f t="shared" si="7"/>
        <v>0</v>
      </c>
      <c r="G69" s="37">
        <v>1</v>
      </c>
      <c r="H69" s="37">
        <v>1</v>
      </c>
      <c r="I69" s="37">
        <f t="shared" si="5"/>
        <v>0</v>
      </c>
      <c r="J69" s="37">
        <v>0</v>
      </c>
      <c r="K69" s="37">
        <v>2</v>
      </c>
      <c r="L69" s="37">
        <f t="shared" si="6"/>
        <v>2</v>
      </c>
      <c r="M69" s="40">
        <v>35</v>
      </c>
      <c r="N69" s="37">
        <v>50</v>
      </c>
      <c r="O69" s="36" t="str">
        <f t="shared" si="4"/>
        <v>Pass</v>
      </c>
      <c r="P69" s="7">
        <v>1428</v>
      </c>
      <c r="Q69" s="35" t="s">
        <v>35</v>
      </c>
      <c r="R69" s="7" t="s">
        <v>34</v>
      </c>
    </row>
    <row r="70" spans="1:18" ht="14.1" customHeight="1" x14ac:dyDescent="0.3">
      <c r="A70" s="34">
        <v>44256</v>
      </c>
      <c r="B70" s="37" t="s">
        <v>45</v>
      </c>
      <c r="C70" s="55" t="s">
        <v>30</v>
      </c>
      <c r="D70" s="37">
        <v>6</v>
      </c>
      <c r="E70" s="37">
        <v>19</v>
      </c>
      <c r="F70" s="37">
        <f t="shared" si="7"/>
        <v>13</v>
      </c>
      <c r="G70" s="37">
        <v>3</v>
      </c>
      <c r="H70" s="37">
        <v>4</v>
      </c>
      <c r="I70" s="37">
        <f t="shared" si="5"/>
        <v>1</v>
      </c>
      <c r="J70" s="37">
        <v>1</v>
      </c>
      <c r="K70" s="37">
        <v>1</v>
      </c>
      <c r="L70" s="37">
        <f t="shared" si="6"/>
        <v>0</v>
      </c>
      <c r="M70" s="40">
        <v>35</v>
      </c>
      <c r="N70" s="37">
        <v>50</v>
      </c>
      <c r="O70" s="36" t="str">
        <f t="shared" si="4"/>
        <v>Pass</v>
      </c>
      <c r="P70" s="37">
        <v>1159</v>
      </c>
      <c r="Q70" s="35" t="s">
        <v>87</v>
      </c>
      <c r="R70" s="7" t="s">
        <v>81</v>
      </c>
    </row>
    <row r="71" spans="1:18" ht="12.75" customHeight="1" x14ac:dyDescent="0.3">
      <c r="A71" s="34">
        <v>44256</v>
      </c>
      <c r="B71" s="37" t="s">
        <v>45</v>
      </c>
      <c r="C71" s="7" t="s">
        <v>34</v>
      </c>
      <c r="D71" s="37">
        <v>1</v>
      </c>
      <c r="E71" s="37">
        <v>3</v>
      </c>
      <c r="F71" s="37">
        <f t="shared" si="7"/>
        <v>2</v>
      </c>
      <c r="G71" s="37">
        <v>1</v>
      </c>
      <c r="H71" s="37">
        <v>3</v>
      </c>
      <c r="I71" s="37">
        <f t="shared" si="5"/>
        <v>2</v>
      </c>
      <c r="J71" s="37">
        <v>1</v>
      </c>
      <c r="K71" s="37">
        <v>2</v>
      </c>
      <c r="L71" s="37">
        <f t="shared" si="6"/>
        <v>1</v>
      </c>
      <c r="M71" s="40">
        <v>35</v>
      </c>
      <c r="N71" s="37">
        <v>50</v>
      </c>
      <c r="O71" s="36" t="str">
        <f t="shared" si="4"/>
        <v>Pass</v>
      </c>
      <c r="P71" s="7">
        <v>1159</v>
      </c>
      <c r="Q71" s="35" t="s">
        <v>65</v>
      </c>
      <c r="R71" s="7" t="s">
        <v>34</v>
      </c>
    </row>
    <row r="72" spans="1:18" ht="14.1" customHeight="1" x14ac:dyDescent="0.3">
      <c r="A72" s="34">
        <v>44258</v>
      </c>
      <c r="B72" s="37" t="s">
        <v>45</v>
      </c>
      <c r="C72" s="55" t="s">
        <v>30</v>
      </c>
      <c r="D72" s="37">
        <v>11</v>
      </c>
      <c r="E72" s="37">
        <v>35</v>
      </c>
      <c r="F72" s="37">
        <f t="shared" si="7"/>
        <v>24</v>
      </c>
      <c r="G72" s="37">
        <v>0</v>
      </c>
      <c r="H72" s="37">
        <v>6</v>
      </c>
      <c r="I72" s="37">
        <f t="shared" si="5"/>
        <v>6</v>
      </c>
      <c r="J72" s="37">
        <v>0</v>
      </c>
      <c r="K72" s="37">
        <v>4</v>
      </c>
      <c r="L72" s="37">
        <f t="shared" si="6"/>
        <v>4</v>
      </c>
      <c r="M72" s="40">
        <v>35</v>
      </c>
      <c r="N72" s="37">
        <v>50</v>
      </c>
      <c r="O72" s="36" t="str">
        <f t="shared" si="4"/>
        <v>Pass</v>
      </c>
      <c r="P72" s="37">
        <v>1428</v>
      </c>
      <c r="Q72" s="35" t="s">
        <v>88</v>
      </c>
      <c r="R72" s="7" t="s">
        <v>81</v>
      </c>
    </row>
    <row r="73" spans="1:18" ht="12.75" customHeight="1" x14ac:dyDescent="0.3">
      <c r="A73" s="34">
        <v>44258</v>
      </c>
      <c r="B73" s="37" t="s">
        <v>45</v>
      </c>
      <c r="C73" s="7" t="s">
        <v>34</v>
      </c>
      <c r="D73" s="37">
        <v>15</v>
      </c>
      <c r="E73" s="37">
        <v>25</v>
      </c>
      <c r="F73" s="37">
        <f t="shared" si="7"/>
        <v>10</v>
      </c>
      <c r="G73" s="37">
        <v>1</v>
      </c>
      <c r="H73" s="37">
        <v>5</v>
      </c>
      <c r="I73" s="37">
        <f t="shared" si="5"/>
        <v>4</v>
      </c>
      <c r="J73" s="37">
        <v>1</v>
      </c>
      <c r="K73" s="37">
        <v>4</v>
      </c>
      <c r="L73" s="37">
        <f t="shared" si="6"/>
        <v>3</v>
      </c>
      <c r="M73" s="40">
        <v>35</v>
      </c>
      <c r="N73" s="37">
        <v>50</v>
      </c>
      <c r="O73" s="36" t="str">
        <f t="shared" si="4"/>
        <v>Pass</v>
      </c>
      <c r="P73" s="7">
        <v>1428</v>
      </c>
      <c r="Q73" s="35" t="s">
        <v>35</v>
      </c>
      <c r="R73" s="7" t="s">
        <v>34</v>
      </c>
    </row>
    <row r="74" spans="1:18" ht="14.1" customHeight="1" x14ac:dyDescent="0.3">
      <c r="A74" s="34">
        <v>44258</v>
      </c>
      <c r="B74" s="37" t="s">
        <v>45</v>
      </c>
      <c r="C74" s="55" t="s">
        <v>30</v>
      </c>
      <c r="D74" s="37">
        <v>3</v>
      </c>
      <c r="E74" s="37">
        <v>34</v>
      </c>
      <c r="F74" s="37">
        <f t="shared" si="7"/>
        <v>31</v>
      </c>
      <c r="G74" s="37">
        <v>1</v>
      </c>
      <c r="H74" s="37">
        <v>11</v>
      </c>
      <c r="I74" s="37">
        <f t="shared" si="5"/>
        <v>10</v>
      </c>
      <c r="J74" s="37">
        <v>1</v>
      </c>
      <c r="K74" s="37">
        <v>6</v>
      </c>
      <c r="L74" s="37">
        <f t="shared" si="6"/>
        <v>5</v>
      </c>
      <c r="M74" s="40">
        <v>35</v>
      </c>
      <c r="N74" s="37">
        <v>50</v>
      </c>
      <c r="O74" s="36" t="str">
        <f t="shared" si="4"/>
        <v>Pass</v>
      </c>
      <c r="P74" s="37">
        <v>1519</v>
      </c>
      <c r="Q74" s="35" t="s">
        <v>89</v>
      </c>
      <c r="R74" s="7" t="s">
        <v>90</v>
      </c>
    </row>
    <row r="75" spans="1:18" ht="12.75" customHeight="1" x14ac:dyDescent="0.3">
      <c r="A75" s="34">
        <v>44258</v>
      </c>
      <c r="B75" s="37" t="s">
        <v>45</v>
      </c>
      <c r="C75" s="7" t="s">
        <v>34</v>
      </c>
      <c r="D75" s="37">
        <v>8</v>
      </c>
      <c r="E75" s="37">
        <v>37</v>
      </c>
      <c r="F75" s="37">
        <f t="shared" si="7"/>
        <v>29</v>
      </c>
      <c r="G75" s="37">
        <v>0</v>
      </c>
      <c r="H75" s="37">
        <v>9</v>
      </c>
      <c r="I75" s="37">
        <f t="shared" si="5"/>
        <v>9</v>
      </c>
      <c r="J75" s="37">
        <v>0</v>
      </c>
      <c r="K75" s="37">
        <v>2</v>
      </c>
      <c r="L75" s="37">
        <f t="shared" si="6"/>
        <v>2</v>
      </c>
      <c r="M75" s="40">
        <v>35</v>
      </c>
      <c r="N75" s="37">
        <v>50</v>
      </c>
      <c r="O75" s="36" t="str">
        <f t="shared" si="4"/>
        <v>Pass</v>
      </c>
      <c r="P75" s="7">
        <v>1519</v>
      </c>
      <c r="Q75" s="35" t="s">
        <v>91</v>
      </c>
      <c r="R75" s="7" t="s">
        <v>92</v>
      </c>
    </row>
    <row r="76" spans="1:18" ht="14.1" customHeight="1" x14ac:dyDescent="0.3">
      <c r="A76" s="34">
        <v>44262</v>
      </c>
      <c r="B76" s="37" t="s">
        <v>45</v>
      </c>
      <c r="C76" s="55" t="s">
        <v>30</v>
      </c>
      <c r="D76" s="37">
        <v>3</v>
      </c>
      <c r="E76" s="37">
        <v>18</v>
      </c>
      <c r="F76" s="37">
        <f t="shared" si="7"/>
        <v>15</v>
      </c>
      <c r="G76" s="37">
        <v>1</v>
      </c>
      <c r="H76" s="37">
        <v>3</v>
      </c>
      <c r="I76" s="37">
        <f t="shared" si="5"/>
        <v>2</v>
      </c>
      <c r="J76" s="37">
        <v>1</v>
      </c>
      <c r="K76" s="37">
        <v>2</v>
      </c>
      <c r="L76" s="37">
        <f t="shared" si="6"/>
        <v>1</v>
      </c>
      <c r="M76" s="40">
        <v>35</v>
      </c>
      <c r="N76" s="37">
        <v>50</v>
      </c>
      <c r="O76" s="36" t="str">
        <f t="shared" si="4"/>
        <v>Pass</v>
      </c>
      <c r="P76" s="37">
        <v>74</v>
      </c>
      <c r="Q76" s="35" t="s">
        <v>88</v>
      </c>
      <c r="R76" s="7" t="s">
        <v>81</v>
      </c>
    </row>
    <row r="77" spans="1:18" ht="12.75" customHeight="1" x14ac:dyDescent="0.3">
      <c r="A77" s="34">
        <v>44262</v>
      </c>
      <c r="B77" s="37" t="s">
        <v>45</v>
      </c>
      <c r="C77" s="7" t="s">
        <v>34</v>
      </c>
      <c r="D77" s="37">
        <v>5</v>
      </c>
      <c r="E77" s="37">
        <v>27</v>
      </c>
      <c r="F77" s="37">
        <f t="shared" si="7"/>
        <v>22</v>
      </c>
      <c r="G77" s="37">
        <v>0</v>
      </c>
      <c r="H77" s="37">
        <v>9</v>
      </c>
      <c r="I77" s="37">
        <f t="shared" si="5"/>
        <v>9</v>
      </c>
      <c r="J77" s="37">
        <v>0</v>
      </c>
      <c r="K77" s="37">
        <v>4</v>
      </c>
      <c r="L77" s="37">
        <f t="shared" si="6"/>
        <v>4</v>
      </c>
      <c r="M77" s="40">
        <v>35</v>
      </c>
      <c r="N77" s="37">
        <v>50</v>
      </c>
      <c r="O77" s="36" t="str">
        <f t="shared" si="4"/>
        <v>Pass</v>
      </c>
      <c r="P77" s="37">
        <v>74</v>
      </c>
      <c r="Q77" s="35" t="s">
        <v>35</v>
      </c>
      <c r="R77" s="7" t="s">
        <v>34</v>
      </c>
    </row>
    <row r="78" spans="1:18" ht="14.1" customHeight="1" x14ac:dyDescent="0.3">
      <c r="A78" s="34">
        <v>44263</v>
      </c>
      <c r="B78" s="37" t="s">
        <v>45</v>
      </c>
      <c r="C78" s="55" t="s">
        <v>30</v>
      </c>
      <c r="D78" s="37">
        <v>7</v>
      </c>
      <c r="E78" s="37">
        <v>14</v>
      </c>
      <c r="F78" s="37">
        <f t="shared" si="7"/>
        <v>7</v>
      </c>
      <c r="G78" s="37">
        <v>0</v>
      </c>
      <c r="H78" s="37">
        <v>1</v>
      </c>
      <c r="I78" s="37">
        <f t="shared" si="5"/>
        <v>1</v>
      </c>
      <c r="J78" s="37">
        <v>0</v>
      </c>
      <c r="K78" s="37">
        <v>1</v>
      </c>
      <c r="L78" s="37">
        <f t="shared" si="6"/>
        <v>1</v>
      </c>
      <c r="M78" s="40">
        <v>35</v>
      </c>
      <c r="N78" s="37">
        <v>50</v>
      </c>
      <c r="O78" s="36" t="str">
        <f t="shared" si="4"/>
        <v>Pass</v>
      </c>
      <c r="P78" s="37">
        <v>1159</v>
      </c>
      <c r="Q78" s="35" t="s">
        <v>93</v>
      </c>
      <c r="R78" s="7" t="s">
        <v>81</v>
      </c>
    </row>
    <row r="79" spans="1:18" ht="12.75" customHeight="1" x14ac:dyDescent="0.3">
      <c r="A79" s="34">
        <v>44263</v>
      </c>
      <c r="B79" s="37" t="s">
        <v>45</v>
      </c>
      <c r="C79" s="7" t="s">
        <v>34</v>
      </c>
      <c r="D79" s="37">
        <v>3</v>
      </c>
      <c r="E79" s="37">
        <v>28</v>
      </c>
      <c r="F79" s="37">
        <f t="shared" si="7"/>
        <v>25</v>
      </c>
      <c r="G79" s="37">
        <v>0</v>
      </c>
      <c r="H79" s="37">
        <v>6</v>
      </c>
      <c r="I79" s="37">
        <f t="shared" si="5"/>
        <v>6</v>
      </c>
      <c r="J79" s="37">
        <v>0</v>
      </c>
      <c r="K79" s="37">
        <v>1</v>
      </c>
      <c r="L79" s="37">
        <f t="shared" si="6"/>
        <v>1</v>
      </c>
      <c r="M79" s="40">
        <v>35</v>
      </c>
      <c r="N79" s="37">
        <v>50</v>
      </c>
      <c r="O79" s="36" t="str">
        <f t="shared" si="4"/>
        <v>Pass</v>
      </c>
      <c r="P79" s="37">
        <v>1159</v>
      </c>
      <c r="Q79" s="35" t="s">
        <v>94</v>
      </c>
      <c r="R79" s="7" t="s">
        <v>34</v>
      </c>
    </row>
    <row r="80" spans="1:18" ht="14.1" customHeight="1" x14ac:dyDescent="0.3">
      <c r="A80" s="34">
        <v>44265</v>
      </c>
      <c r="B80" s="37" t="s">
        <v>50</v>
      </c>
      <c r="C80" s="55" t="s">
        <v>30</v>
      </c>
      <c r="D80" s="37">
        <v>3</v>
      </c>
      <c r="E80" s="37">
        <v>10</v>
      </c>
      <c r="F80" s="37">
        <f t="shared" si="7"/>
        <v>7</v>
      </c>
      <c r="G80" s="37">
        <v>1</v>
      </c>
      <c r="H80" s="37">
        <v>4</v>
      </c>
      <c r="I80" s="37">
        <f t="shared" si="5"/>
        <v>3</v>
      </c>
      <c r="J80" s="37">
        <v>1</v>
      </c>
      <c r="K80" s="37">
        <v>5</v>
      </c>
      <c r="L80" s="37">
        <f t="shared" si="6"/>
        <v>4</v>
      </c>
      <c r="M80" s="40">
        <v>35</v>
      </c>
      <c r="N80" s="37">
        <v>50</v>
      </c>
      <c r="O80" s="36" t="str">
        <f t="shared" si="4"/>
        <v>Pass</v>
      </c>
      <c r="P80" s="37">
        <v>64</v>
      </c>
      <c r="Q80" s="35"/>
      <c r="R80" s="7" t="s">
        <v>81</v>
      </c>
    </row>
    <row r="81" spans="1:18" ht="12.75" customHeight="1" x14ac:dyDescent="0.3">
      <c r="A81" s="34">
        <v>44265</v>
      </c>
      <c r="B81" s="37" t="s">
        <v>50</v>
      </c>
      <c r="C81" s="7" t="s">
        <v>34</v>
      </c>
      <c r="D81" s="37">
        <v>1</v>
      </c>
      <c r="E81" s="37">
        <v>13</v>
      </c>
      <c r="F81" s="37">
        <f t="shared" si="7"/>
        <v>12</v>
      </c>
      <c r="G81" s="37">
        <v>0</v>
      </c>
      <c r="H81" s="37">
        <v>2</v>
      </c>
      <c r="I81" s="37">
        <f t="shared" si="5"/>
        <v>2</v>
      </c>
      <c r="J81" s="37">
        <v>0</v>
      </c>
      <c r="K81" s="37">
        <v>2</v>
      </c>
      <c r="L81" s="37">
        <f t="shared" si="6"/>
        <v>2</v>
      </c>
      <c r="M81" s="40">
        <v>35</v>
      </c>
      <c r="N81" s="37">
        <v>50</v>
      </c>
      <c r="O81" s="36" t="str">
        <f t="shared" si="4"/>
        <v>Pass</v>
      </c>
      <c r="P81" s="37">
        <v>64</v>
      </c>
      <c r="Q81" s="35"/>
      <c r="R81" s="7" t="s">
        <v>34</v>
      </c>
    </row>
    <row r="82" spans="1:18" ht="14.1" customHeight="1" x14ac:dyDescent="0.3">
      <c r="A82" s="34">
        <v>44267</v>
      </c>
      <c r="B82" s="37" t="s">
        <v>45</v>
      </c>
      <c r="C82" s="55" t="s">
        <v>30</v>
      </c>
      <c r="D82" s="37">
        <v>21</v>
      </c>
      <c r="E82" s="37">
        <v>76</v>
      </c>
      <c r="F82" s="37">
        <f t="shared" si="7"/>
        <v>55</v>
      </c>
      <c r="G82" s="37">
        <v>1</v>
      </c>
      <c r="H82" s="37">
        <v>19</v>
      </c>
      <c r="I82" s="37">
        <f t="shared" si="5"/>
        <v>18</v>
      </c>
      <c r="J82" s="37">
        <v>0</v>
      </c>
      <c r="K82" s="37">
        <v>9</v>
      </c>
      <c r="L82" s="37">
        <f t="shared" si="6"/>
        <v>9</v>
      </c>
      <c r="M82" s="40">
        <v>35</v>
      </c>
      <c r="N82" s="37">
        <v>50</v>
      </c>
      <c r="O82" s="36" t="str">
        <f t="shared" si="4"/>
        <v>Fail</v>
      </c>
      <c r="P82" s="37">
        <v>121</v>
      </c>
      <c r="Q82" s="35" t="s">
        <v>60</v>
      </c>
      <c r="R82" s="7" t="s">
        <v>81</v>
      </c>
    </row>
    <row r="83" spans="1:18" ht="12.75" customHeight="1" x14ac:dyDescent="0.3">
      <c r="A83" s="34">
        <v>44267</v>
      </c>
      <c r="B83" s="37" t="s">
        <v>45</v>
      </c>
      <c r="C83" s="7" t="s">
        <v>34</v>
      </c>
      <c r="D83" s="37">
        <v>3</v>
      </c>
      <c r="E83" s="37">
        <v>7</v>
      </c>
      <c r="F83" s="37">
        <f t="shared" si="7"/>
        <v>4</v>
      </c>
      <c r="G83" s="37">
        <v>0</v>
      </c>
      <c r="H83" s="37">
        <v>1</v>
      </c>
      <c r="I83" s="37">
        <f t="shared" si="5"/>
        <v>1</v>
      </c>
      <c r="J83" s="37">
        <v>0</v>
      </c>
      <c r="K83" s="37">
        <v>0</v>
      </c>
      <c r="L83" s="37">
        <f t="shared" si="6"/>
        <v>0</v>
      </c>
      <c r="M83" s="40">
        <v>35</v>
      </c>
      <c r="N83" s="37">
        <v>50</v>
      </c>
      <c r="O83" s="36" t="str">
        <f t="shared" si="4"/>
        <v>Pass</v>
      </c>
      <c r="P83" s="37">
        <v>121</v>
      </c>
      <c r="Q83" s="35" t="s">
        <v>95</v>
      </c>
      <c r="R83" s="7" t="s">
        <v>34</v>
      </c>
    </row>
    <row r="84" spans="1:18" ht="14.1" customHeight="1" x14ac:dyDescent="0.3">
      <c r="A84" s="34">
        <v>44267</v>
      </c>
      <c r="B84" s="37" t="s">
        <v>50</v>
      </c>
      <c r="C84" s="55" t="s">
        <v>30</v>
      </c>
      <c r="D84" s="37">
        <v>8</v>
      </c>
      <c r="E84" s="37">
        <v>12</v>
      </c>
      <c r="F84" s="37">
        <f t="shared" si="7"/>
        <v>4</v>
      </c>
      <c r="G84" s="37">
        <v>0</v>
      </c>
      <c r="H84" s="37">
        <v>2</v>
      </c>
      <c r="I84" s="37">
        <f t="shared" si="5"/>
        <v>2</v>
      </c>
      <c r="J84" s="37">
        <v>0</v>
      </c>
      <c r="K84" s="37">
        <v>1</v>
      </c>
      <c r="L84" s="37">
        <f t="shared" si="6"/>
        <v>1</v>
      </c>
      <c r="M84" s="40">
        <v>35</v>
      </c>
      <c r="N84" s="37">
        <v>50</v>
      </c>
      <c r="O84" s="36" t="str">
        <f t="shared" ref="O84:O132" si="8">IF(F84="","",IF(F84&lt;=M84,"Pass","Fail"))</f>
        <v>Pass</v>
      </c>
      <c r="P84" s="37">
        <v>1335</v>
      </c>
      <c r="Q84" s="35" t="s">
        <v>96</v>
      </c>
      <c r="R84" s="7" t="s">
        <v>97</v>
      </c>
    </row>
    <row r="85" spans="1:18" ht="12.75" customHeight="1" x14ac:dyDescent="0.3">
      <c r="A85" s="34">
        <v>44267</v>
      </c>
      <c r="B85" s="37" t="s">
        <v>50</v>
      </c>
      <c r="C85" s="7" t="s">
        <v>34</v>
      </c>
      <c r="D85" s="37">
        <v>1</v>
      </c>
      <c r="E85" s="37">
        <v>11</v>
      </c>
      <c r="F85" s="37">
        <f t="shared" si="7"/>
        <v>10</v>
      </c>
      <c r="G85" s="37">
        <v>0</v>
      </c>
      <c r="H85" s="37">
        <v>2</v>
      </c>
      <c r="I85" s="37">
        <f t="shared" si="5"/>
        <v>2</v>
      </c>
      <c r="J85" s="37">
        <v>0</v>
      </c>
      <c r="K85" s="37">
        <v>0</v>
      </c>
      <c r="L85" s="37">
        <f t="shared" si="6"/>
        <v>0</v>
      </c>
      <c r="M85" s="40">
        <v>35</v>
      </c>
      <c r="N85" s="37">
        <v>50</v>
      </c>
      <c r="O85" s="36" t="str">
        <f t="shared" si="8"/>
        <v>Pass</v>
      </c>
      <c r="P85" s="37">
        <v>1335</v>
      </c>
      <c r="Q85" s="35" t="s">
        <v>31</v>
      </c>
      <c r="R85" s="7" t="s">
        <v>98</v>
      </c>
    </row>
    <row r="86" spans="1:18" ht="14.1" customHeight="1" x14ac:dyDescent="0.3">
      <c r="A86" s="34">
        <v>44268</v>
      </c>
      <c r="B86" s="37" t="s">
        <v>45</v>
      </c>
      <c r="C86" s="55" t="s">
        <v>30</v>
      </c>
      <c r="D86" s="37">
        <v>14</v>
      </c>
      <c r="E86" s="37">
        <v>26</v>
      </c>
      <c r="F86" s="37">
        <f t="shared" si="7"/>
        <v>12</v>
      </c>
      <c r="G86" s="37">
        <v>0</v>
      </c>
      <c r="H86" s="37">
        <v>2</v>
      </c>
      <c r="I86" s="37">
        <f t="shared" si="5"/>
        <v>2</v>
      </c>
      <c r="J86" s="37">
        <v>0</v>
      </c>
      <c r="K86" s="37">
        <v>1</v>
      </c>
      <c r="L86" s="37">
        <f t="shared" si="6"/>
        <v>1</v>
      </c>
      <c r="M86" s="40">
        <v>35</v>
      </c>
      <c r="N86" s="37">
        <v>50</v>
      </c>
      <c r="O86" s="36" t="str">
        <f t="shared" si="8"/>
        <v>Pass</v>
      </c>
      <c r="P86" s="37">
        <v>121</v>
      </c>
      <c r="Q86" s="35" t="s">
        <v>36</v>
      </c>
      <c r="R86" s="7" t="s">
        <v>81</v>
      </c>
    </row>
    <row r="87" spans="1:18" ht="14.1" customHeight="1" x14ac:dyDescent="0.3">
      <c r="A87" s="34">
        <v>44270</v>
      </c>
      <c r="B87" s="37" t="s">
        <v>50</v>
      </c>
      <c r="C87" s="55" t="s">
        <v>30</v>
      </c>
      <c r="D87" s="37">
        <v>3</v>
      </c>
      <c r="E87" s="37">
        <v>10</v>
      </c>
      <c r="F87" s="37">
        <f t="shared" si="7"/>
        <v>7</v>
      </c>
      <c r="G87" s="37">
        <v>0</v>
      </c>
      <c r="H87" s="37">
        <v>1</v>
      </c>
      <c r="I87" s="37">
        <f t="shared" si="5"/>
        <v>1</v>
      </c>
      <c r="J87" s="37">
        <v>0</v>
      </c>
      <c r="K87" s="37">
        <v>0</v>
      </c>
      <c r="L87" s="37">
        <f t="shared" si="6"/>
        <v>0</v>
      </c>
      <c r="M87" s="40">
        <v>35</v>
      </c>
      <c r="N87" s="37">
        <v>50</v>
      </c>
      <c r="O87" s="36" t="str">
        <f t="shared" si="8"/>
        <v>Pass</v>
      </c>
      <c r="P87" s="37">
        <v>74</v>
      </c>
      <c r="Q87" s="35" t="s">
        <v>95</v>
      </c>
      <c r="R87" s="7" t="s">
        <v>81</v>
      </c>
    </row>
    <row r="88" spans="1:18" ht="12.75" customHeight="1" x14ac:dyDescent="0.3">
      <c r="A88" s="34">
        <v>44270</v>
      </c>
      <c r="B88" s="37" t="s">
        <v>50</v>
      </c>
      <c r="C88" s="7" t="s">
        <v>34</v>
      </c>
      <c r="D88" s="37">
        <v>3</v>
      </c>
      <c r="E88" s="37">
        <v>39</v>
      </c>
      <c r="F88" s="37">
        <f t="shared" si="7"/>
        <v>36</v>
      </c>
      <c r="G88" s="37">
        <v>1</v>
      </c>
      <c r="H88" s="37">
        <v>9</v>
      </c>
      <c r="I88" s="37">
        <f t="shared" ref="I88:I132" si="9">H88-G88</f>
        <v>8</v>
      </c>
      <c r="J88" s="37">
        <v>1</v>
      </c>
      <c r="K88" s="37">
        <v>5</v>
      </c>
      <c r="L88" s="37">
        <f t="shared" si="6"/>
        <v>4</v>
      </c>
      <c r="M88" s="40">
        <v>35</v>
      </c>
      <c r="N88" s="37">
        <v>50</v>
      </c>
      <c r="O88" s="36" t="str">
        <f t="shared" si="8"/>
        <v>Fail</v>
      </c>
      <c r="P88" s="37">
        <v>74</v>
      </c>
      <c r="Q88" s="35" t="s">
        <v>35</v>
      </c>
      <c r="R88" s="7" t="s">
        <v>34</v>
      </c>
    </row>
    <row r="89" spans="1:18" ht="12.75" customHeight="1" x14ac:dyDescent="0.3">
      <c r="A89" s="34">
        <v>44270</v>
      </c>
      <c r="B89" s="37" t="s">
        <v>45</v>
      </c>
      <c r="C89" s="7" t="s">
        <v>34</v>
      </c>
      <c r="D89" s="37">
        <v>2</v>
      </c>
      <c r="E89" s="37">
        <v>20</v>
      </c>
      <c r="F89" s="37">
        <f t="shared" si="7"/>
        <v>18</v>
      </c>
      <c r="G89" s="37">
        <v>0</v>
      </c>
      <c r="H89" s="37">
        <v>8</v>
      </c>
      <c r="I89" s="37">
        <f t="shared" si="9"/>
        <v>8</v>
      </c>
      <c r="J89" s="37">
        <v>0</v>
      </c>
      <c r="K89" s="37">
        <v>0</v>
      </c>
      <c r="L89" s="37">
        <f t="shared" si="6"/>
        <v>0</v>
      </c>
      <c r="M89" s="40">
        <v>35</v>
      </c>
      <c r="N89" s="37">
        <v>50</v>
      </c>
      <c r="O89" s="36" t="str">
        <f t="shared" si="8"/>
        <v>Pass</v>
      </c>
      <c r="P89" s="37">
        <v>64</v>
      </c>
      <c r="Q89" s="35" t="s">
        <v>35</v>
      </c>
      <c r="R89" s="7" t="s">
        <v>99</v>
      </c>
    </row>
    <row r="90" spans="1:18" ht="12.75" customHeight="1" x14ac:dyDescent="0.3">
      <c r="A90" s="34">
        <v>44271</v>
      </c>
      <c r="B90" s="37" t="s">
        <v>45</v>
      </c>
      <c r="C90" s="7" t="s">
        <v>34</v>
      </c>
      <c r="D90" s="37">
        <v>27</v>
      </c>
      <c r="E90" s="37">
        <v>23</v>
      </c>
      <c r="F90" s="37">
        <f t="shared" si="7"/>
        <v>-4</v>
      </c>
      <c r="G90" s="37">
        <v>8</v>
      </c>
      <c r="H90" s="37">
        <v>6</v>
      </c>
      <c r="I90" s="37">
        <f t="shared" si="9"/>
        <v>-2</v>
      </c>
      <c r="J90" s="37">
        <v>0</v>
      </c>
      <c r="K90" s="37">
        <v>0</v>
      </c>
      <c r="L90" s="37">
        <f t="shared" si="6"/>
        <v>0</v>
      </c>
      <c r="M90" s="40">
        <v>35</v>
      </c>
      <c r="N90" s="37">
        <v>50</v>
      </c>
      <c r="O90" s="36" t="str">
        <f t="shared" si="8"/>
        <v>Pass</v>
      </c>
      <c r="P90" s="37">
        <v>121</v>
      </c>
      <c r="Q90" s="35" t="s">
        <v>100</v>
      </c>
      <c r="R90" s="7" t="s">
        <v>101</v>
      </c>
    </row>
    <row r="91" spans="1:18" ht="14.1" customHeight="1" x14ac:dyDescent="0.3">
      <c r="A91" s="34">
        <v>44273</v>
      </c>
      <c r="B91" s="37" t="s">
        <v>45</v>
      </c>
      <c r="C91" s="55" t="s">
        <v>30</v>
      </c>
      <c r="D91" s="37">
        <v>6</v>
      </c>
      <c r="E91" s="37">
        <v>27</v>
      </c>
      <c r="F91" s="37">
        <f t="shared" si="7"/>
        <v>21</v>
      </c>
      <c r="G91" s="37">
        <v>1</v>
      </c>
      <c r="H91" s="37">
        <v>11</v>
      </c>
      <c r="I91" s="37">
        <f t="shared" si="9"/>
        <v>10</v>
      </c>
      <c r="J91" s="37">
        <v>1</v>
      </c>
      <c r="K91" s="37">
        <v>6</v>
      </c>
      <c r="L91" s="37">
        <f t="shared" si="6"/>
        <v>5</v>
      </c>
      <c r="M91" s="40">
        <v>35</v>
      </c>
      <c r="N91" s="37">
        <v>50</v>
      </c>
      <c r="O91" s="36" t="str">
        <f t="shared" si="8"/>
        <v>Pass</v>
      </c>
      <c r="P91" s="37">
        <v>121</v>
      </c>
      <c r="Q91" s="35" t="s">
        <v>95</v>
      </c>
      <c r="R91" s="7" t="s">
        <v>81</v>
      </c>
    </row>
    <row r="92" spans="1:18" ht="12.75" customHeight="1" x14ac:dyDescent="0.3">
      <c r="A92" s="34">
        <v>44273</v>
      </c>
      <c r="B92" s="37" t="s">
        <v>45</v>
      </c>
      <c r="C92" s="7" t="s">
        <v>34</v>
      </c>
      <c r="D92" s="37">
        <v>13</v>
      </c>
      <c r="E92" s="37">
        <v>40</v>
      </c>
      <c r="F92" s="37">
        <f t="shared" si="7"/>
        <v>27</v>
      </c>
      <c r="G92" s="37">
        <v>3</v>
      </c>
      <c r="H92" s="37">
        <v>12</v>
      </c>
      <c r="I92" s="37">
        <f t="shared" si="9"/>
        <v>9</v>
      </c>
      <c r="J92" s="37">
        <v>1</v>
      </c>
      <c r="K92" s="37">
        <v>8</v>
      </c>
      <c r="L92" s="37">
        <f t="shared" si="6"/>
        <v>7</v>
      </c>
      <c r="M92" s="40">
        <v>35</v>
      </c>
      <c r="N92" s="37">
        <v>50</v>
      </c>
      <c r="O92" s="36" t="str">
        <f t="shared" si="8"/>
        <v>Pass</v>
      </c>
      <c r="P92" s="37">
        <v>121</v>
      </c>
      <c r="Q92" s="35" t="s">
        <v>35</v>
      </c>
      <c r="R92" s="7" t="s">
        <v>34</v>
      </c>
    </row>
    <row r="93" spans="1:18" ht="14.1" customHeight="1" x14ac:dyDescent="0.3">
      <c r="A93" s="34">
        <v>44273</v>
      </c>
      <c r="B93" s="37" t="s">
        <v>50</v>
      </c>
      <c r="C93" s="55" t="s">
        <v>30</v>
      </c>
      <c r="D93" s="37">
        <v>1</v>
      </c>
      <c r="E93" s="37">
        <v>14</v>
      </c>
      <c r="F93" s="37">
        <f t="shared" si="7"/>
        <v>13</v>
      </c>
      <c r="G93" s="37">
        <v>0</v>
      </c>
      <c r="H93" s="37">
        <v>5</v>
      </c>
      <c r="I93" s="37">
        <f t="shared" si="9"/>
        <v>5</v>
      </c>
      <c r="J93" s="37">
        <v>0</v>
      </c>
      <c r="K93" s="37">
        <v>1</v>
      </c>
      <c r="L93" s="37">
        <f t="shared" si="6"/>
        <v>1</v>
      </c>
      <c r="M93" s="40">
        <v>35</v>
      </c>
      <c r="N93" s="37">
        <v>50</v>
      </c>
      <c r="O93" s="36" t="str">
        <f t="shared" si="8"/>
        <v>Pass</v>
      </c>
      <c r="P93" s="37">
        <v>74</v>
      </c>
      <c r="Q93" s="35" t="s">
        <v>95</v>
      </c>
      <c r="R93" s="7" t="s">
        <v>102</v>
      </c>
    </row>
    <row r="94" spans="1:18" ht="12.75" customHeight="1" x14ac:dyDescent="0.3">
      <c r="A94" s="34">
        <v>44273</v>
      </c>
      <c r="B94" s="37" t="s">
        <v>50</v>
      </c>
      <c r="C94" s="7" t="s">
        <v>34</v>
      </c>
      <c r="D94" s="37">
        <v>6</v>
      </c>
      <c r="E94" s="37">
        <v>25</v>
      </c>
      <c r="F94" s="37">
        <f t="shared" si="7"/>
        <v>19</v>
      </c>
      <c r="G94" s="37">
        <v>0</v>
      </c>
      <c r="H94" s="37">
        <v>7</v>
      </c>
      <c r="I94" s="37">
        <f t="shared" si="9"/>
        <v>7</v>
      </c>
      <c r="J94" s="37">
        <v>0</v>
      </c>
      <c r="K94" s="37">
        <v>4</v>
      </c>
      <c r="L94" s="37">
        <f t="shared" si="6"/>
        <v>4</v>
      </c>
      <c r="M94" s="40">
        <v>35</v>
      </c>
      <c r="N94" s="37">
        <v>50</v>
      </c>
      <c r="O94" s="36" t="str">
        <f t="shared" si="8"/>
        <v>Pass</v>
      </c>
      <c r="P94" s="37">
        <v>74</v>
      </c>
      <c r="Q94" s="35" t="s">
        <v>35</v>
      </c>
      <c r="R94" s="7" t="s">
        <v>34</v>
      </c>
    </row>
    <row r="95" spans="1:18" ht="14.1" customHeight="1" x14ac:dyDescent="0.3">
      <c r="A95" s="34">
        <v>44274</v>
      </c>
      <c r="B95" s="37" t="s">
        <v>45</v>
      </c>
      <c r="C95" s="55" t="s">
        <v>30</v>
      </c>
      <c r="D95" s="37">
        <v>4</v>
      </c>
      <c r="E95" s="37">
        <v>36</v>
      </c>
      <c r="F95" s="37">
        <f t="shared" si="7"/>
        <v>32</v>
      </c>
      <c r="G95" s="37">
        <v>0</v>
      </c>
      <c r="H95" s="37">
        <v>13</v>
      </c>
      <c r="I95" s="37">
        <f t="shared" si="9"/>
        <v>13</v>
      </c>
      <c r="J95" s="37">
        <v>0</v>
      </c>
      <c r="K95" s="37">
        <v>5</v>
      </c>
      <c r="L95" s="37">
        <f t="shared" si="6"/>
        <v>5</v>
      </c>
      <c r="M95" s="40">
        <v>35</v>
      </c>
      <c r="N95" s="37">
        <v>50</v>
      </c>
      <c r="O95" s="36" t="str">
        <f t="shared" si="8"/>
        <v>Pass</v>
      </c>
      <c r="P95" s="37">
        <v>121</v>
      </c>
      <c r="Q95" s="35" t="s">
        <v>35</v>
      </c>
      <c r="R95" s="7" t="s">
        <v>81</v>
      </c>
    </row>
    <row r="96" spans="1:18" ht="12.75" customHeight="1" x14ac:dyDescent="0.3">
      <c r="A96" s="34">
        <v>44274</v>
      </c>
      <c r="B96" s="37" t="s">
        <v>45</v>
      </c>
      <c r="C96" s="7" t="s">
        <v>34</v>
      </c>
      <c r="D96" s="37">
        <v>4</v>
      </c>
      <c r="E96" s="37">
        <v>13</v>
      </c>
      <c r="F96" s="37">
        <f t="shared" si="7"/>
        <v>9</v>
      </c>
      <c r="G96" s="37">
        <v>0</v>
      </c>
      <c r="H96" s="37">
        <v>2</v>
      </c>
      <c r="I96" s="37">
        <f t="shared" si="9"/>
        <v>2</v>
      </c>
      <c r="J96" s="37">
        <v>0</v>
      </c>
      <c r="K96" s="37">
        <v>1</v>
      </c>
      <c r="L96" s="37">
        <f t="shared" si="6"/>
        <v>1</v>
      </c>
      <c r="M96" s="40">
        <v>35</v>
      </c>
      <c r="N96" s="37">
        <v>50</v>
      </c>
      <c r="O96" s="36" t="str">
        <f t="shared" si="8"/>
        <v>Pass</v>
      </c>
      <c r="P96" s="37">
        <v>121</v>
      </c>
      <c r="Q96" s="35" t="s">
        <v>93</v>
      </c>
      <c r="R96" s="7" t="s">
        <v>34</v>
      </c>
    </row>
    <row r="97" spans="1:18" ht="14.1" customHeight="1" x14ac:dyDescent="0.3">
      <c r="A97" s="34">
        <v>44278</v>
      </c>
      <c r="B97" s="37" t="s">
        <v>45</v>
      </c>
      <c r="C97" s="55" t="s">
        <v>30</v>
      </c>
      <c r="D97" s="37">
        <v>7</v>
      </c>
      <c r="E97" s="37">
        <v>97</v>
      </c>
      <c r="F97" s="37">
        <f t="shared" si="7"/>
        <v>90</v>
      </c>
      <c r="G97" s="37">
        <v>1</v>
      </c>
      <c r="H97" s="37">
        <v>43</v>
      </c>
      <c r="I97" s="37">
        <f t="shared" si="9"/>
        <v>42</v>
      </c>
      <c r="J97" s="37">
        <v>1</v>
      </c>
      <c r="K97" s="37">
        <v>25</v>
      </c>
      <c r="L97" s="37">
        <f t="shared" si="6"/>
        <v>24</v>
      </c>
      <c r="M97" s="40">
        <v>35</v>
      </c>
      <c r="N97" s="37">
        <v>50</v>
      </c>
      <c r="O97" s="36" t="str">
        <f t="shared" si="8"/>
        <v>Fail</v>
      </c>
      <c r="P97" s="37">
        <v>121</v>
      </c>
      <c r="Q97" s="35" t="s">
        <v>96</v>
      </c>
      <c r="R97" s="7" t="s">
        <v>103</v>
      </c>
    </row>
    <row r="98" spans="1:18" ht="12.75" customHeight="1" x14ac:dyDescent="0.3">
      <c r="A98" s="34">
        <v>44278</v>
      </c>
      <c r="B98" s="37" t="s">
        <v>45</v>
      </c>
      <c r="C98" s="7" t="s">
        <v>34</v>
      </c>
      <c r="D98" s="37">
        <v>6</v>
      </c>
      <c r="E98" s="37">
        <v>2738</v>
      </c>
      <c r="F98" s="37">
        <f t="shared" si="7"/>
        <v>2732</v>
      </c>
      <c r="G98" s="37">
        <v>0</v>
      </c>
      <c r="H98" s="37">
        <v>500</v>
      </c>
      <c r="I98" s="37">
        <f t="shared" si="9"/>
        <v>500</v>
      </c>
      <c r="J98" s="37">
        <v>0</v>
      </c>
      <c r="K98" s="37">
        <v>250</v>
      </c>
      <c r="L98" s="37">
        <f t="shared" si="6"/>
        <v>250</v>
      </c>
      <c r="M98" s="40">
        <v>35</v>
      </c>
      <c r="N98" s="37">
        <v>50</v>
      </c>
      <c r="O98" s="36" t="str">
        <f t="shared" si="8"/>
        <v>Fail</v>
      </c>
      <c r="P98" s="37">
        <v>121</v>
      </c>
      <c r="Q98" s="35" t="s">
        <v>93</v>
      </c>
      <c r="R98" s="7" t="s">
        <v>104</v>
      </c>
    </row>
    <row r="99" spans="1:18" ht="14.1" customHeight="1" x14ac:dyDescent="0.3">
      <c r="A99" s="34">
        <v>44278</v>
      </c>
      <c r="B99" s="37" t="s">
        <v>45</v>
      </c>
      <c r="C99" s="55" t="s">
        <v>30</v>
      </c>
      <c r="D99" s="37">
        <v>10</v>
      </c>
      <c r="E99" s="37">
        <v>10</v>
      </c>
      <c r="F99" s="37">
        <f t="shared" si="7"/>
        <v>0</v>
      </c>
      <c r="G99" s="37">
        <v>1</v>
      </c>
      <c r="H99" s="37">
        <v>1</v>
      </c>
      <c r="I99" s="37">
        <f t="shared" si="9"/>
        <v>0</v>
      </c>
      <c r="J99" s="37">
        <v>1</v>
      </c>
      <c r="K99" s="37">
        <v>1</v>
      </c>
      <c r="L99" s="37">
        <f t="shared" si="6"/>
        <v>0</v>
      </c>
      <c r="M99" s="40">
        <v>35</v>
      </c>
      <c r="N99" s="37">
        <v>50</v>
      </c>
      <c r="O99" s="36" t="str">
        <f t="shared" si="8"/>
        <v>Pass</v>
      </c>
      <c r="P99" s="37" t="s">
        <v>105</v>
      </c>
      <c r="Q99" s="35" t="s">
        <v>96</v>
      </c>
      <c r="R99" s="7" t="s">
        <v>106</v>
      </c>
    </row>
    <row r="100" spans="1:18" ht="12.75" customHeight="1" x14ac:dyDescent="0.3">
      <c r="A100" s="34">
        <v>44278</v>
      </c>
      <c r="B100" s="37" t="s">
        <v>45</v>
      </c>
      <c r="C100" s="7" t="s">
        <v>34</v>
      </c>
      <c r="D100" s="37">
        <v>2</v>
      </c>
      <c r="E100" s="37">
        <v>33</v>
      </c>
      <c r="F100" s="37">
        <f t="shared" si="7"/>
        <v>31</v>
      </c>
      <c r="G100" s="37">
        <v>0</v>
      </c>
      <c r="H100" s="37">
        <v>10</v>
      </c>
      <c r="I100" s="37">
        <f t="shared" si="9"/>
        <v>10</v>
      </c>
      <c r="J100" s="37">
        <v>0</v>
      </c>
      <c r="K100" s="37">
        <v>5</v>
      </c>
      <c r="L100" s="37">
        <f t="shared" si="6"/>
        <v>5</v>
      </c>
      <c r="M100" s="40">
        <v>35</v>
      </c>
      <c r="N100" s="37">
        <v>50</v>
      </c>
      <c r="O100" s="36" t="str">
        <f t="shared" si="8"/>
        <v>Pass</v>
      </c>
      <c r="P100" s="37" t="s">
        <v>105</v>
      </c>
      <c r="Q100" s="35" t="s">
        <v>93</v>
      </c>
      <c r="R100" s="7" t="s">
        <v>107</v>
      </c>
    </row>
    <row r="101" spans="1:18" ht="14.1" customHeight="1" x14ac:dyDescent="0.3">
      <c r="A101" s="34">
        <v>44279</v>
      </c>
      <c r="B101" s="37" t="s">
        <v>45</v>
      </c>
      <c r="C101" s="55" t="s">
        <v>30</v>
      </c>
      <c r="D101" s="37">
        <v>1</v>
      </c>
      <c r="E101" s="37">
        <v>24</v>
      </c>
      <c r="F101" s="37">
        <f t="shared" si="7"/>
        <v>23</v>
      </c>
      <c r="G101" s="37">
        <v>0</v>
      </c>
      <c r="H101" s="37">
        <v>13</v>
      </c>
      <c r="I101" s="37">
        <f t="shared" si="9"/>
        <v>13</v>
      </c>
      <c r="J101" s="37">
        <v>0</v>
      </c>
      <c r="K101" s="37">
        <v>7</v>
      </c>
      <c r="L101" s="37">
        <f t="shared" si="6"/>
        <v>7</v>
      </c>
      <c r="M101" s="40">
        <v>35</v>
      </c>
      <c r="N101" s="37">
        <v>50</v>
      </c>
      <c r="O101" s="36" t="str">
        <f t="shared" si="8"/>
        <v>Pass</v>
      </c>
      <c r="P101" s="37" t="s">
        <v>108</v>
      </c>
      <c r="Q101" s="35" t="s">
        <v>109</v>
      </c>
      <c r="R101" s="7" t="s">
        <v>110</v>
      </c>
    </row>
    <row r="102" spans="1:18" ht="12.75" customHeight="1" x14ac:dyDescent="0.3">
      <c r="A102" s="34">
        <v>44279</v>
      </c>
      <c r="B102" s="37" t="s">
        <v>45</v>
      </c>
      <c r="C102" s="7" t="s">
        <v>34</v>
      </c>
      <c r="D102" s="37">
        <v>3</v>
      </c>
      <c r="E102" s="37">
        <v>247</v>
      </c>
      <c r="F102" s="37">
        <f t="shared" si="7"/>
        <v>244</v>
      </c>
      <c r="G102" s="37">
        <v>1</v>
      </c>
      <c r="H102" s="37">
        <v>63</v>
      </c>
      <c r="I102" s="37">
        <f t="shared" si="9"/>
        <v>62</v>
      </c>
      <c r="J102" s="37">
        <v>1</v>
      </c>
      <c r="K102" s="37">
        <v>23</v>
      </c>
      <c r="L102" s="37">
        <f t="shared" si="6"/>
        <v>22</v>
      </c>
      <c r="M102" s="40">
        <v>35</v>
      </c>
      <c r="N102" s="37">
        <v>50</v>
      </c>
      <c r="O102" s="36" t="str">
        <f t="shared" si="8"/>
        <v>Fail</v>
      </c>
      <c r="P102" s="37" t="s">
        <v>108</v>
      </c>
      <c r="Q102" s="35" t="s">
        <v>111</v>
      </c>
      <c r="R102" s="7" t="s">
        <v>112</v>
      </c>
    </row>
    <row r="103" spans="1:18" ht="12.75" customHeight="1" x14ac:dyDescent="0.3">
      <c r="A103" s="34">
        <v>44279</v>
      </c>
      <c r="B103" s="37" t="s">
        <v>45</v>
      </c>
      <c r="C103" s="7" t="s">
        <v>34</v>
      </c>
      <c r="D103" s="37">
        <v>10</v>
      </c>
      <c r="E103" s="37">
        <v>49</v>
      </c>
      <c r="F103" s="37">
        <f t="shared" si="7"/>
        <v>39</v>
      </c>
      <c r="G103" s="37">
        <v>1</v>
      </c>
      <c r="H103" s="37">
        <v>6</v>
      </c>
      <c r="I103" s="37">
        <f t="shared" si="9"/>
        <v>5</v>
      </c>
      <c r="J103" s="37">
        <v>1</v>
      </c>
      <c r="K103" s="37">
        <v>2</v>
      </c>
      <c r="L103" s="37">
        <f t="shared" si="6"/>
        <v>1</v>
      </c>
      <c r="M103" s="40">
        <v>35</v>
      </c>
      <c r="N103" s="37">
        <v>50</v>
      </c>
      <c r="O103" s="36" t="str">
        <f t="shared" si="8"/>
        <v>Fail</v>
      </c>
      <c r="P103" s="37" t="s">
        <v>108</v>
      </c>
      <c r="Q103" s="35" t="s">
        <v>27</v>
      </c>
      <c r="R103" s="7" t="s">
        <v>113</v>
      </c>
    </row>
    <row r="104" spans="1:18" ht="14.1" customHeight="1" x14ac:dyDescent="0.3">
      <c r="A104" s="34">
        <v>44279</v>
      </c>
      <c r="B104" s="37" t="s">
        <v>45</v>
      </c>
      <c r="C104" s="55" t="s">
        <v>30</v>
      </c>
      <c r="D104" s="37">
        <v>13</v>
      </c>
      <c r="E104" s="37">
        <v>16</v>
      </c>
      <c r="F104" s="37">
        <f t="shared" si="7"/>
        <v>3</v>
      </c>
      <c r="G104" s="37">
        <v>0</v>
      </c>
      <c r="H104" s="37">
        <v>1</v>
      </c>
      <c r="I104" s="37">
        <f t="shared" si="9"/>
        <v>1</v>
      </c>
      <c r="J104" s="37">
        <v>0</v>
      </c>
      <c r="K104" s="37">
        <v>1</v>
      </c>
      <c r="L104" s="37">
        <f t="shared" si="6"/>
        <v>1</v>
      </c>
      <c r="M104" s="40">
        <v>35</v>
      </c>
      <c r="N104" s="37">
        <v>50</v>
      </c>
      <c r="O104" s="36" t="str">
        <f t="shared" si="8"/>
        <v>Pass</v>
      </c>
      <c r="P104" s="37">
        <v>121</v>
      </c>
      <c r="Q104" s="35" t="s">
        <v>114</v>
      </c>
      <c r="R104" s="7" t="s">
        <v>115</v>
      </c>
    </row>
    <row r="105" spans="1:18" ht="12.75" customHeight="1" x14ac:dyDescent="0.3">
      <c r="A105" s="34">
        <v>44279</v>
      </c>
      <c r="B105" s="37" t="s">
        <v>45</v>
      </c>
      <c r="C105" s="7" t="s">
        <v>34</v>
      </c>
      <c r="D105" s="37">
        <v>3</v>
      </c>
      <c r="E105" s="37">
        <v>9</v>
      </c>
      <c r="F105" s="37">
        <f t="shared" si="7"/>
        <v>6</v>
      </c>
      <c r="G105" s="37">
        <v>1</v>
      </c>
      <c r="H105" s="37">
        <v>4</v>
      </c>
      <c r="I105" s="37">
        <f t="shared" si="9"/>
        <v>3</v>
      </c>
      <c r="J105" s="37">
        <v>0</v>
      </c>
      <c r="K105" s="37">
        <v>3</v>
      </c>
      <c r="L105" s="37">
        <f t="shared" si="6"/>
        <v>3</v>
      </c>
      <c r="M105" s="40">
        <v>35</v>
      </c>
      <c r="N105" s="37">
        <v>50</v>
      </c>
      <c r="O105" s="36" t="str">
        <f t="shared" si="8"/>
        <v>Pass</v>
      </c>
      <c r="P105" s="37">
        <v>121</v>
      </c>
      <c r="Q105" s="35" t="s">
        <v>96</v>
      </c>
      <c r="R105" s="7" t="s">
        <v>116</v>
      </c>
    </row>
    <row r="106" spans="1:18" ht="14.1" customHeight="1" x14ac:dyDescent="0.3">
      <c r="A106" s="34">
        <v>44279</v>
      </c>
      <c r="B106" s="37" t="s">
        <v>45</v>
      </c>
      <c r="C106" s="55" t="s">
        <v>30</v>
      </c>
      <c r="D106" s="37">
        <v>2</v>
      </c>
      <c r="E106" s="37">
        <v>6</v>
      </c>
      <c r="F106" s="37">
        <f t="shared" si="7"/>
        <v>4</v>
      </c>
      <c r="G106" s="37">
        <v>0</v>
      </c>
      <c r="H106" s="37">
        <v>0</v>
      </c>
      <c r="I106" s="37">
        <f t="shared" si="9"/>
        <v>0</v>
      </c>
      <c r="J106" s="37">
        <v>0</v>
      </c>
      <c r="K106" s="37">
        <v>0</v>
      </c>
      <c r="L106" s="37">
        <f t="shared" si="6"/>
        <v>0</v>
      </c>
      <c r="M106" s="40">
        <v>35</v>
      </c>
      <c r="N106" s="37">
        <v>50</v>
      </c>
      <c r="O106" s="36" t="str">
        <f t="shared" si="8"/>
        <v>Pass</v>
      </c>
      <c r="P106" s="37">
        <v>1519</v>
      </c>
      <c r="Q106" s="35" t="s">
        <v>117</v>
      </c>
      <c r="R106" s="7" t="s">
        <v>118</v>
      </c>
    </row>
    <row r="107" spans="1:18" ht="12.75" customHeight="1" x14ac:dyDescent="0.3">
      <c r="A107" s="34">
        <v>44279</v>
      </c>
      <c r="B107" s="37" t="s">
        <v>45</v>
      </c>
      <c r="C107" s="7" t="s">
        <v>34</v>
      </c>
      <c r="D107" s="37">
        <v>3</v>
      </c>
      <c r="E107" s="37">
        <v>18</v>
      </c>
      <c r="F107" s="37">
        <f t="shared" si="7"/>
        <v>15</v>
      </c>
      <c r="G107" s="37">
        <v>0</v>
      </c>
      <c r="H107" s="37">
        <v>7</v>
      </c>
      <c r="I107" s="37">
        <f t="shared" si="9"/>
        <v>7</v>
      </c>
      <c r="J107" s="37">
        <v>0</v>
      </c>
      <c r="K107" s="37">
        <v>3</v>
      </c>
      <c r="L107" s="37">
        <f t="shared" si="6"/>
        <v>3</v>
      </c>
      <c r="M107" s="40">
        <v>35</v>
      </c>
      <c r="N107" s="37">
        <v>50</v>
      </c>
      <c r="O107" s="36" t="str">
        <f t="shared" si="8"/>
        <v>Pass</v>
      </c>
      <c r="P107" s="37">
        <v>1519</v>
      </c>
      <c r="Q107" s="35" t="s">
        <v>119</v>
      </c>
      <c r="R107" s="7" t="s">
        <v>120</v>
      </c>
    </row>
    <row r="108" spans="1:18" ht="14.1" customHeight="1" x14ac:dyDescent="0.3">
      <c r="A108" s="34">
        <v>44280</v>
      </c>
      <c r="B108" s="37" t="s">
        <v>45</v>
      </c>
      <c r="C108" s="55" t="s">
        <v>30</v>
      </c>
      <c r="D108" s="37">
        <v>2</v>
      </c>
      <c r="E108" s="37">
        <v>12</v>
      </c>
      <c r="F108" s="37">
        <f t="shared" si="7"/>
        <v>10</v>
      </c>
      <c r="G108" s="37">
        <v>1</v>
      </c>
      <c r="H108" s="37">
        <v>5</v>
      </c>
      <c r="I108" s="37">
        <f t="shared" si="9"/>
        <v>4</v>
      </c>
      <c r="J108" s="37">
        <v>1</v>
      </c>
      <c r="K108" s="37">
        <v>2</v>
      </c>
      <c r="L108" s="37">
        <f t="shared" si="6"/>
        <v>1</v>
      </c>
      <c r="M108" s="40">
        <v>35</v>
      </c>
      <c r="N108" s="37">
        <v>50</v>
      </c>
      <c r="O108" s="36" t="str">
        <f t="shared" si="8"/>
        <v>Pass</v>
      </c>
      <c r="P108" s="37">
        <v>121</v>
      </c>
      <c r="Q108" s="35" t="s">
        <v>36</v>
      </c>
      <c r="R108" s="7" t="s">
        <v>118</v>
      </c>
    </row>
    <row r="109" spans="1:18" ht="12.75" customHeight="1" x14ac:dyDescent="0.3">
      <c r="A109" s="34">
        <v>44280</v>
      </c>
      <c r="B109" s="37" t="s">
        <v>45</v>
      </c>
      <c r="C109" s="7" t="s">
        <v>34</v>
      </c>
      <c r="D109" s="37">
        <v>15</v>
      </c>
      <c r="E109" s="37">
        <v>38</v>
      </c>
      <c r="F109" s="37">
        <f t="shared" si="7"/>
        <v>23</v>
      </c>
      <c r="G109" s="37">
        <v>8</v>
      </c>
      <c r="H109" s="37">
        <v>16</v>
      </c>
      <c r="I109" s="37">
        <f t="shared" si="9"/>
        <v>8</v>
      </c>
      <c r="J109" s="37">
        <v>5</v>
      </c>
      <c r="K109" s="37">
        <v>10</v>
      </c>
      <c r="L109" s="37">
        <f t="shared" si="6"/>
        <v>5</v>
      </c>
      <c r="M109" s="40">
        <v>35</v>
      </c>
      <c r="N109" s="37">
        <v>50</v>
      </c>
      <c r="O109" s="36" t="str">
        <f t="shared" si="8"/>
        <v>Pass</v>
      </c>
      <c r="P109" s="37">
        <v>121</v>
      </c>
      <c r="Q109" s="35" t="s">
        <v>119</v>
      </c>
      <c r="R109" s="7" t="s">
        <v>121</v>
      </c>
    </row>
    <row r="110" spans="1:18" ht="14.1" customHeight="1" x14ac:dyDescent="0.3">
      <c r="A110" s="34">
        <v>44281</v>
      </c>
      <c r="B110" s="37" t="s">
        <v>45</v>
      </c>
      <c r="C110" s="55" t="s">
        <v>30</v>
      </c>
      <c r="D110" s="37">
        <v>1</v>
      </c>
      <c r="E110" s="37">
        <v>2</v>
      </c>
      <c r="F110" s="37">
        <f t="shared" si="7"/>
        <v>1</v>
      </c>
      <c r="G110" s="37">
        <v>0</v>
      </c>
      <c r="H110" s="37">
        <v>0</v>
      </c>
      <c r="I110" s="37">
        <f t="shared" si="9"/>
        <v>0</v>
      </c>
      <c r="J110" s="37">
        <v>0</v>
      </c>
      <c r="K110" s="37">
        <v>0</v>
      </c>
      <c r="L110" s="37">
        <f t="shared" si="6"/>
        <v>0</v>
      </c>
      <c r="M110" s="40">
        <v>35</v>
      </c>
      <c r="N110" s="37">
        <v>50</v>
      </c>
      <c r="O110" s="36" t="str">
        <f t="shared" si="8"/>
        <v>Pass</v>
      </c>
      <c r="P110" s="37">
        <v>121</v>
      </c>
      <c r="Q110" s="35" t="s">
        <v>38</v>
      </c>
      <c r="R110" s="7" t="s">
        <v>118</v>
      </c>
    </row>
    <row r="111" spans="1:18" ht="12.75" customHeight="1" x14ac:dyDescent="0.3">
      <c r="A111" s="34">
        <v>44281</v>
      </c>
      <c r="B111" s="37" t="s">
        <v>45</v>
      </c>
      <c r="C111" s="7" t="s">
        <v>34</v>
      </c>
      <c r="D111" s="37">
        <v>4</v>
      </c>
      <c r="E111" s="37">
        <v>56</v>
      </c>
      <c r="F111" s="37">
        <f t="shared" si="7"/>
        <v>52</v>
      </c>
      <c r="G111" s="37">
        <v>0</v>
      </c>
      <c r="H111" s="37">
        <v>30</v>
      </c>
      <c r="I111" s="37">
        <f t="shared" si="9"/>
        <v>30</v>
      </c>
      <c r="J111" s="37">
        <v>0</v>
      </c>
      <c r="K111" s="37">
        <v>14</v>
      </c>
      <c r="L111" s="37">
        <f t="shared" si="6"/>
        <v>14</v>
      </c>
      <c r="M111" s="40">
        <v>35</v>
      </c>
      <c r="N111" s="37">
        <v>50</v>
      </c>
      <c r="O111" s="36" t="str">
        <f t="shared" si="8"/>
        <v>Fail</v>
      </c>
      <c r="P111" s="37">
        <v>121</v>
      </c>
      <c r="Q111" s="35" t="s">
        <v>35</v>
      </c>
      <c r="R111" s="7" t="s">
        <v>122</v>
      </c>
    </row>
    <row r="112" spans="1:18" ht="14.1" customHeight="1" x14ac:dyDescent="0.3">
      <c r="A112" s="34">
        <v>44281</v>
      </c>
      <c r="B112" s="37" t="s">
        <v>45</v>
      </c>
      <c r="C112" s="7" t="s">
        <v>34</v>
      </c>
      <c r="D112" s="37">
        <v>8</v>
      </c>
      <c r="E112" s="37">
        <v>43</v>
      </c>
      <c r="F112" s="37">
        <f t="shared" si="7"/>
        <v>35</v>
      </c>
      <c r="G112" s="37">
        <v>0</v>
      </c>
      <c r="H112" s="37">
        <v>8</v>
      </c>
      <c r="I112" s="37">
        <f t="shared" si="9"/>
        <v>8</v>
      </c>
      <c r="J112" s="37">
        <v>0</v>
      </c>
      <c r="K112" s="37">
        <v>3</v>
      </c>
      <c r="L112" s="37">
        <f t="shared" si="6"/>
        <v>3</v>
      </c>
      <c r="M112" s="40">
        <v>35</v>
      </c>
      <c r="N112" s="37">
        <v>50</v>
      </c>
      <c r="O112" s="36" t="str">
        <f t="shared" si="8"/>
        <v>Pass</v>
      </c>
      <c r="P112" s="37">
        <v>74</v>
      </c>
      <c r="Q112" s="35" t="s">
        <v>38</v>
      </c>
      <c r="R112" s="7" t="s">
        <v>120</v>
      </c>
    </row>
    <row r="113" spans="1:18" ht="15" customHeight="1" x14ac:dyDescent="0.3">
      <c r="A113" s="34">
        <v>44281</v>
      </c>
      <c r="B113" s="37" t="s">
        <v>45</v>
      </c>
      <c r="C113" s="7" t="s">
        <v>34</v>
      </c>
      <c r="D113" s="37">
        <v>2</v>
      </c>
      <c r="E113" s="37">
        <v>11</v>
      </c>
      <c r="F113" s="37">
        <f t="shared" si="7"/>
        <v>9</v>
      </c>
      <c r="G113" s="37">
        <v>0</v>
      </c>
      <c r="H113" s="37">
        <v>3</v>
      </c>
      <c r="I113" s="37">
        <f t="shared" si="9"/>
        <v>3</v>
      </c>
      <c r="J113" s="37">
        <v>0</v>
      </c>
      <c r="K113" s="37">
        <v>2</v>
      </c>
      <c r="L113" s="37">
        <f t="shared" si="6"/>
        <v>2</v>
      </c>
      <c r="M113" s="40">
        <v>35</v>
      </c>
      <c r="N113" s="37">
        <v>50</v>
      </c>
      <c r="O113" s="36" t="str">
        <f t="shared" si="8"/>
        <v>Pass</v>
      </c>
      <c r="P113" s="37">
        <v>74</v>
      </c>
      <c r="Q113" s="35" t="s">
        <v>55</v>
      </c>
      <c r="R113" s="7" t="s">
        <v>123</v>
      </c>
    </row>
    <row r="114" spans="1:18" ht="14.1" customHeight="1" x14ac:dyDescent="0.3">
      <c r="A114" s="34">
        <v>44284</v>
      </c>
      <c r="B114" s="37" t="s">
        <v>50</v>
      </c>
      <c r="C114" s="55" t="s">
        <v>30</v>
      </c>
      <c r="D114" s="37">
        <v>1</v>
      </c>
      <c r="E114" s="37">
        <v>10</v>
      </c>
      <c r="F114" s="37">
        <f t="shared" si="7"/>
        <v>9</v>
      </c>
      <c r="G114" s="37">
        <v>0</v>
      </c>
      <c r="H114" s="37">
        <v>0</v>
      </c>
      <c r="I114" s="37">
        <f t="shared" si="9"/>
        <v>0</v>
      </c>
      <c r="J114" s="37">
        <v>0</v>
      </c>
      <c r="K114" s="37">
        <v>0</v>
      </c>
      <c r="L114" s="37">
        <f t="shared" si="6"/>
        <v>0</v>
      </c>
      <c r="M114" s="40">
        <v>35</v>
      </c>
      <c r="N114" s="37">
        <v>50</v>
      </c>
      <c r="O114" s="36" t="str">
        <f t="shared" si="8"/>
        <v>Pass</v>
      </c>
      <c r="P114" s="37">
        <v>1340</v>
      </c>
      <c r="Q114" s="35" t="s">
        <v>124</v>
      </c>
    </row>
    <row r="115" spans="1:18" ht="14.1" customHeight="1" x14ac:dyDescent="0.3">
      <c r="A115" s="34">
        <v>44284</v>
      </c>
      <c r="B115" s="37" t="s">
        <v>50</v>
      </c>
      <c r="C115" s="7" t="s">
        <v>34</v>
      </c>
      <c r="D115" s="37">
        <v>8</v>
      </c>
      <c r="E115" s="37">
        <v>25</v>
      </c>
      <c r="F115" s="37">
        <f t="shared" si="7"/>
        <v>17</v>
      </c>
      <c r="G115" s="37">
        <v>1</v>
      </c>
      <c r="H115" s="37">
        <v>10</v>
      </c>
      <c r="I115" s="37">
        <f t="shared" si="9"/>
        <v>9</v>
      </c>
      <c r="J115" s="37">
        <v>1</v>
      </c>
      <c r="K115" s="37">
        <v>4</v>
      </c>
      <c r="L115" s="37">
        <f t="shared" si="6"/>
        <v>3</v>
      </c>
      <c r="M115" s="40">
        <v>35</v>
      </c>
      <c r="N115" s="37">
        <v>50</v>
      </c>
      <c r="O115" s="36" t="str">
        <f t="shared" si="8"/>
        <v>Pass</v>
      </c>
      <c r="P115" s="37">
        <v>1340</v>
      </c>
      <c r="Q115" s="35" t="s">
        <v>125</v>
      </c>
      <c r="R115" s="7" t="s">
        <v>34</v>
      </c>
    </row>
    <row r="116" spans="1:18" ht="14.1" customHeight="1" x14ac:dyDescent="0.3">
      <c r="A116" s="34">
        <v>44288</v>
      </c>
      <c r="B116" s="37" t="s">
        <v>45</v>
      </c>
      <c r="C116" s="7" t="s">
        <v>34</v>
      </c>
      <c r="D116" s="37">
        <v>5</v>
      </c>
      <c r="E116" s="37">
        <v>7</v>
      </c>
      <c r="F116" s="37">
        <f t="shared" si="7"/>
        <v>2</v>
      </c>
      <c r="G116" s="37">
        <v>1</v>
      </c>
      <c r="H116" s="37">
        <v>2</v>
      </c>
      <c r="I116" s="37">
        <f t="shared" si="9"/>
        <v>1</v>
      </c>
      <c r="J116" s="37">
        <v>1</v>
      </c>
      <c r="K116" s="37">
        <v>1</v>
      </c>
      <c r="L116" s="37">
        <f t="shared" si="6"/>
        <v>0</v>
      </c>
      <c r="M116" s="40">
        <v>35</v>
      </c>
      <c r="N116" s="37">
        <v>50</v>
      </c>
      <c r="O116" s="36" t="str">
        <f t="shared" si="8"/>
        <v>Pass</v>
      </c>
      <c r="P116" s="37">
        <v>74</v>
      </c>
      <c r="Q116" s="35" t="s">
        <v>57</v>
      </c>
      <c r="R116" s="7" t="s">
        <v>126</v>
      </c>
    </row>
    <row r="117" spans="1:18" ht="12.75" customHeight="1" x14ac:dyDescent="0.3">
      <c r="A117" s="34">
        <v>44288</v>
      </c>
      <c r="B117" s="37" t="s">
        <v>45</v>
      </c>
      <c r="C117" s="7" t="s">
        <v>34</v>
      </c>
      <c r="D117" s="37">
        <v>2</v>
      </c>
      <c r="E117" s="37">
        <v>23</v>
      </c>
      <c r="F117" s="37">
        <f t="shared" si="7"/>
        <v>21</v>
      </c>
      <c r="G117" s="37">
        <v>1</v>
      </c>
      <c r="H117" s="37">
        <v>3</v>
      </c>
      <c r="I117" s="37">
        <f t="shared" si="9"/>
        <v>2</v>
      </c>
      <c r="J117" s="37">
        <v>1</v>
      </c>
      <c r="K117" s="37">
        <v>2</v>
      </c>
      <c r="L117" s="37">
        <f t="shared" si="6"/>
        <v>1</v>
      </c>
      <c r="M117" s="40">
        <v>35</v>
      </c>
      <c r="N117" s="37">
        <v>50</v>
      </c>
      <c r="O117" s="36" t="str">
        <f t="shared" si="8"/>
        <v>Pass</v>
      </c>
      <c r="P117" s="37">
        <v>74</v>
      </c>
      <c r="Q117" s="35" t="s">
        <v>65</v>
      </c>
      <c r="R117" s="7" t="s">
        <v>126</v>
      </c>
    </row>
    <row r="118" spans="1:18" ht="14.1" customHeight="1" x14ac:dyDescent="0.3">
      <c r="A118" s="34">
        <v>44299</v>
      </c>
      <c r="B118" s="37" t="s">
        <v>45</v>
      </c>
      <c r="C118" s="55" t="s">
        <v>30</v>
      </c>
      <c r="D118" s="37">
        <v>5</v>
      </c>
      <c r="E118" s="37">
        <v>12</v>
      </c>
      <c r="F118" s="37">
        <f t="shared" si="7"/>
        <v>7</v>
      </c>
      <c r="G118" s="37">
        <v>2</v>
      </c>
      <c r="H118" s="37">
        <v>3</v>
      </c>
      <c r="I118" s="37">
        <f t="shared" si="9"/>
        <v>1</v>
      </c>
      <c r="J118" s="37">
        <v>1</v>
      </c>
      <c r="K118" s="37">
        <v>1</v>
      </c>
      <c r="L118" s="37">
        <f t="shared" si="6"/>
        <v>0</v>
      </c>
      <c r="M118" s="40">
        <v>35</v>
      </c>
      <c r="N118" s="37">
        <v>50</v>
      </c>
      <c r="O118" s="36" t="str">
        <f t="shared" si="8"/>
        <v>Pass</v>
      </c>
      <c r="P118" s="37">
        <v>1340</v>
      </c>
      <c r="Q118" s="35" t="s">
        <v>57</v>
      </c>
      <c r="R118" s="7" t="s">
        <v>127</v>
      </c>
    </row>
    <row r="119" spans="1:18" ht="12.75" customHeight="1" x14ac:dyDescent="0.3">
      <c r="A119" s="34">
        <v>44299</v>
      </c>
      <c r="B119" s="37" t="s">
        <v>45</v>
      </c>
      <c r="C119" s="7" t="s">
        <v>34</v>
      </c>
      <c r="D119" s="37">
        <v>0</v>
      </c>
      <c r="E119" s="37">
        <v>35</v>
      </c>
      <c r="F119" s="37">
        <f t="shared" si="7"/>
        <v>35</v>
      </c>
      <c r="G119" s="37">
        <v>0</v>
      </c>
      <c r="H119" s="37">
        <v>3</v>
      </c>
      <c r="I119" s="37">
        <f t="shared" si="9"/>
        <v>3</v>
      </c>
      <c r="J119" s="37">
        <v>0</v>
      </c>
      <c r="K119" s="37">
        <v>0</v>
      </c>
      <c r="L119" s="37">
        <f t="shared" si="6"/>
        <v>0</v>
      </c>
      <c r="M119" s="40">
        <v>35</v>
      </c>
      <c r="N119" s="37">
        <v>50</v>
      </c>
      <c r="O119" s="36" t="str">
        <f t="shared" si="8"/>
        <v>Pass</v>
      </c>
      <c r="P119" s="37">
        <v>1340</v>
      </c>
      <c r="Q119" s="35" t="s">
        <v>65</v>
      </c>
      <c r="R119" s="7" t="s">
        <v>128</v>
      </c>
    </row>
    <row r="120" spans="1:18" ht="12.75" customHeight="1" x14ac:dyDescent="0.3">
      <c r="A120" s="34">
        <v>44299</v>
      </c>
      <c r="B120" s="37" t="s">
        <v>45</v>
      </c>
      <c r="C120" s="7" t="s">
        <v>34</v>
      </c>
      <c r="D120" s="37">
        <v>5</v>
      </c>
      <c r="E120" s="37">
        <v>15</v>
      </c>
      <c r="F120" s="37">
        <f t="shared" si="7"/>
        <v>10</v>
      </c>
      <c r="G120" s="37">
        <v>1</v>
      </c>
      <c r="H120" s="37">
        <v>3</v>
      </c>
      <c r="I120" s="37">
        <f t="shared" si="9"/>
        <v>2</v>
      </c>
      <c r="J120" s="37">
        <v>0</v>
      </c>
      <c r="K120" s="37">
        <v>0</v>
      </c>
      <c r="L120" s="37">
        <f t="shared" si="6"/>
        <v>0</v>
      </c>
      <c r="M120" s="40">
        <v>35</v>
      </c>
      <c r="N120" s="37">
        <v>50</v>
      </c>
      <c r="O120" s="36" t="str">
        <f t="shared" si="8"/>
        <v>Pass</v>
      </c>
      <c r="P120" s="37">
        <v>121</v>
      </c>
      <c r="Q120" s="35" t="s">
        <v>129</v>
      </c>
      <c r="R120" s="7" t="s">
        <v>130</v>
      </c>
    </row>
    <row r="121" spans="1:18" ht="12.75" customHeight="1" x14ac:dyDescent="0.3">
      <c r="A121" s="34">
        <v>44305</v>
      </c>
      <c r="B121" s="37" t="s">
        <v>45</v>
      </c>
      <c r="C121" s="7" t="s">
        <v>34</v>
      </c>
      <c r="D121" s="37">
        <v>2</v>
      </c>
      <c r="E121" s="37">
        <v>115</v>
      </c>
      <c r="F121" s="37">
        <f t="shared" si="7"/>
        <v>113</v>
      </c>
      <c r="G121" s="37">
        <v>1</v>
      </c>
      <c r="H121" s="37">
        <v>15</v>
      </c>
      <c r="I121" s="37">
        <f t="shared" si="9"/>
        <v>14</v>
      </c>
      <c r="J121" s="37">
        <v>1</v>
      </c>
      <c r="K121" s="37">
        <v>9</v>
      </c>
      <c r="L121" s="37">
        <f t="shared" si="6"/>
        <v>8</v>
      </c>
      <c r="M121" s="40">
        <v>35</v>
      </c>
      <c r="N121" s="37">
        <v>50</v>
      </c>
      <c r="O121" s="36" t="str">
        <f t="shared" si="8"/>
        <v>Fail</v>
      </c>
      <c r="P121" s="37">
        <v>1335</v>
      </c>
      <c r="Q121" s="35" t="s">
        <v>131</v>
      </c>
      <c r="R121" s="7" t="s">
        <v>132</v>
      </c>
    </row>
    <row r="122" spans="1:18" ht="12.75" customHeight="1" x14ac:dyDescent="0.3">
      <c r="A122" s="34">
        <v>44305</v>
      </c>
      <c r="B122" s="37" t="s">
        <v>45</v>
      </c>
      <c r="C122" s="7" t="s">
        <v>34</v>
      </c>
      <c r="D122" s="37">
        <v>3</v>
      </c>
      <c r="E122" s="37">
        <v>1910</v>
      </c>
      <c r="F122" s="37">
        <f t="shared" si="7"/>
        <v>1907</v>
      </c>
      <c r="G122" s="37">
        <v>2</v>
      </c>
      <c r="H122" s="37">
        <v>517</v>
      </c>
      <c r="I122" s="37">
        <f t="shared" si="9"/>
        <v>515</v>
      </c>
      <c r="J122" s="37">
        <v>2</v>
      </c>
      <c r="K122" s="37">
        <v>194</v>
      </c>
      <c r="L122" s="37">
        <f t="shared" ref="L122:L132" si="10">K122-J122</f>
        <v>192</v>
      </c>
      <c r="M122" s="40">
        <v>35</v>
      </c>
      <c r="N122" s="37">
        <v>50</v>
      </c>
      <c r="O122" s="36" t="str">
        <f t="shared" si="8"/>
        <v>Fail</v>
      </c>
      <c r="P122" s="37">
        <v>1335</v>
      </c>
      <c r="Q122" s="35" t="s">
        <v>133</v>
      </c>
      <c r="R122" s="7" t="s">
        <v>134</v>
      </c>
    </row>
    <row r="123" spans="1:18" ht="14.1" customHeight="1" x14ac:dyDescent="0.3">
      <c r="A123" s="34">
        <v>44305</v>
      </c>
      <c r="B123" s="37" t="s">
        <v>45</v>
      </c>
      <c r="C123" s="55" t="s">
        <v>30</v>
      </c>
      <c r="D123" s="37">
        <v>8</v>
      </c>
      <c r="E123" s="37">
        <v>18</v>
      </c>
      <c r="F123" s="37">
        <f t="shared" si="7"/>
        <v>10</v>
      </c>
      <c r="G123" s="37">
        <v>0</v>
      </c>
      <c r="H123" s="37">
        <v>3</v>
      </c>
      <c r="I123" s="37">
        <f t="shared" si="9"/>
        <v>3</v>
      </c>
      <c r="J123" s="37">
        <v>0</v>
      </c>
      <c r="K123" s="37">
        <v>2</v>
      </c>
      <c r="L123" s="37">
        <f t="shared" si="10"/>
        <v>2</v>
      </c>
      <c r="M123" s="40">
        <v>35</v>
      </c>
      <c r="N123" s="37">
        <v>50</v>
      </c>
      <c r="O123" s="50" t="str">
        <f t="shared" si="8"/>
        <v>Pass</v>
      </c>
      <c r="P123" s="37">
        <v>1335</v>
      </c>
      <c r="Q123" s="35" t="s">
        <v>135</v>
      </c>
      <c r="R123" s="7" t="s">
        <v>118</v>
      </c>
    </row>
    <row r="124" spans="1:18" ht="12.75" customHeight="1" x14ac:dyDescent="0.3">
      <c r="A124" s="34">
        <v>44305</v>
      </c>
      <c r="B124" s="37" t="s">
        <v>50</v>
      </c>
      <c r="C124" s="7" t="s">
        <v>34</v>
      </c>
      <c r="D124" s="37">
        <v>26</v>
      </c>
      <c r="E124" s="37">
        <v>44</v>
      </c>
      <c r="F124" s="37">
        <f t="shared" si="7"/>
        <v>18</v>
      </c>
      <c r="G124" s="37">
        <v>4</v>
      </c>
      <c r="H124" s="37">
        <v>7</v>
      </c>
      <c r="I124" s="37">
        <f t="shared" si="9"/>
        <v>3</v>
      </c>
      <c r="J124" s="37">
        <v>1</v>
      </c>
      <c r="K124" s="37">
        <v>3</v>
      </c>
      <c r="L124" s="37">
        <f t="shared" si="10"/>
        <v>2</v>
      </c>
      <c r="M124" s="40">
        <v>35</v>
      </c>
      <c r="N124" s="37">
        <v>50</v>
      </c>
      <c r="O124" s="50" t="str">
        <f t="shared" si="8"/>
        <v>Pass</v>
      </c>
      <c r="P124" s="37">
        <v>1428</v>
      </c>
      <c r="Q124" s="35" t="s">
        <v>136</v>
      </c>
      <c r="R124" s="7" t="s">
        <v>134</v>
      </c>
    </row>
    <row r="125" spans="1:18" ht="14.1" customHeight="1" x14ac:dyDescent="0.3">
      <c r="A125" s="34">
        <v>44305</v>
      </c>
      <c r="B125" s="37" t="s">
        <v>45</v>
      </c>
      <c r="C125" s="55" t="s">
        <v>30</v>
      </c>
      <c r="D125" s="37">
        <v>1</v>
      </c>
      <c r="E125" s="37">
        <v>6</v>
      </c>
      <c r="F125" s="37">
        <f t="shared" si="7"/>
        <v>5</v>
      </c>
      <c r="G125" s="37">
        <v>1</v>
      </c>
      <c r="H125" s="37">
        <v>2</v>
      </c>
      <c r="I125" s="37">
        <f t="shared" si="9"/>
        <v>1</v>
      </c>
      <c r="J125" s="37">
        <v>1</v>
      </c>
      <c r="K125" s="37">
        <v>1</v>
      </c>
      <c r="L125" s="37">
        <f t="shared" si="10"/>
        <v>0</v>
      </c>
      <c r="M125" s="40">
        <v>35</v>
      </c>
      <c r="N125" s="37">
        <v>50</v>
      </c>
      <c r="O125" s="50" t="str">
        <f t="shared" si="8"/>
        <v>Pass</v>
      </c>
      <c r="P125" s="37">
        <v>1335</v>
      </c>
      <c r="Q125" s="35" t="s">
        <v>96</v>
      </c>
      <c r="R125" s="7" t="s">
        <v>137</v>
      </c>
    </row>
    <row r="126" spans="1:18" ht="12.75" customHeight="1" x14ac:dyDescent="0.3">
      <c r="A126" s="34">
        <v>44305</v>
      </c>
      <c r="B126" s="37" t="s">
        <v>50</v>
      </c>
      <c r="C126" s="7" t="s">
        <v>34</v>
      </c>
      <c r="D126" s="37">
        <v>3</v>
      </c>
      <c r="E126" s="37">
        <v>15</v>
      </c>
      <c r="F126" s="37">
        <f t="shared" ref="F126:F132" si="11">IF(E126="","",(E126-D126))</f>
        <v>12</v>
      </c>
      <c r="G126" s="37">
        <v>2</v>
      </c>
      <c r="H126" s="37">
        <v>3</v>
      </c>
      <c r="I126" s="37">
        <f t="shared" si="9"/>
        <v>1</v>
      </c>
      <c r="J126" s="37">
        <v>1</v>
      </c>
      <c r="K126" s="37">
        <v>1</v>
      </c>
      <c r="L126" s="37">
        <f t="shared" si="10"/>
        <v>0</v>
      </c>
      <c r="M126" s="40">
        <v>35</v>
      </c>
      <c r="N126" s="37">
        <v>50</v>
      </c>
      <c r="O126" s="50" t="str">
        <f t="shared" si="8"/>
        <v>Pass</v>
      </c>
      <c r="P126" s="37">
        <v>1335</v>
      </c>
      <c r="Q126" s="35" t="s">
        <v>138</v>
      </c>
      <c r="R126" s="7" t="s">
        <v>139</v>
      </c>
    </row>
    <row r="127" spans="1:18" ht="12.75" customHeight="1" x14ac:dyDescent="0.3">
      <c r="A127" s="34">
        <v>44312</v>
      </c>
      <c r="B127" s="37" t="s">
        <v>50</v>
      </c>
      <c r="C127" s="55" t="s">
        <v>30</v>
      </c>
      <c r="D127" s="37">
        <v>0</v>
      </c>
      <c r="E127" s="37">
        <v>3</v>
      </c>
      <c r="F127" s="37">
        <f t="shared" si="11"/>
        <v>3</v>
      </c>
      <c r="G127" s="37">
        <v>0</v>
      </c>
      <c r="H127" s="37">
        <v>2</v>
      </c>
      <c r="I127" s="37">
        <f t="shared" si="9"/>
        <v>2</v>
      </c>
      <c r="J127" s="37">
        <v>0</v>
      </c>
      <c r="K127" s="37">
        <v>1</v>
      </c>
      <c r="L127" s="37">
        <f t="shared" si="10"/>
        <v>1</v>
      </c>
      <c r="M127" s="40">
        <v>35</v>
      </c>
      <c r="N127" s="37">
        <v>50</v>
      </c>
      <c r="O127" s="50" t="str">
        <f t="shared" si="8"/>
        <v>Pass</v>
      </c>
      <c r="P127" s="37">
        <v>1428</v>
      </c>
      <c r="Q127" s="35" t="s">
        <v>138</v>
      </c>
      <c r="R127" s="7" t="s">
        <v>72</v>
      </c>
    </row>
    <row r="128" spans="1:18" ht="12.75" customHeight="1" x14ac:dyDescent="0.3">
      <c r="A128" s="34">
        <v>44312</v>
      </c>
      <c r="B128" s="37" t="s">
        <v>50</v>
      </c>
      <c r="C128" s="7" t="s">
        <v>34</v>
      </c>
      <c r="D128" s="37">
        <v>22</v>
      </c>
      <c r="E128" s="37">
        <v>30</v>
      </c>
      <c r="F128" s="37">
        <f t="shared" si="11"/>
        <v>8</v>
      </c>
      <c r="G128" s="37">
        <v>2</v>
      </c>
      <c r="H128" s="37">
        <v>2</v>
      </c>
      <c r="I128" s="37">
        <f t="shared" si="9"/>
        <v>0</v>
      </c>
      <c r="J128" s="37">
        <v>0</v>
      </c>
      <c r="K128" s="37">
        <v>2</v>
      </c>
      <c r="L128" s="37">
        <f t="shared" si="10"/>
        <v>2</v>
      </c>
      <c r="M128" s="40">
        <v>35</v>
      </c>
      <c r="N128" s="37">
        <v>50</v>
      </c>
      <c r="O128" s="50" t="str">
        <f t="shared" si="8"/>
        <v>Pass</v>
      </c>
      <c r="P128" s="37">
        <v>1428</v>
      </c>
      <c r="Q128" s="35" t="s">
        <v>140</v>
      </c>
      <c r="R128" s="7" t="s">
        <v>139</v>
      </c>
    </row>
    <row r="129" spans="1:18" ht="12.75" customHeight="1" x14ac:dyDescent="0.3">
      <c r="A129" s="34">
        <v>44316</v>
      </c>
      <c r="B129" s="37" t="s">
        <v>50</v>
      </c>
      <c r="C129" s="55" t="s">
        <v>30</v>
      </c>
      <c r="D129" s="37">
        <v>14</v>
      </c>
      <c r="E129" s="37">
        <v>20</v>
      </c>
      <c r="F129" s="37">
        <f t="shared" si="11"/>
        <v>6</v>
      </c>
      <c r="G129" s="37">
        <v>2</v>
      </c>
      <c r="H129" s="37">
        <v>0</v>
      </c>
      <c r="I129" s="37">
        <f t="shared" si="9"/>
        <v>-2</v>
      </c>
      <c r="J129" s="37">
        <v>0</v>
      </c>
      <c r="K129" s="37">
        <v>1</v>
      </c>
      <c r="L129" s="37">
        <f t="shared" si="10"/>
        <v>1</v>
      </c>
      <c r="M129" s="40">
        <v>35</v>
      </c>
      <c r="N129" s="37">
        <v>50</v>
      </c>
      <c r="O129" s="50" t="str">
        <f t="shared" si="8"/>
        <v>Pass</v>
      </c>
      <c r="P129" s="37">
        <v>1428</v>
      </c>
      <c r="Q129" s="35" t="s">
        <v>141</v>
      </c>
      <c r="R129" s="7" t="s">
        <v>72</v>
      </c>
    </row>
    <row r="130" spans="1:18" ht="12.75" customHeight="1" x14ac:dyDescent="0.3">
      <c r="A130" s="34">
        <v>44316</v>
      </c>
      <c r="B130" s="37" t="s">
        <v>50</v>
      </c>
      <c r="C130" s="7" t="s">
        <v>34</v>
      </c>
      <c r="D130" s="37">
        <v>14</v>
      </c>
      <c r="E130" s="37">
        <v>14</v>
      </c>
      <c r="F130" s="37">
        <f t="shared" si="11"/>
        <v>0</v>
      </c>
      <c r="G130" s="37">
        <v>1</v>
      </c>
      <c r="H130" s="37">
        <v>3</v>
      </c>
      <c r="I130" s="37">
        <f t="shared" si="9"/>
        <v>2</v>
      </c>
      <c r="J130" s="37">
        <v>0</v>
      </c>
      <c r="K130" s="37">
        <v>2</v>
      </c>
      <c r="L130" s="37">
        <f t="shared" si="10"/>
        <v>2</v>
      </c>
      <c r="M130" s="40">
        <v>35</v>
      </c>
      <c r="N130" s="37">
        <v>50</v>
      </c>
      <c r="O130" s="50" t="str">
        <f t="shared" si="8"/>
        <v>Pass</v>
      </c>
      <c r="P130" s="37">
        <v>1428</v>
      </c>
      <c r="Q130" s="35" t="s">
        <v>142</v>
      </c>
      <c r="R130" s="7" t="s">
        <v>139</v>
      </c>
    </row>
    <row r="131" spans="1:18" ht="12.75" customHeight="1" x14ac:dyDescent="0.3">
      <c r="A131" s="34">
        <v>44320</v>
      </c>
      <c r="B131" s="37" t="s">
        <v>45</v>
      </c>
      <c r="C131" s="55" t="s">
        <v>30</v>
      </c>
      <c r="D131" s="37">
        <v>10</v>
      </c>
      <c r="E131" s="37">
        <v>12</v>
      </c>
      <c r="F131" s="37">
        <f t="shared" si="11"/>
        <v>2</v>
      </c>
      <c r="G131" s="37">
        <v>1</v>
      </c>
      <c r="H131" s="37">
        <v>2</v>
      </c>
      <c r="I131" s="37">
        <f t="shared" si="9"/>
        <v>1</v>
      </c>
      <c r="J131" s="37">
        <v>0</v>
      </c>
      <c r="K131" s="37">
        <v>1</v>
      </c>
      <c r="L131" s="37">
        <f t="shared" si="10"/>
        <v>1</v>
      </c>
      <c r="M131" s="40">
        <v>35</v>
      </c>
      <c r="N131" s="37">
        <v>50</v>
      </c>
      <c r="O131" s="51" t="str">
        <f t="shared" si="8"/>
        <v>Pass</v>
      </c>
      <c r="P131" s="37">
        <v>74</v>
      </c>
      <c r="Q131" s="35" t="s">
        <v>49</v>
      </c>
      <c r="R131" s="7" t="s">
        <v>72</v>
      </c>
    </row>
    <row r="132" spans="1:18" ht="12.75" customHeight="1" x14ac:dyDescent="0.3">
      <c r="A132" s="34">
        <v>44320</v>
      </c>
      <c r="B132" s="37" t="s">
        <v>45</v>
      </c>
      <c r="C132" s="7" t="s">
        <v>34</v>
      </c>
      <c r="D132" s="37">
        <v>9</v>
      </c>
      <c r="E132" s="37">
        <v>11</v>
      </c>
      <c r="F132" s="37">
        <f t="shared" si="11"/>
        <v>2</v>
      </c>
      <c r="G132" s="37">
        <v>2</v>
      </c>
      <c r="H132" s="37">
        <v>2</v>
      </c>
      <c r="I132" s="37">
        <f t="shared" si="9"/>
        <v>0</v>
      </c>
      <c r="J132" s="37">
        <v>0</v>
      </c>
      <c r="K132" s="37">
        <v>0</v>
      </c>
      <c r="L132" s="37">
        <f t="shared" si="10"/>
        <v>0</v>
      </c>
      <c r="M132" s="40">
        <v>35</v>
      </c>
      <c r="N132" s="37">
        <v>50</v>
      </c>
      <c r="O132" s="51" t="str">
        <f t="shared" si="8"/>
        <v>Pass</v>
      </c>
      <c r="P132" s="37">
        <v>74</v>
      </c>
      <c r="Q132" s="35" t="s">
        <v>143</v>
      </c>
      <c r="R132" s="7" t="s">
        <v>139</v>
      </c>
    </row>
  </sheetData>
  <autoFilter ref="A10:R132" xr:uid="{00000000-0009-0000-0000-000000000000}"/>
  <mergeCells count="6">
    <mergeCell ref="A1:Q1"/>
    <mergeCell ref="O3:Q3"/>
    <mergeCell ref="D8:L8"/>
    <mergeCell ref="D9:F9"/>
    <mergeCell ref="G9:I9"/>
    <mergeCell ref="J9:L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56BE8-5955-4254-A220-5965362EC416}">
  <sheetPr codeName="Sheet1"/>
  <dimension ref="A1:H188"/>
  <sheetViews>
    <sheetView tabSelected="1" topLeftCell="A164" workbookViewId="0">
      <selection activeCell="D70" sqref="D70"/>
    </sheetView>
  </sheetViews>
  <sheetFormatPr defaultRowHeight="14.4" x14ac:dyDescent="0.3"/>
  <cols>
    <col min="2" max="2" width="17.21875" bestFit="1" customWidth="1"/>
    <col min="8" max="8" width="8.88671875" style="66"/>
  </cols>
  <sheetData>
    <row r="1" spans="1:8" x14ac:dyDescent="0.3">
      <c r="A1" t="s">
        <v>13</v>
      </c>
      <c r="B1" t="s">
        <v>144</v>
      </c>
      <c r="C1" t="s">
        <v>17</v>
      </c>
      <c r="D1" t="s">
        <v>18</v>
      </c>
      <c r="E1" t="s">
        <v>20</v>
      </c>
      <c r="F1" t="s">
        <v>22</v>
      </c>
      <c r="G1" t="s">
        <v>21</v>
      </c>
      <c r="H1" s="66" t="s">
        <v>26</v>
      </c>
    </row>
    <row r="2" spans="1:8" x14ac:dyDescent="0.3">
      <c r="A2" s="64">
        <v>44176</v>
      </c>
      <c r="B2" t="s">
        <v>30</v>
      </c>
      <c r="C2">
        <v>1</v>
      </c>
      <c r="D2">
        <v>0</v>
      </c>
      <c r="E2">
        <v>0</v>
      </c>
      <c r="F2">
        <v>50</v>
      </c>
      <c r="G2">
        <v>35</v>
      </c>
      <c r="H2" s="66" t="s">
        <v>30</v>
      </c>
    </row>
    <row r="3" spans="1:8" x14ac:dyDescent="0.3">
      <c r="A3" s="64">
        <v>44179</v>
      </c>
      <c r="B3" t="s">
        <v>30</v>
      </c>
      <c r="C3">
        <v>6</v>
      </c>
      <c r="D3">
        <v>1</v>
      </c>
      <c r="E3">
        <v>1</v>
      </c>
      <c r="F3">
        <v>50</v>
      </c>
      <c r="G3">
        <v>35</v>
      </c>
      <c r="H3" s="66" t="s">
        <v>30</v>
      </c>
    </row>
    <row r="4" spans="1:8" x14ac:dyDescent="0.3">
      <c r="A4" s="64">
        <v>44182</v>
      </c>
      <c r="B4" t="s">
        <v>30</v>
      </c>
      <c r="C4">
        <v>6</v>
      </c>
      <c r="D4">
        <v>0</v>
      </c>
      <c r="E4">
        <v>1</v>
      </c>
      <c r="F4">
        <v>50</v>
      </c>
      <c r="G4">
        <v>35</v>
      </c>
      <c r="H4" s="66" t="s">
        <v>30</v>
      </c>
    </row>
    <row r="5" spans="1:8" x14ac:dyDescent="0.3">
      <c r="A5" s="64">
        <v>44185</v>
      </c>
      <c r="B5" t="s">
        <v>30</v>
      </c>
      <c r="C5">
        <v>-2</v>
      </c>
      <c r="D5">
        <v>0</v>
      </c>
      <c r="E5">
        <v>0</v>
      </c>
      <c r="F5">
        <v>50</v>
      </c>
      <c r="G5">
        <v>35</v>
      </c>
      <c r="H5" s="66" t="s">
        <v>30</v>
      </c>
    </row>
    <row r="6" spans="1:8" x14ac:dyDescent="0.3">
      <c r="A6" s="64">
        <v>44188</v>
      </c>
      <c r="B6" t="s">
        <v>30</v>
      </c>
      <c r="C6">
        <v>10</v>
      </c>
      <c r="D6">
        <v>4</v>
      </c>
      <c r="E6">
        <v>3</v>
      </c>
      <c r="F6">
        <v>50</v>
      </c>
      <c r="G6">
        <v>35</v>
      </c>
      <c r="H6" s="66" t="s">
        <v>30</v>
      </c>
    </row>
    <row r="7" spans="1:8" x14ac:dyDescent="0.3">
      <c r="A7" s="64">
        <v>44193</v>
      </c>
      <c r="B7" t="s">
        <v>30</v>
      </c>
      <c r="C7">
        <v>10</v>
      </c>
      <c r="D7">
        <v>2</v>
      </c>
      <c r="E7">
        <v>0</v>
      </c>
      <c r="F7">
        <v>50</v>
      </c>
      <c r="G7">
        <v>35</v>
      </c>
      <c r="H7" s="66" t="s">
        <v>30</v>
      </c>
    </row>
    <row r="8" spans="1:8" x14ac:dyDescent="0.3">
      <c r="A8" s="64">
        <v>44196</v>
      </c>
      <c r="B8" t="s">
        <v>30</v>
      </c>
      <c r="C8">
        <v>10</v>
      </c>
      <c r="D8">
        <v>2</v>
      </c>
      <c r="E8">
        <v>0</v>
      </c>
      <c r="F8">
        <v>50</v>
      </c>
      <c r="G8">
        <v>35</v>
      </c>
      <c r="H8" s="66" t="s">
        <v>30</v>
      </c>
    </row>
    <row r="9" spans="1:8" x14ac:dyDescent="0.3">
      <c r="A9" s="64">
        <v>44200</v>
      </c>
      <c r="B9" t="s">
        <v>30</v>
      </c>
      <c r="C9">
        <v>7</v>
      </c>
      <c r="D9">
        <v>1</v>
      </c>
      <c r="E9">
        <v>0</v>
      </c>
      <c r="F9">
        <v>50</v>
      </c>
      <c r="G9">
        <v>35</v>
      </c>
      <c r="H9" s="66" t="s">
        <v>30</v>
      </c>
    </row>
    <row r="10" spans="1:8" x14ac:dyDescent="0.3">
      <c r="A10" s="64">
        <v>44203</v>
      </c>
      <c r="B10" t="s">
        <v>30</v>
      </c>
      <c r="C10">
        <v>14</v>
      </c>
      <c r="D10">
        <v>6</v>
      </c>
      <c r="E10">
        <v>2</v>
      </c>
      <c r="F10">
        <v>50</v>
      </c>
      <c r="G10">
        <v>35</v>
      </c>
      <c r="H10" s="66" t="s">
        <v>30</v>
      </c>
    </row>
    <row r="11" spans="1:8" x14ac:dyDescent="0.3">
      <c r="A11" s="64">
        <v>44207</v>
      </c>
      <c r="B11" t="s">
        <v>30</v>
      </c>
      <c r="C11">
        <v>14</v>
      </c>
      <c r="D11">
        <v>3</v>
      </c>
      <c r="E11">
        <v>1</v>
      </c>
      <c r="F11">
        <v>50</v>
      </c>
      <c r="G11">
        <v>35</v>
      </c>
      <c r="H11" s="66" t="s">
        <v>30</v>
      </c>
    </row>
    <row r="12" spans="1:8" x14ac:dyDescent="0.3">
      <c r="A12" s="64">
        <v>44211</v>
      </c>
      <c r="B12" t="s">
        <v>30</v>
      </c>
      <c r="C12">
        <v>17</v>
      </c>
      <c r="D12">
        <v>2</v>
      </c>
      <c r="E12">
        <v>1</v>
      </c>
      <c r="F12">
        <v>50</v>
      </c>
      <c r="G12">
        <v>35</v>
      </c>
      <c r="H12" s="66" t="s">
        <v>30</v>
      </c>
    </row>
    <row r="13" spans="1:8" x14ac:dyDescent="0.3">
      <c r="A13" s="64">
        <v>44215</v>
      </c>
      <c r="B13" t="s">
        <v>30</v>
      </c>
      <c r="C13">
        <v>6</v>
      </c>
      <c r="D13">
        <v>1</v>
      </c>
      <c r="E13">
        <v>-1</v>
      </c>
      <c r="F13">
        <v>50</v>
      </c>
      <c r="G13">
        <v>35</v>
      </c>
      <c r="H13" s="66" t="s">
        <v>30</v>
      </c>
    </row>
    <row r="14" spans="1:8" x14ac:dyDescent="0.3">
      <c r="A14" s="64">
        <v>44218</v>
      </c>
      <c r="B14" t="s">
        <v>30</v>
      </c>
      <c r="C14">
        <v>16</v>
      </c>
      <c r="D14">
        <v>3</v>
      </c>
      <c r="E14">
        <v>2</v>
      </c>
      <c r="F14">
        <v>50</v>
      </c>
      <c r="G14">
        <v>35</v>
      </c>
      <c r="H14" s="66" t="s">
        <v>30</v>
      </c>
    </row>
    <row r="15" spans="1:8" x14ac:dyDescent="0.3">
      <c r="A15" s="64">
        <v>44223</v>
      </c>
      <c r="B15" t="s">
        <v>30</v>
      </c>
      <c r="C15">
        <v>22</v>
      </c>
      <c r="D15">
        <v>0</v>
      </c>
      <c r="E15">
        <v>0</v>
      </c>
      <c r="F15">
        <v>50</v>
      </c>
      <c r="G15">
        <v>35</v>
      </c>
      <c r="H15" s="66" t="s">
        <v>30</v>
      </c>
    </row>
    <row r="16" spans="1:8" x14ac:dyDescent="0.3">
      <c r="A16" s="64">
        <v>44227</v>
      </c>
      <c r="B16" t="s">
        <v>30</v>
      </c>
      <c r="C16">
        <v>17</v>
      </c>
      <c r="D16">
        <v>8</v>
      </c>
      <c r="E16">
        <v>0</v>
      </c>
      <c r="F16">
        <v>50</v>
      </c>
      <c r="G16">
        <v>35</v>
      </c>
      <c r="H16" s="66" t="s">
        <v>30</v>
      </c>
    </row>
    <row r="17" spans="1:8" x14ac:dyDescent="0.3">
      <c r="A17" s="64">
        <v>44230</v>
      </c>
      <c r="B17" t="s">
        <v>30</v>
      </c>
      <c r="C17">
        <v>13</v>
      </c>
      <c r="D17">
        <v>1</v>
      </c>
      <c r="E17">
        <v>0</v>
      </c>
      <c r="F17">
        <v>50</v>
      </c>
      <c r="G17">
        <v>35</v>
      </c>
      <c r="H17" s="66" t="s">
        <v>30</v>
      </c>
    </row>
    <row r="18" spans="1:8" x14ac:dyDescent="0.3">
      <c r="A18" s="64">
        <v>44234</v>
      </c>
      <c r="B18" t="s">
        <v>30</v>
      </c>
      <c r="C18">
        <v>18</v>
      </c>
      <c r="D18">
        <v>4</v>
      </c>
      <c r="E18">
        <v>3</v>
      </c>
      <c r="F18">
        <v>50</v>
      </c>
      <c r="G18">
        <v>35</v>
      </c>
      <c r="H18" s="66" t="s">
        <v>56</v>
      </c>
    </row>
    <row r="19" spans="1:8" x14ac:dyDescent="0.3">
      <c r="A19" s="64">
        <v>44236</v>
      </c>
      <c r="B19" t="s">
        <v>30</v>
      </c>
      <c r="C19">
        <v>27</v>
      </c>
      <c r="D19">
        <v>2</v>
      </c>
      <c r="E19">
        <v>0</v>
      </c>
      <c r="F19">
        <v>50</v>
      </c>
      <c r="G19">
        <v>35</v>
      </c>
      <c r="H19" s="66" t="s">
        <v>59</v>
      </c>
    </row>
    <row r="20" spans="1:8" ht="86.4" x14ac:dyDescent="0.3">
      <c r="A20" s="64">
        <v>44246</v>
      </c>
      <c r="B20" t="s">
        <v>30</v>
      </c>
      <c r="C20">
        <v>8</v>
      </c>
      <c r="D20">
        <v>2</v>
      </c>
      <c r="E20">
        <v>1</v>
      </c>
      <c r="F20">
        <v>50</v>
      </c>
      <c r="G20">
        <v>35</v>
      </c>
      <c r="H20" s="65" t="s">
        <v>67</v>
      </c>
    </row>
    <row r="21" spans="1:8" x14ac:dyDescent="0.3">
      <c r="A21" s="64">
        <v>44249</v>
      </c>
      <c r="B21" t="s">
        <v>30</v>
      </c>
      <c r="C21">
        <v>9</v>
      </c>
      <c r="D21">
        <v>3</v>
      </c>
      <c r="E21">
        <v>4</v>
      </c>
      <c r="F21">
        <v>50</v>
      </c>
      <c r="G21">
        <v>35</v>
      </c>
      <c r="H21" s="66" t="s">
        <v>70</v>
      </c>
    </row>
    <row r="22" spans="1:8" x14ac:dyDescent="0.3">
      <c r="A22" s="64">
        <v>44249</v>
      </c>
      <c r="B22" t="s">
        <v>30</v>
      </c>
      <c r="C22">
        <v>-1</v>
      </c>
      <c r="D22">
        <v>0</v>
      </c>
      <c r="E22">
        <v>0</v>
      </c>
      <c r="F22">
        <v>50</v>
      </c>
      <c r="G22">
        <v>35</v>
      </c>
      <c r="H22" s="66" t="s">
        <v>72</v>
      </c>
    </row>
    <row r="23" spans="1:8" x14ac:dyDescent="0.3">
      <c r="A23" s="64">
        <v>44251</v>
      </c>
      <c r="B23" t="s">
        <v>30</v>
      </c>
      <c r="C23">
        <v>9</v>
      </c>
      <c r="D23">
        <v>1</v>
      </c>
      <c r="E23">
        <v>1</v>
      </c>
      <c r="F23">
        <v>50</v>
      </c>
      <c r="G23">
        <v>35</v>
      </c>
      <c r="H23" s="66" t="s">
        <v>78</v>
      </c>
    </row>
    <row r="24" spans="1:8" x14ac:dyDescent="0.3">
      <c r="A24" s="64">
        <v>44252</v>
      </c>
      <c r="B24" t="s">
        <v>30</v>
      </c>
      <c r="C24">
        <v>3</v>
      </c>
      <c r="D24">
        <v>1</v>
      </c>
      <c r="E24">
        <v>1</v>
      </c>
      <c r="F24">
        <v>50</v>
      </c>
      <c r="G24">
        <v>35</v>
      </c>
      <c r="H24" s="66" t="s">
        <v>81</v>
      </c>
    </row>
    <row r="25" spans="1:8" x14ac:dyDescent="0.3">
      <c r="A25" s="64">
        <v>44252</v>
      </c>
      <c r="B25" t="s">
        <v>30</v>
      </c>
      <c r="C25">
        <v>29</v>
      </c>
      <c r="D25">
        <v>9</v>
      </c>
      <c r="E25">
        <v>2</v>
      </c>
      <c r="F25">
        <v>50</v>
      </c>
      <c r="G25">
        <v>35</v>
      </c>
      <c r="H25" s="66" t="s">
        <v>84</v>
      </c>
    </row>
    <row r="26" spans="1:8" x14ac:dyDescent="0.3">
      <c r="A26" s="64">
        <v>44252</v>
      </c>
      <c r="B26" t="s">
        <v>30</v>
      </c>
      <c r="C26">
        <v>3</v>
      </c>
      <c r="D26">
        <v>1</v>
      </c>
      <c r="E26">
        <v>0</v>
      </c>
      <c r="F26">
        <v>50</v>
      </c>
      <c r="G26">
        <v>35</v>
      </c>
      <c r="H26" s="66" t="s">
        <v>86</v>
      </c>
    </row>
    <row r="27" spans="1:8" x14ac:dyDescent="0.3">
      <c r="A27" s="64">
        <v>44253</v>
      </c>
      <c r="B27" t="s">
        <v>30</v>
      </c>
      <c r="C27">
        <v>29</v>
      </c>
      <c r="D27">
        <v>4</v>
      </c>
      <c r="E27">
        <v>0</v>
      </c>
      <c r="F27">
        <v>50</v>
      </c>
      <c r="G27">
        <v>35</v>
      </c>
      <c r="H27" s="66" t="s">
        <v>81</v>
      </c>
    </row>
    <row r="28" spans="1:8" x14ac:dyDescent="0.3">
      <c r="A28" s="64">
        <v>44254</v>
      </c>
      <c r="B28" t="s">
        <v>30</v>
      </c>
      <c r="C28">
        <v>2</v>
      </c>
      <c r="D28">
        <v>0</v>
      </c>
      <c r="E28">
        <v>0</v>
      </c>
      <c r="F28">
        <v>50</v>
      </c>
      <c r="G28">
        <v>35</v>
      </c>
      <c r="H28" s="66" t="s">
        <v>81</v>
      </c>
    </row>
    <row r="29" spans="1:8" x14ac:dyDescent="0.3">
      <c r="A29" s="64">
        <v>44256</v>
      </c>
      <c r="B29" t="s">
        <v>30</v>
      </c>
      <c r="C29">
        <v>13</v>
      </c>
      <c r="D29">
        <v>1</v>
      </c>
      <c r="E29">
        <v>0</v>
      </c>
      <c r="F29">
        <v>50</v>
      </c>
      <c r="G29">
        <v>35</v>
      </c>
      <c r="H29" s="66" t="s">
        <v>81</v>
      </c>
    </row>
    <row r="30" spans="1:8" x14ac:dyDescent="0.3">
      <c r="A30" s="64">
        <v>44258</v>
      </c>
      <c r="B30" t="s">
        <v>30</v>
      </c>
      <c r="C30">
        <v>24</v>
      </c>
      <c r="D30">
        <v>6</v>
      </c>
      <c r="E30">
        <v>4</v>
      </c>
      <c r="F30">
        <v>50</v>
      </c>
      <c r="G30">
        <v>35</v>
      </c>
      <c r="H30" s="66" t="s">
        <v>81</v>
      </c>
    </row>
    <row r="31" spans="1:8" x14ac:dyDescent="0.3">
      <c r="A31" s="64">
        <v>44258</v>
      </c>
      <c r="B31" t="s">
        <v>30</v>
      </c>
      <c r="C31">
        <v>31</v>
      </c>
      <c r="D31">
        <v>10</v>
      </c>
      <c r="E31">
        <v>5</v>
      </c>
      <c r="F31">
        <v>50</v>
      </c>
      <c r="G31">
        <v>35</v>
      </c>
      <c r="H31" s="66" t="s">
        <v>90</v>
      </c>
    </row>
    <row r="32" spans="1:8" x14ac:dyDescent="0.3">
      <c r="A32" s="64">
        <v>44262</v>
      </c>
      <c r="B32" t="s">
        <v>30</v>
      </c>
      <c r="C32">
        <v>15</v>
      </c>
      <c r="D32">
        <v>2</v>
      </c>
      <c r="E32">
        <v>1</v>
      </c>
      <c r="F32">
        <v>50</v>
      </c>
      <c r="G32">
        <v>35</v>
      </c>
      <c r="H32" s="66" t="s">
        <v>81</v>
      </c>
    </row>
    <row r="33" spans="1:8" x14ac:dyDescent="0.3">
      <c r="A33" s="64">
        <v>44263</v>
      </c>
      <c r="B33" t="s">
        <v>30</v>
      </c>
      <c r="C33">
        <v>7</v>
      </c>
      <c r="D33">
        <v>1</v>
      </c>
      <c r="E33">
        <v>1</v>
      </c>
      <c r="F33">
        <v>50</v>
      </c>
      <c r="G33">
        <v>35</v>
      </c>
      <c r="H33" s="66" t="s">
        <v>81</v>
      </c>
    </row>
    <row r="34" spans="1:8" x14ac:dyDescent="0.3">
      <c r="A34" s="64">
        <v>44265</v>
      </c>
      <c r="B34" t="s">
        <v>30</v>
      </c>
      <c r="C34">
        <v>7</v>
      </c>
      <c r="D34">
        <v>3</v>
      </c>
      <c r="E34">
        <v>4</v>
      </c>
      <c r="F34">
        <v>50</v>
      </c>
      <c r="G34">
        <v>35</v>
      </c>
      <c r="H34" s="66" t="s">
        <v>81</v>
      </c>
    </row>
    <row r="35" spans="1:8" x14ac:dyDescent="0.3">
      <c r="A35" s="64">
        <v>44267</v>
      </c>
      <c r="B35" t="s">
        <v>30</v>
      </c>
      <c r="C35">
        <v>55</v>
      </c>
      <c r="D35">
        <v>18</v>
      </c>
      <c r="E35">
        <v>9</v>
      </c>
      <c r="F35">
        <v>50</v>
      </c>
      <c r="G35">
        <v>35</v>
      </c>
      <c r="H35" s="66" t="s">
        <v>81</v>
      </c>
    </row>
    <row r="36" spans="1:8" x14ac:dyDescent="0.3">
      <c r="A36" s="64">
        <v>44267</v>
      </c>
      <c r="B36" t="s">
        <v>30</v>
      </c>
      <c r="C36">
        <v>4</v>
      </c>
      <c r="D36">
        <v>2</v>
      </c>
      <c r="E36">
        <v>1</v>
      </c>
      <c r="F36">
        <v>50</v>
      </c>
      <c r="G36">
        <v>35</v>
      </c>
      <c r="H36" s="66" t="s">
        <v>97</v>
      </c>
    </row>
    <row r="37" spans="1:8" x14ac:dyDescent="0.3">
      <c r="A37" s="64">
        <v>44268</v>
      </c>
      <c r="B37" t="s">
        <v>30</v>
      </c>
      <c r="C37">
        <v>12</v>
      </c>
      <c r="D37">
        <v>2</v>
      </c>
      <c r="E37">
        <v>1</v>
      </c>
      <c r="F37">
        <v>50</v>
      </c>
      <c r="G37">
        <v>35</v>
      </c>
      <c r="H37" s="66" t="s">
        <v>81</v>
      </c>
    </row>
    <row r="38" spans="1:8" x14ac:dyDescent="0.3">
      <c r="A38" s="64">
        <v>44270</v>
      </c>
      <c r="B38" t="s">
        <v>30</v>
      </c>
      <c r="C38">
        <v>7</v>
      </c>
      <c r="D38">
        <v>1</v>
      </c>
      <c r="E38">
        <v>0</v>
      </c>
      <c r="F38">
        <v>50</v>
      </c>
      <c r="G38">
        <v>35</v>
      </c>
      <c r="H38" s="66" t="s">
        <v>81</v>
      </c>
    </row>
    <row r="39" spans="1:8" x14ac:dyDescent="0.3">
      <c r="A39" s="64">
        <v>44273</v>
      </c>
      <c r="B39" t="s">
        <v>30</v>
      </c>
      <c r="C39">
        <v>21</v>
      </c>
      <c r="D39">
        <v>10</v>
      </c>
      <c r="E39">
        <v>5</v>
      </c>
      <c r="F39">
        <v>50</v>
      </c>
      <c r="G39">
        <v>35</v>
      </c>
      <c r="H39" s="66" t="s">
        <v>81</v>
      </c>
    </row>
    <row r="40" spans="1:8" x14ac:dyDescent="0.3">
      <c r="A40" s="64">
        <v>44273</v>
      </c>
      <c r="B40" t="s">
        <v>30</v>
      </c>
      <c r="C40">
        <v>13</v>
      </c>
      <c r="D40">
        <v>5</v>
      </c>
      <c r="E40">
        <v>1</v>
      </c>
      <c r="F40">
        <v>50</v>
      </c>
      <c r="G40">
        <v>35</v>
      </c>
      <c r="H40" s="66" t="s">
        <v>102</v>
      </c>
    </row>
    <row r="41" spans="1:8" x14ac:dyDescent="0.3">
      <c r="A41" s="64">
        <v>44274</v>
      </c>
      <c r="B41" t="s">
        <v>30</v>
      </c>
      <c r="C41">
        <v>32</v>
      </c>
      <c r="D41">
        <v>13</v>
      </c>
      <c r="E41">
        <v>5</v>
      </c>
      <c r="F41">
        <v>50</v>
      </c>
      <c r="G41">
        <v>35</v>
      </c>
      <c r="H41" s="66" t="s">
        <v>81</v>
      </c>
    </row>
    <row r="42" spans="1:8" x14ac:dyDescent="0.3">
      <c r="A42" s="64">
        <v>44278</v>
      </c>
      <c r="B42" t="s">
        <v>30</v>
      </c>
      <c r="C42">
        <v>90</v>
      </c>
      <c r="D42">
        <v>42</v>
      </c>
      <c r="E42">
        <v>24</v>
      </c>
      <c r="F42">
        <v>50</v>
      </c>
      <c r="G42">
        <v>35</v>
      </c>
      <c r="H42" s="66" t="s">
        <v>103</v>
      </c>
    </row>
    <row r="43" spans="1:8" x14ac:dyDescent="0.3">
      <c r="A43" s="64">
        <v>44278</v>
      </c>
      <c r="B43" t="s">
        <v>30</v>
      </c>
      <c r="C43">
        <v>0</v>
      </c>
      <c r="D43">
        <v>0</v>
      </c>
      <c r="E43">
        <v>0</v>
      </c>
      <c r="F43">
        <v>50</v>
      </c>
      <c r="G43">
        <v>35</v>
      </c>
      <c r="H43" s="66" t="s">
        <v>106</v>
      </c>
    </row>
    <row r="44" spans="1:8" x14ac:dyDescent="0.3">
      <c r="A44" s="64">
        <v>44279</v>
      </c>
      <c r="B44" t="s">
        <v>30</v>
      </c>
      <c r="C44">
        <v>23</v>
      </c>
      <c r="D44">
        <v>13</v>
      </c>
      <c r="E44">
        <v>7</v>
      </c>
      <c r="F44">
        <v>50</v>
      </c>
      <c r="G44">
        <v>35</v>
      </c>
      <c r="H44" s="66" t="s">
        <v>110</v>
      </c>
    </row>
    <row r="45" spans="1:8" x14ac:dyDescent="0.3">
      <c r="A45" s="64">
        <v>44279</v>
      </c>
      <c r="B45" t="s">
        <v>30</v>
      </c>
      <c r="C45">
        <v>3</v>
      </c>
      <c r="D45">
        <v>1</v>
      </c>
      <c r="E45">
        <v>1</v>
      </c>
      <c r="F45">
        <v>50</v>
      </c>
      <c r="G45">
        <v>35</v>
      </c>
      <c r="H45" s="66" t="s">
        <v>115</v>
      </c>
    </row>
    <row r="46" spans="1:8" x14ac:dyDescent="0.3">
      <c r="A46" s="64">
        <v>44279</v>
      </c>
      <c r="B46" t="s">
        <v>30</v>
      </c>
      <c r="C46">
        <v>4</v>
      </c>
      <c r="D46">
        <v>0</v>
      </c>
      <c r="E46">
        <v>0</v>
      </c>
      <c r="F46">
        <v>50</v>
      </c>
      <c r="G46">
        <v>35</v>
      </c>
      <c r="H46" s="66" t="s">
        <v>118</v>
      </c>
    </row>
    <row r="47" spans="1:8" x14ac:dyDescent="0.3">
      <c r="A47" s="64">
        <v>44280</v>
      </c>
      <c r="B47" t="s">
        <v>30</v>
      </c>
      <c r="C47">
        <v>10</v>
      </c>
      <c r="D47">
        <v>4</v>
      </c>
      <c r="E47">
        <v>1</v>
      </c>
      <c r="F47">
        <v>50</v>
      </c>
      <c r="G47">
        <v>35</v>
      </c>
      <c r="H47" s="66" t="s">
        <v>118</v>
      </c>
    </row>
    <row r="48" spans="1:8" x14ac:dyDescent="0.3">
      <c r="A48" s="64">
        <v>44281</v>
      </c>
      <c r="B48" t="s">
        <v>30</v>
      </c>
      <c r="C48">
        <v>1</v>
      </c>
      <c r="D48">
        <v>0</v>
      </c>
      <c r="E48">
        <v>0</v>
      </c>
      <c r="F48">
        <v>50</v>
      </c>
      <c r="G48">
        <v>35</v>
      </c>
      <c r="H48" s="66" t="s">
        <v>118</v>
      </c>
    </row>
    <row r="49" spans="1:8" x14ac:dyDescent="0.3">
      <c r="A49" s="64">
        <v>44284</v>
      </c>
      <c r="B49" t="s">
        <v>30</v>
      </c>
      <c r="C49">
        <v>9</v>
      </c>
      <c r="D49">
        <v>0</v>
      </c>
      <c r="E49">
        <v>0</v>
      </c>
      <c r="F49">
        <v>50</v>
      </c>
      <c r="G49">
        <v>35</v>
      </c>
      <c r="H49" s="66" t="s">
        <v>145</v>
      </c>
    </row>
    <row r="50" spans="1:8" x14ac:dyDescent="0.3">
      <c r="A50" s="64">
        <v>44299</v>
      </c>
      <c r="B50" t="s">
        <v>30</v>
      </c>
      <c r="C50">
        <v>7</v>
      </c>
      <c r="D50">
        <v>1</v>
      </c>
      <c r="E50">
        <v>0</v>
      </c>
      <c r="F50">
        <v>50</v>
      </c>
      <c r="G50">
        <v>35</v>
      </c>
      <c r="H50" s="66" t="s">
        <v>127</v>
      </c>
    </row>
    <row r="51" spans="1:8" x14ac:dyDescent="0.3">
      <c r="A51" s="64">
        <v>44305</v>
      </c>
      <c r="B51" t="s">
        <v>30</v>
      </c>
      <c r="C51">
        <v>10</v>
      </c>
      <c r="D51">
        <v>3</v>
      </c>
      <c r="E51">
        <v>2</v>
      </c>
      <c r="F51">
        <v>50</v>
      </c>
      <c r="G51">
        <v>35</v>
      </c>
      <c r="H51" s="66" t="s">
        <v>118</v>
      </c>
    </row>
    <row r="52" spans="1:8" x14ac:dyDescent="0.3">
      <c r="A52" s="64">
        <v>44305</v>
      </c>
      <c r="B52" t="s">
        <v>30</v>
      </c>
      <c r="C52">
        <v>5</v>
      </c>
      <c r="D52">
        <v>1</v>
      </c>
      <c r="E52">
        <v>0</v>
      </c>
      <c r="F52">
        <v>50</v>
      </c>
      <c r="G52">
        <v>35</v>
      </c>
      <c r="H52" s="66" t="s">
        <v>137</v>
      </c>
    </row>
    <row r="53" spans="1:8" x14ac:dyDescent="0.3">
      <c r="A53" s="64">
        <v>44312</v>
      </c>
      <c r="B53" t="s">
        <v>30</v>
      </c>
      <c r="C53">
        <v>3</v>
      </c>
      <c r="D53">
        <v>2</v>
      </c>
      <c r="E53">
        <v>1</v>
      </c>
      <c r="F53">
        <v>50</v>
      </c>
      <c r="G53">
        <v>35</v>
      </c>
      <c r="H53" s="66" t="s">
        <v>72</v>
      </c>
    </row>
    <row r="54" spans="1:8" x14ac:dyDescent="0.3">
      <c r="A54" s="64">
        <v>44316</v>
      </c>
      <c r="B54" t="s">
        <v>30</v>
      </c>
      <c r="C54">
        <v>6</v>
      </c>
      <c r="D54">
        <v>-2</v>
      </c>
      <c r="E54">
        <v>1</v>
      </c>
      <c r="F54">
        <v>50</v>
      </c>
      <c r="G54">
        <v>35</v>
      </c>
      <c r="H54" s="66" t="s">
        <v>72</v>
      </c>
    </row>
    <row r="55" spans="1:8" x14ac:dyDescent="0.3">
      <c r="A55" s="64">
        <v>44320</v>
      </c>
      <c r="B55" t="s">
        <v>30</v>
      </c>
      <c r="C55">
        <v>2</v>
      </c>
      <c r="D55">
        <v>1</v>
      </c>
      <c r="E55">
        <v>1</v>
      </c>
      <c r="F55">
        <v>50</v>
      </c>
      <c r="G55">
        <v>35</v>
      </c>
      <c r="H55" s="66" t="s">
        <v>72</v>
      </c>
    </row>
    <row r="56" spans="1:8" x14ac:dyDescent="0.3">
      <c r="A56" s="64"/>
    </row>
    <row r="57" spans="1:8" x14ac:dyDescent="0.3">
      <c r="A57" s="64"/>
    </row>
    <row r="58" spans="1:8" x14ac:dyDescent="0.3">
      <c r="A58" s="64"/>
    </row>
    <row r="59" spans="1:8" x14ac:dyDescent="0.3">
      <c r="A59" s="64"/>
    </row>
    <row r="60" spans="1:8" x14ac:dyDescent="0.3">
      <c r="A60" s="64"/>
    </row>
    <row r="61" spans="1:8" x14ac:dyDescent="0.3">
      <c r="A61" s="64"/>
    </row>
    <row r="62" spans="1:8" x14ac:dyDescent="0.3">
      <c r="A62" s="64"/>
    </row>
    <row r="63" spans="1:8" x14ac:dyDescent="0.3">
      <c r="A63" s="64"/>
    </row>
    <row r="64" spans="1:8" x14ac:dyDescent="0.3">
      <c r="A64" s="64"/>
    </row>
    <row r="65" spans="1:8" x14ac:dyDescent="0.3">
      <c r="A65" s="64"/>
    </row>
    <row r="66" spans="1:8" x14ac:dyDescent="0.3">
      <c r="A66" s="64"/>
    </row>
    <row r="67" spans="1:8" x14ac:dyDescent="0.3">
      <c r="A67" s="64"/>
    </row>
    <row r="68" spans="1:8" x14ac:dyDescent="0.3">
      <c r="A68" s="64"/>
    </row>
    <row r="69" spans="1:8" x14ac:dyDescent="0.3">
      <c r="A69" s="64"/>
    </row>
    <row r="70" spans="1:8" x14ac:dyDescent="0.3">
      <c r="A70" s="64" t="s">
        <v>13</v>
      </c>
      <c r="B70" t="s">
        <v>144</v>
      </c>
      <c r="C70" t="s">
        <v>17</v>
      </c>
      <c r="D70" t="s">
        <v>18</v>
      </c>
      <c r="E70" t="s">
        <v>20</v>
      </c>
      <c r="F70" t="s">
        <v>22</v>
      </c>
      <c r="G70" t="s">
        <v>21</v>
      </c>
      <c r="H70" s="66" t="s">
        <v>26</v>
      </c>
    </row>
    <row r="71" spans="1:8" x14ac:dyDescent="0.3">
      <c r="A71" s="64">
        <v>44176</v>
      </c>
      <c r="B71" t="s">
        <v>30</v>
      </c>
      <c r="C71">
        <v>1</v>
      </c>
      <c r="D71">
        <v>0</v>
      </c>
      <c r="E71">
        <v>0</v>
      </c>
      <c r="F71">
        <v>50</v>
      </c>
      <c r="G71">
        <v>35</v>
      </c>
      <c r="H71" s="66" t="s">
        <v>30</v>
      </c>
    </row>
    <row r="72" spans="1:8" x14ac:dyDescent="0.3">
      <c r="A72" s="64">
        <v>44176</v>
      </c>
      <c r="B72" t="s">
        <v>34</v>
      </c>
      <c r="C72">
        <v>-1</v>
      </c>
      <c r="D72">
        <v>-1</v>
      </c>
      <c r="E72">
        <v>-1</v>
      </c>
      <c r="F72">
        <v>50</v>
      </c>
      <c r="G72">
        <v>35</v>
      </c>
      <c r="H72" s="66" t="s">
        <v>34</v>
      </c>
    </row>
    <row r="73" spans="1:8" x14ac:dyDescent="0.3">
      <c r="A73" s="64">
        <v>44179</v>
      </c>
      <c r="B73" t="s">
        <v>30</v>
      </c>
      <c r="C73">
        <v>6</v>
      </c>
      <c r="D73">
        <v>1</v>
      </c>
      <c r="E73">
        <v>1</v>
      </c>
      <c r="F73">
        <v>50</v>
      </c>
      <c r="G73">
        <v>35</v>
      </c>
      <c r="H73" s="66" t="s">
        <v>30</v>
      </c>
    </row>
    <row r="74" spans="1:8" x14ac:dyDescent="0.3">
      <c r="A74" s="64">
        <v>44179</v>
      </c>
      <c r="B74" t="s">
        <v>34</v>
      </c>
      <c r="C74">
        <v>11</v>
      </c>
      <c r="D74">
        <v>2</v>
      </c>
      <c r="E74">
        <v>0</v>
      </c>
      <c r="F74">
        <v>50</v>
      </c>
      <c r="G74">
        <v>35</v>
      </c>
      <c r="H74" s="66" t="s">
        <v>34</v>
      </c>
    </row>
    <row r="75" spans="1:8" x14ac:dyDescent="0.3">
      <c r="A75" s="64">
        <v>44182</v>
      </c>
      <c r="B75" t="s">
        <v>30</v>
      </c>
      <c r="C75">
        <v>6</v>
      </c>
      <c r="D75">
        <v>0</v>
      </c>
      <c r="E75">
        <v>1</v>
      </c>
      <c r="F75">
        <v>50</v>
      </c>
      <c r="G75">
        <v>35</v>
      </c>
      <c r="H75" s="66" t="s">
        <v>30</v>
      </c>
    </row>
    <row r="76" spans="1:8" x14ac:dyDescent="0.3">
      <c r="A76" s="64">
        <v>44182</v>
      </c>
      <c r="B76" t="s">
        <v>34</v>
      </c>
      <c r="C76">
        <v>1</v>
      </c>
      <c r="D76">
        <v>1</v>
      </c>
      <c r="E76">
        <v>1</v>
      </c>
      <c r="F76">
        <v>50</v>
      </c>
      <c r="G76">
        <v>35</v>
      </c>
      <c r="H76" s="66" t="s">
        <v>34</v>
      </c>
    </row>
    <row r="77" spans="1:8" x14ac:dyDescent="0.3">
      <c r="A77" s="64">
        <v>44185</v>
      </c>
      <c r="B77" t="s">
        <v>30</v>
      </c>
      <c r="C77">
        <v>-2</v>
      </c>
      <c r="D77">
        <v>0</v>
      </c>
      <c r="E77">
        <v>0</v>
      </c>
      <c r="F77">
        <v>50</v>
      </c>
      <c r="G77">
        <v>35</v>
      </c>
      <c r="H77" s="66" t="s">
        <v>30</v>
      </c>
    </row>
    <row r="78" spans="1:8" x14ac:dyDescent="0.3">
      <c r="A78" s="64">
        <v>44185</v>
      </c>
      <c r="B78" t="s">
        <v>34</v>
      </c>
      <c r="C78">
        <v>8</v>
      </c>
      <c r="D78">
        <v>1</v>
      </c>
      <c r="E78">
        <v>0</v>
      </c>
      <c r="F78">
        <v>50</v>
      </c>
      <c r="G78">
        <v>35</v>
      </c>
      <c r="H78" s="66" t="s">
        <v>34</v>
      </c>
    </row>
    <row r="79" spans="1:8" x14ac:dyDescent="0.3">
      <c r="A79" s="64">
        <v>44188</v>
      </c>
      <c r="B79" t="s">
        <v>34</v>
      </c>
      <c r="C79">
        <v>36</v>
      </c>
      <c r="D79">
        <v>7</v>
      </c>
      <c r="E79">
        <v>3</v>
      </c>
      <c r="F79">
        <v>50</v>
      </c>
      <c r="G79">
        <v>35</v>
      </c>
      <c r="H79" s="66" t="s">
        <v>34</v>
      </c>
    </row>
    <row r="80" spans="1:8" x14ac:dyDescent="0.3">
      <c r="A80" s="64">
        <v>44188</v>
      </c>
      <c r="B80" t="s">
        <v>30</v>
      </c>
      <c r="C80">
        <v>10</v>
      </c>
      <c r="D80">
        <v>4</v>
      </c>
      <c r="E80">
        <v>3</v>
      </c>
      <c r="F80">
        <v>50</v>
      </c>
      <c r="G80">
        <v>35</v>
      </c>
      <c r="H80" s="66" t="s">
        <v>30</v>
      </c>
    </row>
    <row r="81" spans="1:8" x14ac:dyDescent="0.3">
      <c r="A81" s="64">
        <v>44193</v>
      </c>
      <c r="B81" t="s">
        <v>34</v>
      </c>
      <c r="C81">
        <v>18</v>
      </c>
      <c r="D81">
        <v>5</v>
      </c>
      <c r="E81">
        <v>2</v>
      </c>
      <c r="F81">
        <v>50</v>
      </c>
      <c r="G81">
        <v>35</v>
      </c>
      <c r="H81" s="66" t="s">
        <v>34</v>
      </c>
    </row>
    <row r="82" spans="1:8" x14ac:dyDescent="0.3">
      <c r="A82" s="64">
        <v>44193</v>
      </c>
      <c r="B82" t="s">
        <v>30</v>
      </c>
      <c r="C82">
        <v>10</v>
      </c>
      <c r="D82">
        <v>2</v>
      </c>
      <c r="E82">
        <v>0</v>
      </c>
      <c r="F82">
        <v>50</v>
      </c>
      <c r="G82">
        <v>35</v>
      </c>
      <c r="H82" s="66" t="s">
        <v>30</v>
      </c>
    </row>
    <row r="83" spans="1:8" x14ac:dyDescent="0.3">
      <c r="A83" s="64">
        <v>44196</v>
      </c>
      <c r="B83" t="s">
        <v>30</v>
      </c>
      <c r="C83">
        <v>10</v>
      </c>
      <c r="D83">
        <v>2</v>
      </c>
      <c r="E83">
        <v>0</v>
      </c>
      <c r="F83">
        <v>50</v>
      </c>
      <c r="G83">
        <v>35</v>
      </c>
      <c r="H83" s="66" t="s">
        <v>30</v>
      </c>
    </row>
    <row r="84" spans="1:8" x14ac:dyDescent="0.3">
      <c r="A84" s="64">
        <v>44200</v>
      </c>
      <c r="B84" t="s">
        <v>30</v>
      </c>
      <c r="C84">
        <v>7</v>
      </c>
      <c r="D84">
        <v>1</v>
      </c>
      <c r="E84">
        <v>0</v>
      </c>
      <c r="F84">
        <v>50</v>
      </c>
      <c r="G84">
        <v>35</v>
      </c>
      <c r="H84" s="66" t="s">
        <v>30</v>
      </c>
    </row>
    <row r="85" spans="1:8" x14ac:dyDescent="0.3">
      <c r="A85" s="64">
        <v>44200</v>
      </c>
      <c r="B85" t="s">
        <v>34</v>
      </c>
      <c r="C85">
        <v>11</v>
      </c>
      <c r="D85">
        <v>1</v>
      </c>
      <c r="E85">
        <v>-1</v>
      </c>
      <c r="F85">
        <v>50</v>
      </c>
      <c r="G85">
        <v>35</v>
      </c>
      <c r="H85" s="66" t="s">
        <v>34</v>
      </c>
    </row>
    <row r="86" spans="1:8" x14ac:dyDescent="0.3">
      <c r="A86" s="64">
        <v>44203</v>
      </c>
      <c r="B86" t="s">
        <v>30</v>
      </c>
      <c r="C86">
        <v>14</v>
      </c>
      <c r="D86">
        <v>6</v>
      </c>
      <c r="E86">
        <v>2</v>
      </c>
      <c r="F86">
        <v>50</v>
      </c>
      <c r="G86">
        <v>35</v>
      </c>
      <c r="H86" s="66" t="s">
        <v>30</v>
      </c>
    </row>
    <row r="87" spans="1:8" x14ac:dyDescent="0.3">
      <c r="A87" s="64">
        <v>44203</v>
      </c>
      <c r="B87" t="s">
        <v>34</v>
      </c>
      <c r="C87">
        <v>13</v>
      </c>
      <c r="D87">
        <v>4</v>
      </c>
      <c r="E87">
        <v>2</v>
      </c>
      <c r="F87">
        <v>50</v>
      </c>
      <c r="G87">
        <v>35</v>
      </c>
      <c r="H87" s="66" t="s">
        <v>34</v>
      </c>
    </row>
    <row r="88" spans="1:8" x14ac:dyDescent="0.3">
      <c r="A88" s="64">
        <v>44207</v>
      </c>
      <c r="B88" t="s">
        <v>30</v>
      </c>
      <c r="C88">
        <v>14</v>
      </c>
      <c r="D88">
        <v>3</v>
      </c>
      <c r="E88">
        <v>1</v>
      </c>
      <c r="F88">
        <v>50</v>
      </c>
      <c r="G88">
        <v>35</v>
      </c>
      <c r="H88" s="66" t="s">
        <v>30</v>
      </c>
    </row>
    <row r="89" spans="1:8" x14ac:dyDescent="0.3">
      <c r="A89" s="64">
        <v>44207</v>
      </c>
      <c r="B89" t="s">
        <v>34</v>
      </c>
      <c r="C89">
        <v>8</v>
      </c>
      <c r="D89">
        <v>3</v>
      </c>
      <c r="E89">
        <v>2</v>
      </c>
      <c r="F89">
        <v>50</v>
      </c>
      <c r="G89">
        <v>35</v>
      </c>
      <c r="H89" s="66" t="s">
        <v>34</v>
      </c>
    </row>
    <row r="90" spans="1:8" x14ac:dyDescent="0.3">
      <c r="A90" s="64">
        <v>44211</v>
      </c>
      <c r="B90" t="s">
        <v>30</v>
      </c>
      <c r="C90">
        <v>17</v>
      </c>
      <c r="D90">
        <v>2</v>
      </c>
      <c r="E90">
        <v>1</v>
      </c>
      <c r="F90">
        <v>50</v>
      </c>
      <c r="G90">
        <v>35</v>
      </c>
      <c r="H90" s="66" t="s">
        <v>30</v>
      </c>
    </row>
    <row r="91" spans="1:8" x14ac:dyDescent="0.3">
      <c r="A91" s="64">
        <v>44211</v>
      </c>
      <c r="B91" t="s">
        <v>34</v>
      </c>
      <c r="C91">
        <v>13</v>
      </c>
      <c r="D91">
        <v>5</v>
      </c>
      <c r="E91">
        <v>3</v>
      </c>
      <c r="F91">
        <v>50</v>
      </c>
      <c r="G91">
        <v>35</v>
      </c>
      <c r="H91" s="66" t="s">
        <v>34</v>
      </c>
    </row>
    <row r="92" spans="1:8" x14ac:dyDescent="0.3">
      <c r="A92" s="64">
        <v>44215</v>
      </c>
      <c r="B92" t="s">
        <v>30</v>
      </c>
      <c r="C92">
        <v>6</v>
      </c>
      <c r="D92">
        <v>1</v>
      </c>
      <c r="E92">
        <v>-1</v>
      </c>
      <c r="F92">
        <v>50</v>
      </c>
      <c r="G92">
        <v>35</v>
      </c>
      <c r="H92" s="66" t="s">
        <v>30</v>
      </c>
    </row>
    <row r="93" spans="1:8" x14ac:dyDescent="0.3">
      <c r="A93" s="64">
        <v>44215</v>
      </c>
      <c r="B93" t="s">
        <v>34</v>
      </c>
      <c r="C93">
        <v>9</v>
      </c>
      <c r="D93">
        <v>4</v>
      </c>
      <c r="E93">
        <v>3</v>
      </c>
      <c r="F93">
        <v>50</v>
      </c>
      <c r="G93">
        <v>35</v>
      </c>
      <c r="H93" s="66" t="s">
        <v>34</v>
      </c>
    </row>
    <row r="94" spans="1:8" x14ac:dyDescent="0.3">
      <c r="A94" s="64">
        <v>44218</v>
      </c>
      <c r="B94" t="s">
        <v>30</v>
      </c>
      <c r="C94">
        <v>16</v>
      </c>
      <c r="D94">
        <v>3</v>
      </c>
      <c r="E94">
        <v>2</v>
      </c>
      <c r="F94">
        <v>50</v>
      </c>
      <c r="G94">
        <v>35</v>
      </c>
      <c r="H94" s="66" t="s">
        <v>30</v>
      </c>
    </row>
    <row r="95" spans="1:8" x14ac:dyDescent="0.3">
      <c r="A95" s="64">
        <v>44218</v>
      </c>
      <c r="B95" t="s">
        <v>34</v>
      </c>
      <c r="C95">
        <v>14</v>
      </c>
      <c r="D95">
        <v>3</v>
      </c>
      <c r="E95">
        <v>0</v>
      </c>
      <c r="F95">
        <v>50</v>
      </c>
      <c r="G95">
        <v>35</v>
      </c>
      <c r="H95" s="66" t="s">
        <v>34</v>
      </c>
    </row>
    <row r="96" spans="1:8" x14ac:dyDescent="0.3">
      <c r="A96" s="64">
        <v>44223</v>
      </c>
      <c r="B96" t="s">
        <v>30</v>
      </c>
      <c r="C96">
        <v>22</v>
      </c>
      <c r="D96">
        <v>0</v>
      </c>
      <c r="E96">
        <v>0</v>
      </c>
      <c r="F96">
        <v>50</v>
      </c>
      <c r="G96">
        <v>35</v>
      </c>
      <c r="H96" s="66" t="s">
        <v>30</v>
      </c>
    </row>
    <row r="97" spans="1:8" x14ac:dyDescent="0.3">
      <c r="A97" s="64">
        <v>44223</v>
      </c>
      <c r="B97" t="s">
        <v>34</v>
      </c>
      <c r="C97">
        <v>5</v>
      </c>
      <c r="D97">
        <v>3</v>
      </c>
      <c r="E97">
        <v>2</v>
      </c>
      <c r="F97">
        <v>50</v>
      </c>
      <c r="G97">
        <v>35</v>
      </c>
      <c r="H97" s="66" t="s">
        <v>34</v>
      </c>
    </row>
    <row r="98" spans="1:8" x14ac:dyDescent="0.3">
      <c r="A98" s="64">
        <v>44227</v>
      </c>
      <c r="B98" t="s">
        <v>30</v>
      </c>
      <c r="C98">
        <v>17</v>
      </c>
      <c r="D98">
        <v>8</v>
      </c>
      <c r="E98">
        <v>0</v>
      </c>
      <c r="F98">
        <v>50</v>
      </c>
      <c r="G98">
        <v>35</v>
      </c>
      <c r="H98" s="66" t="s">
        <v>30</v>
      </c>
    </row>
    <row r="99" spans="1:8" x14ac:dyDescent="0.3">
      <c r="A99" s="64">
        <v>44227</v>
      </c>
      <c r="B99" t="s">
        <v>34</v>
      </c>
      <c r="C99">
        <v>2</v>
      </c>
      <c r="D99">
        <v>4</v>
      </c>
      <c r="E99">
        <v>-1</v>
      </c>
      <c r="F99">
        <v>50</v>
      </c>
      <c r="G99">
        <v>35</v>
      </c>
      <c r="H99" s="66" t="s">
        <v>34</v>
      </c>
    </row>
    <row r="100" spans="1:8" x14ac:dyDescent="0.3">
      <c r="A100" s="64">
        <v>44230</v>
      </c>
      <c r="B100" t="s">
        <v>30</v>
      </c>
      <c r="C100">
        <v>13</v>
      </c>
      <c r="D100">
        <v>1</v>
      </c>
      <c r="E100">
        <v>0</v>
      </c>
      <c r="F100">
        <v>50</v>
      </c>
      <c r="G100">
        <v>35</v>
      </c>
      <c r="H100" s="66" t="s">
        <v>30</v>
      </c>
    </row>
    <row r="101" spans="1:8" x14ac:dyDescent="0.3">
      <c r="A101" s="64">
        <v>44230</v>
      </c>
      <c r="B101" t="s">
        <v>34</v>
      </c>
      <c r="C101">
        <v>1</v>
      </c>
      <c r="D101">
        <v>0</v>
      </c>
      <c r="E101">
        <v>0</v>
      </c>
      <c r="F101">
        <v>50</v>
      </c>
      <c r="G101">
        <v>35</v>
      </c>
      <c r="H101" s="66" t="s">
        <v>34</v>
      </c>
    </row>
    <row r="102" spans="1:8" x14ac:dyDescent="0.3">
      <c r="A102" s="64">
        <v>44234</v>
      </c>
      <c r="B102" t="s">
        <v>30</v>
      </c>
      <c r="C102">
        <v>18</v>
      </c>
      <c r="D102">
        <v>4</v>
      </c>
      <c r="E102">
        <v>3</v>
      </c>
      <c r="F102">
        <v>50</v>
      </c>
      <c r="G102">
        <v>35</v>
      </c>
      <c r="H102" s="66" t="s">
        <v>56</v>
      </c>
    </row>
    <row r="103" spans="1:8" x14ac:dyDescent="0.3">
      <c r="A103" s="64">
        <v>44234</v>
      </c>
      <c r="B103" t="s">
        <v>34</v>
      </c>
      <c r="C103">
        <v>5</v>
      </c>
      <c r="D103">
        <v>1</v>
      </c>
      <c r="E103">
        <v>0</v>
      </c>
      <c r="F103">
        <v>50</v>
      </c>
      <c r="G103">
        <v>35</v>
      </c>
      <c r="H103" s="66" t="s">
        <v>58</v>
      </c>
    </row>
    <row r="104" spans="1:8" x14ac:dyDescent="0.3">
      <c r="A104" s="64">
        <v>44236</v>
      </c>
      <c r="B104" t="s">
        <v>30</v>
      </c>
      <c r="C104">
        <v>27</v>
      </c>
      <c r="D104">
        <v>2</v>
      </c>
      <c r="E104">
        <v>0</v>
      </c>
      <c r="F104">
        <v>50</v>
      </c>
      <c r="G104">
        <v>35</v>
      </c>
      <c r="H104" s="66" t="s">
        <v>59</v>
      </c>
    </row>
    <row r="105" spans="1:8" x14ac:dyDescent="0.3">
      <c r="A105" s="64">
        <v>44244</v>
      </c>
      <c r="B105" t="s">
        <v>34</v>
      </c>
      <c r="C105">
        <v>224</v>
      </c>
      <c r="D105">
        <v>119</v>
      </c>
      <c r="E105">
        <v>33</v>
      </c>
      <c r="F105">
        <v>50</v>
      </c>
      <c r="G105">
        <v>35</v>
      </c>
      <c r="H105" s="66" t="s">
        <v>63</v>
      </c>
    </row>
    <row r="106" spans="1:8" x14ac:dyDescent="0.3">
      <c r="A106" s="64">
        <v>44244</v>
      </c>
      <c r="B106" t="s">
        <v>34</v>
      </c>
      <c r="C106">
        <v>12</v>
      </c>
      <c r="D106">
        <v>4</v>
      </c>
      <c r="E106">
        <v>1</v>
      </c>
      <c r="F106">
        <v>50</v>
      </c>
      <c r="G106">
        <v>35</v>
      </c>
      <c r="H106" s="66" t="s">
        <v>58</v>
      </c>
    </row>
    <row r="107" spans="1:8" x14ac:dyDescent="0.3">
      <c r="A107" s="64">
        <v>44244</v>
      </c>
      <c r="B107" t="s">
        <v>34</v>
      </c>
      <c r="C107">
        <v>83</v>
      </c>
      <c r="D107">
        <v>15</v>
      </c>
      <c r="E107">
        <v>8</v>
      </c>
      <c r="F107">
        <v>50</v>
      </c>
      <c r="G107">
        <v>35</v>
      </c>
      <c r="H107" s="66" t="s">
        <v>58</v>
      </c>
    </row>
    <row r="108" spans="1:8" ht="86.4" x14ac:dyDescent="0.3">
      <c r="A108" s="64">
        <v>44246</v>
      </c>
      <c r="B108" t="s">
        <v>30</v>
      </c>
      <c r="C108">
        <v>8</v>
      </c>
      <c r="D108">
        <v>2</v>
      </c>
      <c r="E108">
        <v>1</v>
      </c>
      <c r="F108">
        <v>50</v>
      </c>
      <c r="G108">
        <v>35</v>
      </c>
      <c r="H108" s="65" t="s">
        <v>67</v>
      </c>
    </row>
    <row r="109" spans="1:8" x14ac:dyDescent="0.3">
      <c r="A109" s="64">
        <v>44246</v>
      </c>
      <c r="B109" t="s">
        <v>34</v>
      </c>
      <c r="C109">
        <v>8</v>
      </c>
      <c r="D109">
        <v>3</v>
      </c>
      <c r="E109">
        <v>3</v>
      </c>
      <c r="F109">
        <v>50</v>
      </c>
      <c r="G109">
        <v>35</v>
      </c>
      <c r="H109" s="66" t="s">
        <v>58</v>
      </c>
    </row>
    <row r="110" spans="1:8" x14ac:dyDescent="0.3">
      <c r="A110" s="64">
        <v>44249</v>
      </c>
      <c r="B110" t="s">
        <v>34</v>
      </c>
      <c r="C110">
        <v>75</v>
      </c>
      <c r="D110">
        <v>18</v>
      </c>
      <c r="E110">
        <v>9</v>
      </c>
      <c r="F110">
        <v>50</v>
      </c>
      <c r="G110">
        <v>35</v>
      </c>
      <c r="H110" s="66" t="s">
        <v>58</v>
      </c>
    </row>
    <row r="111" spans="1:8" x14ac:dyDescent="0.3">
      <c r="A111" s="64">
        <v>44249</v>
      </c>
      <c r="B111" t="s">
        <v>30</v>
      </c>
      <c r="C111">
        <v>9</v>
      </c>
      <c r="D111">
        <v>3</v>
      </c>
      <c r="E111">
        <v>4</v>
      </c>
      <c r="F111">
        <v>50</v>
      </c>
      <c r="G111">
        <v>35</v>
      </c>
      <c r="H111" s="66" t="s">
        <v>70</v>
      </c>
    </row>
    <row r="112" spans="1:8" x14ac:dyDescent="0.3">
      <c r="A112" s="64">
        <v>44249</v>
      </c>
      <c r="B112" t="s">
        <v>30</v>
      </c>
      <c r="C112">
        <v>-1</v>
      </c>
      <c r="D112">
        <v>0</v>
      </c>
      <c r="E112">
        <v>0</v>
      </c>
      <c r="F112">
        <v>50</v>
      </c>
      <c r="G112">
        <v>35</v>
      </c>
      <c r="H112" s="66" t="s">
        <v>72</v>
      </c>
    </row>
    <row r="113" spans="1:8" x14ac:dyDescent="0.3">
      <c r="A113" s="64">
        <v>44249</v>
      </c>
      <c r="B113" t="s">
        <v>34</v>
      </c>
      <c r="C113">
        <v>4</v>
      </c>
      <c r="D113">
        <v>2</v>
      </c>
      <c r="E113">
        <v>1</v>
      </c>
      <c r="F113">
        <v>50</v>
      </c>
      <c r="G113">
        <v>35</v>
      </c>
      <c r="H113" s="66" t="s">
        <v>74</v>
      </c>
    </row>
    <row r="114" spans="1:8" x14ac:dyDescent="0.3">
      <c r="A114" s="64">
        <v>44251</v>
      </c>
      <c r="B114" t="s">
        <v>34</v>
      </c>
      <c r="C114">
        <v>11</v>
      </c>
      <c r="D114">
        <v>6</v>
      </c>
      <c r="E114">
        <v>2</v>
      </c>
      <c r="F114">
        <v>50</v>
      </c>
      <c r="G114">
        <v>35</v>
      </c>
      <c r="H114" s="66" t="s">
        <v>74</v>
      </c>
    </row>
    <row r="115" spans="1:8" x14ac:dyDescent="0.3">
      <c r="A115" s="64">
        <v>44251</v>
      </c>
      <c r="B115" t="s">
        <v>34</v>
      </c>
      <c r="C115">
        <v>563</v>
      </c>
      <c r="D115">
        <v>244</v>
      </c>
      <c r="E115">
        <v>139</v>
      </c>
      <c r="F115">
        <v>50</v>
      </c>
      <c r="G115">
        <v>35</v>
      </c>
      <c r="H115" s="66" t="s">
        <v>76</v>
      </c>
    </row>
    <row r="116" spans="1:8" x14ac:dyDescent="0.3">
      <c r="A116" s="64">
        <v>44251</v>
      </c>
      <c r="B116" t="s">
        <v>30</v>
      </c>
      <c r="C116">
        <v>9</v>
      </c>
      <c r="D116">
        <v>1</v>
      </c>
      <c r="E116">
        <v>1</v>
      </c>
      <c r="F116">
        <v>50</v>
      </c>
      <c r="G116">
        <v>35</v>
      </c>
      <c r="H116" s="66" t="s">
        <v>78</v>
      </c>
    </row>
    <row r="117" spans="1:8" x14ac:dyDescent="0.3">
      <c r="A117" s="64">
        <v>44252</v>
      </c>
      <c r="B117" t="s">
        <v>34</v>
      </c>
      <c r="C117">
        <v>78</v>
      </c>
      <c r="D117">
        <v>24</v>
      </c>
      <c r="E117">
        <v>10</v>
      </c>
      <c r="F117">
        <v>50</v>
      </c>
      <c r="G117">
        <v>35</v>
      </c>
      <c r="H117" s="66" t="s">
        <v>34</v>
      </c>
    </row>
    <row r="118" spans="1:8" x14ac:dyDescent="0.3">
      <c r="A118" s="64">
        <v>44252</v>
      </c>
      <c r="B118" t="s">
        <v>30</v>
      </c>
      <c r="C118">
        <v>3</v>
      </c>
      <c r="D118">
        <v>1</v>
      </c>
      <c r="E118">
        <v>1</v>
      </c>
      <c r="F118">
        <v>50</v>
      </c>
      <c r="G118">
        <v>35</v>
      </c>
      <c r="H118" s="66" t="s">
        <v>81</v>
      </c>
    </row>
    <row r="119" spans="1:8" x14ac:dyDescent="0.3">
      <c r="A119" s="64">
        <v>44252</v>
      </c>
      <c r="B119" t="s">
        <v>34</v>
      </c>
      <c r="C119">
        <v>87</v>
      </c>
      <c r="D119">
        <v>27</v>
      </c>
      <c r="E119">
        <v>12</v>
      </c>
      <c r="F119">
        <v>50</v>
      </c>
      <c r="G119">
        <v>35</v>
      </c>
      <c r="H119" s="66" t="s">
        <v>34</v>
      </c>
    </row>
    <row r="120" spans="1:8" x14ac:dyDescent="0.3">
      <c r="A120" s="64">
        <v>44252</v>
      </c>
      <c r="B120" t="s">
        <v>30</v>
      </c>
      <c r="C120">
        <v>29</v>
      </c>
      <c r="D120">
        <v>9</v>
      </c>
      <c r="E120">
        <v>2</v>
      </c>
      <c r="F120">
        <v>50</v>
      </c>
      <c r="G120">
        <v>35</v>
      </c>
      <c r="H120" s="66" t="s">
        <v>84</v>
      </c>
    </row>
    <row r="121" spans="1:8" x14ac:dyDescent="0.3">
      <c r="A121" s="64">
        <v>44252</v>
      </c>
      <c r="B121" t="s">
        <v>30</v>
      </c>
      <c r="C121">
        <v>3</v>
      </c>
      <c r="D121">
        <v>1</v>
      </c>
      <c r="E121">
        <v>0</v>
      </c>
      <c r="F121">
        <v>50</v>
      </c>
      <c r="G121">
        <v>35</v>
      </c>
      <c r="H121" s="66" t="s">
        <v>86</v>
      </c>
    </row>
    <row r="122" spans="1:8" x14ac:dyDescent="0.3">
      <c r="A122" s="64">
        <v>44253</v>
      </c>
      <c r="B122" t="s">
        <v>30</v>
      </c>
      <c r="C122">
        <v>29</v>
      </c>
      <c r="D122">
        <v>4</v>
      </c>
      <c r="E122">
        <v>0</v>
      </c>
      <c r="F122">
        <v>50</v>
      </c>
      <c r="G122">
        <v>35</v>
      </c>
      <c r="H122" s="66" t="s">
        <v>81</v>
      </c>
    </row>
    <row r="123" spans="1:8" x14ac:dyDescent="0.3">
      <c r="A123" s="64">
        <v>44253</v>
      </c>
      <c r="B123" t="s">
        <v>34</v>
      </c>
      <c r="C123">
        <v>9</v>
      </c>
      <c r="D123">
        <v>2</v>
      </c>
      <c r="E123">
        <v>1</v>
      </c>
      <c r="F123">
        <v>50</v>
      </c>
      <c r="G123">
        <v>35</v>
      </c>
      <c r="H123" s="66" t="s">
        <v>34</v>
      </c>
    </row>
    <row r="124" spans="1:8" x14ac:dyDescent="0.3">
      <c r="A124" s="64">
        <v>44254</v>
      </c>
      <c r="B124" t="s">
        <v>30</v>
      </c>
      <c r="C124">
        <v>2</v>
      </c>
      <c r="D124">
        <v>0</v>
      </c>
      <c r="E124">
        <v>0</v>
      </c>
      <c r="F124">
        <v>50</v>
      </c>
      <c r="G124">
        <v>35</v>
      </c>
      <c r="H124" s="66" t="s">
        <v>81</v>
      </c>
    </row>
    <row r="125" spans="1:8" x14ac:dyDescent="0.3">
      <c r="A125" s="64">
        <v>44254</v>
      </c>
      <c r="B125" t="s">
        <v>34</v>
      </c>
      <c r="C125">
        <v>0</v>
      </c>
      <c r="D125">
        <v>0</v>
      </c>
      <c r="E125">
        <v>2</v>
      </c>
      <c r="F125">
        <v>50</v>
      </c>
      <c r="G125">
        <v>35</v>
      </c>
      <c r="H125" s="66" t="s">
        <v>34</v>
      </c>
    </row>
    <row r="126" spans="1:8" x14ac:dyDescent="0.3">
      <c r="A126" s="64">
        <v>44256</v>
      </c>
      <c r="B126" t="s">
        <v>30</v>
      </c>
      <c r="C126">
        <v>13</v>
      </c>
      <c r="D126">
        <v>1</v>
      </c>
      <c r="E126">
        <v>0</v>
      </c>
      <c r="F126">
        <v>50</v>
      </c>
      <c r="G126">
        <v>35</v>
      </c>
      <c r="H126" s="66" t="s">
        <v>81</v>
      </c>
    </row>
    <row r="127" spans="1:8" x14ac:dyDescent="0.3">
      <c r="A127" s="64">
        <v>44256</v>
      </c>
      <c r="B127" t="s">
        <v>34</v>
      </c>
      <c r="C127">
        <v>2</v>
      </c>
      <c r="D127">
        <v>2</v>
      </c>
      <c r="E127">
        <v>1</v>
      </c>
      <c r="F127">
        <v>50</v>
      </c>
      <c r="G127">
        <v>35</v>
      </c>
      <c r="H127" s="66" t="s">
        <v>34</v>
      </c>
    </row>
    <row r="128" spans="1:8" x14ac:dyDescent="0.3">
      <c r="A128" s="64">
        <v>44258</v>
      </c>
      <c r="B128" t="s">
        <v>30</v>
      </c>
      <c r="C128">
        <v>24</v>
      </c>
      <c r="D128">
        <v>6</v>
      </c>
      <c r="E128">
        <v>4</v>
      </c>
      <c r="F128">
        <v>50</v>
      </c>
      <c r="G128">
        <v>35</v>
      </c>
      <c r="H128" s="66" t="s">
        <v>81</v>
      </c>
    </row>
    <row r="129" spans="1:8" x14ac:dyDescent="0.3">
      <c r="A129" s="64">
        <v>44258</v>
      </c>
      <c r="B129" t="s">
        <v>34</v>
      </c>
      <c r="C129">
        <v>10</v>
      </c>
      <c r="D129">
        <v>4</v>
      </c>
      <c r="E129">
        <v>3</v>
      </c>
      <c r="F129">
        <v>50</v>
      </c>
      <c r="G129">
        <v>35</v>
      </c>
      <c r="H129" s="66" t="s">
        <v>34</v>
      </c>
    </row>
    <row r="130" spans="1:8" x14ac:dyDescent="0.3">
      <c r="A130" s="64">
        <v>44258</v>
      </c>
      <c r="B130" t="s">
        <v>30</v>
      </c>
      <c r="C130">
        <v>31</v>
      </c>
      <c r="D130">
        <v>10</v>
      </c>
      <c r="E130">
        <v>5</v>
      </c>
      <c r="F130">
        <v>50</v>
      </c>
      <c r="G130">
        <v>35</v>
      </c>
      <c r="H130" s="66" t="s">
        <v>90</v>
      </c>
    </row>
    <row r="131" spans="1:8" x14ac:dyDescent="0.3">
      <c r="A131" s="64">
        <v>44258</v>
      </c>
      <c r="B131" t="s">
        <v>34</v>
      </c>
      <c r="C131">
        <v>29</v>
      </c>
      <c r="D131">
        <v>9</v>
      </c>
      <c r="E131">
        <v>2</v>
      </c>
      <c r="F131">
        <v>50</v>
      </c>
      <c r="G131">
        <v>35</v>
      </c>
      <c r="H131" s="66" t="s">
        <v>92</v>
      </c>
    </row>
    <row r="132" spans="1:8" x14ac:dyDescent="0.3">
      <c r="A132" s="64">
        <v>44262</v>
      </c>
      <c r="B132" t="s">
        <v>30</v>
      </c>
      <c r="C132">
        <v>15</v>
      </c>
      <c r="D132">
        <v>2</v>
      </c>
      <c r="E132">
        <v>1</v>
      </c>
      <c r="F132">
        <v>50</v>
      </c>
      <c r="G132">
        <v>35</v>
      </c>
      <c r="H132" s="66" t="s">
        <v>81</v>
      </c>
    </row>
    <row r="133" spans="1:8" x14ac:dyDescent="0.3">
      <c r="A133" s="64">
        <v>44262</v>
      </c>
      <c r="B133" t="s">
        <v>34</v>
      </c>
      <c r="C133">
        <v>22</v>
      </c>
      <c r="D133">
        <v>9</v>
      </c>
      <c r="E133">
        <v>4</v>
      </c>
      <c r="F133">
        <v>50</v>
      </c>
      <c r="G133">
        <v>35</v>
      </c>
      <c r="H133" s="66" t="s">
        <v>34</v>
      </c>
    </row>
    <row r="134" spans="1:8" x14ac:dyDescent="0.3">
      <c r="A134" s="64">
        <v>44263</v>
      </c>
      <c r="B134" t="s">
        <v>30</v>
      </c>
      <c r="C134">
        <v>7</v>
      </c>
      <c r="D134">
        <v>1</v>
      </c>
      <c r="E134">
        <v>1</v>
      </c>
      <c r="F134">
        <v>50</v>
      </c>
      <c r="G134">
        <v>35</v>
      </c>
      <c r="H134" s="66" t="s">
        <v>81</v>
      </c>
    </row>
    <row r="135" spans="1:8" x14ac:dyDescent="0.3">
      <c r="A135" s="64">
        <v>44263</v>
      </c>
      <c r="B135" t="s">
        <v>34</v>
      </c>
      <c r="C135">
        <v>25</v>
      </c>
      <c r="D135">
        <v>6</v>
      </c>
      <c r="E135">
        <v>1</v>
      </c>
      <c r="F135">
        <v>50</v>
      </c>
      <c r="G135">
        <v>35</v>
      </c>
      <c r="H135" s="66" t="s">
        <v>34</v>
      </c>
    </row>
    <row r="136" spans="1:8" x14ac:dyDescent="0.3">
      <c r="A136" s="64">
        <v>44265</v>
      </c>
      <c r="B136" t="s">
        <v>30</v>
      </c>
      <c r="C136">
        <v>7</v>
      </c>
      <c r="D136">
        <v>3</v>
      </c>
      <c r="E136">
        <v>4</v>
      </c>
      <c r="F136">
        <v>50</v>
      </c>
      <c r="G136">
        <v>35</v>
      </c>
      <c r="H136" s="66" t="s">
        <v>81</v>
      </c>
    </row>
    <row r="137" spans="1:8" x14ac:dyDescent="0.3">
      <c r="A137" s="64">
        <v>44265</v>
      </c>
      <c r="B137" t="s">
        <v>34</v>
      </c>
      <c r="C137">
        <v>12</v>
      </c>
      <c r="D137">
        <v>2</v>
      </c>
      <c r="E137">
        <v>2</v>
      </c>
      <c r="F137">
        <v>50</v>
      </c>
      <c r="G137">
        <v>35</v>
      </c>
      <c r="H137" s="66" t="s">
        <v>34</v>
      </c>
    </row>
    <row r="138" spans="1:8" x14ac:dyDescent="0.3">
      <c r="A138" s="64">
        <v>44267</v>
      </c>
      <c r="B138" t="s">
        <v>30</v>
      </c>
      <c r="C138">
        <v>55</v>
      </c>
      <c r="D138">
        <v>18</v>
      </c>
      <c r="E138">
        <v>9</v>
      </c>
      <c r="F138">
        <v>50</v>
      </c>
      <c r="G138">
        <v>35</v>
      </c>
      <c r="H138" s="66" t="s">
        <v>81</v>
      </c>
    </row>
    <row r="139" spans="1:8" x14ac:dyDescent="0.3">
      <c r="A139" s="64">
        <v>44267</v>
      </c>
      <c r="B139" t="s">
        <v>34</v>
      </c>
      <c r="C139">
        <v>4</v>
      </c>
      <c r="D139">
        <v>1</v>
      </c>
      <c r="E139">
        <v>0</v>
      </c>
      <c r="F139">
        <v>50</v>
      </c>
      <c r="G139">
        <v>35</v>
      </c>
      <c r="H139" s="66" t="s">
        <v>34</v>
      </c>
    </row>
    <row r="140" spans="1:8" x14ac:dyDescent="0.3">
      <c r="A140" s="64">
        <v>44267</v>
      </c>
      <c r="B140" t="s">
        <v>30</v>
      </c>
      <c r="C140">
        <v>4</v>
      </c>
      <c r="D140">
        <v>2</v>
      </c>
      <c r="E140">
        <v>1</v>
      </c>
      <c r="F140">
        <v>50</v>
      </c>
      <c r="G140">
        <v>35</v>
      </c>
      <c r="H140" s="66" t="s">
        <v>97</v>
      </c>
    </row>
    <row r="141" spans="1:8" x14ac:dyDescent="0.3">
      <c r="A141" s="64">
        <v>44267</v>
      </c>
      <c r="B141" t="s">
        <v>34</v>
      </c>
      <c r="C141">
        <v>10</v>
      </c>
      <c r="D141">
        <v>2</v>
      </c>
      <c r="E141">
        <v>0</v>
      </c>
      <c r="F141">
        <v>50</v>
      </c>
      <c r="G141">
        <v>35</v>
      </c>
      <c r="H141" s="66" t="s">
        <v>98</v>
      </c>
    </row>
    <row r="142" spans="1:8" x14ac:dyDescent="0.3">
      <c r="A142" s="64">
        <v>44268</v>
      </c>
      <c r="B142" t="s">
        <v>30</v>
      </c>
      <c r="C142">
        <v>12</v>
      </c>
      <c r="D142">
        <v>2</v>
      </c>
      <c r="E142">
        <v>1</v>
      </c>
      <c r="F142">
        <v>50</v>
      </c>
      <c r="G142">
        <v>35</v>
      </c>
      <c r="H142" s="66" t="s">
        <v>81</v>
      </c>
    </row>
    <row r="143" spans="1:8" x14ac:dyDescent="0.3">
      <c r="A143" s="64">
        <v>44270</v>
      </c>
      <c r="B143" t="s">
        <v>30</v>
      </c>
      <c r="C143">
        <v>7</v>
      </c>
      <c r="D143">
        <v>1</v>
      </c>
      <c r="E143">
        <v>0</v>
      </c>
      <c r="F143">
        <v>50</v>
      </c>
      <c r="G143">
        <v>35</v>
      </c>
      <c r="H143" s="66" t="s">
        <v>81</v>
      </c>
    </row>
    <row r="144" spans="1:8" x14ac:dyDescent="0.3">
      <c r="A144" s="64">
        <v>44270</v>
      </c>
      <c r="B144" t="s">
        <v>34</v>
      </c>
      <c r="C144">
        <v>36</v>
      </c>
      <c r="D144">
        <v>8</v>
      </c>
      <c r="E144">
        <v>4</v>
      </c>
      <c r="F144">
        <v>50</v>
      </c>
      <c r="G144">
        <v>35</v>
      </c>
      <c r="H144" s="66" t="s">
        <v>34</v>
      </c>
    </row>
    <row r="145" spans="1:8" x14ac:dyDescent="0.3">
      <c r="A145" s="64">
        <v>44270</v>
      </c>
      <c r="B145" t="s">
        <v>34</v>
      </c>
      <c r="C145">
        <v>18</v>
      </c>
      <c r="D145">
        <v>8</v>
      </c>
      <c r="E145">
        <v>0</v>
      </c>
      <c r="F145">
        <v>50</v>
      </c>
      <c r="G145">
        <v>35</v>
      </c>
      <c r="H145" s="66" t="s">
        <v>99</v>
      </c>
    </row>
    <row r="146" spans="1:8" x14ac:dyDescent="0.3">
      <c r="A146" s="64">
        <v>44271</v>
      </c>
      <c r="B146" t="s">
        <v>34</v>
      </c>
      <c r="C146">
        <v>-4</v>
      </c>
      <c r="D146">
        <v>-2</v>
      </c>
      <c r="E146">
        <v>0</v>
      </c>
      <c r="F146">
        <v>50</v>
      </c>
      <c r="G146">
        <v>35</v>
      </c>
      <c r="H146" s="66" t="s">
        <v>101</v>
      </c>
    </row>
    <row r="147" spans="1:8" x14ac:dyDescent="0.3">
      <c r="A147" s="64">
        <v>44273</v>
      </c>
      <c r="B147" t="s">
        <v>30</v>
      </c>
      <c r="C147">
        <v>21</v>
      </c>
      <c r="D147">
        <v>10</v>
      </c>
      <c r="E147">
        <v>5</v>
      </c>
      <c r="F147">
        <v>50</v>
      </c>
      <c r="G147">
        <v>35</v>
      </c>
      <c r="H147" s="66" t="s">
        <v>81</v>
      </c>
    </row>
    <row r="148" spans="1:8" x14ac:dyDescent="0.3">
      <c r="A148" s="64">
        <v>44273</v>
      </c>
      <c r="B148" t="s">
        <v>34</v>
      </c>
      <c r="C148">
        <v>27</v>
      </c>
      <c r="D148">
        <v>9</v>
      </c>
      <c r="E148">
        <v>7</v>
      </c>
      <c r="F148">
        <v>50</v>
      </c>
      <c r="G148">
        <v>35</v>
      </c>
      <c r="H148" s="66" t="s">
        <v>34</v>
      </c>
    </row>
    <row r="149" spans="1:8" x14ac:dyDescent="0.3">
      <c r="A149" s="64">
        <v>44273</v>
      </c>
      <c r="B149" t="s">
        <v>30</v>
      </c>
      <c r="C149">
        <v>13</v>
      </c>
      <c r="D149">
        <v>5</v>
      </c>
      <c r="E149">
        <v>1</v>
      </c>
      <c r="F149">
        <v>50</v>
      </c>
      <c r="G149">
        <v>35</v>
      </c>
      <c r="H149" s="66" t="s">
        <v>102</v>
      </c>
    </row>
    <row r="150" spans="1:8" x14ac:dyDescent="0.3">
      <c r="A150" s="64">
        <v>44273</v>
      </c>
      <c r="B150" t="s">
        <v>34</v>
      </c>
      <c r="C150">
        <v>19</v>
      </c>
      <c r="D150">
        <v>7</v>
      </c>
      <c r="E150">
        <v>4</v>
      </c>
      <c r="F150">
        <v>50</v>
      </c>
      <c r="G150">
        <v>35</v>
      </c>
      <c r="H150" s="66" t="s">
        <v>34</v>
      </c>
    </row>
    <row r="151" spans="1:8" x14ac:dyDescent="0.3">
      <c r="A151" s="64">
        <v>44274</v>
      </c>
      <c r="B151" t="s">
        <v>30</v>
      </c>
      <c r="C151">
        <v>32</v>
      </c>
      <c r="D151">
        <v>13</v>
      </c>
      <c r="E151">
        <v>5</v>
      </c>
      <c r="F151">
        <v>50</v>
      </c>
      <c r="G151">
        <v>35</v>
      </c>
      <c r="H151" s="66" t="s">
        <v>81</v>
      </c>
    </row>
    <row r="152" spans="1:8" x14ac:dyDescent="0.3">
      <c r="A152" s="64">
        <v>44274</v>
      </c>
      <c r="B152" t="s">
        <v>34</v>
      </c>
      <c r="C152">
        <v>9</v>
      </c>
      <c r="D152">
        <v>2</v>
      </c>
      <c r="E152">
        <v>1</v>
      </c>
      <c r="F152">
        <v>50</v>
      </c>
      <c r="G152">
        <v>35</v>
      </c>
      <c r="H152" s="66" t="s">
        <v>34</v>
      </c>
    </row>
    <row r="153" spans="1:8" x14ac:dyDescent="0.3">
      <c r="A153" s="64">
        <v>44278</v>
      </c>
      <c r="B153" t="s">
        <v>30</v>
      </c>
      <c r="C153">
        <v>90</v>
      </c>
      <c r="D153">
        <v>42</v>
      </c>
      <c r="E153">
        <v>24</v>
      </c>
      <c r="F153">
        <v>50</v>
      </c>
      <c r="G153">
        <v>35</v>
      </c>
      <c r="H153" s="66" t="s">
        <v>103</v>
      </c>
    </row>
    <row r="154" spans="1:8" x14ac:dyDescent="0.3">
      <c r="A154" s="64">
        <v>44278</v>
      </c>
      <c r="B154" t="s">
        <v>34</v>
      </c>
      <c r="C154">
        <v>2732</v>
      </c>
      <c r="D154">
        <v>500</v>
      </c>
      <c r="E154">
        <v>250</v>
      </c>
      <c r="F154">
        <v>50</v>
      </c>
      <c r="G154">
        <v>35</v>
      </c>
      <c r="H154" s="66" t="s">
        <v>104</v>
      </c>
    </row>
    <row r="155" spans="1:8" x14ac:dyDescent="0.3">
      <c r="A155" s="64">
        <v>44278</v>
      </c>
      <c r="B155" t="s">
        <v>30</v>
      </c>
      <c r="C155">
        <v>0</v>
      </c>
      <c r="D155">
        <v>0</v>
      </c>
      <c r="E155">
        <v>0</v>
      </c>
      <c r="F155">
        <v>50</v>
      </c>
      <c r="G155">
        <v>35</v>
      </c>
      <c r="H155" s="66" t="s">
        <v>106</v>
      </c>
    </row>
    <row r="156" spans="1:8" x14ac:dyDescent="0.3">
      <c r="A156" s="64">
        <v>44278</v>
      </c>
      <c r="B156" t="s">
        <v>34</v>
      </c>
      <c r="C156">
        <v>31</v>
      </c>
      <c r="D156">
        <v>10</v>
      </c>
      <c r="E156">
        <v>5</v>
      </c>
      <c r="F156">
        <v>50</v>
      </c>
      <c r="G156">
        <v>35</v>
      </c>
      <c r="H156" s="66" t="s">
        <v>107</v>
      </c>
    </row>
    <row r="157" spans="1:8" x14ac:dyDescent="0.3">
      <c r="A157" s="64">
        <v>44279</v>
      </c>
      <c r="B157" t="s">
        <v>30</v>
      </c>
      <c r="C157">
        <v>23</v>
      </c>
      <c r="D157">
        <v>13</v>
      </c>
      <c r="E157">
        <v>7</v>
      </c>
      <c r="F157">
        <v>50</v>
      </c>
      <c r="G157">
        <v>35</v>
      </c>
      <c r="H157" s="66" t="s">
        <v>110</v>
      </c>
    </row>
    <row r="158" spans="1:8" x14ac:dyDescent="0.3">
      <c r="A158" s="64">
        <v>44279</v>
      </c>
      <c r="B158" t="s">
        <v>34</v>
      </c>
      <c r="C158">
        <v>244</v>
      </c>
      <c r="D158">
        <v>62</v>
      </c>
      <c r="E158">
        <v>22</v>
      </c>
      <c r="F158">
        <v>50</v>
      </c>
      <c r="G158">
        <v>35</v>
      </c>
      <c r="H158" s="66" t="s">
        <v>112</v>
      </c>
    </row>
    <row r="159" spans="1:8" x14ac:dyDescent="0.3">
      <c r="A159" s="64">
        <v>44279</v>
      </c>
      <c r="B159" t="s">
        <v>34</v>
      </c>
      <c r="C159">
        <v>39</v>
      </c>
      <c r="D159">
        <v>5</v>
      </c>
      <c r="E159">
        <v>1</v>
      </c>
      <c r="F159">
        <v>50</v>
      </c>
      <c r="G159">
        <v>35</v>
      </c>
      <c r="H159" s="66" t="s">
        <v>113</v>
      </c>
    </row>
    <row r="160" spans="1:8" x14ac:dyDescent="0.3">
      <c r="A160" s="64">
        <v>44279</v>
      </c>
      <c r="B160" t="s">
        <v>30</v>
      </c>
      <c r="C160">
        <v>3</v>
      </c>
      <c r="D160">
        <v>1</v>
      </c>
      <c r="E160">
        <v>1</v>
      </c>
      <c r="F160">
        <v>50</v>
      </c>
      <c r="G160">
        <v>35</v>
      </c>
      <c r="H160" s="66" t="s">
        <v>115</v>
      </c>
    </row>
    <row r="161" spans="1:8" x14ac:dyDescent="0.3">
      <c r="A161" s="64">
        <v>44279</v>
      </c>
      <c r="B161" t="s">
        <v>34</v>
      </c>
      <c r="C161">
        <v>6</v>
      </c>
      <c r="D161">
        <v>3</v>
      </c>
      <c r="E161">
        <v>3</v>
      </c>
      <c r="F161">
        <v>50</v>
      </c>
      <c r="G161">
        <v>35</v>
      </c>
      <c r="H161" s="66" t="s">
        <v>116</v>
      </c>
    </row>
    <row r="162" spans="1:8" x14ac:dyDescent="0.3">
      <c r="A162" s="64">
        <v>44279</v>
      </c>
      <c r="B162" t="s">
        <v>30</v>
      </c>
      <c r="C162">
        <v>4</v>
      </c>
      <c r="D162">
        <v>0</v>
      </c>
      <c r="E162">
        <v>0</v>
      </c>
      <c r="F162">
        <v>50</v>
      </c>
      <c r="G162">
        <v>35</v>
      </c>
      <c r="H162" s="66" t="s">
        <v>118</v>
      </c>
    </row>
    <row r="163" spans="1:8" x14ac:dyDescent="0.3">
      <c r="A163" s="64">
        <v>44279</v>
      </c>
      <c r="B163" t="s">
        <v>34</v>
      </c>
      <c r="C163">
        <v>15</v>
      </c>
      <c r="D163">
        <v>7</v>
      </c>
      <c r="E163">
        <v>3</v>
      </c>
      <c r="F163">
        <v>50</v>
      </c>
      <c r="G163">
        <v>35</v>
      </c>
      <c r="H163" s="66" t="s">
        <v>120</v>
      </c>
    </row>
    <row r="164" spans="1:8" x14ac:dyDescent="0.3">
      <c r="A164" s="64">
        <v>44280</v>
      </c>
      <c r="B164" t="s">
        <v>30</v>
      </c>
      <c r="C164">
        <v>10</v>
      </c>
      <c r="D164">
        <v>4</v>
      </c>
      <c r="E164">
        <v>1</v>
      </c>
      <c r="F164">
        <v>50</v>
      </c>
      <c r="G164">
        <v>35</v>
      </c>
      <c r="H164" s="66" t="s">
        <v>118</v>
      </c>
    </row>
    <row r="165" spans="1:8" x14ac:dyDescent="0.3">
      <c r="A165" s="64">
        <v>44280</v>
      </c>
      <c r="B165" t="s">
        <v>34</v>
      </c>
      <c r="C165">
        <v>23</v>
      </c>
      <c r="D165">
        <v>8</v>
      </c>
      <c r="E165">
        <v>5</v>
      </c>
      <c r="F165">
        <v>50</v>
      </c>
      <c r="G165">
        <v>35</v>
      </c>
      <c r="H165" s="66" t="s">
        <v>146</v>
      </c>
    </row>
    <row r="166" spans="1:8" x14ac:dyDescent="0.3">
      <c r="A166" s="64">
        <v>44281</v>
      </c>
      <c r="B166" t="s">
        <v>30</v>
      </c>
      <c r="C166">
        <v>1</v>
      </c>
      <c r="D166">
        <v>0</v>
      </c>
      <c r="E166">
        <v>0</v>
      </c>
      <c r="F166">
        <v>50</v>
      </c>
      <c r="G166">
        <v>35</v>
      </c>
      <c r="H166" s="66" t="s">
        <v>118</v>
      </c>
    </row>
    <row r="167" spans="1:8" x14ac:dyDescent="0.3">
      <c r="A167" s="64">
        <v>44281</v>
      </c>
      <c r="B167" t="s">
        <v>34</v>
      </c>
      <c r="C167">
        <v>52</v>
      </c>
      <c r="D167">
        <v>30</v>
      </c>
      <c r="E167">
        <v>14</v>
      </c>
      <c r="F167">
        <v>50</v>
      </c>
      <c r="G167">
        <v>35</v>
      </c>
      <c r="H167" s="66" t="s">
        <v>122</v>
      </c>
    </row>
    <row r="168" spans="1:8" x14ac:dyDescent="0.3">
      <c r="A168" s="64">
        <v>44281</v>
      </c>
      <c r="B168" t="s">
        <v>34</v>
      </c>
      <c r="C168">
        <v>35</v>
      </c>
      <c r="D168">
        <v>8</v>
      </c>
      <c r="E168">
        <v>3</v>
      </c>
      <c r="F168">
        <v>50</v>
      </c>
      <c r="G168">
        <v>35</v>
      </c>
      <c r="H168" s="66" t="s">
        <v>120</v>
      </c>
    </row>
    <row r="169" spans="1:8" x14ac:dyDescent="0.3">
      <c r="A169" s="64">
        <v>44281</v>
      </c>
      <c r="B169" t="s">
        <v>34</v>
      </c>
      <c r="C169">
        <v>9</v>
      </c>
      <c r="D169">
        <v>3</v>
      </c>
      <c r="E169">
        <v>2</v>
      </c>
      <c r="F169">
        <v>50</v>
      </c>
      <c r="G169">
        <v>35</v>
      </c>
      <c r="H169" s="66" t="s">
        <v>123</v>
      </c>
    </row>
    <row r="170" spans="1:8" x14ac:dyDescent="0.3">
      <c r="A170" s="64">
        <v>44284</v>
      </c>
      <c r="B170" t="s">
        <v>30</v>
      </c>
      <c r="C170">
        <v>9</v>
      </c>
      <c r="D170">
        <v>0</v>
      </c>
      <c r="E170">
        <v>0</v>
      </c>
      <c r="F170">
        <v>50</v>
      </c>
      <c r="G170">
        <v>35</v>
      </c>
      <c r="H170" s="66" t="s">
        <v>145</v>
      </c>
    </row>
    <row r="171" spans="1:8" x14ac:dyDescent="0.3">
      <c r="A171" s="64">
        <v>44284</v>
      </c>
      <c r="B171" t="s">
        <v>34</v>
      </c>
      <c r="C171">
        <v>17</v>
      </c>
      <c r="D171">
        <v>9</v>
      </c>
      <c r="E171">
        <v>3</v>
      </c>
      <c r="F171">
        <v>50</v>
      </c>
      <c r="G171">
        <v>35</v>
      </c>
      <c r="H171" s="66" t="s">
        <v>34</v>
      </c>
    </row>
    <row r="172" spans="1:8" x14ac:dyDescent="0.3">
      <c r="A172" s="64">
        <v>44288</v>
      </c>
      <c r="B172" t="s">
        <v>34</v>
      </c>
      <c r="C172">
        <v>2</v>
      </c>
      <c r="D172">
        <v>1</v>
      </c>
      <c r="E172">
        <v>0</v>
      </c>
      <c r="F172">
        <v>50</v>
      </c>
      <c r="G172">
        <v>35</v>
      </c>
      <c r="H172" s="66" t="s">
        <v>126</v>
      </c>
    </row>
    <row r="173" spans="1:8" x14ac:dyDescent="0.3">
      <c r="A173" s="64">
        <v>44288</v>
      </c>
      <c r="B173" t="s">
        <v>34</v>
      </c>
      <c r="C173">
        <v>21</v>
      </c>
      <c r="D173">
        <v>2</v>
      </c>
      <c r="E173">
        <v>1</v>
      </c>
      <c r="F173">
        <v>50</v>
      </c>
      <c r="G173">
        <v>35</v>
      </c>
      <c r="H173" s="66" t="s">
        <v>126</v>
      </c>
    </row>
    <row r="174" spans="1:8" x14ac:dyDescent="0.3">
      <c r="A174" s="64">
        <v>44299</v>
      </c>
      <c r="B174" t="s">
        <v>30</v>
      </c>
      <c r="C174">
        <v>7</v>
      </c>
      <c r="D174">
        <v>1</v>
      </c>
      <c r="E174">
        <v>0</v>
      </c>
      <c r="F174">
        <v>50</v>
      </c>
      <c r="G174">
        <v>35</v>
      </c>
      <c r="H174" s="66" t="s">
        <v>127</v>
      </c>
    </row>
    <row r="175" spans="1:8" x14ac:dyDescent="0.3">
      <c r="A175" s="64">
        <v>44299</v>
      </c>
      <c r="B175" t="s">
        <v>34</v>
      </c>
      <c r="C175">
        <v>35</v>
      </c>
      <c r="D175">
        <v>3</v>
      </c>
      <c r="E175">
        <v>0</v>
      </c>
      <c r="F175">
        <v>50</v>
      </c>
      <c r="G175">
        <v>35</v>
      </c>
      <c r="H175" s="66" t="s">
        <v>128</v>
      </c>
    </row>
    <row r="176" spans="1:8" x14ac:dyDescent="0.3">
      <c r="A176" s="64">
        <v>44299</v>
      </c>
      <c r="B176" t="s">
        <v>34</v>
      </c>
      <c r="C176">
        <v>10</v>
      </c>
      <c r="D176">
        <v>2</v>
      </c>
      <c r="E176">
        <v>0</v>
      </c>
      <c r="F176">
        <v>50</v>
      </c>
      <c r="G176">
        <v>35</v>
      </c>
      <c r="H176" s="66" t="s">
        <v>130</v>
      </c>
    </row>
    <row r="177" spans="1:8" x14ac:dyDescent="0.3">
      <c r="A177" s="64">
        <v>44305</v>
      </c>
      <c r="B177" t="s">
        <v>34</v>
      </c>
      <c r="C177">
        <v>113</v>
      </c>
      <c r="D177">
        <v>14</v>
      </c>
      <c r="E177">
        <v>8</v>
      </c>
      <c r="F177">
        <v>50</v>
      </c>
      <c r="G177">
        <v>35</v>
      </c>
      <c r="H177" s="66" t="s">
        <v>132</v>
      </c>
    </row>
    <row r="178" spans="1:8" x14ac:dyDescent="0.3">
      <c r="A178" s="64">
        <v>44305</v>
      </c>
      <c r="B178" t="s">
        <v>34</v>
      </c>
      <c r="C178">
        <v>1907</v>
      </c>
      <c r="D178">
        <v>515</v>
      </c>
      <c r="E178">
        <v>192</v>
      </c>
      <c r="F178">
        <v>50</v>
      </c>
      <c r="G178">
        <v>35</v>
      </c>
      <c r="H178" s="66" t="s">
        <v>134</v>
      </c>
    </row>
    <row r="179" spans="1:8" x14ac:dyDescent="0.3">
      <c r="A179" s="64">
        <v>44305</v>
      </c>
      <c r="B179" t="s">
        <v>30</v>
      </c>
      <c r="C179">
        <v>10</v>
      </c>
      <c r="D179">
        <v>3</v>
      </c>
      <c r="E179">
        <v>2</v>
      </c>
      <c r="F179">
        <v>50</v>
      </c>
      <c r="G179">
        <v>35</v>
      </c>
      <c r="H179" s="66" t="s">
        <v>118</v>
      </c>
    </row>
    <row r="180" spans="1:8" x14ac:dyDescent="0.3">
      <c r="A180" s="64">
        <v>44305</v>
      </c>
      <c r="B180" t="s">
        <v>34</v>
      </c>
      <c r="C180">
        <v>18</v>
      </c>
      <c r="D180">
        <v>3</v>
      </c>
      <c r="E180">
        <v>2</v>
      </c>
      <c r="F180">
        <v>50</v>
      </c>
      <c r="G180">
        <v>35</v>
      </c>
      <c r="H180" s="66" t="s">
        <v>134</v>
      </c>
    </row>
    <row r="181" spans="1:8" x14ac:dyDescent="0.3">
      <c r="A181" s="64">
        <v>44305</v>
      </c>
      <c r="B181" t="s">
        <v>30</v>
      </c>
      <c r="C181">
        <v>5</v>
      </c>
      <c r="D181">
        <v>1</v>
      </c>
      <c r="E181">
        <v>0</v>
      </c>
      <c r="F181">
        <v>50</v>
      </c>
      <c r="G181">
        <v>35</v>
      </c>
      <c r="H181" s="66" t="s">
        <v>137</v>
      </c>
    </row>
    <row r="182" spans="1:8" x14ac:dyDescent="0.3">
      <c r="A182" s="64">
        <v>44305</v>
      </c>
      <c r="B182" t="s">
        <v>34</v>
      </c>
      <c r="C182">
        <v>12</v>
      </c>
      <c r="D182">
        <v>1</v>
      </c>
      <c r="E182">
        <v>0</v>
      </c>
      <c r="F182">
        <v>50</v>
      </c>
      <c r="G182">
        <v>35</v>
      </c>
      <c r="H182" s="66" t="s">
        <v>139</v>
      </c>
    </row>
    <row r="183" spans="1:8" x14ac:dyDescent="0.3">
      <c r="A183" s="64">
        <v>44312</v>
      </c>
      <c r="B183" t="s">
        <v>30</v>
      </c>
      <c r="C183">
        <v>3</v>
      </c>
      <c r="D183">
        <v>2</v>
      </c>
      <c r="E183">
        <v>1</v>
      </c>
      <c r="F183">
        <v>50</v>
      </c>
      <c r="G183">
        <v>35</v>
      </c>
      <c r="H183" s="66" t="s">
        <v>72</v>
      </c>
    </row>
    <row r="184" spans="1:8" x14ac:dyDescent="0.3">
      <c r="A184" s="64">
        <v>44312</v>
      </c>
      <c r="B184" t="s">
        <v>34</v>
      </c>
      <c r="C184">
        <v>8</v>
      </c>
      <c r="D184">
        <v>0</v>
      </c>
      <c r="E184">
        <v>2</v>
      </c>
      <c r="F184">
        <v>50</v>
      </c>
      <c r="G184">
        <v>35</v>
      </c>
      <c r="H184" s="66" t="s">
        <v>139</v>
      </c>
    </row>
    <row r="185" spans="1:8" x14ac:dyDescent="0.3">
      <c r="A185" s="64">
        <v>44316</v>
      </c>
      <c r="B185" t="s">
        <v>30</v>
      </c>
      <c r="C185">
        <v>6</v>
      </c>
      <c r="D185">
        <v>-2</v>
      </c>
      <c r="E185">
        <v>1</v>
      </c>
      <c r="F185">
        <v>50</v>
      </c>
      <c r="G185">
        <v>35</v>
      </c>
      <c r="H185" s="66" t="s">
        <v>72</v>
      </c>
    </row>
    <row r="186" spans="1:8" x14ac:dyDescent="0.3">
      <c r="A186" s="64">
        <v>44316</v>
      </c>
      <c r="B186" t="s">
        <v>34</v>
      </c>
      <c r="C186">
        <v>0</v>
      </c>
      <c r="D186">
        <v>2</v>
      </c>
      <c r="E186">
        <v>2</v>
      </c>
      <c r="F186">
        <v>50</v>
      </c>
      <c r="G186">
        <v>35</v>
      </c>
      <c r="H186" s="66" t="s">
        <v>139</v>
      </c>
    </row>
    <row r="187" spans="1:8" x14ac:dyDescent="0.3">
      <c r="A187" s="64">
        <v>44320</v>
      </c>
      <c r="B187" t="s">
        <v>30</v>
      </c>
      <c r="C187">
        <v>2</v>
      </c>
      <c r="D187">
        <v>1</v>
      </c>
      <c r="E187">
        <v>1</v>
      </c>
      <c r="F187">
        <v>50</v>
      </c>
      <c r="G187">
        <v>35</v>
      </c>
      <c r="H187" s="66" t="s">
        <v>72</v>
      </c>
    </row>
    <row r="188" spans="1:8" x14ac:dyDescent="0.3">
      <c r="A188" s="64">
        <v>44320</v>
      </c>
      <c r="B188" t="s">
        <v>34</v>
      </c>
      <c r="C188">
        <v>2</v>
      </c>
      <c r="D188">
        <v>0</v>
      </c>
      <c r="E188">
        <v>0</v>
      </c>
      <c r="F188">
        <v>50</v>
      </c>
      <c r="G188">
        <v>35</v>
      </c>
      <c r="H188" s="66" t="s">
        <v>139</v>
      </c>
    </row>
  </sheetData>
  <autoFilter ref="A70:H70" xr:uid="{0E8AB2B7-2AE5-4BEA-9D8B-9038E1213C5A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BBA21-185C-47BF-BA00-8F7BDFF2083E}">
  <dimension ref="A1:H65"/>
  <sheetViews>
    <sheetView zoomScaleNormal="100" workbookViewId="0">
      <selection activeCell="C20" sqref="C20"/>
    </sheetView>
  </sheetViews>
  <sheetFormatPr defaultRowHeight="14.4" x14ac:dyDescent="0.3"/>
  <sheetData>
    <row r="1" spans="1:8" x14ac:dyDescent="0.3">
      <c r="A1" t="s">
        <v>13</v>
      </c>
      <c r="B1" t="s">
        <v>144</v>
      </c>
      <c r="C1" t="s">
        <v>17</v>
      </c>
      <c r="D1" t="s">
        <v>18</v>
      </c>
      <c r="E1" t="s">
        <v>20</v>
      </c>
      <c r="F1" t="s">
        <v>22</v>
      </c>
      <c r="G1" t="s">
        <v>21</v>
      </c>
      <c r="H1" t="s">
        <v>26</v>
      </c>
    </row>
    <row r="2" spans="1:8" x14ac:dyDescent="0.3">
      <c r="A2" s="64">
        <v>44176</v>
      </c>
      <c r="B2" t="s">
        <v>34</v>
      </c>
      <c r="C2">
        <v>-1</v>
      </c>
      <c r="D2">
        <v>-1</v>
      </c>
      <c r="E2">
        <v>-1</v>
      </c>
      <c r="F2">
        <v>50</v>
      </c>
      <c r="G2">
        <v>35</v>
      </c>
      <c r="H2" t="s">
        <v>34</v>
      </c>
    </row>
    <row r="3" spans="1:8" x14ac:dyDescent="0.3">
      <c r="A3" s="64">
        <v>44179</v>
      </c>
      <c r="B3" t="s">
        <v>34</v>
      </c>
      <c r="C3">
        <v>11</v>
      </c>
      <c r="D3">
        <v>2</v>
      </c>
      <c r="E3">
        <v>0</v>
      </c>
      <c r="F3">
        <v>50</v>
      </c>
      <c r="G3">
        <v>35</v>
      </c>
      <c r="H3" t="s">
        <v>34</v>
      </c>
    </row>
    <row r="4" spans="1:8" x14ac:dyDescent="0.3">
      <c r="A4" s="64">
        <v>44182</v>
      </c>
      <c r="B4" t="s">
        <v>34</v>
      </c>
      <c r="C4">
        <v>1</v>
      </c>
      <c r="D4">
        <v>1</v>
      </c>
      <c r="E4">
        <v>1</v>
      </c>
      <c r="F4">
        <v>50</v>
      </c>
      <c r="G4">
        <v>35</v>
      </c>
      <c r="H4" t="s">
        <v>34</v>
      </c>
    </row>
    <row r="5" spans="1:8" x14ac:dyDescent="0.3">
      <c r="A5" s="64">
        <v>44185</v>
      </c>
      <c r="B5" t="s">
        <v>34</v>
      </c>
      <c r="C5">
        <v>8</v>
      </c>
      <c r="D5">
        <v>1</v>
      </c>
      <c r="E5">
        <v>0</v>
      </c>
      <c r="F5">
        <v>50</v>
      </c>
      <c r="G5">
        <v>35</v>
      </c>
      <c r="H5" t="s">
        <v>34</v>
      </c>
    </row>
    <row r="6" spans="1:8" x14ac:dyDescent="0.3">
      <c r="A6" s="64">
        <v>44188</v>
      </c>
      <c r="B6" t="s">
        <v>34</v>
      </c>
      <c r="C6">
        <v>36</v>
      </c>
      <c r="D6">
        <v>7</v>
      </c>
      <c r="E6">
        <v>3</v>
      </c>
      <c r="F6">
        <v>50</v>
      </c>
      <c r="G6">
        <v>35</v>
      </c>
      <c r="H6" t="s">
        <v>34</v>
      </c>
    </row>
    <row r="7" spans="1:8" x14ac:dyDescent="0.3">
      <c r="A7" s="64">
        <v>44193</v>
      </c>
      <c r="B7" t="s">
        <v>34</v>
      </c>
      <c r="C7">
        <v>18</v>
      </c>
      <c r="D7">
        <v>5</v>
      </c>
      <c r="E7">
        <v>2</v>
      </c>
      <c r="F7">
        <v>50</v>
      </c>
      <c r="G7">
        <v>35</v>
      </c>
      <c r="H7" t="s">
        <v>34</v>
      </c>
    </row>
    <row r="8" spans="1:8" x14ac:dyDescent="0.3">
      <c r="A8" s="64">
        <v>44200</v>
      </c>
      <c r="B8" t="s">
        <v>34</v>
      </c>
      <c r="C8">
        <v>11</v>
      </c>
      <c r="D8">
        <v>1</v>
      </c>
      <c r="E8">
        <v>-1</v>
      </c>
      <c r="F8">
        <v>50</v>
      </c>
      <c r="G8">
        <v>35</v>
      </c>
      <c r="H8" t="s">
        <v>34</v>
      </c>
    </row>
    <row r="9" spans="1:8" x14ac:dyDescent="0.3">
      <c r="A9" s="64">
        <v>44203</v>
      </c>
      <c r="B9" t="s">
        <v>34</v>
      </c>
      <c r="C9">
        <v>13</v>
      </c>
      <c r="D9">
        <v>4</v>
      </c>
      <c r="E9">
        <v>2</v>
      </c>
      <c r="F9">
        <v>50</v>
      </c>
      <c r="G9">
        <v>35</v>
      </c>
      <c r="H9" t="s">
        <v>34</v>
      </c>
    </row>
    <row r="10" spans="1:8" x14ac:dyDescent="0.3">
      <c r="A10" s="64">
        <v>44207</v>
      </c>
      <c r="B10" t="s">
        <v>34</v>
      </c>
      <c r="C10">
        <v>8</v>
      </c>
      <c r="D10">
        <v>3</v>
      </c>
      <c r="E10">
        <v>2</v>
      </c>
      <c r="F10">
        <v>50</v>
      </c>
      <c r="G10">
        <v>35</v>
      </c>
      <c r="H10" t="s">
        <v>34</v>
      </c>
    </row>
    <row r="11" spans="1:8" x14ac:dyDescent="0.3">
      <c r="A11" s="64">
        <v>44211</v>
      </c>
      <c r="B11" t="s">
        <v>34</v>
      </c>
      <c r="C11">
        <v>13</v>
      </c>
      <c r="D11">
        <v>5</v>
      </c>
      <c r="E11">
        <v>3</v>
      </c>
      <c r="F11">
        <v>50</v>
      </c>
      <c r="G11">
        <v>35</v>
      </c>
      <c r="H11" t="s">
        <v>34</v>
      </c>
    </row>
    <row r="12" spans="1:8" x14ac:dyDescent="0.3">
      <c r="A12" s="64">
        <v>44215</v>
      </c>
      <c r="B12" t="s">
        <v>34</v>
      </c>
      <c r="C12">
        <v>9</v>
      </c>
      <c r="D12">
        <v>4</v>
      </c>
      <c r="E12">
        <v>3</v>
      </c>
      <c r="F12">
        <v>50</v>
      </c>
      <c r="G12">
        <v>35</v>
      </c>
      <c r="H12" t="s">
        <v>34</v>
      </c>
    </row>
    <row r="13" spans="1:8" x14ac:dyDescent="0.3">
      <c r="A13" s="64">
        <v>44218</v>
      </c>
      <c r="B13" t="s">
        <v>34</v>
      </c>
      <c r="C13">
        <v>14</v>
      </c>
      <c r="D13">
        <v>3</v>
      </c>
      <c r="E13">
        <v>0</v>
      </c>
      <c r="F13">
        <v>50</v>
      </c>
      <c r="G13">
        <v>35</v>
      </c>
      <c r="H13" t="s">
        <v>34</v>
      </c>
    </row>
    <row r="14" spans="1:8" x14ac:dyDescent="0.3">
      <c r="A14" s="64">
        <v>44223</v>
      </c>
      <c r="B14" t="s">
        <v>34</v>
      </c>
      <c r="C14">
        <v>5</v>
      </c>
      <c r="D14">
        <v>3</v>
      </c>
      <c r="E14">
        <v>2</v>
      </c>
      <c r="F14">
        <v>50</v>
      </c>
      <c r="G14">
        <v>35</v>
      </c>
      <c r="H14" t="s">
        <v>34</v>
      </c>
    </row>
    <row r="15" spans="1:8" x14ac:dyDescent="0.3">
      <c r="A15" s="64">
        <v>44227</v>
      </c>
      <c r="B15" t="s">
        <v>34</v>
      </c>
      <c r="C15">
        <v>2</v>
      </c>
      <c r="D15">
        <v>4</v>
      </c>
      <c r="E15">
        <v>-1</v>
      </c>
      <c r="F15">
        <v>50</v>
      </c>
      <c r="G15">
        <v>35</v>
      </c>
      <c r="H15" t="s">
        <v>34</v>
      </c>
    </row>
    <row r="16" spans="1:8" x14ac:dyDescent="0.3">
      <c r="A16" s="64">
        <v>44230</v>
      </c>
      <c r="B16" t="s">
        <v>34</v>
      </c>
      <c r="C16">
        <v>1</v>
      </c>
      <c r="D16">
        <v>0</v>
      </c>
      <c r="E16">
        <v>0</v>
      </c>
      <c r="F16">
        <v>50</v>
      </c>
      <c r="G16">
        <v>35</v>
      </c>
      <c r="H16" t="s">
        <v>34</v>
      </c>
    </row>
    <row r="17" spans="1:8" x14ac:dyDescent="0.3">
      <c r="A17" s="64">
        <v>44234</v>
      </c>
      <c r="B17" t="s">
        <v>34</v>
      </c>
      <c r="C17">
        <v>5</v>
      </c>
      <c r="D17">
        <v>1</v>
      </c>
      <c r="E17">
        <v>0</v>
      </c>
      <c r="F17">
        <v>50</v>
      </c>
      <c r="G17">
        <v>35</v>
      </c>
      <c r="H17" t="s">
        <v>58</v>
      </c>
    </row>
    <row r="18" spans="1:8" x14ac:dyDescent="0.3">
      <c r="A18" s="64">
        <v>44244</v>
      </c>
      <c r="B18" t="s">
        <v>34</v>
      </c>
      <c r="C18">
        <v>224</v>
      </c>
      <c r="D18">
        <v>119</v>
      </c>
      <c r="E18">
        <v>33</v>
      </c>
      <c r="F18">
        <v>50</v>
      </c>
      <c r="G18">
        <v>35</v>
      </c>
      <c r="H18" t="s">
        <v>63</v>
      </c>
    </row>
    <row r="19" spans="1:8" x14ac:dyDescent="0.3">
      <c r="A19" s="64">
        <v>44244</v>
      </c>
      <c r="B19" t="s">
        <v>34</v>
      </c>
      <c r="C19">
        <v>12</v>
      </c>
      <c r="D19">
        <v>4</v>
      </c>
      <c r="E19">
        <v>1</v>
      </c>
      <c r="F19">
        <v>50</v>
      </c>
      <c r="G19">
        <v>35</v>
      </c>
      <c r="H19" t="s">
        <v>58</v>
      </c>
    </row>
    <row r="20" spans="1:8" ht="28.8" x14ac:dyDescent="0.3">
      <c r="A20" s="64">
        <v>44244</v>
      </c>
      <c r="B20" t="s">
        <v>34</v>
      </c>
      <c r="C20">
        <v>83</v>
      </c>
      <c r="D20">
        <v>15</v>
      </c>
      <c r="E20">
        <v>8</v>
      </c>
      <c r="F20">
        <v>50</v>
      </c>
      <c r="G20">
        <v>35</v>
      </c>
      <c r="H20" s="65" t="s">
        <v>58</v>
      </c>
    </row>
    <row r="21" spans="1:8" x14ac:dyDescent="0.3">
      <c r="A21" s="64">
        <v>44246</v>
      </c>
      <c r="B21" t="s">
        <v>34</v>
      </c>
      <c r="C21">
        <v>8</v>
      </c>
      <c r="D21">
        <v>3</v>
      </c>
      <c r="E21">
        <v>3</v>
      </c>
      <c r="F21">
        <v>50</v>
      </c>
      <c r="G21">
        <v>35</v>
      </c>
      <c r="H21" t="s">
        <v>58</v>
      </c>
    </row>
    <row r="22" spans="1:8" x14ac:dyDescent="0.3">
      <c r="A22" s="64">
        <v>44249</v>
      </c>
      <c r="B22" t="s">
        <v>34</v>
      </c>
      <c r="C22">
        <v>75</v>
      </c>
      <c r="D22">
        <v>18</v>
      </c>
      <c r="E22">
        <v>9</v>
      </c>
      <c r="F22">
        <v>50</v>
      </c>
      <c r="G22">
        <v>35</v>
      </c>
      <c r="H22" t="s">
        <v>58</v>
      </c>
    </row>
    <row r="23" spans="1:8" x14ac:dyDescent="0.3">
      <c r="A23" s="64">
        <v>44249</v>
      </c>
      <c r="B23" t="s">
        <v>34</v>
      </c>
      <c r="C23">
        <v>4</v>
      </c>
      <c r="D23">
        <v>2</v>
      </c>
      <c r="E23">
        <v>1</v>
      </c>
      <c r="F23">
        <v>50</v>
      </c>
      <c r="G23">
        <v>35</v>
      </c>
      <c r="H23" t="s">
        <v>74</v>
      </c>
    </row>
    <row r="24" spans="1:8" x14ac:dyDescent="0.3">
      <c r="A24" s="64">
        <v>44251</v>
      </c>
      <c r="B24" t="s">
        <v>34</v>
      </c>
      <c r="C24">
        <v>11</v>
      </c>
      <c r="D24">
        <v>6</v>
      </c>
      <c r="E24">
        <v>2</v>
      </c>
      <c r="F24">
        <v>50</v>
      </c>
      <c r="G24">
        <v>35</v>
      </c>
      <c r="H24" t="s">
        <v>74</v>
      </c>
    </row>
    <row r="25" spans="1:8" x14ac:dyDescent="0.3">
      <c r="A25" s="64">
        <v>44251</v>
      </c>
      <c r="B25" t="s">
        <v>34</v>
      </c>
      <c r="C25">
        <v>563</v>
      </c>
      <c r="D25">
        <v>244</v>
      </c>
      <c r="E25">
        <v>139</v>
      </c>
      <c r="F25">
        <v>50</v>
      </c>
      <c r="G25">
        <v>35</v>
      </c>
      <c r="H25" t="s">
        <v>76</v>
      </c>
    </row>
    <row r="26" spans="1:8" x14ac:dyDescent="0.3">
      <c r="A26" s="64">
        <v>44252</v>
      </c>
      <c r="B26" t="s">
        <v>34</v>
      </c>
      <c r="C26">
        <v>78</v>
      </c>
      <c r="D26">
        <v>24</v>
      </c>
      <c r="E26">
        <v>10</v>
      </c>
      <c r="F26">
        <v>50</v>
      </c>
      <c r="G26">
        <v>35</v>
      </c>
      <c r="H26" t="s">
        <v>34</v>
      </c>
    </row>
    <row r="27" spans="1:8" x14ac:dyDescent="0.3">
      <c r="A27" s="64">
        <v>44252</v>
      </c>
      <c r="B27" t="s">
        <v>34</v>
      </c>
      <c r="C27">
        <v>87</v>
      </c>
      <c r="D27">
        <v>27</v>
      </c>
      <c r="E27">
        <v>12</v>
      </c>
      <c r="F27">
        <v>50</v>
      </c>
      <c r="G27">
        <v>35</v>
      </c>
      <c r="H27" t="s">
        <v>34</v>
      </c>
    </row>
    <row r="28" spans="1:8" x14ac:dyDescent="0.3">
      <c r="A28" s="64">
        <v>44253</v>
      </c>
      <c r="B28" t="s">
        <v>34</v>
      </c>
      <c r="C28">
        <v>9</v>
      </c>
      <c r="D28">
        <v>2</v>
      </c>
      <c r="E28">
        <v>1</v>
      </c>
      <c r="F28">
        <v>50</v>
      </c>
      <c r="G28">
        <v>35</v>
      </c>
      <c r="H28" t="s">
        <v>34</v>
      </c>
    </row>
    <row r="29" spans="1:8" x14ac:dyDescent="0.3">
      <c r="A29" s="64">
        <v>44254</v>
      </c>
      <c r="B29" t="s">
        <v>34</v>
      </c>
      <c r="C29">
        <v>0</v>
      </c>
      <c r="D29">
        <v>0</v>
      </c>
      <c r="E29">
        <v>2</v>
      </c>
      <c r="F29">
        <v>50</v>
      </c>
      <c r="G29">
        <v>35</v>
      </c>
      <c r="H29" t="s">
        <v>34</v>
      </c>
    </row>
    <row r="30" spans="1:8" x14ac:dyDescent="0.3">
      <c r="A30" s="64">
        <v>44256</v>
      </c>
      <c r="B30" t="s">
        <v>34</v>
      </c>
      <c r="C30">
        <v>2</v>
      </c>
      <c r="D30">
        <v>2</v>
      </c>
      <c r="E30">
        <v>1</v>
      </c>
      <c r="F30">
        <v>50</v>
      </c>
      <c r="G30">
        <v>35</v>
      </c>
      <c r="H30" t="s">
        <v>34</v>
      </c>
    </row>
    <row r="31" spans="1:8" x14ac:dyDescent="0.3">
      <c r="A31" s="64">
        <v>44258</v>
      </c>
      <c r="B31" t="s">
        <v>34</v>
      </c>
      <c r="C31">
        <v>10</v>
      </c>
      <c r="D31">
        <v>4</v>
      </c>
      <c r="E31">
        <v>3</v>
      </c>
      <c r="F31">
        <v>50</v>
      </c>
      <c r="G31">
        <v>35</v>
      </c>
      <c r="H31" t="s">
        <v>34</v>
      </c>
    </row>
    <row r="32" spans="1:8" x14ac:dyDescent="0.3">
      <c r="A32" s="64">
        <v>44258</v>
      </c>
      <c r="B32" t="s">
        <v>34</v>
      </c>
      <c r="C32">
        <v>29</v>
      </c>
      <c r="D32">
        <v>9</v>
      </c>
      <c r="E32">
        <v>2</v>
      </c>
      <c r="F32">
        <v>50</v>
      </c>
      <c r="G32">
        <v>35</v>
      </c>
      <c r="H32" t="s">
        <v>92</v>
      </c>
    </row>
    <row r="33" spans="1:8" x14ac:dyDescent="0.3">
      <c r="A33" s="64">
        <v>44262</v>
      </c>
      <c r="B33" t="s">
        <v>34</v>
      </c>
      <c r="C33">
        <v>22</v>
      </c>
      <c r="D33">
        <v>9</v>
      </c>
      <c r="E33">
        <v>4</v>
      </c>
      <c r="F33">
        <v>50</v>
      </c>
      <c r="G33">
        <v>35</v>
      </c>
      <c r="H33" t="s">
        <v>34</v>
      </c>
    </row>
    <row r="34" spans="1:8" x14ac:dyDescent="0.3">
      <c r="A34" s="64">
        <v>44263</v>
      </c>
      <c r="B34" t="s">
        <v>34</v>
      </c>
      <c r="C34">
        <v>25</v>
      </c>
      <c r="D34">
        <v>6</v>
      </c>
      <c r="E34">
        <v>1</v>
      </c>
      <c r="F34">
        <v>50</v>
      </c>
      <c r="G34">
        <v>35</v>
      </c>
      <c r="H34" t="s">
        <v>34</v>
      </c>
    </row>
    <row r="35" spans="1:8" x14ac:dyDescent="0.3">
      <c r="A35" s="64">
        <v>44265</v>
      </c>
      <c r="B35" t="s">
        <v>34</v>
      </c>
      <c r="C35">
        <v>12</v>
      </c>
      <c r="D35">
        <v>2</v>
      </c>
      <c r="E35">
        <v>2</v>
      </c>
      <c r="F35">
        <v>50</v>
      </c>
      <c r="G35">
        <v>35</v>
      </c>
      <c r="H35" t="s">
        <v>34</v>
      </c>
    </row>
    <row r="36" spans="1:8" x14ac:dyDescent="0.3">
      <c r="A36" s="64">
        <v>44267</v>
      </c>
      <c r="B36" t="s">
        <v>34</v>
      </c>
      <c r="C36">
        <v>4</v>
      </c>
      <c r="D36">
        <v>1</v>
      </c>
      <c r="E36">
        <v>0</v>
      </c>
      <c r="F36">
        <v>50</v>
      </c>
      <c r="G36">
        <v>35</v>
      </c>
      <c r="H36" t="s">
        <v>34</v>
      </c>
    </row>
    <row r="37" spans="1:8" x14ac:dyDescent="0.3">
      <c r="A37" s="64">
        <v>44267</v>
      </c>
      <c r="B37" t="s">
        <v>34</v>
      </c>
      <c r="C37">
        <v>10</v>
      </c>
      <c r="D37">
        <v>2</v>
      </c>
      <c r="E37">
        <v>0</v>
      </c>
      <c r="F37">
        <v>50</v>
      </c>
      <c r="G37">
        <v>35</v>
      </c>
      <c r="H37" t="s">
        <v>98</v>
      </c>
    </row>
    <row r="38" spans="1:8" x14ac:dyDescent="0.3">
      <c r="A38" s="64">
        <v>44270</v>
      </c>
      <c r="B38" t="s">
        <v>34</v>
      </c>
      <c r="C38">
        <v>36</v>
      </c>
      <c r="D38">
        <v>8</v>
      </c>
      <c r="E38">
        <v>4</v>
      </c>
      <c r="F38">
        <v>50</v>
      </c>
      <c r="G38">
        <v>35</v>
      </c>
      <c r="H38" t="s">
        <v>34</v>
      </c>
    </row>
    <row r="39" spans="1:8" x14ac:dyDescent="0.3">
      <c r="A39" s="64">
        <v>44270</v>
      </c>
      <c r="B39" t="s">
        <v>34</v>
      </c>
      <c r="C39">
        <v>18</v>
      </c>
      <c r="D39">
        <v>8</v>
      </c>
      <c r="E39">
        <v>0</v>
      </c>
      <c r="F39">
        <v>50</v>
      </c>
      <c r="G39">
        <v>35</v>
      </c>
      <c r="H39" t="s">
        <v>99</v>
      </c>
    </row>
    <row r="40" spans="1:8" x14ac:dyDescent="0.3">
      <c r="A40" s="64">
        <v>44271</v>
      </c>
      <c r="B40" t="s">
        <v>34</v>
      </c>
      <c r="C40">
        <v>-4</v>
      </c>
      <c r="D40">
        <v>-2</v>
      </c>
      <c r="E40">
        <v>0</v>
      </c>
      <c r="F40">
        <v>50</v>
      </c>
      <c r="G40">
        <v>35</v>
      </c>
      <c r="H40" t="s">
        <v>101</v>
      </c>
    </row>
    <row r="41" spans="1:8" x14ac:dyDescent="0.3">
      <c r="A41" s="64">
        <v>44273</v>
      </c>
      <c r="B41" t="s">
        <v>34</v>
      </c>
      <c r="C41">
        <v>27</v>
      </c>
      <c r="D41">
        <v>9</v>
      </c>
      <c r="E41">
        <v>7</v>
      </c>
      <c r="F41">
        <v>50</v>
      </c>
      <c r="G41">
        <v>35</v>
      </c>
      <c r="H41" t="s">
        <v>34</v>
      </c>
    </row>
    <row r="42" spans="1:8" x14ac:dyDescent="0.3">
      <c r="A42" s="64">
        <v>44273</v>
      </c>
      <c r="B42" t="s">
        <v>34</v>
      </c>
      <c r="C42">
        <v>19</v>
      </c>
      <c r="D42">
        <v>7</v>
      </c>
      <c r="E42">
        <v>4</v>
      </c>
      <c r="F42">
        <v>50</v>
      </c>
      <c r="G42">
        <v>35</v>
      </c>
      <c r="H42" t="s">
        <v>34</v>
      </c>
    </row>
    <row r="43" spans="1:8" x14ac:dyDescent="0.3">
      <c r="A43" s="64">
        <v>44274</v>
      </c>
      <c r="B43" t="s">
        <v>34</v>
      </c>
      <c r="C43">
        <v>9</v>
      </c>
      <c r="D43">
        <v>2</v>
      </c>
      <c r="E43">
        <v>1</v>
      </c>
      <c r="F43">
        <v>50</v>
      </c>
      <c r="G43">
        <v>35</v>
      </c>
      <c r="H43" t="s">
        <v>34</v>
      </c>
    </row>
    <row r="44" spans="1:8" x14ac:dyDescent="0.3">
      <c r="A44" s="64">
        <v>44278</v>
      </c>
      <c r="B44" t="s">
        <v>34</v>
      </c>
      <c r="C44">
        <v>2732</v>
      </c>
      <c r="D44">
        <v>500</v>
      </c>
      <c r="E44">
        <v>250</v>
      </c>
      <c r="F44">
        <v>50</v>
      </c>
      <c r="G44">
        <v>35</v>
      </c>
      <c r="H44" t="s">
        <v>104</v>
      </c>
    </row>
    <row r="45" spans="1:8" x14ac:dyDescent="0.3">
      <c r="A45" s="64">
        <v>44278</v>
      </c>
      <c r="B45" t="s">
        <v>34</v>
      </c>
      <c r="C45">
        <v>31</v>
      </c>
      <c r="D45">
        <v>10</v>
      </c>
      <c r="E45">
        <v>5</v>
      </c>
      <c r="F45">
        <v>50</v>
      </c>
      <c r="G45">
        <v>35</v>
      </c>
      <c r="H45" t="s">
        <v>107</v>
      </c>
    </row>
    <row r="46" spans="1:8" x14ac:dyDescent="0.3">
      <c r="A46" s="64">
        <v>44279</v>
      </c>
      <c r="B46" t="s">
        <v>34</v>
      </c>
      <c r="C46">
        <v>244</v>
      </c>
      <c r="D46">
        <v>62</v>
      </c>
      <c r="E46">
        <v>22</v>
      </c>
      <c r="F46">
        <v>50</v>
      </c>
      <c r="G46">
        <v>35</v>
      </c>
      <c r="H46" t="s">
        <v>112</v>
      </c>
    </row>
    <row r="47" spans="1:8" x14ac:dyDescent="0.3">
      <c r="A47" s="64">
        <v>44279</v>
      </c>
      <c r="B47" t="s">
        <v>34</v>
      </c>
      <c r="C47">
        <v>39</v>
      </c>
      <c r="D47">
        <v>5</v>
      </c>
      <c r="E47">
        <v>1</v>
      </c>
      <c r="F47">
        <v>50</v>
      </c>
      <c r="G47">
        <v>35</v>
      </c>
      <c r="H47" t="s">
        <v>113</v>
      </c>
    </row>
    <row r="48" spans="1:8" x14ac:dyDescent="0.3">
      <c r="A48" s="64">
        <v>44279</v>
      </c>
      <c r="B48" t="s">
        <v>34</v>
      </c>
      <c r="C48">
        <v>6</v>
      </c>
      <c r="D48">
        <v>3</v>
      </c>
      <c r="E48">
        <v>3</v>
      </c>
      <c r="F48">
        <v>50</v>
      </c>
      <c r="G48">
        <v>35</v>
      </c>
      <c r="H48" t="s">
        <v>116</v>
      </c>
    </row>
    <row r="49" spans="1:8" x14ac:dyDescent="0.3">
      <c r="A49" s="64">
        <v>44279</v>
      </c>
      <c r="B49" t="s">
        <v>34</v>
      </c>
      <c r="C49">
        <v>15</v>
      </c>
      <c r="D49">
        <v>7</v>
      </c>
      <c r="E49">
        <v>3</v>
      </c>
      <c r="F49">
        <v>50</v>
      </c>
      <c r="G49">
        <v>35</v>
      </c>
      <c r="H49" t="s">
        <v>120</v>
      </c>
    </row>
    <row r="50" spans="1:8" x14ac:dyDescent="0.3">
      <c r="A50" s="64">
        <v>44280</v>
      </c>
      <c r="B50" t="s">
        <v>34</v>
      </c>
      <c r="C50">
        <v>23</v>
      </c>
      <c r="D50">
        <v>8</v>
      </c>
      <c r="E50">
        <v>5</v>
      </c>
      <c r="F50">
        <v>50</v>
      </c>
      <c r="G50">
        <v>35</v>
      </c>
      <c r="H50" t="s">
        <v>146</v>
      </c>
    </row>
    <row r="51" spans="1:8" x14ac:dyDescent="0.3">
      <c r="A51" s="64">
        <v>44281</v>
      </c>
      <c r="B51" t="s">
        <v>34</v>
      </c>
      <c r="C51">
        <v>52</v>
      </c>
      <c r="D51">
        <v>30</v>
      </c>
      <c r="E51">
        <v>14</v>
      </c>
      <c r="F51">
        <v>50</v>
      </c>
      <c r="G51">
        <v>35</v>
      </c>
      <c r="H51" t="s">
        <v>122</v>
      </c>
    </row>
    <row r="52" spans="1:8" x14ac:dyDescent="0.3">
      <c r="A52" s="64">
        <v>44281</v>
      </c>
      <c r="B52" t="s">
        <v>34</v>
      </c>
      <c r="C52">
        <v>35</v>
      </c>
      <c r="D52">
        <v>8</v>
      </c>
      <c r="E52">
        <v>3</v>
      </c>
      <c r="F52">
        <v>50</v>
      </c>
      <c r="G52">
        <v>35</v>
      </c>
      <c r="H52" t="s">
        <v>120</v>
      </c>
    </row>
    <row r="53" spans="1:8" x14ac:dyDescent="0.3">
      <c r="A53" s="64">
        <v>44281</v>
      </c>
      <c r="B53" t="s">
        <v>34</v>
      </c>
      <c r="C53">
        <v>9</v>
      </c>
      <c r="D53">
        <v>3</v>
      </c>
      <c r="E53">
        <v>2</v>
      </c>
      <c r="F53">
        <v>50</v>
      </c>
      <c r="G53">
        <v>35</v>
      </c>
      <c r="H53" t="s">
        <v>123</v>
      </c>
    </row>
    <row r="54" spans="1:8" x14ac:dyDescent="0.3">
      <c r="A54" s="64">
        <v>44284</v>
      </c>
      <c r="B54" t="s">
        <v>34</v>
      </c>
      <c r="C54">
        <v>17</v>
      </c>
      <c r="D54">
        <v>9</v>
      </c>
      <c r="E54">
        <v>3</v>
      </c>
      <c r="F54">
        <v>50</v>
      </c>
      <c r="G54">
        <v>35</v>
      </c>
      <c r="H54" t="s">
        <v>34</v>
      </c>
    </row>
    <row r="55" spans="1:8" x14ac:dyDescent="0.3">
      <c r="A55" s="64">
        <v>44288</v>
      </c>
      <c r="B55" t="s">
        <v>34</v>
      </c>
      <c r="C55">
        <v>2</v>
      </c>
      <c r="D55">
        <v>1</v>
      </c>
      <c r="E55">
        <v>0</v>
      </c>
      <c r="F55">
        <v>50</v>
      </c>
      <c r="G55">
        <v>35</v>
      </c>
      <c r="H55" t="s">
        <v>126</v>
      </c>
    </row>
    <row r="56" spans="1:8" x14ac:dyDescent="0.3">
      <c r="A56" s="64">
        <v>44288</v>
      </c>
      <c r="B56" t="s">
        <v>34</v>
      </c>
      <c r="C56">
        <v>21</v>
      </c>
      <c r="D56">
        <v>2</v>
      </c>
      <c r="E56">
        <v>1</v>
      </c>
      <c r="F56">
        <v>50</v>
      </c>
      <c r="G56">
        <v>35</v>
      </c>
      <c r="H56" t="s">
        <v>126</v>
      </c>
    </row>
    <row r="57" spans="1:8" x14ac:dyDescent="0.3">
      <c r="A57" s="64">
        <v>44299</v>
      </c>
      <c r="B57" t="s">
        <v>34</v>
      </c>
      <c r="C57">
        <v>35</v>
      </c>
      <c r="D57">
        <v>3</v>
      </c>
      <c r="E57">
        <v>0</v>
      </c>
      <c r="F57">
        <v>50</v>
      </c>
      <c r="G57">
        <v>35</v>
      </c>
      <c r="H57" t="s">
        <v>128</v>
      </c>
    </row>
    <row r="58" spans="1:8" x14ac:dyDescent="0.3">
      <c r="A58" s="64">
        <v>44299</v>
      </c>
      <c r="B58" t="s">
        <v>34</v>
      </c>
      <c r="C58">
        <v>10</v>
      </c>
      <c r="D58">
        <v>2</v>
      </c>
      <c r="E58">
        <v>0</v>
      </c>
      <c r="F58">
        <v>50</v>
      </c>
      <c r="G58">
        <v>35</v>
      </c>
      <c r="H58" t="s">
        <v>130</v>
      </c>
    </row>
    <row r="59" spans="1:8" x14ac:dyDescent="0.3">
      <c r="A59" s="64">
        <v>44305</v>
      </c>
      <c r="B59" t="s">
        <v>34</v>
      </c>
      <c r="C59">
        <v>113</v>
      </c>
      <c r="D59">
        <v>14</v>
      </c>
      <c r="E59">
        <v>8</v>
      </c>
      <c r="F59">
        <v>50</v>
      </c>
      <c r="G59">
        <v>35</v>
      </c>
      <c r="H59" t="s">
        <v>132</v>
      </c>
    </row>
    <row r="60" spans="1:8" x14ac:dyDescent="0.3">
      <c r="A60" s="64">
        <v>44305</v>
      </c>
      <c r="B60" t="s">
        <v>34</v>
      </c>
      <c r="C60">
        <v>1907</v>
      </c>
      <c r="D60">
        <v>515</v>
      </c>
      <c r="E60">
        <v>192</v>
      </c>
      <c r="F60">
        <v>50</v>
      </c>
      <c r="G60">
        <v>35</v>
      </c>
      <c r="H60" t="s">
        <v>134</v>
      </c>
    </row>
    <row r="61" spans="1:8" x14ac:dyDescent="0.3">
      <c r="A61" s="64">
        <v>44305</v>
      </c>
      <c r="B61" t="s">
        <v>34</v>
      </c>
      <c r="C61">
        <v>18</v>
      </c>
      <c r="D61">
        <v>3</v>
      </c>
      <c r="E61">
        <v>2</v>
      </c>
      <c r="F61">
        <v>50</v>
      </c>
      <c r="G61">
        <v>35</v>
      </c>
      <c r="H61" t="s">
        <v>134</v>
      </c>
    </row>
    <row r="62" spans="1:8" x14ac:dyDescent="0.3">
      <c r="A62" s="64">
        <v>44305</v>
      </c>
      <c r="B62" t="s">
        <v>34</v>
      </c>
      <c r="C62">
        <v>12</v>
      </c>
      <c r="D62">
        <v>1</v>
      </c>
      <c r="E62">
        <v>0</v>
      </c>
      <c r="F62">
        <v>50</v>
      </c>
      <c r="G62">
        <v>35</v>
      </c>
      <c r="H62" t="s">
        <v>139</v>
      </c>
    </row>
    <row r="63" spans="1:8" x14ac:dyDescent="0.3">
      <c r="A63" s="64">
        <v>44312</v>
      </c>
      <c r="B63" t="s">
        <v>34</v>
      </c>
      <c r="C63">
        <v>8</v>
      </c>
      <c r="D63">
        <v>0</v>
      </c>
      <c r="E63">
        <v>2</v>
      </c>
      <c r="F63">
        <v>50</v>
      </c>
      <c r="G63">
        <v>35</v>
      </c>
      <c r="H63" t="s">
        <v>139</v>
      </c>
    </row>
    <row r="64" spans="1:8" x14ac:dyDescent="0.3">
      <c r="A64" s="64">
        <v>44316</v>
      </c>
      <c r="B64" t="s">
        <v>34</v>
      </c>
      <c r="C64">
        <v>0</v>
      </c>
      <c r="D64">
        <v>2</v>
      </c>
      <c r="E64">
        <v>2</v>
      </c>
      <c r="F64">
        <v>50</v>
      </c>
      <c r="G64">
        <v>35</v>
      </c>
      <c r="H64" t="s">
        <v>139</v>
      </c>
    </row>
    <row r="65" spans="1:8" x14ac:dyDescent="0.3">
      <c r="A65" s="64">
        <v>44320</v>
      </c>
      <c r="B65" t="s">
        <v>34</v>
      </c>
      <c r="C65">
        <v>2</v>
      </c>
      <c r="D65">
        <v>0</v>
      </c>
      <c r="E65">
        <v>0</v>
      </c>
      <c r="F65">
        <v>50</v>
      </c>
      <c r="G65">
        <v>35</v>
      </c>
      <c r="H65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RESP1B-CP</vt:lpstr>
      <vt:lpstr>RUN_code</vt:lpstr>
      <vt:lpstr>RUN_code_2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abhijit roy</dc:creator>
  <cp:lastModifiedBy>abhijit roy</cp:lastModifiedBy>
  <dcterms:created xsi:type="dcterms:W3CDTF">2021-05-26T07:39:55Z</dcterms:created>
  <dcterms:modified xsi:type="dcterms:W3CDTF">2021-05-26T10:33:39Z</dcterms:modified>
</cp:coreProperties>
</file>