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E02_Ch_C_RAA_NEW_QC_LOG_BOOK\"/>
    </mc:Choice>
  </mc:AlternateContent>
  <bookViews>
    <workbookView xWindow="-5350" yWindow="-21135" windowWidth="24236" windowHeight="13735" tabRatio="500" activeTab="3"/>
  </bookViews>
  <sheets>
    <sheet name="REOX1C-WSA" sheetId="6" r:id="rId1"/>
    <sheet name="REOX1C-CP" sheetId="3" r:id="rId2"/>
    <sheet name="REOX1C-ER" sheetId="4" r:id="rId3"/>
    <sheet name="RUN_code" sheetId="1" r:id="rId4"/>
    <sheet name="CL calculation sheet" sheetId="5" r:id="rId5"/>
    <sheet name="_xlwings.conf" sheetId="2" state="hidden" r:id="rId6"/>
  </sheets>
  <definedNames>
    <definedName name="_xlnm._FilterDatabase" localSheetId="1" hidden="1">'REOX1C-CP'!$A$9:$J$9</definedName>
    <definedName name="_xlnm._FilterDatabase" localSheetId="2" hidden="1">'REOX1C-ER'!$A$14:$AE$1019</definedName>
    <definedName name="_xlnm.Print_Area" localSheetId="0">'REOX1C-WSA'!$A$1:$G$52</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E209" i="3" l="1"/>
  <c r="G209" i="3" s="1"/>
  <c r="E208" i="3"/>
  <c r="G208" i="3" s="1"/>
  <c r="E207" i="3"/>
  <c r="G207" i="3" s="1"/>
  <c r="E206" i="3"/>
  <c r="G206" i="3" s="1"/>
  <c r="E205" i="3"/>
  <c r="G205" i="3" s="1"/>
  <c r="G204" i="3"/>
  <c r="E204" i="3"/>
  <c r="E203" i="3"/>
  <c r="G203" i="3" s="1"/>
  <c r="E202" i="3"/>
  <c r="G202" i="3" s="1"/>
  <c r="E201" i="3"/>
  <c r="G201" i="3" s="1"/>
  <c r="E200" i="3"/>
  <c r="G200" i="3" s="1"/>
  <c r="E199" i="3"/>
  <c r="G199" i="3" s="1"/>
  <c r="E198" i="3"/>
  <c r="G198" i="3" s="1"/>
  <c r="E197" i="3"/>
  <c r="G197" i="3" s="1"/>
  <c r="G196" i="3"/>
  <c r="E196" i="3"/>
  <c r="E195" i="3"/>
  <c r="G195" i="3" s="1"/>
  <c r="E194" i="3"/>
  <c r="G194" i="3" s="1"/>
  <c r="E193" i="3"/>
  <c r="G193" i="3" s="1"/>
  <c r="E192" i="3"/>
  <c r="G192" i="3" s="1"/>
  <c r="E191" i="3"/>
  <c r="G191" i="3" s="1"/>
  <c r="E190" i="3"/>
  <c r="G190" i="3" s="1"/>
  <c r="E189" i="3"/>
  <c r="G189" i="3" s="1"/>
  <c r="G188" i="3"/>
  <c r="E188" i="3"/>
  <c r="E187" i="3"/>
  <c r="G187" i="3" s="1"/>
  <c r="E186" i="3"/>
  <c r="G186" i="3" s="1"/>
  <c r="E185" i="3"/>
  <c r="G185" i="3" s="1"/>
  <c r="E184" i="3"/>
  <c r="G184" i="3" s="1"/>
  <c r="E183" i="3"/>
  <c r="G183" i="3" s="1"/>
  <c r="E182" i="3"/>
  <c r="G182" i="3" s="1"/>
  <c r="E181" i="3"/>
  <c r="G181" i="3" s="1"/>
  <c r="G180" i="3"/>
  <c r="E180" i="3"/>
  <c r="E179" i="3"/>
  <c r="G179" i="3" s="1"/>
  <c r="E178" i="3"/>
  <c r="G178" i="3" s="1"/>
  <c r="E177" i="3"/>
  <c r="G177" i="3" s="1"/>
  <c r="E176" i="3"/>
  <c r="G176" i="3" s="1"/>
  <c r="E175" i="3"/>
  <c r="G175" i="3" s="1"/>
  <c r="L965" i="4"/>
  <c r="K965" i="4"/>
  <c r="J965" i="4"/>
  <c r="I965" i="4"/>
  <c r="H965" i="4"/>
  <c r="G965" i="4"/>
  <c r="F965" i="4"/>
  <c r="E965" i="4"/>
  <c r="R963" i="4" s="1"/>
  <c r="D965" i="4"/>
  <c r="U963" i="4"/>
  <c r="P962" i="4"/>
  <c r="L962" i="4"/>
  <c r="K962" i="4"/>
  <c r="J962" i="4"/>
  <c r="I962" i="4"/>
  <c r="H962" i="4"/>
  <c r="G962" i="4"/>
  <c r="F962" i="4"/>
  <c r="E962" i="4"/>
  <c r="D962" i="4"/>
  <c r="U960" i="4"/>
  <c r="L959" i="4"/>
  <c r="K959" i="4"/>
  <c r="J959" i="4"/>
  <c r="I959" i="4"/>
  <c r="H959" i="4"/>
  <c r="G959" i="4"/>
  <c r="F959" i="4"/>
  <c r="E959" i="4"/>
  <c r="D959" i="4"/>
  <c r="U957" i="4"/>
  <c r="P956" i="4"/>
  <c r="L956" i="4"/>
  <c r="K956" i="4"/>
  <c r="J956" i="4"/>
  <c r="I956" i="4"/>
  <c r="H956" i="4"/>
  <c r="G956" i="4"/>
  <c r="F956" i="4"/>
  <c r="E956" i="4"/>
  <c r="D956" i="4"/>
  <c r="U954" i="4"/>
  <c r="L953" i="4"/>
  <c r="K953" i="4"/>
  <c r="J953" i="4"/>
  <c r="I953" i="4"/>
  <c r="H953" i="4"/>
  <c r="G953" i="4"/>
  <c r="F953" i="4"/>
  <c r="E953" i="4"/>
  <c r="D953" i="4"/>
  <c r="U951" i="4"/>
  <c r="P950" i="4"/>
  <c r="L950" i="4"/>
  <c r="K950" i="4"/>
  <c r="J950" i="4"/>
  <c r="I950" i="4"/>
  <c r="H950" i="4"/>
  <c r="G950" i="4"/>
  <c r="F950" i="4"/>
  <c r="E950" i="4"/>
  <c r="D950" i="4"/>
  <c r="U948" i="4"/>
  <c r="L947" i="4"/>
  <c r="K947" i="4"/>
  <c r="J947" i="4"/>
  <c r="I947" i="4"/>
  <c r="H947" i="4"/>
  <c r="G947" i="4"/>
  <c r="F947" i="4"/>
  <c r="E947" i="4"/>
  <c r="D947" i="4"/>
  <c r="U945" i="4"/>
  <c r="P944" i="4"/>
  <c r="L944" i="4"/>
  <c r="K944" i="4"/>
  <c r="J944" i="4"/>
  <c r="I944" i="4"/>
  <c r="H944" i="4"/>
  <c r="G944" i="4"/>
  <c r="F944" i="4"/>
  <c r="E944" i="4"/>
  <c r="D944" i="4"/>
  <c r="U942" i="4"/>
  <c r="L941" i="4"/>
  <c r="K941" i="4"/>
  <c r="J941" i="4"/>
  <c r="I941" i="4"/>
  <c r="H941" i="4"/>
  <c r="G941" i="4"/>
  <c r="F941" i="4"/>
  <c r="E941" i="4"/>
  <c r="D941" i="4"/>
  <c r="U939" i="4"/>
  <c r="P938" i="4"/>
  <c r="L938" i="4"/>
  <c r="K938" i="4"/>
  <c r="J938" i="4"/>
  <c r="I938" i="4"/>
  <c r="H938" i="4"/>
  <c r="G938" i="4"/>
  <c r="F938" i="4"/>
  <c r="E938" i="4"/>
  <c r="D938" i="4"/>
  <c r="U936" i="4"/>
  <c r="L935" i="4"/>
  <c r="K935" i="4"/>
  <c r="J935" i="4"/>
  <c r="I935" i="4"/>
  <c r="H935" i="4"/>
  <c r="G935" i="4"/>
  <c r="F935" i="4"/>
  <c r="E935" i="4"/>
  <c r="D935" i="4"/>
  <c r="U933" i="4"/>
  <c r="P932" i="4"/>
  <c r="L932" i="4"/>
  <c r="K932" i="4"/>
  <c r="J932" i="4"/>
  <c r="I932" i="4"/>
  <c r="H932" i="4"/>
  <c r="G932" i="4"/>
  <c r="F932" i="4"/>
  <c r="E932" i="4"/>
  <c r="D932" i="4"/>
  <c r="U930" i="4"/>
  <c r="L929" i="4"/>
  <c r="K929" i="4"/>
  <c r="J929" i="4"/>
  <c r="I929" i="4"/>
  <c r="H929" i="4"/>
  <c r="G929" i="4"/>
  <c r="F929" i="4"/>
  <c r="E929" i="4"/>
  <c r="D929" i="4"/>
  <c r="U927" i="4"/>
  <c r="P926" i="4"/>
  <c r="L926" i="4"/>
  <c r="K926" i="4"/>
  <c r="J926" i="4"/>
  <c r="I926" i="4"/>
  <c r="H926" i="4"/>
  <c r="G926" i="4"/>
  <c r="F926" i="4"/>
  <c r="E926" i="4"/>
  <c r="D926" i="4"/>
  <c r="U924" i="4"/>
  <c r="L923" i="4"/>
  <c r="K923" i="4"/>
  <c r="J923" i="4"/>
  <c r="I923" i="4"/>
  <c r="H923" i="4"/>
  <c r="G923" i="4"/>
  <c r="F923" i="4"/>
  <c r="E923" i="4"/>
  <c r="D923" i="4"/>
  <c r="U921" i="4"/>
  <c r="P920" i="4"/>
  <c r="L920" i="4"/>
  <c r="K920" i="4"/>
  <c r="J920" i="4"/>
  <c r="I920" i="4"/>
  <c r="H920" i="4"/>
  <c r="G920" i="4"/>
  <c r="F920" i="4"/>
  <c r="E920" i="4"/>
  <c r="D920" i="4"/>
  <c r="U918" i="4"/>
  <c r="L917" i="4"/>
  <c r="K917" i="4"/>
  <c r="J917" i="4"/>
  <c r="I917" i="4"/>
  <c r="H917" i="4"/>
  <c r="G917" i="4"/>
  <c r="F917" i="4"/>
  <c r="E917" i="4"/>
  <c r="D917" i="4"/>
  <c r="U915" i="4"/>
  <c r="P914" i="4"/>
  <c r="L914" i="4"/>
  <c r="K914" i="4"/>
  <c r="J914" i="4"/>
  <c r="I914" i="4"/>
  <c r="H914" i="4"/>
  <c r="G914" i="4"/>
  <c r="F914" i="4"/>
  <c r="E914" i="4"/>
  <c r="D914" i="4"/>
  <c r="U912" i="4"/>
  <c r="L911" i="4"/>
  <c r="K911" i="4"/>
  <c r="J911" i="4"/>
  <c r="I911" i="4"/>
  <c r="H911" i="4"/>
  <c r="G911" i="4"/>
  <c r="F911" i="4"/>
  <c r="E911" i="4"/>
  <c r="D911" i="4"/>
  <c r="U909" i="4"/>
  <c r="P908" i="4"/>
  <c r="L908" i="4"/>
  <c r="K908" i="4"/>
  <c r="J908" i="4"/>
  <c r="I908" i="4"/>
  <c r="H908" i="4"/>
  <c r="G908" i="4"/>
  <c r="F908" i="4"/>
  <c r="E908" i="4"/>
  <c r="D908" i="4"/>
  <c r="U906" i="4"/>
  <c r="L905" i="4"/>
  <c r="K905" i="4"/>
  <c r="J905" i="4"/>
  <c r="I905" i="4"/>
  <c r="H905" i="4"/>
  <c r="G905" i="4"/>
  <c r="F905" i="4"/>
  <c r="E905" i="4"/>
  <c r="D905" i="4"/>
  <c r="U903" i="4"/>
  <c r="P902" i="4"/>
  <c r="L902" i="4"/>
  <c r="K902" i="4"/>
  <c r="J902" i="4"/>
  <c r="I902" i="4"/>
  <c r="H902" i="4"/>
  <c r="G902" i="4"/>
  <c r="F902" i="4"/>
  <c r="E902" i="4"/>
  <c r="D902" i="4"/>
  <c r="U900" i="4"/>
  <c r="L899" i="4"/>
  <c r="K899" i="4"/>
  <c r="J899" i="4"/>
  <c r="I899" i="4"/>
  <c r="H899" i="4"/>
  <c r="G899" i="4"/>
  <c r="F899" i="4"/>
  <c r="E899" i="4"/>
  <c r="D899" i="4"/>
  <c r="U897" i="4"/>
  <c r="P896" i="4"/>
  <c r="L896" i="4"/>
  <c r="K896" i="4"/>
  <c r="J896" i="4"/>
  <c r="I896" i="4"/>
  <c r="H896" i="4"/>
  <c r="G896" i="4"/>
  <c r="F896" i="4"/>
  <c r="E896" i="4"/>
  <c r="D896" i="4"/>
  <c r="U894" i="4"/>
  <c r="L893" i="4"/>
  <c r="K893" i="4"/>
  <c r="J893" i="4"/>
  <c r="I893" i="4"/>
  <c r="H893" i="4"/>
  <c r="G893" i="4"/>
  <c r="F893" i="4"/>
  <c r="E893" i="4"/>
  <c r="D893" i="4"/>
  <c r="U891" i="4"/>
  <c r="P890" i="4"/>
  <c r="L890" i="4"/>
  <c r="K890" i="4"/>
  <c r="J890" i="4"/>
  <c r="I890" i="4"/>
  <c r="H890" i="4"/>
  <c r="G890" i="4"/>
  <c r="F890" i="4"/>
  <c r="E890" i="4"/>
  <c r="D890" i="4"/>
  <c r="U888" i="4"/>
  <c r="L887" i="4"/>
  <c r="K887" i="4"/>
  <c r="J887" i="4"/>
  <c r="I887" i="4"/>
  <c r="H887" i="4"/>
  <c r="G887" i="4"/>
  <c r="F887" i="4"/>
  <c r="E887" i="4"/>
  <c r="D887" i="4"/>
  <c r="U885" i="4"/>
  <c r="P884" i="4"/>
  <c r="L884" i="4"/>
  <c r="K884" i="4"/>
  <c r="J884" i="4"/>
  <c r="I884" i="4"/>
  <c r="H884" i="4"/>
  <c r="G884" i="4"/>
  <c r="F884" i="4"/>
  <c r="E884" i="4"/>
  <c r="D884" i="4"/>
  <c r="U882" i="4"/>
  <c r="L881" i="4"/>
  <c r="K881" i="4"/>
  <c r="J881" i="4"/>
  <c r="I881" i="4"/>
  <c r="H881" i="4"/>
  <c r="G881" i="4"/>
  <c r="F881" i="4"/>
  <c r="E881" i="4"/>
  <c r="D881" i="4"/>
  <c r="U879" i="4"/>
  <c r="P878" i="4"/>
  <c r="L878" i="4"/>
  <c r="K878" i="4"/>
  <c r="J878" i="4"/>
  <c r="I878" i="4"/>
  <c r="H878" i="4"/>
  <c r="G878" i="4"/>
  <c r="F878" i="4"/>
  <c r="E878" i="4"/>
  <c r="D878" i="4"/>
  <c r="U876" i="4"/>
  <c r="L875" i="4"/>
  <c r="K875" i="4"/>
  <c r="J875" i="4"/>
  <c r="I875" i="4"/>
  <c r="H875" i="4"/>
  <c r="G875" i="4"/>
  <c r="F875" i="4"/>
  <c r="E875" i="4"/>
  <c r="D875" i="4"/>
  <c r="U873" i="4"/>
  <c r="P872" i="4"/>
  <c r="L872" i="4"/>
  <c r="K872" i="4"/>
  <c r="J872" i="4"/>
  <c r="I872" i="4"/>
  <c r="H872" i="4"/>
  <c r="G872" i="4"/>
  <c r="F872" i="4"/>
  <c r="E872" i="4"/>
  <c r="D872" i="4"/>
  <c r="U870" i="4"/>
  <c r="L869" i="4"/>
  <c r="K869" i="4"/>
  <c r="J869" i="4"/>
  <c r="I869" i="4"/>
  <c r="H869" i="4"/>
  <c r="G869" i="4"/>
  <c r="F869" i="4"/>
  <c r="E869" i="4"/>
  <c r="D869" i="4"/>
  <c r="U867" i="4"/>
  <c r="P866" i="4"/>
  <c r="L866" i="4"/>
  <c r="K866" i="4"/>
  <c r="J866" i="4"/>
  <c r="I866" i="4"/>
  <c r="H866" i="4"/>
  <c r="G866" i="4"/>
  <c r="F866" i="4"/>
  <c r="E866" i="4"/>
  <c r="D866" i="4"/>
  <c r="U864" i="4"/>
  <c r="L863" i="4"/>
  <c r="K863" i="4"/>
  <c r="J863" i="4"/>
  <c r="I863" i="4"/>
  <c r="H863" i="4"/>
  <c r="G863" i="4"/>
  <c r="F863" i="4"/>
  <c r="E863" i="4"/>
  <c r="D863" i="4"/>
  <c r="U861" i="4"/>
  <c r="P860" i="4"/>
  <c r="L860" i="4"/>
  <c r="K860" i="4"/>
  <c r="J860" i="4"/>
  <c r="I860" i="4"/>
  <c r="H860" i="4"/>
  <c r="G860" i="4"/>
  <c r="F860" i="4"/>
  <c r="E860" i="4"/>
  <c r="D860" i="4"/>
  <c r="U858" i="4"/>
  <c r="L857" i="4"/>
  <c r="K857" i="4"/>
  <c r="J857" i="4"/>
  <c r="I857" i="4"/>
  <c r="H857" i="4"/>
  <c r="G857" i="4"/>
  <c r="F857" i="4"/>
  <c r="E857" i="4"/>
  <c r="D857" i="4"/>
  <c r="U855" i="4"/>
  <c r="P854" i="4"/>
  <c r="L854" i="4"/>
  <c r="K854" i="4"/>
  <c r="J854" i="4"/>
  <c r="I854" i="4"/>
  <c r="H854" i="4"/>
  <c r="G854" i="4"/>
  <c r="F854" i="4"/>
  <c r="E854" i="4"/>
  <c r="D854" i="4"/>
  <c r="U852" i="4"/>
  <c r="L851" i="4"/>
  <c r="K851" i="4"/>
  <c r="J851" i="4"/>
  <c r="I851" i="4"/>
  <c r="H851" i="4"/>
  <c r="G851" i="4"/>
  <c r="F851" i="4"/>
  <c r="E851" i="4"/>
  <c r="D851" i="4"/>
  <c r="U849" i="4"/>
  <c r="P848" i="4"/>
  <c r="L848" i="4"/>
  <c r="K848" i="4"/>
  <c r="J848" i="4"/>
  <c r="I848" i="4"/>
  <c r="H848" i="4"/>
  <c r="G848" i="4"/>
  <c r="F848" i="4"/>
  <c r="E848" i="4"/>
  <c r="D848" i="4"/>
  <c r="U846" i="4"/>
  <c r="L845" i="4"/>
  <c r="K845" i="4"/>
  <c r="J845" i="4"/>
  <c r="I845" i="4"/>
  <c r="H845" i="4"/>
  <c r="G845" i="4"/>
  <c r="F845" i="4"/>
  <c r="E845" i="4"/>
  <c r="D845" i="4"/>
  <c r="U843" i="4"/>
  <c r="P842" i="4"/>
  <c r="L842" i="4"/>
  <c r="K842" i="4"/>
  <c r="J842" i="4"/>
  <c r="I842" i="4"/>
  <c r="H842" i="4"/>
  <c r="G842" i="4"/>
  <c r="F842" i="4"/>
  <c r="E842" i="4"/>
  <c r="D842" i="4"/>
  <c r="U840" i="4"/>
  <c r="L839" i="4"/>
  <c r="K839" i="4"/>
  <c r="J839" i="4"/>
  <c r="I839" i="4"/>
  <c r="H839" i="4"/>
  <c r="G839" i="4"/>
  <c r="F839" i="4"/>
  <c r="E839" i="4"/>
  <c r="D839" i="4"/>
  <c r="U837" i="4"/>
  <c r="P836" i="4"/>
  <c r="L836" i="4"/>
  <c r="K836" i="4"/>
  <c r="J836" i="4"/>
  <c r="I836" i="4"/>
  <c r="H836" i="4"/>
  <c r="G836" i="4"/>
  <c r="F836" i="4"/>
  <c r="E836" i="4"/>
  <c r="D836" i="4"/>
  <c r="U834" i="4"/>
  <c r="L833" i="4"/>
  <c r="K833" i="4"/>
  <c r="J833" i="4"/>
  <c r="I833" i="4"/>
  <c r="H833" i="4"/>
  <c r="G833" i="4"/>
  <c r="F833" i="4"/>
  <c r="E833" i="4"/>
  <c r="D833" i="4"/>
  <c r="U831" i="4"/>
  <c r="P830" i="4"/>
  <c r="L830" i="4"/>
  <c r="K830" i="4"/>
  <c r="J830" i="4"/>
  <c r="I830" i="4"/>
  <c r="H830" i="4"/>
  <c r="G830" i="4"/>
  <c r="F830" i="4"/>
  <c r="E830" i="4"/>
  <c r="D830" i="4"/>
  <c r="U828" i="4"/>
  <c r="L827" i="4"/>
  <c r="K827" i="4"/>
  <c r="J827" i="4"/>
  <c r="I827" i="4"/>
  <c r="H827" i="4"/>
  <c r="G827" i="4"/>
  <c r="F827" i="4"/>
  <c r="E827" i="4"/>
  <c r="D827" i="4"/>
  <c r="U825" i="4"/>
  <c r="P824" i="4"/>
  <c r="L824" i="4"/>
  <c r="K824" i="4"/>
  <c r="J824" i="4"/>
  <c r="I824" i="4"/>
  <c r="H824" i="4"/>
  <c r="G824" i="4"/>
  <c r="F824" i="4"/>
  <c r="E824" i="4"/>
  <c r="D824" i="4"/>
  <c r="U822" i="4"/>
  <c r="L821" i="4"/>
  <c r="K821" i="4"/>
  <c r="J821" i="4"/>
  <c r="I821" i="4"/>
  <c r="H821" i="4"/>
  <c r="G821" i="4"/>
  <c r="F821" i="4"/>
  <c r="E821" i="4"/>
  <c r="D821" i="4"/>
  <c r="U819" i="4"/>
  <c r="P818" i="4"/>
  <c r="L818" i="4"/>
  <c r="K818" i="4"/>
  <c r="J818" i="4"/>
  <c r="I818" i="4"/>
  <c r="H818" i="4"/>
  <c r="G818" i="4"/>
  <c r="F818" i="4"/>
  <c r="E818" i="4"/>
  <c r="D818" i="4"/>
  <c r="U816" i="4"/>
  <c r="L815" i="4"/>
  <c r="K815" i="4"/>
  <c r="J815" i="4"/>
  <c r="I815" i="4"/>
  <c r="H815" i="4"/>
  <c r="G815" i="4"/>
  <c r="F815" i="4"/>
  <c r="E815" i="4"/>
  <c r="D815" i="4"/>
  <c r="U813" i="4"/>
  <c r="P812" i="4"/>
  <c r="L812" i="4"/>
  <c r="K812" i="4"/>
  <c r="J812" i="4"/>
  <c r="I812" i="4"/>
  <c r="H812" i="4"/>
  <c r="G812" i="4"/>
  <c r="F812" i="4"/>
  <c r="E812" i="4"/>
  <c r="D812" i="4"/>
  <c r="U810" i="4"/>
  <c r="L809" i="4"/>
  <c r="K809" i="4"/>
  <c r="J809" i="4"/>
  <c r="I809" i="4"/>
  <c r="H809" i="4"/>
  <c r="G809" i="4"/>
  <c r="F809" i="4"/>
  <c r="E809" i="4"/>
  <c r="D809" i="4"/>
  <c r="U807" i="4"/>
  <c r="P806" i="4"/>
  <c r="L806" i="4"/>
  <c r="K806" i="4"/>
  <c r="J806" i="4"/>
  <c r="I806" i="4"/>
  <c r="H806" i="4"/>
  <c r="G806" i="4"/>
  <c r="F806" i="4"/>
  <c r="E806" i="4"/>
  <c r="D806" i="4"/>
  <c r="U804" i="4"/>
  <c r="L803" i="4"/>
  <c r="K803" i="4"/>
  <c r="J803" i="4"/>
  <c r="I803" i="4"/>
  <c r="H803" i="4"/>
  <c r="G803" i="4"/>
  <c r="F803" i="4"/>
  <c r="E803" i="4"/>
  <c r="D803" i="4"/>
  <c r="U801" i="4"/>
  <c r="P800" i="4"/>
  <c r="L800" i="4"/>
  <c r="K800" i="4"/>
  <c r="J800" i="4"/>
  <c r="I800" i="4"/>
  <c r="H800" i="4"/>
  <c r="G800" i="4"/>
  <c r="F800" i="4"/>
  <c r="E800" i="4"/>
  <c r="D800" i="4"/>
  <c r="U798" i="4"/>
  <c r="L797" i="4"/>
  <c r="K797" i="4"/>
  <c r="J797" i="4"/>
  <c r="I797" i="4"/>
  <c r="H797" i="4"/>
  <c r="G797" i="4"/>
  <c r="F797" i="4"/>
  <c r="E797" i="4"/>
  <c r="D797" i="4"/>
  <c r="U795" i="4"/>
  <c r="P794" i="4"/>
  <c r="L794" i="4"/>
  <c r="K794" i="4"/>
  <c r="J794" i="4"/>
  <c r="I794" i="4"/>
  <c r="H794" i="4"/>
  <c r="G794" i="4"/>
  <c r="F794" i="4"/>
  <c r="E794" i="4"/>
  <c r="D794" i="4"/>
  <c r="U792" i="4"/>
  <c r="L791" i="4"/>
  <c r="K791" i="4"/>
  <c r="J791" i="4"/>
  <c r="I791" i="4"/>
  <c r="H791" i="4"/>
  <c r="G791" i="4"/>
  <c r="F791" i="4"/>
  <c r="E791" i="4"/>
  <c r="D791" i="4"/>
  <c r="U789" i="4"/>
  <c r="P788" i="4"/>
  <c r="L788" i="4"/>
  <c r="K788" i="4"/>
  <c r="J788" i="4"/>
  <c r="I788" i="4"/>
  <c r="H788" i="4"/>
  <c r="G788" i="4"/>
  <c r="F788" i="4"/>
  <c r="E788" i="4"/>
  <c r="D788" i="4"/>
  <c r="U786" i="4"/>
  <c r="Q909" i="4" l="1"/>
  <c r="S951" i="4"/>
  <c r="R957" i="4"/>
  <c r="Q963" i="4"/>
  <c r="R867" i="4"/>
  <c r="Q786" i="4"/>
  <c r="S816" i="4"/>
  <c r="S849" i="4"/>
  <c r="S858" i="4"/>
  <c r="R864" i="4"/>
  <c r="R915" i="4"/>
  <c r="S918" i="4"/>
  <c r="R939" i="4"/>
  <c r="S948" i="4"/>
  <c r="Q882" i="4"/>
  <c r="Q798" i="4"/>
  <c r="R912" i="4"/>
  <c r="S798" i="4"/>
  <c r="Q789" i="4"/>
  <c r="R840" i="4"/>
  <c r="Q792" i="4"/>
  <c r="R810" i="4"/>
  <c r="Q795" i="4"/>
  <c r="R813" i="4"/>
  <c r="Q834" i="4"/>
  <c r="Q861" i="4"/>
  <c r="S870" i="4"/>
  <c r="R888" i="4"/>
  <c r="S897" i="4"/>
  <c r="S906" i="4"/>
  <c r="Q930" i="4"/>
  <c r="Q936" i="4"/>
  <c r="Q942" i="4"/>
  <c r="S942" i="4"/>
  <c r="R960" i="4"/>
  <c r="S846" i="4"/>
  <c r="R855" i="4"/>
  <c r="S873" i="4"/>
  <c r="S876" i="4"/>
  <c r="R891" i="4"/>
  <c r="Q906" i="4"/>
  <c r="S909" i="4"/>
  <c r="Q933" i="4"/>
  <c r="T933" i="4" s="1"/>
  <c r="Q945" i="4"/>
  <c r="S945" i="4"/>
  <c r="R954" i="4"/>
  <c r="R801" i="4"/>
  <c r="T963" i="4"/>
  <c r="S801" i="4"/>
  <c r="R816" i="4"/>
  <c r="S822" i="4"/>
  <c r="Q837" i="4"/>
  <c r="S825" i="4"/>
  <c r="R843" i="4"/>
  <c r="Q858" i="4"/>
  <c r="S861" i="4"/>
  <c r="Q885" i="4"/>
  <c r="S894" i="4"/>
  <c r="R903" i="4"/>
  <c r="S921" i="4"/>
  <c r="S924" i="4"/>
  <c r="R936" i="4"/>
  <c r="Q939" i="4"/>
  <c r="S789" i="4"/>
  <c r="R828" i="4"/>
  <c r="Q846" i="4"/>
  <c r="S792" i="4"/>
  <c r="S807" i="4"/>
  <c r="Q810" i="4"/>
  <c r="Q813" i="4"/>
  <c r="Q816" i="4"/>
  <c r="R831" i="4"/>
  <c r="S834" i="4"/>
  <c r="Q840" i="4"/>
  <c r="R807" i="4"/>
  <c r="S810" i="4"/>
  <c r="S813" i="4"/>
  <c r="R819" i="4"/>
  <c r="Q822" i="4"/>
  <c r="Q825" i="4"/>
  <c r="R834" i="4"/>
  <c r="T834" i="4" s="1"/>
  <c r="V834" i="4" s="1"/>
  <c r="R837" i="4"/>
  <c r="S840" i="4"/>
  <c r="S843" i="4"/>
  <c r="R852" i="4"/>
  <c r="S855" i="4"/>
  <c r="Q864" i="4"/>
  <c r="Q867" i="4"/>
  <c r="Q870" i="4"/>
  <c r="Q873" i="4"/>
  <c r="R882" i="4"/>
  <c r="T882" i="4" s="1"/>
  <c r="R885" i="4"/>
  <c r="S888" i="4"/>
  <c r="S891" i="4"/>
  <c r="R900" i="4"/>
  <c r="S903" i="4"/>
  <c r="Q912" i="4"/>
  <c r="T912" i="4" s="1"/>
  <c r="Q915" i="4"/>
  <c r="Q918" i="4"/>
  <c r="Q921" i="4"/>
  <c r="R930" i="4"/>
  <c r="R933" i="4"/>
  <c r="S954" i="4"/>
  <c r="S957" i="4"/>
  <c r="Q960" i="4"/>
  <c r="S960" i="4"/>
  <c r="S804" i="4"/>
  <c r="S819" i="4"/>
  <c r="Q843" i="4"/>
  <c r="R858" i="4"/>
  <c r="R861" i="4"/>
  <c r="S864" i="4"/>
  <c r="S867" i="4"/>
  <c r="R876" i="4"/>
  <c r="S879" i="4"/>
  <c r="Q888" i="4"/>
  <c r="Q891" i="4"/>
  <c r="Q894" i="4"/>
  <c r="Q897" i="4"/>
  <c r="R906" i="4"/>
  <c r="R909" i="4"/>
  <c r="T909" i="4" s="1"/>
  <c r="S912" i="4"/>
  <c r="S915" i="4"/>
  <c r="R924" i="4"/>
  <c r="S927" i="4"/>
  <c r="R792" i="4"/>
  <c r="R795" i="4"/>
  <c r="T795" i="4" s="1"/>
  <c r="S831" i="4"/>
  <c r="Q849" i="4"/>
  <c r="R786" i="4"/>
  <c r="T786" i="4" s="1"/>
  <c r="R789" i="4"/>
  <c r="T789" i="4" s="1"/>
  <c r="S795" i="4"/>
  <c r="Q804" i="4"/>
  <c r="S837" i="4"/>
  <c r="S852" i="4"/>
  <c r="R879" i="4"/>
  <c r="S882" i="4"/>
  <c r="S885" i="4"/>
  <c r="S900" i="4"/>
  <c r="R927" i="4"/>
  <c r="S930" i="4"/>
  <c r="S933" i="4"/>
  <c r="S936" i="4"/>
  <c r="S939" i="4"/>
  <c r="R948" i="4"/>
  <c r="R951" i="4"/>
  <c r="Q957" i="4"/>
  <c r="T957" i="4" s="1"/>
  <c r="S963" i="4"/>
  <c r="R798" i="4"/>
  <c r="Q819" i="4"/>
  <c r="S828" i="4"/>
  <c r="S786" i="4"/>
  <c r="Q801" i="4"/>
  <c r="R804" i="4"/>
  <c r="Q807" i="4"/>
  <c r="Q828" i="4"/>
  <c r="Q831" i="4"/>
  <c r="Q852" i="4"/>
  <c r="Q855" i="4"/>
  <c r="Q876" i="4"/>
  <c r="Q879" i="4"/>
  <c r="Q900" i="4"/>
  <c r="Q903" i="4"/>
  <c r="Q924" i="4"/>
  <c r="Q927" i="4"/>
  <c r="Q948" i="4"/>
  <c r="Q951" i="4"/>
  <c r="Q954" i="4"/>
  <c r="R825" i="4"/>
  <c r="R846" i="4"/>
  <c r="R849" i="4"/>
  <c r="R870" i="4"/>
  <c r="R873" i="4"/>
  <c r="R894" i="4"/>
  <c r="R897" i="4"/>
  <c r="R918" i="4"/>
  <c r="R921" i="4"/>
  <c r="R942" i="4"/>
  <c r="R945" i="4"/>
  <c r="T945" i="4" s="1"/>
  <c r="R822" i="4"/>
  <c r="L1019" i="4"/>
  <c r="K1019" i="4"/>
  <c r="J1019" i="4"/>
  <c r="I1019" i="4"/>
  <c r="H1019" i="4"/>
  <c r="G1019" i="4"/>
  <c r="F1019" i="4"/>
  <c r="E1019" i="4"/>
  <c r="D1019" i="4"/>
  <c r="V1017" i="4"/>
  <c r="U1017" i="4"/>
  <c r="T1017" i="4"/>
  <c r="S1017" i="4"/>
  <c r="R1017" i="4"/>
  <c r="Q1017" i="4"/>
  <c r="P1016" i="4"/>
  <c r="L1016" i="4"/>
  <c r="K1016" i="4"/>
  <c r="J1016" i="4"/>
  <c r="I1016" i="4"/>
  <c r="H1016" i="4"/>
  <c r="G1016" i="4"/>
  <c r="F1016" i="4"/>
  <c r="E1016" i="4"/>
  <c r="D1016" i="4"/>
  <c r="V1014" i="4"/>
  <c r="U1014" i="4"/>
  <c r="T1014" i="4"/>
  <c r="S1014" i="4"/>
  <c r="R1014" i="4"/>
  <c r="Q1014" i="4"/>
  <c r="L1013" i="4"/>
  <c r="K1013" i="4"/>
  <c r="J1013" i="4"/>
  <c r="I1013" i="4"/>
  <c r="H1013" i="4"/>
  <c r="G1013" i="4"/>
  <c r="F1013" i="4"/>
  <c r="E1013" i="4"/>
  <c r="D1013" i="4"/>
  <c r="V1011" i="4"/>
  <c r="U1011" i="4"/>
  <c r="T1011" i="4"/>
  <c r="S1011" i="4"/>
  <c r="R1011" i="4"/>
  <c r="Q1011" i="4"/>
  <c r="P1010" i="4"/>
  <c r="L1010" i="4"/>
  <c r="S1008" i="4" s="1"/>
  <c r="K1010" i="4"/>
  <c r="J1010" i="4"/>
  <c r="I1010" i="4"/>
  <c r="H1010" i="4"/>
  <c r="G1010" i="4"/>
  <c r="F1010" i="4"/>
  <c r="E1010" i="4"/>
  <c r="D1010" i="4"/>
  <c r="V1008" i="4"/>
  <c r="U1008" i="4"/>
  <c r="T1008" i="4"/>
  <c r="R1008" i="4"/>
  <c r="Q1008" i="4"/>
  <c r="L1007" i="4"/>
  <c r="K1007" i="4"/>
  <c r="J1007" i="4"/>
  <c r="I1007" i="4"/>
  <c r="H1007" i="4"/>
  <c r="G1007" i="4"/>
  <c r="F1007" i="4"/>
  <c r="E1007" i="4"/>
  <c r="D1007" i="4"/>
  <c r="V1005" i="4"/>
  <c r="U1005" i="4"/>
  <c r="T1005" i="4"/>
  <c r="S1005" i="4"/>
  <c r="R1005" i="4"/>
  <c r="Q1005" i="4"/>
  <c r="P1004" i="4"/>
  <c r="L1004" i="4"/>
  <c r="K1004" i="4"/>
  <c r="J1004" i="4"/>
  <c r="I1004" i="4"/>
  <c r="H1004" i="4"/>
  <c r="G1004" i="4"/>
  <c r="F1004" i="4"/>
  <c r="E1004" i="4"/>
  <c r="D1004" i="4"/>
  <c r="V1002" i="4"/>
  <c r="U1002" i="4"/>
  <c r="T1002" i="4"/>
  <c r="S1002" i="4"/>
  <c r="R1002" i="4"/>
  <c r="Q1002" i="4"/>
  <c r="L1001" i="4"/>
  <c r="K1001" i="4"/>
  <c r="J1001" i="4"/>
  <c r="I1001" i="4"/>
  <c r="H1001" i="4"/>
  <c r="G1001" i="4"/>
  <c r="F1001" i="4"/>
  <c r="E1001" i="4"/>
  <c r="D1001" i="4"/>
  <c r="V999" i="4"/>
  <c r="U999" i="4"/>
  <c r="T999" i="4"/>
  <c r="S999" i="4"/>
  <c r="R999" i="4"/>
  <c r="Q999" i="4"/>
  <c r="P998" i="4"/>
  <c r="L998" i="4"/>
  <c r="K998" i="4"/>
  <c r="J998" i="4"/>
  <c r="I998" i="4"/>
  <c r="H998" i="4"/>
  <c r="G998" i="4"/>
  <c r="F998" i="4"/>
  <c r="E998" i="4"/>
  <c r="D998" i="4"/>
  <c r="V996" i="4"/>
  <c r="U996" i="4"/>
  <c r="T996" i="4"/>
  <c r="S996" i="4"/>
  <c r="R996" i="4"/>
  <c r="Q996" i="4"/>
  <c r="L995" i="4"/>
  <c r="S993" i="4" s="1"/>
  <c r="K995" i="4"/>
  <c r="J995" i="4"/>
  <c r="I995" i="4"/>
  <c r="H995" i="4"/>
  <c r="G995" i="4"/>
  <c r="F995" i="4"/>
  <c r="E995" i="4"/>
  <c r="D995" i="4"/>
  <c r="V993" i="4"/>
  <c r="U993" i="4"/>
  <c r="T993" i="4"/>
  <c r="R993" i="4"/>
  <c r="Q993" i="4"/>
  <c r="P992" i="4"/>
  <c r="L992" i="4"/>
  <c r="K992" i="4"/>
  <c r="J992" i="4"/>
  <c r="I992" i="4"/>
  <c r="H992" i="4"/>
  <c r="G992" i="4"/>
  <c r="F992" i="4"/>
  <c r="E992" i="4"/>
  <c r="D992" i="4"/>
  <c r="V990" i="4"/>
  <c r="U990" i="4"/>
  <c r="T990" i="4"/>
  <c r="S990" i="4"/>
  <c r="R990" i="4"/>
  <c r="Q990" i="4"/>
  <c r="L989" i="4"/>
  <c r="S987" i="4" s="1"/>
  <c r="K989" i="4"/>
  <c r="J989" i="4"/>
  <c r="I989" i="4"/>
  <c r="H989" i="4"/>
  <c r="G989" i="4"/>
  <c r="F989" i="4"/>
  <c r="E989" i="4"/>
  <c r="D989" i="4"/>
  <c r="V987" i="4"/>
  <c r="U987" i="4"/>
  <c r="T987" i="4"/>
  <c r="R987" i="4"/>
  <c r="Q987" i="4"/>
  <c r="P986" i="4"/>
  <c r="L986" i="4"/>
  <c r="K986" i="4"/>
  <c r="J986" i="4"/>
  <c r="I986" i="4"/>
  <c r="H986" i="4"/>
  <c r="G986" i="4"/>
  <c r="F986" i="4"/>
  <c r="E986" i="4"/>
  <c r="D986" i="4"/>
  <c r="V984" i="4"/>
  <c r="U984" i="4"/>
  <c r="T984" i="4"/>
  <c r="S984" i="4"/>
  <c r="R984" i="4"/>
  <c r="Q984" i="4"/>
  <c r="L983" i="4"/>
  <c r="K983" i="4"/>
  <c r="J983" i="4"/>
  <c r="I983" i="4"/>
  <c r="H983" i="4"/>
  <c r="G983" i="4"/>
  <c r="F983" i="4"/>
  <c r="E983" i="4"/>
  <c r="D983" i="4"/>
  <c r="V981" i="4"/>
  <c r="U981" i="4"/>
  <c r="T981" i="4"/>
  <c r="S981" i="4"/>
  <c r="R981" i="4"/>
  <c r="Q981" i="4"/>
  <c r="P980" i="4"/>
  <c r="L980" i="4"/>
  <c r="K980" i="4"/>
  <c r="J980" i="4"/>
  <c r="I980" i="4"/>
  <c r="H980" i="4"/>
  <c r="G980" i="4"/>
  <c r="F980" i="4"/>
  <c r="E980" i="4"/>
  <c r="D980" i="4"/>
  <c r="V978" i="4"/>
  <c r="U978" i="4"/>
  <c r="T978" i="4"/>
  <c r="S978" i="4"/>
  <c r="R978" i="4"/>
  <c r="Q978" i="4"/>
  <c r="L977" i="4"/>
  <c r="K977" i="4"/>
  <c r="J977" i="4"/>
  <c r="I977" i="4"/>
  <c r="H977" i="4"/>
  <c r="G977" i="4"/>
  <c r="F977" i="4"/>
  <c r="E977" i="4"/>
  <c r="D977" i="4"/>
  <c r="V975" i="4"/>
  <c r="U975" i="4"/>
  <c r="T975" i="4"/>
  <c r="S975" i="4"/>
  <c r="R975" i="4"/>
  <c r="Q975" i="4"/>
  <c r="P974" i="4"/>
  <c r="L974" i="4"/>
  <c r="K974" i="4"/>
  <c r="J974" i="4"/>
  <c r="I974" i="4"/>
  <c r="H974" i="4"/>
  <c r="G974" i="4"/>
  <c r="F974" i="4"/>
  <c r="E974" i="4"/>
  <c r="D974" i="4"/>
  <c r="V972" i="4"/>
  <c r="U972" i="4"/>
  <c r="T972" i="4"/>
  <c r="S972" i="4"/>
  <c r="R972" i="4"/>
  <c r="Q972" i="4"/>
  <c r="L971" i="4"/>
  <c r="K971" i="4"/>
  <c r="J971" i="4"/>
  <c r="I971" i="4"/>
  <c r="H971" i="4"/>
  <c r="G971" i="4"/>
  <c r="F971" i="4"/>
  <c r="E971" i="4"/>
  <c r="D971" i="4"/>
  <c r="Q969" i="4"/>
  <c r="R969" i="4"/>
  <c r="T969" i="4"/>
  <c r="S969" i="4"/>
  <c r="V969" i="4"/>
  <c r="U969" i="4"/>
  <c r="P968" i="4"/>
  <c r="L968" i="4"/>
  <c r="K968" i="4"/>
  <c r="J968" i="4"/>
  <c r="I968" i="4"/>
  <c r="H968" i="4"/>
  <c r="G968" i="4"/>
  <c r="F968" i="4"/>
  <c r="E968" i="4"/>
  <c r="D968" i="4"/>
  <c r="Q966" i="4"/>
  <c r="R966" i="4"/>
  <c r="T966" i="4"/>
  <c r="S966" i="4"/>
  <c r="V966" i="4"/>
  <c r="U966" i="4"/>
  <c r="F98" i="5"/>
  <c r="H102" i="5" s="1"/>
  <c r="F99" i="5"/>
  <c r="F100" i="5"/>
  <c r="H101" i="5" s="1"/>
  <c r="G98" i="5"/>
  <c r="G102" i="5" s="1"/>
  <c r="G99" i="5"/>
  <c r="G100" i="5"/>
  <c r="B98" i="5"/>
  <c r="D102" i="5" s="1"/>
  <c r="B99" i="5"/>
  <c r="B100" i="5"/>
  <c r="C98" i="5"/>
  <c r="C102" i="5" s="1"/>
  <c r="C99" i="5"/>
  <c r="C100" i="5"/>
  <c r="D101" i="5"/>
  <c r="H99" i="5"/>
  <c r="H100" i="5" s="1"/>
  <c r="D99" i="5"/>
  <c r="D100" i="5" s="1"/>
  <c r="D17" i="4"/>
  <c r="E17" i="4"/>
  <c r="F17" i="4"/>
  <c r="G17" i="4"/>
  <c r="H17" i="4"/>
  <c r="I17" i="4"/>
  <c r="J17" i="4"/>
  <c r="K17" i="4"/>
  <c r="L17" i="4"/>
  <c r="U15" i="4"/>
  <c r="D20" i="4"/>
  <c r="E20" i="4"/>
  <c r="F20" i="4"/>
  <c r="G20" i="4"/>
  <c r="H20" i="4"/>
  <c r="I20" i="4"/>
  <c r="J20" i="4"/>
  <c r="K20" i="4"/>
  <c r="L20" i="4"/>
  <c r="U18" i="4"/>
  <c r="P20" i="4"/>
  <c r="D23" i="4"/>
  <c r="E23" i="4"/>
  <c r="F23" i="4"/>
  <c r="G23" i="4"/>
  <c r="H23" i="4"/>
  <c r="I23" i="4"/>
  <c r="J23" i="4"/>
  <c r="K23" i="4"/>
  <c r="L23" i="4"/>
  <c r="U21" i="4"/>
  <c r="P23" i="4"/>
  <c r="D26" i="4"/>
  <c r="E26" i="4"/>
  <c r="F26" i="4"/>
  <c r="G26" i="4"/>
  <c r="H26" i="4"/>
  <c r="I26" i="4"/>
  <c r="J26" i="4"/>
  <c r="K26" i="4"/>
  <c r="L26" i="4"/>
  <c r="U24" i="4"/>
  <c r="P26" i="4"/>
  <c r="D29" i="4"/>
  <c r="E29" i="4"/>
  <c r="F29" i="4"/>
  <c r="G29" i="4"/>
  <c r="H29" i="4"/>
  <c r="I29" i="4"/>
  <c r="J29" i="4"/>
  <c r="K29" i="4"/>
  <c r="L29" i="4"/>
  <c r="U27" i="4"/>
  <c r="P29" i="4"/>
  <c r="D32" i="4"/>
  <c r="E32" i="4"/>
  <c r="F32" i="4"/>
  <c r="G32" i="4"/>
  <c r="H32" i="4"/>
  <c r="I32" i="4"/>
  <c r="J32" i="4"/>
  <c r="K32" i="4"/>
  <c r="L32" i="4"/>
  <c r="U30" i="4"/>
  <c r="P32" i="4"/>
  <c r="D35" i="4"/>
  <c r="E35" i="4"/>
  <c r="F35" i="4"/>
  <c r="G35" i="4"/>
  <c r="H35" i="4"/>
  <c r="I35" i="4"/>
  <c r="J35" i="4"/>
  <c r="K35" i="4"/>
  <c r="L35" i="4"/>
  <c r="U33" i="4"/>
  <c r="D38" i="4"/>
  <c r="E38" i="4"/>
  <c r="F38" i="4"/>
  <c r="G38" i="4"/>
  <c r="H38" i="4"/>
  <c r="I38" i="4"/>
  <c r="J38" i="4"/>
  <c r="K38" i="4"/>
  <c r="L38" i="4"/>
  <c r="U36" i="4"/>
  <c r="P38" i="4"/>
  <c r="D41" i="4"/>
  <c r="E41" i="4"/>
  <c r="F41" i="4"/>
  <c r="G41" i="4"/>
  <c r="H41" i="4"/>
  <c r="I41" i="4"/>
  <c r="J41" i="4"/>
  <c r="K41" i="4"/>
  <c r="L41" i="4"/>
  <c r="U39" i="4"/>
  <c r="D44" i="4"/>
  <c r="E44" i="4"/>
  <c r="F44" i="4"/>
  <c r="G44" i="4"/>
  <c r="H44" i="4"/>
  <c r="I44" i="4"/>
  <c r="J44" i="4"/>
  <c r="K44" i="4"/>
  <c r="L44" i="4"/>
  <c r="U42" i="4"/>
  <c r="P44" i="4"/>
  <c r="D47" i="4"/>
  <c r="E47" i="4"/>
  <c r="F47" i="4"/>
  <c r="G47" i="4"/>
  <c r="H47" i="4"/>
  <c r="I47" i="4"/>
  <c r="J47" i="4"/>
  <c r="K47" i="4"/>
  <c r="L47" i="4"/>
  <c r="U45" i="4"/>
  <c r="D50" i="4"/>
  <c r="E50" i="4"/>
  <c r="F50" i="4"/>
  <c r="G50" i="4"/>
  <c r="H50" i="4"/>
  <c r="I50" i="4"/>
  <c r="J50" i="4"/>
  <c r="K50" i="4"/>
  <c r="L50" i="4"/>
  <c r="U48" i="4"/>
  <c r="P50" i="4"/>
  <c r="D53" i="4"/>
  <c r="E53" i="4"/>
  <c r="F53" i="4"/>
  <c r="G53" i="4"/>
  <c r="H53" i="4"/>
  <c r="I53" i="4"/>
  <c r="J53" i="4"/>
  <c r="K53" i="4"/>
  <c r="L53" i="4"/>
  <c r="U51" i="4"/>
  <c r="D56" i="4"/>
  <c r="E56" i="4"/>
  <c r="F56" i="4"/>
  <c r="G56" i="4"/>
  <c r="H56" i="4"/>
  <c r="I56" i="4"/>
  <c r="J56" i="4"/>
  <c r="K56" i="4"/>
  <c r="L56" i="4"/>
  <c r="U54" i="4"/>
  <c r="P56" i="4"/>
  <c r="D59" i="4"/>
  <c r="E59" i="4"/>
  <c r="F59" i="4"/>
  <c r="G59" i="4"/>
  <c r="H59" i="4"/>
  <c r="I59" i="4"/>
  <c r="J59" i="4"/>
  <c r="K59" i="4"/>
  <c r="L59" i="4"/>
  <c r="U57" i="4"/>
  <c r="P59" i="4"/>
  <c r="D62" i="4"/>
  <c r="E62" i="4"/>
  <c r="F62" i="4"/>
  <c r="G62" i="4"/>
  <c r="H62" i="4"/>
  <c r="I62" i="4"/>
  <c r="J62" i="4"/>
  <c r="K62" i="4"/>
  <c r="L62" i="4"/>
  <c r="U60" i="4"/>
  <c r="P62" i="4"/>
  <c r="D65" i="4"/>
  <c r="E65" i="4"/>
  <c r="F65" i="4"/>
  <c r="G65" i="4"/>
  <c r="H65" i="4"/>
  <c r="I65" i="4"/>
  <c r="J65" i="4"/>
  <c r="K65" i="4"/>
  <c r="L65" i="4"/>
  <c r="U63" i="4"/>
  <c r="D68" i="4"/>
  <c r="E68" i="4"/>
  <c r="F68" i="4"/>
  <c r="G68" i="4"/>
  <c r="H68" i="4"/>
  <c r="I68" i="4"/>
  <c r="J68" i="4"/>
  <c r="K68" i="4"/>
  <c r="L68" i="4"/>
  <c r="U66" i="4"/>
  <c r="D71" i="4"/>
  <c r="E71" i="4"/>
  <c r="F71" i="4"/>
  <c r="G71" i="4"/>
  <c r="H71" i="4"/>
  <c r="I71" i="4"/>
  <c r="J71" i="4"/>
  <c r="K71" i="4"/>
  <c r="L71" i="4"/>
  <c r="U69" i="4"/>
  <c r="P71" i="4"/>
  <c r="D74" i="4"/>
  <c r="E74" i="4"/>
  <c r="F74" i="4"/>
  <c r="G74" i="4"/>
  <c r="H74" i="4"/>
  <c r="I74" i="4"/>
  <c r="J74" i="4"/>
  <c r="K74" i="4"/>
  <c r="L74" i="4"/>
  <c r="U72" i="4"/>
  <c r="D77" i="4"/>
  <c r="E77" i="4"/>
  <c r="F77" i="4"/>
  <c r="G77" i="4"/>
  <c r="H77" i="4"/>
  <c r="I77" i="4"/>
  <c r="J77" i="4"/>
  <c r="K77" i="4"/>
  <c r="L77" i="4"/>
  <c r="U75" i="4"/>
  <c r="P77" i="4"/>
  <c r="D80" i="4"/>
  <c r="E80" i="4"/>
  <c r="F80" i="4"/>
  <c r="G80" i="4"/>
  <c r="H80" i="4"/>
  <c r="I80" i="4"/>
  <c r="J80" i="4"/>
  <c r="K80" i="4"/>
  <c r="L80" i="4"/>
  <c r="U78" i="4"/>
  <c r="P80" i="4"/>
  <c r="D83" i="4"/>
  <c r="E83" i="4"/>
  <c r="F83" i="4"/>
  <c r="G83" i="4"/>
  <c r="H83" i="4"/>
  <c r="I83" i="4"/>
  <c r="J83" i="4"/>
  <c r="K83" i="4"/>
  <c r="L83" i="4"/>
  <c r="U81" i="4"/>
  <c r="D86" i="4"/>
  <c r="E86" i="4"/>
  <c r="F86" i="4"/>
  <c r="G86" i="4"/>
  <c r="H86" i="4"/>
  <c r="I86" i="4"/>
  <c r="J86" i="4"/>
  <c r="K86" i="4"/>
  <c r="L86" i="4"/>
  <c r="U84" i="4"/>
  <c r="P86" i="4"/>
  <c r="D89" i="4"/>
  <c r="E89" i="4"/>
  <c r="F89" i="4"/>
  <c r="G89" i="4"/>
  <c r="H89" i="4"/>
  <c r="I89" i="4"/>
  <c r="J89" i="4"/>
  <c r="K89" i="4"/>
  <c r="L89" i="4"/>
  <c r="U87" i="4"/>
  <c r="D92" i="4"/>
  <c r="E92" i="4"/>
  <c r="F92" i="4"/>
  <c r="G92" i="4"/>
  <c r="H92" i="4"/>
  <c r="I92" i="4"/>
  <c r="J92" i="4"/>
  <c r="K92" i="4"/>
  <c r="L92" i="4"/>
  <c r="U90" i="4"/>
  <c r="P92" i="4"/>
  <c r="D95" i="4"/>
  <c r="E95" i="4"/>
  <c r="F95" i="4"/>
  <c r="G95" i="4"/>
  <c r="H95" i="4"/>
  <c r="I95" i="4"/>
  <c r="J95" i="4"/>
  <c r="K95" i="4"/>
  <c r="L95" i="4"/>
  <c r="U93" i="4"/>
  <c r="D98" i="4"/>
  <c r="E98" i="4"/>
  <c r="F98" i="4"/>
  <c r="G98" i="4"/>
  <c r="H98" i="4"/>
  <c r="I98" i="4"/>
  <c r="J98" i="4"/>
  <c r="K98" i="4"/>
  <c r="L98" i="4"/>
  <c r="U96" i="4"/>
  <c r="P98" i="4"/>
  <c r="D101" i="4"/>
  <c r="E101" i="4"/>
  <c r="F101" i="4"/>
  <c r="G101" i="4"/>
  <c r="H101" i="4"/>
  <c r="I101" i="4"/>
  <c r="J101" i="4"/>
  <c r="K101" i="4"/>
  <c r="L101" i="4"/>
  <c r="U99" i="4"/>
  <c r="D104" i="4"/>
  <c r="E104" i="4"/>
  <c r="F104" i="4"/>
  <c r="G104" i="4"/>
  <c r="H104" i="4"/>
  <c r="I104" i="4"/>
  <c r="J104" i="4"/>
  <c r="K104" i="4"/>
  <c r="L104" i="4"/>
  <c r="U102" i="4"/>
  <c r="P104" i="4"/>
  <c r="D107" i="4"/>
  <c r="E107" i="4"/>
  <c r="F107" i="4"/>
  <c r="G107" i="4"/>
  <c r="H107" i="4"/>
  <c r="I107" i="4"/>
  <c r="J107" i="4"/>
  <c r="K107" i="4"/>
  <c r="L107" i="4"/>
  <c r="U105" i="4"/>
  <c r="D110" i="4"/>
  <c r="E110" i="4"/>
  <c r="F110" i="4"/>
  <c r="G110" i="4"/>
  <c r="H110" i="4"/>
  <c r="I110" i="4"/>
  <c r="J110" i="4"/>
  <c r="K110" i="4"/>
  <c r="L110" i="4"/>
  <c r="U108" i="4"/>
  <c r="P110" i="4"/>
  <c r="D113" i="4"/>
  <c r="E113" i="4"/>
  <c r="F113" i="4"/>
  <c r="G113" i="4"/>
  <c r="H113" i="4"/>
  <c r="I113" i="4"/>
  <c r="J113" i="4"/>
  <c r="K113" i="4"/>
  <c r="L113" i="4"/>
  <c r="U111" i="4"/>
  <c r="D116" i="4"/>
  <c r="E116" i="4"/>
  <c r="F116" i="4"/>
  <c r="G116" i="4"/>
  <c r="H116" i="4"/>
  <c r="I116" i="4"/>
  <c r="J116" i="4"/>
  <c r="K116" i="4"/>
  <c r="L116" i="4"/>
  <c r="U114" i="4"/>
  <c r="P116" i="4"/>
  <c r="D119" i="4"/>
  <c r="E119" i="4"/>
  <c r="F119" i="4"/>
  <c r="G119" i="4"/>
  <c r="H119" i="4"/>
  <c r="I119" i="4"/>
  <c r="J119" i="4"/>
  <c r="K119" i="4"/>
  <c r="L119" i="4"/>
  <c r="U117" i="4"/>
  <c r="D122" i="4"/>
  <c r="E122" i="4"/>
  <c r="F122" i="4"/>
  <c r="G122" i="4"/>
  <c r="H122" i="4"/>
  <c r="I122" i="4"/>
  <c r="J122" i="4"/>
  <c r="K122" i="4"/>
  <c r="L122" i="4"/>
  <c r="U120" i="4"/>
  <c r="P122" i="4"/>
  <c r="D125" i="4"/>
  <c r="E125" i="4"/>
  <c r="F125" i="4"/>
  <c r="G125" i="4"/>
  <c r="H125" i="4"/>
  <c r="I125" i="4"/>
  <c r="J125" i="4"/>
  <c r="K125" i="4"/>
  <c r="L125" i="4"/>
  <c r="U123" i="4"/>
  <c r="D128" i="4"/>
  <c r="E128" i="4"/>
  <c r="F128" i="4"/>
  <c r="G128" i="4"/>
  <c r="H128" i="4"/>
  <c r="I128" i="4"/>
  <c r="J128" i="4"/>
  <c r="K128" i="4"/>
  <c r="L128" i="4"/>
  <c r="U126" i="4"/>
  <c r="P128" i="4"/>
  <c r="D131" i="4"/>
  <c r="E131" i="4"/>
  <c r="F131" i="4"/>
  <c r="G131" i="4"/>
  <c r="H131" i="4"/>
  <c r="I131" i="4"/>
  <c r="J131" i="4"/>
  <c r="K131" i="4"/>
  <c r="L131" i="4"/>
  <c r="U129" i="4"/>
  <c r="P131" i="4"/>
  <c r="D134" i="4"/>
  <c r="E134" i="4"/>
  <c r="F134" i="4"/>
  <c r="G134" i="4"/>
  <c r="H134" i="4"/>
  <c r="I134" i="4"/>
  <c r="J134" i="4"/>
  <c r="K134" i="4"/>
  <c r="L134" i="4"/>
  <c r="U132" i="4"/>
  <c r="D137" i="4"/>
  <c r="E137" i="4"/>
  <c r="F137" i="4"/>
  <c r="G137" i="4"/>
  <c r="H137" i="4"/>
  <c r="I137" i="4"/>
  <c r="J137" i="4"/>
  <c r="K137" i="4"/>
  <c r="L137" i="4"/>
  <c r="U135" i="4"/>
  <c r="P137" i="4"/>
  <c r="D140" i="4"/>
  <c r="E140" i="4"/>
  <c r="F140" i="4"/>
  <c r="G140" i="4"/>
  <c r="H140" i="4"/>
  <c r="I140" i="4"/>
  <c r="J140" i="4"/>
  <c r="K140" i="4"/>
  <c r="L140" i="4"/>
  <c r="U138" i="4"/>
  <c r="D143" i="4"/>
  <c r="E143" i="4"/>
  <c r="F143" i="4"/>
  <c r="G143" i="4"/>
  <c r="H143" i="4"/>
  <c r="I143" i="4"/>
  <c r="J143" i="4"/>
  <c r="K143" i="4"/>
  <c r="L143" i="4"/>
  <c r="U141" i="4"/>
  <c r="P143" i="4"/>
  <c r="D146" i="4"/>
  <c r="E146" i="4"/>
  <c r="F146" i="4"/>
  <c r="G146" i="4"/>
  <c r="H146" i="4"/>
  <c r="I146" i="4"/>
  <c r="J146" i="4"/>
  <c r="K146" i="4"/>
  <c r="L146" i="4"/>
  <c r="U144" i="4"/>
  <c r="D149" i="4"/>
  <c r="E149" i="4"/>
  <c r="F149" i="4"/>
  <c r="G149" i="4"/>
  <c r="H149" i="4"/>
  <c r="I149" i="4"/>
  <c r="J149" i="4"/>
  <c r="K149" i="4"/>
  <c r="L149" i="4"/>
  <c r="U147" i="4"/>
  <c r="P149" i="4"/>
  <c r="D152" i="4"/>
  <c r="E152" i="4"/>
  <c r="F152" i="4"/>
  <c r="G152" i="4"/>
  <c r="H152" i="4"/>
  <c r="I152" i="4"/>
  <c r="J152" i="4"/>
  <c r="K152" i="4"/>
  <c r="L152" i="4"/>
  <c r="U150" i="4"/>
  <c r="D155" i="4"/>
  <c r="E155" i="4"/>
  <c r="F155" i="4"/>
  <c r="G155" i="4"/>
  <c r="H155" i="4"/>
  <c r="I155" i="4"/>
  <c r="J155" i="4"/>
  <c r="K155" i="4"/>
  <c r="L155" i="4"/>
  <c r="U153" i="4"/>
  <c r="P155" i="4"/>
  <c r="D158" i="4"/>
  <c r="E158" i="4"/>
  <c r="F158" i="4"/>
  <c r="G158" i="4"/>
  <c r="H158" i="4"/>
  <c r="I158" i="4"/>
  <c r="J158" i="4"/>
  <c r="K158" i="4"/>
  <c r="L158" i="4"/>
  <c r="U156" i="4"/>
  <c r="D161" i="4"/>
  <c r="E161" i="4"/>
  <c r="F161" i="4"/>
  <c r="G161" i="4"/>
  <c r="H161" i="4"/>
  <c r="I161" i="4"/>
  <c r="J161" i="4"/>
  <c r="K161" i="4"/>
  <c r="L161" i="4"/>
  <c r="U159" i="4"/>
  <c r="P161" i="4"/>
  <c r="D164" i="4"/>
  <c r="E164" i="4"/>
  <c r="F164" i="4"/>
  <c r="G164" i="4"/>
  <c r="H164" i="4"/>
  <c r="I164" i="4"/>
  <c r="J164" i="4"/>
  <c r="K164" i="4"/>
  <c r="L164" i="4"/>
  <c r="U162" i="4"/>
  <c r="D167" i="4"/>
  <c r="E167" i="4"/>
  <c r="F167" i="4"/>
  <c r="G167" i="4"/>
  <c r="H167" i="4"/>
  <c r="I167" i="4"/>
  <c r="J167" i="4"/>
  <c r="K167" i="4"/>
  <c r="L167" i="4"/>
  <c r="U165" i="4"/>
  <c r="P167" i="4"/>
  <c r="D170" i="4"/>
  <c r="E170" i="4"/>
  <c r="F170" i="4"/>
  <c r="G170" i="4"/>
  <c r="H170" i="4"/>
  <c r="I170" i="4"/>
  <c r="J170" i="4"/>
  <c r="K170" i="4"/>
  <c r="L170" i="4"/>
  <c r="U168" i="4"/>
  <c r="D173" i="4"/>
  <c r="E173" i="4"/>
  <c r="F173" i="4"/>
  <c r="G173" i="4"/>
  <c r="H173" i="4"/>
  <c r="I173" i="4"/>
  <c r="J173" i="4"/>
  <c r="K173" i="4"/>
  <c r="L173" i="4"/>
  <c r="U171" i="4"/>
  <c r="P173" i="4"/>
  <c r="D176" i="4"/>
  <c r="E176" i="4"/>
  <c r="F176" i="4"/>
  <c r="G176" i="4"/>
  <c r="H176" i="4"/>
  <c r="I176" i="4"/>
  <c r="J176" i="4"/>
  <c r="K176" i="4"/>
  <c r="L176" i="4"/>
  <c r="U174" i="4"/>
  <c r="D179" i="4"/>
  <c r="E179" i="4"/>
  <c r="F179" i="4"/>
  <c r="G179" i="4"/>
  <c r="H179" i="4"/>
  <c r="I179" i="4"/>
  <c r="J179" i="4"/>
  <c r="K179" i="4"/>
  <c r="L179" i="4"/>
  <c r="U177" i="4"/>
  <c r="P179" i="4"/>
  <c r="D182" i="4"/>
  <c r="E182" i="4"/>
  <c r="F182" i="4"/>
  <c r="G182" i="4"/>
  <c r="H182" i="4"/>
  <c r="I182" i="4"/>
  <c r="Q180" i="4" s="1"/>
  <c r="J182" i="4"/>
  <c r="K182" i="4"/>
  <c r="L182" i="4"/>
  <c r="U180" i="4"/>
  <c r="D185" i="4"/>
  <c r="E185" i="4"/>
  <c r="F185" i="4"/>
  <c r="G185" i="4"/>
  <c r="H185" i="4"/>
  <c r="I185" i="4"/>
  <c r="J185" i="4"/>
  <c r="K185" i="4"/>
  <c r="L185" i="4"/>
  <c r="U183" i="4"/>
  <c r="P185" i="4"/>
  <c r="D188" i="4"/>
  <c r="E188" i="4"/>
  <c r="F188" i="4"/>
  <c r="G188" i="4"/>
  <c r="H188" i="4"/>
  <c r="I188" i="4"/>
  <c r="J188" i="4"/>
  <c r="K188" i="4"/>
  <c r="L188" i="4"/>
  <c r="U186" i="4"/>
  <c r="D191" i="4"/>
  <c r="E191" i="4"/>
  <c r="F191" i="4"/>
  <c r="G191" i="4"/>
  <c r="H191" i="4"/>
  <c r="I191" i="4"/>
  <c r="J191" i="4"/>
  <c r="K191" i="4"/>
  <c r="L191" i="4"/>
  <c r="U189" i="4"/>
  <c r="P191" i="4"/>
  <c r="D194" i="4"/>
  <c r="E194" i="4"/>
  <c r="F194" i="4"/>
  <c r="G194" i="4"/>
  <c r="H194" i="4"/>
  <c r="I194" i="4"/>
  <c r="J194" i="4"/>
  <c r="K194" i="4"/>
  <c r="L194" i="4"/>
  <c r="U192" i="4"/>
  <c r="D197" i="4"/>
  <c r="E197" i="4"/>
  <c r="F197" i="4"/>
  <c r="G197" i="4"/>
  <c r="H197" i="4"/>
  <c r="I197" i="4"/>
  <c r="J197" i="4"/>
  <c r="K197" i="4"/>
  <c r="L197" i="4"/>
  <c r="U195" i="4"/>
  <c r="P197" i="4"/>
  <c r="D200" i="4"/>
  <c r="E200" i="4"/>
  <c r="F200" i="4"/>
  <c r="G200" i="4"/>
  <c r="H200" i="4"/>
  <c r="I200" i="4"/>
  <c r="J200" i="4"/>
  <c r="K200" i="4"/>
  <c r="L200" i="4"/>
  <c r="U198" i="4"/>
  <c r="D203" i="4"/>
  <c r="E203" i="4"/>
  <c r="F203" i="4"/>
  <c r="G203" i="4"/>
  <c r="H203" i="4"/>
  <c r="I203" i="4"/>
  <c r="J203" i="4"/>
  <c r="K203" i="4"/>
  <c r="L203" i="4"/>
  <c r="U201" i="4"/>
  <c r="P203" i="4"/>
  <c r="D206" i="4"/>
  <c r="E206" i="4"/>
  <c r="F206" i="4"/>
  <c r="G206" i="4"/>
  <c r="H206" i="4"/>
  <c r="I206" i="4"/>
  <c r="J206" i="4"/>
  <c r="K206" i="4"/>
  <c r="L206" i="4"/>
  <c r="U204" i="4"/>
  <c r="D209" i="4"/>
  <c r="E209" i="4"/>
  <c r="F209" i="4"/>
  <c r="G209" i="4"/>
  <c r="H209" i="4"/>
  <c r="I209" i="4"/>
  <c r="J209" i="4"/>
  <c r="K209" i="4"/>
  <c r="L209" i="4"/>
  <c r="U207" i="4"/>
  <c r="P209" i="4"/>
  <c r="D212" i="4"/>
  <c r="E212" i="4"/>
  <c r="F212" i="4"/>
  <c r="G212" i="4"/>
  <c r="H212" i="4"/>
  <c r="I212" i="4"/>
  <c r="J212" i="4"/>
  <c r="K212" i="4"/>
  <c r="L212" i="4"/>
  <c r="U210" i="4"/>
  <c r="D215" i="4"/>
  <c r="E215" i="4"/>
  <c r="F215" i="4"/>
  <c r="G215" i="4"/>
  <c r="H215" i="4"/>
  <c r="I215" i="4"/>
  <c r="J215" i="4"/>
  <c r="K215" i="4"/>
  <c r="L215" i="4"/>
  <c r="U213" i="4"/>
  <c r="P215" i="4"/>
  <c r="D218" i="4"/>
  <c r="E218" i="4"/>
  <c r="F218" i="4"/>
  <c r="G218" i="4"/>
  <c r="S216" i="4" s="1"/>
  <c r="H218" i="4"/>
  <c r="I218" i="4"/>
  <c r="J218" i="4"/>
  <c r="K218" i="4"/>
  <c r="L218" i="4"/>
  <c r="U216" i="4"/>
  <c r="D221" i="4"/>
  <c r="E221" i="4"/>
  <c r="F221" i="4"/>
  <c r="G221" i="4"/>
  <c r="H221" i="4"/>
  <c r="I221" i="4"/>
  <c r="J221" i="4"/>
  <c r="K221" i="4"/>
  <c r="L221" i="4"/>
  <c r="U219" i="4"/>
  <c r="P221" i="4"/>
  <c r="D224" i="4"/>
  <c r="E224" i="4"/>
  <c r="F224" i="4"/>
  <c r="G224" i="4"/>
  <c r="H224" i="4"/>
  <c r="I224" i="4"/>
  <c r="J224" i="4"/>
  <c r="K224" i="4"/>
  <c r="L224" i="4"/>
  <c r="U222" i="4"/>
  <c r="D227" i="4"/>
  <c r="E227" i="4"/>
  <c r="F227" i="4"/>
  <c r="G227" i="4"/>
  <c r="H227" i="4"/>
  <c r="I227" i="4"/>
  <c r="J227" i="4"/>
  <c r="K227" i="4"/>
  <c r="L227" i="4"/>
  <c r="U225" i="4"/>
  <c r="P227" i="4"/>
  <c r="D230" i="4"/>
  <c r="E230" i="4"/>
  <c r="F230" i="4"/>
  <c r="G230" i="4"/>
  <c r="H230" i="4"/>
  <c r="I230" i="4"/>
  <c r="J230" i="4"/>
  <c r="K230" i="4"/>
  <c r="L230" i="4"/>
  <c r="U228" i="4"/>
  <c r="D233" i="4"/>
  <c r="E233" i="4"/>
  <c r="F233" i="4"/>
  <c r="G233" i="4"/>
  <c r="H233" i="4"/>
  <c r="I233" i="4"/>
  <c r="J233" i="4"/>
  <c r="K233" i="4"/>
  <c r="L233" i="4"/>
  <c r="U231" i="4"/>
  <c r="P233" i="4"/>
  <c r="D236" i="4"/>
  <c r="E236" i="4"/>
  <c r="F236" i="4"/>
  <c r="G236" i="4"/>
  <c r="H236" i="4"/>
  <c r="I236" i="4"/>
  <c r="J236" i="4"/>
  <c r="K236" i="4"/>
  <c r="L236" i="4"/>
  <c r="U234" i="4"/>
  <c r="D239" i="4"/>
  <c r="E239" i="4"/>
  <c r="F239" i="4"/>
  <c r="G239" i="4"/>
  <c r="H239" i="4"/>
  <c r="I239" i="4"/>
  <c r="J239" i="4"/>
  <c r="K239" i="4"/>
  <c r="L239" i="4"/>
  <c r="U237" i="4"/>
  <c r="P239" i="4"/>
  <c r="D242" i="4"/>
  <c r="E242" i="4"/>
  <c r="F242" i="4"/>
  <c r="G242" i="4"/>
  <c r="S240" i="4" s="1"/>
  <c r="H242" i="4"/>
  <c r="I242" i="4"/>
  <c r="J242" i="4"/>
  <c r="K242" i="4"/>
  <c r="L242" i="4"/>
  <c r="U240" i="4"/>
  <c r="D245" i="4"/>
  <c r="E245" i="4"/>
  <c r="F245" i="4"/>
  <c r="G245" i="4"/>
  <c r="H245" i="4"/>
  <c r="I245" i="4"/>
  <c r="J245" i="4"/>
  <c r="K245" i="4"/>
  <c r="L245" i="4"/>
  <c r="U243" i="4"/>
  <c r="P245" i="4"/>
  <c r="D248" i="4"/>
  <c r="E248" i="4"/>
  <c r="F248" i="4"/>
  <c r="G248" i="4"/>
  <c r="H248" i="4"/>
  <c r="I248" i="4"/>
  <c r="J248" i="4"/>
  <c r="K248" i="4"/>
  <c r="L248" i="4"/>
  <c r="U246" i="4"/>
  <c r="D251" i="4"/>
  <c r="E251" i="4"/>
  <c r="F251" i="4"/>
  <c r="G251" i="4"/>
  <c r="H251" i="4"/>
  <c r="I251" i="4"/>
  <c r="J251" i="4"/>
  <c r="K251" i="4"/>
  <c r="L251" i="4"/>
  <c r="U249" i="4"/>
  <c r="P251" i="4"/>
  <c r="D254" i="4"/>
  <c r="E254" i="4"/>
  <c r="F254" i="4"/>
  <c r="G254" i="4"/>
  <c r="H254" i="4"/>
  <c r="I254" i="4"/>
  <c r="J254" i="4"/>
  <c r="K254" i="4"/>
  <c r="L254" i="4"/>
  <c r="U252" i="4"/>
  <c r="D257" i="4"/>
  <c r="E257" i="4"/>
  <c r="F257" i="4"/>
  <c r="G257" i="4"/>
  <c r="H257" i="4"/>
  <c r="I257" i="4"/>
  <c r="J257" i="4"/>
  <c r="K257" i="4"/>
  <c r="L257" i="4"/>
  <c r="U255" i="4"/>
  <c r="P257" i="4"/>
  <c r="D260" i="4"/>
  <c r="E260" i="4"/>
  <c r="F260" i="4"/>
  <c r="G260" i="4"/>
  <c r="H260" i="4"/>
  <c r="I260" i="4"/>
  <c r="J260" i="4"/>
  <c r="K260" i="4"/>
  <c r="L260" i="4"/>
  <c r="S258" i="4" s="1"/>
  <c r="U258" i="4"/>
  <c r="D263" i="4"/>
  <c r="E263" i="4"/>
  <c r="F263" i="4"/>
  <c r="G263" i="4"/>
  <c r="H263" i="4"/>
  <c r="I263" i="4"/>
  <c r="J263" i="4"/>
  <c r="K263" i="4"/>
  <c r="L263" i="4"/>
  <c r="U261" i="4"/>
  <c r="P263" i="4"/>
  <c r="D266" i="4"/>
  <c r="E266" i="4"/>
  <c r="F266" i="4"/>
  <c r="G266" i="4"/>
  <c r="H266" i="4"/>
  <c r="I266" i="4"/>
  <c r="J266" i="4"/>
  <c r="K266" i="4"/>
  <c r="L266" i="4"/>
  <c r="U264" i="4"/>
  <c r="D269" i="4"/>
  <c r="E269" i="4"/>
  <c r="F269" i="4"/>
  <c r="G269" i="4"/>
  <c r="H269" i="4"/>
  <c r="I269" i="4"/>
  <c r="J269" i="4"/>
  <c r="K269" i="4"/>
  <c r="L269" i="4"/>
  <c r="U267" i="4"/>
  <c r="P269" i="4"/>
  <c r="D272" i="4"/>
  <c r="E272" i="4"/>
  <c r="F272" i="4"/>
  <c r="G272" i="4"/>
  <c r="H272" i="4"/>
  <c r="I272" i="4"/>
  <c r="J272" i="4"/>
  <c r="K272" i="4"/>
  <c r="L272" i="4"/>
  <c r="U270" i="4"/>
  <c r="D275" i="4"/>
  <c r="E275" i="4"/>
  <c r="F275" i="4"/>
  <c r="G275" i="4"/>
  <c r="H275" i="4"/>
  <c r="I275" i="4"/>
  <c r="J275" i="4"/>
  <c r="K275" i="4"/>
  <c r="L275" i="4"/>
  <c r="U273" i="4"/>
  <c r="P275" i="4"/>
  <c r="D278" i="4"/>
  <c r="E278" i="4"/>
  <c r="F278" i="4"/>
  <c r="G278" i="4"/>
  <c r="H278" i="4"/>
  <c r="I278" i="4"/>
  <c r="J278" i="4"/>
  <c r="K278" i="4"/>
  <c r="L278" i="4"/>
  <c r="U276" i="4"/>
  <c r="D281" i="4"/>
  <c r="E281" i="4"/>
  <c r="F281" i="4"/>
  <c r="G281" i="4"/>
  <c r="H281" i="4"/>
  <c r="I281" i="4"/>
  <c r="J281" i="4"/>
  <c r="K281" i="4"/>
  <c r="L281" i="4"/>
  <c r="U279" i="4"/>
  <c r="P281" i="4"/>
  <c r="D284" i="4"/>
  <c r="E284" i="4"/>
  <c r="F284" i="4"/>
  <c r="G284" i="4"/>
  <c r="H284" i="4"/>
  <c r="I284" i="4"/>
  <c r="J284" i="4"/>
  <c r="K284" i="4"/>
  <c r="L284" i="4"/>
  <c r="U282" i="4"/>
  <c r="D287" i="4"/>
  <c r="E287" i="4"/>
  <c r="F287" i="4"/>
  <c r="G287" i="4"/>
  <c r="H287" i="4"/>
  <c r="I287" i="4"/>
  <c r="J287" i="4"/>
  <c r="K287" i="4"/>
  <c r="L287" i="4"/>
  <c r="U285" i="4"/>
  <c r="P287" i="4"/>
  <c r="D290" i="4"/>
  <c r="E290" i="4"/>
  <c r="F290" i="4"/>
  <c r="G290" i="4"/>
  <c r="H290" i="4"/>
  <c r="I290" i="4"/>
  <c r="J290" i="4"/>
  <c r="K290" i="4"/>
  <c r="L290" i="4"/>
  <c r="U288" i="4"/>
  <c r="D293" i="4"/>
  <c r="E293" i="4"/>
  <c r="F293" i="4"/>
  <c r="G293" i="4"/>
  <c r="H293" i="4"/>
  <c r="I293" i="4"/>
  <c r="J293" i="4"/>
  <c r="K293" i="4"/>
  <c r="L293" i="4"/>
  <c r="U291" i="4"/>
  <c r="P293" i="4"/>
  <c r="D296" i="4"/>
  <c r="E296" i="4"/>
  <c r="F296" i="4"/>
  <c r="G296" i="4"/>
  <c r="H296" i="4"/>
  <c r="I296" i="4"/>
  <c r="J296" i="4"/>
  <c r="K296" i="4"/>
  <c r="L296" i="4"/>
  <c r="U294" i="4"/>
  <c r="D299" i="4"/>
  <c r="E299" i="4"/>
  <c r="F299" i="4"/>
  <c r="G299" i="4"/>
  <c r="H299" i="4"/>
  <c r="I299" i="4"/>
  <c r="J299" i="4"/>
  <c r="K299" i="4"/>
  <c r="L299" i="4"/>
  <c r="U297" i="4"/>
  <c r="P299" i="4"/>
  <c r="D302" i="4"/>
  <c r="E302" i="4"/>
  <c r="F302" i="4"/>
  <c r="G302" i="4"/>
  <c r="H302" i="4"/>
  <c r="I302" i="4"/>
  <c r="J302" i="4"/>
  <c r="K302" i="4"/>
  <c r="L302" i="4"/>
  <c r="U300" i="4"/>
  <c r="D305" i="4"/>
  <c r="E305" i="4"/>
  <c r="F305" i="4"/>
  <c r="G305" i="4"/>
  <c r="H305" i="4"/>
  <c r="I305" i="4"/>
  <c r="J305" i="4"/>
  <c r="K305" i="4"/>
  <c r="L305" i="4"/>
  <c r="U303" i="4"/>
  <c r="P305" i="4"/>
  <c r="D308" i="4"/>
  <c r="E308" i="4"/>
  <c r="F308" i="4"/>
  <c r="G308" i="4"/>
  <c r="H308" i="4"/>
  <c r="I308" i="4"/>
  <c r="J308" i="4"/>
  <c r="K308" i="4"/>
  <c r="L308" i="4"/>
  <c r="U306" i="4"/>
  <c r="D311" i="4"/>
  <c r="E311" i="4"/>
  <c r="F311" i="4"/>
  <c r="G311" i="4"/>
  <c r="H311" i="4"/>
  <c r="I311" i="4"/>
  <c r="J311" i="4"/>
  <c r="K311" i="4"/>
  <c r="L311" i="4"/>
  <c r="U309" i="4"/>
  <c r="P311" i="4"/>
  <c r="D314" i="4"/>
  <c r="E314" i="4"/>
  <c r="F314" i="4"/>
  <c r="G314" i="4"/>
  <c r="H314" i="4"/>
  <c r="I314" i="4"/>
  <c r="J314" i="4"/>
  <c r="K314" i="4"/>
  <c r="L314" i="4"/>
  <c r="U312" i="4"/>
  <c r="D317" i="4"/>
  <c r="E317" i="4"/>
  <c r="F317" i="4"/>
  <c r="G317" i="4"/>
  <c r="H317" i="4"/>
  <c r="I317" i="4"/>
  <c r="J317" i="4"/>
  <c r="K317" i="4"/>
  <c r="L317" i="4"/>
  <c r="U315" i="4"/>
  <c r="P317" i="4"/>
  <c r="D320" i="4"/>
  <c r="E320" i="4"/>
  <c r="F320" i="4"/>
  <c r="G320" i="4"/>
  <c r="H320" i="4"/>
  <c r="I320" i="4"/>
  <c r="J320" i="4"/>
  <c r="K320" i="4"/>
  <c r="L320" i="4"/>
  <c r="U318" i="4"/>
  <c r="D323" i="4"/>
  <c r="E323" i="4"/>
  <c r="F323" i="4"/>
  <c r="G323" i="4"/>
  <c r="H323" i="4"/>
  <c r="I323" i="4"/>
  <c r="J323" i="4"/>
  <c r="K323" i="4"/>
  <c r="L323" i="4"/>
  <c r="U321" i="4"/>
  <c r="P323" i="4"/>
  <c r="D326" i="4"/>
  <c r="E326" i="4"/>
  <c r="F326" i="4"/>
  <c r="G326" i="4"/>
  <c r="H326" i="4"/>
  <c r="I326" i="4"/>
  <c r="J326" i="4"/>
  <c r="K326" i="4"/>
  <c r="L326" i="4"/>
  <c r="U324" i="4"/>
  <c r="D329" i="4"/>
  <c r="E329" i="4"/>
  <c r="F329" i="4"/>
  <c r="G329" i="4"/>
  <c r="H329" i="4"/>
  <c r="I329" i="4"/>
  <c r="J329" i="4"/>
  <c r="K329" i="4"/>
  <c r="L329" i="4"/>
  <c r="U327" i="4"/>
  <c r="P329" i="4"/>
  <c r="D332" i="4"/>
  <c r="E332" i="4"/>
  <c r="F332" i="4"/>
  <c r="G332" i="4"/>
  <c r="H332" i="4"/>
  <c r="I332" i="4"/>
  <c r="J332" i="4"/>
  <c r="K332" i="4"/>
  <c r="L332" i="4"/>
  <c r="U330" i="4"/>
  <c r="D335" i="4"/>
  <c r="E335" i="4"/>
  <c r="F335" i="4"/>
  <c r="G335" i="4"/>
  <c r="H335" i="4"/>
  <c r="I335" i="4"/>
  <c r="J335" i="4"/>
  <c r="K335" i="4"/>
  <c r="L335" i="4"/>
  <c r="U333" i="4"/>
  <c r="P335" i="4"/>
  <c r="D338" i="4"/>
  <c r="E338" i="4"/>
  <c r="F338" i="4"/>
  <c r="G338" i="4"/>
  <c r="H338" i="4"/>
  <c r="I338" i="4"/>
  <c r="J338" i="4"/>
  <c r="K338" i="4"/>
  <c r="L338" i="4"/>
  <c r="U336" i="4"/>
  <c r="D341" i="4"/>
  <c r="E341" i="4"/>
  <c r="F341" i="4"/>
  <c r="G341" i="4"/>
  <c r="H341" i="4"/>
  <c r="I341" i="4"/>
  <c r="J341" i="4"/>
  <c r="K341" i="4"/>
  <c r="L341" i="4"/>
  <c r="U339" i="4"/>
  <c r="P341" i="4"/>
  <c r="D344" i="4"/>
  <c r="E344" i="4"/>
  <c r="F344" i="4"/>
  <c r="G344" i="4"/>
  <c r="H344" i="4"/>
  <c r="I344" i="4"/>
  <c r="J344" i="4"/>
  <c r="K344" i="4"/>
  <c r="L344" i="4"/>
  <c r="U342" i="4"/>
  <c r="D347" i="4"/>
  <c r="E347" i="4"/>
  <c r="F347" i="4"/>
  <c r="G347" i="4"/>
  <c r="H347" i="4"/>
  <c r="I347" i="4"/>
  <c r="J347" i="4"/>
  <c r="K347" i="4"/>
  <c r="L347" i="4"/>
  <c r="U345" i="4"/>
  <c r="P347" i="4"/>
  <c r="D350" i="4"/>
  <c r="E350" i="4"/>
  <c r="F350" i="4"/>
  <c r="G350" i="4"/>
  <c r="H350" i="4"/>
  <c r="I350" i="4"/>
  <c r="J350" i="4"/>
  <c r="K350" i="4"/>
  <c r="L350" i="4"/>
  <c r="U348" i="4"/>
  <c r="D353" i="4"/>
  <c r="E353" i="4"/>
  <c r="F353" i="4"/>
  <c r="G353" i="4"/>
  <c r="H353" i="4"/>
  <c r="I353" i="4"/>
  <c r="J353" i="4"/>
  <c r="K353" i="4"/>
  <c r="L353" i="4"/>
  <c r="U351" i="4"/>
  <c r="P353" i="4"/>
  <c r="D356" i="4"/>
  <c r="E356" i="4"/>
  <c r="F356" i="4"/>
  <c r="G356" i="4"/>
  <c r="H356" i="4"/>
  <c r="I356" i="4"/>
  <c r="J356" i="4"/>
  <c r="K356" i="4"/>
  <c r="L356" i="4"/>
  <c r="U354" i="4"/>
  <c r="D359" i="4"/>
  <c r="E359" i="4"/>
  <c r="F359" i="4"/>
  <c r="G359" i="4"/>
  <c r="H359" i="4"/>
  <c r="I359" i="4"/>
  <c r="J359" i="4"/>
  <c r="K359" i="4"/>
  <c r="L359" i="4"/>
  <c r="U357" i="4"/>
  <c r="P359" i="4"/>
  <c r="D362" i="4"/>
  <c r="E362" i="4"/>
  <c r="F362" i="4"/>
  <c r="G362" i="4"/>
  <c r="H362" i="4"/>
  <c r="I362" i="4"/>
  <c r="J362" i="4"/>
  <c r="K362" i="4"/>
  <c r="L362" i="4"/>
  <c r="U360" i="4"/>
  <c r="D365" i="4"/>
  <c r="E365" i="4"/>
  <c r="F365" i="4"/>
  <c r="G365" i="4"/>
  <c r="H365" i="4"/>
  <c r="I365" i="4"/>
  <c r="J365" i="4"/>
  <c r="K365" i="4"/>
  <c r="L365" i="4"/>
  <c r="U363" i="4"/>
  <c r="P365" i="4"/>
  <c r="D368" i="4"/>
  <c r="E368" i="4"/>
  <c r="F368" i="4"/>
  <c r="G368" i="4"/>
  <c r="H368" i="4"/>
  <c r="I368" i="4"/>
  <c r="J368" i="4"/>
  <c r="K368" i="4"/>
  <c r="L368" i="4"/>
  <c r="U366" i="4"/>
  <c r="D371" i="4"/>
  <c r="E371" i="4"/>
  <c r="F371" i="4"/>
  <c r="G371" i="4"/>
  <c r="H371" i="4"/>
  <c r="I371" i="4"/>
  <c r="J371" i="4"/>
  <c r="K371" i="4"/>
  <c r="L371" i="4"/>
  <c r="U369" i="4"/>
  <c r="P371" i="4"/>
  <c r="D374" i="4"/>
  <c r="E374" i="4"/>
  <c r="F374" i="4"/>
  <c r="G374" i="4"/>
  <c r="H374" i="4"/>
  <c r="I374" i="4"/>
  <c r="J374" i="4"/>
  <c r="K374" i="4"/>
  <c r="L374" i="4"/>
  <c r="U372" i="4"/>
  <c r="D377" i="4"/>
  <c r="E377" i="4"/>
  <c r="F377" i="4"/>
  <c r="G377" i="4"/>
  <c r="H377" i="4"/>
  <c r="I377" i="4"/>
  <c r="J377" i="4"/>
  <c r="K377" i="4"/>
  <c r="L377" i="4"/>
  <c r="U375" i="4"/>
  <c r="P377" i="4"/>
  <c r="D380" i="4"/>
  <c r="E380" i="4"/>
  <c r="F380" i="4"/>
  <c r="G380" i="4"/>
  <c r="H380" i="4"/>
  <c r="I380" i="4"/>
  <c r="J380" i="4"/>
  <c r="K380" i="4"/>
  <c r="L380" i="4"/>
  <c r="U378" i="4"/>
  <c r="D383" i="4"/>
  <c r="E383" i="4"/>
  <c r="F383" i="4"/>
  <c r="G383" i="4"/>
  <c r="H383" i="4"/>
  <c r="I383" i="4"/>
  <c r="J383" i="4"/>
  <c r="K383" i="4"/>
  <c r="L383" i="4"/>
  <c r="U381" i="4"/>
  <c r="P383" i="4"/>
  <c r="D386" i="4"/>
  <c r="E386" i="4"/>
  <c r="F386" i="4"/>
  <c r="G386" i="4"/>
  <c r="H386" i="4"/>
  <c r="I386" i="4"/>
  <c r="J386" i="4"/>
  <c r="K386" i="4"/>
  <c r="L386" i="4"/>
  <c r="U384" i="4"/>
  <c r="D389" i="4"/>
  <c r="E389" i="4"/>
  <c r="F389" i="4"/>
  <c r="G389" i="4"/>
  <c r="H389" i="4"/>
  <c r="I389" i="4"/>
  <c r="J389" i="4"/>
  <c r="K389" i="4"/>
  <c r="L389" i="4"/>
  <c r="U387" i="4"/>
  <c r="P389" i="4"/>
  <c r="D392" i="4"/>
  <c r="E392" i="4"/>
  <c r="F392" i="4"/>
  <c r="G392" i="4"/>
  <c r="H392" i="4"/>
  <c r="I392" i="4"/>
  <c r="J392" i="4"/>
  <c r="K392" i="4"/>
  <c r="L392" i="4"/>
  <c r="U390" i="4"/>
  <c r="D395" i="4"/>
  <c r="E395" i="4"/>
  <c r="F395" i="4"/>
  <c r="G395" i="4"/>
  <c r="H395" i="4"/>
  <c r="I395" i="4"/>
  <c r="J395" i="4"/>
  <c r="K395" i="4"/>
  <c r="L395" i="4"/>
  <c r="U393" i="4"/>
  <c r="P395" i="4"/>
  <c r="D398" i="4"/>
  <c r="E398" i="4"/>
  <c r="F398" i="4"/>
  <c r="G398" i="4"/>
  <c r="H398" i="4"/>
  <c r="I398" i="4"/>
  <c r="J398" i="4"/>
  <c r="K398" i="4"/>
  <c r="L398" i="4"/>
  <c r="U396" i="4"/>
  <c r="D401" i="4"/>
  <c r="E401" i="4"/>
  <c r="F401" i="4"/>
  <c r="G401" i="4"/>
  <c r="H401" i="4"/>
  <c r="I401" i="4"/>
  <c r="J401" i="4"/>
  <c r="K401" i="4"/>
  <c r="L401" i="4"/>
  <c r="U399" i="4"/>
  <c r="P401" i="4"/>
  <c r="D404" i="4"/>
  <c r="E404" i="4"/>
  <c r="F404" i="4"/>
  <c r="G404" i="4"/>
  <c r="H404" i="4"/>
  <c r="I404" i="4"/>
  <c r="J404" i="4"/>
  <c r="K404" i="4"/>
  <c r="L404" i="4"/>
  <c r="U402" i="4"/>
  <c r="D407" i="4"/>
  <c r="E407" i="4"/>
  <c r="F407" i="4"/>
  <c r="G407" i="4"/>
  <c r="H407" i="4"/>
  <c r="I407" i="4"/>
  <c r="J407" i="4"/>
  <c r="K407" i="4"/>
  <c r="L407" i="4"/>
  <c r="U405" i="4"/>
  <c r="P407" i="4"/>
  <c r="D410" i="4"/>
  <c r="E410" i="4"/>
  <c r="F410" i="4"/>
  <c r="G410" i="4"/>
  <c r="H410" i="4"/>
  <c r="I410" i="4"/>
  <c r="J410" i="4"/>
  <c r="K410" i="4"/>
  <c r="L410" i="4"/>
  <c r="U408" i="4"/>
  <c r="D413" i="4"/>
  <c r="E413" i="4"/>
  <c r="F413" i="4"/>
  <c r="G413" i="4"/>
  <c r="H413" i="4"/>
  <c r="I413" i="4"/>
  <c r="J413" i="4"/>
  <c r="K413" i="4"/>
  <c r="L413" i="4"/>
  <c r="U411" i="4"/>
  <c r="P413" i="4"/>
  <c r="D416" i="4"/>
  <c r="E416" i="4"/>
  <c r="F416" i="4"/>
  <c r="G416" i="4"/>
  <c r="H416" i="4"/>
  <c r="I416" i="4"/>
  <c r="J416" i="4"/>
  <c r="K416" i="4"/>
  <c r="L416" i="4"/>
  <c r="U414" i="4"/>
  <c r="D419" i="4"/>
  <c r="E419" i="4"/>
  <c r="F419" i="4"/>
  <c r="G419" i="4"/>
  <c r="H419" i="4"/>
  <c r="I419" i="4"/>
  <c r="J419" i="4"/>
  <c r="K419" i="4"/>
  <c r="L419" i="4"/>
  <c r="U417" i="4"/>
  <c r="P419" i="4"/>
  <c r="D422" i="4"/>
  <c r="E422" i="4"/>
  <c r="F422" i="4"/>
  <c r="G422" i="4"/>
  <c r="H422" i="4"/>
  <c r="I422" i="4"/>
  <c r="J422" i="4"/>
  <c r="K422" i="4"/>
  <c r="L422" i="4"/>
  <c r="U420" i="4"/>
  <c r="D425" i="4"/>
  <c r="E425" i="4"/>
  <c r="F425" i="4"/>
  <c r="G425" i="4"/>
  <c r="H425" i="4"/>
  <c r="I425" i="4"/>
  <c r="J425" i="4"/>
  <c r="K425" i="4"/>
  <c r="L425" i="4"/>
  <c r="U423" i="4"/>
  <c r="P425" i="4"/>
  <c r="D428" i="4"/>
  <c r="E428" i="4"/>
  <c r="F428" i="4"/>
  <c r="G428" i="4"/>
  <c r="H428" i="4"/>
  <c r="I428" i="4"/>
  <c r="J428" i="4"/>
  <c r="K428" i="4"/>
  <c r="L428" i="4"/>
  <c r="U426" i="4"/>
  <c r="D431" i="4"/>
  <c r="E431" i="4"/>
  <c r="F431" i="4"/>
  <c r="G431" i="4"/>
  <c r="H431" i="4"/>
  <c r="I431" i="4"/>
  <c r="J431" i="4"/>
  <c r="K431" i="4"/>
  <c r="L431" i="4"/>
  <c r="U429" i="4"/>
  <c r="P431" i="4"/>
  <c r="D434" i="4"/>
  <c r="E434" i="4"/>
  <c r="F434" i="4"/>
  <c r="G434" i="4"/>
  <c r="H434" i="4"/>
  <c r="I434" i="4"/>
  <c r="J434" i="4"/>
  <c r="K434" i="4"/>
  <c r="L434" i="4"/>
  <c r="U432" i="4"/>
  <c r="D437" i="4"/>
  <c r="E437" i="4"/>
  <c r="F437" i="4"/>
  <c r="G437" i="4"/>
  <c r="H437" i="4"/>
  <c r="I437" i="4"/>
  <c r="J437" i="4"/>
  <c r="K437" i="4"/>
  <c r="L437" i="4"/>
  <c r="U435" i="4"/>
  <c r="P437" i="4"/>
  <c r="D440" i="4"/>
  <c r="E440" i="4"/>
  <c r="F440" i="4"/>
  <c r="G440" i="4"/>
  <c r="H440" i="4"/>
  <c r="I440" i="4"/>
  <c r="J440" i="4"/>
  <c r="K440" i="4"/>
  <c r="L440" i="4"/>
  <c r="U438" i="4"/>
  <c r="D443" i="4"/>
  <c r="E443" i="4"/>
  <c r="F443" i="4"/>
  <c r="G443" i="4"/>
  <c r="H443" i="4"/>
  <c r="I443" i="4"/>
  <c r="J443" i="4"/>
  <c r="K443" i="4"/>
  <c r="L443" i="4"/>
  <c r="U441" i="4"/>
  <c r="P443" i="4"/>
  <c r="D446" i="4"/>
  <c r="E446" i="4"/>
  <c r="F446" i="4"/>
  <c r="G446" i="4"/>
  <c r="H446" i="4"/>
  <c r="I446" i="4"/>
  <c r="J446" i="4"/>
  <c r="K446" i="4"/>
  <c r="L446" i="4"/>
  <c r="U444" i="4"/>
  <c r="D449" i="4"/>
  <c r="E449" i="4"/>
  <c r="F449" i="4"/>
  <c r="G449" i="4"/>
  <c r="H449" i="4"/>
  <c r="I449" i="4"/>
  <c r="J449" i="4"/>
  <c r="K449" i="4"/>
  <c r="L449" i="4"/>
  <c r="U447" i="4"/>
  <c r="P449" i="4"/>
  <c r="D452" i="4"/>
  <c r="E452" i="4"/>
  <c r="F452" i="4"/>
  <c r="G452" i="4"/>
  <c r="H452" i="4"/>
  <c r="I452" i="4"/>
  <c r="J452" i="4"/>
  <c r="K452" i="4"/>
  <c r="L452" i="4"/>
  <c r="U450" i="4"/>
  <c r="D455" i="4"/>
  <c r="E455" i="4"/>
  <c r="F455" i="4"/>
  <c r="G455" i="4"/>
  <c r="H455" i="4"/>
  <c r="I455" i="4"/>
  <c r="J455" i="4"/>
  <c r="K455" i="4"/>
  <c r="L455" i="4"/>
  <c r="U453" i="4"/>
  <c r="P455" i="4"/>
  <c r="D458" i="4"/>
  <c r="E458" i="4"/>
  <c r="F458" i="4"/>
  <c r="G458" i="4"/>
  <c r="H458" i="4"/>
  <c r="I458" i="4"/>
  <c r="J458" i="4"/>
  <c r="K458" i="4"/>
  <c r="L458" i="4"/>
  <c r="U456" i="4"/>
  <c r="D461" i="4"/>
  <c r="E461" i="4"/>
  <c r="F461" i="4"/>
  <c r="G461" i="4"/>
  <c r="H461" i="4"/>
  <c r="I461" i="4"/>
  <c r="J461" i="4"/>
  <c r="K461" i="4"/>
  <c r="L461" i="4"/>
  <c r="U459" i="4"/>
  <c r="P461" i="4"/>
  <c r="D464" i="4"/>
  <c r="E464" i="4"/>
  <c r="F464" i="4"/>
  <c r="G464" i="4"/>
  <c r="H464" i="4"/>
  <c r="I464" i="4"/>
  <c r="J464" i="4"/>
  <c r="K464" i="4"/>
  <c r="L464" i="4"/>
  <c r="U462" i="4"/>
  <c r="D467" i="4"/>
  <c r="E467" i="4"/>
  <c r="F467" i="4"/>
  <c r="G467" i="4"/>
  <c r="H467" i="4"/>
  <c r="I467" i="4"/>
  <c r="J467" i="4"/>
  <c r="K467" i="4"/>
  <c r="L467" i="4"/>
  <c r="U465" i="4"/>
  <c r="P467" i="4"/>
  <c r="D470" i="4"/>
  <c r="E470" i="4"/>
  <c r="F470" i="4"/>
  <c r="G470" i="4"/>
  <c r="H470" i="4"/>
  <c r="I470" i="4"/>
  <c r="J470" i="4"/>
  <c r="K470" i="4"/>
  <c r="L470" i="4"/>
  <c r="U468" i="4"/>
  <c r="D473" i="4"/>
  <c r="E473" i="4"/>
  <c r="F473" i="4"/>
  <c r="G473" i="4"/>
  <c r="H473" i="4"/>
  <c r="I473" i="4"/>
  <c r="J473" i="4"/>
  <c r="K473" i="4"/>
  <c r="L473" i="4"/>
  <c r="U471" i="4"/>
  <c r="P473" i="4"/>
  <c r="D476" i="4"/>
  <c r="E476" i="4"/>
  <c r="F476" i="4"/>
  <c r="G476" i="4"/>
  <c r="H476" i="4"/>
  <c r="I476" i="4"/>
  <c r="J476" i="4"/>
  <c r="K476" i="4"/>
  <c r="L476" i="4"/>
  <c r="U474" i="4"/>
  <c r="D479" i="4"/>
  <c r="E479" i="4"/>
  <c r="F479" i="4"/>
  <c r="G479" i="4"/>
  <c r="H479" i="4"/>
  <c r="I479" i="4"/>
  <c r="J479" i="4"/>
  <c r="K479" i="4"/>
  <c r="L479" i="4"/>
  <c r="U477" i="4"/>
  <c r="P479" i="4"/>
  <c r="D482" i="4"/>
  <c r="E482" i="4"/>
  <c r="F482" i="4"/>
  <c r="G482" i="4"/>
  <c r="H482" i="4"/>
  <c r="I482" i="4"/>
  <c r="J482" i="4"/>
  <c r="K482" i="4"/>
  <c r="L482" i="4"/>
  <c r="U480" i="4"/>
  <c r="D485" i="4"/>
  <c r="E485" i="4"/>
  <c r="F485" i="4"/>
  <c r="G485" i="4"/>
  <c r="H485" i="4"/>
  <c r="I485" i="4"/>
  <c r="J485" i="4"/>
  <c r="K485" i="4"/>
  <c r="L485" i="4"/>
  <c r="U483" i="4"/>
  <c r="P485" i="4"/>
  <c r="D488" i="4"/>
  <c r="E488" i="4"/>
  <c r="F488" i="4"/>
  <c r="G488" i="4"/>
  <c r="H488" i="4"/>
  <c r="I488" i="4"/>
  <c r="J488" i="4"/>
  <c r="K488" i="4"/>
  <c r="L488" i="4"/>
  <c r="U486" i="4"/>
  <c r="D491" i="4"/>
  <c r="E491" i="4"/>
  <c r="F491" i="4"/>
  <c r="G491" i="4"/>
  <c r="H491" i="4"/>
  <c r="I491" i="4"/>
  <c r="J491" i="4"/>
  <c r="K491" i="4"/>
  <c r="L491" i="4"/>
  <c r="U489" i="4"/>
  <c r="P491" i="4"/>
  <c r="D494" i="4"/>
  <c r="E494" i="4"/>
  <c r="F494" i="4"/>
  <c r="G494" i="4"/>
  <c r="H494" i="4"/>
  <c r="I494" i="4"/>
  <c r="J494" i="4"/>
  <c r="K494" i="4"/>
  <c r="L494" i="4"/>
  <c r="U492" i="4"/>
  <c r="D497" i="4"/>
  <c r="E497" i="4"/>
  <c r="F497" i="4"/>
  <c r="G497" i="4"/>
  <c r="H497" i="4"/>
  <c r="I497" i="4"/>
  <c r="J497" i="4"/>
  <c r="K497" i="4"/>
  <c r="L497" i="4"/>
  <c r="U495" i="4"/>
  <c r="P497" i="4"/>
  <c r="D500" i="4"/>
  <c r="E500" i="4"/>
  <c r="F500" i="4"/>
  <c r="G500" i="4"/>
  <c r="H500" i="4"/>
  <c r="I500" i="4"/>
  <c r="J500" i="4"/>
  <c r="K500" i="4"/>
  <c r="L500" i="4"/>
  <c r="U498" i="4"/>
  <c r="D503" i="4"/>
  <c r="E503" i="4"/>
  <c r="F503" i="4"/>
  <c r="G503" i="4"/>
  <c r="H503" i="4"/>
  <c r="I503" i="4"/>
  <c r="J503" i="4"/>
  <c r="K503" i="4"/>
  <c r="L503" i="4"/>
  <c r="U501" i="4"/>
  <c r="P503" i="4"/>
  <c r="D506" i="4"/>
  <c r="E506" i="4"/>
  <c r="F506" i="4"/>
  <c r="G506" i="4"/>
  <c r="H506" i="4"/>
  <c r="I506" i="4"/>
  <c r="J506" i="4"/>
  <c r="K506" i="4"/>
  <c r="L506" i="4"/>
  <c r="U504" i="4"/>
  <c r="D509" i="4"/>
  <c r="E509" i="4"/>
  <c r="F509" i="4"/>
  <c r="G509" i="4"/>
  <c r="H509" i="4"/>
  <c r="I509" i="4"/>
  <c r="J509" i="4"/>
  <c r="K509" i="4"/>
  <c r="L509" i="4"/>
  <c r="U507" i="4"/>
  <c r="P509" i="4"/>
  <c r="D512" i="4"/>
  <c r="E512" i="4"/>
  <c r="F512" i="4"/>
  <c r="G512" i="4"/>
  <c r="H512" i="4"/>
  <c r="I512" i="4"/>
  <c r="J512" i="4"/>
  <c r="K512" i="4"/>
  <c r="L512" i="4"/>
  <c r="U510" i="4"/>
  <c r="D515" i="4"/>
  <c r="E515" i="4"/>
  <c r="F515" i="4"/>
  <c r="G515" i="4"/>
  <c r="H515" i="4"/>
  <c r="I515" i="4"/>
  <c r="J515" i="4"/>
  <c r="K515" i="4"/>
  <c r="L515" i="4"/>
  <c r="U513" i="4"/>
  <c r="P515" i="4"/>
  <c r="D518" i="4"/>
  <c r="E518" i="4"/>
  <c r="F518" i="4"/>
  <c r="G518" i="4"/>
  <c r="H518" i="4"/>
  <c r="I518" i="4"/>
  <c r="J518" i="4"/>
  <c r="K518" i="4"/>
  <c r="L518" i="4"/>
  <c r="U516" i="4"/>
  <c r="P518" i="4"/>
  <c r="D521" i="4"/>
  <c r="E521" i="4"/>
  <c r="F521" i="4"/>
  <c r="G521" i="4"/>
  <c r="H521" i="4"/>
  <c r="I521" i="4"/>
  <c r="J521" i="4"/>
  <c r="K521" i="4"/>
  <c r="L521" i="4"/>
  <c r="U519" i="4"/>
  <c r="P521" i="4"/>
  <c r="D524" i="4"/>
  <c r="E524" i="4"/>
  <c r="F524" i="4"/>
  <c r="G524" i="4"/>
  <c r="H524" i="4"/>
  <c r="I524" i="4"/>
  <c r="J524" i="4"/>
  <c r="K524" i="4"/>
  <c r="L524" i="4"/>
  <c r="U522" i="4"/>
  <c r="P524" i="4"/>
  <c r="D527" i="4"/>
  <c r="E527" i="4"/>
  <c r="F527" i="4"/>
  <c r="G527" i="4"/>
  <c r="H527" i="4"/>
  <c r="I527" i="4"/>
  <c r="J527" i="4"/>
  <c r="K527" i="4"/>
  <c r="L527" i="4"/>
  <c r="U525" i="4"/>
  <c r="P527" i="4"/>
  <c r="D530" i="4"/>
  <c r="E530" i="4"/>
  <c r="F530" i="4"/>
  <c r="G530" i="4"/>
  <c r="H530" i="4"/>
  <c r="I530" i="4"/>
  <c r="J530" i="4"/>
  <c r="K530" i="4"/>
  <c r="L530" i="4"/>
  <c r="U528" i="4"/>
  <c r="D533" i="4"/>
  <c r="E533" i="4"/>
  <c r="F533" i="4"/>
  <c r="G533" i="4"/>
  <c r="H533" i="4"/>
  <c r="I533" i="4"/>
  <c r="J533" i="4"/>
  <c r="K533" i="4"/>
  <c r="L533" i="4"/>
  <c r="U531" i="4"/>
  <c r="P533" i="4"/>
  <c r="D536" i="4"/>
  <c r="E536" i="4"/>
  <c r="F536" i="4"/>
  <c r="G536" i="4"/>
  <c r="H536" i="4"/>
  <c r="I536" i="4"/>
  <c r="J536" i="4"/>
  <c r="K536" i="4"/>
  <c r="L536" i="4"/>
  <c r="U534" i="4"/>
  <c r="D539" i="4"/>
  <c r="E539" i="4"/>
  <c r="F539" i="4"/>
  <c r="G539" i="4"/>
  <c r="H539" i="4"/>
  <c r="I539" i="4"/>
  <c r="J539" i="4"/>
  <c r="K539" i="4"/>
  <c r="L539" i="4"/>
  <c r="U537" i="4"/>
  <c r="P539" i="4"/>
  <c r="D542" i="4"/>
  <c r="E542" i="4"/>
  <c r="F542" i="4"/>
  <c r="G542" i="4"/>
  <c r="H542" i="4"/>
  <c r="I542" i="4"/>
  <c r="J542" i="4"/>
  <c r="K542" i="4"/>
  <c r="L542" i="4"/>
  <c r="U540" i="4"/>
  <c r="D545" i="4"/>
  <c r="E545" i="4"/>
  <c r="F545" i="4"/>
  <c r="G545" i="4"/>
  <c r="H545" i="4"/>
  <c r="I545" i="4"/>
  <c r="J545" i="4"/>
  <c r="K545" i="4"/>
  <c r="L545" i="4"/>
  <c r="U543" i="4"/>
  <c r="P545" i="4"/>
  <c r="D548" i="4"/>
  <c r="E548" i="4"/>
  <c r="F548" i="4"/>
  <c r="G548" i="4"/>
  <c r="H548" i="4"/>
  <c r="I548" i="4"/>
  <c r="J548" i="4"/>
  <c r="K548" i="4"/>
  <c r="L548" i="4"/>
  <c r="U546" i="4"/>
  <c r="P548" i="4"/>
  <c r="D551" i="4"/>
  <c r="E551" i="4"/>
  <c r="F551" i="4"/>
  <c r="G551" i="4"/>
  <c r="H551" i="4"/>
  <c r="I551" i="4"/>
  <c r="J551" i="4"/>
  <c r="K551" i="4"/>
  <c r="L551" i="4"/>
  <c r="U549" i="4"/>
  <c r="P551" i="4"/>
  <c r="D554" i="4"/>
  <c r="E554" i="4"/>
  <c r="F554" i="4"/>
  <c r="G554" i="4"/>
  <c r="H554" i="4"/>
  <c r="I554" i="4"/>
  <c r="J554" i="4"/>
  <c r="K554" i="4"/>
  <c r="L554" i="4"/>
  <c r="U552" i="4"/>
  <c r="P554" i="4"/>
  <c r="D557" i="4"/>
  <c r="E557" i="4"/>
  <c r="F557" i="4"/>
  <c r="G557" i="4"/>
  <c r="H557" i="4"/>
  <c r="I557" i="4"/>
  <c r="J557" i="4"/>
  <c r="K557" i="4"/>
  <c r="L557" i="4"/>
  <c r="U555" i="4"/>
  <c r="D560" i="4"/>
  <c r="E560" i="4"/>
  <c r="F560" i="4"/>
  <c r="G560" i="4"/>
  <c r="H560" i="4"/>
  <c r="I560" i="4"/>
  <c r="J560" i="4"/>
  <c r="K560" i="4"/>
  <c r="L560" i="4"/>
  <c r="U558" i="4"/>
  <c r="P560" i="4"/>
  <c r="D563" i="4"/>
  <c r="E563" i="4"/>
  <c r="F563" i="4"/>
  <c r="G563" i="4"/>
  <c r="H563" i="4"/>
  <c r="I563" i="4"/>
  <c r="J563" i="4"/>
  <c r="K563" i="4"/>
  <c r="L563" i="4"/>
  <c r="U561" i="4"/>
  <c r="D566" i="4"/>
  <c r="E566" i="4"/>
  <c r="F566" i="4"/>
  <c r="G566" i="4"/>
  <c r="H566" i="4"/>
  <c r="I566" i="4"/>
  <c r="J566" i="4"/>
  <c r="K566" i="4"/>
  <c r="L566" i="4"/>
  <c r="U564" i="4"/>
  <c r="P566" i="4"/>
  <c r="D569" i="4"/>
  <c r="E569" i="4"/>
  <c r="F569" i="4"/>
  <c r="G569" i="4"/>
  <c r="H569" i="4"/>
  <c r="I569" i="4"/>
  <c r="J569" i="4"/>
  <c r="K569" i="4"/>
  <c r="L569" i="4"/>
  <c r="U567" i="4"/>
  <c r="D572" i="4"/>
  <c r="E572" i="4"/>
  <c r="F572" i="4"/>
  <c r="G572" i="4"/>
  <c r="H572" i="4"/>
  <c r="I572" i="4"/>
  <c r="J572" i="4"/>
  <c r="K572" i="4"/>
  <c r="L572" i="4"/>
  <c r="U570" i="4"/>
  <c r="P572" i="4"/>
  <c r="D575" i="4"/>
  <c r="E575" i="4"/>
  <c r="F575" i="4"/>
  <c r="G575" i="4"/>
  <c r="H575" i="4"/>
  <c r="I575" i="4"/>
  <c r="J575" i="4"/>
  <c r="K575" i="4"/>
  <c r="L575" i="4"/>
  <c r="U573" i="4"/>
  <c r="D578" i="4"/>
  <c r="E578" i="4"/>
  <c r="F578" i="4"/>
  <c r="G578" i="4"/>
  <c r="H578" i="4"/>
  <c r="I578" i="4"/>
  <c r="J578" i="4"/>
  <c r="K578" i="4"/>
  <c r="L578" i="4"/>
  <c r="U576" i="4"/>
  <c r="P578" i="4"/>
  <c r="D581" i="4"/>
  <c r="E581" i="4"/>
  <c r="F581" i="4"/>
  <c r="G581" i="4"/>
  <c r="H581" i="4"/>
  <c r="I581" i="4"/>
  <c r="J581" i="4"/>
  <c r="K581" i="4"/>
  <c r="L581" i="4"/>
  <c r="U579" i="4"/>
  <c r="D584" i="4"/>
  <c r="E584" i="4"/>
  <c r="F584" i="4"/>
  <c r="G584" i="4"/>
  <c r="H584" i="4"/>
  <c r="I584" i="4"/>
  <c r="J584" i="4"/>
  <c r="K584" i="4"/>
  <c r="L584" i="4"/>
  <c r="U582" i="4"/>
  <c r="P584" i="4"/>
  <c r="D587" i="4"/>
  <c r="E587" i="4"/>
  <c r="F587" i="4"/>
  <c r="G587" i="4"/>
  <c r="H587" i="4"/>
  <c r="I587" i="4"/>
  <c r="J587" i="4"/>
  <c r="K587" i="4"/>
  <c r="L587" i="4"/>
  <c r="U585" i="4"/>
  <c r="D590" i="4"/>
  <c r="E590" i="4"/>
  <c r="F590" i="4"/>
  <c r="G590" i="4"/>
  <c r="H590" i="4"/>
  <c r="I590" i="4"/>
  <c r="J590" i="4"/>
  <c r="K590" i="4"/>
  <c r="L590" i="4"/>
  <c r="U588" i="4"/>
  <c r="P590" i="4"/>
  <c r="D593" i="4"/>
  <c r="E593" i="4"/>
  <c r="F593" i="4"/>
  <c r="G593" i="4"/>
  <c r="H593" i="4"/>
  <c r="I593" i="4"/>
  <c r="J593" i="4"/>
  <c r="K593" i="4"/>
  <c r="L593" i="4"/>
  <c r="U591" i="4"/>
  <c r="D596" i="4"/>
  <c r="E596" i="4"/>
  <c r="F596" i="4"/>
  <c r="G596" i="4"/>
  <c r="H596" i="4"/>
  <c r="I596" i="4"/>
  <c r="J596" i="4"/>
  <c r="K596" i="4"/>
  <c r="L596" i="4"/>
  <c r="U594" i="4"/>
  <c r="P596" i="4"/>
  <c r="D599" i="4"/>
  <c r="E599" i="4"/>
  <c r="F599" i="4"/>
  <c r="G599" i="4"/>
  <c r="H599" i="4"/>
  <c r="I599" i="4"/>
  <c r="J599" i="4"/>
  <c r="K599" i="4"/>
  <c r="L599" i="4"/>
  <c r="U597" i="4"/>
  <c r="D602" i="4"/>
  <c r="E602" i="4"/>
  <c r="F602" i="4"/>
  <c r="G602" i="4"/>
  <c r="H602" i="4"/>
  <c r="I602" i="4"/>
  <c r="J602" i="4"/>
  <c r="K602" i="4"/>
  <c r="L602" i="4"/>
  <c r="U600" i="4"/>
  <c r="P602" i="4"/>
  <c r="D605" i="4"/>
  <c r="E605" i="4"/>
  <c r="F605" i="4"/>
  <c r="G605" i="4"/>
  <c r="H605" i="4"/>
  <c r="I605" i="4"/>
  <c r="J605" i="4"/>
  <c r="K605" i="4"/>
  <c r="L605" i="4"/>
  <c r="U603" i="4"/>
  <c r="D608" i="4"/>
  <c r="E608" i="4"/>
  <c r="F608" i="4"/>
  <c r="G608" i="4"/>
  <c r="H608" i="4"/>
  <c r="I608" i="4"/>
  <c r="J608" i="4"/>
  <c r="K608" i="4"/>
  <c r="L608" i="4"/>
  <c r="U606" i="4"/>
  <c r="P608" i="4"/>
  <c r="D611" i="4"/>
  <c r="E611" i="4"/>
  <c r="F611" i="4"/>
  <c r="G611" i="4"/>
  <c r="H611" i="4"/>
  <c r="I611" i="4"/>
  <c r="J611" i="4"/>
  <c r="K611" i="4"/>
  <c r="L611" i="4"/>
  <c r="U609" i="4"/>
  <c r="D614" i="4"/>
  <c r="E614" i="4"/>
  <c r="F614" i="4"/>
  <c r="G614" i="4"/>
  <c r="H614" i="4"/>
  <c r="I614" i="4"/>
  <c r="J614" i="4"/>
  <c r="K614" i="4"/>
  <c r="L614" i="4"/>
  <c r="U612" i="4"/>
  <c r="P614" i="4"/>
  <c r="D617" i="4"/>
  <c r="E617" i="4"/>
  <c r="F617" i="4"/>
  <c r="G617" i="4"/>
  <c r="H617" i="4"/>
  <c r="I617" i="4"/>
  <c r="J617" i="4"/>
  <c r="K617" i="4"/>
  <c r="L617" i="4"/>
  <c r="U615" i="4"/>
  <c r="Q618" i="4"/>
  <c r="R618" i="4"/>
  <c r="L620" i="4"/>
  <c r="S618" i="4" s="1"/>
  <c r="T618" i="4"/>
  <c r="V618" i="4"/>
  <c r="D620" i="4"/>
  <c r="E620" i="4"/>
  <c r="F620" i="4"/>
  <c r="G620" i="4"/>
  <c r="H620" i="4"/>
  <c r="I620" i="4"/>
  <c r="J620" i="4"/>
  <c r="K620" i="4"/>
  <c r="Q621" i="4"/>
  <c r="R621" i="4"/>
  <c r="L623" i="4"/>
  <c r="S621" i="4" s="1"/>
  <c r="T621" i="4"/>
  <c r="V621" i="4"/>
  <c r="D623" i="4"/>
  <c r="E623" i="4"/>
  <c r="F623" i="4"/>
  <c r="G623" i="4"/>
  <c r="H623" i="4"/>
  <c r="I623" i="4"/>
  <c r="J623" i="4"/>
  <c r="K623" i="4"/>
  <c r="P623" i="4"/>
  <c r="D626" i="4"/>
  <c r="E626" i="4"/>
  <c r="F626" i="4"/>
  <c r="G626" i="4"/>
  <c r="H626" i="4"/>
  <c r="I626" i="4"/>
  <c r="J626" i="4"/>
  <c r="K626" i="4"/>
  <c r="L626" i="4"/>
  <c r="U624" i="4"/>
  <c r="P626" i="4"/>
  <c r="D629" i="4"/>
  <c r="E629" i="4"/>
  <c r="F629" i="4"/>
  <c r="G629" i="4"/>
  <c r="H629" i="4"/>
  <c r="I629" i="4"/>
  <c r="J629" i="4"/>
  <c r="K629" i="4"/>
  <c r="L629" i="4"/>
  <c r="U627" i="4"/>
  <c r="D632" i="4"/>
  <c r="E632" i="4"/>
  <c r="F632" i="4"/>
  <c r="G632" i="4"/>
  <c r="H632" i="4"/>
  <c r="I632" i="4"/>
  <c r="J632" i="4"/>
  <c r="K632" i="4"/>
  <c r="L632" i="4"/>
  <c r="U630" i="4"/>
  <c r="P632" i="4"/>
  <c r="D635" i="4"/>
  <c r="E635" i="4"/>
  <c r="F635" i="4"/>
  <c r="G635" i="4"/>
  <c r="H635" i="4"/>
  <c r="I635" i="4"/>
  <c r="J635" i="4"/>
  <c r="K635" i="4"/>
  <c r="L635" i="4"/>
  <c r="U633" i="4"/>
  <c r="D638" i="4"/>
  <c r="E638" i="4"/>
  <c r="F638" i="4"/>
  <c r="G638" i="4"/>
  <c r="H638" i="4"/>
  <c r="I638" i="4"/>
  <c r="J638" i="4"/>
  <c r="K638" i="4"/>
  <c r="L638" i="4"/>
  <c r="U636" i="4"/>
  <c r="P638" i="4"/>
  <c r="D641" i="4"/>
  <c r="E641" i="4"/>
  <c r="F641" i="4"/>
  <c r="G641" i="4"/>
  <c r="H641" i="4"/>
  <c r="I641" i="4"/>
  <c r="J641" i="4"/>
  <c r="K641" i="4"/>
  <c r="L641" i="4"/>
  <c r="U639" i="4"/>
  <c r="D644" i="4"/>
  <c r="E644" i="4"/>
  <c r="F644" i="4"/>
  <c r="G644" i="4"/>
  <c r="H644" i="4"/>
  <c r="I644" i="4"/>
  <c r="J644" i="4"/>
  <c r="K644" i="4"/>
  <c r="L644" i="4"/>
  <c r="U642" i="4"/>
  <c r="P644" i="4"/>
  <c r="D647" i="4"/>
  <c r="E647" i="4"/>
  <c r="F647" i="4"/>
  <c r="G647" i="4"/>
  <c r="H647" i="4"/>
  <c r="I647" i="4"/>
  <c r="J647" i="4"/>
  <c r="K647" i="4"/>
  <c r="L647" i="4"/>
  <c r="U645" i="4"/>
  <c r="D650" i="4"/>
  <c r="E650" i="4"/>
  <c r="F650" i="4"/>
  <c r="G650" i="4"/>
  <c r="H650" i="4"/>
  <c r="I650" i="4"/>
  <c r="J650" i="4"/>
  <c r="K650" i="4"/>
  <c r="L650" i="4"/>
  <c r="U648" i="4"/>
  <c r="P650" i="4"/>
  <c r="D653" i="4"/>
  <c r="E653" i="4"/>
  <c r="F653" i="4"/>
  <c r="G653" i="4"/>
  <c r="H653" i="4"/>
  <c r="I653" i="4"/>
  <c r="J653" i="4"/>
  <c r="K653" i="4"/>
  <c r="L653" i="4"/>
  <c r="U651" i="4"/>
  <c r="D656" i="4"/>
  <c r="E656" i="4"/>
  <c r="F656" i="4"/>
  <c r="G656" i="4"/>
  <c r="H656" i="4"/>
  <c r="I656" i="4"/>
  <c r="J656" i="4"/>
  <c r="K656" i="4"/>
  <c r="L656" i="4"/>
  <c r="U654" i="4"/>
  <c r="P656" i="4"/>
  <c r="D659" i="4"/>
  <c r="E659" i="4"/>
  <c r="F659" i="4"/>
  <c r="G659" i="4"/>
  <c r="H659" i="4"/>
  <c r="I659" i="4"/>
  <c r="J659" i="4"/>
  <c r="K659" i="4"/>
  <c r="L659" i="4"/>
  <c r="U657" i="4"/>
  <c r="D662" i="4"/>
  <c r="E662" i="4"/>
  <c r="F662" i="4"/>
  <c r="G662" i="4"/>
  <c r="H662" i="4"/>
  <c r="I662" i="4"/>
  <c r="J662" i="4"/>
  <c r="K662" i="4"/>
  <c r="L662" i="4"/>
  <c r="U660" i="4"/>
  <c r="P662" i="4"/>
  <c r="D665" i="4"/>
  <c r="E665" i="4"/>
  <c r="F665" i="4"/>
  <c r="G665" i="4"/>
  <c r="H665" i="4"/>
  <c r="I665" i="4"/>
  <c r="J665" i="4"/>
  <c r="K665" i="4"/>
  <c r="L665" i="4"/>
  <c r="U663" i="4"/>
  <c r="D668" i="4"/>
  <c r="E668" i="4"/>
  <c r="F668" i="4"/>
  <c r="G668" i="4"/>
  <c r="H668" i="4"/>
  <c r="I668" i="4"/>
  <c r="J668" i="4"/>
  <c r="K668" i="4"/>
  <c r="L668" i="4"/>
  <c r="U666" i="4"/>
  <c r="P668" i="4"/>
  <c r="D671" i="4"/>
  <c r="E671" i="4"/>
  <c r="F671" i="4"/>
  <c r="G671" i="4"/>
  <c r="H671" i="4"/>
  <c r="I671" i="4"/>
  <c r="J671" i="4"/>
  <c r="K671" i="4"/>
  <c r="L671" i="4"/>
  <c r="U669" i="4"/>
  <c r="D674" i="4"/>
  <c r="E674" i="4"/>
  <c r="F674" i="4"/>
  <c r="G674" i="4"/>
  <c r="H674" i="4"/>
  <c r="I674" i="4"/>
  <c r="J674" i="4"/>
  <c r="K674" i="4"/>
  <c r="L674" i="4"/>
  <c r="U672" i="4"/>
  <c r="P674" i="4"/>
  <c r="D677" i="4"/>
  <c r="E677" i="4"/>
  <c r="F677" i="4"/>
  <c r="G677" i="4"/>
  <c r="H677" i="4"/>
  <c r="I677" i="4"/>
  <c r="J677" i="4"/>
  <c r="K677" i="4"/>
  <c r="L677" i="4"/>
  <c r="U675" i="4"/>
  <c r="D680" i="4"/>
  <c r="E680" i="4"/>
  <c r="F680" i="4"/>
  <c r="G680" i="4"/>
  <c r="H680" i="4"/>
  <c r="I680" i="4"/>
  <c r="J680" i="4"/>
  <c r="K680" i="4"/>
  <c r="L680" i="4"/>
  <c r="U678" i="4"/>
  <c r="P680" i="4"/>
  <c r="D683" i="4"/>
  <c r="E683" i="4"/>
  <c r="F683" i="4"/>
  <c r="G683" i="4"/>
  <c r="H683" i="4"/>
  <c r="I683" i="4"/>
  <c r="J683" i="4"/>
  <c r="K683" i="4"/>
  <c r="L683" i="4"/>
  <c r="U681" i="4"/>
  <c r="D686" i="4"/>
  <c r="E686" i="4"/>
  <c r="F686" i="4"/>
  <c r="G686" i="4"/>
  <c r="H686" i="4"/>
  <c r="I686" i="4"/>
  <c r="J686" i="4"/>
  <c r="K686" i="4"/>
  <c r="L686" i="4"/>
  <c r="U684" i="4"/>
  <c r="P686" i="4"/>
  <c r="D689" i="4"/>
  <c r="E689" i="4"/>
  <c r="F689" i="4"/>
  <c r="G689" i="4"/>
  <c r="H689" i="4"/>
  <c r="I689" i="4"/>
  <c r="J689" i="4"/>
  <c r="K689" i="4"/>
  <c r="L689" i="4"/>
  <c r="U687" i="4"/>
  <c r="D692" i="4"/>
  <c r="E692" i="4"/>
  <c r="F692" i="4"/>
  <c r="G692" i="4"/>
  <c r="H692" i="4"/>
  <c r="I692" i="4"/>
  <c r="J692" i="4"/>
  <c r="K692" i="4"/>
  <c r="L692" i="4"/>
  <c r="U690" i="4"/>
  <c r="P692" i="4"/>
  <c r="D695" i="4"/>
  <c r="E695" i="4"/>
  <c r="F695" i="4"/>
  <c r="G695" i="4"/>
  <c r="H695" i="4"/>
  <c r="I695" i="4"/>
  <c r="J695" i="4"/>
  <c r="K695" i="4"/>
  <c r="L695" i="4"/>
  <c r="U693" i="4"/>
  <c r="D698" i="4"/>
  <c r="E698" i="4"/>
  <c r="F698" i="4"/>
  <c r="G698" i="4"/>
  <c r="H698" i="4"/>
  <c r="I698" i="4"/>
  <c r="J698" i="4"/>
  <c r="K698" i="4"/>
  <c r="L698" i="4"/>
  <c r="U696" i="4"/>
  <c r="P698" i="4"/>
  <c r="D701" i="4"/>
  <c r="E701" i="4"/>
  <c r="F701" i="4"/>
  <c r="G701" i="4"/>
  <c r="H701" i="4"/>
  <c r="I701" i="4"/>
  <c r="J701" i="4"/>
  <c r="K701" i="4"/>
  <c r="L701" i="4"/>
  <c r="U699" i="4"/>
  <c r="D704" i="4"/>
  <c r="E704" i="4"/>
  <c r="F704" i="4"/>
  <c r="G704" i="4"/>
  <c r="H704" i="4"/>
  <c r="I704" i="4"/>
  <c r="J704" i="4"/>
  <c r="K704" i="4"/>
  <c r="L704" i="4"/>
  <c r="U702" i="4"/>
  <c r="P704" i="4"/>
  <c r="D707" i="4"/>
  <c r="E707" i="4"/>
  <c r="F707" i="4"/>
  <c r="G707" i="4"/>
  <c r="H707" i="4"/>
  <c r="I707" i="4"/>
  <c r="J707" i="4"/>
  <c r="K707" i="4"/>
  <c r="L707" i="4"/>
  <c r="U705" i="4"/>
  <c r="D710" i="4"/>
  <c r="E710" i="4"/>
  <c r="F710" i="4"/>
  <c r="G710" i="4"/>
  <c r="H710" i="4"/>
  <c r="I710" i="4"/>
  <c r="J710" i="4"/>
  <c r="K710" i="4"/>
  <c r="L710" i="4"/>
  <c r="U708" i="4"/>
  <c r="P710" i="4"/>
  <c r="D713" i="4"/>
  <c r="E713" i="4"/>
  <c r="F713" i="4"/>
  <c r="G713" i="4"/>
  <c r="H713" i="4"/>
  <c r="I713" i="4"/>
  <c r="J713" i="4"/>
  <c r="K713" i="4"/>
  <c r="L713" i="4"/>
  <c r="U711" i="4"/>
  <c r="D716" i="4"/>
  <c r="E716" i="4"/>
  <c r="F716" i="4"/>
  <c r="G716" i="4"/>
  <c r="H716" i="4"/>
  <c r="I716" i="4"/>
  <c r="J716" i="4"/>
  <c r="K716" i="4"/>
  <c r="L716" i="4"/>
  <c r="U714" i="4"/>
  <c r="P716" i="4"/>
  <c r="D719" i="4"/>
  <c r="E719" i="4"/>
  <c r="F719" i="4"/>
  <c r="G719" i="4"/>
  <c r="H719" i="4"/>
  <c r="I719" i="4"/>
  <c r="J719" i="4"/>
  <c r="K719" i="4"/>
  <c r="L719" i="4"/>
  <c r="U717" i="4"/>
  <c r="D722" i="4"/>
  <c r="E722" i="4"/>
  <c r="F722" i="4"/>
  <c r="G722" i="4"/>
  <c r="H722" i="4"/>
  <c r="I722" i="4"/>
  <c r="J722" i="4"/>
  <c r="K722" i="4"/>
  <c r="L722" i="4"/>
  <c r="U720" i="4"/>
  <c r="P722" i="4"/>
  <c r="D725" i="4"/>
  <c r="E725" i="4"/>
  <c r="F725" i="4"/>
  <c r="G725" i="4"/>
  <c r="H725" i="4"/>
  <c r="I725" i="4"/>
  <c r="J725" i="4"/>
  <c r="K725" i="4"/>
  <c r="L725" i="4"/>
  <c r="U723" i="4"/>
  <c r="D728" i="4"/>
  <c r="E728" i="4"/>
  <c r="F728" i="4"/>
  <c r="G728" i="4"/>
  <c r="H728" i="4"/>
  <c r="I728" i="4"/>
  <c r="J728" i="4"/>
  <c r="K728" i="4"/>
  <c r="L728" i="4"/>
  <c r="U726" i="4"/>
  <c r="P728" i="4"/>
  <c r="D731" i="4"/>
  <c r="E731" i="4"/>
  <c r="F731" i="4"/>
  <c r="G731" i="4"/>
  <c r="H731" i="4"/>
  <c r="I731" i="4"/>
  <c r="J731" i="4"/>
  <c r="K731" i="4"/>
  <c r="L731" i="4"/>
  <c r="U729" i="4"/>
  <c r="D734" i="4"/>
  <c r="E734" i="4"/>
  <c r="F734" i="4"/>
  <c r="G734" i="4"/>
  <c r="H734" i="4"/>
  <c r="I734" i="4"/>
  <c r="J734" i="4"/>
  <c r="K734" i="4"/>
  <c r="L734" i="4"/>
  <c r="U732" i="4"/>
  <c r="P734" i="4"/>
  <c r="D737" i="4"/>
  <c r="E737" i="4"/>
  <c r="F737" i="4"/>
  <c r="G737" i="4"/>
  <c r="H737" i="4"/>
  <c r="I737" i="4"/>
  <c r="J737" i="4"/>
  <c r="K737" i="4"/>
  <c r="L737" i="4"/>
  <c r="U735" i="4"/>
  <c r="D740" i="4"/>
  <c r="E740" i="4"/>
  <c r="F740" i="4"/>
  <c r="G740" i="4"/>
  <c r="H740" i="4"/>
  <c r="I740" i="4"/>
  <c r="J740" i="4"/>
  <c r="K740" i="4"/>
  <c r="L740" i="4"/>
  <c r="U738" i="4"/>
  <c r="P740" i="4"/>
  <c r="D743" i="4"/>
  <c r="E743" i="4"/>
  <c r="F743" i="4"/>
  <c r="G743" i="4"/>
  <c r="H743" i="4"/>
  <c r="I743" i="4"/>
  <c r="J743" i="4"/>
  <c r="K743" i="4"/>
  <c r="L743" i="4"/>
  <c r="U741" i="4"/>
  <c r="D746" i="4"/>
  <c r="E746" i="4"/>
  <c r="F746" i="4"/>
  <c r="G746" i="4"/>
  <c r="H746" i="4"/>
  <c r="I746" i="4"/>
  <c r="J746" i="4"/>
  <c r="K746" i="4"/>
  <c r="L746" i="4"/>
  <c r="U744" i="4"/>
  <c r="P746" i="4"/>
  <c r="D749" i="4"/>
  <c r="E749" i="4"/>
  <c r="F749" i="4"/>
  <c r="G749" i="4"/>
  <c r="H749" i="4"/>
  <c r="I749" i="4"/>
  <c r="J749" i="4"/>
  <c r="K749" i="4"/>
  <c r="L749" i="4"/>
  <c r="U747" i="4"/>
  <c r="D752" i="4"/>
  <c r="E752" i="4"/>
  <c r="F752" i="4"/>
  <c r="G752" i="4"/>
  <c r="H752" i="4"/>
  <c r="I752" i="4"/>
  <c r="J752" i="4"/>
  <c r="K752" i="4"/>
  <c r="L752" i="4"/>
  <c r="U750" i="4"/>
  <c r="P752" i="4"/>
  <c r="D755" i="4"/>
  <c r="E755" i="4"/>
  <c r="F755" i="4"/>
  <c r="G755" i="4"/>
  <c r="H755" i="4"/>
  <c r="I755" i="4"/>
  <c r="J755" i="4"/>
  <c r="K755" i="4"/>
  <c r="L755" i="4"/>
  <c r="U753" i="4"/>
  <c r="D758" i="4"/>
  <c r="E758" i="4"/>
  <c r="F758" i="4"/>
  <c r="G758" i="4"/>
  <c r="H758" i="4"/>
  <c r="I758" i="4"/>
  <c r="J758" i="4"/>
  <c r="K758" i="4"/>
  <c r="L758" i="4"/>
  <c r="U756" i="4"/>
  <c r="P758" i="4"/>
  <c r="D761" i="4"/>
  <c r="E761" i="4"/>
  <c r="F761" i="4"/>
  <c r="G761" i="4"/>
  <c r="H761" i="4"/>
  <c r="I761" i="4"/>
  <c r="J761" i="4"/>
  <c r="K761" i="4"/>
  <c r="L761" i="4"/>
  <c r="U759" i="4"/>
  <c r="D764" i="4"/>
  <c r="E764" i="4"/>
  <c r="F764" i="4"/>
  <c r="G764" i="4"/>
  <c r="H764" i="4"/>
  <c r="I764" i="4"/>
  <c r="J764" i="4"/>
  <c r="K764" i="4"/>
  <c r="L764" i="4"/>
  <c r="U762" i="4"/>
  <c r="P764" i="4"/>
  <c r="D767" i="4"/>
  <c r="R765" i="4" s="1"/>
  <c r="E767" i="4"/>
  <c r="F767" i="4"/>
  <c r="G767" i="4"/>
  <c r="H767" i="4"/>
  <c r="I767" i="4"/>
  <c r="J767" i="4"/>
  <c r="K767" i="4"/>
  <c r="L767" i="4"/>
  <c r="U765" i="4"/>
  <c r="D770" i="4"/>
  <c r="E770" i="4"/>
  <c r="F770" i="4"/>
  <c r="G770" i="4"/>
  <c r="H770" i="4"/>
  <c r="I770" i="4"/>
  <c r="J770" i="4"/>
  <c r="K770" i="4"/>
  <c r="L770" i="4"/>
  <c r="U768" i="4"/>
  <c r="P770" i="4"/>
  <c r="D773" i="4"/>
  <c r="E773" i="4"/>
  <c r="F773" i="4"/>
  <c r="G773" i="4"/>
  <c r="H773" i="4"/>
  <c r="I773" i="4"/>
  <c r="J773" i="4"/>
  <c r="K773" i="4"/>
  <c r="L773" i="4"/>
  <c r="U771" i="4"/>
  <c r="D776" i="4"/>
  <c r="E776" i="4"/>
  <c r="F776" i="4"/>
  <c r="G776" i="4"/>
  <c r="H776" i="4"/>
  <c r="I776" i="4"/>
  <c r="J776" i="4"/>
  <c r="K776" i="4"/>
  <c r="L776" i="4"/>
  <c r="U774" i="4"/>
  <c r="P776" i="4"/>
  <c r="D779" i="4"/>
  <c r="E779" i="4"/>
  <c r="F779" i="4"/>
  <c r="G779" i="4"/>
  <c r="H779" i="4"/>
  <c r="I779" i="4"/>
  <c r="J779" i="4"/>
  <c r="K779" i="4"/>
  <c r="L779" i="4"/>
  <c r="U777" i="4"/>
  <c r="D782" i="4"/>
  <c r="E782" i="4"/>
  <c r="F782" i="4"/>
  <c r="G782" i="4"/>
  <c r="H782" i="4"/>
  <c r="I782" i="4"/>
  <c r="J782" i="4"/>
  <c r="K782" i="4"/>
  <c r="L782" i="4"/>
  <c r="U780" i="4"/>
  <c r="P782" i="4"/>
  <c r="D785" i="4"/>
  <c r="E785" i="4"/>
  <c r="F785" i="4"/>
  <c r="G785" i="4"/>
  <c r="H785" i="4"/>
  <c r="I785" i="4"/>
  <c r="J785" i="4"/>
  <c r="K785" i="4"/>
  <c r="L785" i="4"/>
  <c r="U783" i="4"/>
  <c r="E356" i="3"/>
  <c r="G356" i="3"/>
  <c r="E355" i="3"/>
  <c r="G355" i="3"/>
  <c r="E354" i="3"/>
  <c r="G354" i="3"/>
  <c r="E353" i="3"/>
  <c r="G353" i="3"/>
  <c r="E352" i="3"/>
  <c r="G352" i="3"/>
  <c r="E351" i="3"/>
  <c r="G351" i="3"/>
  <c r="E350" i="3"/>
  <c r="G350" i="3"/>
  <c r="E349" i="3"/>
  <c r="G349" i="3"/>
  <c r="E348" i="3"/>
  <c r="G348" i="3"/>
  <c r="E347" i="3"/>
  <c r="G347" i="3"/>
  <c r="E346" i="3"/>
  <c r="G346" i="3"/>
  <c r="E345" i="3"/>
  <c r="G345" i="3"/>
  <c r="E344" i="3"/>
  <c r="G344" i="3"/>
  <c r="E343" i="3"/>
  <c r="G343" i="3"/>
  <c r="E342" i="3"/>
  <c r="G342" i="3"/>
  <c r="E341" i="3"/>
  <c r="G341" i="3"/>
  <c r="E340" i="3"/>
  <c r="G340" i="3"/>
  <c r="E339" i="3"/>
  <c r="G339" i="3"/>
  <c r="E338" i="3"/>
  <c r="G338" i="3"/>
  <c r="E337" i="3"/>
  <c r="G337" i="3"/>
  <c r="E336" i="3"/>
  <c r="G336" i="3"/>
  <c r="E335" i="3"/>
  <c r="G335" i="3"/>
  <c r="E334" i="3"/>
  <c r="G334" i="3"/>
  <c r="E333" i="3"/>
  <c r="G333" i="3"/>
  <c r="E332" i="3"/>
  <c r="G332" i="3"/>
  <c r="E331" i="3"/>
  <c r="G331" i="3"/>
  <c r="E330" i="3"/>
  <c r="G330" i="3"/>
  <c r="E329" i="3"/>
  <c r="G329" i="3"/>
  <c r="E328" i="3"/>
  <c r="G328" i="3"/>
  <c r="E327" i="3"/>
  <c r="G327" i="3"/>
  <c r="E326" i="3"/>
  <c r="G326" i="3"/>
  <c r="E325" i="3"/>
  <c r="G325" i="3"/>
  <c r="E324" i="3"/>
  <c r="G324" i="3"/>
  <c r="E323" i="3"/>
  <c r="G323" i="3"/>
  <c r="E322" i="3"/>
  <c r="G322" i="3"/>
  <c r="E321" i="3"/>
  <c r="G321" i="3"/>
  <c r="E320" i="3"/>
  <c r="G320" i="3"/>
  <c r="E319" i="3"/>
  <c r="G319" i="3"/>
  <c r="E318" i="3"/>
  <c r="G318" i="3"/>
  <c r="E317" i="3"/>
  <c r="G317" i="3"/>
  <c r="E316" i="3"/>
  <c r="G316" i="3"/>
  <c r="E315" i="3"/>
  <c r="G315" i="3"/>
  <c r="E314" i="3"/>
  <c r="G314" i="3"/>
  <c r="E313" i="3"/>
  <c r="G313" i="3"/>
  <c r="E312" i="3"/>
  <c r="G312" i="3"/>
  <c r="E311" i="3"/>
  <c r="G311" i="3"/>
  <c r="E310" i="3"/>
  <c r="G310" i="3"/>
  <c r="E309" i="3"/>
  <c r="G309" i="3"/>
  <c r="E308" i="3"/>
  <c r="G308" i="3"/>
  <c r="E307" i="3"/>
  <c r="G307" i="3"/>
  <c r="E306" i="3"/>
  <c r="G306" i="3"/>
  <c r="E305" i="3"/>
  <c r="G305" i="3"/>
  <c r="E304" i="3"/>
  <c r="G304" i="3"/>
  <c r="E303" i="3"/>
  <c r="G303" i="3"/>
  <c r="E302" i="3"/>
  <c r="G302" i="3"/>
  <c r="E301" i="3"/>
  <c r="G301" i="3"/>
  <c r="E300" i="3"/>
  <c r="G300" i="3"/>
  <c r="E299" i="3"/>
  <c r="G299" i="3"/>
  <c r="E298" i="3"/>
  <c r="G298" i="3"/>
  <c r="E297" i="3"/>
  <c r="G297" i="3"/>
  <c r="E296" i="3"/>
  <c r="G296" i="3"/>
  <c r="E295" i="3"/>
  <c r="G295" i="3"/>
  <c r="E294" i="3"/>
  <c r="G294" i="3"/>
  <c r="E293" i="3"/>
  <c r="G293" i="3"/>
  <c r="E292" i="3"/>
  <c r="G292" i="3"/>
  <c r="E291" i="3"/>
  <c r="G291" i="3"/>
  <c r="E290" i="3"/>
  <c r="G290" i="3"/>
  <c r="E289" i="3"/>
  <c r="G289" i="3"/>
  <c r="E288" i="3"/>
  <c r="G288" i="3"/>
  <c r="E287" i="3"/>
  <c r="G287" i="3"/>
  <c r="E286" i="3"/>
  <c r="G286" i="3"/>
  <c r="E285" i="3"/>
  <c r="G285" i="3"/>
  <c r="E284" i="3"/>
  <c r="G284" i="3"/>
  <c r="E283" i="3"/>
  <c r="G283" i="3"/>
  <c r="E282" i="3"/>
  <c r="G282" i="3"/>
  <c r="E281" i="3"/>
  <c r="G281" i="3"/>
  <c r="E280" i="3"/>
  <c r="G280" i="3"/>
  <c r="E279" i="3"/>
  <c r="G279" i="3"/>
  <c r="E278" i="3"/>
  <c r="G278" i="3"/>
  <c r="E277" i="3"/>
  <c r="G277" i="3"/>
  <c r="E276" i="3"/>
  <c r="G276" i="3"/>
  <c r="E275" i="3"/>
  <c r="G275" i="3"/>
  <c r="E274" i="3"/>
  <c r="G274" i="3"/>
  <c r="E273" i="3"/>
  <c r="G273" i="3"/>
  <c r="E272" i="3"/>
  <c r="G272" i="3"/>
  <c r="E271" i="3"/>
  <c r="G271" i="3"/>
  <c r="E270" i="3"/>
  <c r="G270" i="3"/>
  <c r="E269" i="3"/>
  <c r="G269" i="3"/>
  <c r="E268" i="3"/>
  <c r="G268" i="3"/>
  <c r="E267" i="3"/>
  <c r="G267" i="3"/>
  <c r="E266" i="3"/>
  <c r="G266" i="3"/>
  <c r="E265" i="3"/>
  <c r="G265" i="3"/>
  <c r="E264" i="3"/>
  <c r="G264" i="3"/>
  <c r="E263" i="3"/>
  <c r="G263" i="3"/>
  <c r="E262" i="3"/>
  <c r="G262" i="3"/>
  <c r="E261" i="3"/>
  <c r="G261" i="3"/>
  <c r="E260" i="3"/>
  <c r="G260" i="3"/>
  <c r="E259" i="3"/>
  <c r="G259" i="3"/>
  <c r="E258" i="3"/>
  <c r="G258" i="3"/>
  <c r="E257" i="3"/>
  <c r="G257" i="3"/>
  <c r="E256" i="3"/>
  <c r="G256" i="3"/>
  <c r="E255" i="3"/>
  <c r="G255" i="3"/>
  <c r="E254" i="3"/>
  <c r="G254" i="3"/>
  <c r="E253" i="3"/>
  <c r="G253" i="3"/>
  <c r="E252" i="3"/>
  <c r="G252" i="3"/>
  <c r="E251" i="3"/>
  <c r="G251" i="3"/>
  <c r="E250" i="3"/>
  <c r="G250" i="3"/>
  <c r="E249" i="3"/>
  <c r="G249" i="3"/>
  <c r="E248" i="3"/>
  <c r="G248" i="3"/>
  <c r="E247" i="3"/>
  <c r="G247" i="3"/>
  <c r="E246" i="3"/>
  <c r="G246" i="3"/>
  <c r="E245" i="3"/>
  <c r="G245" i="3"/>
  <c r="E244" i="3"/>
  <c r="G244" i="3"/>
  <c r="E243" i="3"/>
  <c r="G243" i="3"/>
  <c r="E242" i="3"/>
  <c r="G242" i="3"/>
  <c r="E241" i="3"/>
  <c r="G241" i="3"/>
  <c r="E240" i="3"/>
  <c r="G240" i="3"/>
  <c r="E239" i="3"/>
  <c r="G239" i="3"/>
  <c r="E238" i="3"/>
  <c r="G238" i="3"/>
  <c r="E237" i="3"/>
  <c r="G237" i="3"/>
  <c r="E236" i="3"/>
  <c r="G236" i="3"/>
  <c r="E235" i="3"/>
  <c r="G235" i="3"/>
  <c r="E234" i="3"/>
  <c r="G234" i="3"/>
  <c r="E233" i="3"/>
  <c r="G233" i="3"/>
  <c r="E232" i="3"/>
  <c r="G232" i="3"/>
  <c r="E231" i="3"/>
  <c r="G231" i="3"/>
  <c r="E230" i="3"/>
  <c r="G230" i="3"/>
  <c r="E229" i="3"/>
  <c r="G229" i="3"/>
  <c r="E228" i="3"/>
  <c r="G228" i="3"/>
  <c r="E227" i="3"/>
  <c r="G227" i="3"/>
  <c r="E226" i="3"/>
  <c r="G226" i="3"/>
  <c r="E225" i="3"/>
  <c r="G225" i="3"/>
  <c r="E224" i="3"/>
  <c r="G224" i="3"/>
  <c r="E223" i="3"/>
  <c r="G223" i="3"/>
  <c r="E222" i="3"/>
  <c r="G222" i="3"/>
  <c r="E221" i="3"/>
  <c r="G221" i="3"/>
  <c r="E220" i="3"/>
  <c r="G220" i="3"/>
  <c r="E219" i="3"/>
  <c r="G219" i="3"/>
  <c r="E218" i="3"/>
  <c r="G218" i="3"/>
  <c r="E217" i="3"/>
  <c r="G217" i="3"/>
  <c r="E216" i="3"/>
  <c r="G216" i="3"/>
  <c r="E215" i="3"/>
  <c r="G215" i="3"/>
  <c r="E214" i="3"/>
  <c r="G214" i="3"/>
  <c r="E213" i="3"/>
  <c r="G213" i="3"/>
  <c r="E212" i="3"/>
  <c r="G212" i="3"/>
  <c r="E211" i="3"/>
  <c r="G211" i="3"/>
  <c r="E210" i="3"/>
  <c r="G210" i="3"/>
  <c r="E174" i="3"/>
  <c r="G174" i="3"/>
  <c r="E173" i="3"/>
  <c r="G173" i="3"/>
  <c r="E172" i="3"/>
  <c r="G172" i="3"/>
  <c r="E171" i="3"/>
  <c r="G171" i="3"/>
  <c r="E170" i="3"/>
  <c r="G170" i="3"/>
  <c r="E169" i="3"/>
  <c r="G169" i="3"/>
  <c r="E168" i="3"/>
  <c r="G168" i="3"/>
  <c r="E167" i="3"/>
  <c r="G167" i="3"/>
  <c r="E166" i="3"/>
  <c r="G166" i="3"/>
  <c r="E165" i="3"/>
  <c r="G165" i="3"/>
  <c r="E164" i="3"/>
  <c r="G164" i="3"/>
  <c r="E163" i="3"/>
  <c r="G163" i="3"/>
  <c r="E162" i="3"/>
  <c r="G162" i="3"/>
  <c r="E161" i="3"/>
  <c r="G161" i="3"/>
  <c r="E160" i="3"/>
  <c r="G160" i="3"/>
  <c r="E159" i="3"/>
  <c r="G159" i="3"/>
  <c r="E158" i="3"/>
  <c r="G158" i="3"/>
  <c r="E157" i="3"/>
  <c r="G157" i="3"/>
  <c r="E156" i="3"/>
  <c r="G156" i="3"/>
  <c r="E155" i="3"/>
  <c r="G155" i="3"/>
  <c r="E154" i="3"/>
  <c r="G154" i="3"/>
  <c r="E153" i="3"/>
  <c r="G153" i="3"/>
  <c r="E152" i="3"/>
  <c r="G152" i="3"/>
  <c r="E151" i="3"/>
  <c r="G151" i="3"/>
  <c r="E150" i="3"/>
  <c r="G150" i="3"/>
  <c r="E149" i="3"/>
  <c r="G149" i="3"/>
  <c r="E148" i="3"/>
  <c r="G148" i="3"/>
  <c r="E147" i="3"/>
  <c r="G147" i="3"/>
  <c r="E146" i="3"/>
  <c r="G146" i="3"/>
  <c r="E145" i="3"/>
  <c r="G145" i="3"/>
  <c r="E144" i="3"/>
  <c r="G144" i="3"/>
  <c r="E143" i="3"/>
  <c r="G143" i="3"/>
  <c r="E142" i="3"/>
  <c r="G142" i="3"/>
  <c r="E141" i="3"/>
  <c r="G141" i="3"/>
  <c r="E140" i="3"/>
  <c r="G140" i="3"/>
  <c r="E139" i="3"/>
  <c r="G139" i="3"/>
  <c r="E138" i="3"/>
  <c r="G138" i="3"/>
  <c r="E137" i="3"/>
  <c r="G137" i="3"/>
  <c r="E136" i="3"/>
  <c r="G136" i="3"/>
  <c r="E135" i="3"/>
  <c r="G135" i="3"/>
  <c r="E134" i="3"/>
  <c r="G134" i="3"/>
  <c r="E133" i="3"/>
  <c r="G133" i="3"/>
  <c r="E132" i="3"/>
  <c r="G132" i="3"/>
  <c r="E131" i="3"/>
  <c r="G131" i="3"/>
  <c r="E130" i="3"/>
  <c r="G130" i="3"/>
  <c r="E129" i="3"/>
  <c r="G129" i="3"/>
  <c r="E128" i="3"/>
  <c r="G128" i="3"/>
  <c r="E127" i="3"/>
  <c r="G127" i="3"/>
  <c r="E126" i="3"/>
  <c r="G126" i="3"/>
  <c r="E125" i="3"/>
  <c r="G125" i="3"/>
  <c r="E124" i="3"/>
  <c r="G124" i="3"/>
  <c r="E123" i="3"/>
  <c r="G123" i="3"/>
  <c r="E122" i="3"/>
  <c r="G122" i="3"/>
  <c r="E121" i="3"/>
  <c r="G121" i="3"/>
  <c r="E120" i="3"/>
  <c r="G120" i="3"/>
  <c r="E119" i="3"/>
  <c r="G119" i="3"/>
  <c r="E118" i="3"/>
  <c r="G118" i="3"/>
  <c r="E117" i="3"/>
  <c r="G117" i="3"/>
  <c r="E116" i="3"/>
  <c r="G116" i="3"/>
  <c r="E115" i="3"/>
  <c r="G115" i="3"/>
  <c r="E114" i="3"/>
  <c r="G114" i="3"/>
  <c r="E113" i="3"/>
  <c r="G113" i="3"/>
  <c r="E112" i="3"/>
  <c r="G112" i="3"/>
  <c r="E111" i="3"/>
  <c r="G111" i="3"/>
  <c r="E110" i="3"/>
  <c r="G110" i="3"/>
  <c r="E109" i="3"/>
  <c r="G109" i="3"/>
  <c r="E108" i="3"/>
  <c r="G108" i="3"/>
  <c r="E107" i="3"/>
  <c r="G107" i="3"/>
  <c r="E106" i="3"/>
  <c r="G106" i="3"/>
  <c r="E105" i="3"/>
  <c r="G105" i="3"/>
  <c r="E104" i="3"/>
  <c r="G104" i="3"/>
  <c r="E103" i="3"/>
  <c r="G103" i="3"/>
  <c r="E102" i="3"/>
  <c r="G102" i="3"/>
  <c r="E101" i="3"/>
  <c r="G101" i="3"/>
  <c r="E100" i="3"/>
  <c r="G100" i="3"/>
  <c r="E99" i="3"/>
  <c r="G99" i="3"/>
  <c r="E98" i="3"/>
  <c r="G98" i="3"/>
  <c r="E97" i="3"/>
  <c r="G97" i="3"/>
  <c r="E96" i="3"/>
  <c r="G96" i="3"/>
  <c r="E95" i="3"/>
  <c r="G95" i="3"/>
  <c r="E94" i="3"/>
  <c r="G94" i="3"/>
  <c r="E93" i="3"/>
  <c r="G93" i="3"/>
  <c r="E92" i="3"/>
  <c r="G92" i="3"/>
  <c r="E91" i="3"/>
  <c r="G91" i="3"/>
  <c r="E90" i="3"/>
  <c r="G90" i="3"/>
  <c r="E89" i="3"/>
  <c r="G89" i="3"/>
  <c r="E88" i="3"/>
  <c r="G88" i="3"/>
  <c r="E87" i="3"/>
  <c r="G87" i="3"/>
  <c r="E86" i="3"/>
  <c r="G86" i="3"/>
  <c r="E85" i="3"/>
  <c r="G85" i="3"/>
  <c r="E84" i="3"/>
  <c r="G84" i="3"/>
  <c r="E83" i="3"/>
  <c r="G83" i="3"/>
  <c r="E82" i="3"/>
  <c r="G82" i="3"/>
  <c r="E81" i="3"/>
  <c r="G81" i="3"/>
  <c r="E80" i="3"/>
  <c r="G80" i="3"/>
  <c r="E79" i="3"/>
  <c r="G79" i="3"/>
  <c r="E78" i="3"/>
  <c r="G78" i="3"/>
  <c r="E77" i="3"/>
  <c r="G77" i="3"/>
  <c r="E76" i="3"/>
  <c r="G76" i="3"/>
  <c r="E75" i="3"/>
  <c r="G75" i="3"/>
  <c r="E74" i="3"/>
  <c r="G74" i="3"/>
  <c r="E73" i="3"/>
  <c r="G73" i="3"/>
  <c r="E72" i="3"/>
  <c r="G72" i="3"/>
  <c r="E71" i="3"/>
  <c r="G71" i="3"/>
  <c r="E70" i="3"/>
  <c r="G70" i="3"/>
  <c r="E69" i="3"/>
  <c r="G69" i="3"/>
  <c r="E68" i="3"/>
  <c r="G68" i="3"/>
  <c r="E67" i="3"/>
  <c r="G67" i="3"/>
  <c r="E66" i="3"/>
  <c r="G66" i="3"/>
  <c r="E65" i="3"/>
  <c r="G65" i="3"/>
  <c r="E64" i="3"/>
  <c r="G64" i="3"/>
  <c r="E63" i="3"/>
  <c r="G63" i="3"/>
  <c r="E62" i="3"/>
  <c r="G62" i="3"/>
  <c r="E61" i="3"/>
  <c r="G61" i="3"/>
  <c r="E60" i="3"/>
  <c r="G60" i="3"/>
  <c r="E59" i="3"/>
  <c r="G59" i="3"/>
  <c r="E58" i="3"/>
  <c r="G58" i="3"/>
  <c r="E57" i="3"/>
  <c r="G57" i="3"/>
  <c r="E56" i="3"/>
  <c r="G56" i="3"/>
  <c r="E55" i="3"/>
  <c r="G55" i="3"/>
  <c r="E54" i="3"/>
  <c r="G54" i="3"/>
  <c r="E53" i="3"/>
  <c r="G53" i="3"/>
  <c r="E52" i="3"/>
  <c r="G52" i="3"/>
  <c r="E51" i="3"/>
  <c r="G51" i="3"/>
  <c r="E50" i="3"/>
  <c r="G50" i="3"/>
  <c r="E49" i="3"/>
  <c r="G49" i="3"/>
  <c r="E48" i="3"/>
  <c r="G48" i="3"/>
  <c r="E47" i="3"/>
  <c r="G47" i="3"/>
  <c r="E46" i="3"/>
  <c r="G46" i="3"/>
  <c r="E45" i="3"/>
  <c r="G45" i="3"/>
  <c r="E44" i="3"/>
  <c r="G44" i="3"/>
  <c r="E43" i="3"/>
  <c r="G43" i="3"/>
  <c r="E42" i="3"/>
  <c r="G42" i="3"/>
  <c r="E41" i="3"/>
  <c r="G41" i="3"/>
  <c r="E40" i="3"/>
  <c r="G40" i="3"/>
  <c r="E39" i="3"/>
  <c r="G39" i="3"/>
  <c r="E38" i="3"/>
  <c r="G38" i="3"/>
  <c r="E37" i="3"/>
  <c r="G37" i="3"/>
  <c r="E36" i="3"/>
  <c r="G36" i="3"/>
  <c r="E35" i="3"/>
  <c r="G35" i="3"/>
  <c r="E34" i="3"/>
  <c r="G34" i="3"/>
  <c r="E33" i="3"/>
  <c r="G33" i="3"/>
  <c r="E32" i="3"/>
  <c r="G32" i="3"/>
  <c r="E31" i="3"/>
  <c r="G31" i="3"/>
  <c r="E30" i="3"/>
  <c r="G30" i="3"/>
  <c r="E29" i="3"/>
  <c r="G29" i="3"/>
  <c r="E28" i="3"/>
  <c r="G28" i="3"/>
  <c r="E27" i="3"/>
  <c r="G27" i="3"/>
  <c r="E26" i="3"/>
  <c r="G26" i="3"/>
  <c r="E25" i="3"/>
  <c r="G25" i="3"/>
  <c r="E24" i="3"/>
  <c r="G24" i="3"/>
  <c r="E23" i="3"/>
  <c r="G23" i="3"/>
  <c r="E22" i="3"/>
  <c r="G22" i="3"/>
  <c r="E21" i="3"/>
  <c r="G21" i="3"/>
  <c r="E20" i="3"/>
  <c r="G20" i="3"/>
  <c r="E19" i="3"/>
  <c r="G19" i="3"/>
  <c r="E18" i="3"/>
  <c r="G18" i="3"/>
  <c r="E17" i="3"/>
  <c r="G17" i="3"/>
  <c r="E16" i="3"/>
  <c r="G16" i="3"/>
  <c r="E15" i="3"/>
  <c r="G15" i="3"/>
  <c r="E14" i="3"/>
  <c r="G14" i="3"/>
  <c r="E13" i="3"/>
  <c r="G13" i="3"/>
  <c r="E12" i="3"/>
  <c r="G12" i="3"/>
  <c r="E11" i="3"/>
  <c r="G11" i="3"/>
  <c r="E10" i="3"/>
  <c r="G10" i="3"/>
  <c r="G101" i="5" l="1"/>
  <c r="C101" i="5"/>
  <c r="T960" i="4"/>
  <c r="T930" i="4"/>
  <c r="Q201" i="4"/>
  <c r="Q687" i="4"/>
  <c r="R645" i="4"/>
  <c r="S480" i="4"/>
  <c r="S288" i="4"/>
  <c r="Q468" i="4"/>
  <c r="Q372" i="4"/>
  <c r="S285" i="4"/>
  <c r="Q81" i="4"/>
  <c r="Q258" i="4"/>
  <c r="R762" i="4"/>
  <c r="R642" i="4"/>
  <c r="S624" i="4"/>
  <c r="Q603" i="4"/>
  <c r="S597" i="4"/>
  <c r="S591" i="4"/>
  <c r="Q369" i="4"/>
  <c r="S192" i="4"/>
  <c r="S168" i="4"/>
  <c r="Q102" i="4"/>
  <c r="Q78" i="4"/>
  <c r="S63" i="4"/>
  <c r="Q63" i="4"/>
  <c r="T801" i="4"/>
  <c r="T792" i="4"/>
  <c r="V792" i="4" s="1"/>
  <c r="T858" i="4"/>
  <c r="V858" i="4" s="1"/>
  <c r="T915" i="4"/>
  <c r="T846" i="4"/>
  <c r="V846" i="4" s="1"/>
  <c r="Q585" i="4"/>
  <c r="Q492" i="4"/>
  <c r="R477" i="4"/>
  <c r="R471" i="4"/>
  <c r="S450" i="4"/>
  <c r="S432" i="4"/>
  <c r="S408" i="4"/>
  <c r="Q396" i="4"/>
  <c r="S360" i="4"/>
  <c r="S261" i="4"/>
  <c r="S189" i="4"/>
  <c r="S165" i="4"/>
  <c r="Q156" i="4"/>
  <c r="Q132" i="4"/>
  <c r="S93" i="4"/>
  <c r="Q75" i="4"/>
  <c r="Q51" i="4"/>
  <c r="S36" i="4"/>
  <c r="S24" i="4"/>
  <c r="T942" i="4"/>
  <c r="V942" i="4" s="1"/>
  <c r="S759" i="4"/>
  <c r="Q759" i="4"/>
  <c r="Q738" i="4"/>
  <c r="S735" i="4"/>
  <c r="S711" i="4"/>
  <c r="Q690" i="4"/>
  <c r="R687" i="4"/>
  <c r="T687" i="4" s="1"/>
  <c r="S684" i="4"/>
  <c r="R666" i="4"/>
  <c r="R582" i="4"/>
  <c r="R567" i="4"/>
  <c r="S540" i="4"/>
  <c r="Q522" i="4"/>
  <c r="S504" i="4"/>
  <c r="Q489" i="4"/>
  <c r="S381" i="4"/>
  <c r="S357" i="4"/>
  <c r="S333" i="4"/>
  <c r="S309" i="4"/>
  <c r="Q297" i="4"/>
  <c r="R285" i="4"/>
  <c r="Q204" i="4"/>
  <c r="S90" i="4"/>
  <c r="S66" i="4"/>
  <c r="V945" i="4"/>
  <c r="T897" i="4"/>
  <c r="V897" i="4" s="1"/>
  <c r="T849" i="4"/>
  <c r="V849" i="4" s="1"/>
  <c r="T903" i="4"/>
  <c r="V903" i="4" s="1"/>
  <c r="T855" i="4"/>
  <c r="V855" i="4" s="1"/>
  <c r="T807" i="4"/>
  <c r="T885" i="4"/>
  <c r="V885" i="4" s="1"/>
  <c r="T867" i="4"/>
  <c r="Q711" i="4"/>
  <c r="Q660" i="4"/>
  <c r="R624" i="4"/>
  <c r="R351" i="4"/>
  <c r="R303" i="4"/>
  <c r="R279" i="4"/>
  <c r="S114" i="4"/>
  <c r="Q783" i="4"/>
  <c r="S768" i="4"/>
  <c r="S756" i="4"/>
  <c r="Q756" i="4"/>
  <c r="R741" i="4"/>
  <c r="S732" i="4"/>
  <c r="Q732" i="4"/>
  <c r="R717" i="4"/>
  <c r="S708" i="4"/>
  <c r="Q708" i="4"/>
  <c r="S699" i="4"/>
  <c r="R693" i="4"/>
  <c r="S675" i="4"/>
  <c r="S651" i="4"/>
  <c r="S639" i="4"/>
  <c r="Q639" i="4"/>
  <c r="R564" i="4"/>
  <c r="S537" i="4"/>
  <c r="Q519" i="4"/>
  <c r="S501" i="4"/>
  <c r="R495" i="4"/>
  <c r="Q465" i="4"/>
  <c r="R447" i="4"/>
  <c r="S429" i="4"/>
  <c r="S405" i="4"/>
  <c r="R399" i="4"/>
  <c r="Q393" i="4"/>
  <c r="Q348" i="4"/>
  <c r="Q324" i="4"/>
  <c r="Q276" i="4"/>
  <c r="R255" i="4"/>
  <c r="S237" i="4"/>
  <c r="S213" i="4"/>
  <c r="R207" i="4"/>
  <c r="Q177" i="4"/>
  <c r="R168" i="4"/>
  <c r="Q153" i="4"/>
  <c r="S147" i="4"/>
  <c r="Q129" i="4"/>
  <c r="R60" i="4"/>
  <c r="R54" i="4"/>
  <c r="S33" i="4"/>
  <c r="Q33" i="4"/>
  <c r="S21" i="4"/>
  <c r="R21" i="4"/>
  <c r="T921" i="4"/>
  <c r="V921" i="4" s="1"/>
  <c r="T873" i="4"/>
  <c r="V873" i="4" s="1"/>
  <c r="T831" i="4"/>
  <c r="V801" i="4"/>
  <c r="T798" i="4"/>
  <c r="V798" i="4" s="1"/>
  <c r="V957" i="4"/>
  <c r="V789" i="4"/>
  <c r="T861" i="4"/>
  <c r="V861" i="4" s="1"/>
  <c r="V882" i="4"/>
  <c r="T864" i="4"/>
  <c r="T816" i="4"/>
  <c r="V816" i="4" s="1"/>
  <c r="T939" i="4"/>
  <c r="Q450" i="4"/>
  <c r="R24" i="4"/>
  <c r="Q780" i="4"/>
  <c r="S774" i="4"/>
  <c r="S747" i="4"/>
  <c r="R747" i="4"/>
  <c r="S744" i="4"/>
  <c r="R738" i="4"/>
  <c r="S723" i="4"/>
  <c r="R723" i="4"/>
  <c r="S720" i="4"/>
  <c r="S696" i="4"/>
  <c r="R690" i="4"/>
  <c r="S672" i="4"/>
  <c r="S657" i="4"/>
  <c r="S648" i="4"/>
  <c r="S636" i="4"/>
  <c r="Q636" i="4"/>
  <c r="S609" i="4"/>
  <c r="Q609" i="4"/>
  <c r="R591" i="4"/>
  <c r="Q528" i="4"/>
  <c r="Q516" i="4"/>
  <c r="R456" i="4"/>
  <c r="Q444" i="4"/>
  <c r="Q420" i="4"/>
  <c r="R384" i="4"/>
  <c r="R381" i="4"/>
  <c r="R375" i="4"/>
  <c r="R360" i="4"/>
  <c r="R357" i="4"/>
  <c r="Q345" i="4"/>
  <c r="T345" i="4" s="1"/>
  <c r="S339" i="4"/>
  <c r="Q321" i="4"/>
  <c r="S315" i="4"/>
  <c r="Q273" i="4"/>
  <c r="Q252" i="4"/>
  <c r="Q228" i="4"/>
  <c r="S162" i="4"/>
  <c r="Q162" i="4"/>
  <c r="S144" i="4"/>
  <c r="Q126" i="4"/>
  <c r="S120" i="4"/>
  <c r="Q48" i="4"/>
  <c r="R30" i="4"/>
  <c r="R18" i="4"/>
  <c r="T819" i="4"/>
  <c r="V939" i="4"/>
  <c r="T837" i="4"/>
  <c r="V837" i="4" s="1"/>
  <c r="T936" i="4"/>
  <c r="V936" i="4" s="1"/>
  <c r="R108" i="4"/>
  <c r="Q693" i="4"/>
  <c r="R669" i="4"/>
  <c r="Q663" i="4"/>
  <c r="S627" i="4"/>
  <c r="R606" i="4"/>
  <c r="Q579" i="4"/>
  <c r="S570" i="4"/>
  <c r="S543" i="4"/>
  <c r="Q525" i="4"/>
  <c r="Q513" i="4"/>
  <c r="S507" i="4"/>
  <c r="R480" i="4"/>
  <c r="S453" i="4"/>
  <c r="Q441" i="4"/>
  <c r="S435" i="4"/>
  <c r="Q417" i="4"/>
  <c r="S411" i="4"/>
  <c r="S354" i="4"/>
  <c r="R354" i="4"/>
  <c r="S336" i="4"/>
  <c r="S312" i="4"/>
  <c r="Q300" i="4"/>
  <c r="R264" i="4"/>
  <c r="Q249" i="4"/>
  <c r="S243" i="4"/>
  <c r="Q225" i="4"/>
  <c r="S219" i="4"/>
  <c r="R192" i="4"/>
  <c r="R189" i="4"/>
  <c r="R183" i="4"/>
  <c r="R159" i="4"/>
  <c r="S141" i="4"/>
  <c r="S117" i="4"/>
  <c r="Q105" i="4"/>
  <c r="R93" i="4"/>
  <c r="R90" i="4"/>
  <c r="R84" i="4"/>
  <c r="S39" i="4"/>
  <c r="R39" i="4"/>
  <c r="Q15" i="4"/>
  <c r="T951" i="4"/>
  <c r="V951" i="4" s="1"/>
  <c r="V807" i="4"/>
  <c r="T804" i="4"/>
  <c r="V804" i="4" s="1"/>
  <c r="V909" i="4"/>
  <c r="T891" i="4"/>
  <c r="V891" i="4" s="1"/>
  <c r="V960" i="4"/>
  <c r="V912" i="4"/>
  <c r="Q717" i="4"/>
  <c r="R675" i="4"/>
  <c r="R657" i="4"/>
  <c r="R627" i="4"/>
  <c r="R588" i="4"/>
  <c r="S555" i="4"/>
  <c r="S477" i="4"/>
  <c r="R261" i="4"/>
  <c r="S783" i="4"/>
  <c r="S780" i="4"/>
  <c r="S771" i="4"/>
  <c r="Q765" i="4"/>
  <c r="T765" i="4" s="1"/>
  <c r="Q762" i="4"/>
  <c r="T762" i="4" s="1"/>
  <c r="R759" i="4"/>
  <c r="R756" i="4"/>
  <c r="R744" i="4"/>
  <c r="Q735" i="4"/>
  <c r="R735" i="4"/>
  <c r="R732" i="4"/>
  <c r="R720" i="4"/>
  <c r="R714" i="4"/>
  <c r="Q714" i="4"/>
  <c r="R711" i="4"/>
  <c r="R708" i="4"/>
  <c r="R699" i="4"/>
  <c r="R696" i="4"/>
  <c r="Q684" i="4"/>
  <c r="R684" i="4"/>
  <c r="S654" i="4"/>
  <c r="R654" i="4"/>
  <c r="Q645" i="4"/>
  <c r="Q642" i="4"/>
  <c r="R639" i="4"/>
  <c r="R636" i="4"/>
  <c r="S615" i="4"/>
  <c r="Q612" i="4"/>
  <c r="R609" i="4"/>
  <c r="T609" i="4" s="1"/>
  <c r="S594" i="4"/>
  <c r="S588" i="4"/>
  <c r="Q582" i="4"/>
  <c r="T582" i="4" s="1"/>
  <c r="S576" i="4"/>
  <c r="S567" i="4"/>
  <c r="Q567" i="4"/>
  <c r="S552" i="4"/>
  <c r="R534" i="4"/>
  <c r="S486" i="4"/>
  <c r="S462" i="4"/>
  <c r="R450" i="4"/>
  <c r="R444" i="4"/>
  <c r="R441" i="4"/>
  <c r="R426" i="4"/>
  <c r="S390" i="4"/>
  <c r="S366" i="4"/>
  <c r="R348" i="4"/>
  <c r="R345" i="4"/>
  <c r="R330" i="4"/>
  <c r="S294" i="4"/>
  <c r="S270" i="4"/>
  <c r="R258" i="4"/>
  <c r="R252" i="4"/>
  <c r="R249" i="4"/>
  <c r="R234" i="4"/>
  <c r="S198" i="4"/>
  <c r="S174" i="4"/>
  <c r="R162" i="4"/>
  <c r="T162" i="4" s="1"/>
  <c r="R156" i="4"/>
  <c r="R153" i="4"/>
  <c r="R138" i="4"/>
  <c r="S99" i="4"/>
  <c r="S72" i="4"/>
  <c r="R63" i="4"/>
  <c r="S45" i="4"/>
  <c r="R33" i="4"/>
  <c r="T33" i="4" s="1"/>
  <c r="R15" i="4"/>
  <c r="T822" i="4"/>
  <c r="V822" i="4" s="1"/>
  <c r="T954" i="4"/>
  <c r="V963" i="4"/>
  <c r="V795" i="4"/>
  <c r="T906" i="4"/>
  <c r="V906" i="4" s="1"/>
  <c r="T888" i="4"/>
  <c r="V867" i="4"/>
  <c r="T825" i="4"/>
  <c r="V825" i="4" s="1"/>
  <c r="S456" i="4"/>
  <c r="S384" i="4"/>
  <c r="Q354" i="4"/>
  <c r="S264" i="4"/>
  <c r="T258" i="4"/>
  <c r="V258" i="4" s="1"/>
  <c r="R165" i="4"/>
  <c r="R783" i="4"/>
  <c r="T783" i="4" s="1"/>
  <c r="R780" i="4"/>
  <c r="R771" i="4"/>
  <c r="R768" i="4"/>
  <c r="S753" i="4"/>
  <c r="R753" i="4"/>
  <c r="S729" i="4"/>
  <c r="R729" i="4"/>
  <c r="S705" i="4"/>
  <c r="R705" i="4"/>
  <c r="S681" i="4"/>
  <c r="R681" i="4"/>
  <c r="S663" i="4"/>
  <c r="S660" i="4"/>
  <c r="R651" i="4"/>
  <c r="R648" i="4"/>
  <c r="S633" i="4"/>
  <c r="R633" i="4"/>
  <c r="R615" i="4"/>
  <c r="S612" i="4"/>
  <c r="R612" i="4"/>
  <c r="T612" i="4" s="1"/>
  <c r="V612" i="4" s="1"/>
  <c r="Q606" i="4"/>
  <c r="S600" i="4"/>
  <c r="R561" i="4"/>
  <c r="R558" i="4"/>
  <c r="S549" i="4"/>
  <c r="R540" i="4"/>
  <c r="R537" i="4"/>
  <c r="R531" i="4"/>
  <c r="R504" i="4"/>
  <c r="R501" i="4"/>
  <c r="S498" i="4"/>
  <c r="Q498" i="4"/>
  <c r="S483" i="4"/>
  <c r="S459" i="4"/>
  <c r="R429" i="4"/>
  <c r="R423" i="4"/>
  <c r="R408" i="4"/>
  <c r="R405" i="4"/>
  <c r="S402" i="4"/>
  <c r="Q402" i="4"/>
  <c r="S387" i="4"/>
  <c r="S363" i="4"/>
  <c r="R336" i="4"/>
  <c r="R333" i="4"/>
  <c r="R327" i="4"/>
  <c r="R312" i="4"/>
  <c r="R309" i="4"/>
  <c r="S306" i="4"/>
  <c r="Q306" i="4"/>
  <c r="S291" i="4"/>
  <c r="S267" i="4"/>
  <c r="R240" i="4"/>
  <c r="R237" i="4"/>
  <c r="R231" i="4"/>
  <c r="R216" i="4"/>
  <c r="R213" i="4"/>
  <c r="S210" i="4"/>
  <c r="Q210" i="4"/>
  <c r="S195" i="4"/>
  <c r="S171" i="4"/>
  <c r="R144" i="4"/>
  <c r="R141" i="4"/>
  <c r="R135" i="4"/>
  <c r="R117" i="4"/>
  <c r="R114" i="4"/>
  <c r="S111" i="4"/>
  <c r="Q111" i="4"/>
  <c r="S96" i="4"/>
  <c r="S69" i="4"/>
  <c r="S54" i="4"/>
  <c r="Q54" i="4"/>
  <c r="S42" i="4"/>
  <c r="T843" i="4"/>
  <c r="V843" i="4" s="1"/>
  <c r="V930" i="4"/>
  <c r="T810" i="4"/>
  <c r="V810" i="4" s="1"/>
  <c r="R774" i="4"/>
  <c r="Q741" i="4"/>
  <c r="R672" i="4"/>
  <c r="R453" i="4"/>
  <c r="R288" i="4"/>
  <c r="R66" i="4"/>
  <c r="R36" i="4"/>
  <c r="Q24" i="4"/>
  <c r="Q21" i="4"/>
  <c r="S777" i="4"/>
  <c r="R777" i="4"/>
  <c r="S750" i="4"/>
  <c r="R750" i="4"/>
  <c r="S726" i="4"/>
  <c r="R726" i="4"/>
  <c r="S702" i="4"/>
  <c r="R702" i="4"/>
  <c r="S687" i="4"/>
  <c r="S678" i="4"/>
  <c r="R678" i="4"/>
  <c r="Q669" i="4"/>
  <c r="Q666" i="4"/>
  <c r="R663" i="4"/>
  <c r="T663" i="4" s="1"/>
  <c r="R660" i="4"/>
  <c r="S630" i="4"/>
  <c r="R630" i="4"/>
  <c r="S573" i="4"/>
  <c r="Q561" i="4"/>
  <c r="Q558" i="4"/>
  <c r="S546" i="4"/>
  <c r="S510" i="4"/>
  <c r="R498" i="4"/>
  <c r="R492" i="4"/>
  <c r="T492" i="4" s="1"/>
  <c r="R489" i="4"/>
  <c r="T489" i="4" s="1"/>
  <c r="R474" i="4"/>
  <c r="S438" i="4"/>
  <c r="S414" i="4"/>
  <c r="R402" i="4"/>
  <c r="R396" i="4"/>
  <c r="R393" i="4"/>
  <c r="R378" i="4"/>
  <c r="S342" i="4"/>
  <c r="S318" i="4"/>
  <c r="R306" i="4"/>
  <c r="R300" i="4"/>
  <c r="R297" i="4"/>
  <c r="R282" i="4"/>
  <c r="S246" i="4"/>
  <c r="S222" i="4"/>
  <c r="R210" i="4"/>
  <c r="R204" i="4"/>
  <c r="T204" i="4" s="1"/>
  <c r="R201" i="4"/>
  <c r="T201" i="4" s="1"/>
  <c r="R186" i="4"/>
  <c r="S150" i="4"/>
  <c r="S123" i="4"/>
  <c r="R111" i="4"/>
  <c r="R105" i="4"/>
  <c r="R102" i="4"/>
  <c r="R87" i="4"/>
  <c r="R57" i="4"/>
  <c r="R27" i="4"/>
  <c r="T948" i="4"/>
  <c r="V948" i="4" s="1"/>
  <c r="T894" i="4"/>
  <c r="V894" i="4" s="1"/>
  <c r="T840" i="4"/>
  <c r="V840" i="4" s="1"/>
  <c r="T813" i="4"/>
  <c r="V813" i="4" s="1"/>
  <c r="R597" i="4"/>
  <c r="Q597" i="4"/>
  <c r="R573" i="4"/>
  <c r="Q573" i="4"/>
  <c r="R555" i="4"/>
  <c r="Q555" i="4"/>
  <c r="R552" i="4"/>
  <c r="Q552" i="4"/>
  <c r="R549" i="4"/>
  <c r="Q549" i="4"/>
  <c r="R546" i="4"/>
  <c r="Q546" i="4"/>
  <c r="R543" i="4"/>
  <c r="Q543" i="4"/>
  <c r="R486" i="4"/>
  <c r="Q486" i="4"/>
  <c r="R483" i="4"/>
  <c r="Q483" i="4"/>
  <c r="R438" i="4"/>
  <c r="Q438" i="4"/>
  <c r="R435" i="4"/>
  <c r="Q435" i="4"/>
  <c r="R390" i="4"/>
  <c r="Q390" i="4"/>
  <c r="R387" i="4"/>
  <c r="Q387" i="4"/>
  <c r="R342" i="4"/>
  <c r="Q342" i="4"/>
  <c r="R339" i="4"/>
  <c r="Q339" i="4"/>
  <c r="R294" i="4"/>
  <c r="Q294" i="4"/>
  <c r="R291" i="4"/>
  <c r="Q291" i="4"/>
  <c r="R246" i="4"/>
  <c r="Q246" i="4"/>
  <c r="R243" i="4"/>
  <c r="Q243" i="4"/>
  <c r="R198" i="4"/>
  <c r="Q198" i="4"/>
  <c r="R195" i="4"/>
  <c r="Q195" i="4"/>
  <c r="R150" i="4"/>
  <c r="Q150" i="4"/>
  <c r="R147" i="4"/>
  <c r="Q147" i="4"/>
  <c r="R99" i="4"/>
  <c r="Q99" i="4"/>
  <c r="R96" i="4"/>
  <c r="Q96" i="4"/>
  <c r="Q777" i="4"/>
  <c r="Q774" i="4"/>
  <c r="S765" i="4"/>
  <c r="S762" i="4"/>
  <c r="Q753" i="4"/>
  <c r="Q750" i="4"/>
  <c r="S741" i="4"/>
  <c r="S738" i="4"/>
  <c r="Q729" i="4"/>
  <c r="Q726" i="4"/>
  <c r="T726" i="4" s="1"/>
  <c r="S717" i="4"/>
  <c r="S714" i="4"/>
  <c r="Q705" i="4"/>
  <c r="Q702" i="4"/>
  <c r="S693" i="4"/>
  <c r="S690" i="4"/>
  <c r="Q681" i="4"/>
  <c r="Q678" i="4"/>
  <c r="S669" i="4"/>
  <c r="S666" i="4"/>
  <c r="Q657" i="4"/>
  <c r="T657" i="4" s="1"/>
  <c r="Q654" i="4"/>
  <c r="S645" i="4"/>
  <c r="S642" i="4"/>
  <c r="Q633" i="4"/>
  <c r="Q630" i="4"/>
  <c r="R600" i="4"/>
  <c r="Q588" i="4"/>
  <c r="S585" i="4"/>
  <c r="R576" i="4"/>
  <c r="R570" i="4"/>
  <c r="S561" i="4"/>
  <c r="S558" i="4"/>
  <c r="Q540" i="4"/>
  <c r="Q537" i="4"/>
  <c r="S531" i="4"/>
  <c r="Q531" i="4"/>
  <c r="S492" i="4"/>
  <c r="S489" i="4"/>
  <c r="Q480" i="4"/>
  <c r="Q477" i="4"/>
  <c r="T477" i="4" s="1"/>
  <c r="V477" i="4" s="1"/>
  <c r="S471" i="4"/>
  <c r="Q471" i="4"/>
  <c r="T471" i="4" s="1"/>
  <c r="S444" i="4"/>
  <c r="S441" i="4"/>
  <c r="Q432" i="4"/>
  <c r="Q429" i="4"/>
  <c r="S423" i="4"/>
  <c r="Q423" i="4"/>
  <c r="S396" i="4"/>
  <c r="T393" i="4"/>
  <c r="S393" i="4"/>
  <c r="Q384" i="4"/>
  <c r="Q381" i="4"/>
  <c r="S375" i="4"/>
  <c r="Q375" i="4"/>
  <c r="S348" i="4"/>
  <c r="S345" i="4"/>
  <c r="Q336" i="4"/>
  <c r="Q333" i="4"/>
  <c r="S327" i="4"/>
  <c r="Q327" i="4"/>
  <c r="S300" i="4"/>
  <c r="S297" i="4"/>
  <c r="Q288" i="4"/>
  <c r="Q285" i="4"/>
  <c r="S279" i="4"/>
  <c r="Q279" i="4"/>
  <c r="S252" i="4"/>
  <c r="S249" i="4"/>
  <c r="Q240" i="4"/>
  <c r="Q237" i="4"/>
  <c r="S231" i="4"/>
  <c r="Q231" i="4"/>
  <c r="S204" i="4"/>
  <c r="S201" i="4"/>
  <c r="Q192" i="4"/>
  <c r="Q189" i="4"/>
  <c r="T189" i="4" s="1"/>
  <c r="V189" i="4" s="1"/>
  <c r="S183" i="4"/>
  <c r="Q183" i="4"/>
  <c r="S156" i="4"/>
  <c r="T153" i="4"/>
  <c r="S153" i="4"/>
  <c r="Q144" i="4"/>
  <c r="Q141" i="4"/>
  <c r="S135" i="4"/>
  <c r="Q135" i="4"/>
  <c r="S105" i="4"/>
  <c r="S102" i="4"/>
  <c r="Q93" i="4"/>
  <c r="T93" i="4" s="1"/>
  <c r="V93" i="4" s="1"/>
  <c r="Q90" i="4"/>
  <c r="T90" i="4" s="1"/>
  <c r="V90" i="4" s="1"/>
  <c r="S84" i="4"/>
  <c r="Q84" i="4"/>
  <c r="S15" i="4"/>
  <c r="T927" i="4"/>
  <c r="V927" i="4" s="1"/>
  <c r="T879" i="4"/>
  <c r="V879" i="4" s="1"/>
  <c r="V831" i="4"/>
  <c r="Q771" i="4"/>
  <c r="T771" i="4" s="1"/>
  <c r="V771" i="4" s="1"/>
  <c r="Q768" i="4"/>
  <c r="Q747" i="4"/>
  <c r="Q744" i="4"/>
  <c r="Q723" i="4"/>
  <c r="T723" i="4" s="1"/>
  <c r="Q720" i="4"/>
  <c r="Q699" i="4"/>
  <c r="Q696" i="4"/>
  <c r="Q675" i="4"/>
  <c r="T675" i="4" s="1"/>
  <c r="V675" i="4" s="1"/>
  <c r="Q672" i="4"/>
  <c r="Q651" i="4"/>
  <c r="Q648" i="4"/>
  <c r="Q627" i="4"/>
  <c r="Q624" i="4"/>
  <c r="T624" i="4" s="1"/>
  <c r="Q615" i="4"/>
  <c r="S606" i="4"/>
  <c r="S603" i="4"/>
  <c r="R603" i="4"/>
  <c r="T603" i="4" s="1"/>
  <c r="Q600" i="4"/>
  <c r="R585" i="4"/>
  <c r="S579" i="4"/>
  <c r="R579" i="4"/>
  <c r="Q576" i="4"/>
  <c r="S534" i="4"/>
  <c r="Q534" i="4"/>
  <c r="R528" i="4"/>
  <c r="T528" i="4" s="1"/>
  <c r="R525" i="4"/>
  <c r="R522" i="4"/>
  <c r="R519" i="4"/>
  <c r="T519" i="4" s="1"/>
  <c r="R516" i="4"/>
  <c r="T516" i="4" s="1"/>
  <c r="V516" i="4" s="1"/>
  <c r="R513" i="4"/>
  <c r="S474" i="4"/>
  <c r="Q474" i="4"/>
  <c r="R468" i="4"/>
  <c r="R465" i="4"/>
  <c r="S426" i="4"/>
  <c r="Q426" i="4"/>
  <c r="T426" i="4" s="1"/>
  <c r="R420" i="4"/>
  <c r="T420" i="4" s="1"/>
  <c r="R417" i="4"/>
  <c r="S378" i="4"/>
  <c r="Q378" i="4"/>
  <c r="T378" i="4" s="1"/>
  <c r="R372" i="4"/>
  <c r="T372" i="4" s="1"/>
  <c r="R369" i="4"/>
  <c r="S330" i="4"/>
  <c r="Q330" i="4"/>
  <c r="R324" i="4"/>
  <c r="R321" i="4"/>
  <c r="S282" i="4"/>
  <c r="Q282" i="4"/>
  <c r="R276" i="4"/>
  <c r="R273" i="4"/>
  <c r="S234" i="4"/>
  <c r="Q234" i="4"/>
  <c r="R228" i="4"/>
  <c r="T228" i="4" s="1"/>
  <c r="R225" i="4"/>
  <c r="S186" i="4"/>
  <c r="Q186" i="4"/>
  <c r="T186" i="4" s="1"/>
  <c r="R180" i="4"/>
  <c r="T180" i="4" s="1"/>
  <c r="R177" i="4"/>
  <c r="T177" i="4" s="1"/>
  <c r="S138" i="4"/>
  <c r="Q138" i="4"/>
  <c r="R132" i="4"/>
  <c r="T132" i="4" s="1"/>
  <c r="R129" i="4"/>
  <c r="T129" i="4" s="1"/>
  <c r="R126" i="4"/>
  <c r="T126" i="4" s="1"/>
  <c r="S87" i="4"/>
  <c r="Q87" i="4"/>
  <c r="R81" i="4"/>
  <c r="T81" i="4" s="1"/>
  <c r="R78" i="4"/>
  <c r="R75" i="4"/>
  <c r="T75" i="4" s="1"/>
  <c r="S57" i="4"/>
  <c r="Q57" i="4"/>
  <c r="R51" i="4"/>
  <c r="R48" i="4"/>
  <c r="T48" i="4" s="1"/>
  <c r="S27" i="4"/>
  <c r="Q27" i="4"/>
  <c r="R594" i="4"/>
  <c r="Q594" i="4"/>
  <c r="R510" i="4"/>
  <c r="Q510" i="4"/>
  <c r="R507" i="4"/>
  <c r="Q507" i="4"/>
  <c r="R462" i="4"/>
  <c r="Q462" i="4"/>
  <c r="R459" i="4"/>
  <c r="Q459" i="4"/>
  <c r="R414" i="4"/>
  <c r="Q414" i="4"/>
  <c r="R411" i="4"/>
  <c r="Q411" i="4"/>
  <c r="R366" i="4"/>
  <c r="Q366" i="4"/>
  <c r="R363" i="4"/>
  <c r="Q363" i="4"/>
  <c r="R318" i="4"/>
  <c r="Q318" i="4"/>
  <c r="R315" i="4"/>
  <c r="Q315" i="4"/>
  <c r="R270" i="4"/>
  <c r="Q270" i="4"/>
  <c r="R267" i="4"/>
  <c r="Q267" i="4"/>
  <c r="R222" i="4"/>
  <c r="Q222" i="4"/>
  <c r="R219" i="4"/>
  <c r="Q219" i="4"/>
  <c r="R174" i="4"/>
  <c r="Q174" i="4"/>
  <c r="R171" i="4"/>
  <c r="Q171" i="4"/>
  <c r="R123" i="4"/>
  <c r="Q123" i="4"/>
  <c r="R120" i="4"/>
  <c r="Q120" i="4"/>
  <c r="R72" i="4"/>
  <c r="Q72" i="4"/>
  <c r="R69" i="4"/>
  <c r="Q69" i="4"/>
  <c r="R45" i="4"/>
  <c r="Q45" i="4"/>
  <c r="R42" i="4"/>
  <c r="Q42" i="4"/>
  <c r="Q591" i="4"/>
  <c r="S582" i="4"/>
  <c r="V582" i="4" s="1"/>
  <c r="Q570" i="4"/>
  <c r="S564" i="4"/>
  <c r="Q564" i="4"/>
  <c r="S528" i="4"/>
  <c r="S525" i="4"/>
  <c r="S522" i="4"/>
  <c r="S519" i="4"/>
  <c r="S516" i="4"/>
  <c r="S513" i="4"/>
  <c r="Q504" i="4"/>
  <c r="Q501" i="4"/>
  <c r="S495" i="4"/>
  <c r="Q495" i="4"/>
  <c r="S468" i="4"/>
  <c r="S465" i="4"/>
  <c r="Q456" i="4"/>
  <c r="Q453" i="4"/>
  <c r="S447" i="4"/>
  <c r="Q447" i="4"/>
  <c r="T447" i="4" s="1"/>
  <c r="R432" i="4"/>
  <c r="S420" i="4"/>
  <c r="S417" i="4"/>
  <c r="Q408" i="4"/>
  <c r="Q405" i="4"/>
  <c r="S399" i="4"/>
  <c r="Q399" i="4"/>
  <c r="S372" i="4"/>
  <c r="S369" i="4"/>
  <c r="Q360" i="4"/>
  <c r="T360" i="4" s="1"/>
  <c r="Q357" i="4"/>
  <c r="T357" i="4" s="1"/>
  <c r="V357" i="4" s="1"/>
  <c r="S351" i="4"/>
  <c r="Q351" i="4"/>
  <c r="T351" i="4" s="1"/>
  <c r="S324" i="4"/>
  <c r="T321" i="4"/>
  <c r="S321" i="4"/>
  <c r="Q312" i="4"/>
  <c r="Q309" i="4"/>
  <c r="S303" i="4"/>
  <c r="Q303" i="4"/>
  <c r="S276" i="4"/>
  <c r="S273" i="4"/>
  <c r="Q264" i="4"/>
  <c r="Q261" i="4"/>
  <c r="S255" i="4"/>
  <c r="Q255" i="4"/>
  <c r="T255" i="4" s="1"/>
  <c r="S228" i="4"/>
  <c r="S225" i="4"/>
  <c r="Q216" i="4"/>
  <c r="Q213" i="4"/>
  <c r="S207" i="4"/>
  <c r="Q207" i="4"/>
  <c r="S180" i="4"/>
  <c r="S177" i="4"/>
  <c r="Q168" i="4"/>
  <c r="T168" i="4" s="1"/>
  <c r="V168" i="4" s="1"/>
  <c r="Q165" i="4"/>
  <c r="S159" i="4"/>
  <c r="Q159" i="4"/>
  <c r="T159" i="4" s="1"/>
  <c r="S132" i="4"/>
  <c r="S129" i="4"/>
  <c r="S126" i="4"/>
  <c r="Q117" i="4"/>
  <c r="Q114" i="4"/>
  <c r="S108" i="4"/>
  <c r="Q108" i="4"/>
  <c r="T108" i="4" s="1"/>
  <c r="S81" i="4"/>
  <c r="S78" i="4"/>
  <c r="S75" i="4"/>
  <c r="Q66" i="4"/>
  <c r="S60" i="4"/>
  <c r="Q60" i="4"/>
  <c r="T60" i="4" s="1"/>
  <c r="S51" i="4"/>
  <c r="S48" i="4"/>
  <c r="Q39" i="4"/>
  <c r="T39" i="4" s="1"/>
  <c r="Q36" i="4"/>
  <c r="S30" i="4"/>
  <c r="Q30" i="4"/>
  <c r="S18" i="4"/>
  <c r="Q18" i="4"/>
  <c r="T18" i="4" s="1"/>
  <c r="V888" i="4"/>
  <c r="T900" i="4"/>
  <c r="V900" i="4" s="1"/>
  <c r="T852" i="4"/>
  <c r="V852" i="4" s="1"/>
  <c r="V819" i="4"/>
  <c r="V915" i="4"/>
  <c r="V864" i="4"/>
  <c r="T918" i="4"/>
  <c r="V918" i="4" s="1"/>
  <c r="T870" i="4"/>
  <c r="V870" i="4" s="1"/>
  <c r="V954" i="4"/>
  <c r="T924" i="4"/>
  <c r="V924" i="4" s="1"/>
  <c r="T876" i="4"/>
  <c r="V876" i="4" s="1"/>
  <c r="T828" i="4"/>
  <c r="V828" i="4" s="1"/>
  <c r="V933" i="4"/>
  <c r="V786" i="4"/>
  <c r="T693" i="4" l="1"/>
  <c r="T192" i="4"/>
  <c r="V192" i="4" s="1"/>
  <c r="T384" i="4"/>
  <c r="V384" i="4" s="1"/>
  <c r="V657" i="4"/>
  <c r="T417" i="4"/>
  <c r="T480" i="4"/>
  <c r="V480" i="4" s="1"/>
  <c r="T645" i="4"/>
  <c r="V645" i="4" s="1"/>
  <c r="T564" i="4"/>
  <c r="T324" i="4"/>
  <c r="T558" i="4"/>
  <c r="T21" i="4"/>
  <c r="V21" i="4" s="1"/>
  <c r="T606" i="4"/>
  <c r="V606" i="4" s="1"/>
  <c r="T780" i="4"/>
  <c r="T15" i="4"/>
  <c r="V15" i="4" s="1"/>
  <c r="T348" i="4"/>
  <c r="V348" i="4" s="1"/>
  <c r="T636" i="4"/>
  <c r="T759" i="4"/>
  <c r="T444" i="4"/>
  <c r="V444" i="4" s="1"/>
  <c r="T690" i="4"/>
  <c r="T273" i="4"/>
  <c r="T525" i="4"/>
  <c r="T333" i="4"/>
  <c r="V333" i="4" s="1"/>
  <c r="T423" i="4"/>
  <c r="V423" i="4" s="1"/>
  <c r="T531" i="4"/>
  <c r="T102" i="4"/>
  <c r="T297" i="4"/>
  <c r="T741" i="4"/>
  <c r="V741" i="4" s="1"/>
  <c r="T456" i="4"/>
  <c r="V456" i="4" s="1"/>
  <c r="T117" i="4"/>
  <c r="V117" i="4" s="1"/>
  <c r="T213" i="4"/>
  <c r="V213" i="4" s="1"/>
  <c r="T495" i="4"/>
  <c r="T84" i="4"/>
  <c r="T381" i="4"/>
  <c r="V381" i="4" s="1"/>
  <c r="T678" i="4"/>
  <c r="V678" i="4" s="1"/>
  <c r="T396" i="4"/>
  <c r="V663" i="4"/>
  <c r="T54" i="4"/>
  <c r="V54" i="4" s="1"/>
  <c r="T642" i="4"/>
  <c r="V642" i="4" s="1"/>
  <c r="T756" i="4"/>
  <c r="V756" i="4" s="1"/>
  <c r="T738" i="4"/>
  <c r="T465" i="4"/>
  <c r="T369" i="4"/>
  <c r="V369" i="4" s="1"/>
  <c r="T648" i="4"/>
  <c r="V648" i="4" s="1"/>
  <c r="T744" i="4"/>
  <c r="V744" i="4" s="1"/>
  <c r="T429" i="4"/>
  <c r="V429" i="4" s="1"/>
  <c r="T537" i="4"/>
  <c r="V537" i="4" s="1"/>
  <c r="V765" i="4"/>
  <c r="T561" i="4"/>
  <c r="V162" i="4"/>
  <c r="V609" i="4"/>
  <c r="T639" i="4"/>
  <c r="V639" i="4" s="1"/>
  <c r="T450" i="4"/>
  <c r="V450" i="4" s="1"/>
  <c r="T165" i="4"/>
  <c r="V165" i="4" s="1"/>
  <c r="T261" i="4"/>
  <c r="V261" i="4" s="1"/>
  <c r="T138" i="4"/>
  <c r="T282" i="4"/>
  <c r="T330" i="4"/>
  <c r="V330" i="4" s="1"/>
  <c r="T474" i="4"/>
  <c r="T156" i="4"/>
  <c r="V759" i="4"/>
  <c r="T63" i="4"/>
  <c r="V63" i="4" s="1"/>
  <c r="T225" i="4"/>
  <c r="V225" i="4" s="1"/>
  <c r="T513" i="4"/>
  <c r="V18" i="4"/>
  <c r="T36" i="4"/>
  <c r="V36" i="4" s="1"/>
  <c r="T216" i="4"/>
  <c r="V216" i="4" s="1"/>
  <c r="T309" i="4"/>
  <c r="V309" i="4" s="1"/>
  <c r="V360" i="4"/>
  <c r="T468" i="4"/>
  <c r="V468" i="4" s="1"/>
  <c r="T720" i="4"/>
  <c r="V720" i="4" s="1"/>
  <c r="T768" i="4"/>
  <c r="T135" i="4"/>
  <c r="V135" i="4" s="1"/>
  <c r="V228" i="4"/>
  <c r="V420" i="4"/>
  <c r="V528" i="4"/>
  <c r="V624" i="4"/>
  <c r="V738" i="4"/>
  <c r="T666" i="4"/>
  <c r="V666" i="4" s="1"/>
  <c r="V687" i="4"/>
  <c r="T567" i="4"/>
  <c r="V567" i="4" s="1"/>
  <c r="T717" i="4"/>
  <c r="V717" i="4" s="1"/>
  <c r="T312" i="4"/>
  <c r="V312" i="4" s="1"/>
  <c r="T501" i="4"/>
  <c r="V501" i="4" s="1"/>
  <c r="T27" i="4"/>
  <c r="V27" i="4" s="1"/>
  <c r="T285" i="4"/>
  <c r="V285" i="4" s="1"/>
  <c r="V273" i="4"/>
  <c r="T51" i="4"/>
  <c r="V51" i="4" s="1"/>
  <c r="T78" i="4"/>
  <c r="V78" i="4" s="1"/>
  <c r="T522" i="4"/>
  <c r="V522" i="4" s="1"/>
  <c r="T585" i="4"/>
  <c r="V585" i="4" s="1"/>
  <c r="T696" i="4"/>
  <c r="V696" i="4" s="1"/>
  <c r="T702" i="4"/>
  <c r="V702" i="4" s="1"/>
  <c r="T750" i="4"/>
  <c r="V750" i="4" s="1"/>
  <c r="T774" i="4"/>
  <c r="V774" i="4" s="1"/>
  <c r="T306" i="4"/>
  <c r="V306" i="4" s="1"/>
  <c r="V780" i="4"/>
  <c r="V33" i="4"/>
  <c r="T249" i="4"/>
  <c r="V249" i="4" s="1"/>
  <c r="V447" i="4"/>
  <c r="T441" i="4"/>
  <c r="V441" i="4" s="1"/>
  <c r="V636" i="4"/>
  <c r="T714" i="4"/>
  <c r="V714" i="4" s="1"/>
  <c r="T207" i="4"/>
  <c r="V207" i="4" s="1"/>
  <c r="T399" i="4"/>
  <c r="V399" i="4" s="1"/>
  <c r="V531" i="4"/>
  <c r="T30" i="4"/>
  <c r="V30" i="4" s="1"/>
  <c r="V564" i="4"/>
  <c r="T591" i="4"/>
  <c r="V591" i="4" s="1"/>
  <c r="T87" i="4"/>
  <c r="V87" i="4" s="1"/>
  <c r="V180" i="4"/>
  <c r="T276" i="4"/>
  <c r="V276" i="4" s="1"/>
  <c r="V372" i="4"/>
  <c r="T579" i="4"/>
  <c r="V579" i="4" s="1"/>
  <c r="V603" i="4"/>
  <c r="T672" i="4"/>
  <c r="V672" i="4" s="1"/>
  <c r="V768" i="4"/>
  <c r="T183" i="4"/>
  <c r="V183" i="4" s="1"/>
  <c r="T231" i="4"/>
  <c r="V231" i="4" s="1"/>
  <c r="T375" i="4"/>
  <c r="V375" i="4" s="1"/>
  <c r="T540" i="4"/>
  <c r="V540" i="4" s="1"/>
  <c r="V690" i="4"/>
  <c r="V762" i="4"/>
  <c r="T660" i="4"/>
  <c r="V660" i="4" s="1"/>
  <c r="T24" i="4"/>
  <c r="V24" i="4" s="1"/>
  <c r="T354" i="4"/>
  <c r="V354" i="4" s="1"/>
  <c r="T711" i="4"/>
  <c r="V711" i="4" s="1"/>
  <c r="T732" i="4"/>
  <c r="V732" i="4" s="1"/>
  <c r="V126" i="4"/>
  <c r="V75" i="4"/>
  <c r="T534" i="4"/>
  <c r="V534" i="4" s="1"/>
  <c r="V723" i="4"/>
  <c r="T327" i="4"/>
  <c r="V327" i="4" s="1"/>
  <c r="T114" i="4"/>
  <c r="V114" i="4" s="1"/>
  <c r="V39" i="4"/>
  <c r="V177" i="4"/>
  <c r="T264" i="4"/>
  <c r="V264" i="4" s="1"/>
  <c r="T303" i="4"/>
  <c r="V303" i="4" s="1"/>
  <c r="T405" i="4"/>
  <c r="V405" i="4" s="1"/>
  <c r="T453" i="4"/>
  <c r="V453" i="4" s="1"/>
  <c r="T504" i="4"/>
  <c r="V504" i="4" s="1"/>
  <c r="T615" i="4"/>
  <c r="V615" i="4" s="1"/>
  <c r="T651" i="4"/>
  <c r="V651" i="4" s="1"/>
  <c r="T699" i="4"/>
  <c r="V699" i="4" s="1"/>
  <c r="T747" i="4"/>
  <c r="V747" i="4" s="1"/>
  <c r="V84" i="4"/>
  <c r="T141" i="4"/>
  <c r="V141" i="4" s="1"/>
  <c r="T279" i="4"/>
  <c r="V279" i="4" s="1"/>
  <c r="V471" i="4"/>
  <c r="T588" i="4"/>
  <c r="V588" i="4" s="1"/>
  <c r="T777" i="4"/>
  <c r="V777" i="4" s="1"/>
  <c r="T105" i="4"/>
  <c r="V105" i="4" s="1"/>
  <c r="T300" i="4"/>
  <c r="V300" i="4" s="1"/>
  <c r="T669" i="4"/>
  <c r="V669" i="4" s="1"/>
  <c r="V783" i="4"/>
  <c r="T252" i="4"/>
  <c r="V252" i="4" s="1"/>
  <c r="T708" i="4"/>
  <c r="V708" i="4" s="1"/>
  <c r="V693" i="4"/>
  <c r="V324" i="4"/>
  <c r="V60" i="4"/>
  <c r="V81" i="4"/>
  <c r="V129" i="4"/>
  <c r="V321" i="4"/>
  <c r="T408" i="4"/>
  <c r="V408" i="4" s="1"/>
  <c r="V495" i="4"/>
  <c r="T57" i="4"/>
  <c r="V57" i="4" s="1"/>
  <c r="T576" i="4"/>
  <c r="V576" i="4" s="1"/>
  <c r="T600" i="4"/>
  <c r="V600" i="4" s="1"/>
  <c r="T144" i="4"/>
  <c r="V144" i="4" s="1"/>
  <c r="T240" i="4"/>
  <c r="V240" i="4" s="1"/>
  <c r="T288" i="4"/>
  <c r="V288" i="4" s="1"/>
  <c r="T336" i="4"/>
  <c r="V336" i="4" s="1"/>
  <c r="T633" i="4"/>
  <c r="V633" i="4" s="1"/>
  <c r="T681" i="4"/>
  <c r="V681" i="4" s="1"/>
  <c r="T705" i="4"/>
  <c r="V705" i="4" s="1"/>
  <c r="T729" i="4"/>
  <c r="V729" i="4" s="1"/>
  <c r="T753" i="4"/>
  <c r="V753" i="4" s="1"/>
  <c r="T210" i="4"/>
  <c r="V210" i="4" s="1"/>
  <c r="T684" i="4"/>
  <c r="V684" i="4" s="1"/>
  <c r="V132" i="4"/>
  <c r="T237" i="4"/>
  <c r="V237" i="4" s="1"/>
  <c r="T630" i="4"/>
  <c r="V630" i="4" s="1"/>
  <c r="T654" i="4"/>
  <c r="V654" i="4" s="1"/>
  <c r="V726" i="4"/>
  <c r="T111" i="4"/>
  <c r="V111" i="4" s="1"/>
  <c r="T66" i="4"/>
  <c r="V66" i="4" s="1"/>
  <c r="V417" i="4"/>
  <c r="T234" i="4"/>
  <c r="V234" i="4" s="1"/>
  <c r="T627" i="4"/>
  <c r="V627" i="4" s="1"/>
  <c r="T402" i="4"/>
  <c r="V402" i="4" s="1"/>
  <c r="T498" i="4"/>
  <c r="V498" i="4" s="1"/>
  <c r="T735" i="4"/>
  <c r="V735" i="4" s="1"/>
  <c r="V159" i="4"/>
  <c r="V255" i="4"/>
  <c r="V351" i="4"/>
  <c r="T45" i="4"/>
  <c r="V45" i="4" s="1"/>
  <c r="T72" i="4"/>
  <c r="V72" i="4" s="1"/>
  <c r="T123" i="4"/>
  <c r="V123" i="4" s="1"/>
  <c r="T174" i="4"/>
  <c r="V174" i="4" s="1"/>
  <c r="T222" i="4"/>
  <c r="V222" i="4" s="1"/>
  <c r="T270" i="4"/>
  <c r="V270" i="4" s="1"/>
  <c r="T318" i="4"/>
  <c r="V318" i="4" s="1"/>
  <c r="T366" i="4"/>
  <c r="V366" i="4" s="1"/>
  <c r="T414" i="4"/>
  <c r="V414" i="4" s="1"/>
  <c r="T462" i="4"/>
  <c r="V462" i="4" s="1"/>
  <c r="T510" i="4"/>
  <c r="V510" i="4" s="1"/>
  <c r="V156" i="4"/>
  <c r="V204" i="4"/>
  <c r="V396" i="4"/>
  <c r="T432" i="4"/>
  <c r="V432" i="4" s="1"/>
  <c r="V492" i="4"/>
  <c r="V561" i="4"/>
  <c r="T99" i="4"/>
  <c r="V99" i="4" s="1"/>
  <c r="T150" i="4"/>
  <c r="V150" i="4" s="1"/>
  <c r="T198" i="4"/>
  <c r="V198" i="4" s="1"/>
  <c r="T246" i="4"/>
  <c r="V246" i="4" s="1"/>
  <c r="T294" i="4"/>
  <c r="V294" i="4" s="1"/>
  <c r="T342" i="4"/>
  <c r="V342" i="4" s="1"/>
  <c r="T390" i="4"/>
  <c r="V390" i="4" s="1"/>
  <c r="T438" i="4"/>
  <c r="V438" i="4" s="1"/>
  <c r="T486" i="4"/>
  <c r="V486" i="4" s="1"/>
  <c r="T546" i="4"/>
  <c r="V546" i="4" s="1"/>
  <c r="T552" i="4"/>
  <c r="V552" i="4" s="1"/>
  <c r="T573" i="4"/>
  <c r="V573" i="4" s="1"/>
  <c r="T570" i="4"/>
  <c r="V570" i="4" s="1"/>
  <c r="V48" i="4"/>
  <c r="V108" i="4"/>
  <c r="V465" i="4"/>
  <c r="V513" i="4"/>
  <c r="V519" i="4"/>
  <c r="V525" i="4"/>
  <c r="T42" i="4"/>
  <c r="V42" i="4" s="1"/>
  <c r="T69" i="4"/>
  <c r="V69" i="4" s="1"/>
  <c r="T120" i="4"/>
  <c r="V120" i="4" s="1"/>
  <c r="T171" i="4"/>
  <c r="V171" i="4" s="1"/>
  <c r="T219" i="4"/>
  <c r="V219" i="4" s="1"/>
  <c r="T267" i="4"/>
  <c r="V267" i="4" s="1"/>
  <c r="T315" i="4"/>
  <c r="V315" i="4" s="1"/>
  <c r="T363" i="4"/>
  <c r="V363" i="4" s="1"/>
  <c r="T411" i="4"/>
  <c r="V411" i="4" s="1"/>
  <c r="T459" i="4"/>
  <c r="V459" i="4" s="1"/>
  <c r="T507" i="4"/>
  <c r="V507" i="4" s="1"/>
  <c r="T594" i="4"/>
  <c r="V594" i="4" s="1"/>
  <c r="V138" i="4"/>
  <c r="V186" i="4"/>
  <c r="V282" i="4"/>
  <c r="V378" i="4"/>
  <c r="V426" i="4"/>
  <c r="V474" i="4"/>
  <c r="V102" i="4"/>
  <c r="V153" i="4"/>
  <c r="V201" i="4"/>
  <c r="V297" i="4"/>
  <c r="V345" i="4"/>
  <c r="V393" i="4"/>
  <c r="V489" i="4"/>
  <c r="V558" i="4"/>
  <c r="T96" i="4"/>
  <c r="V96" i="4" s="1"/>
  <c r="T147" i="4"/>
  <c r="V147" i="4" s="1"/>
  <c r="T195" i="4"/>
  <c r="V195" i="4" s="1"/>
  <c r="T243" i="4"/>
  <c r="V243" i="4" s="1"/>
  <c r="T291" i="4"/>
  <c r="V291" i="4" s="1"/>
  <c r="T339" i="4"/>
  <c r="V339" i="4" s="1"/>
  <c r="T387" i="4"/>
  <c r="V387" i="4" s="1"/>
  <c r="T435" i="4"/>
  <c r="V435" i="4" s="1"/>
  <c r="T483" i="4"/>
  <c r="V483" i="4" s="1"/>
  <c r="T543" i="4"/>
  <c r="V543" i="4" s="1"/>
  <c r="T549" i="4"/>
  <c r="V549" i="4" s="1"/>
  <c r="T555" i="4"/>
  <c r="V555" i="4" s="1"/>
  <c r="T597" i="4"/>
  <c r="V597" i="4" s="1"/>
</calcChain>
</file>

<file path=xl/sharedStrings.xml><?xml version="1.0" encoding="utf-8"?>
<sst xmlns="http://schemas.openxmlformats.org/spreadsheetml/2006/main" count="2250" uniqueCount="325">
  <si>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</si>
  <si>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</si>
  <si>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</si>
  <si>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</si>
  <si>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</si>
  <si>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</si>
  <si>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</si>
  <si>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</si>
  <si>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</si>
  <si>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</si>
  <si>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</si>
  <si>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</si>
  <si>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</si>
  <si>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REOX1C</t>
    </r>
  </si>
  <si>
    <r>
      <t>QC Name</t>
    </r>
    <r>
      <rPr>
        <b/>
        <sz val="9"/>
        <rFont val="Arial"/>
        <family val="2"/>
      </rPr>
      <t>: CP Test</t>
    </r>
  </si>
  <si>
    <t xml:space="preserve">Frequency: 72hrs  </t>
  </si>
  <si>
    <r>
      <t xml:space="preserve">Recipe: </t>
    </r>
    <r>
      <rPr>
        <b/>
        <sz val="9"/>
        <rFont val="Arial"/>
        <family val="2"/>
      </rPr>
      <t>CS PARTICLES CHECK</t>
    </r>
  </si>
  <si>
    <r>
      <rPr>
        <b/>
        <u/>
        <sz val="9"/>
        <rFont val="Arial"/>
        <family val="2"/>
      </rPr>
      <t>Measurment Tool Recipe</t>
    </r>
    <r>
      <rPr>
        <b/>
        <sz val="9"/>
        <rFont val="Arial"/>
        <family val="2"/>
      </rPr>
      <t>: WET_PreSilicon_COPs, WET_PostSilicon_COPs</t>
    </r>
  </si>
  <si>
    <r>
      <t>Wafer Type</t>
    </r>
    <r>
      <rPr>
        <b/>
        <sz val="9"/>
        <rFont val="Arial"/>
        <family val="2"/>
      </rPr>
      <t>: REGRIND NON METAL (&lt;50 Particle of size &gt;0.16 µ)</t>
    </r>
  </si>
  <si>
    <r>
      <t>Pass Criteria</t>
    </r>
    <r>
      <rPr>
        <b/>
        <sz val="9"/>
        <rFont val="Arial"/>
        <family val="2"/>
      </rPr>
      <t>:  LSL = 0, USL = 30</t>
    </r>
  </si>
  <si>
    <t>Chamber</t>
  </si>
  <si>
    <t>CP count</t>
  </si>
  <si>
    <t>USL</t>
  </si>
  <si>
    <t>Employee 
Code</t>
  </si>
  <si>
    <t>LPDN values</t>
  </si>
  <si>
    <t>Remarks</t>
  </si>
  <si>
    <t>Pre CP</t>
  </si>
  <si>
    <t>Post CP</t>
  </si>
  <si>
    <t>C</t>
  </si>
  <si>
    <t>YEDR1</t>
  </si>
  <si>
    <t>YEDR1, Chamber C PM done</t>
  </si>
  <si>
    <t>YEDR1(CPX) LPDN Pre21,Post83)</t>
  </si>
  <si>
    <t>YEDR1(CPX) LPDN Pre14,Post62)</t>
  </si>
  <si>
    <t>YEDR1(CPX) LPDN Pre13,Post62)</t>
  </si>
  <si>
    <t>YEDR1(CPX) LPDN Pre50,Post182)</t>
  </si>
  <si>
    <t>YEDR1(CPX) LPDN Pre174,Post326)</t>
  </si>
  <si>
    <t>YEDR1(CPX) LPDN Pre328,Post620)</t>
  </si>
  <si>
    <t>YEDR1(CPX) LPDN Pre0,Post5)</t>
  </si>
  <si>
    <t>YEDR1(CPX) LPDN Pre0,Post2)</t>
  </si>
  <si>
    <t>YEDR1(CPX) LPDN Pre3,Post7)</t>
  </si>
  <si>
    <t>c</t>
  </si>
  <si>
    <t>YEDR1(CPX)LPDN Pre 134, post 215)</t>
  </si>
  <si>
    <t>YEDR1(CPX)lPDN Pre 154, post625)</t>
  </si>
  <si>
    <t>YEDR1(CPX) LPDN Pre637,Post1236)</t>
  </si>
  <si>
    <t>YEDR1(CPX) LPDN Pre03,Post06)</t>
  </si>
  <si>
    <t>YEDR1(CPX) LPDN Pre91,Post233)</t>
  </si>
  <si>
    <t>YEDR1(CPX) LPDN Pre60,Post173)</t>
  </si>
  <si>
    <t>YEDR1(CPX) LPDN Pre194,Post449)</t>
  </si>
  <si>
    <t>YEDR1(CPX) LPDN Pre84,Post252)</t>
  </si>
  <si>
    <t>YEDR1(CPX) LPDN Pre230,Post561)</t>
  </si>
  <si>
    <t>YEDR1(CPX) LPDN Pre0,Post4)</t>
  </si>
  <si>
    <t>YEDR1(CPX) LPDN pre133,post244)</t>
  </si>
  <si>
    <t>YEDR1(CPX) LPDN pre23,post244)</t>
  </si>
  <si>
    <t>YEDR1(CPX) LPDN pre22,post86)</t>
  </si>
  <si>
    <t>YEDR1(CPX) LPDN pre148,post419)</t>
  </si>
  <si>
    <t>YEDR1(CPX) LPDN pre148,post389)</t>
  </si>
  <si>
    <t>YEDR1(CPX) LPDN Pre134,Post395)</t>
  </si>
  <si>
    <t>YEDR1(CPX) LPDN Pre5,Post22)</t>
  </si>
  <si>
    <t>YEDR1(CPX) LPDN Pre119,Post380)</t>
  </si>
  <si>
    <t>YEDR1(CPX) LPDN Pre105,Post282)</t>
  </si>
  <si>
    <t>YEDR1(CPX) LPDN Pre15,Post102)</t>
  </si>
  <si>
    <t>YEDR1(CPX) LPDN Pre298,Post567)</t>
  </si>
  <si>
    <t>YEDR1(CPX) LPDN Pre156,Post469)</t>
  </si>
  <si>
    <t>YEDR1(CPX is down)</t>
  </si>
  <si>
    <t xml:space="preserve">YEDR1(CPX) </t>
  </si>
  <si>
    <t>YEDR1(CPX) LPDN Pre285,Post643)</t>
  </si>
  <si>
    <t>YEDR1(CPX) LPDN Pre01,Post06</t>
  </si>
  <si>
    <t>YEDI (CPX Down)</t>
  </si>
  <si>
    <t>YEDR1(CPX) LPDN Pre58,Post288)</t>
  </si>
  <si>
    <t>DIA</t>
  </si>
  <si>
    <t>YEDR1(CPX) LPDN Pre63,Post196)</t>
  </si>
  <si>
    <t>YEDR1(CPX) LPDN Pre104,Post303)</t>
  </si>
  <si>
    <t>YEDR1(CPX) LPDN Pre53,Post157)</t>
  </si>
  <si>
    <t>YEDR1(CPX) LPDN Pre107,Post356)</t>
  </si>
  <si>
    <t>YEDR1(CPX) LPDN Pre0,Post1590)</t>
  </si>
  <si>
    <t>YEDR1(CPX) LPDN Pre1,Post3)</t>
  </si>
  <si>
    <t>YEDR1(CPX) LPDN Pre158,Post383)</t>
  </si>
  <si>
    <t>YEDR1(CPX) LPDN Pre 183,Post 426)</t>
  </si>
  <si>
    <t>YEDR1(CPX) LPDN Pre 165,Post 452)</t>
  </si>
  <si>
    <t>YEDR1(CPX) LPDN Pre 342,Post 783)</t>
  </si>
  <si>
    <t>YEDR1(CPX) LPDN Pre 5,Post 16)</t>
  </si>
  <si>
    <t>YEDR1(CPX) LPDN Pre 118,Post 298)</t>
  </si>
  <si>
    <t>YEDR1(CPX) LPDN Pre ,Post )</t>
  </si>
  <si>
    <t>YEDR1(CPX) LPDN Pre 98,Post 307)</t>
  </si>
  <si>
    <t>YEDR1(CPX) LPDN Pre 72, Post 216)</t>
  </si>
  <si>
    <t>YEDR1(CPX) LPDN Pre 163, Post 364)</t>
  </si>
  <si>
    <t>YEDR1(CPX) LPDN Pre 0, Post 20)</t>
  </si>
  <si>
    <t>YEDR1(CPX) LPDN Pre 1, Post 4)</t>
  </si>
  <si>
    <t>YEDR1(CPX) LPDN Pre 1, Post 13)</t>
  </si>
  <si>
    <t>YEDR1(CPX) LPDN Pre 0, Post 17)</t>
  </si>
  <si>
    <t>YEDR1(CPX) LPDN Pre 02, Post 25)</t>
  </si>
  <si>
    <t>YEDR1(CPX) LPDN Pre 01, Post 56)</t>
  </si>
  <si>
    <t>YEDR1(CPX) LPDN Pre 01, Post 39)</t>
  </si>
  <si>
    <t>YEDR1(CPX) LPDN Pre 76, Post 219)</t>
  </si>
  <si>
    <t>YEDR1(CPX) LPDN Pre 3, Post 5</t>
  </si>
  <si>
    <t>YEDR1(CPX) LPDN Pre 0, Post 2</t>
  </si>
  <si>
    <t>YEDR1(CPX) LPDN Pre 2, Post 3</t>
  </si>
  <si>
    <t>YEDR1(CPX) LPDN Pre 105, Post 364</t>
  </si>
  <si>
    <t>YEDR1(CPX) LPDN Pre 140, Post 381</t>
  </si>
  <si>
    <t>YEDR1(CPX) LPDN Pre 83, Post 262</t>
  </si>
  <si>
    <t>YEDR1(CPX) LPDN Pre 0, Post 11)</t>
  </si>
  <si>
    <t>YEDR1(CPX) LPDN Pre 01, Post 06)</t>
  </si>
  <si>
    <t>YEDR1(CPX) LPDN Pre 0, Post 08)</t>
  </si>
  <si>
    <t>YEDR1(CPX) LPDN Pre 1, Post 04)</t>
  </si>
  <si>
    <t>AFTER 5 WF SEAS</t>
  </si>
  <si>
    <t>YEDR1(CPX) LPDN Pre 1, Post 09)</t>
  </si>
  <si>
    <t>AFTER 10 WF SEAS</t>
  </si>
  <si>
    <t>YEDR1(CPX) LPDN Pre 131, Post 411)</t>
  </si>
  <si>
    <t>YEDR1(CPX) LPDN Pre 117, Post 346)</t>
  </si>
  <si>
    <t>YEDR1(CPX) LPDN Pre 87, Post 303)</t>
  </si>
  <si>
    <t>YEDR1(CPX) LPDN Pre 89, Post 312)</t>
  </si>
  <si>
    <t>No seasoning wf</t>
  </si>
  <si>
    <t>YEDR1(CPX) LPDN Pre 79, Post 289)</t>
  </si>
  <si>
    <t>YEDR1(CPX) LPDN Pre 64, Post 298)</t>
  </si>
  <si>
    <t>YEDR1(CPX) LPDN Pre 90, Post 340)</t>
  </si>
  <si>
    <t>YEDR1(CPX) LPDN Pre390, Post 692)</t>
  </si>
  <si>
    <t>AFTER SEA.</t>
  </si>
  <si>
    <t>YEDR1(CPX) LPDN Pre 88, Post 91)</t>
  </si>
  <si>
    <t>YEDR1(CPX) LPDN Pre 472, Post 1039)</t>
  </si>
  <si>
    <t>YEDR1(CPX) LPDN Pre 0, Post 3)</t>
  </si>
  <si>
    <t>YEDR1(CPX) LPDN Pre 18, Post 131)</t>
  </si>
  <si>
    <t>YEDR1(CPX) LPDN Pre 1, Post 6)</t>
  </si>
  <si>
    <t>YEDR1(CPX) LPDN Pre 1, Post 1)</t>
  </si>
  <si>
    <t>AFTER 5 Fresh WF SEAS</t>
  </si>
  <si>
    <t>YEDR1(CPX) LPDN Pre 58, Post 235)</t>
  </si>
  <si>
    <t>YEDR1(CPX) LPDN Pre 67, Post 265)</t>
  </si>
  <si>
    <t>YEDR1(CPX) LPDN Pre 180, Post 499)</t>
  </si>
  <si>
    <t>YEDR1(CPX) LPDN Pre 19, Post 85)</t>
  </si>
  <si>
    <t>1159/121</t>
  </si>
  <si>
    <t>YEDR1(CPX) LPDN Pre 45, Post 67)</t>
  </si>
  <si>
    <t>YEDR1(CPX) LPDN Pre 05, Post 15)</t>
  </si>
  <si>
    <t>YEDR1(CPX) LPDN Pre 32, Post 39)</t>
  </si>
  <si>
    <t>YEDR1(CPX) LPDN Pre 11, Post 20)</t>
  </si>
  <si>
    <t>NESTEC wfs</t>
  </si>
  <si>
    <t>YEDR1(CPX) LPDN Pre 16, Post 23)</t>
  </si>
  <si>
    <t>YEDR1(CPX) LPDN Pre 9, Post 14)</t>
  </si>
  <si>
    <t>YEDR1(CPX) LPDN Pre 16, Post 16)</t>
  </si>
  <si>
    <t>YEDR1(CPX) LPDN Pre 4, Post 10)</t>
  </si>
  <si>
    <t>YEDR1(CPX) LPDN Pre 67, Post 190)</t>
  </si>
  <si>
    <t>YEDR1(CPX) LPDN Pre 21, Post 121)</t>
  </si>
  <si>
    <t>YEDR1(CPX) LPDN Pre 83, Post 330)</t>
  </si>
  <si>
    <t>YEDR1(CPX) LPDN Pre 23, Post 140)</t>
  </si>
  <si>
    <t>YEDR1(CPX) LPDN Pre 40, Post 82)</t>
  </si>
  <si>
    <t>ATS chiller issue. Tool down</t>
  </si>
  <si>
    <t>YEDR1(CPX) LPDN Pre 40, Post14 )</t>
  </si>
  <si>
    <t>YEDR1(CPX) LPDN Pre 02, Post07 )</t>
  </si>
  <si>
    <t>YEDR1(CPX) LPDN Pre 17, Post69 )</t>
  </si>
  <si>
    <t>PM DONE</t>
  </si>
  <si>
    <t>YEDR1(CPX) LPDN Pre 122, Post 420)</t>
  </si>
  <si>
    <t>YEDR1(CPX) LPDN Pre 15, Post 42 )</t>
  </si>
  <si>
    <t>YEDR1(CPX) LPDN Pre 45, Post 126 )</t>
  </si>
  <si>
    <t>YEDR1(CPX) LPDN Pre 76, Post 271)</t>
  </si>
  <si>
    <t>YEDR1(CPX) LPDN Pre 24, Post 126)</t>
  </si>
  <si>
    <t>YEDR1(CPX) LPDN Pre 74, Post 264)</t>
  </si>
  <si>
    <t>YEDR1(CPX) LPDN Pre 4, Post 3)</t>
  </si>
  <si>
    <t>YEDR1(CPX) LPDN Pre 27, Post 64)</t>
  </si>
  <si>
    <t xml:space="preserve">∆ /Time=ERÅ/Min
</t>
  </si>
  <si>
    <t>Post</t>
  </si>
  <si>
    <t>Pre</t>
  </si>
  <si>
    <t>TEOS</t>
  </si>
  <si>
    <t>ARC</t>
  </si>
  <si>
    <t>Q18510003.F1</t>
  </si>
  <si>
    <t>ONLY ER (CPX  DOWN)</t>
  </si>
  <si>
    <t>Q18430127.F1</t>
  </si>
  <si>
    <t>Q18430066.F1</t>
  </si>
  <si>
    <t>Q18420096.F1</t>
  </si>
  <si>
    <t>Q18420052.F1</t>
  </si>
  <si>
    <t>Q18400086.F1</t>
  </si>
  <si>
    <t>Q18380051.F1</t>
  </si>
  <si>
    <t>Q18340076.F1</t>
  </si>
  <si>
    <t>Q18330057.F1</t>
  </si>
  <si>
    <t>Q18270052.F1</t>
  </si>
  <si>
    <t>Q18260027.F1</t>
  </si>
  <si>
    <t>Q18230059.F1</t>
  </si>
  <si>
    <t>Data not entered</t>
  </si>
  <si>
    <t>Q18260029.F1</t>
  </si>
  <si>
    <t>Q18260032.F1</t>
  </si>
  <si>
    <t>Q18100069.F1</t>
  </si>
  <si>
    <t xml:space="preserve">                                         </t>
  </si>
  <si>
    <t>UNI FAIL</t>
  </si>
  <si>
    <t>unif FAIL</t>
  </si>
  <si>
    <t>ARC coating done on 10 Jan 2018</t>
  </si>
  <si>
    <t>ARC wf issue. Maintanance done of coater side</t>
  </si>
  <si>
    <t>Q17440028.F1</t>
  </si>
  <si>
    <t>1335/102</t>
  </si>
  <si>
    <t>Q17410030.F1</t>
  </si>
  <si>
    <t>Q17390069.F1</t>
  </si>
  <si>
    <t>Q17390031.F1</t>
  </si>
  <si>
    <t>Q17310078.F1</t>
  </si>
  <si>
    <t>Q17290066.F1</t>
  </si>
  <si>
    <t>cp fail</t>
  </si>
  <si>
    <t>Q17250038.F1</t>
  </si>
  <si>
    <t>Q17230028.F1</t>
  </si>
  <si>
    <t>Q17200025.F1</t>
  </si>
  <si>
    <t>Q17160094.F1</t>
  </si>
  <si>
    <t>Q17160030.F1</t>
  </si>
  <si>
    <t>Q17130021.F1</t>
  </si>
  <si>
    <t>Q17110026.F1</t>
  </si>
  <si>
    <t>Q17100025.F1</t>
  </si>
  <si>
    <t>Q17080034.F1</t>
  </si>
  <si>
    <t>Q17070056.F1</t>
  </si>
  <si>
    <t>Q17060022.F1</t>
  </si>
  <si>
    <t>Q17020001.F1</t>
  </si>
  <si>
    <t>Q16520031.F1</t>
  </si>
  <si>
    <t>Q16510069.F1</t>
  </si>
  <si>
    <t>Q16510031.F1</t>
  </si>
  <si>
    <t>Q16500026.F1</t>
  </si>
  <si>
    <t>Q16460049.F1</t>
  </si>
  <si>
    <t>Q16460028.F1</t>
  </si>
  <si>
    <t>Q16450007.F1</t>
  </si>
  <si>
    <t>Q16450015.F1</t>
  </si>
  <si>
    <t>Q16430080.F1</t>
  </si>
  <si>
    <t>Q16400042.F1</t>
  </si>
  <si>
    <t>Patterened TEOS wf</t>
  </si>
  <si>
    <t>Q16390034.F1</t>
  </si>
  <si>
    <t>Unpatterened TEOS wf</t>
  </si>
  <si>
    <t>Q16320083.F1</t>
  </si>
  <si>
    <t>Site</t>
  </si>
  <si>
    <t>% Uni</t>
  </si>
  <si>
    <t>UCL</t>
  </si>
  <si>
    <t>LCL</t>
  </si>
  <si>
    <t>LSL</t>
  </si>
  <si>
    <t>STDEV</t>
  </si>
  <si>
    <t>Tech EC</t>
  </si>
  <si>
    <t>Result</t>
  </si>
  <si>
    <t>Min Etch Rate</t>
  </si>
  <si>
    <t>Max Etch Rate</t>
  </si>
  <si>
    <t>TEOS ER Uniformity%</t>
  </si>
  <si>
    <t>TEOS ER Å/min</t>
  </si>
  <si>
    <t>ARC ER uniformity%</t>
  </si>
  <si>
    <t>ARC Etch Rate Å/min</t>
  </si>
  <si>
    <r>
      <t>Pass Criteria</t>
    </r>
    <r>
      <rPr>
        <b/>
        <sz val="9"/>
        <rFont val="Arial"/>
        <family val="2"/>
      </rPr>
      <t xml:space="preserve">:  </t>
    </r>
  </si>
  <si>
    <t>Parameter</t>
  </si>
  <si>
    <r>
      <t>Measurment Tool Recipe:</t>
    </r>
    <r>
      <rPr>
        <b/>
        <sz val="9"/>
        <rFont val="Arial"/>
        <family val="2"/>
      </rPr>
      <t>ETCH/LAM/ARC1800A, ETCH/LAM/TAAARC13orAATEOS13</t>
    </r>
  </si>
  <si>
    <r>
      <t xml:space="preserve">Recipe; </t>
    </r>
    <r>
      <rPr>
        <b/>
        <sz val="9"/>
        <rFont val="Arial"/>
        <family val="2"/>
      </rPr>
      <t>RAA-BARC-ER &amp; RAA-ER</t>
    </r>
  </si>
  <si>
    <r>
      <t>Wafer Type</t>
    </r>
    <r>
      <rPr>
        <b/>
        <sz val="9"/>
        <rFont val="Arial"/>
        <family val="2"/>
      </rPr>
      <t>: ARC1800 &amp; ATZP91</t>
    </r>
  </si>
  <si>
    <r>
      <t>Frequency: 72hrs or 500 producti</t>
    </r>
    <r>
      <rPr>
        <b/>
        <sz val="10"/>
        <rFont val="Calibri"/>
        <family val="2"/>
      </rPr>
      <t xml:space="preserve">on wfs   </t>
    </r>
  </si>
  <si>
    <r>
      <t>QC Name</t>
    </r>
    <r>
      <rPr>
        <b/>
        <sz val="9"/>
        <rFont val="Arial"/>
        <family val="2"/>
      </rPr>
      <t>: ARC Etch Rate &amp;TEOS Etch rate</t>
    </r>
  </si>
  <si>
    <t>ARC ER</t>
  </si>
  <si>
    <t xml:space="preserve"> Uni</t>
  </si>
  <si>
    <t>ER STDEV</t>
  </si>
  <si>
    <t>TEOS ER</t>
  </si>
  <si>
    <t>TEOS UNI</t>
  </si>
  <si>
    <t>AVG</t>
  </si>
  <si>
    <t>Sigma</t>
  </si>
  <si>
    <t>3Sigma</t>
  </si>
  <si>
    <r>
      <t>Tool</t>
    </r>
    <r>
      <rPr>
        <b/>
        <sz val="9"/>
        <rFont val="Arial"/>
        <family val="2"/>
      </rPr>
      <t>: REOX1A</t>
    </r>
  </si>
  <si>
    <r>
      <t>QC Name</t>
    </r>
    <r>
      <rPr>
        <b/>
        <sz val="9"/>
        <rFont val="Arial"/>
        <family val="2"/>
      </rPr>
      <t>: WSA</t>
    </r>
  </si>
  <si>
    <r>
      <rPr>
        <b/>
        <sz val="10"/>
        <rFont val="Arial"/>
        <family val="2"/>
      </rPr>
      <t xml:space="preserve">Frequency: Monthly or per request </t>
    </r>
  </si>
  <si>
    <r>
      <t>Recipe:</t>
    </r>
    <r>
      <rPr>
        <b/>
        <sz val="9"/>
        <rFont val="Arial"/>
        <family val="2"/>
      </rPr>
      <t xml:space="preserve"> </t>
    </r>
  </si>
  <si>
    <t>Measurment Tool Recipe: {B2,MP2_8_50}</t>
  </si>
  <si>
    <r>
      <t>Wafer Type</t>
    </r>
    <r>
      <rPr>
        <b/>
        <sz val="9"/>
        <rFont val="Arial"/>
        <family val="2"/>
      </rPr>
      <t xml:space="preserve">: NOX1000A </t>
    </r>
  </si>
  <si>
    <r>
      <t>Pass Criteria</t>
    </r>
    <r>
      <rPr>
        <b/>
        <sz val="9"/>
        <rFont val="Arial"/>
        <family val="2"/>
      </rPr>
      <t>: (Units: E13 atoms/cm2)</t>
    </r>
  </si>
  <si>
    <t xml:space="preserve">      WSA-Al: LCL = LSL = 0,  UCL = USL = 1</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</si>
  <si>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</si>
  <si>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</si>
  <si>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</si>
  <si>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</si>
  <si>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</si>
  <si>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</si>
  <si>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</si>
  <si>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</si>
  <si>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Employee Code</t>
  </si>
  <si>
    <t>WSA-Al</t>
  </si>
  <si>
    <t>E13 Atoms/cm2</t>
  </si>
  <si>
    <t>WSA-Cu</t>
  </si>
  <si>
    <t>WSA-Fe</t>
  </si>
  <si>
    <t>WSA-Na</t>
  </si>
  <si>
    <t>WSA-Ni</t>
  </si>
  <si>
    <t>Date (MM/DD/YYYY)</t>
  </si>
  <si>
    <t>delta CP</t>
  </si>
  <si>
    <t>Thickness  (Å)</t>
  </si>
  <si>
    <t>Layer</t>
  </si>
  <si>
    <t>Etch Rate (A/Min)</t>
  </si>
  <si>
    <t>Lot ID</t>
  </si>
  <si>
    <t>% Uni USL</t>
  </si>
  <si>
    <t xml:space="preserve"> Q16360086.F1</t>
  </si>
  <si>
    <t>patterened wafer</t>
  </si>
  <si>
    <t>Q16320046.F1</t>
  </si>
  <si>
    <t>Unpatterened wafer</t>
  </si>
  <si>
    <t xml:space="preserve"> Q16380005.F1</t>
  </si>
  <si>
    <t>After Fab Up</t>
  </si>
  <si>
    <t>Q17040035.F1</t>
  </si>
  <si>
    <t>ARC coating done on 11 Jan 2018, Based on FICD,RSiN And X-SEM results lot is proceeded for RAA ETCH</t>
  </si>
  <si>
    <t>after 25 wfs seasoning</t>
  </si>
  <si>
    <t>YEDR1(CPX) LPDN Pre 0, Post 26)</t>
  </si>
  <si>
    <t>after 50 wfs seasoning</t>
  </si>
  <si>
    <t>YEDR1(CPX) LPDN Pre 1, Post 9)</t>
  </si>
  <si>
    <t>Q19020028.F1</t>
  </si>
  <si>
    <t>Q19040064.F1</t>
  </si>
  <si>
    <t>Q19050058.F1</t>
  </si>
  <si>
    <t>Q19050103.F1</t>
  </si>
  <si>
    <t>Q19060108.F1</t>
  </si>
  <si>
    <t>121/1340</t>
  </si>
  <si>
    <t>Q19080123.F1</t>
  </si>
  <si>
    <t>Q19090043.F1</t>
  </si>
  <si>
    <t>Q19090088.F1</t>
  </si>
  <si>
    <t>1159/74</t>
  </si>
  <si>
    <t>Q19100019.F1</t>
  </si>
  <si>
    <t>Q19100067.F1</t>
  </si>
  <si>
    <t>Q19110107.F1</t>
  </si>
  <si>
    <t>Q19120032.F1</t>
  </si>
  <si>
    <t>Q19130074.F1</t>
  </si>
  <si>
    <t>Q19140014.F1</t>
  </si>
  <si>
    <t>Q19140112.F1</t>
  </si>
  <si>
    <t>Q19170037.F1</t>
  </si>
  <si>
    <t>Q19170133.F1</t>
  </si>
  <si>
    <t>Q19180058.F1</t>
  </si>
  <si>
    <t>Q19180136.F1</t>
  </si>
  <si>
    <t>1340/1159</t>
  </si>
  <si>
    <t>Q19190079.F1</t>
  </si>
  <si>
    <t>Q19200001.F1</t>
  </si>
  <si>
    <t>Q19210037.F1</t>
  </si>
  <si>
    <t>Area count is high</t>
  </si>
  <si>
    <t>YEDR1(CPX) LPDN Pre 10, Post 71)</t>
  </si>
  <si>
    <t>YEDR1( LPDN Pre 3, Post 8)</t>
  </si>
  <si>
    <t>121/1335</t>
  </si>
  <si>
    <t>YEDR1( LPDN Pre 7, Post 13)</t>
  </si>
  <si>
    <t>YEDR1( LPDN Pre 02, Post 17)</t>
  </si>
  <si>
    <t>YEDR1( LPDN Pre 17, Post 20)</t>
  </si>
  <si>
    <t>YEDR1( LPDN Pre 10, Post 23)</t>
  </si>
  <si>
    <t>YEDR1( LPDN Pre 3, Post 11)</t>
  </si>
  <si>
    <t>YEDR1( LPDN Pre 7, Post 34)</t>
  </si>
  <si>
    <t>YEDR1( LPDN Pre 7, Post 04)</t>
  </si>
  <si>
    <t>YEDR1( LPDN Pre 5, Post 19)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</si>
</sst>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0.00_);\(0.00\)"/>
    <numFmt numFmtId="166" formatCode="m/d/yyyy;@"/>
  </numFmts>
  <fonts count="26" x14ac:knownFonts="1">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name val="Arial"/>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color rgb="FF00B050"/>
      <name val="Arial"/>
      <family val="2"/>
    </font>
    <font>
      <b/>
      <sz val="10"/>
      <name val="Arial"/>
      <family val="2"/>
    </font>
    <font>
      <sz val="11"/>
      <color indexed="12"/>
      <name val="Calibri"/>
      <family val="2"/>
    </font>
    <font>
      <b/>
      <sz val="10"/>
      <name val="Calibri"/>
      <family val="2"/>
    </font>
    <font>
      <b/>
      <u/>
      <sz val="10"/>
      <color rgb="FF00B050"/>
      <name val="Arial"/>
      <family val="2"/>
    </font>
    <font>
      <sz val="10"/>
      <color rgb="FFFF0000"/>
      <name val="Arial"/>
      <family val="2"/>
    </font>
    <font>
      <sz val="12"/>
      <name val="Times New Roman"/>
      <family val="1"/>
    </font>
    <font>
      <sz val="8"/>
      <name val="Arial"/>
      <family val="2"/>
    </font>
    <font>
      <b/>
      <sz val="10"/>
      <name val="Calibri"/>
      <family val="2"/>
      <scheme val="minor"/>
    </font>
    <font>
      <b/>
      <sz val="10"/>
      <color theme="1"/>
      <name val="Calibri"/>
      <family val="2"/>
      <scheme val="minor"/>
    </font>
    <font>
      <sz val="11"/>
      <name val="Calibri"/>
      <family val="2"/>
      <scheme val="minor"/>
    </font>
    <font>
      <b/>
      <sz val="11"/>
      <name val="Calibri"/>
      <family val="2"/>
      <scheme val="minor"/>
    </font>
    <font>
      <b/>
      <sz val="10"/>
      <color rgb="FF00B050"/>
      <name val="Arial"/>
      <family val="2"/>
    </font>
    <font>
      <sz val="10"/>
      <color theme="1"/>
      <name val="Arial"/>
      <family val="2"/>
    </font>
    <font>
      <sz val="28"/>
      <color rgb="FF000000"/>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2"/>
        <bgColor indexed="64"/>
      </patternFill>
    </fill>
    <fill>
      <patternFill patternType="solid">
        <fgColor indexed="40"/>
        <bgColor indexed="64"/>
      </patternFill>
    </fill>
    <fill>
      <patternFill patternType="solid">
        <fgColor indexed="31"/>
        <bgColor indexed="64"/>
      </patternFill>
    </fill>
    <fill>
      <patternFill patternType="solid">
        <fgColor rgb="FFFF0000"/>
        <bgColor indexed="64"/>
      </patternFill>
    </fill>
  </fills>
  <borders count="4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bottom/>
      <diagonal/>
    </border>
    <border>
      <left/>
      <right style="thin">
        <color indexed="64"/>
      </right>
      <top style="medium">
        <color indexed="64"/>
      </top>
      <bottom/>
      <diagonal/>
    </border>
    <border>
      <left style="thin">
        <color indexed="64"/>
      </left>
      <right/>
      <top/>
      <bottom style="medium">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s>
  <cellStyleXfs count="3">
    <xf numFmtId="0" fontId="0" fillId="0" borderId="0"/>
    <xf numFmtId="0" fontId="4" fillId="0" borderId="0"/>
    <xf numFmtId="0" fontId="1" fillId="0" borderId="0"/>
  </cellStyleXfs>
  <cellXfs count="298">
    <xf numFmtId="0" fontId="0" fillId="0" borderId="0" xfId="0"/>
    <xf numFmtId="0" fontId="2" fillId="0" borderId="0" xfId="0" applyFont="1"/>
    <xf numFmtId="0" fontId="6" fillId="2" borderId="0" xfId="1" applyFont="1" applyFill="1" applyAlignment="1"/>
    <xf numFmtId="0" fontId="8" fillId="0" borderId="0" xfId="1" applyFont="1" applyBorder="1" applyAlignment="1">
      <alignment horizontal="center"/>
    </xf>
    <xf numFmtId="0" fontId="5" fillId="2" borderId="0" xfId="1" applyFont="1" applyFill="1" applyBorder="1" applyAlignment="1">
      <alignment horizontal="center"/>
    </xf>
    <xf numFmtId="0" fontId="7" fillId="2" borderId="0" xfId="1" applyFont="1" applyFill="1" applyBorder="1" applyAlignment="1">
      <alignment horizontal="center"/>
    </xf>
    <xf numFmtId="0" fontId="8" fillId="0" borderId="0" xfId="1" applyFont="1" applyBorder="1"/>
    <xf numFmtId="0" fontId="5" fillId="2" borderId="5" xfId="1" applyFont="1" applyFill="1" applyBorder="1" applyAlignment="1">
      <alignment horizontal="right"/>
    </xf>
    <xf numFmtId="0" fontId="4" fillId="0" borderId="0" xfId="1"/>
    <xf numFmtId="164" fontId="5" fillId="2" borderId="4" xfId="1" applyNumberFormat="1" applyFont="1" applyFill="1" applyBorder="1" applyAlignment="1">
      <alignment horizontal="left"/>
    </xf>
    <xf numFmtId="0" fontId="8" fillId="2" borderId="0" xfId="1" applyFont="1" applyFill="1" applyBorder="1" applyAlignment="1">
      <alignment horizontal="center"/>
    </xf>
    <xf numFmtId="0" fontId="7" fillId="2" borderId="0" xfId="1" applyFont="1" applyFill="1" applyBorder="1" applyAlignment="1"/>
    <xf numFmtId="0" fontId="7" fillId="2" borderId="5" xfId="1" applyFont="1" applyFill="1" applyBorder="1" applyAlignment="1"/>
    <xf numFmtId="0" fontId="8" fillId="2" borderId="7" xfId="1" applyFont="1" applyFill="1" applyBorder="1" applyAlignment="1">
      <alignment horizontal="center"/>
    </xf>
    <xf numFmtId="0" fontId="7" fillId="2" borderId="7" xfId="1" applyFont="1" applyFill="1" applyBorder="1" applyAlignment="1">
      <alignment horizontal="center"/>
    </xf>
    <xf numFmtId="0" fontId="7" fillId="2" borderId="7" xfId="1" applyFont="1" applyFill="1" applyBorder="1" applyAlignment="1"/>
    <xf numFmtId="0" fontId="7" fillId="2" borderId="8" xfId="1" applyFont="1" applyFill="1" applyBorder="1" applyAlignment="1"/>
    <xf numFmtId="0" fontId="4" fillId="0" borderId="13" xfId="1" applyBorder="1" applyAlignment="1">
      <alignment horizontal="center"/>
    </xf>
    <xf numFmtId="0" fontId="9" fillId="0" borderId="13" xfId="1" applyFont="1" applyBorder="1" applyAlignment="1" applyProtection="1">
      <alignment horizontal="center" wrapText="1"/>
    </xf>
    <xf numFmtId="0" fontId="10" fillId="0" borderId="13" xfId="1" applyFont="1" applyBorder="1" applyAlignment="1">
      <alignment horizontal="center" wrapText="1"/>
    </xf>
    <xf numFmtId="0" fontId="9" fillId="0" borderId="13" xfId="1" applyFont="1" applyFill="1" applyBorder="1" applyAlignment="1">
      <alignment horizontal="center"/>
    </xf>
    <xf numFmtId="0" fontId="4" fillId="0" borderId="10" xfId="1" applyFill="1" applyBorder="1"/>
    <xf numFmtId="0" fontId="4" fillId="0" borderId="13" xfId="1" applyBorder="1"/>
    <xf numFmtId="0" fontId="9" fillId="0" borderId="13" xfId="1" applyFont="1" applyFill="1" applyBorder="1" applyAlignment="1">
      <alignment horizontal="center" wrapText="1"/>
    </xf>
    <xf numFmtId="0" fontId="9" fillId="0" borderId="13" xfId="1" applyFont="1" applyBorder="1" applyAlignment="1">
      <alignment horizontal="center" wrapText="1"/>
    </xf>
    <xf numFmtId="0" fontId="9" fillId="0" borderId="10" xfId="1" applyFont="1" applyBorder="1" applyAlignment="1"/>
    <xf numFmtId="0" fontId="4" fillId="0" borderId="0" xfId="1" applyAlignment="1">
      <alignment horizontal="center"/>
    </xf>
    <xf numFmtId="0" fontId="10" fillId="0" borderId="9" xfId="1" applyFont="1" applyBorder="1" applyAlignment="1">
      <alignment horizontal="center" wrapText="1"/>
    </xf>
    <xf numFmtId="0" fontId="9" fillId="0" borderId="4" xfId="1" applyFont="1" applyFill="1" applyBorder="1" applyAlignment="1">
      <alignment horizontal="center"/>
    </xf>
    <xf numFmtId="0" fontId="9" fillId="0" borderId="1" xfId="1" applyFont="1" applyBorder="1" applyAlignment="1"/>
    <xf numFmtId="0" fontId="4" fillId="0" borderId="10" xfId="1" applyBorder="1"/>
    <xf numFmtId="0" fontId="9" fillId="0" borderId="10" xfId="1" applyFont="1" applyBorder="1"/>
    <xf numFmtId="0" fontId="4" fillId="0" borderId="9" xfId="1" applyBorder="1" applyAlignment="1">
      <alignment horizontal="center"/>
    </xf>
    <xf numFmtId="0" fontId="9" fillId="0" borderId="1" xfId="1" applyFont="1" applyBorder="1"/>
    <xf numFmtId="0" fontId="4" fillId="0" borderId="10" xfId="1" applyBorder="1" applyAlignment="1">
      <alignment horizontal="center"/>
    </xf>
    <xf numFmtId="0" fontId="4" fillId="0" borderId="13" xfId="1" applyFill="1" applyBorder="1"/>
    <xf numFmtId="0" fontId="9" fillId="0" borderId="13" xfId="1" applyFont="1" applyBorder="1"/>
    <xf numFmtId="0" fontId="11" fillId="0" borderId="0" xfId="1" applyFont="1" applyAlignment="1">
      <alignment horizontal="center"/>
    </xf>
    <xf numFmtId="164" fontId="4" fillId="0" borderId="0" xfId="1" applyNumberFormat="1" applyAlignment="1">
      <alignment horizontal="center"/>
    </xf>
    <xf numFmtId="0" fontId="11" fillId="0" borderId="0" xfId="1" applyFont="1" applyFill="1" applyBorder="1" applyAlignment="1">
      <alignment horizontal="center"/>
    </xf>
    <xf numFmtId="0" fontId="8" fillId="0" borderId="15" xfId="1" applyFont="1" applyBorder="1" applyAlignment="1">
      <alignment vertical="top" wrapText="1"/>
    </xf>
    <xf numFmtId="0" fontId="8" fillId="0" borderId="16" xfId="1" applyFont="1" applyBorder="1" applyAlignment="1">
      <alignment vertical="top"/>
    </xf>
    <xf numFmtId="0" fontId="8" fillId="0" borderId="16" xfId="1" applyFont="1" applyBorder="1" applyAlignment="1">
      <alignment vertical="top" wrapText="1"/>
    </xf>
    <xf numFmtId="0" fontId="8" fillId="0" borderId="16" xfId="1" applyFont="1" applyFill="1" applyBorder="1" applyAlignment="1">
      <alignment vertical="top" wrapText="1"/>
    </xf>
    <xf numFmtId="0" fontId="9" fillId="0" borderId="17" xfId="1" applyFont="1" applyBorder="1" applyAlignment="1">
      <alignment horizontal="center" wrapText="1"/>
    </xf>
    <xf numFmtId="0" fontId="8" fillId="0" borderId="17" xfId="1" applyFont="1" applyBorder="1" applyAlignment="1">
      <alignment vertical="top" wrapText="1"/>
    </xf>
    <xf numFmtId="0" fontId="8" fillId="0" borderId="18" xfId="1" applyFont="1" applyBorder="1" applyAlignment="1">
      <alignment vertical="top" wrapText="1"/>
    </xf>
    <xf numFmtId="0" fontId="8" fillId="0" borderId="14" xfId="1" applyFont="1" applyBorder="1" applyAlignment="1">
      <alignment vertical="top"/>
    </xf>
    <xf numFmtId="0" fontId="8" fillId="0" borderId="14" xfId="1" applyFont="1" applyBorder="1" applyAlignment="1">
      <alignment vertical="top" wrapText="1"/>
    </xf>
    <xf numFmtId="0" fontId="8" fillId="0" borderId="14" xfId="1" applyFont="1" applyFill="1" applyBorder="1" applyAlignment="1">
      <alignment vertical="top" wrapText="1"/>
    </xf>
    <xf numFmtId="0" fontId="4" fillId="3" borderId="0" xfId="1" applyFill="1" applyBorder="1"/>
    <xf numFmtId="0" fontId="8" fillId="0" borderId="13" xfId="1" applyFont="1" applyBorder="1" applyAlignment="1">
      <alignment vertical="top" wrapText="1"/>
    </xf>
    <xf numFmtId="0" fontId="11" fillId="0" borderId="0" xfId="1" applyFont="1" applyFill="1" applyBorder="1" applyAlignment="1">
      <alignment horizontal="center" vertical="center"/>
    </xf>
    <xf numFmtId="0" fontId="11" fillId="0" borderId="0" xfId="1" applyFont="1" applyAlignment="1">
      <alignment horizontal="center" vertical="center"/>
    </xf>
    <xf numFmtId="0" fontId="8" fillId="0" borderId="19" xfId="1" applyFont="1" applyBorder="1" applyAlignment="1">
      <alignment vertical="top" wrapText="1"/>
    </xf>
    <xf numFmtId="0" fontId="8" fillId="0" borderId="20" xfId="1" applyFont="1" applyBorder="1" applyAlignment="1">
      <alignment vertical="top"/>
    </xf>
    <xf numFmtId="0" fontId="8" fillId="0" borderId="21" xfId="1" applyFont="1" applyBorder="1" applyAlignment="1">
      <alignment vertical="top" wrapText="1"/>
    </xf>
    <xf numFmtId="0" fontId="8" fillId="0" borderId="9" xfId="1" applyFont="1" applyBorder="1" applyAlignment="1">
      <alignment vertical="top" wrapText="1"/>
    </xf>
    <xf numFmtId="0" fontId="8" fillId="0" borderId="9" xfId="1" applyFont="1" applyFill="1" applyBorder="1" applyAlignment="1">
      <alignment vertical="top" wrapText="1"/>
    </xf>
    <xf numFmtId="0" fontId="8" fillId="0" borderId="22" xfId="1" applyFont="1" applyBorder="1" applyAlignment="1">
      <alignment vertical="top" wrapText="1"/>
    </xf>
    <xf numFmtId="0" fontId="8" fillId="0" borderId="12" xfId="1" applyFont="1" applyBorder="1" applyAlignment="1">
      <alignment vertical="top"/>
    </xf>
    <xf numFmtId="0" fontId="8" fillId="0" borderId="12" xfId="1" applyFont="1" applyBorder="1" applyAlignment="1">
      <alignment vertical="top" wrapText="1"/>
    </xf>
    <xf numFmtId="0" fontId="4" fillId="3" borderId="23" xfId="1" applyFill="1" applyBorder="1"/>
    <xf numFmtId="0" fontId="8" fillId="0" borderId="20" xfId="1" applyFont="1" applyBorder="1" applyAlignment="1">
      <alignment vertical="top" wrapText="1"/>
    </xf>
    <xf numFmtId="0" fontId="8" fillId="0" borderId="9" xfId="1" applyFont="1" applyBorder="1" applyAlignment="1">
      <alignment vertical="top"/>
    </xf>
    <xf numFmtId="0" fontId="4" fillId="0" borderId="0" xfId="1" applyFill="1" applyBorder="1"/>
    <xf numFmtId="0" fontId="9" fillId="0" borderId="0" xfId="1" applyFont="1"/>
    <xf numFmtId="0" fontId="8" fillId="0" borderId="24" xfId="1" applyFont="1" applyBorder="1" applyAlignment="1">
      <alignment vertical="top" wrapText="1"/>
    </xf>
    <xf numFmtId="0" fontId="4" fillId="0" borderId="0" xfId="1" applyBorder="1"/>
    <xf numFmtId="0" fontId="4" fillId="0" borderId="23" xfId="1" applyBorder="1"/>
    <xf numFmtId="0" fontId="4" fillId="0" borderId="27" xfId="1" applyBorder="1" applyAlignment="1">
      <alignment vertical="center"/>
    </xf>
    <xf numFmtId="0" fontId="9" fillId="0" borderId="9" xfId="1" applyFont="1" applyBorder="1" applyAlignment="1">
      <alignment horizontal="center" wrapText="1"/>
    </xf>
    <xf numFmtId="0" fontId="4" fillId="3" borderId="2" xfId="1" applyFill="1" applyBorder="1"/>
    <xf numFmtId="0" fontId="4" fillId="0" borderId="2" xfId="1" applyBorder="1"/>
    <xf numFmtId="0" fontId="1" fillId="0" borderId="0" xfId="2"/>
    <xf numFmtId="0" fontId="12" fillId="0" borderId="0" xfId="1" applyFont="1"/>
    <xf numFmtId="0" fontId="7" fillId="0" borderId="15" xfId="1" applyFont="1" applyBorder="1" applyAlignment="1">
      <alignment vertical="center"/>
    </xf>
    <xf numFmtId="0" fontId="7" fillId="0" borderId="18" xfId="1" applyFont="1" applyBorder="1" applyAlignment="1">
      <alignment vertical="center"/>
    </xf>
    <xf numFmtId="0" fontId="7" fillId="0" borderId="15" xfId="1" applyFont="1" applyBorder="1" applyAlignment="1">
      <alignment vertical="top"/>
    </xf>
    <xf numFmtId="0" fontId="7" fillId="0" borderId="18" xfId="1" applyFont="1" applyBorder="1" applyAlignment="1">
      <alignment vertical="top"/>
    </xf>
    <xf numFmtId="0" fontId="4" fillId="3" borderId="0" xfId="1" applyFill="1"/>
    <xf numFmtId="0" fontId="7" fillId="0" borderId="24" xfId="1" applyFont="1" applyBorder="1" applyAlignment="1">
      <alignment vertical="top"/>
    </xf>
    <xf numFmtId="0" fontId="12" fillId="0" borderId="29" xfId="1" applyFont="1" applyBorder="1" applyAlignment="1">
      <alignment vertical="center"/>
    </xf>
    <xf numFmtId="0" fontId="12" fillId="0" borderId="4" xfId="1" applyFont="1" applyBorder="1" applyAlignment="1">
      <alignment vertical="center"/>
    </xf>
    <xf numFmtId="0" fontId="8" fillId="0" borderId="6" xfId="1" applyFont="1" applyBorder="1" applyAlignment="1">
      <alignment vertical="top" wrapText="1"/>
    </xf>
    <xf numFmtId="0" fontId="8" fillId="0" borderId="4" xfId="1" applyFont="1" applyBorder="1" applyAlignment="1">
      <alignment vertical="top" wrapText="1"/>
    </xf>
    <xf numFmtId="0" fontId="8" fillId="0" borderId="30" xfId="1" applyFont="1" applyBorder="1" applyAlignment="1">
      <alignment vertical="top" wrapText="1"/>
    </xf>
    <xf numFmtId="0" fontId="7" fillId="0" borderId="32" xfId="1" applyFont="1" applyBorder="1" applyAlignment="1">
      <alignment vertical="top"/>
    </xf>
    <xf numFmtId="0" fontId="7" fillId="0" borderId="33" xfId="1" applyFont="1" applyBorder="1" applyAlignment="1">
      <alignment vertical="top"/>
    </xf>
    <xf numFmtId="0" fontId="8" fillId="0" borderId="12" xfId="1" applyFont="1" applyFill="1" applyBorder="1" applyAlignment="1">
      <alignment vertical="center" wrapText="1"/>
    </xf>
    <xf numFmtId="0" fontId="8" fillId="0" borderId="14" xfId="1" applyFont="1" applyFill="1" applyBorder="1" applyAlignment="1">
      <alignment vertical="center" wrapText="1"/>
    </xf>
    <xf numFmtId="0" fontId="8" fillId="0" borderId="20" xfId="1" applyFont="1" applyFill="1" applyBorder="1" applyAlignment="1">
      <alignment vertical="center" wrapText="1"/>
    </xf>
    <xf numFmtId="0" fontId="8" fillId="0" borderId="16" xfId="1" applyFont="1" applyFill="1" applyBorder="1" applyAlignment="1">
      <alignment vertical="center" wrapText="1"/>
    </xf>
    <xf numFmtId="0" fontId="4" fillId="3" borderId="13" xfId="1" applyFill="1" applyBorder="1"/>
    <xf numFmtId="0" fontId="4" fillId="0" borderId="16" xfId="1" applyBorder="1" applyAlignment="1">
      <alignment vertical="top"/>
    </xf>
    <xf numFmtId="0" fontId="8" fillId="0" borderId="13" xfId="1" applyFont="1" applyFill="1" applyBorder="1" applyAlignment="1">
      <alignment vertical="top" wrapText="1"/>
    </xf>
    <xf numFmtId="0" fontId="4" fillId="0" borderId="14" xfId="1" applyBorder="1" applyAlignment="1">
      <alignment vertical="top"/>
    </xf>
    <xf numFmtId="0" fontId="4" fillId="0" borderId="9" xfId="1" applyBorder="1" applyAlignment="1">
      <alignment vertical="top"/>
    </xf>
    <xf numFmtId="0" fontId="8" fillId="0" borderId="21" xfId="1" applyFont="1" applyFill="1" applyBorder="1" applyAlignment="1">
      <alignment vertical="top" wrapText="1"/>
    </xf>
    <xf numFmtId="0" fontId="4" fillId="3" borderId="21" xfId="1" applyFill="1" applyBorder="1"/>
    <xf numFmtId="0" fontId="4" fillId="0" borderId="12" xfId="1" applyBorder="1" applyAlignment="1">
      <alignment vertical="top"/>
    </xf>
    <xf numFmtId="0" fontId="4" fillId="0" borderId="22" xfId="1" applyBorder="1" applyAlignment="1">
      <alignment vertical="top"/>
    </xf>
    <xf numFmtId="0" fontId="4" fillId="0" borderId="18" xfId="1" applyBorder="1" applyAlignment="1">
      <alignment vertical="top"/>
    </xf>
    <xf numFmtId="0" fontId="9" fillId="0" borderId="24" xfId="1" applyFont="1" applyBorder="1" applyAlignment="1">
      <alignment vertical="top"/>
    </xf>
    <xf numFmtId="0" fontId="4" fillId="0" borderId="15" xfId="1" applyBorder="1" applyAlignment="1">
      <alignment vertical="top"/>
    </xf>
    <xf numFmtId="0" fontId="8" fillId="0" borderId="9" xfId="1" applyFont="1" applyFill="1" applyBorder="1" applyAlignment="1">
      <alignment vertical="center" wrapText="1"/>
    </xf>
    <xf numFmtId="0" fontId="4" fillId="0" borderId="9" xfId="1" applyBorder="1"/>
    <xf numFmtId="0" fontId="8" fillId="2" borderId="0" xfId="1" applyFont="1" applyFill="1" applyBorder="1"/>
    <xf numFmtId="0" fontId="8" fillId="2" borderId="7" xfId="1" applyFont="1" applyFill="1" applyBorder="1" applyAlignment="1"/>
    <xf numFmtId="0" fontId="8" fillId="2" borderId="0" xfId="1" applyFont="1" applyFill="1" applyBorder="1" applyAlignment="1"/>
    <xf numFmtId="0" fontId="8" fillId="2" borderId="13" xfId="1" applyFont="1" applyFill="1" applyBorder="1" applyAlignment="1"/>
    <xf numFmtId="0" fontId="8" fillId="2" borderId="11" xfId="1" applyFont="1" applyFill="1" applyBorder="1" applyAlignment="1"/>
    <xf numFmtId="0" fontId="8" fillId="2" borderId="10" xfId="1" applyFont="1" applyFill="1" applyBorder="1" applyAlignment="1"/>
    <xf numFmtId="0" fontId="5" fillId="2" borderId="0" xfId="1" applyFont="1" applyFill="1" applyBorder="1" applyAlignment="1"/>
    <xf numFmtId="0" fontId="4" fillId="2" borderId="0" xfId="1" applyFill="1" applyBorder="1" applyAlignment="1">
      <alignment horizontal="left" vertical="center"/>
    </xf>
    <xf numFmtId="0" fontId="13" fillId="2" borderId="0" xfId="1" applyFont="1" applyFill="1" applyBorder="1" applyAlignment="1">
      <alignment horizontal="left" vertical="center"/>
    </xf>
    <xf numFmtId="0" fontId="4" fillId="2" borderId="0" xfId="1" applyFill="1" applyBorder="1" applyAlignment="1"/>
    <xf numFmtId="0" fontId="7" fillId="2" borderId="13" xfId="1" applyFont="1" applyFill="1" applyBorder="1" applyAlignment="1"/>
    <xf numFmtId="0" fontId="7" fillId="2" borderId="11" xfId="1" applyFont="1" applyFill="1" applyBorder="1" applyAlignment="1"/>
    <xf numFmtId="0" fontId="7" fillId="2" borderId="10" xfId="1" applyFont="1" applyFill="1" applyBorder="1" applyAlignment="1"/>
    <xf numFmtId="0" fontId="7" fillId="2" borderId="5" xfId="1" applyFont="1" applyFill="1" applyBorder="1" applyAlignment="1">
      <alignment horizontal="center"/>
    </xf>
    <xf numFmtId="0" fontId="7" fillId="2" borderId="0" xfId="1" applyFont="1" applyFill="1" applyBorder="1"/>
    <xf numFmtId="0" fontId="5" fillId="2" borderId="0" xfId="1" applyFont="1" applyFill="1" applyBorder="1" applyAlignment="1">
      <alignment horizontal="left"/>
    </xf>
    <xf numFmtId="0" fontId="5" fillId="2" borderId="5" xfId="1" applyFont="1" applyFill="1" applyBorder="1" applyAlignment="1"/>
    <xf numFmtId="0" fontId="6" fillId="2" borderId="0" xfId="1" applyFont="1" applyFill="1" applyAlignment="1">
      <alignment horizontal="center"/>
    </xf>
    <xf numFmtId="0" fontId="15" fillId="2" borderId="0" xfId="1" applyFont="1" applyFill="1" applyAlignment="1">
      <alignment horizontal="center"/>
    </xf>
    <xf numFmtId="0" fontId="5" fillId="2" borderId="2" xfId="1" applyFont="1" applyFill="1" applyBorder="1" applyAlignment="1"/>
    <xf numFmtId="165" fontId="12" fillId="0" borderId="0" xfId="1" applyNumberFormat="1" applyFont="1" applyAlignment="1">
      <alignment horizontal="center"/>
    </xf>
    <xf numFmtId="165" fontId="12" fillId="0" borderId="13" xfId="1" applyNumberFormat="1" applyFont="1" applyBorder="1" applyAlignment="1">
      <alignment horizontal="center"/>
    </xf>
    <xf numFmtId="165" fontId="4" fillId="0" borderId="0" xfId="1" applyNumberFormat="1" applyAlignment="1">
      <alignment horizontal="center"/>
    </xf>
    <xf numFmtId="165" fontId="8" fillId="0" borderId="13" xfId="1" applyNumberFormat="1" applyFont="1" applyBorder="1" applyAlignment="1">
      <alignment horizontal="center" vertical="top" wrapText="1"/>
    </xf>
    <xf numFmtId="165" fontId="4" fillId="0" borderId="13" xfId="1" applyNumberFormat="1" applyBorder="1" applyAlignment="1">
      <alignment horizontal="center"/>
    </xf>
    <xf numFmtId="165" fontId="8" fillId="4" borderId="13" xfId="1" applyNumberFormat="1" applyFont="1" applyFill="1" applyBorder="1" applyAlignment="1">
      <alignment horizontal="center" vertical="top" wrapText="1"/>
    </xf>
    <xf numFmtId="165" fontId="9" fillId="0" borderId="13" xfId="1" applyNumberFormat="1" applyFont="1" applyBorder="1" applyAlignment="1">
      <alignment horizontal="center"/>
    </xf>
    <xf numFmtId="165" fontId="8" fillId="5" borderId="13" xfId="1" applyNumberFormat="1" applyFont="1" applyFill="1" applyBorder="1" applyAlignment="1">
      <alignment horizontal="center" vertical="top" wrapText="1"/>
    </xf>
    <xf numFmtId="165" fontId="8" fillId="0" borderId="13" xfId="1" applyNumberFormat="1" applyFont="1" applyFill="1" applyBorder="1" applyAlignment="1">
      <alignment horizontal="center" vertical="top" wrapText="1"/>
    </xf>
    <xf numFmtId="165" fontId="4" fillId="6" borderId="0" xfId="1" applyNumberFormat="1" applyFill="1" applyAlignment="1">
      <alignment horizontal="center"/>
    </xf>
    <xf numFmtId="0" fontId="4" fillId="6" borderId="0" xfId="1" applyFill="1"/>
    <xf numFmtId="165" fontId="16" fillId="0" borderId="0" xfId="1" applyNumberFormat="1" applyFont="1" applyAlignment="1">
      <alignment horizontal="center"/>
    </xf>
    <xf numFmtId="0" fontId="5" fillId="2" borderId="4" xfId="1" applyFont="1" applyFill="1" applyBorder="1" applyAlignment="1"/>
    <xf numFmtId="0" fontId="9" fillId="2" borderId="0" xfId="1" applyFont="1" applyFill="1" applyAlignment="1"/>
    <xf numFmtId="0" fontId="12" fillId="2" borderId="0" xfId="1" applyFont="1" applyFill="1" applyAlignment="1"/>
    <xf numFmtId="0" fontId="5" fillId="2" borderId="4" xfId="1" applyFont="1" applyFill="1" applyBorder="1" applyAlignment="1">
      <alignment horizontal="left"/>
    </xf>
    <xf numFmtId="0" fontId="12" fillId="0" borderId="0" xfId="1" applyFont="1" applyBorder="1" applyAlignment="1"/>
    <xf numFmtId="0" fontId="17" fillId="0" borderId="0" xfId="1" applyFont="1" applyBorder="1" applyAlignment="1">
      <alignment wrapText="1"/>
    </xf>
    <xf numFmtId="0" fontId="7" fillId="2" borderId="4" xfId="1" applyFont="1" applyFill="1" applyBorder="1" applyAlignment="1"/>
    <xf numFmtId="0" fontId="7" fillId="2" borderId="0" xfId="1" applyFont="1" applyFill="1" applyBorder="1" applyAlignment="1">
      <alignment horizontal="left"/>
    </xf>
    <xf numFmtId="0" fontId="7" fillId="2" borderId="6" xfId="1" applyFont="1" applyFill="1" applyBorder="1" applyAlignment="1"/>
    <xf numFmtId="0" fontId="7" fillId="2" borderId="7" xfId="1" applyFont="1" applyFill="1" applyBorder="1" applyAlignment="1">
      <alignment horizontal="left"/>
    </xf>
    <xf numFmtId="0" fontId="18" fillId="0" borderId="13" xfId="1" applyFont="1" applyBorder="1" applyAlignment="1">
      <alignment horizontal="center" vertical="center" wrapText="1"/>
    </xf>
    <xf numFmtId="0" fontId="8" fillId="0" borderId="13" xfId="1" applyFont="1" applyBorder="1" applyAlignment="1">
      <alignment horizontal="center" vertical="center" wrapText="1"/>
    </xf>
    <xf numFmtId="0" fontId="8" fillId="0" borderId="13" xfId="1" applyFont="1" applyBorder="1" applyAlignment="1">
      <alignment horizontal="center" vertical="center"/>
    </xf>
    <xf numFmtId="0" fontId="12" fillId="0" borderId="0" xfId="1" applyFont="1" applyBorder="1"/>
    <xf numFmtId="0" fontId="8" fillId="0" borderId="13" xfId="1" applyFont="1" applyBorder="1" applyAlignment="1">
      <alignment horizontal="center"/>
    </xf>
    <xf numFmtId="0" fontId="8" fillId="0" borderId="13" xfId="1" applyFont="1" applyBorder="1" applyAlignment="1">
      <alignment horizontal="center" wrapText="1"/>
    </xf>
    <xf numFmtId="0" fontId="10" fillId="0" borderId="13" xfId="1" applyFont="1" applyBorder="1" applyAlignment="1"/>
    <xf numFmtId="0" fontId="9" fillId="0" borderId="13" xfId="1" applyFont="1" applyBorder="1" applyAlignment="1"/>
    <xf numFmtId="0" fontId="9" fillId="0" borderId="0" xfId="1" applyFont="1" applyBorder="1" applyAlignment="1"/>
    <xf numFmtId="0" fontId="9" fillId="0" borderId="0" xfId="1" applyFont="1" applyBorder="1"/>
    <xf numFmtId="0" fontId="20" fillId="0" borderId="0" xfId="0" applyFont="1" applyAlignment="1">
      <alignment horizontal="center" vertical="top"/>
    </xf>
    <xf numFmtId="0" fontId="4" fillId="0" borderId="12" xfId="1" applyBorder="1"/>
    <xf numFmtId="164" fontId="19" fillId="0" borderId="9" xfId="0" applyNumberFormat="1" applyFont="1" applyBorder="1" applyAlignment="1">
      <alignment horizontal="center" vertical="top" wrapText="1"/>
    </xf>
    <xf numFmtId="0" fontId="19" fillId="0" borderId="9" xfId="0" applyFont="1" applyBorder="1" applyAlignment="1">
      <alignment vertical="top"/>
    </xf>
    <xf numFmtId="0" fontId="20" fillId="0" borderId="9" xfId="0" applyFont="1" applyBorder="1" applyAlignment="1">
      <alignment horizontal="center" vertical="top"/>
    </xf>
    <xf numFmtId="0" fontId="4" fillId="0" borderId="12" xfId="1" applyBorder="1" applyAlignment="1">
      <alignment horizontal="center"/>
    </xf>
    <xf numFmtId="0" fontId="9" fillId="0" borderId="12" xfId="1" applyFont="1" applyBorder="1" applyAlignment="1" applyProtection="1">
      <alignment horizontal="center" wrapText="1"/>
    </xf>
    <xf numFmtId="0" fontId="10" fillId="0" borderId="12" xfId="1" applyFont="1" applyBorder="1" applyAlignment="1">
      <alignment horizontal="center" wrapText="1"/>
    </xf>
    <xf numFmtId="0" fontId="9" fillId="0" borderId="12" xfId="1" applyFont="1" applyFill="1" applyBorder="1" applyAlignment="1">
      <alignment horizontal="center"/>
    </xf>
    <xf numFmtId="0" fontId="4" fillId="0" borderId="6" xfId="1" applyFill="1" applyBorder="1"/>
    <xf numFmtId="164" fontId="19" fillId="0" borderId="34" xfId="0" applyNumberFormat="1" applyFont="1" applyBorder="1" applyAlignment="1">
      <alignment horizontal="center" vertical="top" wrapText="1"/>
    </xf>
    <xf numFmtId="0" fontId="20" fillId="0" borderId="35" xfId="0" applyFont="1" applyBorder="1" applyAlignment="1">
      <alignment horizontal="center" vertical="top"/>
    </xf>
    <xf numFmtId="0" fontId="19" fillId="0" borderId="35" xfId="0" applyFont="1" applyBorder="1" applyAlignment="1">
      <alignment horizontal="center" vertical="top" wrapText="1"/>
    </xf>
    <xf numFmtId="0" fontId="19" fillId="0" borderId="35" xfId="0" applyFont="1" applyBorder="1" applyAlignment="1">
      <alignment horizontal="center" vertical="top"/>
    </xf>
    <xf numFmtId="0" fontId="20" fillId="0" borderId="35" xfId="0" applyFont="1" applyBorder="1" applyAlignment="1">
      <alignment horizontal="center" vertical="top" wrapText="1"/>
    </xf>
    <xf numFmtId="0" fontId="20" fillId="0" borderId="36" xfId="0" applyFont="1" applyBorder="1" applyAlignment="1">
      <alignment horizontal="center" vertical="top"/>
    </xf>
    <xf numFmtId="14" fontId="21" fillId="0" borderId="9" xfId="0" applyNumberFormat="1" applyFont="1" applyBorder="1" applyAlignment="1">
      <alignment horizontal="center" vertical="top" wrapText="1"/>
    </xf>
    <xf numFmtId="0" fontId="21" fillId="0" borderId="1" xfId="0" applyFont="1" applyBorder="1" applyAlignment="1">
      <alignment horizontal="center" vertical="top" wrapText="1"/>
    </xf>
    <xf numFmtId="0" fontId="21" fillId="0" borderId="2" xfId="0" applyFont="1" applyBorder="1" applyAlignment="1">
      <alignment vertical="top" wrapText="1"/>
    </xf>
    <xf numFmtId="0" fontId="21" fillId="0" borderId="3" xfId="0" applyFont="1" applyBorder="1" applyAlignment="1">
      <alignment vertical="top" wrapText="1"/>
    </xf>
    <xf numFmtId="0" fontId="1" fillId="0" borderId="0" xfId="0" applyFont="1" applyBorder="1"/>
    <xf numFmtId="0" fontId="1" fillId="0" borderId="0" xfId="0" applyFont="1" applyBorder="1" applyAlignment="1">
      <alignment horizontal="center"/>
    </xf>
    <xf numFmtId="0" fontId="1" fillId="0" borderId="2" xfId="0" applyFont="1" applyBorder="1"/>
    <xf numFmtId="0" fontId="1" fillId="0" borderId="0" xfId="0" applyFont="1" applyBorder="1" applyAlignment="1">
      <alignment horizontal="center" vertical="top"/>
    </xf>
    <xf numFmtId="0" fontId="1" fillId="0" borderId="0" xfId="0" applyFont="1"/>
    <xf numFmtId="166" fontId="22" fillId="0" borderId="34" xfId="0" applyNumberFormat="1" applyFont="1" applyBorder="1" applyAlignment="1">
      <alignment horizontal="center" vertical="top" wrapText="1"/>
    </xf>
    <xf numFmtId="0" fontId="22" fillId="0" borderId="35" xfId="0" applyFont="1" applyBorder="1" applyAlignment="1">
      <alignment horizontal="center" vertical="top" wrapText="1"/>
    </xf>
    <xf numFmtId="0" fontId="3" fillId="0" borderId="35" xfId="0" applyFont="1" applyBorder="1" applyAlignment="1">
      <alignment horizontal="center" vertical="top"/>
    </xf>
    <xf numFmtId="165" fontId="7" fillId="0" borderId="35" xfId="1" applyNumberFormat="1" applyFont="1" applyBorder="1" applyAlignment="1">
      <alignment horizontal="center" vertical="center" wrapText="1"/>
    </xf>
    <xf numFmtId="0" fontId="7" fillId="0" borderId="35" xfId="1" applyFont="1" applyBorder="1" applyAlignment="1">
      <alignment horizontal="center" vertical="top"/>
    </xf>
    <xf numFmtId="0" fontId="7" fillId="0" borderId="35" xfId="1" applyFont="1" applyBorder="1" applyAlignment="1">
      <alignment horizontal="center" vertical="top" wrapText="1"/>
    </xf>
    <xf numFmtId="0" fontId="23" fillId="0" borderId="35" xfId="1" applyFont="1" applyBorder="1" applyAlignment="1">
      <alignment horizontal="center" vertical="center"/>
    </xf>
    <xf numFmtId="0" fontId="23" fillId="0" borderId="35" xfId="1" applyFont="1" applyFill="1" applyBorder="1" applyAlignment="1">
      <alignment horizontal="center" vertical="center"/>
    </xf>
    <xf numFmtId="0" fontId="3" fillId="0" borderId="0" xfId="0" applyFont="1" applyAlignment="1">
      <alignment horizontal="center" vertical="top"/>
    </xf>
    <xf numFmtId="0" fontId="19" fillId="0" borderId="9" xfId="0" applyFont="1" applyBorder="1" applyAlignment="1">
      <alignment horizontal="center" vertical="top"/>
    </xf>
    <xf numFmtId="0" fontId="4" fillId="0" borderId="14" xfId="1" applyFill="1" applyBorder="1" applyAlignment="1">
      <alignment horizontal="center"/>
    </xf>
    <xf numFmtId="0" fontId="4" fillId="0" borderId="13" xfId="1" applyFill="1" applyBorder="1" applyAlignment="1">
      <alignment horizontal="center"/>
    </xf>
    <xf numFmtId="0" fontId="4" fillId="0" borderId="1" xfId="1" applyBorder="1"/>
    <xf numFmtId="0" fontId="9" fillId="0" borderId="13" xfId="1" applyFont="1" applyBorder="1" applyAlignment="1">
      <alignment horizontal="center"/>
    </xf>
    <xf numFmtId="0" fontId="5" fillId="2" borderId="3" xfId="1" applyFont="1" applyFill="1" applyBorder="1" applyAlignment="1">
      <alignment horizontal="center"/>
    </xf>
    <xf numFmtId="0" fontId="7" fillId="2" borderId="0" xfId="1" applyFont="1" applyFill="1" applyBorder="1" applyAlignment="1">
      <alignment horizontal="center"/>
    </xf>
    <xf numFmtId="0" fontId="7" fillId="2" borderId="5" xfId="1" applyFont="1" applyFill="1" applyBorder="1" applyAlignment="1">
      <alignment horizontal="center"/>
    </xf>
    <xf numFmtId="164" fontId="4" fillId="0" borderId="12" xfId="1" applyNumberFormat="1" applyBorder="1" applyAlignment="1">
      <alignment horizontal="center"/>
    </xf>
    <xf numFmtId="164" fontId="4" fillId="0" borderId="13" xfId="1" applyNumberFormat="1" applyBorder="1" applyAlignment="1">
      <alignment horizontal="center"/>
    </xf>
    <xf numFmtId="164" fontId="4" fillId="0" borderId="9" xfId="1" applyNumberFormat="1" applyBorder="1" applyAlignment="1">
      <alignment horizontal="center"/>
    </xf>
    <xf numFmtId="164" fontId="7" fillId="2" borderId="6" xfId="1" applyNumberFormat="1" applyFont="1" applyFill="1" applyBorder="1" applyAlignment="1">
      <alignment horizontal="left"/>
    </xf>
    <xf numFmtId="164" fontId="8" fillId="0" borderId="28" xfId="1" applyNumberFormat="1" applyFont="1" applyFill="1" applyBorder="1" applyAlignment="1">
      <alignment horizontal="center" vertical="center" wrapText="1"/>
    </xf>
    <xf numFmtId="0" fontId="0" fillId="0" borderId="0" xfId="0" applyAlignment="1">
      <alignment horizontal="center"/>
    </xf>
    <xf numFmtId="164" fontId="8" fillId="0" borderId="3" xfId="1" applyNumberFormat="1" applyFont="1" applyFill="1" applyBorder="1" applyAlignment="1">
      <alignment horizontal="center" vertical="center" wrapText="1"/>
    </xf>
    <xf numFmtId="164" fontId="8" fillId="0" borderId="26" xfId="1" applyNumberFormat="1" applyFont="1" applyFill="1" applyBorder="1" applyAlignment="1">
      <alignment horizontal="center" vertical="center" wrapText="1"/>
    </xf>
    <xf numFmtId="164" fontId="8" fillId="0" borderId="25" xfId="1" applyNumberFormat="1" applyFont="1" applyFill="1" applyBorder="1" applyAlignment="1">
      <alignment horizontal="center" vertical="center" wrapText="1"/>
    </xf>
    <xf numFmtId="164" fontId="5" fillId="2" borderId="0" xfId="1" applyNumberFormat="1" applyFont="1" applyFill="1" applyBorder="1" applyAlignment="1">
      <alignment horizontal="left"/>
    </xf>
    <xf numFmtId="164" fontId="7" fillId="2" borderId="7" xfId="1" applyNumberFormat="1" applyFont="1" applyFill="1" applyBorder="1" applyAlignment="1">
      <alignment horizontal="left"/>
    </xf>
    <xf numFmtId="0" fontId="8" fillId="0" borderId="20" xfId="0" applyFont="1" applyBorder="1" applyAlignment="1">
      <alignment vertical="top" wrapText="1"/>
    </xf>
    <xf numFmtId="0" fontId="8" fillId="0" borderId="21" xfId="0" applyFont="1" applyBorder="1" applyAlignment="1">
      <alignment vertical="top" wrapText="1"/>
    </xf>
    <xf numFmtId="0" fontId="0" fillId="3" borderId="23" xfId="0" applyFill="1" applyBorder="1"/>
    <xf numFmtId="0" fontId="8" fillId="0" borderId="13" xfId="0" applyFont="1" applyBorder="1" applyAlignment="1">
      <alignment vertical="top" wrapText="1"/>
    </xf>
    <xf numFmtId="0" fontId="8" fillId="0" borderId="13" xfId="0" applyFont="1" applyFill="1" applyBorder="1" applyAlignment="1">
      <alignment vertical="top" wrapText="1"/>
    </xf>
    <xf numFmtId="0" fontId="8" fillId="0" borderId="13" xfId="0" applyFont="1" applyBorder="1" applyAlignment="1">
      <alignment vertical="top"/>
    </xf>
    <xf numFmtId="0" fontId="11" fillId="0" borderId="0" xfId="0" applyFont="1" applyAlignment="1">
      <alignment horizontal="center"/>
    </xf>
    <xf numFmtId="0" fontId="11" fillId="0" borderId="0" xfId="0" applyFont="1" applyFill="1" applyBorder="1" applyAlignment="1">
      <alignment horizontal="center"/>
    </xf>
    <xf numFmtId="0" fontId="8" fillId="0" borderId="14" xfId="0" applyFont="1" applyBorder="1" applyAlignment="1">
      <alignment vertical="top" wrapText="1"/>
    </xf>
    <xf numFmtId="0" fontId="0" fillId="3" borderId="0" xfId="0" applyFill="1" applyBorder="1"/>
    <xf numFmtId="0" fontId="8" fillId="0" borderId="12" xfId="0" applyFont="1" applyBorder="1" applyAlignment="1">
      <alignment vertical="top" wrapText="1"/>
    </xf>
    <xf numFmtId="0" fontId="9" fillId="0" borderId="13" xfId="0" applyFont="1" applyBorder="1" applyAlignment="1">
      <alignment horizontal="center" wrapText="1"/>
    </xf>
    <xf numFmtId="0" fontId="8" fillId="0" borderId="9" xfId="0" applyFont="1" applyBorder="1" applyAlignment="1">
      <alignment vertical="top" wrapText="1"/>
    </xf>
    <xf numFmtId="0" fontId="0" fillId="0" borderId="13" xfId="0" applyBorder="1"/>
    <xf numFmtId="0" fontId="11" fillId="0" borderId="0" xfId="0" applyFont="1" applyAlignment="1">
      <alignment horizontal="center" vertical="center"/>
    </xf>
    <xf numFmtId="0" fontId="11" fillId="0" borderId="0" xfId="0" applyFont="1" applyFill="1" applyBorder="1" applyAlignment="1">
      <alignment horizontal="center" vertical="center"/>
    </xf>
    <xf numFmtId="0" fontId="8" fillId="0" borderId="16" xfId="0" applyFont="1" applyBorder="1" applyAlignment="1">
      <alignment vertical="top" wrapText="1"/>
    </xf>
    <xf numFmtId="0" fontId="8" fillId="0" borderId="17" xfId="0" applyFont="1" applyBorder="1" applyAlignment="1">
      <alignment vertical="top" wrapText="1"/>
    </xf>
    <xf numFmtId="0" fontId="9" fillId="0" borderId="17" xfId="0" applyFont="1" applyBorder="1" applyAlignment="1">
      <alignment horizontal="center" wrapText="1"/>
    </xf>
    <xf numFmtId="0" fontId="9" fillId="0" borderId="40" xfId="0" applyFont="1" applyBorder="1" applyAlignment="1">
      <alignment horizontal="center" wrapText="1"/>
    </xf>
    <xf numFmtId="0" fontId="9" fillId="0" borderId="11" xfId="0" applyFont="1" applyBorder="1" applyAlignment="1">
      <alignment horizontal="center" wrapText="1"/>
    </xf>
    <xf numFmtId="164" fontId="0" fillId="0" borderId="28" xfId="0" applyNumberFormat="1" applyBorder="1" applyAlignment="1">
      <alignment horizontal="center" vertical="center"/>
    </xf>
    <xf numFmtId="164" fontId="0" fillId="0" borderId="5" xfId="0" applyNumberFormat="1" applyBorder="1" applyAlignment="1">
      <alignment horizontal="center" vertical="center"/>
    </xf>
    <xf numFmtId="164" fontId="0" fillId="0" borderId="8" xfId="0" applyNumberFormat="1" applyBorder="1" applyAlignment="1">
      <alignment horizontal="center" vertical="center"/>
    </xf>
    <xf numFmtId="164" fontId="0" fillId="0" borderId="3" xfId="0" applyNumberFormat="1" applyBorder="1" applyAlignment="1">
      <alignment horizontal="center" vertical="center"/>
    </xf>
    <xf numFmtId="164" fontId="0" fillId="0" borderId="41" xfId="0" applyNumberFormat="1" applyBorder="1" applyAlignment="1">
      <alignment horizontal="center" vertical="center"/>
    </xf>
    <xf numFmtId="0" fontId="9" fillId="0" borderId="0" xfId="0" applyFont="1"/>
    <xf numFmtId="0" fontId="9" fillId="0" borderId="0" xfId="0" applyFont="1" applyFill="1" applyBorder="1"/>
    <xf numFmtId="0" fontId="9" fillId="0" borderId="0" xfId="0" applyFont="1" applyFill="1" applyBorder="1" applyAlignment="1">
      <alignment horizontal="center" wrapText="1"/>
    </xf>
    <xf numFmtId="0" fontId="0" fillId="0" borderId="0" xfId="0" applyFill="1" applyBorder="1"/>
    <xf numFmtId="0" fontId="5" fillId="2" borderId="5" xfId="1" applyFont="1" applyFill="1" applyBorder="1" applyAlignment="1">
      <alignment horizontal="center"/>
    </xf>
    <xf numFmtId="0" fontId="4" fillId="0" borderId="5" xfId="1" applyBorder="1" applyAlignment="1">
      <alignment horizontal="center" vertical="center"/>
    </xf>
    <xf numFmtId="2" fontId="1" fillId="0" borderId="0" xfId="0" applyNumberFormat="1" applyFont="1" applyBorder="1" applyAlignment="1">
      <alignment horizontal="center"/>
    </xf>
    <xf numFmtId="0" fontId="9" fillId="0" borderId="24" xfId="1" applyFont="1" applyBorder="1" applyAlignment="1">
      <alignment horizontal="center" vertical="top"/>
    </xf>
    <xf numFmtId="0" fontId="4" fillId="0" borderId="18" xfId="1" applyBorder="1" applyAlignment="1">
      <alignment horizontal="center" vertical="top"/>
    </xf>
    <xf numFmtId="0" fontId="4" fillId="0" borderId="24" xfId="1" applyBorder="1" applyAlignment="1">
      <alignment horizontal="center" vertical="top"/>
    </xf>
    <xf numFmtId="0" fontId="9" fillId="0" borderId="9" xfId="1" applyFont="1" applyBorder="1" applyAlignment="1">
      <alignment horizontal="center" vertical="top"/>
    </xf>
    <xf numFmtId="0" fontId="7" fillId="0" borderId="18" xfId="1" applyFont="1" applyBorder="1" applyAlignment="1">
      <alignment horizontal="center" vertical="top"/>
    </xf>
    <xf numFmtId="0" fontId="7" fillId="0" borderId="24" xfId="1" applyFont="1" applyBorder="1" applyAlignment="1">
      <alignment horizontal="center" vertical="top"/>
    </xf>
    <xf numFmtId="0" fontId="7" fillId="0" borderId="31" xfId="1" applyFont="1" applyBorder="1" applyAlignment="1">
      <alignment horizontal="center" vertical="top"/>
    </xf>
    <xf numFmtId="0" fontId="12" fillId="0" borderId="30" xfId="1" applyFont="1" applyBorder="1" applyAlignment="1">
      <alignment horizontal="center" vertical="center"/>
    </xf>
    <xf numFmtId="0" fontId="7" fillId="0" borderId="24" xfId="1" applyFont="1" applyBorder="1" applyAlignment="1">
      <alignment horizontal="center" vertical="center"/>
    </xf>
    <xf numFmtId="0" fontId="7" fillId="0" borderId="24" xfId="1" applyFont="1" applyBorder="1" applyAlignment="1">
      <alignment horizontal="center" vertical="center" wrapText="1"/>
    </xf>
    <xf numFmtId="0" fontId="7" fillId="0" borderId="18" xfId="1" applyFont="1" applyBorder="1" applyAlignment="1">
      <alignment horizontal="center" vertical="center"/>
    </xf>
    <xf numFmtId="0" fontId="9" fillId="0" borderId="0" xfId="1" applyFont="1" applyAlignment="1">
      <alignment horizontal="center"/>
    </xf>
    <xf numFmtId="0" fontId="12" fillId="0" borderId="0" xfId="1" applyFont="1" applyAlignment="1">
      <alignment horizontal="center"/>
    </xf>
    <xf numFmtId="0" fontId="4" fillId="0" borderId="27" xfId="1" applyBorder="1" applyAlignment="1">
      <alignment horizontal="center" vertical="center"/>
    </xf>
    <xf numFmtId="0" fontId="0" fillId="0" borderId="4" xfId="0" applyBorder="1" applyAlignment="1">
      <alignment vertical="center"/>
    </xf>
    <xf numFmtId="0" fontId="0" fillId="0" borderId="4" xfId="0" applyBorder="1" applyAlignment="1">
      <alignment horizontal="center" vertical="center"/>
    </xf>
    <xf numFmtId="0" fontId="9" fillId="0" borderId="4" xfId="0" applyFont="1" applyBorder="1" applyAlignment="1">
      <alignment vertical="center"/>
    </xf>
    <xf numFmtId="164" fontId="0" fillId="0" borderId="13" xfId="0" applyNumberFormat="1" applyBorder="1" applyAlignment="1">
      <alignment horizontal="center"/>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39" xfId="0" applyBorder="1" applyAlignment="1">
      <alignment horizontal="center" vertical="center" wrapText="1"/>
    </xf>
    <xf numFmtId="0" fontId="10" fillId="0" borderId="13" xfId="0" applyFont="1" applyBorder="1" applyAlignment="1">
      <alignment horizontal="center" wrapText="1"/>
    </xf>
    <xf numFmtId="0" fontId="9" fillId="0" borderId="10" xfId="0" applyFont="1" applyBorder="1"/>
    <xf numFmtId="0" fontId="9" fillId="0" borderId="13" xfId="0" applyFont="1" applyBorder="1"/>
    <xf numFmtId="0" fontId="9" fillId="0" borderId="13" xfId="0" applyFont="1" applyFill="1" applyBorder="1" applyAlignment="1">
      <alignment horizontal="center" vertical="center"/>
    </xf>
    <xf numFmtId="0" fontId="24" fillId="0" borderId="13" xfId="0" applyFont="1" applyBorder="1" applyAlignment="1">
      <alignment horizontal="center"/>
    </xf>
    <xf numFmtId="0" fontId="24" fillId="0" borderId="13" xfId="0" applyFont="1" applyBorder="1"/>
    <xf numFmtId="164" fontId="24" fillId="0" borderId="13" xfId="0" applyNumberFormat="1" applyFont="1" applyBorder="1" applyAlignment="1">
      <alignment horizontal="center"/>
    </xf>
    <xf numFmtId="0" fontId="24" fillId="0" borderId="13" xfId="0" applyFont="1" applyFill="1" applyBorder="1" applyAlignment="1">
      <alignment horizontal="center"/>
    </xf>
    <xf numFmtId="0" fontId="10" fillId="2" borderId="9" xfId="1" applyFont="1" applyFill="1" applyBorder="1" applyAlignment="1">
      <alignment horizontal="center" vertical="top"/>
    </xf>
    <xf numFmtId="0" fontId="10" fillId="2" borderId="14" xfId="1" applyFont="1" applyFill="1" applyBorder="1" applyAlignment="1">
      <alignment horizontal="center" vertical="top"/>
    </xf>
    <xf numFmtId="0" fontId="10" fillId="2" borderId="12" xfId="1" applyFont="1" applyFill="1" applyBorder="1" applyAlignment="1">
      <alignment horizontal="center" vertical="top"/>
    </xf>
    <xf numFmtId="0" fontId="9" fillId="0" borderId="13" xfId="1" applyFont="1" applyBorder="1" applyAlignment="1">
      <alignment horizontal="center"/>
    </xf>
    <xf numFmtId="0" fontId="5" fillId="2" borderId="1" xfId="1" applyFont="1" applyFill="1" applyBorder="1" applyAlignment="1">
      <alignment horizontal="center"/>
    </xf>
    <xf numFmtId="0" fontId="5" fillId="2" borderId="2" xfId="1" applyFont="1" applyFill="1" applyBorder="1" applyAlignment="1">
      <alignment horizontal="center"/>
    </xf>
    <xf numFmtId="0" fontId="5" fillId="2" borderId="3" xfId="1" applyFont="1" applyFill="1" applyBorder="1" applyAlignment="1">
      <alignment horizontal="center"/>
    </xf>
    <xf numFmtId="0" fontId="7" fillId="2" borderId="0" xfId="1" applyFont="1" applyFill="1" applyBorder="1" applyAlignment="1">
      <alignment horizontal="right"/>
    </xf>
    <xf numFmtId="0" fontId="7" fillId="2" borderId="5" xfId="1" applyFont="1" applyFill="1" applyBorder="1" applyAlignment="1">
      <alignment horizontal="right"/>
    </xf>
    <xf numFmtId="0" fontId="7" fillId="2" borderId="0" xfId="1" applyFont="1" applyFill="1" applyBorder="1" applyAlignment="1">
      <alignment horizontal="center"/>
    </xf>
    <xf numFmtId="0" fontId="7" fillId="2" borderId="5" xfId="1" applyFont="1" applyFill="1" applyBorder="1" applyAlignment="1">
      <alignment horizontal="center"/>
    </xf>
    <xf numFmtId="0" fontId="19" fillId="0" borderId="1" xfId="0" applyFont="1" applyBorder="1" applyAlignment="1">
      <alignment horizontal="center" vertical="top" wrapText="1"/>
    </xf>
    <xf numFmtId="0" fontId="19" fillId="0" borderId="3" xfId="0" applyFont="1" applyBorder="1" applyAlignment="1">
      <alignment horizontal="center" vertical="top" wrapText="1"/>
    </xf>
    <xf numFmtId="0" fontId="9" fillId="0" borderId="4" xfId="0" applyFont="1" applyBorder="1" applyAlignment="1">
      <alignment horizontal="center" vertical="center"/>
    </xf>
    <xf numFmtId="0" fontId="9" fillId="0" borderId="4" xfId="0" applyFont="1" applyBorder="1" applyAlignment="1">
      <alignment vertical="center"/>
    </xf>
    <xf numFmtId="0" fontId="0" fillId="0" borderId="4" xfId="0" applyBorder="1" applyAlignment="1">
      <alignment horizontal="center" vertical="center"/>
    </xf>
    <xf numFmtId="14" fontId="21" fillId="0" borderId="1" xfId="0" applyNumberFormat="1" applyFont="1" applyBorder="1" applyAlignment="1">
      <alignment horizontal="center" vertical="top" wrapText="1"/>
    </xf>
    <xf numFmtId="14" fontId="21" fillId="0" borderId="2" xfId="0" applyNumberFormat="1" applyFont="1" applyBorder="1" applyAlignment="1">
      <alignment horizontal="center" vertical="top" wrapText="1"/>
    </xf>
    <xf numFmtId="164" fontId="0" fillId="0" borderId="28" xfId="0" applyNumberFormat="1" applyBorder="1" applyAlignment="1">
      <alignment horizontal="center" vertical="center"/>
    </xf>
    <xf numFmtId="164" fontId="0" fillId="0" borderId="5" xfId="0" applyNumberFormat="1" applyBorder="1" applyAlignment="1">
      <alignment horizontal="center" vertical="center"/>
    </xf>
    <xf numFmtId="164" fontId="0" fillId="0" borderId="8" xfId="0" applyNumberFormat="1" applyBorder="1" applyAlignment="1">
      <alignment horizontal="center" vertical="center"/>
    </xf>
    <xf numFmtId="0" fontId="0" fillId="0" borderId="4" xfId="0" applyBorder="1" applyAlignment="1">
      <alignment vertical="center"/>
    </xf>
    <xf numFmtId="164" fontId="0" fillId="0" borderId="3" xfId="0" applyNumberFormat="1" applyBorder="1" applyAlignment="1">
      <alignment horizontal="center" vertical="center"/>
    </xf>
    <xf numFmtId="164" fontId="0" fillId="0" borderId="41" xfId="0" applyNumberFormat="1" applyBorder="1" applyAlignment="1">
      <alignment horizontal="center" vertical="center"/>
    </xf>
  </cellXfs>
  <cellStyles count="3">
    <cellStyle name="Normal" xfId="0" builtinId="0"/>
    <cellStyle name="Normal 17" xfId="2"/>
    <cellStyle name="Normal 2" xfId="1"/>
  </cellStyles>
  <dxfs count="1162">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rgb="FF9C0006"/>
      </font>
      <fill>
        <patternFill>
          <bgColor rgb="FFFFC7CE"/>
        </patternFill>
      </fill>
    </dxf>
    <dxf>
      <fill>
        <patternFill>
          <bgColor indexed="57"/>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8</xdr:row>
          <xdr:rowOff>0</xdr:rowOff>
        </xdr:from>
        <xdr:to>
          <xdr:col>6</xdr:col>
          <xdr:colOff>63305</xdr:colOff>
          <xdr:row>12</xdr:row>
          <xdr:rowOff>14068</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52"/>
  <sheetViews>
    <sheetView topLeftCell="A19" zoomScaleNormal="100" workbookViewId="0">
      <selection activeCell="J13" sqref="J13"/>
    </sheetView>
  </sheetViews>
  <sheetFormatPr defaultRowHeight="12.75" customHeight="1" x14ac:dyDescent="0.25"/>
  <cols>
    <col min="1" max="1" width="9.7265625" style="8" customWidth="1"/>
    <col min="2" max="2" width="10.6328125" style="8" customWidth="1"/>
    <col min="3" max="3" width="6.7265625" style="8" customWidth="1"/>
    <col min="4" max="4" width="13" style="8" customWidth="1"/>
    <col min="5" max="5" width="6.26953125" style="8" customWidth="1"/>
    <col min="6" max="6" width="9.6328125" style="8" customWidth="1"/>
    <col min="7" max="7" width="27.90625" style="8" customWidth="1"/>
    <col min="8" max="256" width="8.7265625" style="8"/>
    <col min="257" max="257" width="9.7265625" style="8" customWidth="1"/>
    <col min="258" max="258" width="10.6328125" style="8" customWidth="1"/>
    <col min="259" max="259" width="6.7265625" style="8" customWidth="1"/>
    <col min="260" max="260" width="13" style="8" customWidth="1"/>
    <col min="261" max="261" width="6.26953125" style="8" customWidth="1"/>
    <col min="262" max="262" width="9.6328125" style="8" customWidth="1"/>
    <col min="263" max="263" width="27.90625" style="8" customWidth="1"/>
    <col min="264" max="512" width="8.7265625" style="8"/>
    <col min="513" max="513" width="9.7265625" style="8" customWidth="1"/>
    <col min="514" max="514" width="10.6328125" style="8" customWidth="1"/>
    <col min="515" max="515" width="6.7265625" style="8" customWidth="1"/>
    <col min="516" max="516" width="13" style="8" customWidth="1"/>
    <col min="517" max="517" width="6.26953125" style="8" customWidth="1"/>
    <col min="518" max="518" width="9.6328125" style="8" customWidth="1"/>
    <col min="519" max="519" width="27.90625" style="8" customWidth="1"/>
    <col min="520" max="768" width="8.7265625" style="8"/>
    <col min="769" max="769" width="9.7265625" style="8" customWidth="1"/>
    <col min="770" max="770" width="10.6328125" style="8" customWidth="1"/>
    <col min="771" max="771" width="6.7265625" style="8" customWidth="1"/>
    <col min="772" max="772" width="13" style="8" customWidth="1"/>
    <col min="773" max="773" width="6.26953125" style="8" customWidth="1"/>
    <col min="774" max="774" width="9.6328125" style="8" customWidth="1"/>
    <col min="775" max="775" width="27.90625" style="8" customWidth="1"/>
    <col min="776" max="1024" width="8.7265625" style="8"/>
    <col min="1025" max="1025" width="9.7265625" style="8" customWidth="1"/>
    <col min="1026" max="1026" width="10.6328125" style="8" customWidth="1"/>
    <col min="1027" max="1027" width="6.7265625" style="8" customWidth="1"/>
    <col min="1028" max="1028" width="13" style="8" customWidth="1"/>
    <col min="1029" max="1029" width="6.26953125" style="8" customWidth="1"/>
    <col min="1030" max="1030" width="9.6328125" style="8" customWidth="1"/>
    <col min="1031" max="1031" width="27.90625" style="8" customWidth="1"/>
    <col min="1032" max="1280" width="8.7265625" style="8"/>
    <col min="1281" max="1281" width="9.7265625" style="8" customWidth="1"/>
    <col min="1282" max="1282" width="10.6328125" style="8" customWidth="1"/>
    <col min="1283" max="1283" width="6.7265625" style="8" customWidth="1"/>
    <col min="1284" max="1284" width="13" style="8" customWidth="1"/>
    <col min="1285" max="1285" width="6.26953125" style="8" customWidth="1"/>
    <col min="1286" max="1286" width="9.6328125" style="8" customWidth="1"/>
    <col min="1287" max="1287" width="27.90625" style="8" customWidth="1"/>
    <col min="1288" max="1536" width="8.7265625" style="8"/>
    <col min="1537" max="1537" width="9.7265625" style="8" customWidth="1"/>
    <col min="1538" max="1538" width="10.6328125" style="8" customWidth="1"/>
    <col min="1539" max="1539" width="6.7265625" style="8" customWidth="1"/>
    <col min="1540" max="1540" width="13" style="8" customWidth="1"/>
    <col min="1541" max="1541" width="6.26953125" style="8" customWidth="1"/>
    <col min="1542" max="1542" width="9.6328125" style="8" customWidth="1"/>
    <col min="1543" max="1543" width="27.90625" style="8" customWidth="1"/>
    <col min="1544" max="1792" width="8.7265625" style="8"/>
    <col min="1793" max="1793" width="9.7265625" style="8" customWidth="1"/>
    <col min="1794" max="1794" width="10.6328125" style="8" customWidth="1"/>
    <col min="1795" max="1795" width="6.7265625" style="8" customWidth="1"/>
    <col min="1796" max="1796" width="13" style="8" customWidth="1"/>
    <col min="1797" max="1797" width="6.26953125" style="8" customWidth="1"/>
    <col min="1798" max="1798" width="9.6328125" style="8" customWidth="1"/>
    <col min="1799" max="1799" width="27.90625" style="8" customWidth="1"/>
    <col min="1800" max="2048" width="8.7265625" style="8"/>
    <col min="2049" max="2049" width="9.7265625" style="8" customWidth="1"/>
    <col min="2050" max="2050" width="10.6328125" style="8" customWidth="1"/>
    <col min="2051" max="2051" width="6.7265625" style="8" customWidth="1"/>
    <col min="2052" max="2052" width="13" style="8" customWidth="1"/>
    <col min="2053" max="2053" width="6.26953125" style="8" customWidth="1"/>
    <col min="2054" max="2054" width="9.6328125" style="8" customWidth="1"/>
    <col min="2055" max="2055" width="27.90625" style="8" customWidth="1"/>
    <col min="2056" max="2304" width="8.7265625" style="8"/>
    <col min="2305" max="2305" width="9.7265625" style="8" customWidth="1"/>
    <col min="2306" max="2306" width="10.6328125" style="8" customWidth="1"/>
    <col min="2307" max="2307" width="6.7265625" style="8" customWidth="1"/>
    <col min="2308" max="2308" width="13" style="8" customWidth="1"/>
    <col min="2309" max="2309" width="6.26953125" style="8" customWidth="1"/>
    <col min="2310" max="2310" width="9.6328125" style="8" customWidth="1"/>
    <col min="2311" max="2311" width="27.90625" style="8" customWidth="1"/>
    <col min="2312" max="2560" width="8.7265625" style="8"/>
    <col min="2561" max="2561" width="9.7265625" style="8" customWidth="1"/>
    <col min="2562" max="2562" width="10.6328125" style="8" customWidth="1"/>
    <col min="2563" max="2563" width="6.7265625" style="8" customWidth="1"/>
    <col min="2564" max="2564" width="13" style="8" customWidth="1"/>
    <col min="2565" max="2565" width="6.26953125" style="8" customWidth="1"/>
    <col min="2566" max="2566" width="9.6328125" style="8" customWidth="1"/>
    <col min="2567" max="2567" width="27.90625" style="8" customWidth="1"/>
    <col min="2568" max="2816" width="8.7265625" style="8"/>
    <col min="2817" max="2817" width="9.7265625" style="8" customWidth="1"/>
    <col min="2818" max="2818" width="10.6328125" style="8" customWidth="1"/>
    <col min="2819" max="2819" width="6.7265625" style="8" customWidth="1"/>
    <col min="2820" max="2820" width="13" style="8" customWidth="1"/>
    <col min="2821" max="2821" width="6.26953125" style="8" customWidth="1"/>
    <col min="2822" max="2822" width="9.6328125" style="8" customWidth="1"/>
    <col min="2823" max="2823" width="27.90625" style="8" customWidth="1"/>
    <col min="2824" max="3072" width="8.7265625" style="8"/>
    <col min="3073" max="3073" width="9.7265625" style="8" customWidth="1"/>
    <col min="3074" max="3074" width="10.6328125" style="8" customWidth="1"/>
    <col min="3075" max="3075" width="6.7265625" style="8" customWidth="1"/>
    <col min="3076" max="3076" width="13" style="8" customWidth="1"/>
    <col min="3077" max="3077" width="6.26953125" style="8" customWidth="1"/>
    <col min="3078" max="3078" width="9.6328125" style="8" customWidth="1"/>
    <col min="3079" max="3079" width="27.90625" style="8" customWidth="1"/>
    <col min="3080" max="3328" width="8.7265625" style="8"/>
    <col min="3329" max="3329" width="9.7265625" style="8" customWidth="1"/>
    <col min="3330" max="3330" width="10.6328125" style="8" customWidth="1"/>
    <col min="3331" max="3331" width="6.7265625" style="8" customWidth="1"/>
    <col min="3332" max="3332" width="13" style="8" customWidth="1"/>
    <col min="3333" max="3333" width="6.26953125" style="8" customWidth="1"/>
    <col min="3334" max="3334" width="9.6328125" style="8" customWidth="1"/>
    <col min="3335" max="3335" width="27.90625" style="8" customWidth="1"/>
    <col min="3336" max="3584" width="8.7265625" style="8"/>
    <col min="3585" max="3585" width="9.7265625" style="8" customWidth="1"/>
    <col min="3586" max="3586" width="10.6328125" style="8" customWidth="1"/>
    <col min="3587" max="3587" width="6.7265625" style="8" customWidth="1"/>
    <col min="3588" max="3588" width="13" style="8" customWidth="1"/>
    <col min="3589" max="3589" width="6.26953125" style="8" customWidth="1"/>
    <col min="3590" max="3590" width="9.6328125" style="8" customWidth="1"/>
    <col min="3591" max="3591" width="27.90625" style="8" customWidth="1"/>
    <col min="3592" max="3840" width="8.7265625" style="8"/>
    <col min="3841" max="3841" width="9.7265625" style="8" customWidth="1"/>
    <col min="3842" max="3842" width="10.6328125" style="8" customWidth="1"/>
    <col min="3843" max="3843" width="6.7265625" style="8" customWidth="1"/>
    <col min="3844" max="3844" width="13" style="8" customWidth="1"/>
    <col min="3845" max="3845" width="6.26953125" style="8" customWidth="1"/>
    <col min="3846" max="3846" width="9.6328125" style="8" customWidth="1"/>
    <col min="3847" max="3847" width="27.90625" style="8" customWidth="1"/>
    <col min="3848" max="4096" width="8.7265625" style="8"/>
    <col min="4097" max="4097" width="9.7265625" style="8" customWidth="1"/>
    <col min="4098" max="4098" width="10.6328125" style="8" customWidth="1"/>
    <col min="4099" max="4099" width="6.7265625" style="8" customWidth="1"/>
    <col min="4100" max="4100" width="13" style="8" customWidth="1"/>
    <col min="4101" max="4101" width="6.26953125" style="8" customWidth="1"/>
    <col min="4102" max="4102" width="9.6328125" style="8" customWidth="1"/>
    <col min="4103" max="4103" width="27.90625" style="8" customWidth="1"/>
    <col min="4104" max="4352" width="8.7265625" style="8"/>
    <col min="4353" max="4353" width="9.7265625" style="8" customWidth="1"/>
    <col min="4354" max="4354" width="10.6328125" style="8" customWidth="1"/>
    <col min="4355" max="4355" width="6.7265625" style="8" customWidth="1"/>
    <col min="4356" max="4356" width="13" style="8" customWidth="1"/>
    <col min="4357" max="4357" width="6.26953125" style="8" customWidth="1"/>
    <col min="4358" max="4358" width="9.6328125" style="8" customWidth="1"/>
    <col min="4359" max="4359" width="27.90625" style="8" customWidth="1"/>
    <col min="4360" max="4608" width="8.7265625" style="8"/>
    <col min="4609" max="4609" width="9.7265625" style="8" customWidth="1"/>
    <col min="4610" max="4610" width="10.6328125" style="8" customWidth="1"/>
    <col min="4611" max="4611" width="6.7265625" style="8" customWidth="1"/>
    <col min="4612" max="4612" width="13" style="8" customWidth="1"/>
    <col min="4613" max="4613" width="6.26953125" style="8" customWidth="1"/>
    <col min="4614" max="4614" width="9.6328125" style="8" customWidth="1"/>
    <col min="4615" max="4615" width="27.90625" style="8" customWidth="1"/>
    <col min="4616" max="4864" width="8.7265625" style="8"/>
    <col min="4865" max="4865" width="9.7265625" style="8" customWidth="1"/>
    <col min="4866" max="4866" width="10.6328125" style="8" customWidth="1"/>
    <col min="4867" max="4867" width="6.7265625" style="8" customWidth="1"/>
    <col min="4868" max="4868" width="13" style="8" customWidth="1"/>
    <col min="4869" max="4869" width="6.26953125" style="8" customWidth="1"/>
    <col min="4870" max="4870" width="9.6328125" style="8" customWidth="1"/>
    <col min="4871" max="4871" width="27.90625" style="8" customWidth="1"/>
    <col min="4872" max="5120" width="8.7265625" style="8"/>
    <col min="5121" max="5121" width="9.7265625" style="8" customWidth="1"/>
    <col min="5122" max="5122" width="10.6328125" style="8" customWidth="1"/>
    <col min="5123" max="5123" width="6.7265625" style="8" customWidth="1"/>
    <col min="5124" max="5124" width="13" style="8" customWidth="1"/>
    <col min="5125" max="5125" width="6.26953125" style="8" customWidth="1"/>
    <col min="5126" max="5126" width="9.6328125" style="8" customWidth="1"/>
    <col min="5127" max="5127" width="27.90625" style="8" customWidth="1"/>
    <col min="5128" max="5376" width="8.7265625" style="8"/>
    <col min="5377" max="5377" width="9.7265625" style="8" customWidth="1"/>
    <col min="5378" max="5378" width="10.6328125" style="8" customWidth="1"/>
    <col min="5379" max="5379" width="6.7265625" style="8" customWidth="1"/>
    <col min="5380" max="5380" width="13" style="8" customWidth="1"/>
    <col min="5381" max="5381" width="6.26953125" style="8" customWidth="1"/>
    <col min="5382" max="5382" width="9.6328125" style="8" customWidth="1"/>
    <col min="5383" max="5383" width="27.90625" style="8" customWidth="1"/>
    <col min="5384" max="5632" width="8.7265625" style="8"/>
    <col min="5633" max="5633" width="9.7265625" style="8" customWidth="1"/>
    <col min="5634" max="5634" width="10.6328125" style="8" customWidth="1"/>
    <col min="5635" max="5635" width="6.7265625" style="8" customWidth="1"/>
    <col min="5636" max="5636" width="13" style="8" customWidth="1"/>
    <col min="5637" max="5637" width="6.26953125" style="8" customWidth="1"/>
    <col min="5638" max="5638" width="9.6328125" style="8" customWidth="1"/>
    <col min="5639" max="5639" width="27.90625" style="8" customWidth="1"/>
    <col min="5640" max="5888" width="8.7265625" style="8"/>
    <col min="5889" max="5889" width="9.7265625" style="8" customWidth="1"/>
    <col min="5890" max="5890" width="10.6328125" style="8" customWidth="1"/>
    <col min="5891" max="5891" width="6.7265625" style="8" customWidth="1"/>
    <col min="5892" max="5892" width="13" style="8" customWidth="1"/>
    <col min="5893" max="5893" width="6.26953125" style="8" customWidth="1"/>
    <col min="5894" max="5894" width="9.6328125" style="8" customWidth="1"/>
    <col min="5895" max="5895" width="27.90625" style="8" customWidth="1"/>
    <col min="5896" max="6144" width="8.7265625" style="8"/>
    <col min="6145" max="6145" width="9.7265625" style="8" customWidth="1"/>
    <col min="6146" max="6146" width="10.6328125" style="8" customWidth="1"/>
    <col min="6147" max="6147" width="6.7265625" style="8" customWidth="1"/>
    <col min="6148" max="6148" width="13" style="8" customWidth="1"/>
    <col min="6149" max="6149" width="6.26953125" style="8" customWidth="1"/>
    <col min="6150" max="6150" width="9.6328125" style="8" customWidth="1"/>
    <col min="6151" max="6151" width="27.90625" style="8" customWidth="1"/>
    <col min="6152" max="6400" width="8.7265625" style="8"/>
    <col min="6401" max="6401" width="9.7265625" style="8" customWidth="1"/>
    <col min="6402" max="6402" width="10.6328125" style="8" customWidth="1"/>
    <col min="6403" max="6403" width="6.7265625" style="8" customWidth="1"/>
    <col min="6404" max="6404" width="13" style="8" customWidth="1"/>
    <col min="6405" max="6405" width="6.26953125" style="8" customWidth="1"/>
    <col min="6406" max="6406" width="9.6328125" style="8" customWidth="1"/>
    <col min="6407" max="6407" width="27.90625" style="8" customWidth="1"/>
    <col min="6408" max="6656" width="8.7265625" style="8"/>
    <col min="6657" max="6657" width="9.7265625" style="8" customWidth="1"/>
    <col min="6658" max="6658" width="10.6328125" style="8" customWidth="1"/>
    <col min="6659" max="6659" width="6.7265625" style="8" customWidth="1"/>
    <col min="6660" max="6660" width="13" style="8" customWidth="1"/>
    <col min="6661" max="6661" width="6.26953125" style="8" customWidth="1"/>
    <col min="6662" max="6662" width="9.6328125" style="8" customWidth="1"/>
    <col min="6663" max="6663" width="27.90625" style="8" customWidth="1"/>
    <col min="6664" max="6912" width="8.7265625" style="8"/>
    <col min="6913" max="6913" width="9.7265625" style="8" customWidth="1"/>
    <col min="6914" max="6914" width="10.6328125" style="8" customWidth="1"/>
    <col min="6915" max="6915" width="6.7265625" style="8" customWidth="1"/>
    <col min="6916" max="6916" width="13" style="8" customWidth="1"/>
    <col min="6917" max="6917" width="6.26953125" style="8" customWidth="1"/>
    <col min="6918" max="6918" width="9.6328125" style="8" customWidth="1"/>
    <col min="6919" max="6919" width="27.90625" style="8" customWidth="1"/>
    <col min="6920" max="7168" width="8.7265625" style="8"/>
    <col min="7169" max="7169" width="9.7265625" style="8" customWidth="1"/>
    <col min="7170" max="7170" width="10.6328125" style="8" customWidth="1"/>
    <col min="7171" max="7171" width="6.7265625" style="8" customWidth="1"/>
    <col min="7172" max="7172" width="13" style="8" customWidth="1"/>
    <col min="7173" max="7173" width="6.26953125" style="8" customWidth="1"/>
    <col min="7174" max="7174" width="9.6328125" style="8" customWidth="1"/>
    <col min="7175" max="7175" width="27.90625" style="8" customWidth="1"/>
    <col min="7176" max="7424" width="8.7265625" style="8"/>
    <col min="7425" max="7425" width="9.7265625" style="8" customWidth="1"/>
    <col min="7426" max="7426" width="10.6328125" style="8" customWidth="1"/>
    <col min="7427" max="7427" width="6.7265625" style="8" customWidth="1"/>
    <col min="7428" max="7428" width="13" style="8" customWidth="1"/>
    <col min="7429" max="7429" width="6.26953125" style="8" customWidth="1"/>
    <col min="7430" max="7430" width="9.6328125" style="8" customWidth="1"/>
    <col min="7431" max="7431" width="27.90625" style="8" customWidth="1"/>
    <col min="7432" max="7680" width="8.7265625" style="8"/>
    <col min="7681" max="7681" width="9.7265625" style="8" customWidth="1"/>
    <col min="7682" max="7682" width="10.6328125" style="8" customWidth="1"/>
    <col min="7683" max="7683" width="6.7265625" style="8" customWidth="1"/>
    <col min="7684" max="7684" width="13" style="8" customWidth="1"/>
    <col min="7685" max="7685" width="6.26953125" style="8" customWidth="1"/>
    <col min="7686" max="7686" width="9.6328125" style="8" customWidth="1"/>
    <col min="7687" max="7687" width="27.90625" style="8" customWidth="1"/>
    <col min="7688" max="7936" width="8.7265625" style="8"/>
    <col min="7937" max="7937" width="9.7265625" style="8" customWidth="1"/>
    <col min="7938" max="7938" width="10.6328125" style="8" customWidth="1"/>
    <col min="7939" max="7939" width="6.7265625" style="8" customWidth="1"/>
    <col min="7940" max="7940" width="13" style="8" customWidth="1"/>
    <col min="7941" max="7941" width="6.26953125" style="8" customWidth="1"/>
    <col min="7942" max="7942" width="9.6328125" style="8" customWidth="1"/>
    <col min="7943" max="7943" width="27.90625" style="8" customWidth="1"/>
    <col min="7944" max="8192" width="8.7265625" style="8"/>
    <col min="8193" max="8193" width="9.7265625" style="8" customWidth="1"/>
    <col min="8194" max="8194" width="10.6328125" style="8" customWidth="1"/>
    <col min="8195" max="8195" width="6.7265625" style="8" customWidth="1"/>
    <col min="8196" max="8196" width="13" style="8" customWidth="1"/>
    <col min="8197" max="8197" width="6.26953125" style="8" customWidth="1"/>
    <col min="8198" max="8198" width="9.6328125" style="8" customWidth="1"/>
    <col min="8199" max="8199" width="27.90625" style="8" customWidth="1"/>
    <col min="8200" max="8448" width="8.7265625" style="8"/>
    <col min="8449" max="8449" width="9.7265625" style="8" customWidth="1"/>
    <col min="8450" max="8450" width="10.6328125" style="8" customWidth="1"/>
    <col min="8451" max="8451" width="6.7265625" style="8" customWidth="1"/>
    <col min="8452" max="8452" width="13" style="8" customWidth="1"/>
    <col min="8453" max="8453" width="6.26953125" style="8" customWidth="1"/>
    <col min="8454" max="8454" width="9.6328125" style="8" customWidth="1"/>
    <col min="8455" max="8455" width="27.90625" style="8" customWidth="1"/>
    <col min="8456" max="8704" width="8.7265625" style="8"/>
    <col min="8705" max="8705" width="9.7265625" style="8" customWidth="1"/>
    <col min="8706" max="8706" width="10.6328125" style="8" customWidth="1"/>
    <col min="8707" max="8707" width="6.7265625" style="8" customWidth="1"/>
    <col min="8708" max="8708" width="13" style="8" customWidth="1"/>
    <col min="8709" max="8709" width="6.26953125" style="8" customWidth="1"/>
    <col min="8710" max="8710" width="9.6328125" style="8" customWidth="1"/>
    <col min="8711" max="8711" width="27.90625" style="8" customWidth="1"/>
    <col min="8712" max="8960" width="8.7265625" style="8"/>
    <col min="8961" max="8961" width="9.7265625" style="8" customWidth="1"/>
    <col min="8962" max="8962" width="10.6328125" style="8" customWidth="1"/>
    <col min="8963" max="8963" width="6.7265625" style="8" customWidth="1"/>
    <col min="8964" max="8964" width="13" style="8" customWidth="1"/>
    <col min="8965" max="8965" width="6.26953125" style="8" customWidth="1"/>
    <col min="8966" max="8966" width="9.6328125" style="8" customWidth="1"/>
    <col min="8967" max="8967" width="27.90625" style="8" customWidth="1"/>
    <col min="8968" max="9216" width="8.7265625" style="8"/>
    <col min="9217" max="9217" width="9.7265625" style="8" customWidth="1"/>
    <col min="9218" max="9218" width="10.6328125" style="8" customWidth="1"/>
    <col min="9219" max="9219" width="6.7265625" style="8" customWidth="1"/>
    <col min="9220" max="9220" width="13" style="8" customWidth="1"/>
    <col min="9221" max="9221" width="6.26953125" style="8" customWidth="1"/>
    <col min="9222" max="9222" width="9.6328125" style="8" customWidth="1"/>
    <col min="9223" max="9223" width="27.90625" style="8" customWidth="1"/>
    <col min="9224" max="9472" width="8.7265625" style="8"/>
    <col min="9473" max="9473" width="9.7265625" style="8" customWidth="1"/>
    <col min="9474" max="9474" width="10.6328125" style="8" customWidth="1"/>
    <col min="9475" max="9475" width="6.7265625" style="8" customWidth="1"/>
    <col min="9476" max="9476" width="13" style="8" customWidth="1"/>
    <col min="9477" max="9477" width="6.26953125" style="8" customWidth="1"/>
    <col min="9478" max="9478" width="9.6328125" style="8" customWidth="1"/>
    <col min="9479" max="9479" width="27.90625" style="8" customWidth="1"/>
    <col min="9480" max="9728" width="8.7265625" style="8"/>
    <col min="9729" max="9729" width="9.7265625" style="8" customWidth="1"/>
    <col min="9730" max="9730" width="10.6328125" style="8" customWidth="1"/>
    <col min="9731" max="9731" width="6.7265625" style="8" customWidth="1"/>
    <col min="9732" max="9732" width="13" style="8" customWidth="1"/>
    <col min="9733" max="9733" width="6.26953125" style="8" customWidth="1"/>
    <col min="9734" max="9734" width="9.6328125" style="8" customWidth="1"/>
    <col min="9735" max="9735" width="27.90625" style="8" customWidth="1"/>
    <col min="9736" max="9984" width="8.7265625" style="8"/>
    <col min="9985" max="9985" width="9.7265625" style="8" customWidth="1"/>
    <col min="9986" max="9986" width="10.6328125" style="8" customWidth="1"/>
    <col min="9987" max="9987" width="6.7265625" style="8" customWidth="1"/>
    <col min="9988" max="9988" width="13" style="8" customWidth="1"/>
    <col min="9989" max="9989" width="6.26953125" style="8" customWidth="1"/>
    <col min="9990" max="9990" width="9.6328125" style="8" customWidth="1"/>
    <col min="9991" max="9991" width="27.90625" style="8" customWidth="1"/>
    <col min="9992" max="10240" width="8.7265625" style="8"/>
    <col min="10241" max="10241" width="9.7265625" style="8" customWidth="1"/>
    <col min="10242" max="10242" width="10.6328125" style="8" customWidth="1"/>
    <col min="10243" max="10243" width="6.7265625" style="8" customWidth="1"/>
    <col min="10244" max="10244" width="13" style="8" customWidth="1"/>
    <col min="10245" max="10245" width="6.26953125" style="8" customWidth="1"/>
    <col min="10246" max="10246" width="9.6328125" style="8" customWidth="1"/>
    <col min="10247" max="10247" width="27.90625" style="8" customWidth="1"/>
    <col min="10248" max="10496" width="8.7265625" style="8"/>
    <col min="10497" max="10497" width="9.7265625" style="8" customWidth="1"/>
    <col min="10498" max="10498" width="10.6328125" style="8" customWidth="1"/>
    <col min="10499" max="10499" width="6.7265625" style="8" customWidth="1"/>
    <col min="10500" max="10500" width="13" style="8" customWidth="1"/>
    <col min="10501" max="10501" width="6.26953125" style="8" customWidth="1"/>
    <col min="10502" max="10502" width="9.6328125" style="8" customWidth="1"/>
    <col min="10503" max="10503" width="27.90625" style="8" customWidth="1"/>
    <col min="10504" max="10752" width="8.7265625" style="8"/>
    <col min="10753" max="10753" width="9.7265625" style="8" customWidth="1"/>
    <col min="10754" max="10754" width="10.6328125" style="8" customWidth="1"/>
    <col min="10755" max="10755" width="6.7265625" style="8" customWidth="1"/>
    <col min="10756" max="10756" width="13" style="8" customWidth="1"/>
    <col min="10757" max="10757" width="6.26953125" style="8" customWidth="1"/>
    <col min="10758" max="10758" width="9.6328125" style="8" customWidth="1"/>
    <col min="10759" max="10759" width="27.90625" style="8" customWidth="1"/>
    <col min="10760" max="11008" width="8.7265625" style="8"/>
    <col min="11009" max="11009" width="9.7265625" style="8" customWidth="1"/>
    <col min="11010" max="11010" width="10.6328125" style="8" customWidth="1"/>
    <col min="11011" max="11011" width="6.7265625" style="8" customWidth="1"/>
    <col min="11012" max="11012" width="13" style="8" customWidth="1"/>
    <col min="11013" max="11013" width="6.26953125" style="8" customWidth="1"/>
    <col min="11014" max="11014" width="9.6328125" style="8" customWidth="1"/>
    <col min="11015" max="11015" width="27.90625" style="8" customWidth="1"/>
    <col min="11016" max="11264" width="8.7265625" style="8"/>
    <col min="11265" max="11265" width="9.7265625" style="8" customWidth="1"/>
    <col min="11266" max="11266" width="10.6328125" style="8" customWidth="1"/>
    <col min="11267" max="11267" width="6.7265625" style="8" customWidth="1"/>
    <col min="11268" max="11268" width="13" style="8" customWidth="1"/>
    <col min="11269" max="11269" width="6.26953125" style="8" customWidth="1"/>
    <col min="11270" max="11270" width="9.6328125" style="8" customWidth="1"/>
    <col min="11271" max="11271" width="27.90625" style="8" customWidth="1"/>
    <col min="11272" max="11520" width="8.7265625" style="8"/>
    <col min="11521" max="11521" width="9.7265625" style="8" customWidth="1"/>
    <col min="11522" max="11522" width="10.6328125" style="8" customWidth="1"/>
    <col min="11523" max="11523" width="6.7265625" style="8" customWidth="1"/>
    <col min="11524" max="11524" width="13" style="8" customWidth="1"/>
    <col min="11525" max="11525" width="6.26953125" style="8" customWidth="1"/>
    <col min="11526" max="11526" width="9.6328125" style="8" customWidth="1"/>
    <col min="11527" max="11527" width="27.90625" style="8" customWidth="1"/>
    <col min="11528" max="11776" width="8.7265625" style="8"/>
    <col min="11777" max="11777" width="9.7265625" style="8" customWidth="1"/>
    <col min="11778" max="11778" width="10.6328125" style="8" customWidth="1"/>
    <col min="11779" max="11779" width="6.7265625" style="8" customWidth="1"/>
    <col min="11780" max="11780" width="13" style="8" customWidth="1"/>
    <col min="11781" max="11781" width="6.26953125" style="8" customWidth="1"/>
    <col min="11782" max="11782" width="9.6328125" style="8" customWidth="1"/>
    <col min="11783" max="11783" width="27.90625" style="8" customWidth="1"/>
    <col min="11784" max="12032" width="8.7265625" style="8"/>
    <col min="12033" max="12033" width="9.7265625" style="8" customWidth="1"/>
    <col min="12034" max="12034" width="10.6328125" style="8" customWidth="1"/>
    <col min="12035" max="12035" width="6.7265625" style="8" customWidth="1"/>
    <col min="12036" max="12036" width="13" style="8" customWidth="1"/>
    <col min="12037" max="12037" width="6.26953125" style="8" customWidth="1"/>
    <col min="12038" max="12038" width="9.6328125" style="8" customWidth="1"/>
    <col min="12039" max="12039" width="27.90625" style="8" customWidth="1"/>
    <col min="12040" max="12288" width="8.7265625" style="8"/>
    <col min="12289" max="12289" width="9.7265625" style="8" customWidth="1"/>
    <col min="12290" max="12290" width="10.6328125" style="8" customWidth="1"/>
    <col min="12291" max="12291" width="6.7265625" style="8" customWidth="1"/>
    <col min="12292" max="12292" width="13" style="8" customWidth="1"/>
    <col min="12293" max="12293" width="6.26953125" style="8" customWidth="1"/>
    <col min="12294" max="12294" width="9.6328125" style="8" customWidth="1"/>
    <col min="12295" max="12295" width="27.90625" style="8" customWidth="1"/>
    <col min="12296" max="12544" width="8.7265625" style="8"/>
    <col min="12545" max="12545" width="9.7265625" style="8" customWidth="1"/>
    <col min="12546" max="12546" width="10.6328125" style="8" customWidth="1"/>
    <col min="12547" max="12547" width="6.7265625" style="8" customWidth="1"/>
    <col min="12548" max="12548" width="13" style="8" customWidth="1"/>
    <col min="12549" max="12549" width="6.26953125" style="8" customWidth="1"/>
    <col min="12550" max="12550" width="9.6328125" style="8" customWidth="1"/>
    <col min="12551" max="12551" width="27.90625" style="8" customWidth="1"/>
    <col min="12552" max="12800" width="8.7265625" style="8"/>
    <col min="12801" max="12801" width="9.7265625" style="8" customWidth="1"/>
    <col min="12802" max="12802" width="10.6328125" style="8" customWidth="1"/>
    <col min="12803" max="12803" width="6.7265625" style="8" customWidth="1"/>
    <col min="12804" max="12804" width="13" style="8" customWidth="1"/>
    <col min="12805" max="12805" width="6.26953125" style="8" customWidth="1"/>
    <col min="12806" max="12806" width="9.6328125" style="8" customWidth="1"/>
    <col min="12807" max="12807" width="27.90625" style="8" customWidth="1"/>
    <col min="12808" max="13056" width="8.7265625" style="8"/>
    <col min="13057" max="13057" width="9.7265625" style="8" customWidth="1"/>
    <col min="13058" max="13058" width="10.6328125" style="8" customWidth="1"/>
    <col min="13059" max="13059" width="6.7265625" style="8" customWidth="1"/>
    <col min="13060" max="13060" width="13" style="8" customWidth="1"/>
    <col min="13061" max="13061" width="6.26953125" style="8" customWidth="1"/>
    <col min="13062" max="13062" width="9.6328125" style="8" customWidth="1"/>
    <col min="13063" max="13063" width="27.90625" style="8" customWidth="1"/>
    <col min="13064" max="13312" width="8.7265625" style="8"/>
    <col min="13313" max="13313" width="9.7265625" style="8" customWidth="1"/>
    <col min="13314" max="13314" width="10.6328125" style="8" customWidth="1"/>
    <col min="13315" max="13315" width="6.7265625" style="8" customWidth="1"/>
    <col min="13316" max="13316" width="13" style="8" customWidth="1"/>
    <col min="13317" max="13317" width="6.26953125" style="8" customWidth="1"/>
    <col min="13318" max="13318" width="9.6328125" style="8" customWidth="1"/>
    <col min="13319" max="13319" width="27.90625" style="8" customWidth="1"/>
    <col min="13320" max="13568" width="8.7265625" style="8"/>
    <col min="13569" max="13569" width="9.7265625" style="8" customWidth="1"/>
    <col min="13570" max="13570" width="10.6328125" style="8" customWidth="1"/>
    <col min="13571" max="13571" width="6.7265625" style="8" customWidth="1"/>
    <col min="13572" max="13572" width="13" style="8" customWidth="1"/>
    <col min="13573" max="13573" width="6.26953125" style="8" customWidth="1"/>
    <col min="13574" max="13574" width="9.6328125" style="8" customWidth="1"/>
    <col min="13575" max="13575" width="27.90625" style="8" customWidth="1"/>
    <col min="13576" max="13824" width="8.7265625" style="8"/>
    <col min="13825" max="13825" width="9.7265625" style="8" customWidth="1"/>
    <col min="13826" max="13826" width="10.6328125" style="8" customWidth="1"/>
    <col min="13827" max="13827" width="6.7265625" style="8" customWidth="1"/>
    <col min="13828" max="13828" width="13" style="8" customWidth="1"/>
    <col min="13829" max="13829" width="6.26953125" style="8" customWidth="1"/>
    <col min="13830" max="13830" width="9.6328125" style="8" customWidth="1"/>
    <col min="13831" max="13831" width="27.90625" style="8" customWidth="1"/>
    <col min="13832" max="14080" width="8.7265625" style="8"/>
    <col min="14081" max="14081" width="9.7265625" style="8" customWidth="1"/>
    <col min="14082" max="14082" width="10.6328125" style="8" customWidth="1"/>
    <col min="14083" max="14083" width="6.7265625" style="8" customWidth="1"/>
    <col min="14084" max="14084" width="13" style="8" customWidth="1"/>
    <col min="14085" max="14085" width="6.26953125" style="8" customWidth="1"/>
    <col min="14086" max="14086" width="9.6328125" style="8" customWidth="1"/>
    <col min="14087" max="14087" width="27.90625" style="8" customWidth="1"/>
    <col min="14088" max="14336" width="8.7265625" style="8"/>
    <col min="14337" max="14337" width="9.7265625" style="8" customWidth="1"/>
    <col min="14338" max="14338" width="10.6328125" style="8" customWidth="1"/>
    <col min="14339" max="14339" width="6.7265625" style="8" customWidth="1"/>
    <col min="14340" max="14340" width="13" style="8" customWidth="1"/>
    <col min="14341" max="14341" width="6.26953125" style="8" customWidth="1"/>
    <col min="14342" max="14342" width="9.6328125" style="8" customWidth="1"/>
    <col min="14343" max="14343" width="27.90625" style="8" customWidth="1"/>
    <col min="14344" max="14592" width="8.7265625" style="8"/>
    <col min="14593" max="14593" width="9.7265625" style="8" customWidth="1"/>
    <col min="14594" max="14594" width="10.6328125" style="8" customWidth="1"/>
    <col min="14595" max="14595" width="6.7265625" style="8" customWidth="1"/>
    <col min="14596" max="14596" width="13" style="8" customWidth="1"/>
    <col min="14597" max="14597" width="6.26953125" style="8" customWidth="1"/>
    <col min="14598" max="14598" width="9.6328125" style="8" customWidth="1"/>
    <col min="14599" max="14599" width="27.90625" style="8" customWidth="1"/>
    <col min="14600" max="14848" width="8.7265625" style="8"/>
    <col min="14849" max="14849" width="9.7265625" style="8" customWidth="1"/>
    <col min="14850" max="14850" width="10.6328125" style="8" customWidth="1"/>
    <col min="14851" max="14851" width="6.7265625" style="8" customWidth="1"/>
    <col min="14852" max="14852" width="13" style="8" customWidth="1"/>
    <col min="14853" max="14853" width="6.26953125" style="8" customWidth="1"/>
    <col min="14854" max="14854" width="9.6328125" style="8" customWidth="1"/>
    <col min="14855" max="14855" width="27.90625" style="8" customWidth="1"/>
    <col min="14856" max="15104" width="8.7265625" style="8"/>
    <col min="15105" max="15105" width="9.7265625" style="8" customWidth="1"/>
    <col min="15106" max="15106" width="10.6328125" style="8" customWidth="1"/>
    <col min="15107" max="15107" width="6.7265625" style="8" customWidth="1"/>
    <col min="15108" max="15108" width="13" style="8" customWidth="1"/>
    <col min="15109" max="15109" width="6.26953125" style="8" customWidth="1"/>
    <col min="15110" max="15110" width="9.6328125" style="8" customWidth="1"/>
    <col min="15111" max="15111" width="27.90625" style="8" customWidth="1"/>
    <col min="15112" max="15360" width="8.7265625" style="8"/>
    <col min="15361" max="15361" width="9.7265625" style="8" customWidth="1"/>
    <col min="15362" max="15362" width="10.6328125" style="8" customWidth="1"/>
    <col min="15363" max="15363" width="6.7265625" style="8" customWidth="1"/>
    <col min="15364" max="15364" width="13" style="8" customWidth="1"/>
    <col min="15365" max="15365" width="6.26953125" style="8" customWidth="1"/>
    <col min="15366" max="15366" width="9.6328125" style="8" customWidth="1"/>
    <col min="15367" max="15367" width="27.90625" style="8" customWidth="1"/>
    <col min="15368" max="15616" width="8.7265625" style="8"/>
    <col min="15617" max="15617" width="9.7265625" style="8" customWidth="1"/>
    <col min="15618" max="15618" width="10.6328125" style="8" customWidth="1"/>
    <col min="15619" max="15619" width="6.7265625" style="8" customWidth="1"/>
    <col min="15620" max="15620" width="13" style="8" customWidth="1"/>
    <col min="15621" max="15621" width="6.26953125" style="8" customWidth="1"/>
    <col min="15622" max="15622" width="9.6328125" style="8" customWidth="1"/>
    <col min="15623" max="15623" width="27.90625" style="8" customWidth="1"/>
    <col min="15624" max="15872" width="8.7265625" style="8"/>
    <col min="15873" max="15873" width="9.7265625" style="8" customWidth="1"/>
    <col min="15874" max="15874" width="10.6328125" style="8" customWidth="1"/>
    <col min="15875" max="15875" width="6.7265625" style="8" customWidth="1"/>
    <col min="15876" max="15876" width="13" style="8" customWidth="1"/>
    <col min="15877" max="15877" width="6.26953125" style="8" customWidth="1"/>
    <col min="15878" max="15878" width="9.6328125" style="8" customWidth="1"/>
    <col min="15879" max="15879" width="27.90625" style="8" customWidth="1"/>
    <col min="15880" max="16128" width="8.7265625" style="8"/>
    <col min="16129" max="16129" width="9.7265625" style="8" customWidth="1"/>
    <col min="16130" max="16130" width="10.6328125" style="8" customWidth="1"/>
    <col min="16131" max="16131" width="6.7265625" style="8" customWidth="1"/>
    <col min="16132" max="16132" width="13" style="8" customWidth="1"/>
    <col min="16133" max="16133" width="6.26953125" style="8" customWidth="1"/>
    <col min="16134" max="16134" width="9.6328125" style="8" customWidth="1"/>
    <col min="16135" max="16135" width="27.90625" style="8" customWidth="1"/>
    <col min="16136" max="16384" width="8.7265625" style="8"/>
  </cols>
  <sheetData>
    <row r="1" spans="1:20" s="2" customFormat="1" ht="12.75" customHeight="1" x14ac:dyDescent="0.25">
      <c r="A1" s="278" t="s">
        <v>11</v>
      </c>
      <c r="B1" s="279"/>
      <c r="C1" s="279"/>
      <c r="D1" s="279"/>
      <c r="E1" s="279"/>
      <c r="F1" s="279"/>
      <c r="G1" s="280"/>
    </row>
    <row r="2" spans="1:20" ht="12.75" customHeight="1" x14ac:dyDescent="0.25">
      <c r="A2" s="139" t="s">
        <v>12</v>
      </c>
      <c r="B2" s="6"/>
      <c r="C2" s="113"/>
      <c r="D2" s="11"/>
      <c r="E2" s="11"/>
      <c r="F2" s="6"/>
      <c r="G2" s="7" t="s">
        <v>246</v>
      </c>
      <c r="H2" s="140"/>
      <c r="I2" s="140"/>
      <c r="J2" s="140"/>
      <c r="K2" s="141"/>
      <c r="L2" s="141"/>
      <c r="M2" s="141"/>
      <c r="N2" s="140"/>
      <c r="O2" s="140"/>
      <c r="P2" s="140"/>
      <c r="Q2" s="140"/>
      <c r="R2" s="140"/>
      <c r="S2" s="140"/>
      <c r="T2" s="140"/>
    </row>
    <row r="3" spans="1:20" ht="12.75" customHeight="1" x14ac:dyDescent="0.3">
      <c r="A3" s="142" t="s">
        <v>247</v>
      </c>
      <c r="B3" s="107"/>
      <c r="C3" s="11"/>
      <c r="D3" s="11"/>
      <c r="E3" s="11"/>
      <c r="F3" s="281" t="s">
        <v>248</v>
      </c>
      <c r="G3" s="282"/>
      <c r="H3" s="143"/>
      <c r="I3" s="143"/>
      <c r="J3" s="143"/>
      <c r="K3" s="143"/>
      <c r="L3" s="143"/>
      <c r="M3" s="143"/>
      <c r="N3" s="143"/>
      <c r="O3" s="143"/>
      <c r="P3" s="143"/>
      <c r="Q3" s="143"/>
      <c r="R3" s="143"/>
      <c r="S3" s="143"/>
      <c r="T3" s="144"/>
    </row>
    <row r="4" spans="1:20" ht="12.75" customHeight="1" x14ac:dyDescent="0.3">
      <c r="A4" s="142" t="s">
        <v>249</v>
      </c>
      <c r="B4" s="107"/>
      <c r="C4" s="11"/>
      <c r="D4" s="11"/>
      <c r="E4" s="283" t="s">
        <v>250</v>
      </c>
      <c r="F4" s="283"/>
      <c r="G4" s="284"/>
      <c r="H4" s="143"/>
      <c r="I4" s="143"/>
      <c r="J4" s="143"/>
      <c r="K4" s="143"/>
      <c r="L4" s="143"/>
      <c r="M4" s="143"/>
      <c r="N4" s="143"/>
      <c r="O4" s="143"/>
      <c r="P4" s="143"/>
      <c r="Q4" s="143"/>
      <c r="R4" s="143"/>
      <c r="S4" s="143"/>
      <c r="T4" s="144"/>
    </row>
    <row r="5" spans="1:20" ht="12.05" customHeight="1" x14ac:dyDescent="0.3">
      <c r="A5" s="139" t="s">
        <v>251</v>
      </c>
      <c r="B5" s="107"/>
      <c r="C5" s="11"/>
      <c r="D5" s="11"/>
      <c r="E5" s="11"/>
      <c r="F5" s="11"/>
      <c r="G5" s="12"/>
      <c r="H5" s="143"/>
      <c r="I5" s="143"/>
      <c r="J5" s="143"/>
      <c r="K5" s="143"/>
      <c r="L5" s="143"/>
      <c r="M5" s="143"/>
      <c r="N5" s="143"/>
      <c r="O5" s="143"/>
      <c r="P5" s="143"/>
      <c r="Q5" s="143"/>
      <c r="R5" s="143"/>
      <c r="S5" s="143"/>
      <c r="T5" s="144"/>
    </row>
    <row r="6" spans="1:20" ht="12.75" customHeight="1" x14ac:dyDescent="0.3">
      <c r="A6" s="139" t="s">
        <v>252</v>
      </c>
      <c r="B6" s="107"/>
      <c r="C6" s="11"/>
      <c r="D6" s="11"/>
      <c r="E6" s="11"/>
      <c r="F6" s="11"/>
      <c r="G6" s="12"/>
      <c r="H6" s="143"/>
      <c r="I6" s="143"/>
      <c r="J6" s="143"/>
      <c r="K6" s="143"/>
      <c r="L6" s="143"/>
      <c r="M6" s="143"/>
      <c r="N6" s="143"/>
      <c r="O6" s="143"/>
      <c r="P6" s="143"/>
      <c r="Q6" s="143"/>
      <c r="R6" s="143"/>
      <c r="S6" s="143"/>
      <c r="T6" s="144"/>
    </row>
    <row r="7" spans="1:20" ht="12.75" customHeight="1" x14ac:dyDescent="0.3">
      <c r="A7" s="145"/>
      <c r="B7" s="146" t="s">
        <v>253</v>
      </c>
      <c r="C7" s="11"/>
      <c r="D7" s="11"/>
      <c r="E7" s="11"/>
      <c r="F7" s="11"/>
      <c r="G7" s="12"/>
      <c r="H7" s="143"/>
      <c r="I7" s="143"/>
      <c r="J7" s="143"/>
      <c r="K7" s="143"/>
      <c r="L7" s="143"/>
      <c r="M7" s="143"/>
      <c r="N7" s="143"/>
      <c r="O7" s="143"/>
      <c r="P7" s="143"/>
      <c r="Q7" s="143"/>
      <c r="R7" s="143"/>
      <c r="S7" s="143"/>
      <c r="T7" s="144"/>
    </row>
    <row r="8" spans="1:20" ht="12.75" customHeight="1" x14ac:dyDescent="0.3">
      <c r="A8" s="145"/>
      <c r="B8" s="146" t="s">
        <v>254</v>
      </c>
      <c r="C8" s="11"/>
      <c r="D8" s="11"/>
      <c r="E8" s="11"/>
      <c r="F8" s="11"/>
      <c r="G8" s="12"/>
      <c r="H8" s="143"/>
      <c r="I8" s="143"/>
      <c r="J8" s="143"/>
      <c r="K8" s="143"/>
      <c r="L8" s="143"/>
      <c r="M8" s="143"/>
      <c r="N8" s="143"/>
      <c r="O8" s="143"/>
      <c r="P8" s="143"/>
      <c r="Q8" s="143"/>
      <c r="R8" s="143"/>
      <c r="S8" s="143"/>
      <c r="T8" s="144"/>
    </row>
    <row r="9" spans="1:20" ht="12.75" customHeight="1" x14ac:dyDescent="0.3">
      <c r="A9" s="145"/>
      <c r="B9" s="146" t="s">
        <v>255</v>
      </c>
      <c r="C9" s="11"/>
      <c r="D9" s="11"/>
      <c r="E9" s="11"/>
      <c r="F9" s="11"/>
      <c r="G9" s="12"/>
      <c r="H9" s="143"/>
      <c r="I9" s="143"/>
      <c r="J9" s="143"/>
      <c r="K9" s="143"/>
      <c r="L9" s="143"/>
      <c r="M9" s="143"/>
      <c r="N9" s="143"/>
      <c r="O9" s="143"/>
      <c r="P9" s="143"/>
      <c r="Q9" s="143"/>
      <c r="R9" s="143"/>
      <c r="S9" s="143"/>
      <c r="T9" s="144"/>
    </row>
    <row r="10" spans="1:20" ht="12.75" customHeight="1" x14ac:dyDescent="0.3">
      <c r="A10" s="145"/>
      <c r="B10" s="146" t="s">
        <v>256</v>
      </c>
      <c r="C10" s="11"/>
      <c r="D10" s="11"/>
      <c r="E10" s="11"/>
      <c r="F10" s="11"/>
      <c r="G10" s="12"/>
      <c r="H10" s="143"/>
      <c r="I10" s="143"/>
      <c r="J10" s="143"/>
      <c r="K10" s="143"/>
      <c r="L10" s="143"/>
      <c r="M10" s="143"/>
      <c r="N10" s="143"/>
      <c r="O10" s="143"/>
      <c r="P10" s="143"/>
      <c r="Q10" s="143"/>
      <c r="R10" s="143"/>
      <c r="S10" s="143"/>
      <c r="T10" s="144"/>
    </row>
    <row r="11" spans="1:20" ht="15.55" x14ac:dyDescent="0.3">
      <c r="A11" s="147"/>
      <c r="B11" s="148" t="s">
        <v>257</v>
      </c>
      <c r="C11" s="15"/>
      <c r="D11" s="15"/>
      <c r="E11" s="15"/>
      <c r="F11" s="15"/>
      <c r="G11" s="16"/>
      <c r="H11" s="143"/>
      <c r="I11" s="143"/>
      <c r="J11" s="143"/>
      <c r="K11" s="143"/>
      <c r="L11" s="143"/>
      <c r="M11" s="143"/>
      <c r="N11" s="143"/>
      <c r="O11" s="143"/>
      <c r="P11" s="143"/>
      <c r="Q11" s="143"/>
      <c r="R11" s="143"/>
      <c r="S11" s="143"/>
      <c r="T11" s="144"/>
    </row>
    <row r="12" spans="1:20" ht="22.15" x14ac:dyDescent="0.3">
      <c r="A12" s="149" t="s">
        <v>258</v>
      </c>
      <c r="B12" s="150" t="s">
        <v>259</v>
      </c>
      <c r="C12" s="151" t="s">
        <v>260</v>
      </c>
      <c r="D12" s="151" t="s">
        <v>261</v>
      </c>
      <c r="E12" s="151" t="s">
        <v>224</v>
      </c>
      <c r="F12" s="150" t="s">
        <v>262</v>
      </c>
      <c r="G12" s="151" t="s">
        <v>25</v>
      </c>
      <c r="H12" s="143"/>
      <c r="I12" s="152"/>
      <c r="K12" s="143"/>
      <c r="L12" s="143"/>
      <c r="M12" s="143"/>
      <c r="N12" s="143"/>
      <c r="O12" s="143"/>
      <c r="Q12" s="143"/>
      <c r="R12" s="143"/>
      <c r="S12" s="143"/>
      <c r="T12" s="144"/>
    </row>
    <row r="13" spans="1:20" ht="14.95" customHeight="1" x14ac:dyDescent="0.3">
      <c r="A13" s="274"/>
      <c r="B13" s="153" t="s">
        <v>263</v>
      </c>
      <c r="C13" s="154"/>
      <c r="D13" s="153" t="s">
        <v>264</v>
      </c>
      <c r="E13" s="155"/>
      <c r="F13" s="277"/>
      <c r="G13" s="156"/>
      <c r="H13" s="157"/>
      <c r="I13" s="158"/>
      <c r="J13" s="157"/>
      <c r="K13" s="157"/>
      <c r="L13" s="157"/>
      <c r="M13" s="157"/>
      <c r="N13" s="157"/>
      <c r="O13" s="157"/>
      <c r="P13" s="157"/>
      <c r="Q13" s="157"/>
      <c r="R13" s="157"/>
      <c r="S13" s="157"/>
      <c r="T13" s="144"/>
    </row>
    <row r="14" spans="1:20" ht="14.95" customHeight="1" x14ac:dyDescent="0.3">
      <c r="A14" s="275"/>
      <c r="B14" s="153" t="s">
        <v>265</v>
      </c>
      <c r="C14" s="154"/>
      <c r="D14" s="153" t="s">
        <v>264</v>
      </c>
      <c r="E14" s="155"/>
      <c r="F14" s="277"/>
      <c r="G14" s="156"/>
      <c r="H14" s="157"/>
      <c r="I14" s="158"/>
      <c r="J14" s="157"/>
      <c r="K14" s="157"/>
      <c r="L14" s="157"/>
      <c r="M14" s="157"/>
      <c r="N14" s="157"/>
      <c r="O14" s="157"/>
      <c r="P14" s="157"/>
      <c r="Q14" s="157"/>
      <c r="R14" s="157"/>
      <c r="S14" s="157"/>
      <c r="T14" s="144"/>
    </row>
    <row r="15" spans="1:20" ht="14.95" customHeight="1" x14ac:dyDescent="0.3">
      <c r="A15" s="275"/>
      <c r="B15" s="153" t="s">
        <v>266</v>
      </c>
      <c r="C15" s="154"/>
      <c r="D15" s="153" t="s">
        <v>264</v>
      </c>
      <c r="E15" s="155"/>
      <c r="F15" s="277"/>
      <c r="G15" s="156"/>
      <c r="H15" s="157"/>
      <c r="I15" s="158"/>
      <c r="J15" s="157"/>
      <c r="K15" s="157"/>
      <c r="L15" s="157"/>
      <c r="M15" s="157"/>
      <c r="N15" s="157"/>
      <c r="O15" s="157"/>
      <c r="P15" s="157"/>
      <c r="Q15" s="157"/>
      <c r="R15" s="157"/>
      <c r="S15" s="157"/>
      <c r="T15" s="144"/>
    </row>
    <row r="16" spans="1:20" ht="14.95" customHeight="1" x14ac:dyDescent="0.3">
      <c r="A16" s="275"/>
      <c r="B16" s="153" t="s">
        <v>267</v>
      </c>
      <c r="C16" s="154"/>
      <c r="D16" s="153" t="s">
        <v>264</v>
      </c>
      <c r="E16" s="155"/>
      <c r="F16" s="277"/>
      <c r="G16" s="156"/>
      <c r="H16" s="157"/>
      <c r="I16" s="158"/>
      <c r="J16" s="157"/>
      <c r="K16" s="157"/>
      <c r="L16" s="157"/>
      <c r="M16" s="157"/>
      <c r="N16" s="157"/>
      <c r="O16" s="157"/>
      <c r="P16" s="157"/>
      <c r="Q16" s="157"/>
      <c r="R16" s="157"/>
      <c r="S16" s="157"/>
      <c r="T16" s="144"/>
    </row>
    <row r="17" spans="1:20" ht="14.3" customHeight="1" x14ac:dyDescent="0.3">
      <c r="A17" s="276"/>
      <c r="B17" s="153" t="s">
        <v>268</v>
      </c>
      <c r="C17" s="154"/>
      <c r="D17" s="153" t="s">
        <v>264</v>
      </c>
      <c r="E17" s="155"/>
      <c r="F17" s="277"/>
      <c r="G17" s="156"/>
      <c r="H17" s="157"/>
      <c r="I17" s="158"/>
      <c r="J17" s="157"/>
      <c r="K17" s="157"/>
      <c r="L17" s="157"/>
      <c r="M17" s="157"/>
      <c r="N17" s="157"/>
      <c r="O17" s="157"/>
      <c r="P17" s="157"/>
      <c r="Q17" s="157"/>
      <c r="R17" s="157"/>
      <c r="S17" s="157"/>
      <c r="T17" s="144"/>
    </row>
    <row r="18" spans="1:20" ht="12.75" customHeight="1" x14ac:dyDescent="0.25">
      <c r="A18" s="274"/>
      <c r="B18" s="153" t="s">
        <v>263</v>
      </c>
      <c r="C18" s="154"/>
      <c r="D18" s="153" t="s">
        <v>264</v>
      </c>
      <c r="E18" s="155"/>
      <c r="F18" s="277"/>
      <c r="G18" s="156"/>
    </row>
    <row r="19" spans="1:20" ht="12.75" customHeight="1" x14ac:dyDescent="0.25">
      <c r="A19" s="275"/>
      <c r="B19" s="153" t="s">
        <v>265</v>
      </c>
      <c r="C19" s="154"/>
      <c r="D19" s="153" t="s">
        <v>264</v>
      </c>
      <c r="E19" s="155"/>
      <c r="F19" s="277"/>
      <c r="G19" s="156"/>
    </row>
    <row r="20" spans="1:20" ht="12.75" customHeight="1" x14ac:dyDescent="0.25">
      <c r="A20" s="275"/>
      <c r="B20" s="153" t="s">
        <v>266</v>
      </c>
      <c r="C20" s="154"/>
      <c r="D20" s="153" t="s">
        <v>264</v>
      </c>
      <c r="E20" s="155"/>
      <c r="F20" s="277"/>
      <c r="G20" s="156"/>
    </row>
    <row r="21" spans="1:20" ht="12.75" customHeight="1" x14ac:dyDescent="0.25">
      <c r="A21" s="275"/>
      <c r="B21" s="153" t="s">
        <v>267</v>
      </c>
      <c r="C21" s="154"/>
      <c r="D21" s="153" t="s">
        <v>264</v>
      </c>
      <c r="E21" s="155"/>
      <c r="F21" s="277"/>
      <c r="G21" s="156"/>
    </row>
    <row r="22" spans="1:20" ht="12.75" customHeight="1" x14ac:dyDescent="0.25">
      <c r="A22" s="276"/>
      <c r="B22" s="153" t="s">
        <v>268</v>
      </c>
      <c r="C22" s="154"/>
      <c r="D22" s="153" t="s">
        <v>264</v>
      </c>
      <c r="E22" s="155"/>
      <c r="F22" s="277"/>
      <c r="G22" s="156"/>
    </row>
    <row r="23" spans="1:20" ht="12.75" customHeight="1" x14ac:dyDescent="0.25">
      <c r="A23" s="274"/>
      <c r="B23" s="153" t="s">
        <v>263</v>
      </c>
      <c r="C23" s="154"/>
      <c r="D23" s="153" t="s">
        <v>264</v>
      </c>
      <c r="E23" s="155"/>
      <c r="F23" s="277"/>
      <c r="G23" s="156"/>
    </row>
    <row r="24" spans="1:20" ht="12.75" customHeight="1" x14ac:dyDescent="0.25">
      <c r="A24" s="275"/>
      <c r="B24" s="153" t="s">
        <v>265</v>
      </c>
      <c r="C24" s="154"/>
      <c r="D24" s="153" t="s">
        <v>264</v>
      </c>
      <c r="E24" s="155"/>
      <c r="F24" s="277"/>
      <c r="G24" s="156"/>
    </row>
    <row r="25" spans="1:20" ht="12.75" customHeight="1" x14ac:dyDescent="0.25">
      <c r="A25" s="275"/>
      <c r="B25" s="153" t="s">
        <v>266</v>
      </c>
      <c r="C25" s="154"/>
      <c r="D25" s="153" t="s">
        <v>264</v>
      </c>
      <c r="E25" s="155"/>
      <c r="F25" s="277"/>
      <c r="G25" s="156"/>
    </row>
    <row r="26" spans="1:20" ht="12.75" customHeight="1" x14ac:dyDescent="0.25">
      <c r="A26" s="275"/>
      <c r="B26" s="153" t="s">
        <v>267</v>
      </c>
      <c r="C26" s="154"/>
      <c r="D26" s="153" t="s">
        <v>264</v>
      </c>
      <c r="E26" s="155"/>
      <c r="F26" s="277"/>
      <c r="G26" s="156"/>
    </row>
    <row r="27" spans="1:20" ht="12.75" customHeight="1" x14ac:dyDescent="0.25">
      <c r="A27" s="276"/>
      <c r="B27" s="153" t="s">
        <v>268</v>
      </c>
      <c r="C27" s="154"/>
      <c r="D27" s="153" t="s">
        <v>264</v>
      </c>
      <c r="E27" s="155"/>
      <c r="F27" s="277"/>
      <c r="G27" s="156"/>
    </row>
    <row r="28" spans="1:20" ht="12.75" customHeight="1" x14ac:dyDescent="0.25">
      <c r="A28" s="274"/>
      <c r="B28" s="153" t="s">
        <v>263</v>
      </c>
      <c r="C28" s="154"/>
      <c r="D28" s="153" t="s">
        <v>264</v>
      </c>
      <c r="E28" s="155"/>
      <c r="F28" s="277"/>
      <c r="G28" s="156"/>
    </row>
    <row r="29" spans="1:20" ht="12.75" customHeight="1" x14ac:dyDescent="0.25">
      <c r="A29" s="275"/>
      <c r="B29" s="153" t="s">
        <v>265</v>
      </c>
      <c r="C29" s="154"/>
      <c r="D29" s="153" t="s">
        <v>264</v>
      </c>
      <c r="E29" s="155"/>
      <c r="F29" s="277"/>
      <c r="G29" s="156"/>
    </row>
    <row r="30" spans="1:20" ht="12.75" customHeight="1" x14ac:dyDescent="0.25">
      <c r="A30" s="275"/>
      <c r="B30" s="153" t="s">
        <v>266</v>
      </c>
      <c r="C30" s="154"/>
      <c r="D30" s="153" t="s">
        <v>264</v>
      </c>
      <c r="E30" s="155"/>
      <c r="F30" s="277"/>
      <c r="G30" s="156"/>
    </row>
    <row r="31" spans="1:20" ht="12.75" customHeight="1" x14ac:dyDescent="0.25">
      <c r="A31" s="275"/>
      <c r="B31" s="153" t="s">
        <v>267</v>
      </c>
      <c r="C31" s="154"/>
      <c r="D31" s="153" t="s">
        <v>264</v>
      </c>
      <c r="E31" s="155"/>
      <c r="F31" s="277"/>
      <c r="G31" s="156"/>
    </row>
    <row r="32" spans="1:20" ht="12.75" customHeight="1" x14ac:dyDescent="0.25">
      <c r="A32" s="276"/>
      <c r="B32" s="153" t="s">
        <v>268</v>
      </c>
      <c r="C32" s="154"/>
      <c r="D32" s="153" t="s">
        <v>264</v>
      </c>
      <c r="E32" s="155"/>
      <c r="F32" s="277"/>
      <c r="G32" s="156"/>
    </row>
    <row r="33" spans="1:7" ht="12.75" customHeight="1" x14ac:dyDescent="0.25">
      <c r="A33" s="274"/>
      <c r="B33" s="153" t="s">
        <v>263</v>
      </c>
      <c r="C33" s="154"/>
      <c r="D33" s="153" t="s">
        <v>264</v>
      </c>
      <c r="E33" s="155"/>
      <c r="F33" s="277"/>
      <c r="G33" s="156"/>
    </row>
    <row r="34" spans="1:7" ht="12.75" customHeight="1" x14ac:dyDescent="0.25">
      <c r="A34" s="275"/>
      <c r="B34" s="153" t="s">
        <v>265</v>
      </c>
      <c r="C34" s="154"/>
      <c r="D34" s="153" t="s">
        <v>264</v>
      </c>
      <c r="E34" s="155"/>
      <c r="F34" s="277"/>
      <c r="G34" s="156"/>
    </row>
    <row r="35" spans="1:7" ht="12.75" customHeight="1" x14ac:dyDescent="0.25">
      <c r="A35" s="275"/>
      <c r="B35" s="153" t="s">
        <v>266</v>
      </c>
      <c r="C35" s="154"/>
      <c r="D35" s="153" t="s">
        <v>264</v>
      </c>
      <c r="E35" s="155"/>
      <c r="F35" s="277"/>
      <c r="G35" s="156"/>
    </row>
    <row r="36" spans="1:7" ht="12.75" customHeight="1" x14ac:dyDescent="0.25">
      <c r="A36" s="275"/>
      <c r="B36" s="153" t="s">
        <v>267</v>
      </c>
      <c r="C36" s="154"/>
      <c r="D36" s="153" t="s">
        <v>264</v>
      </c>
      <c r="E36" s="155"/>
      <c r="F36" s="277"/>
      <c r="G36" s="156"/>
    </row>
    <row r="37" spans="1:7" ht="12.75" customHeight="1" x14ac:dyDescent="0.25">
      <c r="A37" s="276"/>
      <c r="B37" s="153" t="s">
        <v>268</v>
      </c>
      <c r="C37" s="154"/>
      <c r="D37" s="153" t="s">
        <v>264</v>
      </c>
      <c r="E37" s="155"/>
      <c r="F37" s="277"/>
      <c r="G37" s="156"/>
    </row>
    <row r="38" spans="1:7" ht="12.75" customHeight="1" x14ac:dyDescent="0.25">
      <c r="A38" s="274"/>
      <c r="B38" s="153" t="s">
        <v>263</v>
      </c>
      <c r="C38" s="154"/>
      <c r="D38" s="153" t="s">
        <v>264</v>
      </c>
      <c r="E38" s="155"/>
      <c r="F38" s="277"/>
      <c r="G38" s="156"/>
    </row>
    <row r="39" spans="1:7" ht="12.75" customHeight="1" x14ac:dyDescent="0.25">
      <c r="A39" s="275"/>
      <c r="B39" s="153" t="s">
        <v>265</v>
      </c>
      <c r="C39" s="154"/>
      <c r="D39" s="153" t="s">
        <v>264</v>
      </c>
      <c r="E39" s="155"/>
      <c r="F39" s="277"/>
      <c r="G39" s="156"/>
    </row>
    <row r="40" spans="1:7" ht="12.75" customHeight="1" x14ac:dyDescent="0.25">
      <c r="A40" s="275"/>
      <c r="B40" s="153" t="s">
        <v>266</v>
      </c>
      <c r="C40" s="154"/>
      <c r="D40" s="153" t="s">
        <v>264</v>
      </c>
      <c r="E40" s="155"/>
      <c r="F40" s="277"/>
      <c r="G40" s="156"/>
    </row>
    <row r="41" spans="1:7" ht="12.75" customHeight="1" x14ac:dyDescent="0.25">
      <c r="A41" s="275"/>
      <c r="B41" s="153" t="s">
        <v>267</v>
      </c>
      <c r="C41" s="154"/>
      <c r="D41" s="153" t="s">
        <v>264</v>
      </c>
      <c r="E41" s="155"/>
      <c r="F41" s="277"/>
      <c r="G41" s="156"/>
    </row>
    <row r="42" spans="1:7" ht="12.75" customHeight="1" x14ac:dyDescent="0.25">
      <c r="A42" s="276"/>
      <c r="B42" s="153" t="s">
        <v>268</v>
      </c>
      <c r="C42" s="154"/>
      <c r="D42" s="153" t="s">
        <v>264</v>
      </c>
      <c r="E42" s="155"/>
      <c r="F42" s="277"/>
      <c r="G42" s="156"/>
    </row>
    <row r="43" spans="1:7" ht="12.75" customHeight="1" x14ac:dyDescent="0.25">
      <c r="A43" s="274"/>
      <c r="B43" s="153" t="s">
        <v>263</v>
      </c>
      <c r="C43" s="154"/>
      <c r="D43" s="153" t="s">
        <v>264</v>
      </c>
      <c r="E43" s="155"/>
      <c r="F43" s="277"/>
      <c r="G43" s="156"/>
    </row>
    <row r="44" spans="1:7" ht="12.75" customHeight="1" x14ac:dyDescent="0.25">
      <c r="A44" s="275"/>
      <c r="B44" s="153" t="s">
        <v>265</v>
      </c>
      <c r="C44" s="154"/>
      <c r="D44" s="153" t="s">
        <v>264</v>
      </c>
      <c r="E44" s="155"/>
      <c r="F44" s="277"/>
      <c r="G44" s="156"/>
    </row>
    <row r="45" spans="1:7" ht="12.75" customHeight="1" x14ac:dyDescent="0.25">
      <c r="A45" s="275"/>
      <c r="B45" s="153" t="s">
        <v>266</v>
      </c>
      <c r="C45" s="154"/>
      <c r="D45" s="153" t="s">
        <v>264</v>
      </c>
      <c r="E45" s="155"/>
      <c r="F45" s="277"/>
      <c r="G45" s="156"/>
    </row>
    <row r="46" spans="1:7" ht="12.75" customHeight="1" x14ac:dyDescent="0.25">
      <c r="A46" s="275"/>
      <c r="B46" s="153" t="s">
        <v>267</v>
      </c>
      <c r="C46" s="154"/>
      <c r="D46" s="153" t="s">
        <v>264</v>
      </c>
      <c r="E46" s="155"/>
      <c r="F46" s="277"/>
      <c r="G46" s="156"/>
    </row>
    <row r="47" spans="1:7" ht="12.75" customHeight="1" x14ac:dyDescent="0.25">
      <c r="A47" s="276"/>
      <c r="B47" s="153" t="s">
        <v>268</v>
      </c>
      <c r="C47" s="154"/>
      <c r="D47" s="153" t="s">
        <v>264</v>
      </c>
      <c r="E47" s="155"/>
      <c r="F47" s="277"/>
      <c r="G47" s="156"/>
    </row>
    <row r="48" spans="1:7" ht="12.75" customHeight="1" x14ac:dyDescent="0.25">
      <c r="A48" s="274"/>
      <c r="B48" s="153" t="s">
        <v>263</v>
      </c>
      <c r="C48" s="154"/>
      <c r="D48" s="153" t="s">
        <v>264</v>
      </c>
      <c r="E48" s="155"/>
      <c r="F48" s="277"/>
      <c r="G48" s="156"/>
    </row>
    <row r="49" spans="1:7" ht="12.75" customHeight="1" x14ac:dyDescent="0.25">
      <c r="A49" s="275"/>
      <c r="B49" s="153" t="s">
        <v>265</v>
      </c>
      <c r="C49" s="154"/>
      <c r="D49" s="153" t="s">
        <v>264</v>
      </c>
      <c r="E49" s="155"/>
      <c r="F49" s="277"/>
      <c r="G49" s="156"/>
    </row>
    <row r="50" spans="1:7" ht="12.75" customHeight="1" x14ac:dyDescent="0.25">
      <c r="A50" s="275"/>
      <c r="B50" s="153" t="s">
        <v>266</v>
      </c>
      <c r="C50" s="154"/>
      <c r="D50" s="153" t="s">
        <v>264</v>
      </c>
      <c r="E50" s="155"/>
      <c r="F50" s="277"/>
      <c r="G50" s="156"/>
    </row>
    <row r="51" spans="1:7" ht="12.75" customHeight="1" x14ac:dyDescent="0.25">
      <c r="A51" s="275"/>
      <c r="B51" s="153" t="s">
        <v>267</v>
      </c>
      <c r="C51" s="154"/>
      <c r="D51" s="153" t="s">
        <v>264</v>
      </c>
      <c r="E51" s="155"/>
      <c r="F51" s="277"/>
      <c r="G51" s="156"/>
    </row>
    <row r="52" spans="1:7" ht="12.75" customHeight="1" x14ac:dyDescent="0.25">
      <c r="A52" s="276"/>
      <c r="B52" s="153" t="s">
        <v>268</v>
      </c>
      <c r="C52" s="154"/>
      <c r="D52" s="153" t="s">
        <v>264</v>
      </c>
      <c r="E52" s="155"/>
      <c r="F52" s="277"/>
      <c r="G52" s="156"/>
    </row>
  </sheetData>
  <mergeCells count="18">
    <mergeCell ref="A18:A22"/>
    <mergeCell ref="F18:F23"/>
    <mergeCell ref="A23:A27"/>
    <mergeCell ref="F24:F29"/>
    <mergeCell ref="A28:A32"/>
    <mergeCell ref="A1:G1"/>
    <mergeCell ref="F3:G3"/>
    <mergeCell ref="E4:G4"/>
    <mergeCell ref="A13:A17"/>
    <mergeCell ref="F13:F17"/>
    <mergeCell ref="A48:A52"/>
    <mergeCell ref="F48:F52"/>
    <mergeCell ref="F30:F35"/>
    <mergeCell ref="A33:A37"/>
    <mergeCell ref="F36:F41"/>
    <mergeCell ref="A38:A42"/>
    <mergeCell ref="F42:F47"/>
    <mergeCell ref="A43:A47"/>
  </mergeCells>
  <pageMargins left="0.74869791666666663" right="0.7" top="0.99826388888888884" bottom="0.71614583333333337" header="0.3" footer="0.3"/>
  <pageSetup scale="92" orientation="portrait" horizontalDpi="300" verticalDpi="300" r:id="rId1"/>
  <headerFooter>
    <oddFooter>&amp;LSCL/VFD/WETECH/________</oddFooter>
  </headerFooter>
  <colBreaks count="1" manualBreakCount="1">
    <brk id="7"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360"/>
  <sheetViews>
    <sheetView zoomScale="85" zoomScaleNormal="85" zoomScaleSheetLayoutView="100" workbookViewId="0">
      <pane ySplit="9" topLeftCell="A181" activePane="bottomLeft" state="frozen"/>
      <selection pane="bottomLeft" activeCell="I190" sqref="I190:I191"/>
    </sheetView>
  </sheetViews>
  <sheetFormatPr defaultRowHeight="12.75" customHeight="1" x14ac:dyDescent="0.25"/>
  <cols>
    <col min="1" max="1" width="11.7265625" style="38" customWidth="1"/>
    <col min="2" max="2" width="8.453125" style="26" customWidth="1"/>
    <col min="3" max="3" width="7.08984375" style="26" customWidth="1"/>
    <col min="4" max="4" width="7.36328125" style="26" customWidth="1"/>
    <col min="5" max="5" width="7.08984375" style="26" customWidth="1"/>
    <col min="6" max="6" width="5.453125" style="26" customWidth="1"/>
    <col min="7" max="7" width="9.7265625" style="26" customWidth="1"/>
    <col min="8" max="8" width="9.08984375" style="26" bestFit="1" customWidth="1"/>
    <col min="9" max="9" width="46.7265625" style="8" bestFit="1" customWidth="1"/>
    <col min="10" max="10" width="17.6328125" style="8" customWidth="1"/>
    <col min="11" max="256" width="8.7265625" style="8"/>
    <col min="257" max="257" width="11.7265625" style="8" customWidth="1"/>
    <col min="258" max="258" width="8.453125" style="8" customWidth="1"/>
    <col min="259" max="259" width="7.08984375" style="8" customWidth="1"/>
    <col min="260" max="260" width="7.36328125" style="8" customWidth="1"/>
    <col min="261" max="262" width="5.453125" style="8" customWidth="1"/>
    <col min="263" max="263" width="9.7265625" style="8" customWidth="1"/>
    <col min="264" max="264" width="9.08984375" style="8" bestFit="1" customWidth="1"/>
    <col min="265" max="265" width="46.7265625" style="8" bestFit="1" customWidth="1"/>
    <col min="266" max="266" width="17.6328125" style="8" customWidth="1"/>
    <col min="267" max="512" width="8.7265625" style="8"/>
    <col min="513" max="513" width="11.7265625" style="8" customWidth="1"/>
    <col min="514" max="514" width="8.453125" style="8" customWidth="1"/>
    <col min="515" max="515" width="7.08984375" style="8" customWidth="1"/>
    <col min="516" max="516" width="7.36328125" style="8" customWidth="1"/>
    <col min="517" max="518" width="5.453125" style="8" customWidth="1"/>
    <col min="519" max="519" width="9.7265625" style="8" customWidth="1"/>
    <col min="520" max="520" width="9.08984375" style="8" bestFit="1" customWidth="1"/>
    <col min="521" max="521" width="46.7265625" style="8" bestFit="1" customWidth="1"/>
    <col min="522" max="522" width="17.6328125" style="8" customWidth="1"/>
    <col min="523" max="768" width="8.7265625" style="8"/>
    <col min="769" max="769" width="11.7265625" style="8" customWidth="1"/>
    <col min="770" max="770" width="8.453125" style="8" customWidth="1"/>
    <col min="771" max="771" width="7.08984375" style="8" customWidth="1"/>
    <col min="772" max="772" width="7.36328125" style="8" customWidth="1"/>
    <col min="773" max="774" width="5.453125" style="8" customWidth="1"/>
    <col min="775" max="775" width="9.7265625" style="8" customWidth="1"/>
    <col min="776" max="776" width="9.08984375" style="8" bestFit="1" customWidth="1"/>
    <col min="777" max="777" width="46.7265625" style="8" bestFit="1" customWidth="1"/>
    <col min="778" max="778" width="17.6328125" style="8" customWidth="1"/>
    <col min="779" max="1024" width="8.7265625" style="8"/>
    <col min="1025" max="1025" width="11.7265625" style="8" customWidth="1"/>
    <col min="1026" max="1026" width="8.453125" style="8" customWidth="1"/>
    <col min="1027" max="1027" width="7.08984375" style="8" customWidth="1"/>
    <col min="1028" max="1028" width="7.36328125" style="8" customWidth="1"/>
    <col min="1029" max="1030" width="5.453125" style="8" customWidth="1"/>
    <col min="1031" max="1031" width="9.7265625" style="8" customWidth="1"/>
    <col min="1032" max="1032" width="9.08984375" style="8" bestFit="1" customWidth="1"/>
    <col min="1033" max="1033" width="46.7265625" style="8" bestFit="1" customWidth="1"/>
    <col min="1034" max="1034" width="17.6328125" style="8" customWidth="1"/>
    <col min="1035" max="1280" width="8.7265625" style="8"/>
    <col min="1281" max="1281" width="11.7265625" style="8" customWidth="1"/>
    <col min="1282" max="1282" width="8.453125" style="8" customWidth="1"/>
    <col min="1283" max="1283" width="7.08984375" style="8" customWidth="1"/>
    <col min="1284" max="1284" width="7.36328125" style="8" customWidth="1"/>
    <col min="1285" max="1286" width="5.453125" style="8" customWidth="1"/>
    <col min="1287" max="1287" width="9.7265625" style="8" customWidth="1"/>
    <col min="1288" max="1288" width="9.08984375" style="8" bestFit="1" customWidth="1"/>
    <col min="1289" max="1289" width="46.7265625" style="8" bestFit="1" customWidth="1"/>
    <col min="1290" max="1290" width="17.6328125" style="8" customWidth="1"/>
    <col min="1291" max="1536" width="8.7265625" style="8"/>
    <col min="1537" max="1537" width="11.7265625" style="8" customWidth="1"/>
    <col min="1538" max="1538" width="8.453125" style="8" customWidth="1"/>
    <col min="1539" max="1539" width="7.08984375" style="8" customWidth="1"/>
    <col min="1540" max="1540" width="7.36328125" style="8" customWidth="1"/>
    <col min="1541" max="1542" width="5.453125" style="8" customWidth="1"/>
    <col min="1543" max="1543" width="9.7265625" style="8" customWidth="1"/>
    <col min="1544" max="1544" width="9.08984375" style="8" bestFit="1" customWidth="1"/>
    <col min="1545" max="1545" width="46.7265625" style="8" bestFit="1" customWidth="1"/>
    <col min="1546" max="1546" width="17.6328125" style="8" customWidth="1"/>
    <col min="1547" max="1792" width="8.7265625" style="8"/>
    <col min="1793" max="1793" width="11.7265625" style="8" customWidth="1"/>
    <col min="1794" max="1794" width="8.453125" style="8" customWidth="1"/>
    <col min="1795" max="1795" width="7.08984375" style="8" customWidth="1"/>
    <col min="1796" max="1796" width="7.36328125" style="8" customWidth="1"/>
    <col min="1797" max="1798" width="5.453125" style="8" customWidth="1"/>
    <col min="1799" max="1799" width="9.7265625" style="8" customWidth="1"/>
    <col min="1800" max="1800" width="9.08984375" style="8" bestFit="1" customWidth="1"/>
    <col min="1801" max="1801" width="46.7265625" style="8" bestFit="1" customWidth="1"/>
    <col min="1802" max="1802" width="17.6328125" style="8" customWidth="1"/>
    <col min="1803" max="2048" width="8.7265625" style="8"/>
    <col min="2049" max="2049" width="11.7265625" style="8" customWidth="1"/>
    <col min="2050" max="2050" width="8.453125" style="8" customWidth="1"/>
    <col min="2051" max="2051" width="7.08984375" style="8" customWidth="1"/>
    <col min="2052" max="2052" width="7.36328125" style="8" customWidth="1"/>
    <col min="2053" max="2054" width="5.453125" style="8" customWidth="1"/>
    <col min="2055" max="2055" width="9.7265625" style="8" customWidth="1"/>
    <col min="2056" max="2056" width="9.08984375" style="8" bestFit="1" customWidth="1"/>
    <col min="2057" max="2057" width="46.7265625" style="8" bestFit="1" customWidth="1"/>
    <col min="2058" max="2058" width="17.6328125" style="8" customWidth="1"/>
    <col min="2059" max="2304" width="8.7265625" style="8"/>
    <col min="2305" max="2305" width="11.7265625" style="8" customWidth="1"/>
    <col min="2306" max="2306" width="8.453125" style="8" customWidth="1"/>
    <col min="2307" max="2307" width="7.08984375" style="8" customWidth="1"/>
    <col min="2308" max="2308" width="7.36328125" style="8" customWidth="1"/>
    <col min="2309" max="2310" width="5.453125" style="8" customWidth="1"/>
    <col min="2311" max="2311" width="9.7265625" style="8" customWidth="1"/>
    <col min="2312" max="2312" width="9.08984375" style="8" bestFit="1" customWidth="1"/>
    <col min="2313" max="2313" width="46.7265625" style="8" bestFit="1" customWidth="1"/>
    <col min="2314" max="2314" width="17.6328125" style="8" customWidth="1"/>
    <col min="2315" max="2560" width="8.7265625" style="8"/>
    <col min="2561" max="2561" width="11.7265625" style="8" customWidth="1"/>
    <col min="2562" max="2562" width="8.453125" style="8" customWidth="1"/>
    <col min="2563" max="2563" width="7.08984375" style="8" customWidth="1"/>
    <col min="2564" max="2564" width="7.36328125" style="8" customWidth="1"/>
    <col min="2565" max="2566" width="5.453125" style="8" customWidth="1"/>
    <col min="2567" max="2567" width="9.7265625" style="8" customWidth="1"/>
    <col min="2568" max="2568" width="9.08984375" style="8" bestFit="1" customWidth="1"/>
    <col min="2569" max="2569" width="46.7265625" style="8" bestFit="1" customWidth="1"/>
    <col min="2570" max="2570" width="17.6328125" style="8" customWidth="1"/>
    <col min="2571" max="2816" width="8.7265625" style="8"/>
    <col min="2817" max="2817" width="11.7265625" style="8" customWidth="1"/>
    <col min="2818" max="2818" width="8.453125" style="8" customWidth="1"/>
    <col min="2819" max="2819" width="7.08984375" style="8" customWidth="1"/>
    <col min="2820" max="2820" width="7.36328125" style="8" customWidth="1"/>
    <col min="2821" max="2822" width="5.453125" style="8" customWidth="1"/>
    <col min="2823" max="2823" width="9.7265625" style="8" customWidth="1"/>
    <col min="2824" max="2824" width="9.08984375" style="8" bestFit="1" customWidth="1"/>
    <col min="2825" max="2825" width="46.7265625" style="8" bestFit="1" customWidth="1"/>
    <col min="2826" max="2826" width="17.6328125" style="8" customWidth="1"/>
    <col min="2827" max="3072" width="8.7265625" style="8"/>
    <col min="3073" max="3073" width="11.7265625" style="8" customWidth="1"/>
    <col min="3074" max="3074" width="8.453125" style="8" customWidth="1"/>
    <col min="3075" max="3075" width="7.08984375" style="8" customWidth="1"/>
    <col min="3076" max="3076" width="7.36328125" style="8" customWidth="1"/>
    <col min="3077" max="3078" width="5.453125" style="8" customWidth="1"/>
    <col min="3079" max="3079" width="9.7265625" style="8" customWidth="1"/>
    <col min="3080" max="3080" width="9.08984375" style="8" bestFit="1" customWidth="1"/>
    <col min="3081" max="3081" width="46.7265625" style="8" bestFit="1" customWidth="1"/>
    <col min="3082" max="3082" width="17.6328125" style="8" customWidth="1"/>
    <col min="3083" max="3328" width="8.7265625" style="8"/>
    <col min="3329" max="3329" width="11.7265625" style="8" customWidth="1"/>
    <col min="3330" max="3330" width="8.453125" style="8" customWidth="1"/>
    <col min="3331" max="3331" width="7.08984375" style="8" customWidth="1"/>
    <col min="3332" max="3332" width="7.36328125" style="8" customWidth="1"/>
    <col min="3333" max="3334" width="5.453125" style="8" customWidth="1"/>
    <col min="3335" max="3335" width="9.7265625" style="8" customWidth="1"/>
    <col min="3336" max="3336" width="9.08984375" style="8" bestFit="1" customWidth="1"/>
    <col min="3337" max="3337" width="46.7265625" style="8" bestFit="1" customWidth="1"/>
    <col min="3338" max="3338" width="17.6328125" style="8" customWidth="1"/>
    <col min="3339" max="3584" width="8.7265625" style="8"/>
    <col min="3585" max="3585" width="11.7265625" style="8" customWidth="1"/>
    <col min="3586" max="3586" width="8.453125" style="8" customWidth="1"/>
    <col min="3587" max="3587" width="7.08984375" style="8" customWidth="1"/>
    <col min="3588" max="3588" width="7.36328125" style="8" customWidth="1"/>
    <col min="3589" max="3590" width="5.453125" style="8" customWidth="1"/>
    <col min="3591" max="3591" width="9.7265625" style="8" customWidth="1"/>
    <col min="3592" max="3592" width="9.08984375" style="8" bestFit="1" customWidth="1"/>
    <col min="3593" max="3593" width="46.7265625" style="8" bestFit="1" customWidth="1"/>
    <col min="3594" max="3594" width="17.6328125" style="8" customWidth="1"/>
    <col min="3595" max="3840" width="8.7265625" style="8"/>
    <col min="3841" max="3841" width="11.7265625" style="8" customWidth="1"/>
    <col min="3842" max="3842" width="8.453125" style="8" customWidth="1"/>
    <col min="3843" max="3843" width="7.08984375" style="8" customWidth="1"/>
    <col min="3844" max="3844" width="7.36328125" style="8" customWidth="1"/>
    <col min="3845" max="3846" width="5.453125" style="8" customWidth="1"/>
    <col min="3847" max="3847" width="9.7265625" style="8" customWidth="1"/>
    <col min="3848" max="3848" width="9.08984375" style="8" bestFit="1" customWidth="1"/>
    <col min="3849" max="3849" width="46.7265625" style="8" bestFit="1" customWidth="1"/>
    <col min="3850" max="3850" width="17.6328125" style="8" customWidth="1"/>
    <col min="3851" max="4096" width="8.7265625" style="8"/>
    <col min="4097" max="4097" width="11.7265625" style="8" customWidth="1"/>
    <col min="4098" max="4098" width="8.453125" style="8" customWidth="1"/>
    <col min="4099" max="4099" width="7.08984375" style="8" customWidth="1"/>
    <col min="4100" max="4100" width="7.36328125" style="8" customWidth="1"/>
    <col min="4101" max="4102" width="5.453125" style="8" customWidth="1"/>
    <col min="4103" max="4103" width="9.7265625" style="8" customWidth="1"/>
    <col min="4104" max="4104" width="9.08984375" style="8" bestFit="1" customWidth="1"/>
    <col min="4105" max="4105" width="46.7265625" style="8" bestFit="1" customWidth="1"/>
    <col min="4106" max="4106" width="17.6328125" style="8" customWidth="1"/>
    <col min="4107" max="4352" width="8.7265625" style="8"/>
    <col min="4353" max="4353" width="11.7265625" style="8" customWidth="1"/>
    <col min="4354" max="4354" width="8.453125" style="8" customWidth="1"/>
    <col min="4355" max="4355" width="7.08984375" style="8" customWidth="1"/>
    <col min="4356" max="4356" width="7.36328125" style="8" customWidth="1"/>
    <col min="4357" max="4358" width="5.453125" style="8" customWidth="1"/>
    <col min="4359" max="4359" width="9.7265625" style="8" customWidth="1"/>
    <col min="4360" max="4360" width="9.08984375" style="8" bestFit="1" customWidth="1"/>
    <col min="4361" max="4361" width="46.7265625" style="8" bestFit="1" customWidth="1"/>
    <col min="4362" max="4362" width="17.6328125" style="8" customWidth="1"/>
    <col min="4363" max="4608" width="8.7265625" style="8"/>
    <col min="4609" max="4609" width="11.7265625" style="8" customWidth="1"/>
    <col min="4610" max="4610" width="8.453125" style="8" customWidth="1"/>
    <col min="4611" max="4611" width="7.08984375" style="8" customWidth="1"/>
    <col min="4612" max="4612" width="7.36328125" style="8" customWidth="1"/>
    <col min="4613" max="4614" width="5.453125" style="8" customWidth="1"/>
    <col min="4615" max="4615" width="9.7265625" style="8" customWidth="1"/>
    <col min="4616" max="4616" width="9.08984375" style="8" bestFit="1" customWidth="1"/>
    <col min="4617" max="4617" width="46.7265625" style="8" bestFit="1" customWidth="1"/>
    <col min="4618" max="4618" width="17.6328125" style="8" customWidth="1"/>
    <col min="4619" max="4864" width="8.7265625" style="8"/>
    <col min="4865" max="4865" width="11.7265625" style="8" customWidth="1"/>
    <col min="4866" max="4866" width="8.453125" style="8" customWidth="1"/>
    <col min="4867" max="4867" width="7.08984375" style="8" customWidth="1"/>
    <col min="4868" max="4868" width="7.36328125" style="8" customWidth="1"/>
    <col min="4869" max="4870" width="5.453125" style="8" customWidth="1"/>
    <col min="4871" max="4871" width="9.7265625" style="8" customWidth="1"/>
    <col min="4872" max="4872" width="9.08984375" style="8" bestFit="1" customWidth="1"/>
    <col min="4873" max="4873" width="46.7265625" style="8" bestFit="1" customWidth="1"/>
    <col min="4874" max="4874" width="17.6328125" style="8" customWidth="1"/>
    <col min="4875" max="5120" width="8.7265625" style="8"/>
    <col min="5121" max="5121" width="11.7265625" style="8" customWidth="1"/>
    <col min="5122" max="5122" width="8.453125" style="8" customWidth="1"/>
    <col min="5123" max="5123" width="7.08984375" style="8" customWidth="1"/>
    <col min="5124" max="5124" width="7.36328125" style="8" customWidth="1"/>
    <col min="5125" max="5126" width="5.453125" style="8" customWidth="1"/>
    <col min="5127" max="5127" width="9.7265625" style="8" customWidth="1"/>
    <col min="5128" max="5128" width="9.08984375" style="8" bestFit="1" customWidth="1"/>
    <col min="5129" max="5129" width="46.7265625" style="8" bestFit="1" customWidth="1"/>
    <col min="5130" max="5130" width="17.6328125" style="8" customWidth="1"/>
    <col min="5131" max="5376" width="8.7265625" style="8"/>
    <col min="5377" max="5377" width="11.7265625" style="8" customWidth="1"/>
    <col min="5378" max="5378" width="8.453125" style="8" customWidth="1"/>
    <col min="5379" max="5379" width="7.08984375" style="8" customWidth="1"/>
    <col min="5380" max="5380" width="7.36328125" style="8" customWidth="1"/>
    <col min="5381" max="5382" width="5.453125" style="8" customWidth="1"/>
    <col min="5383" max="5383" width="9.7265625" style="8" customWidth="1"/>
    <col min="5384" max="5384" width="9.08984375" style="8" bestFit="1" customWidth="1"/>
    <col min="5385" max="5385" width="46.7265625" style="8" bestFit="1" customWidth="1"/>
    <col min="5386" max="5386" width="17.6328125" style="8" customWidth="1"/>
    <col min="5387" max="5632" width="8.7265625" style="8"/>
    <col min="5633" max="5633" width="11.7265625" style="8" customWidth="1"/>
    <col min="5634" max="5634" width="8.453125" style="8" customWidth="1"/>
    <col min="5635" max="5635" width="7.08984375" style="8" customWidth="1"/>
    <col min="5636" max="5636" width="7.36328125" style="8" customWidth="1"/>
    <col min="5637" max="5638" width="5.453125" style="8" customWidth="1"/>
    <col min="5639" max="5639" width="9.7265625" style="8" customWidth="1"/>
    <col min="5640" max="5640" width="9.08984375" style="8" bestFit="1" customWidth="1"/>
    <col min="5641" max="5641" width="46.7265625" style="8" bestFit="1" customWidth="1"/>
    <col min="5642" max="5642" width="17.6328125" style="8" customWidth="1"/>
    <col min="5643" max="5888" width="8.7265625" style="8"/>
    <col min="5889" max="5889" width="11.7265625" style="8" customWidth="1"/>
    <col min="5890" max="5890" width="8.453125" style="8" customWidth="1"/>
    <col min="5891" max="5891" width="7.08984375" style="8" customWidth="1"/>
    <col min="5892" max="5892" width="7.36328125" style="8" customWidth="1"/>
    <col min="5893" max="5894" width="5.453125" style="8" customWidth="1"/>
    <col min="5895" max="5895" width="9.7265625" style="8" customWidth="1"/>
    <col min="5896" max="5896" width="9.08984375" style="8" bestFit="1" customWidth="1"/>
    <col min="5897" max="5897" width="46.7265625" style="8" bestFit="1" customWidth="1"/>
    <col min="5898" max="5898" width="17.6328125" style="8" customWidth="1"/>
    <col min="5899" max="6144" width="8.7265625" style="8"/>
    <col min="6145" max="6145" width="11.7265625" style="8" customWidth="1"/>
    <col min="6146" max="6146" width="8.453125" style="8" customWidth="1"/>
    <col min="6147" max="6147" width="7.08984375" style="8" customWidth="1"/>
    <col min="6148" max="6148" width="7.36328125" style="8" customWidth="1"/>
    <col min="6149" max="6150" width="5.453125" style="8" customWidth="1"/>
    <col min="6151" max="6151" width="9.7265625" style="8" customWidth="1"/>
    <col min="6152" max="6152" width="9.08984375" style="8" bestFit="1" customWidth="1"/>
    <col min="6153" max="6153" width="46.7265625" style="8" bestFit="1" customWidth="1"/>
    <col min="6154" max="6154" width="17.6328125" style="8" customWidth="1"/>
    <col min="6155" max="6400" width="8.7265625" style="8"/>
    <col min="6401" max="6401" width="11.7265625" style="8" customWidth="1"/>
    <col min="6402" max="6402" width="8.453125" style="8" customWidth="1"/>
    <col min="6403" max="6403" width="7.08984375" style="8" customWidth="1"/>
    <col min="6404" max="6404" width="7.36328125" style="8" customWidth="1"/>
    <col min="6405" max="6406" width="5.453125" style="8" customWidth="1"/>
    <col min="6407" max="6407" width="9.7265625" style="8" customWidth="1"/>
    <col min="6408" max="6408" width="9.08984375" style="8" bestFit="1" customWidth="1"/>
    <col min="6409" max="6409" width="46.7265625" style="8" bestFit="1" customWidth="1"/>
    <col min="6410" max="6410" width="17.6328125" style="8" customWidth="1"/>
    <col min="6411" max="6656" width="8.7265625" style="8"/>
    <col min="6657" max="6657" width="11.7265625" style="8" customWidth="1"/>
    <col min="6658" max="6658" width="8.453125" style="8" customWidth="1"/>
    <col min="6659" max="6659" width="7.08984375" style="8" customWidth="1"/>
    <col min="6660" max="6660" width="7.36328125" style="8" customWidth="1"/>
    <col min="6661" max="6662" width="5.453125" style="8" customWidth="1"/>
    <col min="6663" max="6663" width="9.7265625" style="8" customWidth="1"/>
    <col min="6664" max="6664" width="9.08984375" style="8" bestFit="1" customWidth="1"/>
    <col min="6665" max="6665" width="46.7265625" style="8" bestFit="1" customWidth="1"/>
    <col min="6666" max="6666" width="17.6328125" style="8" customWidth="1"/>
    <col min="6667" max="6912" width="8.7265625" style="8"/>
    <col min="6913" max="6913" width="11.7265625" style="8" customWidth="1"/>
    <col min="6914" max="6914" width="8.453125" style="8" customWidth="1"/>
    <col min="6915" max="6915" width="7.08984375" style="8" customWidth="1"/>
    <col min="6916" max="6916" width="7.36328125" style="8" customWidth="1"/>
    <col min="6917" max="6918" width="5.453125" style="8" customWidth="1"/>
    <col min="6919" max="6919" width="9.7265625" style="8" customWidth="1"/>
    <col min="6920" max="6920" width="9.08984375" style="8" bestFit="1" customWidth="1"/>
    <col min="6921" max="6921" width="46.7265625" style="8" bestFit="1" customWidth="1"/>
    <col min="6922" max="6922" width="17.6328125" style="8" customWidth="1"/>
    <col min="6923" max="7168" width="8.7265625" style="8"/>
    <col min="7169" max="7169" width="11.7265625" style="8" customWidth="1"/>
    <col min="7170" max="7170" width="8.453125" style="8" customWidth="1"/>
    <col min="7171" max="7171" width="7.08984375" style="8" customWidth="1"/>
    <col min="7172" max="7172" width="7.36328125" style="8" customWidth="1"/>
    <col min="7173" max="7174" width="5.453125" style="8" customWidth="1"/>
    <col min="7175" max="7175" width="9.7265625" style="8" customWidth="1"/>
    <col min="7176" max="7176" width="9.08984375" style="8" bestFit="1" customWidth="1"/>
    <col min="7177" max="7177" width="46.7265625" style="8" bestFit="1" customWidth="1"/>
    <col min="7178" max="7178" width="17.6328125" style="8" customWidth="1"/>
    <col min="7179" max="7424" width="8.7265625" style="8"/>
    <col min="7425" max="7425" width="11.7265625" style="8" customWidth="1"/>
    <col min="7426" max="7426" width="8.453125" style="8" customWidth="1"/>
    <col min="7427" max="7427" width="7.08984375" style="8" customWidth="1"/>
    <col min="7428" max="7428" width="7.36328125" style="8" customWidth="1"/>
    <col min="7429" max="7430" width="5.453125" style="8" customWidth="1"/>
    <col min="7431" max="7431" width="9.7265625" style="8" customWidth="1"/>
    <col min="7432" max="7432" width="9.08984375" style="8" bestFit="1" customWidth="1"/>
    <col min="7433" max="7433" width="46.7265625" style="8" bestFit="1" customWidth="1"/>
    <col min="7434" max="7434" width="17.6328125" style="8" customWidth="1"/>
    <col min="7435" max="7680" width="8.7265625" style="8"/>
    <col min="7681" max="7681" width="11.7265625" style="8" customWidth="1"/>
    <col min="7682" max="7682" width="8.453125" style="8" customWidth="1"/>
    <col min="7683" max="7683" width="7.08984375" style="8" customWidth="1"/>
    <col min="7684" max="7684" width="7.36328125" style="8" customWidth="1"/>
    <col min="7685" max="7686" width="5.453125" style="8" customWidth="1"/>
    <col min="7687" max="7687" width="9.7265625" style="8" customWidth="1"/>
    <col min="7688" max="7688" width="9.08984375" style="8" bestFit="1" customWidth="1"/>
    <col min="7689" max="7689" width="46.7265625" style="8" bestFit="1" customWidth="1"/>
    <col min="7690" max="7690" width="17.6328125" style="8" customWidth="1"/>
    <col min="7691" max="7936" width="8.7265625" style="8"/>
    <col min="7937" max="7937" width="11.7265625" style="8" customWidth="1"/>
    <col min="7938" max="7938" width="8.453125" style="8" customWidth="1"/>
    <col min="7939" max="7939" width="7.08984375" style="8" customWidth="1"/>
    <col min="7940" max="7940" width="7.36328125" style="8" customWidth="1"/>
    <col min="7941" max="7942" width="5.453125" style="8" customWidth="1"/>
    <col min="7943" max="7943" width="9.7265625" style="8" customWidth="1"/>
    <col min="7944" max="7944" width="9.08984375" style="8" bestFit="1" customWidth="1"/>
    <col min="7945" max="7945" width="46.7265625" style="8" bestFit="1" customWidth="1"/>
    <col min="7946" max="7946" width="17.6328125" style="8" customWidth="1"/>
    <col min="7947" max="8192" width="8.7265625" style="8"/>
    <col min="8193" max="8193" width="11.7265625" style="8" customWidth="1"/>
    <col min="8194" max="8194" width="8.453125" style="8" customWidth="1"/>
    <col min="8195" max="8195" width="7.08984375" style="8" customWidth="1"/>
    <col min="8196" max="8196" width="7.36328125" style="8" customWidth="1"/>
    <col min="8197" max="8198" width="5.453125" style="8" customWidth="1"/>
    <col min="8199" max="8199" width="9.7265625" style="8" customWidth="1"/>
    <col min="8200" max="8200" width="9.08984375" style="8" bestFit="1" customWidth="1"/>
    <col min="8201" max="8201" width="46.7265625" style="8" bestFit="1" customWidth="1"/>
    <col min="8202" max="8202" width="17.6328125" style="8" customWidth="1"/>
    <col min="8203" max="8448" width="8.7265625" style="8"/>
    <col min="8449" max="8449" width="11.7265625" style="8" customWidth="1"/>
    <col min="8450" max="8450" width="8.453125" style="8" customWidth="1"/>
    <col min="8451" max="8451" width="7.08984375" style="8" customWidth="1"/>
    <col min="8452" max="8452" width="7.36328125" style="8" customWidth="1"/>
    <col min="8453" max="8454" width="5.453125" style="8" customWidth="1"/>
    <col min="8455" max="8455" width="9.7265625" style="8" customWidth="1"/>
    <col min="8456" max="8456" width="9.08984375" style="8" bestFit="1" customWidth="1"/>
    <col min="8457" max="8457" width="46.7265625" style="8" bestFit="1" customWidth="1"/>
    <col min="8458" max="8458" width="17.6328125" style="8" customWidth="1"/>
    <col min="8459" max="8704" width="8.7265625" style="8"/>
    <col min="8705" max="8705" width="11.7265625" style="8" customWidth="1"/>
    <col min="8706" max="8706" width="8.453125" style="8" customWidth="1"/>
    <col min="8707" max="8707" width="7.08984375" style="8" customWidth="1"/>
    <col min="8708" max="8708" width="7.36328125" style="8" customWidth="1"/>
    <col min="8709" max="8710" width="5.453125" style="8" customWidth="1"/>
    <col min="8711" max="8711" width="9.7265625" style="8" customWidth="1"/>
    <col min="8712" max="8712" width="9.08984375" style="8" bestFit="1" customWidth="1"/>
    <col min="8713" max="8713" width="46.7265625" style="8" bestFit="1" customWidth="1"/>
    <col min="8714" max="8714" width="17.6328125" style="8" customWidth="1"/>
    <col min="8715" max="8960" width="8.7265625" style="8"/>
    <col min="8961" max="8961" width="11.7265625" style="8" customWidth="1"/>
    <col min="8962" max="8962" width="8.453125" style="8" customWidth="1"/>
    <col min="8963" max="8963" width="7.08984375" style="8" customWidth="1"/>
    <col min="8964" max="8964" width="7.36328125" style="8" customWidth="1"/>
    <col min="8965" max="8966" width="5.453125" style="8" customWidth="1"/>
    <col min="8967" max="8967" width="9.7265625" style="8" customWidth="1"/>
    <col min="8968" max="8968" width="9.08984375" style="8" bestFit="1" customWidth="1"/>
    <col min="8969" max="8969" width="46.7265625" style="8" bestFit="1" customWidth="1"/>
    <col min="8970" max="8970" width="17.6328125" style="8" customWidth="1"/>
    <col min="8971" max="9216" width="8.7265625" style="8"/>
    <col min="9217" max="9217" width="11.7265625" style="8" customWidth="1"/>
    <col min="9218" max="9218" width="8.453125" style="8" customWidth="1"/>
    <col min="9219" max="9219" width="7.08984375" style="8" customWidth="1"/>
    <col min="9220" max="9220" width="7.36328125" style="8" customWidth="1"/>
    <col min="9221" max="9222" width="5.453125" style="8" customWidth="1"/>
    <col min="9223" max="9223" width="9.7265625" style="8" customWidth="1"/>
    <col min="9224" max="9224" width="9.08984375" style="8" bestFit="1" customWidth="1"/>
    <col min="9225" max="9225" width="46.7265625" style="8" bestFit="1" customWidth="1"/>
    <col min="9226" max="9226" width="17.6328125" style="8" customWidth="1"/>
    <col min="9227" max="9472" width="8.7265625" style="8"/>
    <col min="9473" max="9473" width="11.7265625" style="8" customWidth="1"/>
    <col min="9474" max="9474" width="8.453125" style="8" customWidth="1"/>
    <col min="9475" max="9475" width="7.08984375" style="8" customWidth="1"/>
    <col min="9476" max="9476" width="7.36328125" style="8" customWidth="1"/>
    <col min="9477" max="9478" width="5.453125" style="8" customWidth="1"/>
    <col min="9479" max="9479" width="9.7265625" style="8" customWidth="1"/>
    <col min="9480" max="9480" width="9.08984375" style="8" bestFit="1" customWidth="1"/>
    <col min="9481" max="9481" width="46.7265625" style="8" bestFit="1" customWidth="1"/>
    <col min="9482" max="9482" width="17.6328125" style="8" customWidth="1"/>
    <col min="9483" max="9728" width="8.7265625" style="8"/>
    <col min="9729" max="9729" width="11.7265625" style="8" customWidth="1"/>
    <col min="9730" max="9730" width="8.453125" style="8" customWidth="1"/>
    <col min="9731" max="9731" width="7.08984375" style="8" customWidth="1"/>
    <col min="9732" max="9732" width="7.36328125" style="8" customWidth="1"/>
    <col min="9733" max="9734" width="5.453125" style="8" customWidth="1"/>
    <col min="9735" max="9735" width="9.7265625" style="8" customWidth="1"/>
    <col min="9736" max="9736" width="9.08984375" style="8" bestFit="1" customWidth="1"/>
    <col min="9737" max="9737" width="46.7265625" style="8" bestFit="1" customWidth="1"/>
    <col min="9738" max="9738" width="17.6328125" style="8" customWidth="1"/>
    <col min="9739" max="9984" width="8.7265625" style="8"/>
    <col min="9985" max="9985" width="11.7265625" style="8" customWidth="1"/>
    <col min="9986" max="9986" width="8.453125" style="8" customWidth="1"/>
    <col min="9987" max="9987" width="7.08984375" style="8" customWidth="1"/>
    <col min="9988" max="9988" width="7.36328125" style="8" customWidth="1"/>
    <col min="9989" max="9990" width="5.453125" style="8" customWidth="1"/>
    <col min="9991" max="9991" width="9.7265625" style="8" customWidth="1"/>
    <col min="9992" max="9992" width="9.08984375" style="8" bestFit="1" customWidth="1"/>
    <col min="9993" max="9993" width="46.7265625" style="8" bestFit="1" customWidth="1"/>
    <col min="9994" max="9994" width="17.6328125" style="8" customWidth="1"/>
    <col min="9995" max="10240" width="8.7265625" style="8"/>
    <col min="10241" max="10241" width="11.7265625" style="8" customWidth="1"/>
    <col min="10242" max="10242" width="8.453125" style="8" customWidth="1"/>
    <col min="10243" max="10243" width="7.08984375" style="8" customWidth="1"/>
    <col min="10244" max="10244" width="7.36328125" style="8" customWidth="1"/>
    <col min="10245" max="10246" width="5.453125" style="8" customWidth="1"/>
    <col min="10247" max="10247" width="9.7265625" style="8" customWidth="1"/>
    <col min="10248" max="10248" width="9.08984375" style="8" bestFit="1" customWidth="1"/>
    <col min="10249" max="10249" width="46.7265625" style="8" bestFit="1" customWidth="1"/>
    <col min="10250" max="10250" width="17.6328125" style="8" customWidth="1"/>
    <col min="10251" max="10496" width="8.7265625" style="8"/>
    <col min="10497" max="10497" width="11.7265625" style="8" customWidth="1"/>
    <col min="10498" max="10498" width="8.453125" style="8" customWidth="1"/>
    <col min="10499" max="10499" width="7.08984375" style="8" customWidth="1"/>
    <col min="10500" max="10500" width="7.36328125" style="8" customWidth="1"/>
    <col min="10501" max="10502" width="5.453125" style="8" customWidth="1"/>
    <col min="10503" max="10503" width="9.7265625" style="8" customWidth="1"/>
    <col min="10504" max="10504" width="9.08984375" style="8" bestFit="1" customWidth="1"/>
    <col min="10505" max="10505" width="46.7265625" style="8" bestFit="1" customWidth="1"/>
    <col min="10506" max="10506" width="17.6328125" style="8" customWidth="1"/>
    <col min="10507" max="10752" width="8.7265625" style="8"/>
    <col min="10753" max="10753" width="11.7265625" style="8" customWidth="1"/>
    <col min="10754" max="10754" width="8.453125" style="8" customWidth="1"/>
    <col min="10755" max="10755" width="7.08984375" style="8" customWidth="1"/>
    <col min="10756" max="10756" width="7.36328125" style="8" customWidth="1"/>
    <col min="10757" max="10758" width="5.453125" style="8" customWidth="1"/>
    <col min="10759" max="10759" width="9.7265625" style="8" customWidth="1"/>
    <col min="10760" max="10760" width="9.08984375" style="8" bestFit="1" customWidth="1"/>
    <col min="10761" max="10761" width="46.7265625" style="8" bestFit="1" customWidth="1"/>
    <col min="10762" max="10762" width="17.6328125" style="8" customWidth="1"/>
    <col min="10763" max="11008" width="8.7265625" style="8"/>
    <col min="11009" max="11009" width="11.7265625" style="8" customWidth="1"/>
    <col min="11010" max="11010" width="8.453125" style="8" customWidth="1"/>
    <col min="11011" max="11011" width="7.08984375" style="8" customWidth="1"/>
    <col min="11012" max="11012" width="7.36328125" style="8" customWidth="1"/>
    <col min="11013" max="11014" width="5.453125" style="8" customWidth="1"/>
    <col min="11015" max="11015" width="9.7265625" style="8" customWidth="1"/>
    <col min="11016" max="11016" width="9.08984375" style="8" bestFit="1" customWidth="1"/>
    <col min="11017" max="11017" width="46.7265625" style="8" bestFit="1" customWidth="1"/>
    <col min="11018" max="11018" width="17.6328125" style="8" customWidth="1"/>
    <col min="11019" max="11264" width="8.7265625" style="8"/>
    <col min="11265" max="11265" width="11.7265625" style="8" customWidth="1"/>
    <col min="11266" max="11266" width="8.453125" style="8" customWidth="1"/>
    <col min="11267" max="11267" width="7.08984375" style="8" customWidth="1"/>
    <col min="11268" max="11268" width="7.36328125" style="8" customWidth="1"/>
    <col min="11269" max="11270" width="5.453125" style="8" customWidth="1"/>
    <col min="11271" max="11271" width="9.7265625" style="8" customWidth="1"/>
    <col min="11272" max="11272" width="9.08984375" style="8" bestFit="1" customWidth="1"/>
    <col min="11273" max="11273" width="46.7265625" style="8" bestFit="1" customWidth="1"/>
    <col min="11274" max="11274" width="17.6328125" style="8" customWidth="1"/>
    <col min="11275" max="11520" width="8.7265625" style="8"/>
    <col min="11521" max="11521" width="11.7265625" style="8" customWidth="1"/>
    <col min="11522" max="11522" width="8.453125" style="8" customWidth="1"/>
    <col min="11523" max="11523" width="7.08984375" style="8" customWidth="1"/>
    <col min="11524" max="11524" width="7.36328125" style="8" customWidth="1"/>
    <col min="11525" max="11526" width="5.453125" style="8" customWidth="1"/>
    <col min="11527" max="11527" width="9.7265625" style="8" customWidth="1"/>
    <col min="11528" max="11528" width="9.08984375" style="8" bestFit="1" customWidth="1"/>
    <col min="11529" max="11529" width="46.7265625" style="8" bestFit="1" customWidth="1"/>
    <col min="11530" max="11530" width="17.6328125" style="8" customWidth="1"/>
    <col min="11531" max="11776" width="8.7265625" style="8"/>
    <col min="11777" max="11777" width="11.7265625" style="8" customWidth="1"/>
    <col min="11778" max="11778" width="8.453125" style="8" customWidth="1"/>
    <col min="11779" max="11779" width="7.08984375" style="8" customWidth="1"/>
    <col min="11780" max="11780" width="7.36328125" style="8" customWidth="1"/>
    <col min="11781" max="11782" width="5.453125" style="8" customWidth="1"/>
    <col min="11783" max="11783" width="9.7265625" style="8" customWidth="1"/>
    <col min="11784" max="11784" width="9.08984375" style="8" bestFit="1" customWidth="1"/>
    <col min="11785" max="11785" width="46.7265625" style="8" bestFit="1" customWidth="1"/>
    <col min="11786" max="11786" width="17.6328125" style="8" customWidth="1"/>
    <col min="11787" max="12032" width="8.7265625" style="8"/>
    <col min="12033" max="12033" width="11.7265625" style="8" customWidth="1"/>
    <col min="12034" max="12034" width="8.453125" style="8" customWidth="1"/>
    <col min="12035" max="12035" width="7.08984375" style="8" customWidth="1"/>
    <col min="12036" max="12036" width="7.36328125" style="8" customWidth="1"/>
    <col min="12037" max="12038" width="5.453125" style="8" customWidth="1"/>
    <col min="12039" max="12039" width="9.7265625" style="8" customWidth="1"/>
    <col min="12040" max="12040" width="9.08984375" style="8" bestFit="1" customWidth="1"/>
    <col min="12041" max="12041" width="46.7265625" style="8" bestFit="1" customWidth="1"/>
    <col min="12042" max="12042" width="17.6328125" style="8" customWidth="1"/>
    <col min="12043" max="12288" width="8.7265625" style="8"/>
    <col min="12289" max="12289" width="11.7265625" style="8" customWidth="1"/>
    <col min="12290" max="12290" width="8.453125" style="8" customWidth="1"/>
    <col min="12291" max="12291" width="7.08984375" style="8" customWidth="1"/>
    <col min="12292" max="12292" width="7.36328125" style="8" customWidth="1"/>
    <col min="12293" max="12294" width="5.453125" style="8" customWidth="1"/>
    <col min="12295" max="12295" width="9.7265625" style="8" customWidth="1"/>
    <col min="12296" max="12296" width="9.08984375" style="8" bestFit="1" customWidth="1"/>
    <col min="12297" max="12297" width="46.7265625" style="8" bestFit="1" customWidth="1"/>
    <col min="12298" max="12298" width="17.6328125" style="8" customWidth="1"/>
    <col min="12299" max="12544" width="8.7265625" style="8"/>
    <col min="12545" max="12545" width="11.7265625" style="8" customWidth="1"/>
    <col min="12546" max="12546" width="8.453125" style="8" customWidth="1"/>
    <col min="12547" max="12547" width="7.08984375" style="8" customWidth="1"/>
    <col min="12548" max="12548" width="7.36328125" style="8" customWidth="1"/>
    <col min="12549" max="12550" width="5.453125" style="8" customWidth="1"/>
    <col min="12551" max="12551" width="9.7265625" style="8" customWidth="1"/>
    <col min="12552" max="12552" width="9.08984375" style="8" bestFit="1" customWidth="1"/>
    <col min="12553" max="12553" width="46.7265625" style="8" bestFit="1" customWidth="1"/>
    <col min="12554" max="12554" width="17.6328125" style="8" customWidth="1"/>
    <col min="12555" max="12800" width="8.7265625" style="8"/>
    <col min="12801" max="12801" width="11.7265625" style="8" customWidth="1"/>
    <col min="12802" max="12802" width="8.453125" style="8" customWidth="1"/>
    <col min="12803" max="12803" width="7.08984375" style="8" customWidth="1"/>
    <col min="12804" max="12804" width="7.36328125" style="8" customWidth="1"/>
    <col min="12805" max="12806" width="5.453125" style="8" customWidth="1"/>
    <col min="12807" max="12807" width="9.7265625" style="8" customWidth="1"/>
    <col min="12808" max="12808" width="9.08984375" style="8" bestFit="1" customWidth="1"/>
    <col min="12809" max="12809" width="46.7265625" style="8" bestFit="1" customWidth="1"/>
    <col min="12810" max="12810" width="17.6328125" style="8" customWidth="1"/>
    <col min="12811" max="13056" width="8.7265625" style="8"/>
    <col min="13057" max="13057" width="11.7265625" style="8" customWidth="1"/>
    <col min="13058" max="13058" width="8.453125" style="8" customWidth="1"/>
    <col min="13059" max="13059" width="7.08984375" style="8" customWidth="1"/>
    <col min="13060" max="13060" width="7.36328125" style="8" customWidth="1"/>
    <col min="13061" max="13062" width="5.453125" style="8" customWidth="1"/>
    <col min="13063" max="13063" width="9.7265625" style="8" customWidth="1"/>
    <col min="13064" max="13064" width="9.08984375" style="8" bestFit="1" customWidth="1"/>
    <col min="13065" max="13065" width="46.7265625" style="8" bestFit="1" customWidth="1"/>
    <col min="13066" max="13066" width="17.6328125" style="8" customWidth="1"/>
    <col min="13067" max="13312" width="8.7265625" style="8"/>
    <col min="13313" max="13313" width="11.7265625" style="8" customWidth="1"/>
    <col min="13314" max="13314" width="8.453125" style="8" customWidth="1"/>
    <col min="13315" max="13315" width="7.08984375" style="8" customWidth="1"/>
    <col min="13316" max="13316" width="7.36328125" style="8" customWidth="1"/>
    <col min="13317" max="13318" width="5.453125" style="8" customWidth="1"/>
    <col min="13319" max="13319" width="9.7265625" style="8" customWidth="1"/>
    <col min="13320" max="13320" width="9.08984375" style="8" bestFit="1" customWidth="1"/>
    <col min="13321" max="13321" width="46.7265625" style="8" bestFit="1" customWidth="1"/>
    <col min="13322" max="13322" width="17.6328125" style="8" customWidth="1"/>
    <col min="13323" max="13568" width="8.7265625" style="8"/>
    <col min="13569" max="13569" width="11.7265625" style="8" customWidth="1"/>
    <col min="13570" max="13570" width="8.453125" style="8" customWidth="1"/>
    <col min="13571" max="13571" width="7.08984375" style="8" customWidth="1"/>
    <col min="13572" max="13572" width="7.36328125" style="8" customWidth="1"/>
    <col min="13573" max="13574" width="5.453125" style="8" customWidth="1"/>
    <col min="13575" max="13575" width="9.7265625" style="8" customWidth="1"/>
    <col min="13576" max="13576" width="9.08984375" style="8" bestFit="1" customWidth="1"/>
    <col min="13577" max="13577" width="46.7265625" style="8" bestFit="1" customWidth="1"/>
    <col min="13578" max="13578" width="17.6328125" style="8" customWidth="1"/>
    <col min="13579" max="13824" width="8.7265625" style="8"/>
    <col min="13825" max="13825" width="11.7265625" style="8" customWidth="1"/>
    <col min="13826" max="13826" width="8.453125" style="8" customWidth="1"/>
    <col min="13827" max="13827" width="7.08984375" style="8" customWidth="1"/>
    <col min="13828" max="13828" width="7.36328125" style="8" customWidth="1"/>
    <col min="13829" max="13830" width="5.453125" style="8" customWidth="1"/>
    <col min="13831" max="13831" width="9.7265625" style="8" customWidth="1"/>
    <col min="13832" max="13832" width="9.08984375" style="8" bestFit="1" customWidth="1"/>
    <col min="13833" max="13833" width="46.7265625" style="8" bestFit="1" customWidth="1"/>
    <col min="13834" max="13834" width="17.6328125" style="8" customWidth="1"/>
    <col min="13835" max="14080" width="8.7265625" style="8"/>
    <col min="14081" max="14081" width="11.7265625" style="8" customWidth="1"/>
    <col min="14082" max="14082" width="8.453125" style="8" customWidth="1"/>
    <col min="14083" max="14083" width="7.08984375" style="8" customWidth="1"/>
    <col min="14084" max="14084" width="7.36328125" style="8" customWidth="1"/>
    <col min="14085" max="14086" width="5.453125" style="8" customWidth="1"/>
    <col min="14087" max="14087" width="9.7265625" style="8" customWidth="1"/>
    <col min="14088" max="14088" width="9.08984375" style="8" bestFit="1" customWidth="1"/>
    <col min="14089" max="14089" width="46.7265625" style="8" bestFit="1" customWidth="1"/>
    <col min="14090" max="14090" width="17.6328125" style="8" customWidth="1"/>
    <col min="14091" max="14336" width="8.7265625" style="8"/>
    <col min="14337" max="14337" width="11.7265625" style="8" customWidth="1"/>
    <col min="14338" max="14338" width="8.453125" style="8" customWidth="1"/>
    <col min="14339" max="14339" width="7.08984375" style="8" customWidth="1"/>
    <col min="14340" max="14340" width="7.36328125" style="8" customWidth="1"/>
    <col min="14341" max="14342" width="5.453125" style="8" customWidth="1"/>
    <col min="14343" max="14343" width="9.7265625" style="8" customWidth="1"/>
    <col min="14344" max="14344" width="9.08984375" style="8" bestFit="1" customWidth="1"/>
    <col min="14345" max="14345" width="46.7265625" style="8" bestFit="1" customWidth="1"/>
    <col min="14346" max="14346" width="17.6328125" style="8" customWidth="1"/>
    <col min="14347" max="14592" width="8.7265625" style="8"/>
    <col min="14593" max="14593" width="11.7265625" style="8" customWidth="1"/>
    <col min="14594" max="14594" width="8.453125" style="8" customWidth="1"/>
    <col min="14595" max="14595" width="7.08984375" style="8" customWidth="1"/>
    <col min="14596" max="14596" width="7.36328125" style="8" customWidth="1"/>
    <col min="14597" max="14598" width="5.453125" style="8" customWidth="1"/>
    <col min="14599" max="14599" width="9.7265625" style="8" customWidth="1"/>
    <col min="14600" max="14600" width="9.08984375" style="8" bestFit="1" customWidth="1"/>
    <col min="14601" max="14601" width="46.7265625" style="8" bestFit="1" customWidth="1"/>
    <col min="14602" max="14602" width="17.6328125" style="8" customWidth="1"/>
    <col min="14603" max="14848" width="8.7265625" style="8"/>
    <col min="14849" max="14849" width="11.7265625" style="8" customWidth="1"/>
    <col min="14850" max="14850" width="8.453125" style="8" customWidth="1"/>
    <col min="14851" max="14851" width="7.08984375" style="8" customWidth="1"/>
    <col min="14852" max="14852" width="7.36328125" style="8" customWidth="1"/>
    <col min="14853" max="14854" width="5.453125" style="8" customWidth="1"/>
    <col min="14855" max="14855" width="9.7265625" style="8" customWidth="1"/>
    <col min="14856" max="14856" width="9.08984375" style="8" bestFit="1" customWidth="1"/>
    <col min="14857" max="14857" width="46.7265625" style="8" bestFit="1" customWidth="1"/>
    <col min="14858" max="14858" width="17.6328125" style="8" customWidth="1"/>
    <col min="14859" max="15104" width="8.7265625" style="8"/>
    <col min="15105" max="15105" width="11.7265625" style="8" customWidth="1"/>
    <col min="15106" max="15106" width="8.453125" style="8" customWidth="1"/>
    <col min="15107" max="15107" width="7.08984375" style="8" customWidth="1"/>
    <col min="15108" max="15108" width="7.36328125" style="8" customWidth="1"/>
    <col min="15109" max="15110" width="5.453125" style="8" customWidth="1"/>
    <col min="15111" max="15111" width="9.7265625" style="8" customWidth="1"/>
    <col min="15112" max="15112" width="9.08984375" style="8" bestFit="1" customWidth="1"/>
    <col min="15113" max="15113" width="46.7265625" style="8" bestFit="1" customWidth="1"/>
    <col min="15114" max="15114" width="17.6328125" style="8" customWidth="1"/>
    <col min="15115" max="15360" width="8.7265625" style="8"/>
    <col min="15361" max="15361" width="11.7265625" style="8" customWidth="1"/>
    <col min="15362" max="15362" width="8.453125" style="8" customWidth="1"/>
    <col min="15363" max="15363" width="7.08984375" style="8" customWidth="1"/>
    <col min="15364" max="15364" width="7.36328125" style="8" customWidth="1"/>
    <col min="15365" max="15366" width="5.453125" style="8" customWidth="1"/>
    <col min="15367" max="15367" width="9.7265625" style="8" customWidth="1"/>
    <col min="15368" max="15368" width="9.08984375" style="8" bestFit="1" customWidth="1"/>
    <col min="15369" max="15369" width="46.7265625" style="8" bestFit="1" customWidth="1"/>
    <col min="15370" max="15370" width="17.6328125" style="8" customWidth="1"/>
    <col min="15371" max="15616" width="8.7265625" style="8"/>
    <col min="15617" max="15617" width="11.7265625" style="8" customWidth="1"/>
    <col min="15618" max="15618" width="8.453125" style="8" customWidth="1"/>
    <col min="15619" max="15619" width="7.08984375" style="8" customWidth="1"/>
    <col min="15620" max="15620" width="7.36328125" style="8" customWidth="1"/>
    <col min="15621" max="15622" width="5.453125" style="8" customWidth="1"/>
    <col min="15623" max="15623" width="9.7265625" style="8" customWidth="1"/>
    <col min="15624" max="15624" width="9.08984375" style="8" bestFit="1" customWidth="1"/>
    <col min="15625" max="15625" width="46.7265625" style="8" bestFit="1" customWidth="1"/>
    <col min="15626" max="15626" width="17.6328125" style="8" customWidth="1"/>
    <col min="15627" max="15872" width="8.7265625" style="8"/>
    <col min="15873" max="15873" width="11.7265625" style="8" customWidth="1"/>
    <col min="15874" max="15874" width="8.453125" style="8" customWidth="1"/>
    <col min="15875" max="15875" width="7.08984375" style="8" customWidth="1"/>
    <col min="15876" max="15876" width="7.36328125" style="8" customWidth="1"/>
    <col min="15877" max="15878" width="5.453125" style="8" customWidth="1"/>
    <col min="15879" max="15879" width="9.7265625" style="8" customWidth="1"/>
    <col min="15880" max="15880" width="9.08984375" style="8" bestFit="1" customWidth="1"/>
    <col min="15881" max="15881" width="46.7265625" style="8" bestFit="1" customWidth="1"/>
    <col min="15882" max="15882" width="17.6328125" style="8" customWidth="1"/>
    <col min="15883" max="16128" width="8.7265625" style="8"/>
    <col min="16129" max="16129" width="11.7265625" style="8" customWidth="1"/>
    <col min="16130" max="16130" width="8.453125" style="8" customWidth="1"/>
    <col min="16131" max="16131" width="7.08984375" style="8" customWidth="1"/>
    <col min="16132" max="16132" width="7.36328125" style="8" customWidth="1"/>
    <col min="16133" max="16134" width="5.453125" style="8" customWidth="1"/>
    <col min="16135" max="16135" width="9.7265625" style="8" customWidth="1"/>
    <col min="16136" max="16136" width="9.08984375" style="8" bestFit="1" customWidth="1"/>
    <col min="16137" max="16137" width="46.7265625" style="8" bestFit="1" customWidth="1"/>
    <col min="16138" max="16138" width="17.6328125" style="8" customWidth="1"/>
    <col min="16139" max="16384" width="8.7265625" style="8"/>
  </cols>
  <sheetData>
    <row r="1" spans="1:10" s="2" customFormat="1" ht="12.75" customHeight="1" x14ac:dyDescent="0.25">
      <c r="A1" s="278" t="s">
        <v>11</v>
      </c>
      <c r="B1" s="279"/>
      <c r="C1" s="279"/>
      <c r="D1" s="279"/>
      <c r="E1" s="279"/>
      <c r="F1" s="279"/>
      <c r="G1" s="279"/>
      <c r="H1" s="279"/>
      <c r="I1" s="280"/>
    </row>
    <row r="2" spans="1:10" ht="12.75" customHeight="1" x14ac:dyDescent="0.25">
      <c r="A2" s="9" t="s">
        <v>12</v>
      </c>
      <c r="B2" s="3"/>
      <c r="C2" s="4"/>
      <c r="D2" s="4"/>
      <c r="E2" s="4"/>
      <c r="F2" s="4"/>
      <c r="G2" s="5"/>
      <c r="H2" s="3"/>
      <c r="I2" s="7" t="s">
        <v>13</v>
      </c>
    </row>
    <row r="3" spans="1:10" ht="13.75" customHeight="1" x14ac:dyDescent="0.25">
      <c r="A3" s="9" t="s">
        <v>14</v>
      </c>
      <c r="B3" s="5"/>
      <c r="C3" s="5"/>
      <c r="D3" s="5"/>
      <c r="E3" s="5"/>
      <c r="F3" s="5"/>
      <c r="G3" s="281" t="s">
        <v>15</v>
      </c>
      <c r="H3" s="281"/>
      <c r="I3" s="282"/>
    </row>
    <row r="4" spans="1:10" ht="13.75" customHeight="1" x14ac:dyDescent="0.25">
      <c r="A4" s="9" t="s">
        <v>16</v>
      </c>
      <c r="B4" s="5"/>
      <c r="C4" s="5"/>
      <c r="D4" s="5"/>
      <c r="E4" s="5"/>
      <c r="F4" s="5"/>
      <c r="G4" s="283" t="s">
        <v>17</v>
      </c>
      <c r="H4" s="283"/>
      <c r="I4" s="284"/>
    </row>
    <row r="5" spans="1:10" ht="12.75" customHeight="1" x14ac:dyDescent="0.25">
      <c r="A5" s="9" t="s">
        <v>18</v>
      </c>
      <c r="B5" s="10"/>
      <c r="C5" s="5"/>
      <c r="D5" s="5"/>
      <c r="E5" s="5"/>
      <c r="F5" s="5"/>
      <c r="G5" s="5"/>
      <c r="H5" s="199"/>
      <c r="I5" s="12"/>
    </row>
    <row r="6" spans="1:10" ht="12.75" customHeight="1" x14ac:dyDescent="0.25">
      <c r="A6" s="9" t="s">
        <v>19</v>
      </c>
      <c r="B6" s="10"/>
      <c r="C6" s="5"/>
      <c r="D6" s="5"/>
      <c r="E6" s="5"/>
      <c r="F6" s="5"/>
      <c r="G6" s="5"/>
      <c r="H6" s="199"/>
      <c r="I6" s="12"/>
    </row>
    <row r="7" spans="1:10" ht="12.75" customHeight="1" x14ac:dyDescent="0.25">
      <c r="A7" s="204"/>
      <c r="B7" s="13"/>
      <c r="C7" s="14"/>
      <c r="D7" s="14"/>
      <c r="E7" s="14"/>
      <c r="F7" s="14"/>
      <c r="G7" s="14"/>
      <c r="H7" s="14"/>
      <c r="I7" s="16"/>
    </row>
    <row r="8" spans="1:10" s="159" customFormat="1" ht="17.45" customHeight="1" thickBot="1" x14ac:dyDescent="0.4">
      <c r="A8" s="161"/>
      <c r="C8" s="285" t="s">
        <v>21</v>
      </c>
      <c r="D8" s="286"/>
      <c r="E8" s="162"/>
      <c r="F8" s="162"/>
      <c r="G8" s="162"/>
      <c r="H8" s="193"/>
      <c r="I8" s="163"/>
    </row>
    <row r="9" spans="1:10" s="159" customFormat="1" ht="28.95" customHeight="1" thickBot="1" x14ac:dyDescent="0.4">
      <c r="A9" s="169" t="s">
        <v>269</v>
      </c>
      <c r="B9" s="170" t="s">
        <v>20</v>
      </c>
      <c r="C9" s="171" t="s">
        <v>26</v>
      </c>
      <c r="D9" s="172" t="s">
        <v>27</v>
      </c>
      <c r="E9" s="172" t="s">
        <v>270</v>
      </c>
      <c r="F9" s="171" t="s">
        <v>22</v>
      </c>
      <c r="G9" s="171" t="s">
        <v>224</v>
      </c>
      <c r="H9" s="173" t="s">
        <v>23</v>
      </c>
      <c r="I9" s="170" t="s">
        <v>24</v>
      </c>
      <c r="J9" s="174" t="s">
        <v>25</v>
      </c>
    </row>
    <row r="10" spans="1:10" ht="12.75" customHeight="1" x14ac:dyDescent="0.25">
      <c r="A10" s="201">
        <v>42417</v>
      </c>
      <c r="B10" s="164" t="s">
        <v>28</v>
      </c>
      <c r="C10" s="164">
        <v>1</v>
      </c>
      <c r="D10" s="164">
        <v>91</v>
      </c>
      <c r="E10" s="164">
        <f t="shared" ref="E10:E73" si="0">IF(((C10="")*AND(D10="")),"",D10-C10)</f>
        <v>90</v>
      </c>
      <c r="F10" s="165">
        <v>30</v>
      </c>
      <c r="G10" s="166" t="str">
        <f t="shared" ref="G10:G73" si="1">IF(E10="","",IF(E10&lt;=30,"Pass","Fail"))</f>
        <v>Fail</v>
      </c>
      <c r="H10" s="167">
        <v>1159</v>
      </c>
      <c r="I10" s="168" t="s">
        <v>29</v>
      </c>
      <c r="J10" s="160"/>
    </row>
    <row r="11" spans="1:10" ht="12.75" customHeight="1" x14ac:dyDescent="0.25">
      <c r="A11" s="202">
        <v>42417</v>
      </c>
      <c r="B11" s="17" t="s">
        <v>28</v>
      </c>
      <c r="C11" s="17">
        <v>13</v>
      </c>
      <c r="D11" s="17">
        <v>82</v>
      </c>
      <c r="E11" s="17">
        <f t="shared" si="0"/>
        <v>69</v>
      </c>
      <c r="F11" s="18">
        <v>30</v>
      </c>
      <c r="G11" s="19" t="str">
        <f t="shared" si="1"/>
        <v>Fail</v>
      </c>
      <c r="H11" s="20">
        <v>1159</v>
      </c>
      <c r="I11" s="21" t="s">
        <v>29</v>
      </c>
      <c r="J11" s="22"/>
    </row>
    <row r="12" spans="1:10" ht="12.75" customHeight="1" x14ac:dyDescent="0.25">
      <c r="A12" s="202">
        <v>42432</v>
      </c>
      <c r="B12" s="17" t="s">
        <v>28</v>
      </c>
      <c r="C12" s="17">
        <v>3</v>
      </c>
      <c r="D12" s="17">
        <v>23</v>
      </c>
      <c r="E12" s="17">
        <f t="shared" si="0"/>
        <v>20</v>
      </c>
      <c r="F12" s="18">
        <v>30</v>
      </c>
      <c r="G12" s="19" t="str">
        <f t="shared" si="1"/>
        <v>Pass</v>
      </c>
      <c r="H12" s="20">
        <v>1335</v>
      </c>
      <c r="I12" s="21" t="s">
        <v>30</v>
      </c>
      <c r="J12" s="22"/>
    </row>
    <row r="13" spans="1:10" ht="12.75" customHeight="1" x14ac:dyDescent="0.25">
      <c r="A13" s="202">
        <v>42438</v>
      </c>
      <c r="B13" s="17" t="s">
        <v>28</v>
      </c>
      <c r="C13" s="17">
        <v>43</v>
      </c>
      <c r="D13" s="17">
        <v>69</v>
      </c>
      <c r="E13" s="17">
        <f t="shared" si="0"/>
        <v>26</v>
      </c>
      <c r="F13" s="18">
        <v>30</v>
      </c>
      <c r="G13" s="19" t="str">
        <f t="shared" si="1"/>
        <v>Pass</v>
      </c>
      <c r="H13" s="20">
        <v>1428</v>
      </c>
      <c r="I13" s="21" t="s">
        <v>29</v>
      </c>
      <c r="J13" s="22"/>
    </row>
    <row r="14" spans="1:10" ht="12.75" customHeight="1" x14ac:dyDescent="0.25">
      <c r="A14" s="202">
        <v>42447</v>
      </c>
      <c r="B14" s="17" t="s">
        <v>28</v>
      </c>
      <c r="C14" s="17">
        <v>1</v>
      </c>
      <c r="D14" s="17">
        <v>19</v>
      </c>
      <c r="E14" s="17">
        <f t="shared" si="0"/>
        <v>18</v>
      </c>
      <c r="F14" s="18">
        <v>30</v>
      </c>
      <c r="G14" s="19" t="str">
        <f t="shared" si="1"/>
        <v>Pass</v>
      </c>
      <c r="H14" s="20">
        <v>1335</v>
      </c>
      <c r="I14" s="21" t="s">
        <v>29</v>
      </c>
      <c r="J14" s="22"/>
    </row>
    <row r="15" spans="1:10" ht="12.75" customHeight="1" x14ac:dyDescent="0.25">
      <c r="A15" s="202">
        <v>42475</v>
      </c>
      <c r="B15" s="23" t="s">
        <v>28</v>
      </c>
      <c r="C15" s="24">
        <v>1</v>
      </c>
      <c r="D15" s="24">
        <v>28</v>
      </c>
      <c r="E15" s="24">
        <f t="shared" si="0"/>
        <v>27</v>
      </c>
      <c r="F15" s="18">
        <v>30</v>
      </c>
      <c r="G15" s="19" t="str">
        <f t="shared" si="1"/>
        <v>Pass</v>
      </c>
      <c r="H15" s="197">
        <v>1159</v>
      </c>
      <c r="I15" s="25" t="s">
        <v>31</v>
      </c>
      <c r="J15" s="22"/>
    </row>
    <row r="16" spans="1:10" ht="12.75" customHeight="1" x14ac:dyDescent="0.25">
      <c r="A16" s="202">
        <v>42487</v>
      </c>
      <c r="B16" s="26" t="s">
        <v>28</v>
      </c>
      <c r="C16" s="26">
        <v>6</v>
      </c>
      <c r="D16" s="26">
        <v>26</v>
      </c>
      <c r="E16" s="26">
        <f t="shared" si="0"/>
        <v>20</v>
      </c>
      <c r="F16" s="26">
        <v>30</v>
      </c>
      <c r="G16" s="27" t="str">
        <f t="shared" si="1"/>
        <v>Pass</v>
      </c>
      <c r="H16" s="28">
        <v>1159</v>
      </c>
      <c r="I16" s="29" t="s">
        <v>32</v>
      </c>
      <c r="J16" s="22"/>
    </row>
    <row r="17" spans="1:10" ht="12.75" customHeight="1" x14ac:dyDescent="0.25">
      <c r="A17" s="202">
        <v>42522</v>
      </c>
      <c r="B17" s="17" t="s">
        <v>28</v>
      </c>
      <c r="C17" s="17">
        <v>37</v>
      </c>
      <c r="D17" s="17">
        <v>51</v>
      </c>
      <c r="E17" s="17">
        <f t="shared" si="0"/>
        <v>14</v>
      </c>
      <c r="F17" s="17">
        <v>30</v>
      </c>
      <c r="G17" s="19" t="str">
        <f t="shared" si="1"/>
        <v>Pass</v>
      </c>
      <c r="H17" s="20">
        <v>1428</v>
      </c>
      <c r="I17" s="25" t="s">
        <v>32</v>
      </c>
      <c r="J17" s="22"/>
    </row>
    <row r="18" spans="1:10" ht="12.75" customHeight="1" x14ac:dyDescent="0.25">
      <c r="A18" s="202">
        <v>42536</v>
      </c>
      <c r="B18" s="17" t="s">
        <v>28</v>
      </c>
      <c r="C18" s="17">
        <v>3</v>
      </c>
      <c r="D18" s="17">
        <v>25</v>
      </c>
      <c r="E18" s="17">
        <f t="shared" si="0"/>
        <v>22</v>
      </c>
      <c r="F18" s="17">
        <v>30</v>
      </c>
      <c r="G18" s="19" t="str">
        <f t="shared" si="1"/>
        <v>Pass</v>
      </c>
      <c r="H18" s="20">
        <v>1335</v>
      </c>
      <c r="I18" s="25" t="s">
        <v>32</v>
      </c>
      <c r="J18" s="22"/>
    </row>
    <row r="19" spans="1:10" ht="12.75" customHeight="1" x14ac:dyDescent="0.25">
      <c r="A19" s="202">
        <v>42542</v>
      </c>
      <c r="B19" s="17" t="s">
        <v>28</v>
      </c>
      <c r="C19" s="17">
        <v>8</v>
      </c>
      <c r="D19" s="17">
        <v>10</v>
      </c>
      <c r="E19" s="17">
        <f t="shared" si="0"/>
        <v>2</v>
      </c>
      <c r="F19" s="17">
        <v>30</v>
      </c>
      <c r="G19" s="19" t="str">
        <f t="shared" si="1"/>
        <v>Pass</v>
      </c>
      <c r="H19" s="17">
        <v>1400</v>
      </c>
      <c r="I19" s="21" t="s">
        <v>29</v>
      </c>
      <c r="J19" s="22"/>
    </row>
    <row r="20" spans="1:10" ht="12.75" customHeight="1" x14ac:dyDescent="0.25">
      <c r="A20" s="202">
        <v>42555</v>
      </c>
      <c r="B20" s="17" t="s">
        <v>28</v>
      </c>
      <c r="C20" s="17">
        <v>1</v>
      </c>
      <c r="D20" s="17">
        <v>13</v>
      </c>
      <c r="E20" s="17">
        <f t="shared" si="0"/>
        <v>12</v>
      </c>
      <c r="F20" s="17">
        <v>30</v>
      </c>
      <c r="G20" s="19" t="str">
        <f>IF(E20="","",IF(E20&lt;=30,"Pass","Fail"))</f>
        <v>Pass</v>
      </c>
      <c r="H20" s="17">
        <v>1400</v>
      </c>
      <c r="I20" s="25" t="s">
        <v>33</v>
      </c>
      <c r="J20" s="22"/>
    </row>
    <row r="21" spans="1:10" ht="12.75" customHeight="1" x14ac:dyDescent="0.25">
      <c r="A21" s="202">
        <v>42564</v>
      </c>
      <c r="B21" s="17" t="s">
        <v>28</v>
      </c>
      <c r="C21" s="17">
        <v>3</v>
      </c>
      <c r="D21" s="17">
        <v>20</v>
      </c>
      <c r="E21" s="17">
        <f t="shared" si="0"/>
        <v>17</v>
      </c>
      <c r="F21" s="17">
        <v>30</v>
      </c>
      <c r="G21" s="19" t="str">
        <f t="shared" si="1"/>
        <v>Pass</v>
      </c>
      <c r="H21" s="17">
        <v>1159</v>
      </c>
      <c r="I21" s="21" t="s">
        <v>29</v>
      </c>
      <c r="J21" s="22"/>
    </row>
    <row r="22" spans="1:10" ht="12.75" customHeight="1" x14ac:dyDescent="0.25">
      <c r="A22" s="202">
        <v>42577</v>
      </c>
      <c r="B22" s="17" t="s">
        <v>28</v>
      </c>
      <c r="C22" s="17">
        <v>9</v>
      </c>
      <c r="D22" s="17">
        <v>83</v>
      </c>
      <c r="E22" s="17">
        <f t="shared" si="0"/>
        <v>74</v>
      </c>
      <c r="F22" s="17">
        <v>30</v>
      </c>
      <c r="G22" s="19" t="str">
        <f t="shared" si="1"/>
        <v>Fail</v>
      </c>
      <c r="H22" s="17">
        <v>1335</v>
      </c>
      <c r="I22" s="21" t="s">
        <v>29</v>
      </c>
      <c r="J22" s="22"/>
    </row>
    <row r="23" spans="1:10" ht="12.75" customHeight="1" x14ac:dyDescent="0.25">
      <c r="A23" s="202">
        <v>42577</v>
      </c>
      <c r="B23" s="17" t="s">
        <v>28</v>
      </c>
      <c r="C23" s="17">
        <v>9</v>
      </c>
      <c r="D23" s="17">
        <v>49</v>
      </c>
      <c r="E23" s="17">
        <f t="shared" si="0"/>
        <v>40</v>
      </c>
      <c r="F23" s="17">
        <v>30</v>
      </c>
      <c r="G23" s="19" t="str">
        <f t="shared" si="1"/>
        <v>Fail</v>
      </c>
      <c r="H23" s="17">
        <v>1335</v>
      </c>
      <c r="I23" s="21" t="s">
        <v>29</v>
      </c>
      <c r="J23" s="22"/>
    </row>
    <row r="24" spans="1:10" ht="12.75" customHeight="1" x14ac:dyDescent="0.25">
      <c r="A24" s="202">
        <v>42577</v>
      </c>
      <c r="B24" s="17" t="s">
        <v>28</v>
      </c>
      <c r="C24" s="17">
        <v>2</v>
      </c>
      <c r="D24" s="17">
        <v>19</v>
      </c>
      <c r="E24" s="17">
        <f t="shared" si="0"/>
        <v>17</v>
      </c>
      <c r="F24" s="17">
        <v>30</v>
      </c>
      <c r="G24" s="19" t="str">
        <f t="shared" si="1"/>
        <v>Pass</v>
      </c>
      <c r="H24" s="17">
        <v>1335</v>
      </c>
      <c r="I24" s="21" t="s">
        <v>29</v>
      </c>
      <c r="J24" s="22"/>
    </row>
    <row r="25" spans="1:10" ht="12.75" customHeight="1" x14ac:dyDescent="0.25">
      <c r="A25" s="202">
        <v>42584</v>
      </c>
      <c r="B25" s="17" t="s">
        <v>28</v>
      </c>
      <c r="C25" s="17">
        <v>1</v>
      </c>
      <c r="D25" s="17">
        <v>6</v>
      </c>
      <c r="E25" s="17">
        <f t="shared" si="0"/>
        <v>5</v>
      </c>
      <c r="F25" s="17">
        <v>30</v>
      </c>
      <c r="G25" s="19" t="str">
        <f t="shared" si="1"/>
        <v>Pass</v>
      </c>
      <c r="H25" s="17">
        <v>1159</v>
      </c>
      <c r="I25" s="25" t="s">
        <v>34</v>
      </c>
      <c r="J25" s="22"/>
    </row>
    <row r="26" spans="1:10" ht="12.75" customHeight="1" x14ac:dyDescent="0.25">
      <c r="A26" s="202">
        <v>42584</v>
      </c>
      <c r="B26" s="17" t="s">
        <v>28</v>
      </c>
      <c r="C26" s="17">
        <v>7</v>
      </c>
      <c r="D26" s="17">
        <v>13</v>
      </c>
      <c r="E26" s="17">
        <f t="shared" si="0"/>
        <v>6</v>
      </c>
      <c r="F26" s="17">
        <v>30</v>
      </c>
      <c r="G26" s="19" t="str">
        <f t="shared" si="1"/>
        <v>Pass</v>
      </c>
      <c r="H26" s="17">
        <v>1159</v>
      </c>
      <c r="I26" s="25" t="s">
        <v>35</v>
      </c>
      <c r="J26" s="22"/>
    </row>
    <row r="27" spans="1:10" ht="12.75" customHeight="1" x14ac:dyDescent="0.25">
      <c r="A27" s="202">
        <v>42590</v>
      </c>
      <c r="B27" s="17" t="s">
        <v>28</v>
      </c>
      <c r="C27" s="17">
        <v>14</v>
      </c>
      <c r="D27" s="17">
        <v>62</v>
      </c>
      <c r="E27" s="17">
        <f t="shared" si="0"/>
        <v>48</v>
      </c>
      <c r="F27" s="17">
        <v>30</v>
      </c>
      <c r="G27" s="19" t="str">
        <f t="shared" si="1"/>
        <v>Fail</v>
      </c>
      <c r="H27" s="17">
        <v>1159</v>
      </c>
      <c r="I27" s="25" t="s">
        <v>36</v>
      </c>
      <c r="J27" s="22"/>
    </row>
    <row r="28" spans="1:10" ht="12.75" customHeight="1" x14ac:dyDescent="0.25">
      <c r="A28" s="202">
        <v>42590</v>
      </c>
      <c r="B28" s="17" t="s">
        <v>28</v>
      </c>
      <c r="C28" s="17">
        <v>1</v>
      </c>
      <c r="D28" s="17">
        <v>4</v>
      </c>
      <c r="E28" s="17">
        <f t="shared" si="0"/>
        <v>3</v>
      </c>
      <c r="F28" s="17">
        <v>30</v>
      </c>
      <c r="G28" s="19" t="str">
        <f t="shared" si="1"/>
        <v>Pass</v>
      </c>
      <c r="H28" s="17">
        <v>1159</v>
      </c>
      <c r="I28" s="25" t="s">
        <v>37</v>
      </c>
      <c r="J28" s="22"/>
    </row>
    <row r="29" spans="1:10" ht="12.75" customHeight="1" x14ac:dyDescent="0.25">
      <c r="A29" s="202">
        <v>42593</v>
      </c>
      <c r="B29" s="17" t="s">
        <v>28</v>
      </c>
      <c r="C29" s="17">
        <v>3</v>
      </c>
      <c r="D29" s="17">
        <v>23</v>
      </c>
      <c r="E29" s="17">
        <f t="shared" si="0"/>
        <v>20</v>
      </c>
      <c r="F29" s="17">
        <v>30</v>
      </c>
      <c r="G29" s="19" t="str">
        <f t="shared" si="1"/>
        <v>Pass</v>
      </c>
      <c r="H29" s="17">
        <v>1159</v>
      </c>
      <c r="I29" s="25" t="s">
        <v>38</v>
      </c>
      <c r="J29" s="22"/>
    </row>
    <row r="30" spans="1:10" ht="12.75" customHeight="1" x14ac:dyDescent="0.25">
      <c r="A30" s="202">
        <v>42598</v>
      </c>
      <c r="B30" s="17" t="s">
        <v>28</v>
      </c>
      <c r="C30" s="17">
        <v>2</v>
      </c>
      <c r="D30" s="17">
        <v>26</v>
      </c>
      <c r="E30" s="17">
        <f t="shared" si="0"/>
        <v>24</v>
      </c>
      <c r="F30" s="17">
        <v>30</v>
      </c>
      <c r="G30" s="19" t="str">
        <f t="shared" si="1"/>
        <v>Pass</v>
      </c>
      <c r="H30" s="17">
        <v>1428</v>
      </c>
      <c r="I30" s="30" t="s">
        <v>39</v>
      </c>
      <c r="J30" s="22"/>
    </row>
    <row r="31" spans="1:10" ht="12.75" customHeight="1" x14ac:dyDescent="0.25">
      <c r="A31" s="202">
        <v>42601</v>
      </c>
      <c r="B31" s="17" t="s">
        <v>40</v>
      </c>
      <c r="C31" s="17">
        <v>0</v>
      </c>
      <c r="D31" s="17">
        <v>10</v>
      </c>
      <c r="E31" s="17">
        <f t="shared" si="0"/>
        <v>10</v>
      </c>
      <c r="F31" s="17">
        <v>30</v>
      </c>
      <c r="G31" s="19" t="str">
        <f t="shared" si="1"/>
        <v>Pass</v>
      </c>
      <c r="H31" s="17">
        <v>1335</v>
      </c>
      <c r="I31" s="30" t="s">
        <v>41</v>
      </c>
      <c r="J31" s="22"/>
    </row>
    <row r="32" spans="1:10" ht="12.75" customHeight="1" x14ac:dyDescent="0.25">
      <c r="A32" s="202">
        <v>42606</v>
      </c>
      <c r="B32" s="17" t="s">
        <v>40</v>
      </c>
      <c r="C32" s="17">
        <v>11</v>
      </c>
      <c r="D32" s="17">
        <v>18</v>
      </c>
      <c r="E32" s="17">
        <f t="shared" si="0"/>
        <v>7</v>
      </c>
      <c r="F32" s="17">
        <v>30</v>
      </c>
      <c r="G32" s="19" t="str">
        <f t="shared" si="1"/>
        <v>Pass</v>
      </c>
      <c r="H32" s="17">
        <v>1335</v>
      </c>
      <c r="I32" s="30" t="s">
        <v>42</v>
      </c>
      <c r="J32" s="22"/>
    </row>
    <row r="33" spans="1:10" ht="12.75" customHeight="1" x14ac:dyDescent="0.25">
      <c r="A33" s="202">
        <v>42610</v>
      </c>
      <c r="B33" s="17" t="s">
        <v>28</v>
      </c>
      <c r="C33" s="17">
        <v>22</v>
      </c>
      <c r="D33" s="17">
        <v>41</v>
      </c>
      <c r="E33" s="17">
        <f t="shared" si="0"/>
        <v>19</v>
      </c>
      <c r="F33" s="17">
        <v>30</v>
      </c>
      <c r="G33" s="19" t="str">
        <f t="shared" si="1"/>
        <v>Pass</v>
      </c>
      <c r="H33" s="17">
        <v>1400</v>
      </c>
      <c r="I33" s="30" t="s">
        <v>43</v>
      </c>
      <c r="J33" s="22"/>
    </row>
    <row r="34" spans="1:10" ht="12.75" customHeight="1" x14ac:dyDescent="0.25">
      <c r="A34" s="202">
        <v>42614</v>
      </c>
      <c r="B34" s="17" t="s">
        <v>28</v>
      </c>
      <c r="C34" s="17">
        <v>2</v>
      </c>
      <c r="D34" s="17">
        <v>29</v>
      </c>
      <c r="E34" s="17">
        <f t="shared" si="0"/>
        <v>27</v>
      </c>
      <c r="F34" s="17">
        <v>30</v>
      </c>
      <c r="G34" s="19" t="str">
        <f t="shared" si="1"/>
        <v>Pass</v>
      </c>
      <c r="H34" s="17">
        <v>1159</v>
      </c>
      <c r="I34" s="30" t="s">
        <v>44</v>
      </c>
      <c r="J34" s="22"/>
    </row>
    <row r="35" spans="1:10" ht="12.75" customHeight="1" x14ac:dyDescent="0.25">
      <c r="A35" s="202">
        <v>42624</v>
      </c>
      <c r="B35" s="17" t="s">
        <v>28</v>
      </c>
      <c r="C35" s="17">
        <v>4</v>
      </c>
      <c r="D35" s="17">
        <v>15</v>
      </c>
      <c r="E35" s="17">
        <f t="shared" si="0"/>
        <v>11</v>
      </c>
      <c r="F35" s="17">
        <v>30</v>
      </c>
      <c r="G35" s="19" t="str">
        <f t="shared" si="1"/>
        <v>Pass</v>
      </c>
      <c r="H35" s="17">
        <v>1159</v>
      </c>
      <c r="I35" s="30" t="s">
        <v>45</v>
      </c>
      <c r="J35" s="22"/>
    </row>
    <row r="36" spans="1:10" ht="12.75" customHeight="1" x14ac:dyDescent="0.25">
      <c r="A36" s="202">
        <v>42633</v>
      </c>
      <c r="B36" s="17" t="s">
        <v>28</v>
      </c>
      <c r="C36" s="17">
        <v>1</v>
      </c>
      <c r="D36" s="17">
        <v>20</v>
      </c>
      <c r="E36" s="17">
        <f t="shared" si="0"/>
        <v>19</v>
      </c>
      <c r="F36" s="17">
        <v>30</v>
      </c>
      <c r="G36" s="19" t="str">
        <f t="shared" si="1"/>
        <v>Pass</v>
      </c>
      <c r="H36" s="17">
        <v>1159</v>
      </c>
      <c r="I36" s="30" t="s">
        <v>46</v>
      </c>
      <c r="J36" s="22"/>
    </row>
    <row r="37" spans="1:10" ht="12.75" customHeight="1" x14ac:dyDescent="0.25">
      <c r="A37" s="202">
        <v>42641</v>
      </c>
      <c r="B37" s="17" t="s">
        <v>28</v>
      </c>
      <c r="C37" s="17">
        <v>29</v>
      </c>
      <c r="D37" s="17">
        <v>38</v>
      </c>
      <c r="E37" s="17">
        <f t="shared" si="0"/>
        <v>9</v>
      </c>
      <c r="F37" s="17">
        <v>30</v>
      </c>
      <c r="G37" s="19" t="str">
        <f t="shared" si="1"/>
        <v>Pass</v>
      </c>
      <c r="H37" s="17">
        <v>1400</v>
      </c>
      <c r="I37" s="30" t="s">
        <v>47</v>
      </c>
      <c r="J37" s="22"/>
    </row>
    <row r="38" spans="1:10" ht="12.75" customHeight="1" x14ac:dyDescent="0.25">
      <c r="A38" s="202">
        <v>42646</v>
      </c>
      <c r="B38" s="17" t="s">
        <v>28</v>
      </c>
      <c r="C38" s="17">
        <v>2</v>
      </c>
      <c r="D38" s="17">
        <v>9</v>
      </c>
      <c r="E38" s="17">
        <f t="shared" si="0"/>
        <v>7</v>
      </c>
      <c r="F38" s="17">
        <v>30</v>
      </c>
      <c r="G38" s="19" t="str">
        <f t="shared" si="1"/>
        <v>Pass</v>
      </c>
      <c r="H38" s="17">
        <v>1400</v>
      </c>
      <c r="I38" s="30" t="s">
        <v>48</v>
      </c>
      <c r="J38" s="22"/>
    </row>
    <row r="39" spans="1:10" ht="12.75" customHeight="1" x14ac:dyDescent="0.25">
      <c r="A39" s="202">
        <v>42662</v>
      </c>
      <c r="B39" s="17" t="s">
        <v>28</v>
      </c>
      <c r="C39" s="17">
        <v>34</v>
      </c>
      <c r="D39" s="17">
        <v>44</v>
      </c>
      <c r="E39" s="17">
        <f t="shared" si="0"/>
        <v>10</v>
      </c>
      <c r="F39" s="17">
        <v>30</v>
      </c>
      <c r="G39" s="19" t="str">
        <f t="shared" si="1"/>
        <v>Pass</v>
      </c>
      <c r="H39" s="17">
        <v>1400</v>
      </c>
      <c r="I39" s="30" t="s">
        <v>49</v>
      </c>
      <c r="J39" s="22"/>
    </row>
    <row r="40" spans="1:10" ht="12.75" customHeight="1" x14ac:dyDescent="0.25">
      <c r="A40" s="203">
        <v>42662</v>
      </c>
      <c r="B40" s="32" t="s">
        <v>28</v>
      </c>
      <c r="C40" s="26">
        <v>2</v>
      </c>
      <c r="D40" s="26">
        <v>10</v>
      </c>
      <c r="E40" s="26">
        <f t="shared" si="0"/>
        <v>8</v>
      </c>
      <c r="F40" s="32">
        <v>30</v>
      </c>
      <c r="G40" s="27" t="str">
        <f t="shared" si="1"/>
        <v>Pass</v>
      </c>
      <c r="H40" s="32">
        <v>1335</v>
      </c>
      <c r="I40" s="196" t="s">
        <v>50</v>
      </c>
      <c r="J40" s="106"/>
    </row>
    <row r="41" spans="1:10" ht="12.75" customHeight="1" x14ac:dyDescent="0.25">
      <c r="A41" s="202">
        <v>42675</v>
      </c>
      <c r="B41" s="32" t="s">
        <v>28</v>
      </c>
      <c r="C41" s="17">
        <v>1</v>
      </c>
      <c r="D41" s="17">
        <v>13</v>
      </c>
      <c r="E41" s="17">
        <f t="shared" si="0"/>
        <v>12</v>
      </c>
      <c r="F41" s="17">
        <v>30</v>
      </c>
      <c r="G41" s="19" t="str">
        <f t="shared" si="1"/>
        <v>Pass</v>
      </c>
      <c r="H41" s="195">
        <v>1335</v>
      </c>
      <c r="I41" s="22" t="s">
        <v>51</v>
      </c>
      <c r="J41" s="22"/>
    </row>
    <row r="42" spans="1:10" ht="12.75" customHeight="1" x14ac:dyDescent="0.25">
      <c r="A42" s="202">
        <v>42682</v>
      </c>
      <c r="B42" s="17" t="s">
        <v>28</v>
      </c>
      <c r="C42" s="17">
        <v>7</v>
      </c>
      <c r="D42" s="17">
        <v>25</v>
      </c>
      <c r="E42" s="17">
        <f t="shared" si="0"/>
        <v>18</v>
      </c>
      <c r="F42" s="17">
        <v>30</v>
      </c>
      <c r="G42" s="19" t="str">
        <f t="shared" si="1"/>
        <v>Pass</v>
      </c>
      <c r="H42" s="195">
        <v>1428</v>
      </c>
      <c r="I42" s="22"/>
      <c r="J42" s="22"/>
    </row>
    <row r="43" spans="1:10" ht="12.75" customHeight="1" x14ac:dyDescent="0.25">
      <c r="A43" s="202">
        <v>42699</v>
      </c>
      <c r="B43" s="17" t="s">
        <v>28</v>
      </c>
      <c r="C43" s="17">
        <v>11</v>
      </c>
      <c r="D43" s="17">
        <v>17</v>
      </c>
      <c r="E43" s="17">
        <f t="shared" si="0"/>
        <v>6</v>
      </c>
      <c r="F43" s="17">
        <v>30</v>
      </c>
      <c r="G43" s="19" t="str">
        <f t="shared" si="1"/>
        <v>Pass</v>
      </c>
      <c r="H43" s="195">
        <v>1335</v>
      </c>
      <c r="I43" s="22" t="s">
        <v>29</v>
      </c>
      <c r="J43" s="22"/>
    </row>
    <row r="44" spans="1:10" ht="12.75" customHeight="1" x14ac:dyDescent="0.25">
      <c r="A44" s="202">
        <v>42709</v>
      </c>
      <c r="B44" s="17" t="s">
        <v>28</v>
      </c>
      <c r="C44" s="17">
        <v>57</v>
      </c>
      <c r="D44" s="17">
        <v>173</v>
      </c>
      <c r="E44" s="17">
        <f t="shared" si="0"/>
        <v>116</v>
      </c>
      <c r="F44" s="17">
        <v>30</v>
      </c>
      <c r="G44" s="19" t="str">
        <f t="shared" si="1"/>
        <v>Fail</v>
      </c>
      <c r="H44" s="195">
        <v>102</v>
      </c>
      <c r="I44" s="22" t="s">
        <v>29</v>
      </c>
      <c r="J44" s="22"/>
    </row>
    <row r="45" spans="1:10" ht="12.75" customHeight="1" x14ac:dyDescent="0.25">
      <c r="A45" s="202">
        <v>42709</v>
      </c>
      <c r="B45" s="17" t="s">
        <v>28</v>
      </c>
      <c r="C45" s="17">
        <v>1</v>
      </c>
      <c r="D45" s="17">
        <v>22</v>
      </c>
      <c r="E45" s="17">
        <f t="shared" si="0"/>
        <v>21</v>
      </c>
      <c r="F45" s="17">
        <v>30</v>
      </c>
      <c r="G45" s="19" t="str">
        <f t="shared" si="1"/>
        <v>Pass</v>
      </c>
      <c r="H45" s="195">
        <v>102</v>
      </c>
      <c r="I45" s="22" t="s">
        <v>52</v>
      </c>
      <c r="J45" s="22"/>
    </row>
    <row r="46" spans="1:10" ht="12.75" customHeight="1" x14ac:dyDescent="0.25">
      <c r="A46" s="202">
        <v>42717</v>
      </c>
      <c r="B46" s="17" t="s">
        <v>28</v>
      </c>
      <c r="C46" s="17">
        <v>5</v>
      </c>
      <c r="D46" s="17">
        <v>35</v>
      </c>
      <c r="E46" s="17">
        <f t="shared" si="0"/>
        <v>30</v>
      </c>
      <c r="F46" s="17">
        <v>30</v>
      </c>
      <c r="G46" s="19" t="str">
        <f t="shared" si="1"/>
        <v>Pass</v>
      </c>
      <c r="H46" s="195">
        <v>1159</v>
      </c>
      <c r="I46" s="22" t="s">
        <v>53</v>
      </c>
      <c r="J46" s="22"/>
    </row>
    <row r="47" spans="1:10" ht="12.75" customHeight="1" x14ac:dyDescent="0.25">
      <c r="A47" s="202">
        <v>42720</v>
      </c>
      <c r="B47" s="17" t="s">
        <v>28</v>
      </c>
      <c r="C47" s="17">
        <v>4</v>
      </c>
      <c r="D47" s="17">
        <v>16</v>
      </c>
      <c r="E47" s="17">
        <f t="shared" si="0"/>
        <v>12</v>
      </c>
      <c r="F47" s="17">
        <v>30</v>
      </c>
      <c r="G47" s="19" t="str">
        <f t="shared" si="1"/>
        <v>Pass</v>
      </c>
      <c r="H47" s="195">
        <v>1400</v>
      </c>
      <c r="I47" s="22" t="s">
        <v>54</v>
      </c>
      <c r="J47" s="22"/>
    </row>
    <row r="48" spans="1:10" ht="12.75" customHeight="1" x14ac:dyDescent="0.25">
      <c r="A48" s="202">
        <v>42724</v>
      </c>
      <c r="B48" s="17" t="s">
        <v>28</v>
      </c>
      <c r="C48" s="17">
        <v>3</v>
      </c>
      <c r="D48" s="17">
        <v>20</v>
      </c>
      <c r="E48" s="17">
        <f t="shared" si="0"/>
        <v>17</v>
      </c>
      <c r="F48" s="17">
        <v>30</v>
      </c>
      <c r="G48" s="19" t="str">
        <f t="shared" si="1"/>
        <v>Pass</v>
      </c>
      <c r="H48" s="195">
        <v>1159</v>
      </c>
      <c r="I48" s="22" t="s">
        <v>55</v>
      </c>
      <c r="J48" s="22"/>
    </row>
    <row r="49" spans="1:10" ht="12.75" customHeight="1" x14ac:dyDescent="0.25">
      <c r="A49" s="202">
        <v>42727</v>
      </c>
      <c r="B49" s="17" t="s">
        <v>28</v>
      </c>
      <c r="C49" s="17">
        <v>3</v>
      </c>
      <c r="D49" s="17">
        <v>11</v>
      </c>
      <c r="E49" s="17">
        <f t="shared" si="0"/>
        <v>8</v>
      </c>
      <c r="F49" s="17">
        <v>30</v>
      </c>
      <c r="G49" s="19" t="str">
        <f t="shared" si="1"/>
        <v>Pass</v>
      </c>
      <c r="H49" s="195">
        <v>1428</v>
      </c>
      <c r="I49" s="35" t="s">
        <v>29</v>
      </c>
      <c r="J49" s="22"/>
    </row>
    <row r="50" spans="1:10" ht="12.75" customHeight="1" x14ac:dyDescent="0.25">
      <c r="A50" s="202">
        <v>42732</v>
      </c>
      <c r="B50" s="17" t="s">
        <v>28</v>
      </c>
      <c r="C50" s="17">
        <v>3</v>
      </c>
      <c r="D50" s="17">
        <v>13</v>
      </c>
      <c r="E50" s="17">
        <f t="shared" si="0"/>
        <v>10</v>
      </c>
      <c r="F50" s="17">
        <v>30</v>
      </c>
      <c r="G50" s="19" t="str">
        <f t="shared" si="1"/>
        <v>Pass</v>
      </c>
      <c r="H50" s="195">
        <v>1335</v>
      </c>
      <c r="I50" s="35" t="s">
        <v>29</v>
      </c>
      <c r="J50" s="22"/>
    </row>
    <row r="51" spans="1:10" ht="12.75" customHeight="1" x14ac:dyDescent="0.25">
      <c r="A51" s="202">
        <v>42739</v>
      </c>
      <c r="B51" s="17" t="s">
        <v>28</v>
      </c>
      <c r="C51" s="17">
        <v>4</v>
      </c>
      <c r="D51" s="17">
        <v>16</v>
      </c>
      <c r="E51" s="17">
        <f t="shared" si="0"/>
        <v>12</v>
      </c>
      <c r="F51" s="17">
        <v>30</v>
      </c>
      <c r="G51" s="19" t="str">
        <f t="shared" si="1"/>
        <v>Pass</v>
      </c>
      <c r="H51" s="195">
        <v>1335</v>
      </c>
      <c r="I51" s="35" t="s">
        <v>29</v>
      </c>
      <c r="J51" s="22"/>
    </row>
    <row r="52" spans="1:10" ht="12.75" customHeight="1" x14ac:dyDescent="0.25">
      <c r="A52" s="202">
        <v>42743</v>
      </c>
      <c r="B52" s="17" t="s">
        <v>28</v>
      </c>
      <c r="C52" s="17">
        <v>3</v>
      </c>
      <c r="D52" s="17">
        <v>10</v>
      </c>
      <c r="E52" s="17">
        <f t="shared" si="0"/>
        <v>7</v>
      </c>
      <c r="F52" s="17">
        <v>30</v>
      </c>
      <c r="G52" s="19" t="str">
        <f t="shared" si="1"/>
        <v>Pass</v>
      </c>
      <c r="H52" s="17">
        <v>1400</v>
      </c>
      <c r="I52" s="30" t="s">
        <v>56</v>
      </c>
      <c r="J52" s="22"/>
    </row>
    <row r="53" spans="1:10" ht="12.75" customHeight="1" x14ac:dyDescent="0.25">
      <c r="A53" s="202">
        <v>42760</v>
      </c>
      <c r="B53" s="17" t="s">
        <v>28</v>
      </c>
      <c r="C53" s="17">
        <v>4</v>
      </c>
      <c r="D53" s="17">
        <v>30</v>
      </c>
      <c r="E53" s="17">
        <f t="shared" si="0"/>
        <v>26</v>
      </c>
      <c r="F53" s="17">
        <v>30</v>
      </c>
      <c r="G53" s="19" t="str">
        <f t="shared" si="1"/>
        <v>Pass</v>
      </c>
      <c r="H53" s="17">
        <v>1400</v>
      </c>
      <c r="I53" s="30" t="s">
        <v>57</v>
      </c>
      <c r="J53" s="22"/>
    </row>
    <row r="54" spans="1:10" ht="12.75" customHeight="1" x14ac:dyDescent="0.25">
      <c r="A54" s="202">
        <v>42772</v>
      </c>
      <c r="B54" s="17" t="s">
        <v>28</v>
      </c>
      <c r="C54" s="17">
        <v>17</v>
      </c>
      <c r="D54" s="17">
        <v>39</v>
      </c>
      <c r="E54" s="17">
        <f t="shared" si="0"/>
        <v>22</v>
      </c>
      <c r="F54" s="17">
        <v>30</v>
      </c>
      <c r="G54" s="19" t="str">
        <f t="shared" si="1"/>
        <v>Pass</v>
      </c>
      <c r="H54" s="17">
        <v>1400</v>
      </c>
      <c r="I54" s="30" t="s">
        <v>58</v>
      </c>
      <c r="J54" s="22"/>
    </row>
    <row r="55" spans="1:10" ht="12.75" customHeight="1" x14ac:dyDescent="0.25">
      <c r="A55" s="202">
        <v>42783</v>
      </c>
      <c r="B55" s="17" t="s">
        <v>28</v>
      </c>
      <c r="C55" s="17">
        <v>12</v>
      </c>
      <c r="D55" s="17">
        <v>12</v>
      </c>
      <c r="E55" s="17">
        <f t="shared" si="0"/>
        <v>0</v>
      </c>
      <c r="F55" s="17">
        <v>30</v>
      </c>
      <c r="G55" s="19" t="str">
        <f t="shared" si="1"/>
        <v>Pass</v>
      </c>
      <c r="H55" s="17">
        <v>1400</v>
      </c>
      <c r="I55" s="30" t="s">
        <v>59</v>
      </c>
      <c r="J55" s="22"/>
    </row>
    <row r="56" spans="1:10" ht="12.75" customHeight="1" x14ac:dyDescent="0.25">
      <c r="A56" s="202">
        <v>42786</v>
      </c>
      <c r="B56" s="17" t="s">
        <v>28</v>
      </c>
      <c r="C56" s="17">
        <v>12</v>
      </c>
      <c r="D56" s="17">
        <v>15</v>
      </c>
      <c r="E56" s="17">
        <f t="shared" si="0"/>
        <v>3</v>
      </c>
      <c r="F56" s="17">
        <v>30</v>
      </c>
      <c r="G56" s="19" t="str">
        <f t="shared" si="1"/>
        <v>Pass</v>
      </c>
      <c r="H56" s="17">
        <v>1400</v>
      </c>
      <c r="I56" s="30" t="s">
        <v>60</v>
      </c>
      <c r="J56" s="22"/>
    </row>
    <row r="57" spans="1:10" ht="12.75" customHeight="1" x14ac:dyDescent="0.25">
      <c r="A57" s="202">
        <v>42800</v>
      </c>
      <c r="B57" s="17" t="s">
        <v>28</v>
      </c>
      <c r="C57" s="17">
        <v>3</v>
      </c>
      <c r="D57" s="17">
        <v>5</v>
      </c>
      <c r="E57" s="17">
        <f t="shared" si="0"/>
        <v>2</v>
      </c>
      <c r="F57" s="17">
        <v>30</v>
      </c>
      <c r="G57" s="19" t="str">
        <f t="shared" si="1"/>
        <v>Pass</v>
      </c>
      <c r="H57" s="17">
        <v>1335</v>
      </c>
      <c r="I57" s="30" t="s">
        <v>60</v>
      </c>
      <c r="J57" s="22"/>
    </row>
    <row r="58" spans="1:10" ht="12.75" customHeight="1" x14ac:dyDescent="0.25">
      <c r="A58" s="202">
        <v>42809</v>
      </c>
      <c r="B58" s="17" t="s">
        <v>28</v>
      </c>
      <c r="C58" s="17">
        <v>6</v>
      </c>
      <c r="D58" s="17">
        <v>17</v>
      </c>
      <c r="E58" s="17">
        <f t="shared" si="0"/>
        <v>11</v>
      </c>
      <c r="F58" s="17">
        <v>30</v>
      </c>
      <c r="G58" s="19" t="str">
        <f t="shared" si="1"/>
        <v>Pass</v>
      </c>
      <c r="H58" s="17">
        <v>1400</v>
      </c>
      <c r="I58" s="30" t="s">
        <v>61</v>
      </c>
      <c r="J58" s="22"/>
    </row>
    <row r="59" spans="1:10" ht="12.75" customHeight="1" x14ac:dyDescent="0.25">
      <c r="A59" s="202">
        <v>42815</v>
      </c>
      <c r="B59" s="17" t="s">
        <v>28</v>
      </c>
      <c r="C59" s="17">
        <v>10</v>
      </c>
      <c r="D59" s="17">
        <v>13</v>
      </c>
      <c r="E59" s="17">
        <f t="shared" si="0"/>
        <v>3</v>
      </c>
      <c r="F59" s="17">
        <v>30</v>
      </c>
      <c r="G59" s="19" t="str">
        <f t="shared" si="1"/>
        <v>Pass</v>
      </c>
      <c r="H59" s="17">
        <v>64</v>
      </c>
      <c r="I59" s="30" t="s">
        <v>61</v>
      </c>
      <c r="J59" s="22"/>
    </row>
    <row r="60" spans="1:10" ht="12.75" customHeight="1" x14ac:dyDescent="0.25">
      <c r="A60" s="202">
        <v>42822</v>
      </c>
      <c r="B60" s="17" t="s">
        <v>28</v>
      </c>
      <c r="C60" s="17">
        <v>7</v>
      </c>
      <c r="D60" s="17">
        <v>37</v>
      </c>
      <c r="E60" s="17">
        <f t="shared" si="0"/>
        <v>30</v>
      </c>
      <c r="F60" s="17">
        <v>30</v>
      </c>
      <c r="G60" s="19" t="str">
        <f t="shared" si="1"/>
        <v>Pass</v>
      </c>
      <c r="H60" s="17">
        <v>1159</v>
      </c>
      <c r="I60" s="30" t="s">
        <v>62</v>
      </c>
      <c r="J60" s="22"/>
    </row>
    <row r="61" spans="1:10" ht="12.75" customHeight="1" x14ac:dyDescent="0.25">
      <c r="A61" s="202">
        <v>42836</v>
      </c>
      <c r="B61" s="17" t="s">
        <v>28</v>
      </c>
      <c r="C61" s="17">
        <v>15</v>
      </c>
      <c r="D61" s="17">
        <v>41</v>
      </c>
      <c r="E61" s="17">
        <f t="shared" si="0"/>
        <v>26</v>
      </c>
      <c r="F61" s="17">
        <v>30</v>
      </c>
      <c r="G61" s="19" t="str">
        <f t="shared" si="1"/>
        <v>Pass</v>
      </c>
      <c r="H61" s="17">
        <v>1400</v>
      </c>
      <c r="I61" s="30" t="s">
        <v>63</v>
      </c>
      <c r="J61" s="22"/>
    </row>
    <row r="62" spans="1:10" ht="12.75" customHeight="1" x14ac:dyDescent="0.25">
      <c r="A62" s="202">
        <v>42843</v>
      </c>
      <c r="B62" s="17" t="s">
        <v>28</v>
      </c>
      <c r="C62" s="17">
        <v>7</v>
      </c>
      <c r="D62" s="17">
        <v>15</v>
      </c>
      <c r="E62" s="17">
        <f t="shared" si="0"/>
        <v>8</v>
      </c>
      <c r="F62" s="17">
        <v>30</v>
      </c>
      <c r="G62" s="19" t="str">
        <f t="shared" si="1"/>
        <v>Pass</v>
      </c>
      <c r="H62" s="17">
        <v>1159</v>
      </c>
      <c r="I62" s="30" t="s">
        <v>64</v>
      </c>
      <c r="J62" s="22"/>
    </row>
    <row r="63" spans="1:10" ht="12.75" customHeight="1" x14ac:dyDescent="0.25">
      <c r="A63" s="202">
        <v>42846</v>
      </c>
      <c r="B63" s="17" t="s">
        <v>28</v>
      </c>
      <c r="C63" s="17">
        <v>8</v>
      </c>
      <c r="D63" s="17">
        <v>18</v>
      </c>
      <c r="E63" s="17">
        <f t="shared" si="0"/>
        <v>10</v>
      </c>
      <c r="F63" s="17">
        <v>30</v>
      </c>
      <c r="G63" s="19" t="str">
        <f t="shared" si="1"/>
        <v>Pass</v>
      </c>
      <c r="H63" s="17">
        <v>1159</v>
      </c>
      <c r="I63" s="30" t="s">
        <v>44</v>
      </c>
      <c r="J63" s="22"/>
    </row>
    <row r="64" spans="1:10" ht="12.75" customHeight="1" x14ac:dyDescent="0.25">
      <c r="A64" s="202">
        <v>42850</v>
      </c>
      <c r="B64" s="17" t="s">
        <v>28</v>
      </c>
      <c r="C64" s="17">
        <v>11</v>
      </c>
      <c r="D64" s="17">
        <v>104</v>
      </c>
      <c r="E64" s="17">
        <f t="shared" si="0"/>
        <v>93</v>
      </c>
      <c r="F64" s="17">
        <v>30</v>
      </c>
      <c r="G64" s="19" t="str">
        <f t="shared" si="1"/>
        <v>Fail</v>
      </c>
      <c r="H64" s="194">
        <v>1335</v>
      </c>
      <c r="I64" s="30" t="s">
        <v>65</v>
      </c>
      <c r="J64" s="22"/>
    </row>
    <row r="65" spans="1:10" ht="12.75" customHeight="1" x14ac:dyDescent="0.25">
      <c r="A65" s="202">
        <v>42850</v>
      </c>
      <c r="B65" s="17" t="s">
        <v>28</v>
      </c>
      <c r="C65" s="17">
        <v>4</v>
      </c>
      <c r="D65" s="17">
        <v>14</v>
      </c>
      <c r="E65" s="17">
        <f t="shared" si="0"/>
        <v>10</v>
      </c>
      <c r="F65" s="17">
        <v>30</v>
      </c>
      <c r="G65" s="19" t="str">
        <f t="shared" si="1"/>
        <v>Pass</v>
      </c>
      <c r="H65" s="194">
        <v>1335</v>
      </c>
      <c r="I65" s="30" t="s">
        <v>66</v>
      </c>
      <c r="J65" s="22"/>
    </row>
    <row r="66" spans="1:10" ht="12.75" customHeight="1" x14ac:dyDescent="0.25">
      <c r="A66" s="202">
        <v>42859</v>
      </c>
      <c r="B66" s="17" t="s">
        <v>28</v>
      </c>
      <c r="C66" s="17">
        <v>4</v>
      </c>
      <c r="D66" s="17">
        <v>74</v>
      </c>
      <c r="E66" s="17">
        <f t="shared" si="0"/>
        <v>70</v>
      </c>
      <c r="F66" s="17">
        <v>30</v>
      </c>
      <c r="G66" s="19" t="str">
        <f t="shared" si="1"/>
        <v>Fail</v>
      </c>
      <c r="H66" s="194">
        <v>1335</v>
      </c>
      <c r="I66" s="30"/>
      <c r="J66" s="22"/>
    </row>
    <row r="67" spans="1:10" ht="12.75" customHeight="1" x14ac:dyDescent="0.25">
      <c r="A67" s="202">
        <v>42862</v>
      </c>
      <c r="B67" s="17" t="s">
        <v>28</v>
      </c>
      <c r="C67" s="17">
        <v>3</v>
      </c>
      <c r="D67" s="17">
        <v>26</v>
      </c>
      <c r="E67" s="17">
        <f t="shared" si="0"/>
        <v>23</v>
      </c>
      <c r="F67" s="17">
        <v>30</v>
      </c>
      <c r="G67" s="19" t="str">
        <f t="shared" si="1"/>
        <v>Pass</v>
      </c>
      <c r="H67" s="194">
        <v>1428</v>
      </c>
      <c r="I67" s="30" t="s">
        <v>67</v>
      </c>
      <c r="J67" s="22"/>
    </row>
    <row r="68" spans="1:10" ht="12.75" customHeight="1" x14ac:dyDescent="0.25">
      <c r="A68" s="202">
        <v>42870</v>
      </c>
      <c r="B68" s="17" t="s">
        <v>28</v>
      </c>
      <c r="C68" s="17">
        <v>3</v>
      </c>
      <c r="D68" s="17">
        <v>13</v>
      </c>
      <c r="E68" s="17">
        <f t="shared" si="0"/>
        <v>10</v>
      </c>
      <c r="F68" s="17">
        <v>30</v>
      </c>
      <c r="G68" s="19" t="str">
        <f t="shared" si="1"/>
        <v>Pass</v>
      </c>
      <c r="H68" s="17">
        <v>1159</v>
      </c>
      <c r="I68" s="30" t="s">
        <v>68</v>
      </c>
      <c r="J68" s="22"/>
    </row>
    <row r="69" spans="1:10" ht="12.75" customHeight="1" x14ac:dyDescent="0.25">
      <c r="A69" s="202">
        <v>42879</v>
      </c>
      <c r="B69" s="17" t="s">
        <v>28</v>
      </c>
      <c r="C69" s="17">
        <v>5</v>
      </c>
      <c r="D69" s="17">
        <v>9</v>
      </c>
      <c r="E69" s="17">
        <f t="shared" si="0"/>
        <v>4</v>
      </c>
      <c r="F69" s="17">
        <v>30</v>
      </c>
      <c r="G69" s="19" t="str">
        <f t="shared" si="1"/>
        <v>Pass</v>
      </c>
      <c r="H69" s="17">
        <v>121</v>
      </c>
      <c r="I69" s="30" t="s">
        <v>69</v>
      </c>
      <c r="J69" s="22"/>
    </row>
    <row r="70" spans="1:10" ht="12.75" customHeight="1" x14ac:dyDescent="0.25">
      <c r="A70" s="202">
        <v>42892</v>
      </c>
      <c r="B70" s="17" t="s">
        <v>28</v>
      </c>
      <c r="C70" s="17">
        <v>8</v>
      </c>
      <c r="D70" s="17">
        <v>12</v>
      </c>
      <c r="E70" s="17">
        <f t="shared" si="0"/>
        <v>4</v>
      </c>
      <c r="F70" s="17">
        <v>30</v>
      </c>
      <c r="G70" s="19" t="str">
        <f t="shared" si="1"/>
        <v>Pass</v>
      </c>
      <c r="H70" s="17">
        <v>1159</v>
      </c>
      <c r="I70" s="31" t="s">
        <v>70</v>
      </c>
      <c r="J70" s="22"/>
    </row>
    <row r="71" spans="1:10" ht="12.75" customHeight="1" x14ac:dyDescent="0.25">
      <c r="A71" s="202">
        <v>42905</v>
      </c>
      <c r="B71" s="17" t="s">
        <v>28</v>
      </c>
      <c r="C71" s="17">
        <v>9</v>
      </c>
      <c r="D71" s="17">
        <v>99</v>
      </c>
      <c r="E71" s="17">
        <f t="shared" si="0"/>
        <v>90</v>
      </c>
      <c r="F71" s="17">
        <v>30</v>
      </c>
      <c r="G71" s="19" t="str">
        <f t="shared" si="1"/>
        <v>Fail</v>
      </c>
      <c r="H71" s="17">
        <v>1159</v>
      </c>
      <c r="I71" s="31" t="s">
        <v>71</v>
      </c>
      <c r="J71" s="22"/>
    </row>
    <row r="72" spans="1:10" ht="12.75" customHeight="1" x14ac:dyDescent="0.25">
      <c r="A72" s="202">
        <v>42905</v>
      </c>
      <c r="B72" s="17" t="s">
        <v>28</v>
      </c>
      <c r="C72" s="17">
        <v>26</v>
      </c>
      <c r="D72" s="17">
        <v>49</v>
      </c>
      <c r="E72" s="17">
        <f t="shared" si="0"/>
        <v>23</v>
      </c>
      <c r="F72" s="17">
        <v>30</v>
      </c>
      <c r="G72" s="19" t="str">
        <f t="shared" si="1"/>
        <v>Pass</v>
      </c>
      <c r="H72" s="17">
        <v>1159</v>
      </c>
      <c r="I72" s="31" t="s">
        <v>72</v>
      </c>
      <c r="J72" s="22"/>
    </row>
    <row r="73" spans="1:10" ht="12.75" customHeight="1" x14ac:dyDescent="0.25">
      <c r="A73" s="202">
        <v>42912</v>
      </c>
      <c r="B73" s="17" t="s">
        <v>28</v>
      </c>
      <c r="C73" s="17">
        <v>4</v>
      </c>
      <c r="D73" s="17">
        <v>137</v>
      </c>
      <c r="E73" s="17">
        <f t="shared" si="0"/>
        <v>133</v>
      </c>
      <c r="F73" s="17">
        <v>30</v>
      </c>
      <c r="G73" s="19" t="str">
        <f t="shared" si="1"/>
        <v>Fail</v>
      </c>
      <c r="H73" s="194">
        <v>1159</v>
      </c>
      <c r="I73" s="31" t="s">
        <v>73</v>
      </c>
      <c r="J73" s="22"/>
    </row>
    <row r="74" spans="1:10" ht="12.75" customHeight="1" x14ac:dyDescent="0.25">
      <c r="A74" s="202">
        <v>42927</v>
      </c>
      <c r="B74" s="17" t="s">
        <v>28</v>
      </c>
      <c r="C74" s="17">
        <v>3</v>
      </c>
      <c r="D74" s="17">
        <v>8</v>
      </c>
      <c r="E74" s="17">
        <f t="shared" ref="E74:E90" si="2">IF(((C74="")*AND(D74="")),"",D74-C74)</f>
        <v>5</v>
      </c>
      <c r="F74" s="17">
        <v>30</v>
      </c>
      <c r="G74" s="19" t="str">
        <f t="shared" ref="G74:G90" si="3">IF(E74="","",IF(E74&lt;=30,"Pass","Fail"))</f>
        <v>Pass</v>
      </c>
      <c r="H74" s="194">
        <v>121</v>
      </c>
      <c r="I74" s="31" t="s">
        <v>74</v>
      </c>
      <c r="J74" s="22"/>
    </row>
    <row r="75" spans="1:10" ht="12.75" customHeight="1" x14ac:dyDescent="0.25">
      <c r="A75" s="202">
        <v>42936</v>
      </c>
      <c r="B75" s="17" t="s">
        <v>28</v>
      </c>
      <c r="C75" s="17">
        <v>5</v>
      </c>
      <c r="D75" s="17">
        <v>10</v>
      </c>
      <c r="E75" s="17">
        <f t="shared" si="2"/>
        <v>5</v>
      </c>
      <c r="F75" s="17">
        <v>30</v>
      </c>
      <c r="G75" s="19" t="str">
        <f t="shared" si="3"/>
        <v>Pass</v>
      </c>
      <c r="H75" s="194">
        <v>1428</v>
      </c>
      <c r="I75" s="31" t="s">
        <v>75</v>
      </c>
      <c r="J75" s="22"/>
    </row>
    <row r="76" spans="1:10" ht="12.75" customHeight="1" x14ac:dyDescent="0.25">
      <c r="A76" s="202">
        <v>42941</v>
      </c>
      <c r="B76" s="17" t="s">
        <v>28</v>
      </c>
      <c r="C76" s="17">
        <v>8</v>
      </c>
      <c r="D76" s="17">
        <v>13</v>
      </c>
      <c r="E76" s="32">
        <f t="shared" si="2"/>
        <v>5</v>
      </c>
      <c r="F76" s="32">
        <v>30</v>
      </c>
      <c r="G76" s="27" t="str">
        <f t="shared" si="3"/>
        <v>Pass</v>
      </c>
      <c r="H76" s="194">
        <v>1159</v>
      </c>
      <c r="I76" s="33" t="s">
        <v>76</v>
      </c>
      <c r="J76" s="22"/>
    </row>
    <row r="77" spans="1:10" ht="12.75" customHeight="1" x14ac:dyDescent="0.25">
      <c r="A77" s="202">
        <v>42949</v>
      </c>
      <c r="B77" s="17" t="s">
        <v>28</v>
      </c>
      <c r="C77" s="17">
        <v>7</v>
      </c>
      <c r="D77" s="34">
        <v>58</v>
      </c>
      <c r="E77" s="17">
        <f t="shared" si="2"/>
        <v>51</v>
      </c>
      <c r="F77" s="17">
        <v>30</v>
      </c>
      <c r="G77" s="19" t="str">
        <f t="shared" si="3"/>
        <v>Fail</v>
      </c>
      <c r="H77" s="195">
        <v>121</v>
      </c>
      <c r="I77" s="31" t="s">
        <v>77</v>
      </c>
      <c r="J77" s="22"/>
    </row>
    <row r="78" spans="1:10" ht="12.75" customHeight="1" x14ac:dyDescent="0.25">
      <c r="A78" s="202">
        <v>42949</v>
      </c>
      <c r="B78" s="17" t="s">
        <v>28</v>
      </c>
      <c r="C78" s="17">
        <v>6</v>
      </c>
      <c r="D78" s="34">
        <v>32</v>
      </c>
      <c r="E78" s="17">
        <f t="shared" si="2"/>
        <v>26</v>
      </c>
      <c r="F78" s="17">
        <v>30</v>
      </c>
      <c r="G78" s="19" t="str">
        <f t="shared" si="3"/>
        <v>Pass</v>
      </c>
      <c r="H78" s="195">
        <v>121</v>
      </c>
      <c r="I78" s="31" t="s">
        <v>78</v>
      </c>
      <c r="J78" s="22"/>
    </row>
    <row r="79" spans="1:10" ht="12.75" customHeight="1" x14ac:dyDescent="0.25">
      <c r="A79" s="38">
        <v>42955</v>
      </c>
      <c r="B79" s="26" t="s">
        <v>28</v>
      </c>
      <c r="C79" s="26">
        <v>45</v>
      </c>
      <c r="D79" s="26">
        <v>71</v>
      </c>
      <c r="E79" s="17">
        <f t="shared" si="2"/>
        <v>26</v>
      </c>
      <c r="F79" s="17">
        <v>30</v>
      </c>
      <c r="G79" s="19" t="str">
        <f t="shared" si="3"/>
        <v>Pass</v>
      </c>
      <c r="H79" s="195">
        <v>1428</v>
      </c>
      <c r="I79" s="30"/>
      <c r="J79" s="22"/>
    </row>
    <row r="80" spans="1:10" ht="12.75" customHeight="1" x14ac:dyDescent="0.25">
      <c r="A80" s="38">
        <v>42968</v>
      </c>
      <c r="B80" s="17" t="s">
        <v>28</v>
      </c>
      <c r="C80" s="17">
        <v>12</v>
      </c>
      <c r="D80" s="17">
        <v>42</v>
      </c>
      <c r="E80" s="17">
        <f t="shared" si="2"/>
        <v>30</v>
      </c>
      <c r="F80" s="17">
        <v>30</v>
      </c>
      <c r="G80" s="19" t="str">
        <f t="shared" si="3"/>
        <v>Pass</v>
      </c>
      <c r="H80" s="17">
        <v>1159</v>
      </c>
      <c r="I80" s="31" t="s">
        <v>79</v>
      </c>
      <c r="J80" s="22"/>
    </row>
    <row r="81" spans="1:10" ht="12.75" customHeight="1" x14ac:dyDescent="0.25">
      <c r="A81" s="202">
        <v>42976</v>
      </c>
      <c r="B81" s="17" t="s">
        <v>28</v>
      </c>
      <c r="C81" s="17">
        <v>32</v>
      </c>
      <c r="D81" s="17">
        <v>48</v>
      </c>
      <c r="E81" s="17">
        <f t="shared" si="2"/>
        <v>16</v>
      </c>
      <c r="F81" s="17">
        <v>30</v>
      </c>
      <c r="G81" s="19" t="str">
        <f t="shared" si="3"/>
        <v>Pass</v>
      </c>
      <c r="H81" s="17">
        <v>1428</v>
      </c>
      <c r="I81" s="30"/>
      <c r="J81" s="22"/>
    </row>
    <row r="82" spans="1:10" ht="12.75" customHeight="1" x14ac:dyDescent="0.25">
      <c r="A82" s="202">
        <v>42990</v>
      </c>
      <c r="B82" s="17" t="s">
        <v>28</v>
      </c>
      <c r="C82" s="17">
        <v>9</v>
      </c>
      <c r="D82" s="17">
        <v>38</v>
      </c>
      <c r="E82" s="17">
        <f t="shared" si="2"/>
        <v>29</v>
      </c>
      <c r="F82" s="17">
        <v>30</v>
      </c>
      <c r="G82" s="19" t="str">
        <f t="shared" si="3"/>
        <v>Pass</v>
      </c>
      <c r="H82" s="17">
        <v>121</v>
      </c>
      <c r="I82" s="31" t="s">
        <v>80</v>
      </c>
      <c r="J82" s="22"/>
    </row>
    <row r="83" spans="1:10" ht="12.75" customHeight="1" x14ac:dyDescent="0.25">
      <c r="A83" s="202">
        <v>42995</v>
      </c>
      <c r="B83" s="17" t="s">
        <v>28</v>
      </c>
      <c r="C83" s="17">
        <v>24</v>
      </c>
      <c r="D83" s="17">
        <v>52</v>
      </c>
      <c r="E83" s="17">
        <f t="shared" si="2"/>
        <v>28</v>
      </c>
      <c r="F83" s="17">
        <v>30</v>
      </c>
      <c r="G83" s="19" t="str">
        <f t="shared" si="3"/>
        <v>Pass</v>
      </c>
      <c r="H83" s="17">
        <v>64</v>
      </c>
      <c r="I83" s="30"/>
      <c r="J83" s="22"/>
    </row>
    <row r="84" spans="1:10" ht="12.75" customHeight="1" x14ac:dyDescent="0.25">
      <c r="A84" s="202">
        <v>43000</v>
      </c>
      <c r="B84" s="17" t="s">
        <v>28</v>
      </c>
      <c r="C84" s="17">
        <v>7</v>
      </c>
      <c r="D84" s="17">
        <v>24</v>
      </c>
      <c r="E84" s="17">
        <f t="shared" si="2"/>
        <v>17</v>
      </c>
      <c r="F84" s="17">
        <v>30</v>
      </c>
      <c r="G84" s="19" t="str">
        <f t="shared" si="3"/>
        <v>Pass</v>
      </c>
      <c r="H84" s="195">
        <v>1335</v>
      </c>
      <c r="I84" s="31" t="s">
        <v>81</v>
      </c>
      <c r="J84" s="22"/>
    </row>
    <row r="85" spans="1:10" ht="12.75" customHeight="1" x14ac:dyDescent="0.25">
      <c r="A85" s="202">
        <v>43003</v>
      </c>
      <c r="B85" s="17" t="s">
        <v>28</v>
      </c>
      <c r="C85" s="17">
        <v>4</v>
      </c>
      <c r="D85" s="17">
        <v>24</v>
      </c>
      <c r="E85" s="17">
        <f t="shared" si="2"/>
        <v>20</v>
      </c>
      <c r="F85" s="17">
        <v>30</v>
      </c>
      <c r="G85" s="19" t="str">
        <f t="shared" si="3"/>
        <v>Pass</v>
      </c>
      <c r="H85" s="195">
        <v>1335</v>
      </c>
      <c r="I85" s="31" t="s">
        <v>81</v>
      </c>
      <c r="J85" s="22"/>
    </row>
    <row r="86" spans="1:10" ht="12.75" customHeight="1" x14ac:dyDescent="0.25">
      <c r="A86" s="202">
        <v>43011</v>
      </c>
      <c r="B86" s="17" t="s">
        <v>28</v>
      </c>
      <c r="C86" s="17">
        <v>2</v>
      </c>
      <c r="D86" s="17">
        <v>26</v>
      </c>
      <c r="E86" s="17">
        <f t="shared" si="2"/>
        <v>24</v>
      </c>
      <c r="F86" s="17">
        <v>30</v>
      </c>
      <c r="G86" s="19" t="str">
        <f t="shared" si="3"/>
        <v>Pass</v>
      </c>
      <c r="H86" s="195">
        <v>1428</v>
      </c>
      <c r="I86" s="30"/>
      <c r="J86" s="22"/>
    </row>
    <row r="87" spans="1:10" ht="12.75" customHeight="1" x14ac:dyDescent="0.25">
      <c r="A87" s="202">
        <v>43018</v>
      </c>
      <c r="B87" s="17" t="s">
        <v>28</v>
      </c>
      <c r="C87" s="17">
        <v>12</v>
      </c>
      <c r="D87" s="17">
        <v>32</v>
      </c>
      <c r="E87" s="17">
        <f t="shared" si="2"/>
        <v>20</v>
      </c>
      <c r="F87" s="17">
        <v>30</v>
      </c>
      <c r="G87" s="19" t="str">
        <f t="shared" si="3"/>
        <v>Pass</v>
      </c>
      <c r="H87" s="195">
        <v>1428</v>
      </c>
      <c r="I87" s="30"/>
      <c r="J87" s="22"/>
    </row>
    <row r="88" spans="1:10" ht="12.75" customHeight="1" x14ac:dyDescent="0.25">
      <c r="A88" s="202">
        <v>43025</v>
      </c>
      <c r="B88" s="17" t="s">
        <v>28</v>
      </c>
      <c r="C88" s="17">
        <v>45</v>
      </c>
      <c r="D88" s="17">
        <v>41</v>
      </c>
      <c r="E88" s="17">
        <f t="shared" si="2"/>
        <v>-4</v>
      </c>
      <c r="F88" s="17">
        <v>30</v>
      </c>
      <c r="G88" s="19" t="str">
        <f t="shared" si="3"/>
        <v>Pass</v>
      </c>
      <c r="H88" s="195">
        <v>102</v>
      </c>
      <c r="I88" s="31" t="s">
        <v>82</v>
      </c>
      <c r="J88" s="22"/>
    </row>
    <row r="89" spans="1:10" ht="12.75" customHeight="1" x14ac:dyDescent="0.25">
      <c r="A89" s="202">
        <v>43031</v>
      </c>
      <c r="B89" s="17" t="s">
        <v>28</v>
      </c>
      <c r="C89" s="17">
        <v>10</v>
      </c>
      <c r="D89" s="17">
        <v>77</v>
      </c>
      <c r="E89" s="17">
        <f t="shared" si="2"/>
        <v>67</v>
      </c>
      <c r="F89" s="17">
        <v>30</v>
      </c>
      <c r="G89" s="19" t="str">
        <f t="shared" si="3"/>
        <v>Fail</v>
      </c>
      <c r="H89" s="195">
        <v>1159</v>
      </c>
      <c r="I89" s="31" t="s">
        <v>83</v>
      </c>
      <c r="J89" s="22"/>
    </row>
    <row r="90" spans="1:10" ht="12.75" customHeight="1" x14ac:dyDescent="0.25">
      <c r="A90" s="202">
        <v>43031</v>
      </c>
      <c r="B90" s="17" t="s">
        <v>28</v>
      </c>
      <c r="C90" s="17">
        <v>3</v>
      </c>
      <c r="D90" s="17">
        <v>273</v>
      </c>
      <c r="E90" s="17">
        <f t="shared" si="2"/>
        <v>270</v>
      </c>
      <c r="F90" s="17">
        <v>30</v>
      </c>
      <c r="G90" s="19" t="str">
        <f t="shared" si="3"/>
        <v>Fail</v>
      </c>
      <c r="H90" s="195">
        <v>1159</v>
      </c>
      <c r="I90" s="31" t="s">
        <v>84</v>
      </c>
      <c r="J90" s="22"/>
    </row>
    <row r="91" spans="1:10" ht="12.75" customHeight="1" x14ac:dyDescent="0.25">
      <c r="A91" s="202">
        <v>43031</v>
      </c>
      <c r="B91" s="17" t="s">
        <v>28</v>
      </c>
      <c r="C91" s="17">
        <v>8</v>
      </c>
      <c r="D91" s="17">
        <v>58</v>
      </c>
      <c r="E91" s="17">
        <f>IF(((C91="")*AND(D91="")),"",D91-C91)</f>
        <v>50</v>
      </c>
      <c r="F91" s="17">
        <v>30</v>
      </c>
      <c r="G91" s="19" t="str">
        <f>IF(E91="","",IF(E91&lt;=30,"Pass","Fail"))</f>
        <v>Fail</v>
      </c>
      <c r="H91" s="195">
        <v>1534</v>
      </c>
      <c r="I91" s="31" t="s">
        <v>84</v>
      </c>
      <c r="J91" s="22"/>
    </row>
    <row r="92" spans="1:10" ht="12.75" customHeight="1" x14ac:dyDescent="0.25">
      <c r="A92" s="202">
        <v>43031</v>
      </c>
      <c r="B92" s="17" t="s">
        <v>28</v>
      </c>
      <c r="C92" s="17">
        <v>1</v>
      </c>
      <c r="D92" s="17">
        <v>23</v>
      </c>
      <c r="E92" s="17">
        <f>IF(((C92="")*AND(D92="")),"",D92-C92)</f>
        <v>22</v>
      </c>
      <c r="F92" s="17">
        <v>30</v>
      </c>
      <c r="G92" s="19" t="str">
        <f>IF(E92="","",IF(E92&lt;=30,"Pass","Fail"))</f>
        <v>Pass</v>
      </c>
      <c r="H92" s="195">
        <v>121</v>
      </c>
      <c r="I92" s="31" t="s">
        <v>85</v>
      </c>
      <c r="J92" s="22"/>
    </row>
    <row r="93" spans="1:10" ht="12.75" customHeight="1" x14ac:dyDescent="0.25">
      <c r="A93" s="202">
        <v>43039</v>
      </c>
      <c r="B93" s="17" t="s">
        <v>28</v>
      </c>
      <c r="C93" s="17">
        <v>7</v>
      </c>
      <c r="D93" s="17">
        <v>68</v>
      </c>
      <c r="E93" s="17">
        <f>IF(((C93="")*AND(D93="")),"",D93-C93)</f>
        <v>61</v>
      </c>
      <c r="F93" s="17">
        <v>30</v>
      </c>
      <c r="G93" s="19" t="str">
        <f>IF(E93="","",IF(E93&lt;=30,"Pass","Fail"))</f>
        <v>Fail</v>
      </c>
      <c r="H93" s="195">
        <v>1335</v>
      </c>
      <c r="I93" s="31" t="s">
        <v>86</v>
      </c>
      <c r="J93" s="22"/>
    </row>
    <row r="94" spans="1:10" ht="12.75" customHeight="1" x14ac:dyDescent="0.25">
      <c r="A94" s="202">
        <v>43043</v>
      </c>
      <c r="B94" s="17" t="s">
        <v>28</v>
      </c>
      <c r="C94" s="17">
        <v>2</v>
      </c>
      <c r="D94" s="17">
        <v>221</v>
      </c>
      <c r="E94" s="17">
        <f>IF(((C94="")*AND(D94="")),"",D94-C94)</f>
        <v>219</v>
      </c>
      <c r="F94" s="17">
        <v>30</v>
      </c>
      <c r="G94" s="19" t="str">
        <f>IF(E94="","",IF(E94&lt;=30,"Pass","Fail"))</f>
        <v>Fail</v>
      </c>
      <c r="H94" s="195">
        <v>1335</v>
      </c>
      <c r="I94" s="31" t="s">
        <v>69</v>
      </c>
      <c r="J94" s="22"/>
    </row>
    <row r="95" spans="1:10" ht="12.75" customHeight="1" x14ac:dyDescent="0.25">
      <c r="A95" s="202">
        <v>43043</v>
      </c>
      <c r="B95" s="17" t="s">
        <v>28</v>
      </c>
      <c r="C95" s="17">
        <v>5</v>
      </c>
      <c r="D95" s="17">
        <v>77</v>
      </c>
      <c r="E95" s="17">
        <f t="shared" ref="E95:E158" si="4">IF(((C95="")*AND(D95="")),"",D95-C95)</f>
        <v>72</v>
      </c>
      <c r="F95" s="17">
        <v>30</v>
      </c>
      <c r="G95" s="19" t="str">
        <f t="shared" ref="G95:G158" si="5">IF(E95="","",IF(E95&lt;=30,"Pass","Fail"))</f>
        <v>Fail</v>
      </c>
      <c r="H95" s="195">
        <v>1335</v>
      </c>
      <c r="I95" s="31" t="s">
        <v>69</v>
      </c>
      <c r="J95" s="22"/>
    </row>
    <row r="96" spans="1:10" ht="12.75" customHeight="1" x14ac:dyDescent="0.25">
      <c r="A96" s="202">
        <v>43044</v>
      </c>
      <c r="B96" s="17" t="s">
        <v>28</v>
      </c>
      <c r="C96" s="17">
        <v>10</v>
      </c>
      <c r="D96" s="17">
        <v>15</v>
      </c>
      <c r="E96" s="17">
        <f t="shared" si="4"/>
        <v>5</v>
      </c>
      <c r="F96" s="17">
        <v>30</v>
      </c>
      <c r="G96" s="19" t="str">
        <f t="shared" si="5"/>
        <v>Pass</v>
      </c>
      <c r="H96" s="195">
        <v>1335</v>
      </c>
      <c r="I96" s="31" t="s">
        <v>87</v>
      </c>
      <c r="J96" s="22"/>
    </row>
    <row r="97" spans="1:10" ht="12.75" customHeight="1" x14ac:dyDescent="0.25">
      <c r="A97" s="202">
        <v>43047</v>
      </c>
      <c r="B97" s="17" t="s">
        <v>28</v>
      </c>
      <c r="C97" s="17">
        <v>19</v>
      </c>
      <c r="D97" s="17">
        <v>317</v>
      </c>
      <c r="E97" s="17">
        <f t="shared" si="4"/>
        <v>298</v>
      </c>
      <c r="F97" s="17">
        <v>30</v>
      </c>
      <c r="G97" s="19" t="str">
        <f t="shared" si="5"/>
        <v>Fail</v>
      </c>
      <c r="H97" s="195">
        <v>1335</v>
      </c>
      <c r="I97" s="31" t="s">
        <v>88</v>
      </c>
      <c r="J97" s="22"/>
    </row>
    <row r="98" spans="1:10" ht="12.75" customHeight="1" x14ac:dyDescent="0.25">
      <c r="A98" s="202">
        <v>43047</v>
      </c>
      <c r="B98" s="17" t="s">
        <v>28</v>
      </c>
      <c r="C98" s="17">
        <v>1</v>
      </c>
      <c r="D98" s="17">
        <v>264</v>
      </c>
      <c r="E98" s="17">
        <f t="shared" si="4"/>
        <v>263</v>
      </c>
      <c r="F98" s="17">
        <v>30</v>
      </c>
      <c r="G98" s="19" t="str">
        <f t="shared" si="5"/>
        <v>Fail</v>
      </c>
      <c r="H98" s="195">
        <v>1335</v>
      </c>
      <c r="I98" s="31" t="s">
        <v>89</v>
      </c>
      <c r="J98" s="22"/>
    </row>
    <row r="99" spans="1:10" ht="12.75" customHeight="1" x14ac:dyDescent="0.25">
      <c r="A99" s="202">
        <v>43053</v>
      </c>
      <c r="B99" s="17" t="s">
        <v>28</v>
      </c>
      <c r="C99" s="17">
        <v>6</v>
      </c>
      <c r="D99" s="17">
        <v>208</v>
      </c>
      <c r="E99" s="17">
        <f t="shared" si="4"/>
        <v>202</v>
      </c>
      <c r="F99" s="17">
        <v>30</v>
      </c>
      <c r="G99" s="19" t="str">
        <f t="shared" si="5"/>
        <v>Fail</v>
      </c>
      <c r="H99" s="195">
        <v>1159</v>
      </c>
      <c r="I99" s="31" t="s">
        <v>90</v>
      </c>
      <c r="J99" s="22"/>
    </row>
    <row r="100" spans="1:10" ht="12.75" customHeight="1" x14ac:dyDescent="0.25">
      <c r="A100" s="202">
        <v>43053</v>
      </c>
      <c r="B100" s="17" t="s">
        <v>28</v>
      </c>
      <c r="C100" s="17">
        <v>14</v>
      </c>
      <c r="D100" s="17">
        <v>383</v>
      </c>
      <c r="E100" s="17">
        <f t="shared" si="4"/>
        <v>369</v>
      </c>
      <c r="F100" s="17">
        <v>30</v>
      </c>
      <c r="G100" s="19" t="str">
        <f t="shared" si="5"/>
        <v>Fail</v>
      </c>
      <c r="H100" s="195">
        <v>121</v>
      </c>
      <c r="I100" s="31" t="s">
        <v>91</v>
      </c>
      <c r="J100" s="22"/>
    </row>
    <row r="101" spans="1:10" ht="12.75" customHeight="1" x14ac:dyDescent="0.25">
      <c r="A101" s="202">
        <v>43053</v>
      </c>
      <c r="B101" s="17" t="s">
        <v>28</v>
      </c>
      <c r="C101" s="17">
        <v>7</v>
      </c>
      <c r="D101" s="17">
        <v>234</v>
      </c>
      <c r="E101" s="17">
        <f t="shared" si="4"/>
        <v>227</v>
      </c>
      <c r="F101" s="17">
        <v>30</v>
      </c>
      <c r="G101" s="19" t="str">
        <f t="shared" si="5"/>
        <v>Fail</v>
      </c>
      <c r="H101" s="195">
        <v>102</v>
      </c>
      <c r="I101" s="31" t="s">
        <v>92</v>
      </c>
      <c r="J101" s="22"/>
    </row>
    <row r="102" spans="1:10" ht="12.75" customHeight="1" x14ac:dyDescent="0.25">
      <c r="A102" s="202">
        <v>43055</v>
      </c>
      <c r="B102" s="17" t="s">
        <v>28</v>
      </c>
      <c r="C102" s="17">
        <v>2</v>
      </c>
      <c r="D102" s="17">
        <v>219</v>
      </c>
      <c r="E102" s="17">
        <f t="shared" si="4"/>
        <v>217</v>
      </c>
      <c r="F102" s="17">
        <v>30</v>
      </c>
      <c r="G102" s="19" t="str">
        <f t="shared" si="5"/>
        <v>Fail</v>
      </c>
      <c r="H102" s="195">
        <v>102</v>
      </c>
      <c r="I102" s="31" t="s">
        <v>285</v>
      </c>
      <c r="J102" s="22" t="s">
        <v>284</v>
      </c>
    </row>
    <row r="103" spans="1:10" ht="12.75" customHeight="1" x14ac:dyDescent="0.25">
      <c r="A103" s="202">
        <v>43055</v>
      </c>
      <c r="B103" s="17" t="s">
        <v>28</v>
      </c>
      <c r="C103" s="17">
        <v>4</v>
      </c>
      <c r="D103" s="17">
        <v>86</v>
      </c>
      <c r="E103" s="17">
        <f t="shared" si="4"/>
        <v>82</v>
      </c>
      <c r="F103" s="17">
        <v>30</v>
      </c>
      <c r="G103" s="19" t="str">
        <f t="shared" si="5"/>
        <v>Fail</v>
      </c>
      <c r="H103" s="195">
        <v>102</v>
      </c>
      <c r="I103" s="31" t="s">
        <v>287</v>
      </c>
      <c r="J103" s="22" t="s">
        <v>286</v>
      </c>
    </row>
    <row r="104" spans="1:10" ht="12.75" customHeight="1" x14ac:dyDescent="0.25">
      <c r="A104" s="202">
        <v>43067</v>
      </c>
      <c r="B104" s="17" t="s">
        <v>28</v>
      </c>
      <c r="C104" s="17">
        <v>27</v>
      </c>
      <c r="D104" s="17">
        <v>158</v>
      </c>
      <c r="E104" s="17">
        <f>IF(((C104="")*AND(D104="")),"",D104-C104)</f>
        <v>131</v>
      </c>
      <c r="F104" s="17">
        <v>30</v>
      </c>
      <c r="G104" s="19" t="str">
        <f>IF(E104="","",IF(E104&lt;=30,"Pass","Fail"))</f>
        <v>Fail</v>
      </c>
      <c r="H104" s="195">
        <v>102</v>
      </c>
      <c r="I104" s="31" t="s">
        <v>93</v>
      </c>
      <c r="J104" s="22"/>
    </row>
    <row r="105" spans="1:10" ht="12.75" customHeight="1" x14ac:dyDescent="0.25">
      <c r="A105" s="202">
        <v>43080</v>
      </c>
      <c r="B105" s="17" t="s">
        <v>28</v>
      </c>
      <c r="C105" s="17">
        <v>14</v>
      </c>
      <c r="D105" s="17">
        <v>103</v>
      </c>
      <c r="E105" s="17">
        <f t="shared" si="4"/>
        <v>89</v>
      </c>
      <c r="F105" s="17">
        <v>30</v>
      </c>
      <c r="G105" s="19" t="str">
        <f t="shared" si="5"/>
        <v>Fail</v>
      </c>
      <c r="H105" s="195">
        <v>1335</v>
      </c>
      <c r="I105" s="31"/>
      <c r="J105" s="22"/>
    </row>
    <row r="106" spans="1:10" ht="12.75" customHeight="1" x14ac:dyDescent="0.25">
      <c r="A106" s="202">
        <v>43091</v>
      </c>
      <c r="B106" s="17" t="s">
        <v>28</v>
      </c>
      <c r="C106" s="17">
        <v>5</v>
      </c>
      <c r="D106" s="17">
        <v>29</v>
      </c>
      <c r="E106" s="17">
        <f t="shared" si="4"/>
        <v>24</v>
      </c>
      <c r="F106" s="17">
        <v>30</v>
      </c>
      <c r="G106" s="19" t="str">
        <f t="shared" si="5"/>
        <v>Pass</v>
      </c>
      <c r="H106" s="195">
        <v>121</v>
      </c>
      <c r="I106" s="31"/>
      <c r="J106" s="22"/>
    </row>
    <row r="107" spans="1:10" ht="12.75" customHeight="1" x14ac:dyDescent="0.25">
      <c r="A107" s="202">
        <v>43098</v>
      </c>
      <c r="B107" s="17" t="s">
        <v>28</v>
      </c>
      <c r="C107" s="17">
        <v>12</v>
      </c>
      <c r="D107" s="17">
        <v>10</v>
      </c>
      <c r="E107" s="17">
        <f t="shared" si="4"/>
        <v>-2</v>
      </c>
      <c r="F107" s="17">
        <v>30</v>
      </c>
      <c r="G107" s="19" t="str">
        <f t="shared" si="5"/>
        <v>Pass</v>
      </c>
      <c r="H107" s="195">
        <v>121</v>
      </c>
      <c r="I107" s="31" t="s">
        <v>94</v>
      </c>
      <c r="J107" s="22"/>
    </row>
    <row r="108" spans="1:10" ht="12.75" customHeight="1" x14ac:dyDescent="0.25">
      <c r="A108" s="202">
        <v>43103</v>
      </c>
      <c r="B108" s="17" t="s">
        <v>28</v>
      </c>
      <c r="C108" s="17">
        <v>10</v>
      </c>
      <c r="D108" s="17">
        <v>10</v>
      </c>
      <c r="E108" s="17">
        <f t="shared" si="4"/>
        <v>0</v>
      </c>
      <c r="F108" s="17">
        <v>30</v>
      </c>
      <c r="G108" s="19" t="str">
        <f t="shared" si="5"/>
        <v>Pass</v>
      </c>
      <c r="H108" s="195">
        <v>1335</v>
      </c>
      <c r="I108" s="31" t="s">
        <v>95</v>
      </c>
      <c r="J108" s="22"/>
    </row>
    <row r="109" spans="1:10" ht="12.75" customHeight="1" x14ac:dyDescent="0.25">
      <c r="A109" s="202">
        <v>43106</v>
      </c>
      <c r="B109" s="17" t="s">
        <v>28</v>
      </c>
      <c r="C109" s="17">
        <v>3</v>
      </c>
      <c r="D109" s="17">
        <v>73</v>
      </c>
      <c r="E109" s="17">
        <f t="shared" si="4"/>
        <v>70</v>
      </c>
      <c r="F109" s="17">
        <v>30</v>
      </c>
      <c r="G109" s="19" t="str">
        <f t="shared" si="5"/>
        <v>Fail</v>
      </c>
      <c r="H109" s="195">
        <v>102</v>
      </c>
      <c r="I109" s="31" t="s">
        <v>96</v>
      </c>
      <c r="J109" s="22"/>
    </row>
    <row r="110" spans="1:10" ht="12.75" customHeight="1" x14ac:dyDescent="0.25">
      <c r="A110" s="202">
        <v>43106</v>
      </c>
      <c r="B110" s="17" t="s">
        <v>28</v>
      </c>
      <c r="C110" s="17">
        <v>41</v>
      </c>
      <c r="D110" s="17">
        <v>37</v>
      </c>
      <c r="E110" s="17">
        <f t="shared" si="4"/>
        <v>-4</v>
      </c>
      <c r="F110" s="17">
        <v>30</v>
      </c>
      <c r="G110" s="19" t="str">
        <f t="shared" si="5"/>
        <v>Pass</v>
      </c>
      <c r="H110" s="195">
        <v>1519</v>
      </c>
      <c r="I110" s="31" t="s">
        <v>97</v>
      </c>
      <c r="J110" s="22"/>
    </row>
    <row r="111" spans="1:10" ht="12.75" customHeight="1" x14ac:dyDescent="0.25">
      <c r="A111" s="202">
        <v>43110</v>
      </c>
      <c r="B111" s="17" t="s">
        <v>28</v>
      </c>
      <c r="C111" s="17">
        <v>11</v>
      </c>
      <c r="D111" s="17">
        <v>105</v>
      </c>
      <c r="E111" s="17">
        <f t="shared" si="4"/>
        <v>94</v>
      </c>
      <c r="F111" s="17">
        <v>30</v>
      </c>
      <c r="G111" s="19" t="str">
        <f t="shared" si="5"/>
        <v>Fail</v>
      </c>
      <c r="H111" s="195">
        <v>1335</v>
      </c>
      <c r="I111" s="31" t="s">
        <v>98</v>
      </c>
      <c r="J111" s="22"/>
    </row>
    <row r="112" spans="1:10" ht="12.75" customHeight="1" x14ac:dyDescent="0.25">
      <c r="A112" s="202">
        <v>43110</v>
      </c>
      <c r="B112" s="17" t="s">
        <v>28</v>
      </c>
      <c r="C112" s="17">
        <v>15</v>
      </c>
      <c r="D112" s="17">
        <v>20</v>
      </c>
      <c r="E112" s="17">
        <f t="shared" si="4"/>
        <v>5</v>
      </c>
      <c r="F112" s="17">
        <v>30</v>
      </c>
      <c r="G112" s="19" t="str">
        <f t="shared" si="5"/>
        <v>Pass</v>
      </c>
      <c r="H112" s="195">
        <v>1335</v>
      </c>
      <c r="I112" s="31" t="s">
        <v>99</v>
      </c>
      <c r="J112" s="22"/>
    </row>
    <row r="113" spans="1:10" ht="12.75" customHeight="1" x14ac:dyDescent="0.25">
      <c r="A113" s="202">
        <v>43117</v>
      </c>
      <c r="B113" s="17" t="s">
        <v>28</v>
      </c>
      <c r="C113" s="17">
        <v>6</v>
      </c>
      <c r="D113" s="17">
        <v>221</v>
      </c>
      <c r="E113" s="17">
        <f t="shared" si="4"/>
        <v>215</v>
      </c>
      <c r="F113" s="17">
        <v>30</v>
      </c>
      <c r="G113" s="19" t="str">
        <f t="shared" si="5"/>
        <v>Fail</v>
      </c>
      <c r="H113" s="195">
        <v>121</v>
      </c>
      <c r="I113" s="31" t="s">
        <v>100</v>
      </c>
      <c r="J113" s="22"/>
    </row>
    <row r="114" spans="1:10" ht="12.75" customHeight="1" x14ac:dyDescent="0.25">
      <c r="A114" s="202">
        <v>43122</v>
      </c>
      <c r="B114" s="17" t="s">
        <v>28</v>
      </c>
      <c r="C114" s="17">
        <v>3</v>
      </c>
      <c r="D114" s="17">
        <v>20</v>
      </c>
      <c r="E114" s="17">
        <f t="shared" si="4"/>
        <v>17</v>
      </c>
      <c r="F114" s="17">
        <v>30</v>
      </c>
      <c r="G114" s="19" t="str">
        <f t="shared" si="5"/>
        <v>Pass</v>
      </c>
      <c r="H114" s="195">
        <v>121</v>
      </c>
      <c r="I114" s="31" t="s">
        <v>101</v>
      </c>
      <c r="J114" s="22"/>
    </row>
    <row r="115" spans="1:10" ht="12.75" customHeight="1" x14ac:dyDescent="0.25">
      <c r="A115" s="202">
        <v>43125</v>
      </c>
      <c r="B115" s="17" t="s">
        <v>28</v>
      </c>
      <c r="C115" s="17">
        <v>24</v>
      </c>
      <c r="D115" s="17">
        <v>239</v>
      </c>
      <c r="E115" s="17">
        <f t="shared" si="4"/>
        <v>215</v>
      </c>
      <c r="F115" s="17">
        <v>30</v>
      </c>
      <c r="G115" s="19" t="str">
        <f t="shared" si="5"/>
        <v>Fail</v>
      </c>
      <c r="H115" s="195">
        <v>1428</v>
      </c>
      <c r="I115" s="31"/>
      <c r="J115" s="22"/>
    </row>
    <row r="116" spans="1:10" ht="12.75" customHeight="1" x14ac:dyDescent="0.25">
      <c r="A116" s="202">
        <v>43125</v>
      </c>
      <c r="B116" s="17" t="s">
        <v>28</v>
      </c>
      <c r="C116" s="17">
        <v>10</v>
      </c>
      <c r="D116" s="17">
        <v>20</v>
      </c>
      <c r="E116" s="17">
        <f t="shared" si="4"/>
        <v>10</v>
      </c>
      <c r="F116" s="17">
        <v>30</v>
      </c>
      <c r="G116" s="19" t="str">
        <f t="shared" si="5"/>
        <v>Pass</v>
      </c>
      <c r="H116" s="195">
        <v>1519</v>
      </c>
      <c r="I116" s="31" t="s">
        <v>102</v>
      </c>
      <c r="J116" s="22"/>
    </row>
    <row r="117" spans="1:10" ht="12.75" customHeight="1" x14ac:dyDescent="0.25">
      <c r="A117" s="202">
        <v>43129</v>
      </c>
      <c r="B117" s="17" t="s">
        <v>28</v>
      </c>
      <c r="C117" s="17">
        <v>4</v>
      </c>
      <c r="D117" s="17">
        <v>83</v>
      </c>
      <c r="E117" s="17">
        <f t="shared" si="4"/>
        <v>79</v>
      </c>
      <c r="F117" s="17">
        <v>30</v>
      </c>
      <c r="G117" s="19" t="str">
        <f t="shared" si="5"/>
        <v>Fail</v>
      </c>
      <c r="H117" s="195">
        <v>1335</v>
      </c>
      <c r="I117" s="31" t="s">
        <v>103</v>
      </c>
      <c r="J117" s="36" t="s">
        <v>104</v>
      </c>
    </row>
    <row r="118" spans="1:10" ht="12.75" customHeight="1" x14ac:dyDescent="0.25">
      <c r="A118" s="202">
        <v>43129</v>
      </c>
      <c r="B118" s="17" t="s">
        <v>28</v>
      </c>
      <c r="C118" s="17">
        <v>7</v>
      </c>
      <c r="D118" s="17">
        <v>155</v>
      </c>
      <c r="E118" s="17">
        <f t="shared" si="4"/>
        <v>148</v>
      </c>
      <c r="F118" s="17">
        <v>30</v>
      </c>
      <c r="G118" s="19" t="str">
        <f t="shared" si="5"/>
        <v>Fail</v>
      </c>
      <c r="H118" s="195">
        <v>1335</v>
      </c>
      <c r="I118" s="31" t="s">
        <v>105</v>
      </c>
      <c r="J118" s="36" t="s">
        <v>106</v>
      </c>
    </row>
    <row r="119" spans="1:10" ht="12.75" customHeight="1" x14ac:dyDescent="0.25">
      <c r="A119" s="202">
        <v>43129</v>
      </c>
      <c r="B119" s="17" t="s">
        <v>28</v>
      </c>
      <c r="C119" s="17">
        <v>2</v>
      </c>
      <c r="D119" s="17">
        <v>68</v>
      </c>
      <c r="E119" s="17">
        <f t="shared" si="4"/>
        <v>66</v>
      </c>
      <c r="F119" s="17">
        <v>30</v>
      </c>
      <c r="G119" s="19" t="str">
        <f t="shared" si="5"/>
        <v>Fail</v>
      </c>
      <c r="H119" s="195">
        <v>121</v>
      </c>
      <c r="I119" s="31" t="s">
        <v>107</v>
      </c>
      <c r="J119" s="36" t="s">
        <v>104</v>
      </c>
    </row>
    <row r="120" spans="1:10" ht="12.75" customHeight="1" x14ac:dyDescent="0.25">
      <c r="A120" s="202">
        <v>43130</v>
      </c>
      <c r="B120" s="17" t="s">
        <v>28</v>
      </c>
      <c r="C120" s="17">
        <v>5</v>
      </c>
      <c r="D120" s="17">
        <v>101</v>
      </c>
      <c r="E120" s="17">
        <f t="shared" si="4"/>
        <v>96</v>
      </c>
      <c r="F120" s="17">
        <v>30</v>
      </c>
      <c r="G120" s="19" t="str">
        <f t="shared" si="5"/>
        <v>Fail</v>
      </c>
      <c r="H120" s="195">
        <v>64</v>
      </c>
      <c r="I120" s="31" t="s">
        <v>108</v>
      </c>
      <c r="J120" s="36" t="s">
        <v>104</v>
      </c>
    </row>
    <row r="121" spans="1:10" ht="12.75" customHeight="1" x14ac:dyDescent="0.25">
      <c r="A121" s="202">
        <v>43130</v>
      </c>
      <c r="B121" s="17" t="s">
        <v>28</v>
      </c>
      <c r="C121" s="17">
        <v>15</v>
      </c>
      <c r="D121" s="17">
        <v>38</v>
      </c>
      <c r="E121" s="17">
        <f t="shared" si="4"/>
        <v>23</v>
      </c>
      <c r="F121" s="17">
        <v>30</v>
      </c>
      <c r="G121" s="19" t="str">
        <f t="shared" si="5"/>
        <v>Pass</v>
      </c>
      <c r="H121" s="195">
        <v>121</v>
      </c>
      <c r="I121" s="31" t="s">
        <v>109</v>
      </c>
      <c r="J121" s="36" t="s">
        <v>104</v>
      </c>
    </row>
    <row r="122" spans="1:10" ht="12.75" customHeight="1" x14ac:dyDescent="0.25">
      <c r="A122" s="202">
        <v>43130</v>
      </c>
      <c r="B122" s="17" t="s">
        <v>28</v>
      </c>
      <c r="C122" s="17">
        <v>3</v>
      </c>
      <c r="D122" s="17">
        <v>93</v>
      </c>
      <c r="E122" s="17">
        <f t="shared" si="4"/>
        <v>90</v>
      </c>
      <c r="F122" s="17">
        <v>30</v>
      </c>
      <c r="G122" s="19" t="str">
        <f t="shared" si="5"/>
        <v>Fail</v>
      </c>
      <c r="H122" s="195">
        <v>121</v>
      </c>
      <c r="I122" s="31" t="s">
        <v>110</v>
      </c>
      <c r="J122" s="22" t="s">
        <v>111</v>
      </c>
    </row>
    <row r="123" spans="1:10" ht="12.75" customHeight="1" x14ac:dyDescent="0.25">
      <c r="A123" s="202">
        <v>43130</v>
      </c>
      <c r="B123" s="17" t="s">
        <v>28</v>
      </c>
      <c r="C123" s="17">
        <v>10</v>
      </c>
      <c r="D123" s="17">
        <v>28</v>
      </c>
      <c r="E123" s="17">
        <f t="shared" si="4"/>
        <v>18</v>
      </c>
      <c r="F123" s="17">
        <v>30</v>
      </c>
      <c r="G123" s="19" t="str">
        <f t="shared" si="5"/>
        <v>Pass</v>
      </c>
      <c r="H123" s="195">
        <v>121</v>
      </c>
      <c r="I123" s="31" t="s">
        <v>112</v>
      </c>
      <c r="J123" s="36" t="s">
        <v>104</v>
      </c>
    </row>
    <row r="124" spans="1:10" ht="12.75" customHeight="1" x14ac:dyDescent="0.25">
      <c r="A124" s="202">
        <v>43133</v>
      </c>
      <c r="B124" s="17" t="s">
        <v>28</v>
      </c>
      <c r="C124" s="17">
        <v>6</v>
      </c>
      <c r="D124" s="17">
        <v>166</v>
      </c>
      <c r="E124" s="17">
        <f>IF(((C124="")*AND(D124="")),"",D124-C124)</f>
        <v>160</v>
      </c>
      <c r="F124" s="17">
        <v>30</v>
      </c>
      <c r="G124" s="19" t="str">
        <f>IF(E124="","",IF(E124&lt;=30,"Pass","Fail"))</f>
        <v>Fail</v>
      </c>
      <c r="H124" s="195">
        <v>1335</v>
      </c>
      <c r="I124" s="31" t="s">
        <v>113</v>
      </c>
      <c r="J124" s="36"/>
    </row>
    <row r="125" spans="1:10" ht="12.75" customHeight="1" x14ac:dyDescent="0.25">
      <c r="A125" s="202">
        <v>43133</v>
      </c>
      <c r="B125" s="17" t="s">
        <v>28</v>
      </c>
      <c r="C125" s="17">
        <v>4</v>
      </c>
      <c r="D125" s="17">
        <v>47</v>
      </c>
      <c r="E125" s="17">
        <f t="shared" si="4"/>
        <v>43</v>
      </c>
      <c r="F125" s="17">
        <v>30</v>
      </c>
      <c r="G125" s="19" t="str">
        <f t="shared" si="5"/>
        <v>Fail</v>
      </c>
      <c r="H125" s="195">
        <v>1335</v>
      </c>
      <c r="I125" s="31" t="s">
        <v>114</v>
      </c>
      <c r="J125" s="22" t="s">
        <v>111</v>
      </c>
    </row>
    <row r="126" spans="1:10" ht="12.75" customHeight="1" x14ac:dyDescent="0.25">
      <c r="A126" s="202">
        <v>43133</v>
      </c>
      <c r="B126" s="17" t="s">
        <v>28</v>
      </c>
      <c r="C126" s="17">
        <v>47</v>
      </c>
      <c r="D126" s="17">
        <v>205</v>
      </c>
      <c r="E126" s="17">
        <f t="shared" si="4"/>
        <v>158</v>
      </c>
      <c r="F126" s="17">
        <v>30</v>
      </c>
      <c r="G126" s="19" t="str">
        <f t="shared" si="5"/>
        <v>Fail</v>
      </c>
      <c r="H126" s="195">
        <v>1335</v>
      </c>
      <c r="I126" s="31" t="s">
        <v>115</v>
      </c>
      <c r="J126" s="22" t="s">
        <v>116</v>
      </c>
    </row>
    <row r="127" spans="1:10" ht="12.75" customHeight="1" x14ac:dyDescent="0.25">
      <c r="A127" s="202">
        <v>43133</v>
      </c>
      <c r="B127" s="17" t="s">
        <v>28</v>
      </c>
      <c r="C127" s="17">
        <v>4</v>
      </c>
      <c r="D127" s="17">
        <v>95</v>
      </c>
      <c r="E127" s="17">
        <f t="shared" si="4"/>
        <v>91</v>
      </c>
      <c r="F127" s="17">
        <v>30</v>
      </c>
      <c r="G127" s="19" t="str">
        <f t="shared" si="5"/>
        <v>Fail</v>
      </c>
      <c r="H127" s="195">
        <v>1335</v>
      </c>
      <c r="I127" s="31" t="s">
        <v>117</v>
      </c>
      <c r="J127" s="22" t="s">
        <v>116</v>
      </c>
    </row>
    <row r="128" spans="1:10" ht="12.75" customHeight="1" x14ac:dyDescent="0.25">
      <c r="A128" s="202">
        <v>43144</v>
      </c>
      <c r="B128" s="17" t="s">
        <v>28</v>
      </c>
      <c r="C128" s="17">
        <v>7</v>
      </c>
      <c r="D128" s="17">
        <v>73</v>
      </c>
      <c r="E128" s="17">
        <f>IF(((C128="")*AND(D128="")),"",D128-C128)</f>
        <v>66</v>
      </c>
      <c r="F128" s="17">
        <v>30</v>
      </c>
      <c r="G128" s="19" t="str">
        <f>IF(E128="","",IF(E128&lt;=30,"Pass","Fail"))</f>
        <v>Fail</v>
      </c>
      <c r="H128" s="195">
        <v>1428</v>
      </c>
      <c r="I128" s="31"/>
      <c r="J128" s="22"/>
    </row>
    <row r="129" spans="1:10" ht="12.75" customHeight="1" x14ac:dyDescent="0.25">
      <c r="A129" s="202">
        <v>43144</v>
      </c>
      <c r="B129" s="17" t="s">
        <v>28</v>
      </c>
      <c r="C129" s="17">
        <v>11</v>
      </c>
      <c r="D129" s="17">
        <v>39</v>
      </c>
      <c r="E129" s="17">
        <f>IF(((C129="")*AND(D129="")),"",D129-C129)</f>
        <v>28</v>
      </c>
      <c r="F129" s="17">
        <v>30</v>
      </c>
      <c r="G129" s="19" t="str">
        <f>IF(E129="","",IF(E129&lt;=30,"Pass","Fail"))</f>
        <v>Pass</v>
      </c>
      <c r="H129" s="195">
        <v>1428</v>
      </c>
      <c r="I129" s="31"/>
      <c r="J129" s="22"/>
    </row>
    <row r="130" spans="1:10" ht="12.75" customHeight="1" x14ac:dyDescent="0.25">
      <c r="A130" s="202">
        <v>43160</v>
      </c>
      <c r="B130" s="17" t="s">
        <v>28</v>
      </c>
      <c r="C130" s="17">
        <v>13</v>
      </c>
      <c r="D130" s="17">
        <v>205</v>
      </c>
      <c r="E130" s="17">
        <f t="shared" si="4"/>
        <v>192</v>
      </c>
      <c r="F130" s="17">
        <v>30</v>
      </c>
      <c r="G130" s="19" t="str">
        <f t="shared" si="5"/>
        <v>Fail</v>
      </c>
      <c r="H130" s="195">
        <v>1159</v>
      </c>
      <c r="I130" s="31" t="s">
        <v>118</v>
      </c>
      <c r="J130" s="22"/>
    </row>
    <row r="131" spans="1:10" ht="12.75" customHeight="1" x14ac:dyDescent="0.25">
      <c r="A131" s="202">
        <v>43160</v>
      </c>
      <c r="B131" s="17" t="s">
        <v>28</v>
      </c>
      <c r="C131" s="17">
        <v>5</v>
      </c>
      <c r="D131" s="17">
        <v>80</v>
      </c>
      <c r="E131" s="17">
        <f t="shared" si="4"/>
        <v>75</v>
      </c>
      <c r="F131" s="17">
        <v>30</v>
      </c>
      <c r="G131" s="19" t="str">
        <f t="shared" si="5"/>
        <v>Fail</v>
      </c>
      <c r="H131" s="195">
        <v>1159</v>
      </c>
      <c r="I131" s="31" t="s">
        <v>119</v>
      </c>
      <c r="J131" s="22"/>
    </row>
    <row r="132" spans="1:10" ht="12.75" customHeight="1" x14ac:dyDescent="0.25">
      <c r="A132" s="202">
        <v>43161</v>
      </c>
      <c r="B132" s="17" t="s">
        <v>28</v>
      </c>
      <c r="C132" s="17">
        <v>6</v>
      </c>
      <c r="D132" s="17">
        <v>36</v>
      </c>
      <c r="E132" s="17">
        <f t="shared" si="4"/>
        <v>30</v>
      </c>
      <c r="F132" s="17">
        <v>30</v>
      </c>
      <c r="G132" s="19" t="str">
        <f t="shared" si="5"/>
        <v>Pass</v>
      </c>
      <c r="H132" s="195">
        <v>1159</v>
      </c>
      <c r="I132" s="31" t="s">
        <v>120</v>
      </c>
      <c r="J132" s="22"/>
    </row>
    <row r="133" spans="1:10" ht="12.75" customHeight="1" x14ac:dyDescent="0.25">
      <c r="A133" s="202">
        <v>43167</v>
      </c>
      <c r="B133" s="17" t="s">
        <v>28</v>
      </c>
      <c r="C133" s="17">
        <v>5</v>
      </c>
      <c r="D133" s="17">
        <v>156</v>
      </c>
      <c r="E133" s="17">
        <f t="shared" si="4"/>
        <v>151</v>
      </c>
      <c r="F133" s="17">
        <v>30</v>
      </c>
      <c r="G133" s="19" t="str">
        <f t="shared" si="5"/>
        <v>Fail</v>
      </c>
      <c r="H133" s="195">
        <v>102</v>
      </c>
      <c r="I133" s="31" t="s">
        <v>121</v>
      </c>
      <c r="J133" s="22"/>
    </row>
    <row r="134" spans="1:10" ht="12.75" customHeight="1" x14ac:dyDescent="0.25">
      <c r="A134" s="202">
        <v>43169</v>
      </c>
      <c r="B134" s="17" t="s">
        <v>28</v>
      </c>
      <c r="C134" s="17">
        <v>8</v>
      </c>
      <c r="D134" s="17">
        <v>32</v>
      </c>
      <c r="E134" s="17">
        <f t="shared" si="4"/>
        <v>24</v>
      </c>
      <c r="F134" s="17">
        <v>30</v>
      </c>
      <c r="G134" s="19" t="str">
        <f t="shared" si="5"/>
        <v>Pass</v>
      </c>
      <c r="H134" s="195">
        <v>102</v>
      </c>
      <c r="I134" s="31" t="s">
        <v>122</v>
      </c>
      <c r="J134" s="36" t="s">
        <v>123</v>
      </c>
    </row>
    <row r="135" spans="1:10" ht="12.75" customHeight="1" x14ac:dyDescent="0.25">
      <c r="A135" s="202">
        <v>43171</v>
      </c>
      <c r="B135" s="17" t="s">
        <v>28</v>
      </c>
      <c r="C135" s="17">
        <v>13</v>
      </c>
      <c r="D135" s="17">
        <v>185</v>
      </c>
      <c r="E135" s="17">
        <f t="shared" si="4"/>
        <v>172</v>
      </c>
      <c r="F135" s="17">
        <v>30</v>
      </c>
      <c r="G135" s="19" t="str">
        <f t="shared" si="5"/>
        <v>Fail</v>
      </c>
      <c r="H135" s="195">
        <v>121</v>
      </c>
      <c r="I135" s="31" t="s">
        <v>124</v>
      </c>
      <c r="J135" s="22" t="s">
        <v>106</v>
      </c>
    </row>
    <row r="136" spans="1:10" ht="12.75" customHeight="1" x14ac:dyDescent="0.25">
      <c r="A136" s="202">
        <v>43171</v>
      </c>
      <c r="B136" s="17" t="s">
        <v>28</v>
      </c>
      <c r="C136" s="17">
        <v>9</v>
      </c>
      <c r="D136" s="17">
        <v>68</v>
      </c>
      <c r="E136" s="17">
        <f t="shared" si="4"/>
        <v>59</v>
      </c>
      <c r="F136" s="17">
        <v>30</v>
      </c>
      <c r="G136" s="19" t="str">
        <f t="shared" si="5"/>
        <v>Fail</v>
      </c>
      <c r="H136" s="195">
        <v>121</v>
      </c>
      <c r="I136" s="31" t="s">
        <v>125</v>
      </c>
      <c r="J136" s="22"/>
    </row>
    <row r="137" spans="1:10" ht="12.75" customHeight="1" x14ac:dyDescent="0.25">
      <c r="A137" s="202">
        <v>43179</v>
      </c>
      <c r="B137" s="17" t="s">
        <v>28</v>
      </c>
      <c r="C137" s="17">
        <v>5</v>
      </c>
      <c r="D137" s="17">
        <v>31</v>
      </c>
      <c r="E137" s="17">
        <f t="shared" si="4"/>
        <v>26</v>
      </c>
      <c r="F137" s="17">
        <v>30</v>
      </c>
      <c r="G137" s="19" t="str">
        <f t="shared" si="5"/>
        <v>Pass</v>
      </c>
      <c r="H137" s="195">
        <v>121</v>
      </c>
      <c r="I137" s="31" t="s">
        <v>126</v>
      </c>
      <c r="J137" s="22" t="s">
        <v>106</v>
      </c>
    </row>
    <row r="138" spans="1:10" ht="12.75" customHeight="1" x14ac:dyDescent="0.25">
      <c r="A138" s="202">
        <v>43187</v>
      </c>
      <c r="B138" s="17" t="s">
        <v>28</v>
      </c>
      <c r="C138" s="17">
        <v>8</v>
      </c>
      <c r="D138" s="17">
        <v>24</v>
      </c>
      <c r="E138" s="17">
        <f>IF(((C138="")*AND(D138="")),"",D138-C138)</f>
        <v>16</v>
      </c>
      <c r="F138" s="17">
        <v>30</v>
      </c>
      <c r="G138" s="19" t="str">
        <f>IF(E138="","",IF(E138&lt;=30,"Pass","Fail"))</f>
        <v>Pass</v>
      </c>
      <c r="H138" s="195">
        <v>1335</v>
      </c>
      <c r="I138" s="31" t="s">
        <v>127</v>
      </c>
      <c r="J138" s="22"/>
    </row>
    <row r="139" spans="1:10" ht="12.75" customHeight="1" x14ac:dyDescent="0.25">
      <c r="A139" s="202">
        <v>43216</v>
      </c>
      <c r="B139" s="17" t="s">
        <v>28</v>
      </c>
      <c r="C139" s="17">
        <v>27</v>
      </c>
      <c r="D139" s="17">
        <v>85</v>
      </c>
      <c r="E139" s="17">
        <f>IF(((C139="")*AND(D139="")),"",D139-C139)</f>
        <v>58</v>
      </c>
      <c r="F139" s="17">
        <v>30</v>
      </c>
      <c r="G139" s="19" t="str">
        <f>IF(E139="","",IF(E139&lt;=30,"Pass","Fail"))</f>
        <v>Fail</v>
      </c>
      <c r="H139" s="195" t="s">
        <v>128</v>
      </c>
      <c r="I139" s="31" t="s">
        <v>129</v>
      </c>
      <c r="J139" s="22"/>
    </row>
    <row r="140" spans="1:10" ht="12.75" customHeight="1" x14ac:dyDescent="0.25">
      <c r="A140" s="202">
        <v>43216</v>
      </c>
      <c r="B140" s="17" t="s">
        <v>28</v>
      </c>
      <c r="C140" s="17">
        <v>14</v>
      </c>
      <c r="D140" s="17">
        <v>54</v>
      </c>
      <c r="E140" s="17">
        <f t="shared" si="4"/>
        <v>40</v>
      </c>
      <c r="F140" s="17">
        <v>30</v>
      </c>
      <c r="G140" s="19" t="str">
        <f t="shared" si="5"/>
        <v>Fail</v>
      </c>
      <c r="H140" s="195">
        <v>1159</v>
      </c>
      <c r="I140" s="31" t="s">
        <v>130</v>
      </c>
      <c r="J140" s="22"/>
    </row>
    <row r="141" spans="1:10" ht="12.75" customHeight="1" x14ac:dyDescent="0.25">
      <c r="A141" s="202">
        <v>43217</v>
      </c>
      <c r="B141" s="17" t="s">
        <v>28</v>
      </c>
      <c r="C141" s="17">
        <v>16</v>
      </c>
      <c r="D141" s="17">
        <v>24</v>
      </c>
      <c r="E141" s="17">
        <f>IF(((C141="")*AND(D141="")),"",D141-C141)</f>
        <v>8</v>
      </c>
      <c r="F141" s="17">
        <v>30</v>
      </c>
      <c r="G141" s="19" t="str">
        <f>IF(E141="","",IF(E141&lt;=30,"Pass","Fail"))</f>
        <v>Pass</v>
      </c>
      <c r="H141" s="195">
        <v>121</v>
      </c>
      <c r="I141" s="31" t="s">
        <v>131</v>
      </c>
      <c r="J141" s="22"/>
    </row>
    <row r="142" spans="1:10" ht="12.75" customHeight="1" x14ac:dyDescent="0.25">
      <c r="A142" s="202">
        <v>43229</v>
      </c>
      <c r="B142" s="17" t="s">
        <v>28</v>
      </c>
      <c r="C142" s="17">
        <v>35</v>
      </c>
      <c r="D142" s="17">
        <v>75</v>
      </c>
      <c r="E142" s="17">
        <f t="shared" si="4"/>
        <v>40</v>
      </c>
      <c r="F142" s="17">
        <v>30</v>
      </c>
      <c r="G142" s="19" t="str">
        <f t="shared" si="5"/>
        <v>Fail</v>
      </c>
      <c r="H142" s="195">
        <v>121</v>
      </c>
      <c r="I142" s="31" t="s">
        <v>132</v>
      </c>
      <c r="J142" s="36" t="s">
        <v>133</v>
      </c>
    </row>
    <row r="143" spans="1:10" ht="12.75" customHeight="1" x14ac:dyDescent="0.25">
      <c r="A143" s="202">
        <v>43229</v>
      </c>
      <c r="B143" s="17" t="s">
        <v>28</v>
      </c>
      <c r="C143" s="17">
        <v>14</v>
      </c>
      <c r="D143" s="17">
        <v>18</v>
      </c>
      <c r="E143" s="17">
        <f t="shared" si="4"/>
        <v>4</v>
      </c>
      <c r="F143" s="17">
        <v>30</v>
      </c>
      <c r="G143" s="19" t="str">
        <f t="shared" si="5"/>
        <v>Pass</v>
      </c>
      <c r="H143" s="195">
        <v>121</v>
      </c>
      <c r="I143" s="31" t="s">
        <v>134</v>
      </c>
      <c r="J143" s="36" t="s">
        <v>133</v>
      </c>
    </row>
    <row r="144" spans="1:10" ht="12.75" customHeight="1" x14ac:dyDescent="0.25">
      <c r="A144" s="202">
        <v>43235</v>
      </c>
      <c r="B144" s="17" t="s">
        <v>28</v>
      </c>
      <c r="C144" s="17">
        <v>7</v>
      </c>
      <c r="D144" s="17">
        <v>13</v>
      </c>
      <c r="E144" s="17">
        <f>IF(((C144="")*AND(D144="")),"",D144-C144)</f>
        <v>6</v>
      </c>
      <c r="F144" s="17">
        <v>30</v>
      </c>
      <c r="G144" s="19" t="str">
        <f>IF(E144="","",IF(E144&lt;=30,"Pass","Fail"))</f>
        <v>Pass</v>
      </c>
      <c r="H144" s="195">
        <v>102</v>
      </c>
      <c r="I144" s="31" t="s">
        <v>135</v>
      </c>
      <c r="J144" s="36" t="s">
        <v>133</v>
      </c>
    </row>
    <row r="145" spans="1:10" ht="12.75" customHeight="1" x14ac:dyDescent="0.25">
      <c r="A145" s="202">
        <v>43241</v>
      </c>
      <c r="B145" s="17" t="s">
        <v>28</v>
      </c>
      <c r="C145" s="17">
        <v>25</v>
      </c>
      <c r="D145" s="17">
        <v>96</v>
      </c>
      <c r="E145" s="17">
        <f t="shared" si="4"/>
        <v>71</v>
      </c>
      <c r="F145" s="17">
        <v>30</v>
      </c>
      <c r="G145" s="19" t="str">
        <f t="shared" si="5"/>
        <v>Fail</v>
      </c>
      <c r="H145" s="195">
        <v>121</v>
      </c>
      <c r="I145" s="31" t="s">
        <v>136</v>
      </c>
      <c r="J145" s="36" t="s">
        <v>133</v>
      </c>
    </row>
    <row r="146" spans="1:10" ht="12.75" customHeight="1" x14ac:dyDescent="0.25">
      <c r="A146" s="202">
        <v>43241</v>
      </c>
      <c r="B146" s="17" t="s">
        <v>28</v>
      </c>
      <c r="C146" s="17">
        <v>16</v>
      </c>
      <c r="D146" s="17">
        <v>13</v>
      </c>
      <c r="E146" s="17">
        <f t="shared" si="4"/>
        <v>-3</v>
      </c>
      <c r="F146" s="17">
        <v>30</v>
      </c>
      <c r="G146" s="19" t="str">
        <f t="shared" si="5"/>
        <v>Pass</v>
      </c>
      <c r="H146" s="195">
        <v>121</v>
      </c>
      <c r="I146" s="31" t="s">
        <v>137</v>
      </c>
      <c r="J146" s="36" t="s">
        <v>133</v>
      </c>
    </row>
    <row r="147" spans="1:10" ht="12.75" customHeight="1" x14ac:dyDescent="0.25">
      <c r="A147" s="202">
        <v>43251</v>
      </c>
      <c r="B147" s="17" t="s">
        <v>28</v>
      </c>
      <c r="C147" s="17">
        <v>2</v>
      </c>
      <c r="D147" s="17">
        <v>159</v>
      </c>
      <c r="E147" s="17">
        <f t="shared" si="4"/>
        <v>157</v>
      </c>
      <c r="F147" s="17">
        <v>30</v>
      </c>
      <c r="G147" s="19" t="str">
        <f t="shared" si="5"/>
        <v>Fail</v>
      </c>
      <c r="H147" s="195">
        <v>1335</v>
      </c>
      <c r="I147" s="31" t="s">
        <v>138</v>
      </c>
      <c r="J147" s="22"/>
    </row>
    <row r="148" spans="1:10" ht="12.75" customHeight="1" x14ac:dyDescent="0.25">
      <c r="A148" s="202">
        <v>43251</v>
      </c>
      <c r="B148" s="17" t="s">
        <v>28</v>
      </c>
      <c r="C148" s="17">
        <v>7</v>
      </c>
      <c r="D148" s="17">
        <v>8</v>
      </c>
      <c r="E148" s="17">
        <f t="shared" si="4"/>
        <v>1</v>
      </c>
      <c r="F148" s="17">
        <v>30</v>
      </c>
      <c r="G148" s="19" t="str">
        <f t="shared" si="5"/>
        <v>Pass</v>
      </c>
      <c r="H148" s="195">
        <v>1335</v>
      </c>
      <c r="I148" s="31" t="s">
        <v>139</v>
      </c>
      <c r="J148" s="22"/>
    </row>
    <row r="149" spans="1:10" ht="12.75" customHeight="1" x14ac:dyDescent="0.25">
      <c r="A149" s="202">
        <v>43255</v>
      </c>
      <c r="B149" s="17" t="s">
        <v>28</v>
      </c>
      <c r="C149" s="17">
        <v>6</v>
      </c>
      <c r="D149" s="17">
        <v>17</v>
      </c>
      <c r="E149" s="17">
        <f t="shared" si="4"/>
        <v>11</v>
      </c>
      <c r="F149" s="17">
        <v>30</v>
      </c>
      <c r="G149" s="19" t="str">
        <f t="shared" si="5"/>
        <v>Pass</v>
      </c>
      <c r="H149" s="195">
        <v>121</v>
      </c>
      <c r="I149" s="31" t="s">
        <v>140</v>
      </c>
      <c r="J149" s="22"/>
    </row>
    <row r="150" spans="1:10" ht="12.75" customHeight="1" x14ac:dyDescent="0.25">
      <c r="A150" s="202">
        <v>43258</v>
      </c>
      <c r="B150" s="17" t="s">
        <v>28</v>
      </c>
      <c r="C150" s="17">
        <v>14</v>
      </c>
      <c r="D150" s="17">
        <v>40</v>
      </c>
      <c r="E150" s="17">
        <f t="shared" si="4"/>
        <v>26</v>
      </c>
      <c r="F150" s="17">
        <v>30</v>
      </c>
      <c r="G150" s="19" t="str">
        <f t="shared" si="5"/>
        <v>Pass</v>
      </c>
      <c r="H150" s="195">
        <v>1428</v>
      </c>
      <c r="I150" s="31" t="s">
        <v>141</v>
      </c>
      <c r="J150" s="22"/>
    </row>
    <row r="151" spans="1:10" ht="12.75" customHeight="1" x14ac:dyDescent="0.25">
      <c r="A151" s="202">
        <v>43271</v>
      </c>
      <c r="B151" s="17" t="s">
        <v>28</v>
      </c>
      <c r="C151" s="17">
        <v>0</v>
      </c>
      <c r="D151" s="17">
        <v>54</v>
      </c>
      <c r="E151" s="17">
        <f t="shared" si="4"/>
        <v>54</v>
      </c>
      <c r="F151" s="17">
        <v>30</v>
      </c>
      <c r="G151" s="19" t="str">
        <f t="shared" si="5"/>
        <v>Fail</v>
      </c>
      <c r="H151" s="195">
        <v>1159</v>
      </c>
      <c r="I151" s="31" t="s">
        <v>142</v>
      </c>
      <c r="J151" s="36" t="s">
        <v>143</v>
      </c>
    </row>
    <row r="152" spans="1:10" ht="12.75" customHeight="1" x14ac:dyDescent="0.25">
      <c r="A152" s="202">
        <v>43271</v>
      </c>
      <c r="B152" s="17" t="s">
        <v>28</v>
      </c>
      <c r="C152" s="17">
        <v>3</v>
      </c>
      <c r="D152" s="17">
        <v>14</v>
      </c>
      <c r="E152" s="17">
        <f t="shared" si="4"/>
        <v>11</v>
      </c>
      <c r="F152" s="17">
        <v>30</v>
      </c>
      <c r="G152" s="19" t="str">
        <f t="shared" si="5"/>
        <v>Pass</v>
      </c>
      <c r="H152" s="195">
        <v>1159</v>
      </c>
      <c r="I152" s="31" t="s">
        <v>144</v>
      </c>
      <c r="J152" s="22"/>
    </row>
    <row r="153" spans="1:10" ht="12.75" customHeight="1" x14ac:dyDescent="0.25">
      <c r="A153" s="202">
        <v>43285</v>
      </c>
      <c r="B153" s="17" t="s">
        <v>28</v>
      </c>
      <c r="C153" s="17">
        <v>22</v>
      </c>
      <c r="D153" s="17">
        <v>31</v>
      </c>
      <c r="E153" s="17">
        <f t="shared" si="4"/>
        <v>9</v>
      </c>
      <c r="F153" s="17">
        <v>30</v>
      </c>
      <c r="G153" s="19" t="str">
        <f t="shared" si="5"/>
        <v>Pass</v>
      </c>
      <c r="H153" s="195">
        <v>1159</v>
      </c>
      <c r="I153" s="31" t="s">
        <v>145</v>
      </c>
      <c r="J153" s="22"/>
    </row>
    <row r="154" spans="1:10" ht="12.75" customHeight="1" x14ac:dyDescent="0.25">
      <c r="A154" s="202">
        <v>43294</v>
      </c>
      <c r="B154" s="17" t="s">
        <v>28</v>
      </c>
      <c r="C154" s="17">
        <v>12</v>
      </c>
      <c r="D154" s="17">
        <v>24</v>
      </c>
      <c r="E154" s="17">
        <f t="shared" si="4"/>
        <v>12</v>
      </c>
      <c r="F154" s="17">
        <v>30</v>
      </c>
      <c r="G154" s="19" t="str">
        <f t="shared" si="5"/>
        <v>Pass</v>
      </c>
      <c r="H154" s="195">
        <v>1335</v>
      </c>
      <c r="I154" s="31" t="s">
        <v>146</v>
      </c>
      <c r="J154" s="22"/>
    </row>
    <row r="155" spans="1:10" ht="12.75" customHeight="1" x14ac:dyDescent="0.25">
      <c r="A155" s="202">
        <v>43296</v>
      </c>
      <c r="B155" s="17" t="s">
        <v>28</v>
      </c>
      <c r="C155" s="17">
        <v>15</v>
      </c>
      <c r="D155" s="17">
        <v>82</v>
      </c>
      <c r="E155" s="17">
        <f t="shared" si="4"/>
        <v>67</v>
      </c>
      <c r="F155" s="17">
        <v>30</v>
      </c>
      <c r="G155" s="19" t="str">
        <f t="shared" si="5"/>
        <v>Fail</v>
      </c>
      <c r="H155" s="195">
        <v>74</v>
      </c>
      <c r="I155" s="31"/>
      <c r="J155" s="36" t="s">
        <v>147</v>
      </c>
    </row>
    <row r="156" spans="1:10" ht="12.75" customHeight="1" x14ac:dyDescent="0.25">
      <c r="A156" s="202">
        <v>43297</v>
      </c>
      <c r="B156" s="17" t="s">
        <v>28</v>
      </c>
      <c r="C156" s="17">
        <v>17</v>
      </c>
      <c r="D156" s="17">
        <v>33</v>
      </c>
      <c r="E156" s="17">
        <f t="shared" si="4"/>
        <v>16</v>
      </c>
      <c r="F156" s="17">
        <v>30</v>
      </c>
      <c r="G156" s="19" t="str">
        <f t="shared" si="5"/>
        <v>Pass</v>
      </c>
      <c r="H156" s="195">
        <v>1159</v>
      </c>
      <c r="I156" s="31" t="s">
        <v>148</v>
      </c>
      <c r="J156" s="36" t="s">
        <v>147</v>
      </c>
    </row>
    <row r="157" spans="1:10" ht="12.75" customHeight="1" x14ac:dyDescent="0.25">
      <c r="A157" s="202">
        <v>43306</v>
      </c>
      <c r="B157" s="17" t="s">
        <v>28</v>
      </c>
      <c r="C157" s="17">
        <v>29</v>
      </c>
      <c r="D157" s="17">
        <v>14</v>
      </c>
      <c r="E157" s="17">
        <f t="shared" si="4"/>
        <v>-15</v>
      </c>
      <c r="F157" s="17">
        <v>30</v>
      </c>
      <c r="G157" s="19" t="str">
        <f t="shared" si="5"/>
        <v>Pass</v>
      </c>
      <c r="H157" s="195">
        <v>121</v>
      </c>
      <c r="I157" s="31" t="s">
        <v>149</v>
      </c>
      <c r="J157" s="22"/>
    </row>
    <row r="158" spans="1:10" ht="12.75" customHeight="1" x14ac:dyDescent="0.25">
      <c r="A158" s="202">
        <v>43307</v>
      </c>
      <c r="B158" s="17" t="s">
        <v>28</v>
      </c>
      <c r="C158" s="17">
        <v>16</v>
      </c>
      <c r="D158" s="17">
        <v>36</v>
      </c>
      <c r="E158" s="17">
        <f t="shared" si="4"/>
        <v>20</v>
      </c>
      <c r="F158" s="17">
        <v>30</v>
      </c>
      <c r="G158" s="19" t="str">
        <f t="shared" si="5"/>
        <v>Pass</v>
      </c>
      <c r="H158" s="195">
        <v>121</v>
      </c>
      <c r="I158" s="31" t="s">
        <v>150</v>
      </c>
      <c r="J158" s="22"/>
    </row>
    <row r="159" spans="1:10" ht="12.75" customHeight="1" x14ac:dyDescent="0.25">
      <c r="A159" s="202">
        <v>43311</v>
      </c>
      <c r="B159" s="17" t="s">
        <v>28</v>
      </c>
      <c r="C159" s="17">
        <v>18</v>
      </c>
      <c r="D159" s="17">
        <v>41</v>
      </c>
      <c r="E159" s="17">
        <f t="shared" ref="E159:E222" si="6">IF(((C159="")*AND(D159="")),"",D159-C159)</f>
        <v>23</v>
      </c>
      <c r="F159" s="17">
        <v>30</v>
      </c>
      <c r="G159" s="19" t="str">
        <f t="shared" ref="G159:G222" si="7">IF(E159="","",IF(E159&lt;=30,"Pass","Fail"))</f>
        <v>Pass</v>
      </c>
      <c r="H159" s="195">
        <v>1340</v>
      </c>
      <c r="I159" s="31"/>
      <c r="J159" s="22"/>
    </row>
    <row r="160" spans="1:10" ht="12.75" customHeight="1" x14ac:dyDescent="0.25">
      <c r="A160" s="202">
        <v>43328</v>
      </c>
      <c r="B160" s="17" t="s">
        <v>28</v>
      </c>
      <c r="C160" s="17">
        <v>7</v>
      </c>
      <c r="D160" s="17">
        <v>12</v>
      </c>
      <c r="E160" s="17">
        <f t="shared" si="6"/>
        <v>5</v>
      </c>
      <c r="F160" s="17">
        <v>30</v>
      </c>
      <c r="G160" s="19" t="str">
        <f t="shared" si="7"/>
        <v>Pass</v>
      </c>
      <c r="H160" s="195">
        <v>1159</v>
      </c>
      <c r="I160" s="31" t="s">
        <v>151</v>
      </c>
      <c r="J160" s="22"/>
    </row>
    <row r="161" spans="1:10" ht="12.75" customHeight="1" x14ac:dyDescent="0.25">
      <c r="A161" s="202">
        <v>43336</v>
      </c>
      <c r="B161" s="17" t="s">
        <v>28</v>
      </c>
      <c r="C161" s="17">
        <v>29</v>
      </c>
      <c r="D161" s="17">
        <v>15</v>
      </c>
      <c r="E161" s="17">
        <f t="shared" si="6"/>
        <v>-14</v>
      </c>
      <c r="F161" s="17">
        <v>30</v>
      </c>
      <c r="G161" s="19" t="str">
        <f t="shared" si="7"/>
        <v>Pass</v>
      </c>
      <c r="H161" s="195">
        <v>1159</v>
      </c>
      <c r="I161" s="31" t="s">
        <v>152</v>
      </c>
      <c r="J161" s="22"/>
    </row>
    <row r="162" spans="1:10" ht="12.75" customHeight="1" x14ac:dyDescent="0.25">
      <c r="A162" s="202">
        <v>43347</v>
      </c>
      <c r="B162" s="17" t="s">
        <v>28</v>
      </c>
      <c r="C162" s="17">
        <v>40</v>
      </c>
      <c r="D162" s="17">
        <v>32</v>
      </c>
      <c r="E162" s="17">
        <f t="shared" si="6"/>
        <v>-8</v>
      </c>
      <c r="F162" s="17">
        <v>30</v>
      </c>
      <c r="G162" s="19" t="str">
        <f t="shared" si="7"/>
        <v>Pass</v>
      </c>
      <c r="H162" s="195">
        <v>1335</v>
      </c>
      <c r="I162" s="31" t="s">
        <v>153</v>
      </c>
      <c r="J162" s="22"/>
    </row>
    <row r="163" spans="1:10" ht="12.75" customHeight="1" x14ac:dyDescent="0.25">
      <c r="A163" s="202">
        <v>43354</v>
      </c>
      <c r="B163" s="17" t="s">
        <v>28</v>
      </c>
      <c r="C163" s="17">
        <v>29</v>
      </c>
      <c r="D163" s="17">
        <v>51</v>
      </c>
      <c r="E163" s="17">
        <f t="shared" si="6"/>
        <v>22</v>
      </c>
      <c r="F163" s="17">
        <v>30</v>
      </c>
      <c r="G163" s="19" t="str">
        <f t="shared" si="7"/>
        <v>Pass</v>
      </c>
      <c r="H163" s="195">
        <v>1340</v>
      </c>
      <c r="I163" s="31"/>
      <c r="J163" s="22"/>
    </row>
    <row r="164" spans="1:10" ht="12.75" customHeight="1" x14ac:dyDescent="0.25">
      <c r="A164" s="202">
        <v>43361</v>
      </c>
      <c r="B164" s="17" t="s">
        <v>28</v>
      </c>
      <c r="C164" s="17">
        <v>13</v>
      </c>
      <c r="D164" s="17">
        <v>40</v>
      </c>
      <c r="E164" s="17">
        <f t="shared" si="6"/>
        <v>27</v>
      </c>
      <c r="F164" s="17">
        <v>30</v>
      </c>
      <c r="G164" s="19" t="str">
        <f t="shared" si="7"/>
        <v>Pass</v>
      </c>
      <c r="H164" s="195">
        <v>1340</v>
      </c>
      <c r="I164" s="31"/>
      <c r="J164" s="22"/>
    </row>
    <row r="165" spans="1:10" ht="12.75" customHeight="1" x14ac:dyDescent="0.25">
      <c r="A165" s="202">
        <v>43368</v>
      </c>
      <c r="B165" s="17" t="s">
        <v>28</v>
      </c>
      <c r="C165" s="17">
        <v>21</v>
      </c>
      <c r="D165" s="17">
        <v>30</v>
      </c>
      <c r="E165" s="17">
        <f t="shared" si="6"/>
        <v>9</v>
      </c>
      <c r="F165" s="17">
        <v>30</v>
      </c>
      <c r="G165" s="19" t="str">
        <f t="shared" si="7"/>
        <v>Pass</v>
      </c>
      <c r="H165" s="195">
        <v>1340</v>
      </c>
      <c r="I165" s="31"/>
      <c r="J165" s="22"/>
    </row>
    <row r="166" spans="1:10" ht="12.75" customHeight="1" x14ac:dyDescent="0.25">
      <c r="A166" s="202">
        <v>43371</v>
      </c>
      <c r="B166" s="17" t="s">
        <v>28</v>
      </c>
      <c r="C166" s="17">
        <v>22</v>
      </c>
      <c r="D166" s="17">
        <v>43</v>
      </c>
      <c r="E166" s="17">
        <f t="shared" si="6"/>
        <v>21</v>
      </c>
      <c r="F166" s="17">
        <v>30</v>
      </c>
      <c r="G166" s="19" t="str">
        <f t="shared" si="7"/>
        <v>Pass</v>
      </c>
      <c r="H166" s="195">
        <v>1340</v>
      </c>
      <c r="I166" s="31"/>
      <c r="J166" s="22"/>
    </row>
    <row r="167" spans="1:10" ht="12.75" customHeight="1" x14ac:dyDescent="0.25">
      <c r="A167" s="202">
        <v>43378</v>
      </c>
      <c r="B167" s="17" t="s">
        <v>28</v>
      </c>
      <c r="C167" s="17">
        <v>21</v>
      </c>
      <c r="D167" s="17">
        <v>22</v>
      </c>
      <c r="E167" s="17">
        <f t="shared" si="6"/>
        <v>1</v>
      </c>
      <c r="F167" s="17">
        <v>30</v>
      </c>
      <c r="G167" s="19" t="str">
        <f t="shared" si="7"/>
        <v>Pass</v>
      </c>
      <c r="H167" s="195">
        <v>1340</v>
      </c>
      <c r="I167" s="31"/>
      <c r="J167" s="22"/>
    </row>
    <row r="168" spans="1:10" ht="12.75" customHeight="1" x14ac:dyDescent="0.25">
      <c r="A168" s="202">
        <v>43391</v>
      </c>
      <c r="B168" s="17" t="s">
        <v>28</v>
      </c>
      <c r="C168" s="17">
        <v>31</v>
      </c>
      <c r="D168" s="17">
        <v>41</v>
      </c>
      <c r="E168" s="17">
        <f t="shared" si="6"/>
        <v>10</v>
      </c>
      <c r="F168" s="17">
        <v>30</v>
      </c>
      <c r="G168" s="19" t="str">
        <f t="shared" si="7"/>
        <v>Pass</v>
      </c>
      <c r="H168" s="195">
        <v>1159</v>
      </c>
      <c r="I168" s="31" t="s">
        <v>154</v>
      </c>
      <c r="J168" s="22"/>
    </row>
    <row r="169" spans="1:10" ht="12.75" customHeight="1" x14ac:dyDescent="0.25">
      <c r="A169" s="202">
        <v>43396</v>
      </c>
      <c r="B169" s="17" t="s">
        <v>28</v>
      </c>
      <c r="C169" s="17">
        <v>14</v>
      </c>
      <c r="D169" s="17">
        <v>20</v>
      </c>
      <c r="E169" s="17">
        <f t="shared" si="6"/>
        <v>6</v>
      </c>
      <c r="F169" s="17">
        <v>30</v>
      </c>
      <c r="G169" s="19" t="str">
        <f t="shared" si="7"/>
        <v>Pass</v>
      </c>
      <c r="H169" s="195">
        <v>1159</v>
      </c>
      <c r="I169" s="31" t="s">
        <v>155</v>
      </c>
      <c r="J169" s="22"/>
    </row>
    <row r="170" spans="1:10" ht="12.75" customHeight="1" x14ac:dyDescent="0.25">
      <c r="A170" s="202">
        <v>43404</v>
      </c>
      <c r="B170" s="17" t="s">
        <v>28</v>
      </c>
      <c r="C170" s="17">
        <v>21</v>
      </c>
      <c r="D170" s="17">
        <v>31</v>
      </c>
      <c r="E170" s="17">
        <f t="shared" si="6"/>
        <v>10</v>
      </c>
      <c r="F170" s="17">
        <v>30</v>
      </c>
      <c r="G170" s="19" t="str">
        <f t="shared" si="7"/>
        <v>Pass</v>
      </c>
      <c r="H170" s="195">
        <v>64</v>
      </c>
      <c r="I170" s="31"/>
      <c r="J170" s="22"/>
    </row>
    <row r="171" spans="1:10" ht="12.75" customHeight="1" x14ac:dyDescent="0.25">
      <c r="A171" s="202">
        <v>43420</v>
      </c>
      <c r="B171" s="17" t="s">
        <v>28</v>
      </c>
      <c r="C171" s="17">
        <v>51</v>
      </c>
      <c r="D171" s="17">
        <v>35</v>
      </c>
      <c r="E171" s="17">
        <f t="shared" si="6"/>
        <v>-16</v>
      </c>
      <c r="F171" s="17">
        <v>30</v>
      </c>
      <c r="G171" s="19" t="str">
        <f t="shared" si="7"/>
        <v>Pass</v>
      </c>
      <c r="H171" s="195">
        <v>74</v>
      </c>
      <c r="I171" s="31"/>
      <c r="J171" s="22"/>
    </row>
    <row r="172" spans="1:10" ht="12.75" customHeight="1" x14ac:dyDescent="0.25">
      <c r="A172" s="202">
        <v>43420</v>
      </c>
      <c r="B172" s="17" t="s">
        <v>28</v>
      </c>
      <c r="C172" s="17">
        <v>26</v>
      </c>
      <c r="D172" s="17">
        <v>12</v>
      </c>
      <c r="E172" s="17">
        <f t="shared" si="6"/>
        <v>-14</v>
      </c>
      <c r="F172" s="17">
        <v>30</v>
      </c>
      <c r="G172" s="19" t="str">
        <f t="shared" si="7"/>
        <v>Pass</v>
      </c>
      <c r="H172" s="195">
        <v>1159</v>
      </c>
      <c r="I172" s="30" t="s">
        <v>67</v>
      </c>
      <c r="J172" s="22"/>
    </row>
    <row r="173" spans="1:10" ht="12.75" customHeight="1" x14ac:dyDescent="0.25">
      <c r="A173" s="202">
        <v>43460</v>
      </c>
      <c r="B173" s="17" t="s">
        <v>28</v>
      </c>
      <c r="C173" s="17">
        <v>21</v>
      </c>
      <c r="D173" s="17">
        <v>58</v>
      </c>
      <c r="E173" s="17">
        <f t="shared" si="6"/>
        <v>37</v>
      </c>
      <c r="F173" s="17">
        <v>30</v>
      </c>
      <c r="G173" s="19" t="str">
        <f t="shared" si="7"/>
        <v>Fail</v>
      </c>
      <c r="H173" s="195">
        <v>1340</v>
      </c>
      <c r="I173" s="31" t="s">
        <v>29</v>
      </c>
      <c r="J173" s="22"/>
    </row>
    <row r="174" spans="1:10" ht="12.75" customHeight="1" x14ac:dyDescent="0.25">
      <c r="A174" s="202">
        <v>43460</v>
      </c>
      <c r="B174" s="17" t="s">
        <v>28</v>
      </c>
      <c r="C174" s="17">
        <v>24</v>
      </c>
      <c r="D174" s="17">
        <v>20</v>
      </c>
      <c r="E174" s="17">
        <f t="shared" si="6"/>
        <v>-4</v>
      </c>
      <c r="F174" s="17">
        <v>30</v>
      </c>
      <c r="G174" s="19" t="str">
        <f t="shared" si="7"/>
        <v>Pass</v>
      </c>
      <c r="H174" s="195">
        <v>1340</v>
      </c>
      <c r="I174" s="31" t="s">
        <v>29</v>
      </c>
      <c r="J174" s="22"/>
    </row>
    <row r="175" spans="1:10" customFormat="1" ht="12.75" customHeight="1" x14ac:dyDescent="0.35">
      <c r="A175" s="272">
        <v>43476</v>
      </c>
      <c r="B175" s="270" t="s">
        <v>28</v>
      </c>
      <c r="C175" s="270">
        <v>44</v>
      </c>
      <c r="D175" s="270">
        <v>42</v>
      </c>
      <c r="E175" s="270">
        <f t="shared" si="6"/>
        <v>-2</v>
      </c>
      <c r="F175" s="270">
        <v>30</v>
      </c>
      <c r="G175" s="266" t="str">
        <f t="shared" si="7"/>
        <v>Pass</v>
      </c>
      <c r="H175" s="273">
        <v>1335</v>
      </c>
      <c r="I175" s="267" t="s">
        <v>29</v>
      </c>
      <c r="J175" s="271"/>
    </row>
    <row r="176" spans="1:10" customFormat="1" ht="12.75" customHeight="1" x14ac:dyDescent="0.35">
      <c r="A176" s="272">
        <v>43480</v>
      </c>
      <c r="B176" s="270" t="s">
        <v>28</v>
      </c>
      <c r="C176" s="270">
        <v>21</v>
      </c>
      <c r="D176" s="270">
        <v>1043</v>
      </c>
      <c r="E176" s="270">
        <f t="shared" si="6"/>
        <v>1022</v>
      </c>
      <c r="F176" s="270">
        <v>30</v>
      </c>
      <c r="G176" s="266" t="str">
        <f t="shared" si="7"/>
        <v>Fail</v>
      </c>
      <c r="H176" s="273">
        <v>74</v>
      </c>
      <c r="I176" s="267" t="s">
        <v>29</v>
      </c>
      <c r="J176" s="268" t="s">
        <v>313</v>
      </c>
    </row>
    <row r="177" spans="1:10" customFormat="1" ht="12.75" customHeight="1" x14ac:dyDescent="0.35">
      <c r="A177" s="272">
        <v>43481</v>
      </c>
      <c r="B177" s="270" t="s">
        <v>28</v>
      </c>
      <c r="C177" s="270">
        <v>43</v>
      </c>
      <c r="D177" s="270">
        <v>23</v>
      </c>
      <c r="E177" s="270">
        <f t="shared" si="6"/>
        <v>-20</v>
      </c>
      <c r="F177" s="270">
        <v>30</v>
      </c>
      <c r="G177" s="266" t="str">
        <f t="shared" si="7"/>
        <v>Pass</v>
      </c>
      <c r="H177" s="273">
        <v>1340</v>
      </c>
      <c r="I177" s="267" t="s">
        <v>29</v>
      </c>
      <c r="J177" s="271"/>
    </row>
    <row r="178" spans="1:10" customFormat="1" ht="12.75" customHeight="1" x14ac:dyDescent="0.35">
      <c r="A178" s="272">
        <v>43481</v>
      </c>
      <c r="B178" s="270" t="s">
        <v>28</v>
      </c>
      <c r="C178" s="270">
        <v>11</v>
      </c>
      <c r="D178" s="270">
        <v>39</v>
      </c>
      <c r="E178" s="270">
        <f t="shared" si="6"/>
        <v>28</v>
      </c>
      <c r="F178" s="270">
        <v>30</v>
      </c>
      <c r="G178" s="266" t="str">
        <f t="shared" si="7"/>
        <v>Pass</v>
      </c>
      <c r="H178" s="273">
        <v>1340</v>
      </c>
      <c r="I178" s="267" t="s">
        <v>29</v>
      </c>
      <c r="J178" s="271"/>
    </row>
    <row r="179" spans="1:10" customFormat="1" ht="12.75" customHeight="1" x14ac:dyDescent="0.35">
      <c r="A179" s="272">
        <v>43488</v>
      </c>
      <c r="B179" s="270" t="s">
        <v>28</v>
      </c>
      <c r="C179" s="270">
        <v>36</v>
      </c>
      <c r="D179" s="270">
        <v>29</v>
      </c>
      <c r="E179" s="270">
        <f>IF(((C179="")*AND(D179="")),"",D179-C179)</f>
        <v>-7</v>
      </c>
      <c r="F179" s="270">
        <v>30</v>
      </c>
      <c r="G179" s="266" t="str">
        <f>IF(E179="","",IF(E179&lt;=30,"Pass","Fail"))</f>
        <v>Pass</v>
      </c>
      <c r="H179" s="273">
        <v>1159</v>
      </c>
      <c r="I179" s="267" t="s">
        <v>314</v>
      </c>
      <c r="J179" s="271"/>
    </row>
    <row r="180" spans="1:10" customFormat="1" ht="12.75" customHeight="1" x14ac:dyDescent="0.35">
      <c r="A180" s="272">
        <v>43494</v>
      </c>
      <c r="B180" s="270" t="s">
        <v>28</v>
      </c>
      <c r="C180" s="270">
        <v>9</v>
      </c>
      <c r="D180" s="270">
        <v>12</v>
      </c>
      <c r="E180" s="270">
        <f t="shared" si="6"/>
        <v>3</v>
      </c>
      <c r="F180" s="270">
        <v>30</v>
      </c>
      <c r="G180" s="266" t="str">
        <f t="shared" si="7"/>
        <v>Pass</v>
      </c>
      <c r="H180" s="273">
        <v>121</v>
      </c>
      <c r="I180" s="267" t="s">
        <v>29</v>
      </c>
      <c r="J180" s="271"/>
    </row>
    <row r="181" spans="1:10" customFormat="1" ht="12.75" customHeight="1" x14ac:dyDescent="0.35">
      <c r="A181" s="272">
        <v>43494</v>
      </c>
      <c r="B181" s="270" t="s">
        <v>28</v>
      </c>
      <c r="C181" s="270">
        <v>12</v>
      </c>
      <c r="D181" s="270">
        <v>15</v>
      </c>
      <c r="E181" s="270">
        <f t="shared" si="6"/>
        <v>3</v>
      </c>
      <c r="F181" s="270">
        <v>30</v>
      </c>
      <c r="G181" s="266" t="str">
        <f t="shared" si="7"/>
        <v>Pass</v>
      </c>
      <c r="H181" s="273">
        <v>121</v>
      </c>
      <c r="I181" s="267" t="s">
        <v>29</v>
      </c>
      <c r="J181" s="271"/>
    </row>
    <row r="182" spans="1:10" customFormat="1" ht="12.75" customHeight="1" x14ac:dyDescent="0.35">
      <c r="A182" s="272">
        <v>43497</v>
      </c>
      <c r="B182" s="270" t="s">
        <v>28</v>
      </c>
      <c r="C182" s="270">
        <v>29</v>
      </c>
      <c r="D182" s="270">
        <v>19</v>
      </c>
      <c r="E182" s="270">
        <f t="shared" si="6"/>
        <v>-10</v>
      </c>
      <c r="F182" s="270">
        <v>30</v>
      </c>
      <c r="G182" s="266" t="str">
        <f t="shared" si="7"/>
        <v>Pass</v>
      </c>
      <c r="H182" s="273">
        <v>121</v>
      </c>
      <c r="I182" s="267" t="s">
        <v>315</v>
      </c>
      <c r="J182" s="271"/>
    </row>
    <row r="183" spans="1:10" customFormat="1" ht="12.75" customHeight="1" x14ac:dyDescent="0.35">
      <c r="A183" s="272">
        <v>43502</v>
      </c>
      <c r="B183" s="270" t="s">
        <v>28</v>
      </c>
      <c r="C183" s="270">
        <v>24</v>
      </c>
      <c r="D183" s="270">
        <v>45</v>
      </c>
      <c r="E183" s="270">
        <f t="shared" si="6"/>
        <v>21</v>
      </c>
      <c r="F183" s="270">
        <v>30</v>
      </c>
      <c r="G183" s="266" t="str">
        <f t="shared" si="7"/>
        <v>Pass</v>
      </c>
      <c r="H183" s="273">
        <v>1340</v>
      </c>
      <c r="I183" s="267" t="s">
        <v>29</v>
      </c>
      <c r="J183" s="271"/>
    </row>
    <row r="184" spans="1:10" customFormat="1" ht="12.75" customHeight="1" x14ac:dyDescent="0.35">
      <c r="A184" s="272">
        <v>43505</v>
      </c>
      <c r="B184" s="270" t="s">
        <v>28</v>
      </c>
      <c r="C184" s="270">
        <v>46</v>
      </c>
      <c r="D184" s="270">
        <v>43</v>
      </c>
      <c r="E184" s="270">
        <f t="shared" si="6"/>
        <v>-3</v>
      </c>
      <c r="F184" s="270">
        <v>30</v>
      </c>
      <c r="G184" s="266" t="str">
        <f t="shared" si="7"/>
        <v>Pass</v>
      </c>
      <c r="H184" s="273">
        <v>64</v>
      </c>
      <c r="I184" s="267" t="s">
        <v>29</v>
      </c>
      <c r="J184" s="271"/>
    </row>
    <row r="185" spans="1:10" customFormat="1" ht="12.75" customHeight="1" x14ac:dyDescent="0.35">
      <c r="A185" s="272">
        <v>43508</v>
      </c>
      <c r="B185" s="270" t="s">
        <v>28</v>
      </c>
      <c r="C185" s="270">
        <v>26</v>
      </c>
      <c r="D185" s="270">
        <v>20</v>
      </c>
      <c r="E185" s="270">
        <f t="shared" si="6"/>
        <v>-6</v>
      </c>
      <c r="F185" s="270">
        <v>30</v>
      </c>
      <c r="G185" s="266" t="str">
        <f t="shared" si="7"/>
        <v>Pass</v>
      </c>
      <c r="H185" s="273">
        <v>1340</v>
      </c>
      <c r="I185" s="267" t="s">
        <v>29</v>
      </c>
      <c r="J185" s="271"/>
    </row>
    <row r="186" spans="1:10" customFormat="1" ht="12.75" customHeight="1" x14ac:dyDescent="0.35">
      <c r="A186" s="272">
        <v>43514</v>
      </c>
      <c r="B186" s="270" t="s">
        <v>28</v>
      </c>
      <c r="C186" s="270">
        <v>19</v>
      </c>
      <c r="D186" s="270">
        <v>14</v>
      </c>
      <c r="E186" s="270">
        <f t="shared" si="6"/>
        <v>-5</v>
      </c>
      <c r="F186" s="270">
        <v>30</v>
      </c>
      <c r="G186" s="266" t="str">
        <f t="shared" si="7"/>
        <v>Pass</v>
      </c>
      <c r="H186" s="273">
        <v>1340</v>
      </c>
      <c r="I186" s="267" t="s">
        <v>29</v>
      </c>
      <c r="J186" s="271"/>
    </row>
    <row r="187" spans="1:10" customFormat="1" ht="12.75" customHeight="1" x14ac:dyDescent="0.35">
      <c r="A187" s="272">
        <v>43517</v>
      </c>
      <c r="B187" s="270" t="s">
        <v>28</v>
      </c>
      <c r="C187" s="270">
        <v>65</v>
      </c>
      <c r="D187" s="270">
        <v>51</v>
      </c>
      <c r="E187" s="270">
        <f t="shared" si="6"/>
        <v>-14</v>
      </c>
      <c r="F187" s="270">
        <v>30</v>
      </c>
      <c r="G187" s="266" t="str">
        <f t="shared" si="7"/>
        <v>Pass</v>
      </c>
      <c r="H187" s="273">
        <v>121</v>
      </c>
      <c r="I187" s="267" t="s">
        <v>29</v>
      </c>
      <c r="J187" s="271"/>
    </row>
    <row r="188" spans="1:10" customFormat="1" ht="12.75" customHeight="1" x14ac:dyDescent="0.35">
      <c r="A188" s="272">
        <v>43517</v>
      </c>
      <c r="B188" s="270" t="s">
        <v>28</v>
      </c>
      <c r="C188" s="270">
        <v>50</v>
      </c>
      <c r="D188" s="270">
        <v>46</v>
      </c>
      <c r="E188" s="270">
        <f t="shared" si="6"/>
        <v>-4</v>
      </c>
      <c r="F188" s="270">
        <v>30</v>
      </c>
      <c r="G188" s="266" t="str">
        <f t="shared" si="7"/>
        <v>Pass</v>
      </c>
      <c r="H188" s="273">
        <v>121</v>
      </c>
      <c r="I188" s="267" t="s">
        <v>29</v>
      </c>
      <c r="J188" s="271"/>
    </row>
    <row r="189" spans="1:10" customFormat="1" ht="12.75" customHeight="1" x14ac:dyDescent="0.35">
      <c r="A189" s="272">
        <v>43521</v>
      </c>
      <c r="B189" s="270" t="s">
        <v>28</v>
      </c>
      <c r="C189" s="270">
        <v>16</v>
      </c>
      <c r="D189" s="270">
        <v>17</v>
      </c>
      <c r="E189" s="270">
        <f t="shared" si="6"/>
        <v>1</v>
      </c>
      <c r="F189" s="270">
        <v>30</v>
      </c>
      <c r="G189" s="266" t="str">
        <f t="shared" si="7"/>
        <v>Pass</v>
      </c>
      <c r="H189" s="273">
        <v>1335</v>
      </c>
      <c r="I189" s="267" t="s">
        <v>29</v>
      </c>
      <c r="J189" s="271"/>
    </row>
    <row r="190" spans="1:10" customFormat="1" ht="12.75" customHeight="1" x14ac:dyDescent="0.35">
      <c r="A190" s="272">
        <v>43524</v>
      </c>
      <c r="B190" s="270" t="s">
        <v>28</v>
      </c>
      <c r="C190" s="270">
        <v>17</v>
      </c>
      <c r="D190" s="270">
        <v>29</v>
      </c>
      <c r="E190" s="270">
        <f t="shared" si="6"/>
        <v>12</v>
      </c>
      <c r="F190" s="270">
        <v>30</v>
      </c>
      <c r="G190" s="266" t="str">
        <f t="shared" si="7"/>
        <v>Pass</v>
      </c>
      <c r="H190" s="269" t="s">
        <v>316</v>
      </c>
      <c r="I190" s="267" t="s">
        <v>317</v>
      </c>
      <c r="J190" s="271"/>
    </row>
    <row r="191" spans="1:10" customFormat="1" ht="12.75" customHeight="1" x14ac:dyDescent="0.35">
      <c r="A191" s="272">
        <v>43528</v>
      </c>
      <c r="B191" s="270" t="s">
        <v>28</v>
      </c>
      <c r="C191" s="270">
        <v>17</v>
      </c>
      <c r="D191" s="270">
        <v>26</v>
      </c>
      <c r="E191" s="270">
        <f t="shared" si="6"/>
        <v>9</v>
      </c>
      <c r="F191" s="270">
        <v>30</v>
      </c>
      <c r="G191" s="266" t="str">
        <f t="shared" si="7"/>
        <v>Pass</v>
      </c>
      <c r="H191" s="273">
        <v>74</v>
      </c>
      <c r="I191" s="267"/>
      <c r="J191" s="271"/>
    </row>
    <row r="192" spans="1:10" customFormat="1" ht="12.75" customHeight="1" x14ac:dyDescent="0.35">
      <c r="A192" s="272">
        <v>43531</v>
      </c>
      <c r="B192" s="270" t="s">
        <v>28</v>
      </c>
      <c r="C192" s="270">
        <v>15</v>
      </c>
      <c r="D192" s="270">
        <v>21</v>
      </c>
      <c r="E192" s="270">
        <f t="shared" si="6"/>
        <v>6</v>
      </c>
      <c r="F192" s="270">
        <v>30</v>
      </c>
      <c r="G192" s="266" t="str">
        <f t="shared" si="7"/>
        <v>Pass</v>
      </c>
      <c r="H192" s="273">
        <v>1340</v>
      </c>
      <c r="I192" s="267"/>
      <c r="J192" s="271"/>
    </row>
    <row r="193" spans="1:10" customFormat="1" ht="12.75" customHeight="1" x14ac:dyDescent="0.35">
      <c r="A193" s="272">
        <v>43535</v>
      </c>
      <c r="B193" s="270" t="s">
        <v>28</v>
      </c>
      <c r="C193" s="270">
        <v>17</v>
      </c>
      <c r="D193" s="270">
        <v>7</v>
      </c>
      <c r="E193" s="270">
        <f t="shared" si="6"/>
        <v>-10</v>
      </c>
      <c r="F193" s="270">
        <v>30</v>
      </c>
      <c r="G193" s="266" t="str">
        <f t="shared" si="7"/>
        <v>Pass</v>
      </c>
      <c r="H193" s="273"/>
      <c r="I193" s="267"/>
      <c r="J193" s="271"/>
    </row>
    <row r="194" spans="1:10" customFormat="1" ht="12.75" customHeight="1" x14ac:dyDescent="0.35">
      <c r="A194" s="272">
        <v>43538</v>
      </c>
      <c r="B194" s="270" t="s">
        <v>28</v>
      </c>
      <c r="C194" s="270">
        <v>18</v>
      </c>
      <c r="D194" s="270">
        <v>24</v>
      </c>
      <c r="E194" s="270">
        <f t="shared" si="6"/>
        <v>6</v>
      </c>
      <c r="F194" s="270">
        <v>30</v>
      </c>
      <c r="G194" s="266" t="str">
        <f t="shared" si="7"/>
        <v>Pass</v>
      </c>
      <c r="H194" s="273">
        <v>121</v>
      </c>
      <c r="I194" s="267"/>
      <c r="J194" s="271"/>
    </row>
    <row r="195" spans="1:10" customFormat="1" ht="12.75" customHeight="1" x14ac:dyDescent="0.35">
      <c r="A195" s="272">
        <v>43546</v>
      </c>
      <c r="B195" s="270" t="s">
        <v>28</v>
      </c>
      <c r="C195" s="270">
        <v>23</v>
      </c>
      <c r="D195" s="270">
        <v>20</v>
      </c>
      <c r="E195" s="270">
        <f t="shared" si="6"/>
        <v>-3</v>
      </c>
      <c r="F195" s="270">
        <v>30</v>
      </c>
      <c r="G195" s="266" t="str">
        <f t="shared" si="7"/>
        <v>Pass</v>
      </c>
      <c r="H195" s="273"/>
      <c r="I195" s="267"/>
      <c r="J195" s="271"/>
    </row>
    <row r="196" spans="1:10" customFormat="1" ht="12.75" customHeight="1" x14ac:dyDescent="0.35">
      <c r="A196" s="272">
        <v>43549</v>
      </c>
      <c r="B196" s="270" t="s">
        <v>28</v>
      </c>
      <c r="C196" s="270">
        <v>6</v>
      </c>
      <c r="D196" s="270">
        <v>26</v>
      </c>
      <c r="E196" s="270">
        <f t="shared" si="6"/>
        <v>20</v>
      </c>
      <c r="F196" s="270">
        <v>30</v>
      </c>
      <c r="G196" s="266" t="str">
        <f t="shared" si="7"/>
        <v>Pass</v>
      </c>
      <c r="H196" s="273">
        <v>1159</v>
      </c>
      <c r="I196" s="267"/>
      <c r="J196" s="271"/>
    </row>
    <row r="197" spans="1:10" customFormat="1" ht="12.75" customHeight="1" x14ac:dyDescent="0.35">
      <c r="A197" s="272">
        <v>43556</v>
      </c>
      <c r="B197" s="270" t="s">
        <v>28</v>
      </c>
      <c r="C197" s="270">
        <v>33</v>
      </c>
      <c r="D197" s="270">
        <v>40</v>
      </c>
      <c r="E197" s="270">
        <f t="shared" si="6"/>
        <v>7</v>
      </c>
      <c r="F197" s="270">
        <v>30</v>
      </c>
      <c r="G197" s="266" t="str">
        <f t="shared" si="7"/>
        <v>Pass</v>
      </c>
      <c r="H197" s="273">
        <v>1340</v>
      </c>
      <c r="I197" s="267"/>
      <c r="J197" s="271"/>
    </row>
    <row r="198" spans="1:10" customFormat="1" ht="12.75" customHeight="1" x14ac:dyDescent="0.35">
      <c r="A198" s="272">
        <v>43560</v>
      </c>
      <c r="B198" s="270" t="s">
        <v>28</v>
      </c>
      <c r="C198" s="270">
        <v>19</v>
      </c>
      <c r="D198" s="270">
        <v>26</v>
      </c>
      <c r="E198" s="270">
        <f t="shared" si="6"/>
        <v>7</v>
      </c>
      <c r="F198" s="270">
        <v>30</v>
      </c>
      <c r="G198" s="266" t="str">
        <f t="shared" si="7"/>
        <v>Pass</v>
      </c>
      <c r="H198" s="273" t="s">
        <v>293</v>
      </c>
      <c r="I198" s="267"/>
      <c r="J198" s="271"/>
    </row>
    <row r="199" spans="1:10" customFormat="1" ht="12.75" customHeight="1" x14ac:dyDescent="0.35">
      <c r="A199" s="272">
        <v>43564</v>
      </c>
      <c r="B199" s="270" t="s">
        <v>28</v>
      </c>
      <c r="C199" s="270">
        <v>27</v>
      </c>
      <c r="D199" s="270">
        <v>35</v>
      </c>
      <c r="E199" s="270">
        <f t="shared" si="6"/>
        <v>8</v>
      </c>
      <c r="F199" s="270">
        <v>30</v>
      </c>
      <c r="G199" s="266" t="str">
        <f t="shared" si="7"/>
        <v>Pass</v>
      </c>
      <c r="H199" s="273">
        <v>74</v>
      </c>
      <c r="I199" s="267"/>
      <c r="J199" s="271"/>
    </row>
    <row r="200" spans="1:10" customFormat="1" ht="12.75" customHeight="1" x14ac:dyDescent="0.35">
      <c r="A200" s="272">
        <v>43577</v>
      </c>
      <c r="B200" s="270" t="s">
        <v>28</v>
      </c>
      <c r="C200" s="270">
        <v>26</v>
      </c>
      <c r="D200" s="270">
        <v>53</v>
      </c>
      <c r="E200" s="270">
        <f t="shared" si="6"/>
        <v>27</v>
      </c>
      <c r="F200" s="270">
        <v>30</v>
      </c>
      <c r="G200" s="266" t="str">
        <f t="shared" si="7"/>
        <v>Pass</v>
      </c>
      <c r="H200" s="273">
        <v>1340</v>
      </c>
      <c r="I200" s="267"/>
      <c r="J200" s="271"/>
    </row>
    <row r="201" spans="1:10" customFormat="1" ht="12.75" customHeight="1" x14ac:dyDescent="0.35">
      <c r="A201" s="272">
        <v>43581</v>
      </c>
      <c r="B201" s="270" t="s">
        <v>28</v>
      </c>
      <c r="C201" s="270">
        <v>15</v>
      </c>
      <c r="D201" s="270">
        <v>53</v>
      </c>
      <c r="E201" s="270">
        <f>IF(((C201="")*AND(D201="")),"",D201-C201)</f>
        <v>38</v>
      </c>
      <c r="F201" s="270">
        <v>30</v>
      </c>
      <c r="G201" s="266" t="str">
        <f>IF(E201="","",IF(E201&lt;=30,"Pass","Fail"))</f>
        <v>Fail</v>
      </c>
      <c r="H201" s="269">
        <v>1159</v>
      </c>
      <c r="I201" s="267" t="s">
        <v>318</v>
      </c>
      <c r="J201" s="271"/>
    </row>
    <row r="202" spans="1:10" customFormat="1" ht="12.75" customHeight="1" x14ac:dyDescent="0.35">
      <c r="A202" s="272">
        <v>43581</v>
      </c>
      <c r="B202" s="270" t="s">
        <v>28</v>
      </c>
      <c r="C202" s="270">
        <v>53</v>
      </c>
      <c r="D202" s="270">
        <v>50</v>
      </c>
      <c r="E202" s="270">
        <f t="shared" si="6"/>
        <v>-3</v>
      </c>
      <c r="F202" s="270">
        <v>30</v>
      </c>
      <c r="G202" s="266" t="str">
        <f t="shared" si="7"/>
        <v>Pass</v>
      </c>
      <c r="H202" s="273">
        <v>1159</v>
      </c>
      <c r="I202" s="267" t="s">
        <v>319</v>
      </c>
      <c r="J202" s="271"/>
    </row>
    <row r="203" spans="1:10" customFormat="1" ht="12.75" customHeight="1" x14ac:dyDescent="0.35">
      <c r="A203" s="272">
        <v>43581</v>
      </c>
      <c r="B203" s="270" t="s">
        <v>28</v>
      </c>
      <c r="C203" s="270">
        <v>31</v>
      </c>
      <c r="D203" s="270">
        <v>21</v>
      </c>
      <c r="E203" s="270">
        <f t="shared" si="6"/>
        <v>-10</v>
      </c>
      <c r="F203" s="270">
        <v>30</v>
      </c>
      <c r="G203" s="266" t="str">
        <f t="shared" si="7"/>
        <v>Pass</v>
      </c>
      <c r="H203" s="273">
        <v>1159</v>
      </c>
      <c r="I203" s="267" t="s">
        <v>320</v>
      </c>
      <c r="J203" s="271"/>
    </row>
    <row r="204" spans="1:10" customFormat="1" ht="12.75" customHeight="1" x14ac:dyDescent="0.35">
      <c r="A204" s="272">
        <v>43585</v>
      </c>
      <c r="B204" s="270" t="s">
        <v>28</v>
      </c>
      <c r="C204" s="270">
        <v>10</v>
      </c>
      <c r="D204" s="270">
        <v>22</v>
      </c>
      <c r="E204" s="270">
        <f>IF(((C204="")*AND(D204="")),"",D204-C204)</f>
        <v>12</v>
      </c>
      <c r="F204" s="270">
        <v>30</v>
      </c>
      <c r="G204" s="266" t="str">
        <f>IF(E204="","",IF(E204&lt;=30,"Pass","Fail"))</f>
        <v>Pass</v>
      </c>
      <c r="H204" s="273">
        <v>1340</v>
      </c>
      <c r="I204" s="267" t="s">
        <v>320</v>
      </c>
      <c r="J204" s="271"/>
    </row>
    <row r="205" spans="1:10" customFormat="1" ht="12.75" customHeight="1" x14ac:dyDescent="0.35">
      <c r="A205" s="272">
        <v>43589</v>
      </c>
      <c r="B205" s="270" t="s">
        <v>28</v>
      </c>
      <c r="C205" s="270">
        <v>30</v>
      </c>
      <c r="D205" s="270">
        <v>40</v>
      </c>
      <c r="E205" s="270">
        <f t="shared" si="6"/>
        <v>10</v>
      </c>
      <c r="F205" s="270">
        <v>30</v>
      </c>
      <c r="G205" s="266" t="str">
        <f t="shared" si="7"/>
        <v>Pass</v>
      </c>
      <c r="H205" s="273">
        <v>102</v>
      </c>
      <c r="I205" s="267" t="s">
        <v>321</v>
      </c>
      <c r="J205" s="271"/>
    </row>
    <row r="206" spans="1:10" customFormat="1" ht="12.75" customHeight="1" x14ac:dyDescent="0.35">
      <c r="A206" s="272">
        <v>43593</v>
      </c>
      <c r="B206" s="270" t="s">
        <v>28</v>
      </c>
      <c r="C206" s="270">
        <v>17</v>
      </c>
      <c r="D206" s="270">
        <v>23</v>
      </c>
      <c r="E206" s="270">
        <f>IF(((C206="")*AND(D206="")),"",D206-C206)</f>
        <v>6</v>
      </c>
      <c r="F206" s="270">
        <v>30</v>
      </c>
      <c r="G206" s="266" t="str">
        <f>IF(E206="","",IF(E206&lt;=30,"Pass","Fail"))</f>
        <v>Pass</v>
      </c>
      <c r="H206" s="273" t="s">
        <v>309</v>
      </c>
      <c r="I206" s="267" t="s">
        <v>322</v>
      </c>
      <c r="J206" s="271"/>
    </row>
    <row r="207" spans="1:10" customFormat="1" ht="12.75" customHeight="1" x14ac:dyDescent="0.35">
      <c r="A207" s="272">
        <v>43597</v>
      </c>
      <c r="B207" s="270" t="s">
        <v>28</v>
      </c>
      <c r="C207" s="270">
        <v>27</v>
      </c>
      <c r="D207" s="270">
        <v>39</v>
      </c>
      <c r="E207" s="270">
        <f t="shared" si="6"/>
        <v>12</v>
      </c>
      <c r="F207" s="270">
        <v>30</v>
      </c>
      <c r="G207" s="266" t="str">
        <f t="shared" si="7"/>
        <v>Pass</v>
      </c>
      <c r="H207" s="273">
        <v>121</v>
      </c>
      <c r="I207" s="267"/>
      <c r="J207" s="271"/>
    </row>
    <row r="208" spans="1:10" customFormat="1" ht="12.75" customHeight="1" x14ac:dyDescent="0.35">
      <c r="A208" s="272">
        <v>43600</v>
      </c>
      <c r="B208" s="270" t="s">
        <v>28</v>
      </c>
      <c r="C208" s="270">
        <v>8</v>
      </c>
      <c r="D208" s="270">
        <v>22</v>
      </c>
      <c r="E208" s="270">
        <f t="shared" si="6"/>
        <v>14</v>
      </c>
      <c r="F208" s="270">
        <v>30</v>
      </c>
      <c r="G208" s="266" t="str">
        <f t="shared" si="7"/>
        <v>Pass</v>
      </c>
      <c r="H208" s="273">
        <v>1340</v>
      </c>
      <c r="I208" s="267" t="s">
        <v>323</v>
      </c>
      <c r="J208" s="271"/>
    </row>
    <row r="209" spans="1:10" customFormat="1" ht="12.75" customHeight="1" x14ac:dyDescent="0.35">
      <c r="A209" s="272">
        <v>43605</v>
      </c>
      <c r="B209" s="270" t="s">
        <v>28</v>
      </c>
      <c r="C209" s="270">
        <v>16</v>
      </c>
      <c r="D209" s="270">
        <v>18</v>
      </c>
      <c r="E209" s="270">
        <f>IF(((C209="")*AND(D209="")),"",D209-C209)</f>
        <v>2</v>
      </c>
      <c r="F209" s="270">
        <v>30</v>
      </c>
      <c r="G209" s="266" t="str">
        <f>IF(E209="","",IF(E209&lt;=30,"Pass","Fail"))</f>
        <v>Pass</v>
      </c>
      <c r="H209" s="273">
        <v>1159</v>
      </c>
      <c r="I209" s="267" t="s">
        <v>324</v>
      </c>
      <c r="J209" s="271"/>
    </row>
    <row r="210" spans="1:10" ht="12.75" customHeight="1" x14ac:dyDescent="0.25">
      <c r="A210" s="202"/>
      <c r="B210" s="17" t="s">
        <v>28</v>
      </c>
      <c r="C210" s="17"/>
      <c r="D210" s="17"/>
      <c r="E210" s="17" t="str">
        <f t="shared" si="6"/>
        <v/>
      </c>
      <c r="F210" s="17">
        <v>30</v>
      </c>
      <c r="G210" s="19" t="str">
        <f t="shared" si="7"/>
        <v/>
      </c>
      <c r="H210" s="195"/>
      <c r="I210" s="31"/>
      <c r="J210" s="22"/>
    </row>
    <row r="211" spans="1:10" ht="12.75" customHeight="1" x14ac:dyDescent="0.25">
      <c r="A211" s="202"/>
      <c r="B211" s="17" t="s">
        <v>28</v>
      </c>
      <c r="C211" s="17"/>
      <c r="D211" s="17"/>
      <c r="E211" s="17" t="str">
        <f t="shared" si="6"/>
        <v/>
      </c>
      <c r="F211" s="17">
        <v>30</v>
      </c>
      <c r="G211" s="19" t="str">
        <f t="shared" si="7"/>
        <v/>
      </c>
      <c r="H211" s="195"/>
      <c r="I211" s="31"/>
      <c r="J211" s="22"/>
    </row>
    <row r="212" spans="1:10" ht="12.75" customHeight="1" x14ac:dyDescent="0.25">
      <c r="A212" s="202"/>
      <c r="B212" s="17" t="s">
        <v>28</v>
      </c>
      <c r="C212" s="17"/>
      <c r="D212" s="17"/>
      <c r="E212" s="17" t="str">
        <f t="shared" si="6"/>
        <v/>
      </c>
      <c r="F212" s="17">
        <v>30</v>
      </c>
      <c r="G212" s="19" t="str">
        <f t="shared" si="7"/>
        <v/>
      </c>
      <c r="H212" s="195"/>
      <c r="I212" s="31"/>
      <c r="J212" s="22"/>
    </row>
    <row r="213" spans="1:10" ht="12.75" customHeight="1" x14ac:dyDescent="0.25">
      <c r="A213" s="202"/>
      <c r="B213" s="17" t="s">
        <v>28</v>
      </c>
      <c r="C213" s="17"/>
      <c r="D213" s="17"/>
      <c r="E213" s="17" t="str">
        <f t="shared" si="6"/>
        <v/>
      </c>
      <c r="F213" s="17">
        <v>30</v>
      </c>
      <c r="G213" s="19" t="str">
        <f t="shared" si="7"/>
        <v/>
      </c>
      <c r="H213" s="195"/>
      <c r="I213" s="31"/>
      <c r="J213" s="22"/>
    </row>
    <row r="214" spans="1:10" ht="12.75" customHeight="1" x14ac:dyDescent="0.25">
      <c r="A214" s="202"/>
      <c r="B214" s="17" t="s">
        <v>28</v>
      </c>
      <c r="C214" s="17"/>
      <c r="D214" s="17"/>
      <c r="E214" s="17" t="str">
        <f t="shared" si="6"/>
        <v/>
      </c>
      <c r="F214" s="17">
        <v>30</v>
      </c>
      <c r="G214" s="19" t="str">
        <f t="shared" si="7"/>
        <v/>
      </c>
      <c r="H214" s="195"/>
      <c r="I214" s="31"/>
      <c r="J214" s="22"/>
    </row>
    <row r="215" spans="1:10" ht="12.75" customHeight="1" x14ac:dyDescent="0.25">
      <c r="A215" s="202"/>
      <c r="B215" s="17" t="s">
        <v>28</v>
      </c>
      <c r="C215" s="17"/>
      <c r="D215" s="17"/>
      <c r="E215" s="17" t="str">
        <f t="shared" si="6"/>
        <v/>
      </c>
      <c r="F215" s="17">
        <v>30</v>
      </c>
      <c r="G215" s="19" t="str">
        <f t="shared" si="7"/>
        <v/>
      </c>
      <c r="H215" s="195"/>
      <c r="I215" s="31"/>
      <c r="J215" s="22"/>
    </row>
    <row r="216" spans="1:10" ht="12.75" customHeight="1" x14ac:dyDescent="0.25">
      <c r="A216" s="202"/>
      <c r="B216" s="17" t="s">
        <v>28</v>
      </c>
      <c r="C216" s="17"/>
      <c r="D216" s="17"/>
      <c r="E216" s="17" t="str">
        <f t="shared" si="6"/>
        <v/>
      </c>
      <c r="F216" s="17">
        <v>30</v>
      </c>
      <c r="G216" s="19" t="str">
        <f t="shared" si="7"/>
        <v/>
      </c>
      <c r="H216" s="195"/>
      <c r="I216" s="31"/>
      <c r="J216" s="22"/>
    </row>
    <row r="217" spans="1:10" ht="12.75" customHeight="1" x14ac:dyDescent="0.25">
      <c r="A217" s="202"/>
      <c r="B217" s="17" t="s">
        <v>28</v>
      </c>
      <c r="C217" s="17"/>
      <c r="D217" s="17"/>
      <c r="E217" s="17" t="str">
        <f t="shared" si="6"/>
        <v/>
      </c>
      <c r="F217" s="17">
        <v>30</v>
      </c>
      <c r="G217" s="19" t="str">
        <f t="shared" si="7"/>
        <v/>
      </c>
      <c r="H217" s="195"/>
      <c r="I217" s="31"/>
      <c r="J217" s="22"/>
    </row>
    <row r="218" spans="1:10" ht="12.75" customHeight="1" x14ac:dyDescent="0.25">
      <c r="A218" s="202"/>
      <c r="B218" s="17" t="s">
        <v>28</v>
      </c>
      <c r="C218" s="17"/>
      <c r="D218" s="17"/>
      <c r="E218" s="17" t="str">
        <f t="shared" si="6"/>
        <v/>
      </c>
      <c r="F218" s="17">
        <v>30</v>
      </c>
      <c r="G218" s="19" t="str">
        <f t="shared" si="7"/>
        <v/>
      </c>
      <c r="H218" s="195"/>
      <c r="I218" s="31"/>
      <c r="J218" s="22"/>
    </row>
    <row r="219" spans="1:10" ht="12.75" customHeight="1" x14ac:dyDescent="0.25">
      <c r="A219" s="202"/>
      <c r="B219" s="17" t="s">
        <v>28</v>
      </c>
      <c r="C219" s="17"/>
      <c r="D219" s="17"/>
      <c r="E219" s="17" t="str">
        <f t="shared" si="6"/>
        <v/>
      </c>
      <c r="F219" s="17">
        <v>30</v>
      </c>
      <c r="G219" s="19" t="str">
        <f t="shared" si="7"/>
        <v/>
      </c>
      <c r="H219" s="195"/>
      <c r="I219" s="31"/>
      <c r="J219" s="22"/>
    </row>
    <row r="220" spans="1:10" ht="12.75" customHeight="1" x14ac:dyDescent="0.25">
      <c r="A220" s="202"/>
      <c r="B220" s="17" t="s">
        <v>28</v>
      </c>
      <c r="C220" s="17"/>
      <c r="D220" s="17"/>
      <c r="E220" s="17" t="str">
        <f t="shared" si="6"/>
        <v/>
      </c>
      <c r="F220" s="17">
        <v>30</v>
      </c>
      <c r="G220" s="19" t="str">
        <f t="shared" si="7"/>
        <v/>
      </c>
      <c r="H220" s="195"/>
      <c r="I220" s="31"/>
      <c r="J220" s="22"/>
    </row>
    <row r="221" spans="1:10" ht="12.75" customHeight="1" x14ac:dyDescent="0.25">
      <c r="A221" s="202"/>
      <c r="B221" s="17" t="s">
        <v>28</v>
      </c>
      <c r="C221" s="17"/>
      <c r="D221" s="17"/>
      <c r="E221" s="17" t="str">
        <f t="shared" si="6"/>
        <v/>
      </c>
      <c r="F221" s="17">
        <v>30</v>
      </c>
      <c r="G221" s="19" t="str">
        <f t="shared" si="7"/>
        <v/>
      </c>
      <c r="H221" s="195"/>
      <c r="I221" s="31"/>
      <c r="J221" s="22"/>
    </row>
    <row r="222" spans="1:10" ht="12.75" customHeight="1" x14ac:dyDescent="0.25">
      <c r="A222" s="202"/>
      <c r="B222" s="17" t="s">
        <v>28</v>
      </c>
      <c r="C222" s="17"/>
      <c r="D222" s="17"/>
      <c r="E222" s="17" t="str">
        <f t="shared" si="6"/>
        <v/>
      </c>
      <c r="F222" s="17">
        <v>30</v>
      </c>
      <c r="G222" s="19" t="str">
        <f t="shared" si="7"/>
        <v/>
      </c>
      <c r="H222" s="195"/>
      <c r="I222" s="31"/>
      <c r="J222" s="22"/>
    </row>
    <row r="223" spans="1:10" ht="12.75" customHeight="1" x14ac:dyDescent="0.25">
      <c r="A223" s="202"/>
      <c r="B223" s="17" t="s">
        <v>28</v>
      </c>
      <c r="C223" s="17"/>
      <c r="D223" s="17"/>
      <c r="E223" s="17" t="str">
        <f t="shared" ref="E223:E286" si="8">IF(((C223="")*AND(D223="")),"",D223-C223)</f>
        <v/>
      </c>
      <c r="F223" s="17">
        <v>30</v>
      </c>
      <c r="G223" s="19" t="str">
        <f t="shared" ref="G223:G286" si="9">IF(E223="","",IF(E223&lt;=30,"Pass","Fail"))</f>
        <v/>
      </c>
      <c r="H223" s="195"/>
      <c r="I223" s="31"/>
      <c r="J223" s="22"/>
    </row>
    <row r="224" spans="1:10" ht="12.75" customHeight="1" x14ac:dyDescent="0.25">
      <c r="A224" s="202"/>
      <c r="B224" s="17" t="s">
        <v>28</v>
      </c>
      <c r="C224" s="17"/>
      <c r="D224" s="17"/>
      <c r="E224" s="17" t="str">
        <f t="shared" si="8"/>
        <v/>
      </c>
      <c r="F224" s="17">
        <v>30</v>
      </c>
      <c r="G224" s="19" t="str">
        <f t="shared" si="9"/>
        <v/>
      </c>
      <c r="H224" s="195"/>
      <c r="I224" s="31"/>
      <c r="J224" s="22"/>
    </row>
    <row r="225" spans="1:10" ht="12.75" customHeight="1" x14ac:dyDescent="0.25">
      <c r="A225" s="202"/>
      <c r="B225" s="17" t="s">
        <v>28</v>
      </c>
      <c r="C225" s="17"/>
      <c r="D225" s="17"/>
      <c r="E225" s="17" t="str">
        <f t="shared" si="8"/>
        <v/>
      </c>
      <c r="F225" s="17">
        <v>30</v>
      </c>
      <c r="G225" s="19" t="str">
        <f t="shared" si="9"/>
        <v/>
      </c>
      <c r="H225" s="195"/>
      <c r="I225" s="31"/>
      <c r="J225" s="22"/>
    </row>
    <row r="226" spans="1:10" ht="12.75" customHeight="1" x14ac:dyDescent="0.25">
      <c r="A226" s="202"/>
      <c r="B226" s="17" t="s">
        <v>28</v>
      </c>
      <c r="C226" s="17"/>
      <c r="D226" s="17"/>
      <c r="E226" s="17" t="str">
        <f t="shared" si="8"/>
        <v/>
      </c>
      <c r="F226" s="17">
        <v>30</v>
      </c>
      <c r="G226" s="19" t="str">
        <f t="shared" si="9"/>
        <v/>
      </c>
      <c r="H226" s="195"/>
      <c r="I226" s="31"/>
      <c r="J226" s="22"/>
    </row>
    <row r="227" spans="1:10" ht="12.75" customHeight="1" x14ac:dyDescent="0.25">
      <c r="A227" s="202"/>
      <c r="B227" s="17" t="s">
        <v>28</v>
      </c>
      <c r="C227" s="17"/>
      <c r="D227" s="17"/>
      <c r="E227" s="17" t="str">
        <f t="shared" si="8"/>
        <v/>
      </c>
      <c r="F227" s="17">
        <v>30</v>
      </c>
      <c r="G227" s="19" t="str">
        <f t="shared" si="9"/>
        <v/>
      </c>
      <c r="H227" s="195"/>
      <c r="I227" s="31"/>
      <c r="J227" s="22"/>
    </row>
    <row r="228" spans="1:10" ht="12.75" customHeight="1" x14ac:dyDescent="0.25">
      <c r="A228" s="202"/>
      <c r="B228" s="17" t="s">
        <v>28</v>
      </c>
      <c r="C228" s="17"/>
      <c r="D228" s="17"/>
      <c r="E228" s="17" t="str">
        <f t="shared" si="8"/>
        <v/>
      </c>
      <c r="F228" s="17">
        <v>30</v>
      </c>
      <c r="G228" s="19" t="str">
        <f t="shared" si="9"/>
        <v/>
      </c>
      <c r="H228" s="195"/>
      <c r="I228" s="31"/>
      <c r="J228" s="22"/>
    </row>
    <row r="229" spans="1:10" ht="12.75" customHeight="1" x14ac:dyDescent="0.25">
      <c r="A229" s="202"/>
      <c r="B229" s="17" t="s">
        <v>28</v>
      </c>
      <c r="C229" s="17"/>
      <c r="D229" s="17"/>
      <c r="E229" s="17" t="str">
        <f t="shared" si="8"/>
        <v/>
      </c>
      <c r="F229" s="17">
        <v>30</v>
      </c>
      <c r="G229" s="19" t="str">
        <f t="shared" si="9"/>
        <v/>
      </c>
      <c r="H229" s="195"/>
      <c r="I229" s="31"/>
      <c r="J229" s="22"/>
    </row>
    <row r="230" spans="1:10" ht="12.75" customHeight="1" x14ac:dyDescent="0.25">
      <c r="A230" s="202"/>
      <c r="B230" s="17" t="s">
        <v>28</v>
      </c>
      <c r="C230" s="17"/>
      <c r="D230" s="17"/>
      <c r="E230" s="17" t="str">
        <f t="shared" si="8"/>
        <v/>
      </c>
      <c r="F230" s="17">
        <v>30</v>
      </c>
      <c r="G230" s="19" t="str">
        <f t="shared" si="9"/>
        <v/>
      </c>
      <c r="H230" s="195"/>
      <c r="I230" s="31"/>
      <c r="J230" s="22"/>
    </row>
    <row r="231" spans="1:10" ht="12.75" customHeight="1" x14ac:dyDescent="0.25">
      <c r="A231" s="202"/>
      <c r="B231" s="17" t="s">
        <v>28</v>
      </c>
      <c r="C231" s="17"/>
      <c r="D231" s="17"/>
      <c r="E231" s="17" t="str">
        <f t="shared" si="8"/>
        <v/>
      </c>
      <c r="F231" s="17">
        <v>30</v>
      </c>
      <c r="G231" s="19" t="str">
        <f t="shared" si="9"/>
        <v/>
      </c>
      <c r="H231" s="195"/>
      <c r="I231" s="31"/>
      <c r="J231" s="22"/>
    </row>
    <row r="232" spans="1:10" ht="12.75" customHeight="1" x14ac:dyDescent="0.25">
      <c r="A232" s="202"/>
      <c r="B232" s="17" t="s">
        <v>28</v>
      </c>
      <c r="C232" s="17"/>
      <c r="D232" s="17"/>
      <c r="E232" s="17" t="str">
        <f t="shared" si="8"/>
        <v/>
      </c>
      <c r="F232" s="17">
        <v>30</v>
      </c>
      <c r="G232" s="19" t="str">
        <f t="shared" si="9"/>
        <v/>
      </c>
      <c r="H232" s="195"/>
      <c r="I232" s="31"/>
      <c r="J232" s="22"/>
    </row>
    <row r="233" spans="1:10" ht="12.75" customHeight="1" x14ac:dyDescent="0.25">
      <c r="A233" s="202"/>
      <c r="B233" s="17" t="s">
        <v>28</v>
      </c>
      <c r="C233" s="17"/>
      <c r="D233" s="17"/>
      <c r="E233" s="17" t="str">
        <f t="shared" si="8"/>
        <v/>
      </c>
      <c r="F233" s="17">
        <v>30</v>
      </c>
      <c r="G233" s="19" t="str">
        <f t="shared" si="9"/>
        <v/>
      </c>
      <c r="H233" s="195"/>
      <c r="I233" s="31"/>
      <c r="J233" s="22"/>
    </row>
    <row r="234" spans="1:10" ht="12.75" customHeight="1" x14ac:dyDescent="0.25">
      <c r="A234" s="202"/>
      <c r="B234" s="17" t="s">
        <v>28</v>
      </c>
      <c r="C234" s="17"/>
      <c r="D234" s="17"/>
      <c r="E234" s="17" t="str">
        <f t="shared" si="8"/>
        <v/>
      </c>
      <c r="F234" s="17">
        <v>30</v>
      </c>
      <c r="G234" s="19" t="str">
        <f t="shared" si="9"/>
        <v/>
      </c>
      <c r="H234" s="195"/>
      <c r="I234" s="31"/>
      <c r="J234" s="22"/>
    </row>
    <row r="235" spans="1:10" ht="12.75" customHeight="1" x14ac:dyDescent="0.25">
      <c r="A235" s="202"/>
      <c r="B235" s="17" t="s">
        <v>28</v>
      </c>
      <c r="C235" s="17"/>
      <c r="D235" s="17"/>
      <c r="E235" s="17" t="str">
        <f t="shared" si="8"/>
        <v/>
      </c>
      <c r="F235" s="17">
        <v>30</v>
      </c>
      <c r="G235" s="19" t="str">
        <f t="shared" si="9"/>
        <v/>
      </c>
      <c r="H235" s="195"/>
      <c r="I235" s="31"/>
      <c r="J235" s="22"/>
    </row>
    <row r="236" spans="1:10" ht="12.75" customHeight="1" x14ac:dyDescent="0.25">
      <c r="A236" s="202"/>
      <c r="B236" s="17" t="s">
        <v>28</v>
      </c>
      <c r="C236" s="17"/>
      <c r="D236" s="17"/>
      <c r="E236" s="17" t="str">
        <f t="shared" si="8"/>
        <v/>
      </c>
      <c r="F236" s="17">
        <v>30</v>
      </c>
      <c r="G236" s="19" t="str">
        <f t="shared" si="9"/>
        <v/>
      </c>
      <c r="H236" s="195"/>
      <c r="I236" s="31"/>
      <c r="J236" s="22"/>
    </row>
    <row r="237" spans="1:10" ht="12.75" customHeight="1" x14ac:dyDescent="0.25">
      <c r="A237" s="202"/>
      <c r="B237" s="17" t="s">
        <v>28</v>
      </c>
      <c r="C237" s="17"/>
      <c r="D237" s="17"/>
      <c r="E237" s="17" t="str">
        <f t="shared" si="8"/>
        <v/>
      </c>
      <c r="F237" s="17">
        <v>30</v>
      </c>
      <c r="G237" s="19" t="str">
        <f t="shared" si="9"/>
        <v/>
      </c>
      <c r="H237" s="195"/>
      <c r="I237" s="31"/>
      <c r="J237" s="22"/>
    </row>
    <row r="238" spans="1:10" ht="12.75" customHeight="1" x14ac:dyDescent="0.25">
      <c r="A238" s="202"/>
      <c r="B238" s="17" t="s">
        <v>28</v>
      </c>
      <c r="C238" s="17"/>
      <c r="D238" s="17"/>
      <c r="E238" s="17" t="str">
        <f t="shared" si="8"/>
        <v/>
      </c>
      <c r="F238" s="17">
        <v>30</v>
      </c>
      <c r="G238" s="19" t="str">
        <f t="shared" si="9"/>
        <v/>
      </c>
      <c r="H238" s="195"/>
      <c r="I238" s="31"/>
      <c r="J238" s="22"/>
    </row>
    <row r="239" spans="1:10" ht="12.75" customHeight="1" x14ac:dyDescent="0.25">
      <c r="A239" s="202"/>
      <c r="B239" s="17" t="s">
        <v>28</v>
      </c>
      <c r="C239" s="17"/>
      <c r="D239" s="17"/>
      <c r="E239" s="17" t="str">
        <f t="shared" si="8"/>
        <v/>
      </c>
      <c r="F239" s="17">
        <v>30</v>
      </c>
      <c r="G239" s="19" t="str">
        <f t="shared" si="9"/>
        <v/>
      </c>
      <c r="H239" s="195"/>
      <c r="I239" s="31"/>
      <c r="J239" s="22"/>
    </row>
    <row r="240" spans="1:10" ht="12.75" customHeight="1" x14ac:dyDescent="0.25">
      <c r="A240" s="202"/>
      <c r="B240" s="17" t="s">
        <v>28</v>
      </c>
      <c r="C240" s="17"/>
      <c r="D240" s="17"/>
      <c r="E240" s="17" t="str">
        <f t="shared" si="8"/>
        <v/>
      </c>
      <c r="F240" s="17">
        <v>30</v>
      </c>
      <c r="G240" s="19" t="str">
        <f t="shared" si="9"/>
        <v/>
      </c>
      <c r="H240" s="195"/>
      <c r="I240" s="31"/>
      <c r="J240" s="22"/>
    </row>
    <row r="241" spans="1:10" ht="12.75" customHeight="1" x14ac:dyDescent="0.25">
      <c r="A241" s="202"/>
      <c r="B241" s="17" t="s">
        <v>28</v>
      </c>
      <c r="C241" s="17"/>
      <c r="D241" s="17"/>
      <c r="E241" s="17" t="str">
        <f t="shared" si="8"/>
        <v/>
      </c>
      <c r="F241" s="17">
        <v>30</v>
      </c>
      <c r="G241" s="19" t="str">
        <f t="shared" si="9"/>
        <v/>
      </c>
      <c r="H241" s="195"/>
      <c r="I241" s="31"/>
      <c r="J241" s="22"/>
    </row>
    <row r="242" spans="1:10" ht="12.75" customHeight="1" x14ac:dyDescent="0.25">
      <c r="A242" s="202"/>
      <c r="B242" s="17" t="s">
        <v>28</v>
      </c>
      <c r="C242" s="17"/>
      <c r="D242" s="17"/>
      <c r="E242" s="17" t="str">
        <f t="shared" si="8"/>
        <v/>
      </c>
      <c r="F242" s="17">
        <v>30</v>
      </c>
      <c r="G242" s="19" t="str">
        <f t="shared" si="9"/>
        <v/>
      </c>
      <c r="H242" s="195"/>
      <c r="I242" s="31"/>
      <c r="J242" s="22"/>
    </row>
    <row r="243" spans="1:10" ht="12.75" customHeight="1" x14ac:dyDescent="0.25">
      <c r="A243" s="202"/>
      <c r="B243" s="17" t="s">
        <v>28</v>
      </c>
      <c r="C243" s="17"/>
      <c r="D243" s="17"/>
      <c r="E243" s="17" t="str">
        <f t="shared" si="8"/>
        <v/>
      </c>
      <c r="F243" s="17">
        <v>30</v>
      </c>
      <c r="G243" s="19" t="str">
        <f t="shared" si="9"/>
        <v/>
      </c>
      <c r="H243" s="195"/>
      <c r="I243" s="31"/>
      <c r="J243" s="22"/>
    </row>
    <row r="244" spans="1:10" ht="12.75" customHeight="1" x14ac:dyDescent="0.25">
      <c r="A244" s="202"/>
      <c r="B244" s="17" t="s">
        <v>28</v>
      </c>
      <c r="C244" s="17"/>
      <c r="D244" s="17"/>
      <c r="E244" s="17" t="str">
        <f t="shared" si="8"/>
        <v/>
      </c>
      <c r="F244" s="17">
        <v>30</v>
      </c>
      <c r="G244" s="19" t="str">
        <f t="shared" si="9"/>
        <v/>
      </c>
      <c r="H244" s="195"/>
      <c r="I244" s="31"/>
      <c r="J244" s="22"/>
    </row>
    <row r="245" spans="1:10" ht="12.75" customHeight="1" x14ac:dyDescent="0.25">
      <c r="A245" s="202"/>
      <c r="B245" s="17" t="s">
        <v>28</v>
      </c>
      <c r="C245" s="17"/>
      <c r="D245" s="17"/>
      <c r="E245" s="17" t="str">
        <f t="shared" si="8"/>
        <v/>
      </c>
      <c r="F245" s="17">
        <v>30</v>
      </c>
      <c r="G245" s="19" t="str">
        <f t="shared" si="9"/>
        <v/>
      </c>
      <c r="H245" s="195"/>
      <c r="I245" s="31"/>
      <c r="J245" s="22"/>
    </row>
    <row r="246" spans="1:10" ht="12.75" customHeight="1" x14ac:dyDescent="0.25">
      <c r="A246" s="202"/>
      <c r="B246" s="17" t="s">
        <v>28</v>
      </c>
      <c r="C246" s="17"/>
      <c r="D246" s="17"/>
      <c r="E246" s="17" t="str">
        <f t="shared" si="8"/>
        <v/>
      </c>
      <c r="F246" s="17">
        <v>30</v>
      </c>
      <c r="G246" s="19" t="str">
        <f t="shared" si="9"/>
        <v/>
      </c>
      <c r="H246" s="195"/>
      <c r="I246" s="31"/>
      <c r="J246" s="22"/>
    </row>
    <row r="247" spans="1:10" ht="12.75" customHeight="1" x14ac:dyDescent="0.25">
      <c r="A247" s="202"/>
      <c r="B247" s="17" t="s">
        <v>28</v>
      </c>
      <c r="C247" s="17"/>
      <c r="D247" s="17"/>
      <c r="E247" s="17" t="str">
        <f t="shared" si="8"/>
        <v/>
      </c>
      <c r="F247" s="17">
        <v>30</v>
      </c>
      <c r="G247" s="19" t="str">
        <f t="shared" si="9"/>
        <v/>
      </c>
      <c r="H247" s="195"/>
      <c r="I247" s="31"/>
      <c r="J247" s="22"/>
    </row>
    <row r="248" spans="1:10" ht="12.75" customHeight="1" x14ac:dyDescent="0.25">
      <c r="A248" s="202"/>
      <c r="B248" s="17" t="s">
        <v>28</v>
      </c>
      <c r="C248" s="17"/>
      <c r="D248" s="17"/>
      <c r="E248" s="17" t="str">
        <f t="shared" si="8"/>
        <v/>
      </c>
      <c r="F248" s="17">
        <v>30</v>
      </c>
      <c r="G248" s="19" t="str">
        <f t="shared" si="9"/>
        <v/>
      </c>
      <c r="H248" s="195"/>
      <c r="I248" s="31"/>
      <c r="J248" s="22"/>
    </row>
    <row r="249" spans="1:10" ht="12.75" customHeight="1" x14ac:dyDescent="0.25">
      <c r="A249" s="202"/>
      <c r="B249" s="17" t="s">
        <v>28</v>
      </c>
      <c r="C249" s="17"/>
      <c r="D249" s="17"/>
      <c r="E249" s="17" t="str">
        <f t="shared" si="8"/>
        <v/>
      </c>
      <c r="F249" s="17">
        <v>30</v>
      </c>
      <c r="G249" s="19" t="str">
        <f t="shared" si="9"/>
        <v/>
      </c>
      <c r="H249" s="195"/>
      <c r="I249" s="31"/>
      <c r="J249" s="22"/>
    </row>
    <row r="250" spans="1:10" ht="12.75" customHeight="1" x14ac:dyDescent="0.25">
      <c r="A250" s="202"/>
      <c r="B250" s="17" t="s">
        <v>28</v>
      </c>
      <c r="C250" s="17"/>
      <c r="D250" s="17"/>
      <c r="E250" s="17" t="str">
        <f t="shared" si="8"/>
        <v/>
      </c>
      <c r="F250" s="17">
        <v>30</v>
      </c>
      <c r="G250" s="19" t="str">
        <f t="shared" si="9"/>
        <v/>
      </c>
      <c r="H250" s="195"/>
      <c r="I250" s="31"/>
      <c r="J250" s="22"/>
    </row>
    <row r="251" spans="1:10" ht="12.75" customHeight="1" x14ac:dyDescent="0.25">
      <c r="A251" s="202"/>
      <c r="B251" s="17" t="s">
        <v>28</v>
      </c>
      <c r="C251" s="17"/>
      <c r="D251" s="17"/>
      <c r="E251" s="17" t="str">
        <f t="shared" si="8"/>
        <v/>
      </c>
      <c r="F251" s="17">
        <v>30</v>
      </c>
      <c r="G251" s="19" t="str">
        <f t="shared" si="9"/>
        <v/>
      </c>
      <c r="H251" s="195"/>
      <c r="I251" s="31"/>
      <c r="J251" s="22"/>
    </row>
    <row r="252" spans="1:10" ht="12.75" customHeight="1" x14ac:dyDescent="0.25">
      <c r="A252" s="202"/>
      <c r="B252" s="17" t="s">
        <v>28</v>
      </c>
      <c r="C252" s="17"/>
      <c r="D252" s="17"/>
      <c r="E252" s="17" t="str">
        <f t="shared" si="8"/>
        <v/>
      </c>
      <c r="F252" s="17">
        <v>30</v>
      </c>
      <c r="G252" s="19" t="str">
        <f t="shared" si="9"/>
        <v/>
      </c>
      <c r="H252" s="195"/>
      <c r="I252" s="31"/>
      <c r="J252" s="22"/>
    </row>
    <row r="253" spans="1:10" ht="12.75" customHeight="1" x14ac:dyDescent="0.25">
      <c r="A253" s="202"/>
      <c r="B253" s="17" t="s">
        <v>28</v>
      </c>
      <c r="C253" s="17"/>
      <c r="D253" s="17"/>
      <c r="E253" s="17" t="str">
        <f t="shared" si="8"/>
        <v/>
      </c>
      <c r="F253" s="17">
        <v>30</v>
      </c>
      <c r="G253" s="19" t="str">
        <f t="shared" si="9"/>
        <v/>
      </c>
      <c r="H253" s="195"/>
      <c r="I253" s="31"/>
      <c r="J253" s="22"/>
    </row>
    <row r="254" spans="1:10" ht="12.75" customHeight="1" x14ac:dyDescent="0.25">
      <c r="A254" s="202"/>
      <c r="B254" s="17" t="s">
        <v>28</v>
      </c>
      <c r="C254" s="17"/>
      <c r="D254" s="17"/>
      <c r="E254" s="17" t="str">
        <f t="shared" si="8"/>
        <v/>
      </c>
      <c r="F254" s="17">
        <v>30</v>
      </c>
      <c r="G254" s="19" t="str">
        <f t="shared" si="9"/>
        <v/>
      </c>
      <c r="H254" s="195"/>
      <c r="I254" s="31"/>
      <c r="J254" s="22"/>
    </row>
    <row r="255" spans="1:10" ht="12.75" customHeight="1" x14ac:dyDescent="0.25">
      <c r="A255" s="202"/>
      <c r="B255" s="17" t="s">
        <v>28</v>
      </c>
      <c r="C255" s="17"/>
      <c r="D255" s="17"/>
      <c r="E255" s="17" t="str">
        <f t="shared" si="8"/>
        <v/>
      </c>
      <c r="F255" s="17">
        <v>30</v>
      </c>
      <c r="G255" s="19" t="str">
        <f t="shared" si="9"/>
        <v/>
      </c>
      <c r="H255" s="195"/>
      <c r="I255" s="31"/>
      <c r="J255" s="22"/>
    </row>
    <row r="256" spans="1:10" ht="12.75" customHeight="1" x14ac:dyDescent="0.25">
      <c r="A256" s="202"/>
      <c r="B256" s="17" t="s">
        <v>28</v>
      </c>
      <c r="C256" s="17"/>
      <c r="D256" s="17"/>
      <c r="E256" s="17" t="str">
        <f t="shared" si="8"/>
        <v/>
      </c>
      <c r="F256" s="17">
        <v>30</v>
      </c>
      <c r="G256" s="19" t="str">
        <f t="shared" si="9"/>
        <v/>
      </c>
      <c r="H256" s="195"/>
      <c r="I256" s="31"/>
      <c r="J256" s="22"/>
    </row>
    <row r="257" spans="1:10" ht="12.75" customHeight="1" x14ac:dyDescent="0.25">
      <c r="A257" s="202"/>
      <c r="B257" s="17" t="s">
        <v>28</v>
      </c>
      <c r="C257" s="17"/>
      <c r="D257" s="17"/>
      <c r="E257" s="17" t="str">
        <f t="shared" si="8"/>
        <v/>
      </c>
      <c r="F257" s="17">
        <v>30</v>
      </c>
      <c r="G257" s="19" t="str">
        <f t="shared" si="9"/>
        <v/>
      </c>
      <c r="H257" s="195"/>
      <c r="I257" s="31"/>
      <c r="J257" s="22"/>
    </row>
    <row r="258" spans="1:10" ht="12.75" customHeight="1" x14ac:dyDescent="0.25">
      <c r="A258" s="202"/>
      <c r="B258" s="17" t="s">
        <v>28</v>
      </c>
      <c r="C258" s="17"/>
      <c r="D258" s="17"/>
      <c r="E258" s="17" t="str">
        <f t="shared" si="8"/>
        <v/>
      </c>
      <c r="F258" s="17">
        <v>30</v>
      </c>
      <c r="G258" s="19" t="str">
        <f t="shared" si="9"/>
        <v/>
      </c>
      <c r="H258" s="195"/>
      <c r="I258" s="31"/>
      <c r="J258" s="22"/>
    </row>
    <row r="259" spans="1:10" ht="12.75" customHeight="1" x14ac:dyDescent="0.25">
      <c r="A259" s="202"/>
      <c r="B259" s="17" t="s">
        <v>28</v>
      </c>
      <c r="C259" s="17"/>
      <c r="D259" s="17"/>
      <c r="E259" s="17" t="str">
        <f t="shared" si="8"/>
        <v/>
      </c>
      <c r="F259" s="17">
        <v>30</v>
      </c>
      <c r="G259" s="19" t="str">
        <f t="shared" si="9"/>
        <v/>
      </c>
      <c r="H259" s="195"/>
      <c r="I259" s="31"/>
      <c r="J259" s="22"/>
    </row>
    <row r="260" spans="1:10" ht="12.75" customHeight="1" x14ac:dyDescent="0.25">
      <c r="A260" s="202"/>
      <c r="B260" s="17" t="s">
        <v>28</v>
      </c>
      <c r="C260" s="17"/>
      <c r="D260" s="17"/>
      <c r="E260" s="17" t="str">
        <f t="shared" si="8"/>
        <v/>
      </c>
      <c r="F260" s="17">
        <v>30</v>
      </c>
      <c r="G260" s="19" t="str">
        <f t="shared" si="9"/>
        <v/>
      </c>
      <c r="H260" s="195"/>
      <c r="I260" s="31"/>
      <c r="J260" s="22"/>
    </row>
    <row r="261" spans="1:10" ht="12.75" customHeight="1" x14ac:dyDescent="0.25">
      <c r="A261" s="202"/>
      <c r="B261" s="17" t="s">
        <v>28</v>
      </c>
      <c r="C261" s="17"/>
      <c r="D261" s="17"/>
      <c r="E261" s="17" t="str">
        <f t="shared" si="8"/>
        <v/>
      </c>
      <c r="F261" s="17">
        <v>30</v>
      </c>
      <c r="G261" s="19" t="str">
        <f t="shared" si="9"/>
        <v/>
      </c>
      <c r="H261" s="195"/>
      <c r="I261" s="31"/>
      <c r="J261" s="22"/>
    </row>
    <row r="262" spans="1:10" ht="12.75" customHeight="1" x14ac:dyDescent="0.25">
      <c r="A262" s="202"/>
      <c r="B262" s="17" t="s">
        <v>28</v>
      </c>
      <c r="C262" s="17"/>
      <c r="D262" s="17"/>
      <c r="E262" s="17" t="str">
        <f t="shared" si="8"/>
        <v/>
      </c>
      <c r="F262" s="17">
        <v>30</v>
      </c>
      <c r="G262" s="19" t="str">
        <f t="shared" si="9"/>
        <v/>
      </c>
      <c r="H262" s="195"/>
      <c r="I262" s="31"/>
      <c r="J262" s="22"/>
    </row>
    <row r="263" spans="1:10" ht="12.75" customHeight="1" x14ac:dyDescent="0.25">
      <c r="A263" s="202"/>
      <c r="B263" s="17" t="s">
        <v>28</v>
      </c>
      <c r="C263" s="17"/>
      <c r="D263" s="17"/>
      <c r="E263" s="17" t="str">
        <f t="shared" si="8"/>
        <v/>
      </c>
      <c r="F263" s="17">
        <v>30</v>
      </c>
      <c r="G263" s="19" t="str">
        <f t="shared" si="9"/>
        <v/>
      </c>
      <c r="H263" s="195"/>
      <c r="I263" s="31"/>
      <c r="J263" s="22"/>
    </row>
    <row r="264" spans="1:10" ht="12.75" customHeight="1" x14ac:dyDescent="0.25">
      <c r="A264" s="202"/>
      <c r="B264" s="17" t="s">
        <v>28</v>
      </c>
      <c r="C264" s="17"/>
      <c r="D264" s="17"/>
      <c r="E264" s="17" t="str">
        <f t="shared" si="8"/>
        <v/>
      </c>
      <c r="F264" s="17">
        <v>30</v>
      </c>
      <c r="G264" s="19" t="str">
        <f t="shared" si="9"/>
        <v/>
      </c>
      <c r="H264" s="195"/>
      <c r="I264" s="31"/>
      <c r="J264" s="22"/>
    </row>
    <row r="265" spans="1:10" ht="12.75" customHeight="1" x14ac:dyDescent="0.25">
      <c r="A265" s="202"/>
      <c r="B265" s="17" t="s">
        <v>28</v>
      </c>
      <c r="C265" s="17"/>
      <c r="D265" s="17"/>
      <c r="E265" s="17" t="str">
        <f t="shared" si="8"/>
        <v/>
      </c>
      <c r="F265" s="17">
        <v>30</v>
      </c>
      <c r="G265" s="19" t="str">
        <f t="shared" si="9"/>
        <v/>
      </c>
      <c r="H265" s="195"/>
      <c r="I265" s="31"/>
      <c r="J265" s="22"/>
    </row>
    <row r="266" spans="1:10" ht="12.75" customHeight="1" x14ac:dyDescent="0.25">
      <c r="A266" s="202"/>
      <c r="B266" s="17" t="s">
        <v>28</v>
      </c>
      <c r="C266" s="17"/>
      <c r="D266" s="17"/>
      <c r="E266" s="17" t="str">
        <f t="shared" si="8"/>
        <v/>
      </c>
      <c r="F266" s="17">
        <v>30</v>
      </c>
      <c r="G266" s="19" t="str">
        <f t="shared" si="9"/>
        <v/>
      </c>
      <c r="H266" s="195"/>
      <c r="I266" s="31"/>
      <c r="J266" s="22"/>
    </row>
    <row r="267" spans="1:10" ht="12.75" customHeight="1" x14ac:dyDescent="0.25">
      <c r="A267" s="202"/>
      <c r="B267" s="17" t="s">
        <v>28</v>
      </c>
      <c r="C267" s="17"/>
      <c r="D267" s="17"/>
      <c r="E267" s="17" t="str">
        <f t="shared" si="8"/>
        <v/>
      </c>
      <c r="F267" s="17">
        <v>30</v>
      </c>
      <c r="G267" s="19" t="str">
        <f t="shared" si="9"/>
        <v/>
      </c>
      <c r="H267" s="195"/>
      <c r="I267" s="31"/>
      <c r="J267" s="22"/>
    </row>
    <row r="268" spans="1:10" ht="12.75" customHeight="1" x14ac:dyDescent="0.25">
      <c r="A268" s="202"/>
      <c r="B268" s="17" t="s">
        <v>28</v>
      </c>
      <c r="C268" s="17"/>
      <c r="D268" s="17"/>
      <c r="E268" s="17" t="str">
        <f t="shared" si="8"/>
        <v/>
      </c>
      <c r="F268" s="17">
        <v>30</v>
      </c>
      <c r="G268" s="19" t="str">
        <f t="shared" si="9"/>
        <v/>
      </c>
      <c r="H268" s="195"/>
      <c r="I268" s="31"/>
      <c r="J268" s="22"/>
    </row>
    <row r="269" spans="1:10" ht="12.75" customHeight="1" x14ac:dyDescent="0.25">
      <c r="A269" s="202"/>
      <c r="B269" s="17" t="s">
        <v>28</v>
      </c>
      <c r="C269" s="17"/>
      <c r="D269" s="17"/>
      <c r="E269" s="17" t="str">
        <f t="shared" si="8"/>
        <v/>
      </c>
      <c r="F269" s="17">
        <v>30</v>
      </c>
      <c r="G269" s="19" t="str">
        <f t="shared" si="9"/>
        <v/>
      </c>
      <c r="H269" s="195"/>
      <c r="I269" s="31"/>
      <c r="J269" s="22"/>
    </row>
    <row r="270" spans="1:10" ht="12.75" customHeight="1" x14ac:dyDescent="0.25">
      <c r="A270" s="202"/>
      <c r="B270" s="17" t="s">
        <v>28</v>
      </c>
      <c r="C270" s="17"/>
      <c r="D270" s="17"/>
      <c r="E270" s="17" t="str">
        <f t="shared" si="8"/>
        <v/>
      </c>
      <c r="F270" s="17">
        <v>30</v>
      </c>
      <c r="G270" s="19" t="str">
        <f t="shared" si="9"/>
        <v/>
      </c>
      <c r="H270" s="195"/>
      <c r="I270" s="31"/>
      <c r="J270" s="22"/>
    </row>
    <row r="271" spans="1:10" ht="12.75" customHeight="1" x14ac:dyDescent="0.25">
      <c r="A271" s="202"/>
      <c r="B271" s="17" t="s">
        <v>28</v>
      </c>
      <c r="C271" s="17"/>
      <c r="D271" s="17"/>
      <c r="E271" s="17" t="str">
        <f t="shared" si="8"/>
        <v/>
      </c>
      <c r="F271" s="17">
        <v>30</v>
      </c>
      <c r="G271" s="19" t="str">
        <f t="shared" si="9"/>
        <v/>
      </c>
      <c r="H271" s="195"/>
      <c r="I271" s="31"/>
      <c r="J271" s="22"/>
    </row>
    <row r="272" spans="1:10" ht="12.75" customHeight="1" x14ac:dyDescent="0.25">
      <c r="A272" s="202"/>
      <c r="B272" s="17" t="s">
        <v>28</v>
      </c>
      <c r="C272" s="17"/>
      <c r="D272" s="17"/>
      <c r="E272" s="17" t="str">
        <f t="shared" si="8"/>
        <v/>
      </c>
      <c r="F272" s="17">
        <v>30</v>
      </c>
      <c r="G272" s="19" t="str">
        <f t="shared" si="9"/>
        <v/>
      </c>
      <c r="H272" s="195"/>
      <c r="I272" s="31"/>
      <c r="J272" s="22"/>
    </row>
    <row r="273" spans="1:10" ht="12.75" customHeight="1" x14ac:dyDescent="0.25">
      <c r="A273" s="202"/>
      <c r="B273" s="17" t="s">
        <v>28</v>
      </c>
      <c r="C273" s="17"/>
      <c r="D273" s="17"/>
      <c r="E273" s="17" t="str">
        <f t="shared" si="8"/>
        <v/>
      </c>
      <c r="F273" s="17">
        <v>30</v>
      </c>
      <c r="G273" s="19" t="str">
        <f t="shared" si="9"/>
        <v/>
      </c>
      <c r="H273" s="195"/>
      <c r="I273" s="31"/>
      <c r="J273" s="22"/>
    </row>
    <row r="274" spans="1:10" ht="12.75" customHeight="1" x14ac:dyDescent="0.25">
      <c r="A274" s="202"/>
      <c r="B274" s="17" t="s">
        <v>28</v>
      </c>
      <c r="C274" s="17"/>
      <c r="D274" s="17"/>
      <c r="E274" s="17" t="str">
        <f t="shared" si="8"/>
        <v/>
      </c>
      <c r="F274" s="17">
        <v>30</v>
      </c>
      <c r="G274" s="19" t="str">
        <f t="shared" si="9"/>
        <v/>
      </c>
      <c r="H274" s="195"/>
      <c r="I274" s="31"/>
      <c r="J274" s="22"/>
    </row>
    <row r="275" spans="1:10" ht="12.75" customHeight="1" x14ac:dyDescent="0.25">
      <c r="A275" s="202"/>
      <c r="B275" s="17" t="s">
        <v>28</v>
      </c>
      <c r="C275" s="17"/>
      <c r="D275" s="17"/>
      <c r="E275" s="17" t="str">
        <f t="shared" si="8"/>
        <v/>
      </c>
      <c r="F275" s="17">
        <v>30</v>
      </c>
      <c r="G275" s="19" t="str">
        <f t="shared" si="9"/>
        <v/>
      </c>
      <c r="H275" s="195"/>
      <c r="I275" s="31"/>
      <c r="J275" s="22"/>
    </row>
    <row r="276" spans="1:10" ht="12.75" customHeight="1" x14ac:dyDescent="0.25">
      <c r="A276" s="202"/>
      <c r="B276" s="17" t="s">
        <v>28</v>
      </c>
      <c r="C276" s="17"/>
      <c r="D276" s="17"/>
      <c r="E276" s="17" t="str">
        <f t="shared" si="8"/>
        <v/>
      </c>
      <c r="F276" s="17">
        <v>30</v>
      </c>
      <c r="G276" s="19" t="str">
        <f t="shared" si="9"/>
        <v/>
      </c>
      <c r="H276" s="195"/>
      <c r="I276" s="31"/>
      <c r="J276" s="22"/>
    </row>
    <row r="277" spans="1:10" ht="12.75" customHeight="1" x14ac:dyDescent="0.25">
      <c r="A277" s="202"/>
      <c r="B277" s="17" t="s">
        <v>28</v>
      </c>
      <c r="C277" s="17"/>
      <c r="D277" s="17"/>
      <c r="E277" s="17" t="str">
        <f t="shared" si="8"/>
        <v/>
      </c>
      <c r="F277" s="17">
        <v>30</v>
      </c>
      <c r="G277" s="19" t="str">
        <f t="shared" si="9"/>
        <v/>
      </c>
      <c r="H277" s="195"/>
      <c r="I277" s="31"/>
      <c r="J277" s="22"/>
    </row>
    <row r="278" spans="1:10" ht="12.75" customHeight="1" x14ac:dyDescent="0.25">
      <c r="A278" s="202"/>
      <c r="B278" s="17" t="s">
        <v>28</v>
      </c>
      <c r="C278" s="17"/>
      <c r="D278" s="17"/>
      <c r="E278" s="17" t="str">
        <f t="shared" si="8"/>
        <v/>
      </c>
      <c r="F278" s="17">
        <v>30</v>
      </c>
      <c r="G278" s="19" t="str">
        <f t="shared" si="9"/>
        <v/>
      </c>
      <c r="H278" s="195"/>
      <c r="I278" s="31"/>
      <c r="J278" s="22"/>
    </row>
    <row r="279" spans="1:10" ht="12.75" customHeight="1" x14ac:dyDescent="0.25">
      <c r="A279" s="202"/>
      <c r="B279" s="17" t="s">
        <v>28</v>
      </c>
      <c r="C279" s="17"/>
      <c r="D279" s="17"/>
      <c r="E279" s="17" t="str">
        <f t="shared" si="8"/>
        <v/>
      </c>
      <c r="F279" s="17">
        <v>30</v>
      </c>
      <c r="G279" s="19" t="str">
        <f t="shared" si="9"/>
        <v/>
      </c>
      <c r="H279" s="195"/>
      <c r="I279" s="31"/>
      <c r="J279" s="22"/>
    </row>
    <row r="280" spans="1:10" ht="12.75" customHeight="1" x14ac:dyDescent="0.25">
      <c r="A280" s="202"/>
      <c r="B280" s="17" t="s">
        <v>28</v>
      </c>
      <c r="C280" s="17"/>
      <c r="D280" s="17"/>
      <c r="E280" s="17" t="str">
        <f t="shared" si="8"/>
        <v/>
      </c>
      <c r="F280" s="17">
        <v>30</v>
      </c>
      <c r="G280" s="19" t="str">
        <f t="shared" si="9"/>
        <v/>
      </c>
      <c r="H280" s="195"/>
      <c r="I280" s="31"/>
      <c r="J280" s="22"/>
    </row>
    <row r="281" spans="1:10" ht="12.75" customHeight="1" x14ac:dyDescent="0.25">
      <c r="A281" s="202"/>
      <c r="B281" s="17" t="s">
        <v>28</v>
      </c>
      <c r="C281" s="17"/>
      <c r="D281" s="17"/>
      <c r="E281" s="17" t="str">
        <f t="shared" si="8"/>
        <v/>
      </c>
      <c r="F281" s="17">
        <v>30</v>
      </c>
      <c r="G281" s="19" t="str">
        <f t="shared" si="9"/>
        <v/>
      </c>
      <c r="H281" s="195"/>
      <c r="I281" s="31"/>
      <c r="J281" s="22"/>
    </row>
    <row r="282" spans="1:10" ht="12.75" customHeight="1" x14ac:dyDescent="0.25">
      <c r="A282" s="202"/>
      <c r="B282" s="17" t="s">
        <v>28</v>
      </c>
      <c r="C282" s="17"/>
      <c r="D282" s="17"/>
      <c r="E282" s="17" t="str">
        <f t="shared" si="8"/>
        <v/>
      </c>
      <c r="F282" s="17">
        <v>30</v>
      </c>
      <c r="G282" s="19" t="str">
        <f t="shared" si="9"/>
        <v/>
      </c>
      <c r="H282" s="195"/>
      <c r="I282" s="31"/>
      <c r="J282" s="22"/>
    </row>
    <row r="283" spans="1:10" ht="12.75" customHeight="1" x14ac:dyDescent="0.25">
      <c r="A283" s="202"/>
      <c r="B283" s="17" t="s">
        <v>28</v>
      </c>
      <c r="C283" s="17"/>
      <c r="D283" s="17"/>
      <c r="E283" s="17" t="str">
        <f t="shared" si="8"/>
        <v/>
      </c>
      <c r="F283" s="17">
        <v>30</v>
      </c>
      <c r="G283" s="19" t="str">
        <f t="shared" si="9"/>
        <v/>
      </c>
      <c r="H283" s="195"/>
      <c r="I283" s="31"/>
      <c r="J283" s="22"/>
    </row>
    <row r="284" spans="1:10" ht="12.75" customHeight="1" x14ac:dyDescent="0.25">
      <c r="A284" s="202"/>
      <c r="B284" s="17" t="s">
        <v>28</v>
      </c>
      <c r="C284" s="17"/>
      <c r="D284" s="17"/>
      <c r="E284" s="17" t="str">
        <f t="shared" si="8"/>
        <v/>
      </c>
      <c r="F284" s="17">
        <v>30</v>
      </c>
      <c r="G284" s="19" t="str">
        <f t="shared" si="9"/>
        <v/>
      </c>
      <c r="H284" s="195"/>
      <c r="I284" s="31"/>
      <c r="J284" s="22"/>
    </row>
    <row r="285" spans="1:10" ht="12.75" customHeight="1" x14ac:dyDescent="0.25">
      <c r="A285" s="202"/>
      <c r="B285" s="17" t="s">
        <v>28</v>
      </c>
      <c r="C285" s="17"/>
      <c r="D285" s="17"/>
      <c r="E285" s="17" t="str">
        <f t="shared" si="8"/>
        <v/>
      </c>
      <c r="F285" s="17">
        <v>30</v>
      </c>
      <c r="G285" s="19" t="str">
        <f t="shared" si="9"/>
        <v/>
      </c>
      <c r="H285" s="195"/>
      <c r="I285" s="31"/>
      <c r="J285" s="22"/>
    </row>
    <row r="286" spans="1:10" ht="12.75" customHeight="1" x14ac:dyDescent="0.25">
      <c r="A286" s="202"/>
      <c r="B286" s="17" t="s">
        <v>28</v>
      </c>
      <c r="C286" s="17"/>
      <c r="D286" s="17"/>
      <c r="E286" s="17" t="str">
        <f t="shared" si="8"/>
        <v/>
      </c>
      <c r="F286" s="17">
        <v>30</v>
      </c>
      <c r="G286" s="19" t="str">
        <f t="shared" si="9"/>
        <v/>
      </c>
      <c r="H286" s="195"/>
      <c r="I286" s="31"/>
      <c r="J286" s="22"/>
    </row>
    <row r="287" spans="1:10" ht="12.75" customHeight="1" x14ac:dyDescent="0.25">
      <c r="A287" s="202"/>
      <c r="B287" s="17" t="s">
        <v>28</v>
      </c>
      <c r="C287" s="17"/>
      <c r="D287" s="17"/>
      <c r="E287" s="17" t="str">
        <f t="shared" ref="E287:E350" si="10">IF(((C287="")*AND(D287="")),"",D287-C287)</f>
        <v/>
      </c>
      <c r="F287" s="17">
        <v>30</v>
      </c>
      <c r="G287" s="19" t="str">
        <f t="shared" ref="G287:G350" si="11">IF(E287="","",IF(E287&lt;=30,"Pass","Fail"))</f>
        <v/>
      </c>
      <c r="H287" s="195"/>
      <c r="I287" s="31"/>
      <c r="J287" s="22"/>
    </row>
    <row r="288" spans="1:10" ht="12.75" customHeight="1" x14ac:dyDescent="0.25">
      <c r="A288" s="202"/>
      <c r="B288" s="17" t="s">
        <v>28</v>
      </c>
      <c r="C288" s="17"/>
      <c r="D288" s="17"/>
      <c r="E288" s="17" t="str">
        <f t="shared" si="10"/>
        <v/>
      </c>
      <c r="F288" s="17">
        <v>30</v>
      </c>
      <c r="G288" s="19" t="str">
        <f t="shared" si="11"/>
        <v/>
      </c>
      <c r="H288" s="195"/>
      <c r="I288" s="31"/>
      <c r="J288" s="22"/>
    </row>
    <row r="289" spans="1:10" ht="12.75" customHeight="1" x14ac:dyDescent="0.25">
      <c r="A289" s="202"/>
      <c r="B289" s="17" t="s">
        <v>28</v>
      </c>
      <c r="C289" s="17"/>
      <c r="D289" s="17"/>
      <c r="E289" s="17" t="str">
        <f t="shared" si="10"/>
        <v/>
      </c>
      <c r="F289" s="17">
        <v>30</v>
      </c>
      <c r="G289" s="19" t="str">
        <f t="shared" si="11"/>
        <v/>
      </c>
      <c r="H289" s="195"/>
      <c r="I289" s="31"/>
      <c r="J289" s="22"/>
    </row>
    <row r="290" spans="1:10" ht="12.75" customHeight="1" x14ac:dyDescent="0.25">
      <c r="A290" s="202"/>
      <c r="B290" s="17" t="s">
        <v>28</v>
      </c>
      <c r="C290" s="17"/>
      <c r="D290" s="17"/>
      <c r="E290" s="17" t="str">
        <f t="shared" si="10"/>
        <v/>
      </c>
      <c r="F290" s="17">
        <v>30</v>
      </c>
      <c r="G290" s="19" t="str">
        <f t="shared" si="11"/>
        <v/>
      </c>
      <c r="H290" s="195"/>
      <c r="I290" s="31"/>
      <c r="J290" s="22"/>
    </row>
    <row r="291" spans="1:10" ht="12.75" customHeight="1" x14ac:dyDescent="0.25">
      <c r="A291" s="202"/>
      <c r="B291" s="17" t="s">
        <v>28</v>
      </c>
      <c r="C291" s="17"/>
      <c r="D291" s="17"/>
      <c r="E291" s="17" t="str">
        <f t="shared" si="10"/>
        <v/>
      </c>
      <c r="F291" s="17">
        <v>30</v>
      </c>
      <c r="G291" s="19" t="str">
        <f t="shared" si="11"/>
        <v/>
      </c>
      <c r="H291" s="195"/>
      <c r="I291" s="31"/>
      <c r="J291" s="22"/>
    </row>
    <row r="292" spans="1:10" ht="12.75" customHeight="1" x14ac:dyDescent="0.25">
      <c r="A292" s="202"/>
      <c r="B292" s="17" t="s">
        <v>28</v>
      </c>
      <c r="C292" s="17"/>
      <c r="D292" s="17"/>
      <c r="E292" s="17" t="str">
        <f t="shared" si="10"/>
        <v/>
      </c>
      <c r="F292" s="17">
        <v>30</v>
      </c>
      <c r="G292" s="19" t="str">
        <f t="shared" si="11"/>
        <v/>
      </c>
      <c r="H292" s="195"/>
      <c r="I292" s="31"/>
      <c r="J292" s="22"/>
    </row>
    <row r="293" spans="1:10" ht="12.75" customHeight="1" x14ac:dyDescent="0.25">
      <c r="A293" s="202"/>
      <c r="B293" s="17" t="s">
        <v>28</v>
      </c>
      <c r="C293" s="17"/>
      <c r="D293" s="17"/>
      <c r="E293" s="17" t="str">
        <f t="shared" si="10"/>
        <v/>
      </c>
      <c r="F293" s="17">
        <v>30</v>
      </c>
      <c r="G293" s="19" t="str">
        <f t="shared" si="11"/>
        <v/>
      </c>
      <c r="H293" s="195"/>
      <c r="I293" s="31"/>
      <c r="J293" s="22"/>
    </row>
    <row r="294" spans="1:10" ht="12.75" customHeight="1" x14ac:dyDescent="0.25">
      <c r="A294" s="202"/>
      <c r="B294" s="17" t="s">
        <v>28</v>
      </c>
      <c r="C294" s="17"/>
      <c r="D294" s="17"/>
      <c r="E294" s="17" t="str">
        <f t="shared" si="10"/>
        <v/>
      </c>
      <c r="F294" s="17">
        <v>30</v>
      </c>
      <c r="G294" s="19" t="str">
        <f t="shared" si="11"/>
        <v/>
      </c>
      <c r="H294" s="195"/>
      <c r="I294" s="31"/>
      <c r="J294" s="22"/>
    </row>
    <row r="295" spans="1:10" ht="12.75" customHeight="1" x14ac:dyDescent="0.25">
      <c r="A295" s="202"/>
      <c r="B295" s="17" t="s">
        <v>28</v>
      </c>
      <c r="C295" s="17"/>
      <c r="D295" s="17"/>
      <c r="E295" s="17" t="str">
        <f t="shared" si="10"/>
        <v/>
      </c>
      <c r="F295" s="17">
        <v>30</v>
      </c>
      <c r="G295" s="19" t="str">
        <f t="shared" si="11"/>
        <v/>
      </c>
      <c r="H295" s="195"/>
      <c r="I295" s="31"/>
      <c r="J295" s="22"/>
    </row>
    <row r="296" spans="1:10" ht="12.75" customHeight="1" x14ac:dyDescent="0.25">
      <c r="A296" s="202"/>
      <c r="B296" s="17" t="s">
        <v>28</v>
      </c>
      <c r="C296" s="17"/>
      <c r="D296" s="17"/>
      <c r="E296" s="17" t="str">
        <f t="shared" si="10"/>
        <v/>
      </c>
      <c r="F296" s="17">
        <v>30</v>
      </c>
      <c r="G296" s="19" t="str">
        <f t="shared" si="11"/>
        <v/>
      </c>
      <c r="H296" s="195"/>
      <c r="I296" s="31"/>
      <c r="J296" s="22"/>
    </row>
    <row r="297" spans="1:10" ht="12.75" customHeight="1" x14ac:dyDescent="0.25">
      <c r="A297" s="202"/>
      <c r="B297" s="17" t="s">
        <v>28</v>
      </c>
      <c r="C297" s="17"/>
      <c r="D297" s="17"/>
      <c r="E297" s="17" t="str">
        <f t="shared" si="10"/>
        <v/>
      </c>
      <c r="F297" s="17">
        <v>30</v>
      </c>
      <c r="G297" s="19" t="str">
        <f t="shared" si="11"/>
        <v/>
      </c>
      <c r="H297" s="195"/>
      <c r="I297" s="31"/>
      <c r="J297" s="22"/>
    </row>
    <row r="298" spans="1:10" ht="12.75" customHeight="1" x14ac:dyDescent="0.25">
      <c r="A298" s="202"/>
      <c r="B298" s="17" t="s">
        <v>28</v>
      </c>
      <c r="C298" s="17"/>
      <c r="D298" s="17"/>
      <c r="E298" s="17" t="str">
        <f t="shared" si="10"/>
        <v/>
      </c>
      <c r="F298" s="17">
        <v>30</v>
      </c>
      <c r="G298" s="19" t="str">
        <f t="shared" si="11"/>
        <v/>
      </c>
      <c r="H298" s="195"/>
      <c r="I298" s="31"/>
      <c r="J298" s="22"/>
    </row>
    <row r="299" spans="1:10" ht="12.75" customHeight="1" x14ac:dyDescent="0.25">
      <c r="A299" s="202"/>
      <c r="B299" s="17" t="s">
        <v>28</v>
      </c>
      <c r="C299" s="17"/>
      <c r="D299" s="17"/>
      <c r="E299" s="17" t="str">
        <f t="shared" si="10"/>
        <v/>
      </c>
      <c r="F299" s="17">
        <v>30</v>
      </c>
      <c r="G299" s="19" t="str">
        <f t="shared" si="11"/>
        <v/>
      </c>
      <c r="H299" s="195"/>
      <c r="I299" s="31"/>
      <c r="J299" s="22"/>
    </row>
    <row r="300" spans="1:10" ht="12.75" customHeight="1" x14ac:dyDescent="0.25">
      <c r="A300" s="202"/>
      <c r="B300" s="17" t="s">
        <v>28</v>
      </c>
      <c r="C300" s="17"/>
      <c r="D300" s="17"/>
      <c r="E300" s="17" t="str">
        <f t="shared" si="10"/>
        <v/>
      </c>
      <c r="F300" s="17">
        <v>30</v>
      </c>
      <c r="G300" s="19" t="str">
        <f t="shared" si="11"/>
        <v/>
      </c>
      <c r="H300" s="195"/>
      <c r="I300" s="31"/>
      <c r="J300" s="22"/>
    </row>
    <row r="301" spans="1:10" ht="12.75" customHeight="1" x14ac:dyDescent="0.25">
      <c r="A301" s="202"/>
      <c r="B301" s="17" t="s">
        <v>28</v>
      </c>
      <c r="C301" s="17"/>
      <c r="D301" s="17"/>
      <c r="E301" s="17" t="str">
        <f t="shared" si="10"/>
        <v/>
      </c>
      <c r="F301" s="17">
        <v>30</v>
      </c>
      <c r="G301" s="19" t="str">
        <f t="shared" si="11"/>
        <v/>
      </c>
      <c r="H301" s="195"/>
      <c r="I301" s="31"/>
      <c r="J301" s="22"/>
    </row>
    <row r="302" spans="1:10" ht="12.75" customHeight="1" x14ac:dyDescent="0.25">
      <c r="A302" s="202"/>
      <c r="B302" s="17" t="s">
        <v>28</v>
      </c>
      <c r="C302" s="17"/>
      <c r="D302" s="17"/>
      <c r="E302" s="17" t="str">
        <f t="shared" si="10"/>
        <v/>
      </c>
      <c r="F302" s="17">
        <v>30</v>
      </c>
      <c r="G302" s="19" t="str">
        <f t="shared" si="11"/>
        <v/>
      </c>
      <c r="H302" s="195"/>
      <c r="I302" s="31"/>
      <c r="J302" s="22"/>
    </row>
    <row r="303" spans="1:10" ht="12.75" customHeight="1" x14ac:dyDescent="0.25">
      <c r="A303" s="202"/>
      <c r="B303" s="17" t="s">
        <v>28</v>
      </c>
      <c r="C303" s="17"/>
      <c r="D303" s="17"/>
      <c r="E303" s="17" t="str">
        <f t="shared" si="10"/>
        <v/>
      </c>
      <c r="F303" s="17">
        <v>30</v>
      </c>
      <c r="G303" s="19" t="str">
        <f t="shared" si="11"/>
        <v/>
      </c>
      <c r="H303" s="195"/>
      <c r="I303" s="31"/>
      <c r="J303" s="22"/>
    </row>
    <row r="304" spans="1:10" ht="12.75" customHeight="1" x14ac:dyDescent="0.25">
      <c r="A304" s="202"/>
      <c r="B304" s="17" t="s">
        <v>28</v>
      </c>
      <c r="C304" s="17"/>
      <c r="D304" s="17"/>
      <c r="E304" s="17" t="str">
        <f t="shared" si="10"/>
        <v/>
      </c>
      <c r="F304" s="17">
        <v>30</v>
      </c>
      <c r="G304" s="19" t="str">
        <f t="shared" si="11"/>
        <v/>
      </c>
      <c r="H304" s="195"/>
      <c r="I304" s="31"/>
      <c r="J304" s="22"/>
    </row>
    <row r="305" spans="1:10" ht="12.75" customHeight="1" x14ac:dyDescent="0.25">
      <c r="A305" s="202"/>
      <c r="B305" s="17" t="s">
        <v>28</v>
      </c>
      <c r="C305" s="17"/>
      <c r="D305" s="17"/>
      <c r="E305" s="17" t="str">
        <f t="shared" si="10"/>
        <v/>
      </c>
      <c r="F305" s="17">
        <v>30</v>
      </c>
      <c r="G305" s="19" t="str">
        <f t="shared" si="11"/>
        <v/>
      </c>
      <c r="H305" s="195"/>
      <c r="I305" s="31"/>
      <c r="J305" s="22"/>
    </row>
    <row r="306" spans="1:10" ht="12.75" customHeight="1" x14ac:dyDescent="0.25">
      <c r="A306" s="202"/>
      <c r="B306" s="17" t="s">
        <v>28</v>
      </c>
      <c r="C306" s="17"/>
      <c r="D306" s="17"/>
      <c r="E306" s="17" t="str">
        <f t="shared" si="10"/>
        <v/>
      </c>
      <c r="F306" s="17">
        <v>30</v>
      </c>
      <c r="G306" s="19" t="str">
        <f t="shared" si="11"/>
        <v/>
      </c>
      <c r="H306" s="195"/>
      <c r="I306" s="31"/>
      <c r="J306" s="22"/>
    </row>
    <row r="307" spans="1:10" ht="12.75" customHeight="1" x14ac:dyDescent="0.25">
      <c r="A307" s="202"/>
      <c r="B307" s="17" t="s">
        <v>28</v>
      </c>
      <c r="C307" s="17"/>
      <c r="D307" s="17"/>
      <c r="E307" s="17" t="str">
        <f t="shared" si="10"/>
        <v/>
      </c>
      <c r="F307" s="17">
        <v>30</v>
      </c>
      <c r="G307" s="19" t="str">
        <f t="shared" si="11"/>
        <v/>
      </c>
      <c r="H307" s="195"/>
      <c r="I307" s="31"/>
      <c r="J307" s="22"/>
    </row>
    <row r="308" spans="1:10" ht="12.75" customHeight="1" x14ac:dyDescent="0.25">
      <c r="A308" s="202"/>
      <c r="B308" s="17" t="s">
        <v>28</v>
      </c>
      <c r="C308" s="17"/>
      <c r="D308" s="17"/>
      <c r="E308" s="17" t="str">
        <f t="shared" si="10"/>
        <v/>
      </c>
      <c r="F308" s="17">
        <v>30</v>
      </c>
      <c r="G308" s="19" t="str">
        <f t="shared" si="11"/>
        <v/>
      </c>
      <c r="H308" s="195"/>
      <c r="I308" s="31"/>
      <c r="J308" s="22"/>
    </row>
    <row r="309" spans="1:10" ht="12.75" customHeight="1" x14ac:dyDescent="0.25">
      <c r="A309" s="202"/>
      <c r="B309" s="17" t="s">
        <v>28</v>
      </c>
      <c r="C309" s="17"/>
      <c r="D309" s="17"/>
      <c r="E309" s="17" t="str">
        <f t="shared" si="10"/>
        <v/>
      </c>
      <c r="F309" s="17">
        <v>30</v>
      </c>
      <c r="G309" s="19" t="str">
        <f t="shared" si="11"/>
        <v/>
      </c>
      <c r="H309" s="195"/>
      <c r="I309" s="31"/>
      <c r="J309" s="22"/>
    </row>
    <row r="310" spans="1:10" ht="12.75" customHeight="1" x14ac:dyDescent="0.25">
      <c r="A310" s="202"/>
      <c r="B310" s="17" t="s">
        <v>28</v>
      </c>
      <c r="C310" s="17"/>
      <c r="D310" s="17"/>
      <c r="E310" s="17" t="str">
        <f t="shared" si="10"/>
        <v/>
      </c>
      <c r="F310" s="17">
        <v>30</v>
      </c>
      <c r="G310" s="19" t="str">
        <f t="shared" si="11"/>
        <v/>
      </c>
      <c r="H310" s="195"/>
      <c r="I310" s="31"/>
      <c r="J310" s="22"/>
    </row>
    <row r="311" spans="1:10" ht="12.75" customHeight="1" x14ac:dyDescent="0.25">
      <c r="A311" s="202"/>
      <c r="B311" s="17" t="s">
        <v>28</v>
      </c>
      <c r="C311" s="17"/>
      <c r="D311" s="17"/>
      <c r="E311" s="17" t="str">
        <f t="shared" si="10"/>
        <v/>
      </c>
      <c r="F311" s="17">
        <v>30</v>
      </c>
      <c r="G311" s="19" t="str">
        <f t="shared" si="11"/>
        <v/>
      </c>
      <c r="H311" s="195"/>
      <c r="I311" s="31"/>
      <c r="J311" s="22"/>
    </row>
    <row r="312" spans="1:10" ht="12.75" customHeight="1" x14ac:dyDescent="0.25">
      <c r="A312" s="202"/>
      <c r="B312" s="17" t="s">
        <v>28</v>
      </c>
      <c r="C312" s="17"/>
      <c r="D312" s="17"/>
      <c r="E312" s="17" t="str">
        <f t="shared" si="10"/>
        <v/>
      </c>
      <c r="F312" s="17">
        <v>30</v>
      </c>
      <c r="G312" s="19" t="str">
        <f t="shared" si="11"/>
        <v/>
      </c>
      <c r="H312" s="195"/>
      <c r="I312" s="31"/>
      <c r="J312" s="22"/>
    </row>
    <row r="313" spans="1:10" ht="12.75" customHeight="1" x14ac:dyDescent="0.25">
      <c r="A313" s="202"/>
      <c r="B313" s="17" t="s">
        <v>28</v>
      </c>
      <c r="C313" s="17"/>
      <c r="D313" s="17"/>
      <c r="E313" s="17" t="str">
        <f t="shared" si="10"/>
        <v/>
      </c>
      <c r="F313" s="17">
        <v>30</v>
      </c>
      <c r="G313" s="19" t="str">
        <f t="shared" si="11"/>
        <v/>
      </c>
      <c r="H313" s="195"/>
      <c r="I313" s="31"/>
      <c r="J313" s="22"/>
    </row>
    <row r="314" spans="1:10" ht="12.75" customHeight="1" x14ac:dyDescent="0.25">
      <c r="A314" s="202"/>
      <c r="B314" s="17" t="s">
        <v>28</v>
      </c>
      <c r="C314" s="17"/>
      <c r="D314" s="17"/>
      <c r="E314" s="17" t="str">
        <f t="shared" si="10"/>
        <v/>
      </c>
      <c r="F314" s="17">
        <v>30</v>
      </c>
      <c r="G314" s="19" t="str">
        <f t="shared" si="11"/>
        <v/>
      </c>
      <c r="H314" s="195"/>
      <c r="I314" s="31"/>
      <c r="J314" s="22"/>
    </row>
    <row r="315" spans="1:10" ht="12.75" customHeight="1" x14ac:dyDescent="0.25">
      <c r="A315" s="202"/>
      <c r="B315" s="17" t="s">
        <v>28</v>
      </c>
      <c r="C315" s="17"/>
      <c r="D315" s="17"/>
      <c r="E315" s="17" t="str">
        <f t="shared" si="10"/>
        <v/>
      </c>
      <c r="F315" s="17">
        <v>30</v>
      </c>
      <c r="G315" s="19" t="str">
        <f t="shared" si="11"/>
        <v/>
      </c>
      <c r="H315" s="195"/>
      <c r="I315" s="31"/>
      <c r="J315" s="22"/>
    </row>
    <row r="316" spans="1:10" ht="12.75" customHeight="1" x14ac:dyDescent="0.25">
      <c r="A316" s="202"/>
      <c r="B316" s="17" t="s">
        <v>28</v>
      </c>
      <c r="C316" s="17"/>
      <c r="D316" s="17"/>
      <c r="E316" s="17" t="str">
        <f t="shared" si="10"/>
        <v/>
      </c>
      <c r="F316" s="17">
        <v>30</v>
      </c>
      <c r="G316" s="19" t="str">
        <f t="shared" si="11"/>
        <v/>
      </c>
      <c r="H316" s="195"/>
      <c r="I316" s="31"/>
      <c r="J316" s="22"/>
    </row>
    <row r="317" spans="1:10" ht="12.75" customHeight="1" x14ac:dyDescent="0.25">
      <c r="A317" s="202"/>
      <c r="B317" s="17" t="s">
        <v>28</v>
      </c>
      <c r="C317" s="17"/>
      <c r="D317" s="17"/>
      <c r="E317" s="17" t="str">
        <f t="shared" si="10"/>
        <v/>
      </c>
      <c r="F317" s="17">
        <v>30</v>
      </c>
      <c r="G317" s="19" t="str">
        <f t="shared" si="11"/>
        <v/>
      </c>
      <c r="H317" s="195"/>
      <c r="I317" s="31"/>
      <c r="J317" s="22"/>
    </row>
    <row r="318" spans="1:10" ht="12.75" customHeight="1" x14ac:dyDescent="0.25">
      <c r="A318" s="202"/>
      <c r="B318" s="17" t="s">
        <v>28</v>
      </c>
      <c r="C318" s="17"/>
      <c r="D318" s="17"/>
      <c r="E318" s="17" t="str">
        <f t="shared" si="10"/>
        <v/>
      </c>
      <c r="F318" s="17">
        <v>30</v>
      </c>
      <c r="G318" s="19" t="str">
        <f t="shared" si="11"/>
        <v/>
      </c>
      <c r="H318" s="195"/>
      <c r="I318" s="31"/>
      <c r="J318" s="22"/>
    </row>
    <row r="319" spans="1:10" ht="12.75" customHeight="1" x14ac:dyDescent="0.25">
      <c r="A319" s="202"/>
      <c r="B319" s="17" t="s">
        <v>28</v>
      </c>
      <c r="C319" s="17"/>
      <c r="D319" s="17"/>
      <c r="E319" s="17" t="str">
        <f t="shared" si="10"/>
        <v/>
      </c>
      <c r="F319" s="17">
        <v>30</v>
      </c>
      <c r="G319" s="19" t="str">
        <f t="shared" si="11"/>
        <v/>
      </c>
      <c r="H319" s="195"/>
      <c r="I319" s="31"/>
      <c r="J319" s="22"/>
    </row>
    <row r="320" spans="1:10" ht="12.75" customHeight="1" x14ac:dyDescent="0.25">
      <c r="A320" s="202"/>
      <c r="B320" s="17" t="s">
        <v>28</v>
      </c>
      <c r="C320" s="17"/>
      <c r="D320" s="17"/>
      <c r="E320" s="17" t="str">
        <f t="shared" si="10"/>
        <v/>
      </c>
      <c r="F320" s="17">
        <v>30</v>
      </c>
      <c r="G320" s="19" t="str">
        <f t="shared" si="11"/>
        <v/>
      </c>
      <c r="H320" s="195"/>
      <c r="I320" s="31"/>
      <c r="J320" s="22"/>
    </row>
    <row r="321" spans="1:10" ht="12.75" customHeight="1" x14ac:dyDescent="0.25">
      <c r="A321" s="202"/>
      <c r="B321" s="17" t="s">
        <v>28</v>
      </c>
      <c r="C321" s="17"/>
      <c r="D321" s="17"/>
      <c r="E321" s="17" t="str">
        <f t="shared" si="10"/>
        <v/>
      </c>
      <c r="F321" s="17">
        <v>30</v>
      </c>
      <c r="G321" s="19" t="str">
        <f t="shared" si="11"/>
        <v/>
      </c>
      <c r="H321" s="195"/>
      <c r="I321" s="31"/>
      <c r="J321" s="22"/>
    </row>
    <row r="322" spans="1:10" ht="12.75" customHeight="1" x14ac:dyDescent="0.25">
      <c r="A322" s="202"/>
      <c r="B322" s="17" t="s">
        <v>28</v>
      </c>
      <c r="C322" s="17"/>
      <c r="D322" s="17"/>
      <c r="E322" s="17" t="str">
        <f t="shared" si="10"/>
        <v/>
      </c>
      <c r="F322" s="17">
        <v>30</v>
      </c>
      <c r="G322" s="19" t="str">
        <f t="shared" si="11"/>
        <v/>
      </c>
      <c r="H322" s="195"/>
      <c r="I322" s="31"/>
      <c r="J322" s="22"/>
    </row>
    <row r="323" spans="1:10" ht="12.75" customHeight="1" x14ac:dyDescent="0.25">
      <c r="A323" s="202"/>
      <c r="B323" s="17" t="s">
        <v>28</v>
      </c>
      <c r="C323" s="17"/>
      <c r="D323" s="17"/>
      <c r="E323" s="17" t="str">
        <f t="shared" si="10"/>
        <v/>
      </c>
      <c r="F323" s="17">
        <v>30</v>
      </c>
      <c r="G323" s="19" t="str">
        <f t="shared" si="11"/>
        <v/>
      </c>
      <c r="H323" s="195"/>
      <c r="I323" s="31"/>
      <c r="J323" s="22"/>
    </row>
    <row r="324" spans="1:10" ht="12.75" customHeight="1" x14ac:dyDescent="0.25">
      <c r="A324" s="202"/>
      <c r="B324" s="17" t="s">
        <v>28</v>
      </c>
      <c r="C324" s="17"/>
      <c r="D324" s="17"/>
      <c r="E324" s="17" t="str">
        <f t="shared" si="10"/>
        <v/>
      </c>
      <c r="F324" s="17">
        <v>30</v>
      </c>
      <c r="G324" s="19" t="str">
        <f t="shared" si="11"/>
        <v/>
      </c>
      <c r="H324" s="195"/>
      <c r="I324" s="31"/>
      <c r="J324" s="22"/>
    </row>
    <row r="325" spans="1:10" ht="12.75" customHeight="1" x14ac:dyDescent="0.25">
      <c r="A325" s="202"/>
      <c r="B325" s="17" t="s">
        <v>28</v>
      </c>
      <c r="C325" s="17"/>
      <c r="D325" s="17"/>
      <c r="E325" s="17" t="str">
        <f t="shared" si="10"/>
        <v/>
      </c>
      <c r="F325" s="17">
        <v>30</v>
      </c>
      <c r="G325" s="19" t="str">
        <f t="shared" si="11"/>
        <v/>
      </c>
      <c r="H325" s="195"/>
      <c r="I325" s="31"/>
      <c r="J325" s="22"/>
    </row>
    <row r="326" spans="1:10" ht="12.75" customHeight="1" x14ac:dyDescent="0.25">
      <c r="A326" s="202"/>
      <c r="B326" s="17" t="s">
        <v>28</v>
      </c>
      <c r="C326" s="17"/>
      <c r="D326" s="17"/>
      <c r="E326" s="17" t="str">
        <f t="shared" si="10"/>
        <v/>
      </c>
      <c r="F326" s="17">
        <v>30</v>
      </c>
      <c r="G326" s="19" t="str">
        <f t="shared" si="11"/>
        <v/>
      </c>
      <c r="H326" s="195"/>
      <c r="I326" s="31"/>
      <c r="J326" s="22"/>
    </row>
    <row r="327" spans="1:10" ht="12.75" customHeight="1" x14ac:dyDescent="0.25">
      <c r="A327" s="202"/>
      <c r="B327" s="17" t="s">
        <v>28</v>
      </c>
      <c r="C327" s="17"/>
      <c r="D327" s="17"/>
      <c r="E327" s="17" t="str">
        <f t="shared" si="10"/>
        <v/>
      </c>
      <c r="F327" s="17">
        <v>30</v>
      </c>
      <c r="G327" s="19" t="str">
        <f t="shared" si="11"/>
        <v/>
      </c>
      <c r="H327" s="195"/>
      <c r="I327" s="31"/>
      <c r="J327" s="22"/>
    </row>
    <row r="328" spans="1:10" ht="12.75" customHeight="1" x14ac:dyDescent="0.25">
      <c r="A328" s="202"/>
      <c r="B328" s="17" t="s">
        <v>28</v>
      </c>
      <c r="C328" s="17"/>
      <c r="D328" s="17"/>
      <c r="E328" s="17" t="str">
        <f t="shared" si="10"/>
        <v/>
      </c>
      <c r="F328" s="17">
        <v>30</v>
      </c>
      <c r="G328" s="19" t="str">
        <f t="shared" si="11"/>
        <v/>
      </c>
      <c r="H328" s="195"/>
      <c r="I328" s="31"/>
      <c r="J328" s="22"/>
    </row>
    <row r="329" spans="1:10" ht="12.75" customHeight="1" x14ac:dyDescent="0.25">
      <c r="A329" s="202"/>
      <c r="B329" s="17" t="s">
        <v>28</v>
      </c>
      <c r="C329" s="17"/>
      <c r="D329" s="17"/>
      <c r="E329" s="17" t="str">
        <f t="shared" si="10"/>
        <v/>
      </c>
      <c r="F329" s="17">
        <v>30</v>
      </c>
      <c r="G329" s="19" t="str">
        <f t="shared" si="11"/>
        <v/>
      </c>
      <c r="H329" s="195"/>
      <c r="I329" s="31"/>
      <c r="J329" s="22"/>
    </row>
    <row r="330" spans="1:10" ht="12.75" customHeight="1" x14ac:dyDescent="0.25">
      <c r="A330" s="202"/>
      <c r="B330" s="17" t="s">
        <v>28</v>
      </c>
      <c r="C330" s="17"/>
      <c r="D330" s="17"/>
      <c r="E330" s="17" t="str">
        <f t="shared" si="10"/>
        <v/>
      </c>
      <c r="F330" s="17">
        <v>30</v>
      </c>
      <c r="G330" s="19" t="str">
        <f t="shared" si="11"/>
        <v/>
      </c>
      <c r="H330" s="195"/>
      <c r="I330" s="31"/>
      <c r="J330" s="22"/>
    </row>
    <row r="331" spans="1:10" ht="12.75" customHeight="1" x14ac:dyDescent="0.25">
      <c r="A331" s="202"/>
      <c r="B331" s="17" t="s">
        <v>28</v>
      </c>
      <c r="C331" s="17"/>
      <c r="D331" s="17"/>
      <c r="E331" s="17" t="str">
        <f t="shared" si="10"/>
        <v/>
      </c>
      <c r="F331" s="17">
        <v>30</v>
      </c>
      <c r="G331" s="19" t="str">
        <f t="shared" si="11"/>
        <v/>
      </c>
      <c r="H331" s="195"/>
      <c r="I331" s="31"/>
      <c r="J331" s="22"/>
    </row>
    <row r="332" spans="1:10" ht="12.75" customHeight="1" x14ac:dyDescent="0.25">
      <c r="A332" s="202"/>
      <c r="B332" s="17" t="s">
        <v>28</v>
      </c>
      <c r="C332" s="17"/>
      <c r="D332" s="17"/>
      <c r="E332" s="17" t="str">
        <f t="shared" si="10"/>
        <v/>
      </c>
      <c r="F332" s="17">
        <v>30</v>
      </c>
      <c r="G332" s="19" t="str">
        <f t="shared" si="11"/>
        <v/>
      </c>
      <c r="H332" s="195"/>
      <c r="I332" s="31"/>
      <c r="J332" s="22"/>
    </row>
    <row r="333" spans="1:10" ht="12.75" customHeight="1" x14ac:dyDescent="0.25">
      <c r="A333" s="202"/>
      <c r="B333" s="17" t="s">
        <v>28</v>
      </c>
      <c r="C333" s="17"/>
      <c r="D333" s="17"/>
      <c r="E333" s="17" t="str">
        <f t="shared" si="10"/>
        <v/>
      </c>
      <c r="F333" s="17">
        <v>30</v>
      </c>
      <c r="G333" s="19" t="str">
        <f t="shared" si="11"/>
        <v/>
      </c>
      <c r="H333" s="195"/>
      <c r="I333" s="31"/>
      <c r="J333" s="22"/>
    </row>
    <row r="334" spans="1:10" ht="12.75" customHeight="1" x14ac:dyDescent="0.25">
      <c r="A334" s="202"/>
      <c r="B334" s="17" t="s">
        <v>28</v>
      </c>
      <c r="C334" s="17"/>
      <c r="D334" s="17"/>
      <c r="E334" s="17" t="str">
        <f t="shared" si="10"/>
        <v/>
      </c>
      <c r="F334" s="17">
        <v>30</v>
      </c>
      <c r="G334" s="19" t="str">
        <f t="shared" si="11"/>
        <v/>
      </c>
      <c r="H334" s="195"/>
      <c r="I334" s="31"/>
      <c r="J334" s="22"/>
    </row>
    <row r="335" spans="1:10" ht="12.75" customHeight="1" x14ac:dyDescent="0.25">
      <c r="A335" s="202"/>
      <c r="B335" s="17" t="s">
        <v>28</v>
      </c>
      <c r="C335" s="17"/>
      <c r="D335" s="17"/>
      <c r="E335" s="17" t="str">
        <f t="shared" si="10"/>
        <v/>
      </c>
      <c r="F335" s="17">
        <v>30</v>
      </c>
      <c r="G335" s="19" t="str">
        <f t="shared" si="11"/>
        <v/>
      </c>
      <c r="H335" s="195"/>
      <c r="I335" s="31"/>
      <c r="J335" s="22"/>
    </row>
    <row r="336" spans="1:10" ht="12.75" customHeight="1" x14ac:dyDescent="0.25">
      <c r="A336" s="202"/>
      <c r="B336" s="17" t="s">
        <v>28</v>
      </c>
      <c r="C336" s="17"/>
      <c r="D336" s="17"/>
      <c r="E336" s="17" t="str">
        <f t="shared" si="10"/>
        <v/>
      </c>
      <c r="F336" s="17">
        <v>30</v>
      </c>
      <c r="G336" s="19" t="str">
        <f t="shared" si="11"/>
        <v/>
      </c>
      <c r="H336" s="195"/>
      <c r="I336" s="31"/>
      <c r="J336" s="22"/>
    </row>
    <row r="337" spans="1:10" ht="12.75" customHeight="1" x14ac:dyDescent="0.25">
      <c r="A337" s="202"/>
      <c r="B337" s="17" t="s">
        <v>28</v>
      </c>
      <c r="C337" s="17"/>
      <c r="D337" s="17"/>
      <c r="E337" s="17" t="str">
        <f t="shared" si="10"/>
        <v/>
      </c>
      <c r="F337" s="17">
        <v>30</v>
      </c>
      <c r="G337" s="19" t="str">
        <f t="shared" si="11"/>
        <v/>
      </c>
      <c r="H337" s="195"/>
      <c r="I337" s="31"/>
      <c r="J337" s="22"/>
    </row>
    <row r="338" spans="1:10" ht="12.75" customHeight="1" x14ac:dyDescent="0.25">
      <c r="A338" s="202"/>
      <c r="B338" s="17" t="s">
        <v>28</v>
      </c>
      <c r="C338" s="17"/>
      <c r="D338" s="17"/>
      <c r="E338" s="17" t="str">
        <f t="shared" si="10"/>
        <v/>
      </c>
      <c r="F338" s="17">
        <v>30</v>
      </c>
      <c r="G338" s="19" t="str">
        <f t="shared" si="11"/>
        <v/>
      </c>
      <c r="H338" s="195"/>
      <c r="I338" s="31"/>
      <c r="J338" s="22"/>
    </row>
    <row r="339" spans="1:10" ht="12.75" customHeight="1" x14ac:dyDescent="0.25">
      <c r="A339" s="202"/>
      <c r="B339" s="17" t="s">
        <v>28</v>
      </c>
      <c r="C339" s="17"/>
      <c r="D339" s="17"/>
      <c r="E339" s="17" t="str">
        <f t="shared" si="10"/>
        <v/>
      </c>
      <c r="F339" s="17">
        <v>30</v>
      </c>
      <c r="G339" s="19" t="str">
        <f t="shared" si="11"/>
        <v/>
      </c>
      <c r="H339" s="195"/>
      <c r="I339" s="31"/>
      <c r="J339" s="22"/>
    </row>
    <row r="340" spans="1:10" ht="12.75" customHeight="1" x14ac:dyDescent="0.25">
      <c r="A340" s="202"/>
      <c r="B340" s="17" t="s">
        <v>28</v>
      </c>
      <c r="C340" s="17"/>
      <c r="D340" s="17"/>
      <c r="E340" s="17" t="str">
        <f t="shared" si="10"/>
        <v/>
      </c>
      <c r="F340" s="17">
        <v>30</v>
      </c>
      <c r="G340" s="19" t="str">
        <f t="shared" si="11"/>
        <v/>
      </c>
      <c r="H340" s="195"/>
      <c r="I340" s="31"/>
      <c r="J340" s="22"/>
    </row>
    <row r="341" spans="1:10" ht="12.75" customHeight="1" x14ac:dyDescent="0.25">
      <c r="A341" s="202"/>
      <c r="B341" s="17" t="s">
        <v>28</v>
      </c>
      <c r="C341" s="17"/>
      <c r="D341" s="17"/>
      <c r="E341" s="17" t="str">
        <f t="shared" si="10"/>
        <v/>
      </c>
      <c r="F341" s="17">
        <v>30</v>
      </c>
      <c r="G341" s="19" t="str">
        <f t="shared" si="11"/>
        <v/>
      </c>
      <c r="H341" s="195"/>
      <c r="I341" s="31"/>
      <c r="J341" s="22"/>
    </row>
    <row r="342" spans="1:10" ht="12.75" customHeight="1" x14ac:dyDescent="0.25">
      <c r="A342" s="202"/>
      <c r="B342" s="17" t="s">
        <v>28</v>
      </c>
      <c r="C342" s="17"/>
      <c r="D342" s="17"/>
      <c r="E342" s="17" t="str">
        <f t="shared" si="10"/>
        <v/>
      </c>
      <c r="F342" s="17">
        <v>30</v>
      </c>
      <c r="G342" s="19" t="str">
        <f t="shared" si="11"/>
        <v/>
      </c>
      <c r="H342" s="195"/>
      <c r="I342" s="31"/>
      <c r="J342" s="22"/>
    </row>
    <row r="343" spans="1:10" ht="12.75" customHeight="1" x14ac:dyDescent="0.25">
      <c r="A343" s="202"/>
      <c r="B343" s="17" t="s">
        <v>28</v>
      </c>
      <c r="C343" s="17"/>
      <c r="D343" s="17"/>
      <c r="E343" s="17" t="str">
        <f t="shared" si="10"/>
        <v/>
      </c>
      <c r="F343" s="17">
        <v>30</v>
      </c>
      <c r="G343" s="19" t="str">
        <f t="shared" si="11"/>
        <v/>
      </c>
      <c r="H343" s="195"/>
      <c r="I343" s="31"/>
      <c r="J343" s="22"/>
    </row>
    <row r="344" spans="1:10" ht="12.75" customHeight="1" x14ac:dyDescent="0.25">
      <c r="A344" s="202"/>
      <c r="B344" s="17" t="s">
        <v>28</v>
      </c>
      <c r="C344" s="17"/>
      <c r="D344" s="17"/>
      <c r="E344" s="17" t="str">
        <f t="shared" si="10"/>
        <v/>
      </c>
      <c r="F344" s="17">
        <v>30</v>
      </c>
      <c r="G344" s="19" t="str">
        <f t="shared" si="11"/>
        <v/>
      </c>
      <c r="H344" s="195"/>
      <c r="I344" s="31"/>
      <c r="J344" s="22"/>
    </row>
    <row r="345" spans="1:10" ht="12.75" customHeight="1" x14ac:dyDescent="0.25">
      <c r="A345" s="202"/>
      <c r="B345" s="17" t="s">
        <v>28</v>
      </c>
      <c r="C345" s="17"/>
      <c r="D345" s="17"/>
      <c r="E345" s="17" t="str">
        <f t="shared" si="10"/>
        <v/>
      </c>
      <c r="F345" s="17">
        <v>30</v>
      </c>
      <c r="G345" s="19" t="str">
        <f t="shared" si="11"/>
        <v/>
      </c>
      <c r="H345" s="195"/>
      <c r="I345" s="31"/>
      <c r="J345" s="22"/>
    </row>
    <row r="346" spans="1:10" ht="12.75" customHeight="1" x14ac:dyDescent="0.25">
      <c r="A346" s="202"/>
      <c r="B346" s="17" t="s">
        <v>28</v>
      </c>
      <c r="C346" s="17"/>
      <c r="D346" s="17"/>
      <c r="E346" s="17" t="str">
        <f t="shared" si="10"/>
        <v/>
      </c>
      <c r="F346" s="17">
        <v>30</v>
      </c>
      <c r="G346" s="19" t="str">
        <f t="shared" si="11"/>
        <v/>
      </c>
      <c r="H346" s="195"/>
      <c r="I346" s="31"/>
      <c r="J346" s="22"/>
    </row>
    <row r="347" spans="1:10" ht="12.75" customHeight="1" x14ac:dyDescent="0.25">
      <c r="A347" s="202"/>
      <c r="B347" s="17" t="s">
        <v>28</v>
      </c>
      <c r="C347" s="17"/>
      <c r="D347" s="17"/>
      <c r="E347" s="17" t="str">
        <f t="shared" si="10"/>
        <v/>
      </c>
      <c r="F347" s="17">
        <v>30</v>
      </c>
      <c r="G347" s="19" t="str">
        <f t="shared" si="11"/>
        <v/>
      </c>
      <c r="H347" s="195"/>
      <c r="I347" s="31"/>
      <c r="J347" s="22"/>
    </row>
    <row r="348" spans="1:10" ht="12.75" customHeight="1" x14ac:dyDescent="0.25">
      <c r="A348" s="202"/>
      <c r="B348" s="17" t="s">
        <v>28</v>
      </c>
      <c r="C348" s="17"/>
      <c r="D348" s="17"/>
      <c r="E348" s="17" t="str">
        <f t="shared" si="10"/>
        <v/>
      </c>
      <c r="F348" s="17">
        <v>30</v>
      </c>
      <c r="G348" s="19" t="str">
        <f t="shared" si="11"/>
        <v/>
      </c>
      <c r="H348" s="195"/>
      <c r="I348" s="31"/>
      <c r="J348" s="22"/>
    </row>
    <row r="349" spans="1:10" ht="12.75" customHeight="1" x14ac:dyDescent="0.25">
      <c r="A349" s="202"/>
      <c r="B349" s="17" t="s">
        <v>28</v>
      </c>
      <c r="C349" s="17"/>
      <c r="D349" s="17"/>
      <c r="E349" s="17" t="str">
        <f t="shared" si="10"/>
        <v/>
      </c>
      <c r="F349" s="17">
        <v>30</v>
      </c>
      <c r="G349" s="19" t="str">
        <f t="shared" si="11"/>
        <v/>
      </c>
      <c r="H349" s="195"/>
      <c r="I349" s="31"/>
      <c r="J349" s="22"/>
    </row>
    <row r="350" spans="1:10" ht="12.75" customHeight="1" x14ac:dyDescent="0.25">
      <c r="A350" s="202"/>
      <c r="B350" s="17" t="s">
        <v>28</v>
      </c>
      <c r="C350" s="17"/>
      <c r="D350" s="17"/>
      <c r="E350" s="17" t="str">
        <f t="shared" si="10"/>
        <v/>
      </c>
      <c r="F350" s="17">
        <v>30</v>
      </c>
      <c r="G350" s="19" t="str">
        <f t="shared" si="11"/>
        <v/>
      </c>
      <c r="H350" s="195"/>
      <c r="I350" s="31"/>
      <c r="J350" s="22"/>
    </row>
    <row r="351" spans="1:10" ht="12.75" customHeight="1" x14ac:dyDescent="0.25">
      <c r="A351" s="202"/>
      <c r="B351" s="17" t="s">
        <v>28</v>
      </c>
      <c r="C351" s="17"/>
      <c r="D351" s="17"/>
      <c r="E351" s="17" t="str">
        <f t="shared" ref="E351:E356" si="12">IF(((C351="")*AND(D351="")),"",D351-C351)</f>
        <v/>
      </c>
      <c r="F351" s="17">
        <v>30</v>
      </c>
      <c r="G351" s="19" t="str">
        <f t="shared" ref="G351:G356" si="13">IF(E351="","",IF(E351&lt;=30,"Pass","Fail"))</f>
        <v/>
      </c>
      <c r="H351" s="195"/>
      <c r="I351" s="31"/>
      <c r="J351" s="22"/>
    </row>
    <row r="352" spans="1:10" ht="12.75" customHeight="1" x14ac:dyDescent="0.25">
      <c r="A352" s="202"/>
      <c r="B352" s="17" t="s">
        <v>28</v>
      </c>
      <c r="C352" s="17"/>
      <c r="D352" s="17"/>
      <c r="E352" s="17" t="str">
        <f t="shared" si="12"/>
        <v/>
      </c>
      <c r="F352" s="17">
        <v>30</v>
      </c>
      <c r="G352" s="19" t="str">
        <f t="shared" si="13"/>
        <v/>
      </c>
      <c r="H352" s="195"/>
      <c r="I352" s="31"/>
      <c r="J352" s="22"/>
    </row>
    <row r="353" spans="1:10" ht="12.75" customHeight="1" x14ac:dyDescent="0.25">
      <c r="A353" s="202"/>
      <c r="B353" s="17" t="s">
        <v>28</v>
      </c>
      <c r="C353" s="17"/>
      <c r="D353" s="17"/>
      <c r="E353" s="17" t="str">
        <f t="shared" si="12"/>
        <v/>
      </c>
      <c r="F353" s="17">
        <v>30</v>
      </c>
      <c r="G353" s="19" t="str">
        <f t="shared" si="13"/>
        <v/>
      </c>
      <c r="H353" s="195"/>
      <c r="I353" s="31"/>
      <c r="J353" s="22"/>
    </row>
    <row r="354" spans="1:10" ht="12.75" customHeight="1" x14ac:dyDescent="0.25">
      <c r="A354" s="202"/>
      <c r="B354" s="17" t="s">
        <v>28</v>
      </c>
      <c r="C354" s="17"/>
      <c r="D354" s="17"/>
      <c r="E354" s="17" t="str">
        <f t="shared" si="12"/>
        <v/>
      </c>
      <c r="F354" s="17">
        <v>30</v>
      </c>
      <c r="G354" s="19" t="str">
        <f t="shared" si="13"/>
        <v/>
      </c>
      <c r="H354" s="195"/>
      <c r="I354" s="31"/>
      <c r="J354" s="22"/>
    </row>
    <row r="355" spans="1:10" ht="12.75" customHeight="1" x14ac:dyDescent="0.25">
      <c r="A355" s="202"/>
      <c r="B355" s="17" t="s">
        <v>28</v>
      </c>
      <c r="C355" s="17"/>
      <c r="D355" s="17"/>
      <c r="E355" s="17" t="str">
        <f t="shared" si="12"/>
        <v/>
      </c>
      <c r="F355" s="17">
        <v>30</v>
      </c>
      <c r="G355" s="19" t="str">
        <f t="shared" si="13"/>
        <v/>
      </c>
      <c r="H355" s="195"/>
      <c r="I355" s="31"/>
      <c r="J355" s="22"/>
    </row>
    <row r="356" spans="1:10" ht="12.75" customHeight="1" x14ac:dyDescent="0.25">
      <c r="A356" s="202"/>
      <c r="B356" s="17" t="s">
        <v>28</v>
      </c>
      <c r="C356" s="17"/>
      <c r="D356" s="17"/>
      <c r="E356" s="17" t="str">
        <f t="shared" si="12"/>
        <v/>
      </c>
      <c r="F356" s="17">
        <v>30</v>
      </c>
      <c r="G356" s="19" t="str">
        <f t="shared" si="13"/>
        <v/>
      </c>
      <c r="H356" s="195"/>
      <c r="I356" s="31"/>
      <c r="J356" s="22"/>
    </row>
    <row r="357" spans="1:10" ht="12.75" customHeight="1" x14ac:dyDescent="0.25">
      <c r="J357" s="22"/>
    </row>
    <row r="358" spans="1:10" ht="12.75" customHeight="1" x14ac:dyDescent="0.25">
      <c r="J358" s="22"/>
    </row>
    <row r="359" spans="1:10" ht="12.75" customHeight="1" x14ac:dyDescent="0.25">
      <c r="J359" s="22"/>
    </row>
    <row r="360" spans="1:10" ht="12.75" customHeight="1" x14ac:dyDescent="0.25">
      <c r="J360" s="22"/>
    </row>
  </sheetData>
  <autoFilter ref="A9:J9"/>
  <mergeCells count="4">
    <mergeCell ref="C8:D8"/>
    <mergeCell ref="A1:I1"/>
    <mergeCell ref="G3:I3"/>
    <mergeCell ref="G4:I4"/>
  </mergeCells>
  <conditionalFormatting sqref="G10:G356">
    <cfRule type="containsText" dxfId="1161" priority="5" stopIfTrue="1" operator="containsText" text="PASS">
      <formula>NOT(ISERROR(SEARCH("PASS",G10)))</formula>
    </cfRule>
    <cfRule type="containsText" dxfId="1160" priority="6" stopIfTrue="1" operator="containsText" text="FAIL">
      <formula>NOT(ISERROR(SEARCH("FAIL",G10)))</formula>
    </cfRule>
  </conditionalFormatting>
  <conditionalFormatting sqref="A1:A7 A10:A65536">
    <cfRule type="cellIs" dxfId="1159" priority="4" stopIfTrue="1" operator="equal">
      <formula>TODAY()</formula>
    </cfRule>
  </conditionalFormatting>
  <conditionalFormatting sqref="G175:G209">
    <cfRule type="containsText" dxfId="1158" priority="2" stopIfTrue="1" operator="containsText" text="PASS">
      <formula>NOT(ISERROR(SEARCH("PASS",G175)))</formula>
    </cfRule>
    <cfRule type="containsText" dxfId="1157" priority="3" stopIfTrue="1" operator="containsText" text="FAIL">
      <formula>NOT(ISERROR(SEARCH("FAIL",G175)))</formula>
    </cfRule>
  </conditionalFormatting>
  <conditionalFormatting sqref="A175:A209">
    <cfRule type="cellIs" dxfId="1156" priority="1" stopIfTrue="1" operator="equal">
      <formula>TODAY()</formula>
    </cfRule>
  </conditionalFormatting>
  <pageMargins left="0.75" right="0.75" top="1" bottom="0.86245519713261654" header="0.5" footer="0.5"/>
  <pageSetup scale="97" orientation="portrait" horizontalDpi="300" verticalDpi="300" r:id="rId1"/>
  <headerFooter alignWithMargins="0">
    <oddFooter>&amp;LSCL/VFD/WETECH/________</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1019"/>
  <sheetViews>
    <sheetView zoomScale="70" zoomScaleNormal="70" workbookViewId="0">
      <pane ySplit="14" topLeftCell="A951" activePane="bottomLeft" state="frozen"/>
      <selection pane="bottomLeft" activeCell="E974" sqref="E974"/>
    </sheetView>
  </sheetViews>
  <sheetFormatPr defaultColWidth="8.7265625" defaultRowHeight="12.75" x14ac:dyDescent="0.25"/>
  <cols>
    <col min="1" max="1" width="14" style="38" customWidth="1"/>
    <col min="2" max="2" width="9" style="8" customWidth="1"/>
    <col min="3" max="3" width="13.36328125" style="8" customWidth="1"/>
    <col min="4" max="5" width="7.36328125" style="8" customWidth="1"/>
    <col min="6" max="6" width="6.90625" style="8" customWidth="1"/>
    <col min="7" max="7" width="6.453125" style="8" customWidth="1"/>
    <col min="8" max="10" width="6.08984375" style="8" customWidth="1"/>
    <col min="11" max="15" width="6.7265625" style="8" customWidth="1"/>
    <col min="16" max="16" width="6.08984375" style="8" customWidth="1"/>
    <col min="17" max="17" width="8.7265625" style="8" customWidth="1"/>
    <col min="18" max="18" width="7.36328125" style="8" customWidth="1"/>
    <col min="19" max="19" width="9" style="8" customWidth="1"/>
    <col min="20" max="21" width="9.36328125" style="8" customWidth="1"/>
    <col min="22" max="22" width="6.26953125" style="8" customWidth="1"/>
    <col min="23" max="23" width="8.453125" style="8" customWidth="1"/>
    <col min="24" max="24" width="24.6328125" style="26" customWidth="1"/>
    <col min="25" max="25" width="20.26953125" style="37" customWidth="1"/>
    <col min="26" max="29" width="8.453125" style="37" bestFit="1" customWidth="1"/>
    <col min="30" max="30" width="8.453125" style="26" bestFit="1" customWidth="1"/>
    <col min="31" max="16384" width="8.7265625" style="8"/>
  </cols>
  <sheetData>
    <row r="1" spans="1:30" s="2" customFormat="1" ht="12.75" customHeight="1" x14ac:dyDescent="0.25">
      <c r="A1" s="122" t="s">
        <v>11</v>
      </c>
      <c r="B1" s="113"/>
      <c r="C1" s="113"/>
      <c r="D1" s="113"/>
      <c r="E1" s="113"/>
      <c r="F1" s="113"/>
      <c r="G1" s="113"/>
      <c r="H1" s="113"/>
      <c r="I1" s="113"/>
      <c r="J1" s="113"/>
      <c r="K1" s="113"/>
      <c r="L1" s="113"/>
      <c r="M1" s="113"/>
      <c r="N1" s="113"/>
      <c r="O1" s="113"/>
      <c r="P1" s="123"/>
      <c r="Q1" s="126"/>
      <c r="R1" s="126"/>
      <c r="S1" s="126"/>
      <c r="T1" s="126"/>
      <c r="U1" s="126"/>
      <c r="V1" s="126"/>
      <c r="W1" s="126"/>
      <c r="X1" s="198"/>
      <c r="Y1" s="125"/>
      <c r="Z1" s="125"/>
      <c r="AA1" s="125"/>
      <c r="AB1" s="125"/>
      <c r="AC1" s="125"/>
      <c r="AD1" s="124"/>
    </row>
    <row r="2" spans="1:30" ht="12.75" customHeight="1" x14ac:dyDescent="0.25">
      <c r="A2" s="210" t="s">
        <v>12</v>
      </c>
      <c r="B2" s="113"/>
      <c r="C2" s="6"/>
      <c r="D2" s="6"/>
      <c r="E2" s="113"/>
      <c r="F2" s="113"/>
      <c r="G2" s="113"/>
      <c r="H2" s="113"/>
      <c r="I2" s="11"/>
      <c r="J2" s="113" t="s">
        <v>13</v>
      </c>
      <c r="K2" s="113"/>
      <c r="L2" s="113"/>
      <c r="M2" s="113"/>
      <c r="N2" s="113"/>
      <c r="O2" s="113"/>
      <c r="P2" s="123"/>
      <c r="Q2" s="107"/>
      <c r="R2" s="6"/>
      <c r="S2" s="113"/>
      <c r="T2" s="113"/>
      <c r="U2" s="113"/>
      <c r="V2" s="11"/>
      <c r="W2" s="6"/>
      <c r="X2" s="242"/>
    </row>
    <row r="3" spans="1:30" ht="12.75" customHeight="1" x14ac:dyDescent="0.3">
      <c r="A3" s="210" t="s">
        <v>237</v>
      </c>
      <c r="B3" s="122"/>
      <c r="C3" s="121"/>
      <c r="D3" s="121"/>
      <c r="E3" s="11"/>
      <c r="F3" s="11" t="s">
        <v>236</v>
      </c>
      <c r="G3" s="11"/>
      <c r="H3" s="11"/>
      <c r="I3" s="11"/>
      <c r="J3" s="11"/>
      <c r="K3" s="11"/>
      <c r="L3" s="11"/>
      <c r="M3" s="11"/>
      <c r="N3" s="11"/>
      <c r="O3" s="11"/>
      <c r="P3" s="12"/>
      <c r="Q3" s="11"/>
      <c r="R3" s="121"/>
      <c r="S3" s="11"/>
      <c r="T3" s="11"/>
      <c r="U3" s="11"/>
      <c r="V3" s="11"/>
      <c r="W3" s="11"/>
      <c r="X3" s="200"/>
    </row>
    <row r="4" spans="1:30" ht="12.75" customHeight="1" x14ac:dyDescent="0.25">
      <c r="A4" s="210" t="s">
        <v>235</v>
      </c>
      <c r="B4" s="113"/>
      <c r="C4" s="107"/>
      <c r="D4" s="107"/>
      <c r="E4" s="11"/>
      <c r="F4" s="11"/>
      <c r="G4" s="11"/>
      <c r="H4" s="11"/>
      <c r="I4" s="11"/>
      <c r="J4" s="11"/>
      <c r="K4" s="11"/>
      <c r="L4" s="11"/>
      <c r="M4" s="11"/>
      <c r="N4" s="11"/>
      <c r="O4" s="11"/>
      <c r="P4" s="12"/>
      <c r="Q4" s="107"/>
      <c r="R4" s="107"/>
      <c r="S4" s="11"/>
      <c r="T4" s="11"/>
      <c r="U4" s="11"/>
      <c r="V4" s="11"/>
      <c r="W4" s="11"/>
      <c r="X4" s="200"/>
    </row>
    <row r="5" spans="1:30" ht="12.75" customHeight="1" x14ac:dyDescent="0.25">
      <c r="A5" s="210" t="s">
        <v>234</v>
      </c>
      <c r="B5" s="113"/>
      <c r="C5" s="107"/>
      <c r="D5" s="107"/>
      <c r="E5" s="11"/>
      <c r="F5" s="11"/>
      <c r="G5" s="11"/>
      <c r="H5" s="11"/>
      <c r="I5" s="11"/>
      <c r="J5" s="11"/>
      <c r="K5" s="5"/>
      <c r="L5" s="5"/>
      <c r="M5" s="5"/>
      <c r="N5" s="5"/>
      <c r="O5" s="5"/>
      <c r="P5" s="120"/>
      <c r="Q5" s="107"/>
      <c r="R5" s="107"/>
      <c r="S5" s="11"/>
      <c r="T5" s="11"/>
      <c r="U5" s="11"/>
      <c r="V5" s="11"/>
      <c r="W5" s="11"/>
      <c r="X5" s="200"/>
    </row>
    <row r="6" spans="1:30" ht="12.75" customHeight="1" x14ac:dyDescent="0.25">
      <c r="A6" s="210" t="s">
        <v>233</v>
      </c>
      <c r="B6" s="113"/>
      <c r="C6" s="107"/>
      <c r="D6" s="107"/>
      <c r="E6" s="11"/>
      <c r="F6" s="11"/>
      <c r="G6" s="11"/>
      <c r="H6" s="11"/>
      <c r="I6" s="11"/>
      <c r="J6" s="11"/>
      <c r="K6" s="5"/>
      <c r="L6" s="5"/>
      <c r="M6" s="5"/>
      <c r="N6" s="5"/>
      <c r="O6" s="5"/>
      <c r="P6" s="120"/>
      <c r="Q6" s="107"/>
      <c r="R6" s="107"/>
      <c r="S6" s="11"/>
      <c r="T6" s="11"/>
      <c r="U6" s="11"/>
      <c r="V6" s="11"/>
      <c r="W6" s="11"/>
      <c r="X6" s="200"/>
    </row>
    <row r="7" spans="1:30" ht="12.75" customHeight="1" x14ac:dyDescent="0.25">
      <c r="A7" s="210"/>
      <c r="B7" s="113"/>
      <c r="C7" s="107"/>
      <c r="D7" s="107"/>
      <c r="E7" s="119" t="s">
        <v>232</v>
      </c>
      <c r="F7" s="118"/>
      <c r="G7" s="117" t="s">
        <v>221</v>
      </c>
      <c r="H7" s="117" t="s">
        <v>22</v>
      </c>
      <c r="I7" s="11"/>
      <c r="J7" s="11"/>
      <c r="K7" s="11"/>
      <c r="L7" s="11"/>
      <c r="M7" s="11"/>
      <c r="N7" s="11"/>
      <c r="O7" s="11"/>
      <c r="P7" s="12"/>
      <c r="Q7" s="116"/>
      <c r="R7" s="107"/>
      <c r="S7" s="11"/>
      <c r="T7" s="11"/>
      <c r="U7" s="11"/>
      <c r="V7" s="11"/>
      <c r="W7" s="11"/>
      <c r="X7" s="200"/>
    </row>
    <row r="8" spans="1:30" ht="12.75" customHeight="1" x14ac:dyDescent="0.25">
      <c r="A8" s="210" t="s">
        <v>231</v>
      </c>
      <c r="B8" s="113"/>
      <c r="C8" s="109"/>
      <c r="D8" s="109"/>
      <c r="E8" s="112" t="s">
        <v>230</v>
      </c>
      <c r="F8" s="111"/>
      <c r="G8" s="110">
        <v>2000</v>
      </c>
      <c r="H8" s="110">
        <v>3000</v>
      </c>
      <c r="I8" s="109"/>
      <c r="J8" s="11"/>
      <c r="K8" s="11"/>
      <c r="L8" s="11"/>
      <c r="M8" s="11"/>
      <c r="N8" s="11"/>
      <c r="O8" s="11"/>
      <c r="P8" s="12"/>
      <c r="Q8" s="107"/>
      <c r="R8" s="107"/>
      <c r="S8" s="11"/>
      <c r="T8" s="115"/>
      <c r="U8" s="115"/>
      <c r="V8" s="115"/>
      <c r="W8" s="114"/>
      <c r="X8" s="243"/>
    </row>
    <row r="9" spans="1:30" ht="12.75" customHeight="1" x14ac:dyDescent="0.25">
      <c r="A9" s="210"/>
      <c r="B9" s="113"/>
      <c r="C9" s="109"/>
      <c r="D9" s="109"/>
      <c r="E9" s="112" t="s">
        <v>229</v>
      </c>
      <c r="F9" s="111"/>
      <c r="G9" s="110">
        <v>0</v>
      </c>
      <c r="H9" s="110">
        <v>7</v>
      </c>
      <c r="I9" s="109"/>
      <c r="J9" s="11"/>
      <c r="K9" s="11"/>
      <c r="L9" s="11"/>
      <c r="M9" s="11"/>
      <c r="N9" s="11"/>
      <c r="O9" s="11"/>
      <c r="P9" s="12"/>
      <c r="Q9" s="107"/>
      <c r="R9" s="107"/>
      <c r="S9" s="11"/>
      <c r="T9" s="11"/>
      <c r="U9" s="11"/>
      <c r="V9" s="11"/>
      <c r="W9" s="11"/>
      <c r="X9" s="200"/>
    </row>
    <row r="10" spans="1:30" ht="12.75" customHeight="1" x14ac:dyDescent="0.25">
      <c r="A10" s="210"/>
      <c r="B10" s="113"/>
      <c r="C10" s="109"/>
      <c r="D10" s="109"/>
      <c r="E10" s="112" t="s">
        <v>228</v>
      </c>
      <c r="F10" s="111"/>
      <c r="G10" s="110">
        <v>2800</v>
      </c>
      <c r="H10" s="110">
        <v>3800</v>
      </c>
      <c r="I10" s="109"/>
      <c r="J10" s="11"/>
      <c r="K10" s="11"/>
      <c r="L10" s="11"/>
      <c r="M10" s="11"/>
      <c r="N10" s="11"/>
      <c r="O10" s="11"/>
      <c r="P10" s="12"/>
      <c r="Q10" s="107"/>
      <c r="R10" s="107"/>
      <c r="S10" s="11"/>
      <c r="T10" s="11"/>
      <c r="U10" s="11"/>
      <c r="V10" s="11"/>
      <c r="W10" s="11"/>
      <c r="X10" s="200"/>
    </row>
    <row r="11" spans="1:30" ht="12.75" customHeight="1" x14ac:dyDescent="0.25">
      <c r="A11" s="210"/>
      <c r="B11" s="113"/>
      <c r="C11" s="109"/>
      <c r="D11" s="109"/>
      <c r="E11" s="112" t="s">
        <v>227</v>
      </c>
      <c r="F11" s="111"/>
      <c r="G11" s="110">
        <v>0</v>
      </c>
      <c r="H11" s="110">
        <v>7</v>
      </c>
      <c r="I11" s="109"/>
      <c r="J11" s="11"/>
      <c r="K11" s="11"/>
      <c r="L11" s="11"/>
      <c r="M11" s="11"/>
      <c r="N11" s="11"/>
      <c r="O11" s="11"/>
      <c r="P11" s="12"/>
      <c r="Q11" s="107"/>
      <c r="R11" s="107"/>
      <c r="S11" s="11"/>
      <c r="T11" s="11"/>
      <c r="U11" s="11"/>
      <c r="V11" s="11"/>
      <c r="W11" s="11"/>
      <c r="X11" s="200"/>
    </row>
    <row r="12" spans="1:30" ht="12.75" customHeight="1" x14ac:dyDescent="0.25">
      <c r="A12" s="211"/>
      <c r="B12" s="15"/>
      <c r="C12" s="108"/>
      <c r="D12" s="108"/>
      <c r="E12" s="108"/>
      <c r="F12" s="108"/>
      <c r="G12" s="108"/>
      <c r="H12" s="108"/>
      <c r="I12" s="108"/>
      <c r="J12" s="15"/>
      <c r="K12" s="15"/>
      <c r="L12" s="15"/>
      <c r="M12" s="15"/>
      <c r="N12" s="15"/>
      <c r="O12" s="15"/>
      <c r="P12" s="16"/>
      <c r="Q12" s="107"/>
      <c r="R12" s="107"/>
      <c r="S12" s="11"/>
      <c r="T12" s="11"/>
      <c r="U12" s="11"/>
      <c r="V12" s="11"/>
      <c r="W12" s="11"/>
      <c r="X12" s="200"/>
    </row>
    <row r="13" spans="1:30" s="183" customFormat="1" ht="14.95" thickBot="1" x14ac:dyDescent="0.35">
      <c r="A13" s="175"/>
      <c r="B13" s="176"/>
      <c r="C13" s="290" t="s">
        <v>271</v>
      </c>
      <c r="D13" s="291"/>
      <c r="E13" s="291"/>
      <c r="F13" s="291"/>
      <c r="G13" s="291"/>
      <c r="H13" s="291"/>
      <c r="I13" s="291"/>
      <c r="J13" s="291"/>
      <c r="K13" s="291"/>
      <c r="L13" s="291"/>
      <c r="M13" s="291"/>
      <c r="N13" s="291"/>
      <c r="O13" s="291"/>
      <c r="P13" s="291"/>
      <c r="Q13" s="177"/>
      <c r="R13" s="177"/>
      <c r="S13" s="178"/>
      <c r="T13" s="179"/>
      <c r="U13" s="179"/>
      <c r="V13" s="180"/>
      <c r="W13" s="181"/>
      <c r="X13" s="244"/>
      <c r="Y13" s="179"/>
      <c r="Z13" s="180"/>
      <c r="AA13" s="182"/>
      <c r="AB13" s="180"/>
      <c r="AC13" s="180"/>
      <c r="AD13" s="180"/>
    </row>
    <row r="14" spans="1:30" s="192" customFormat="1" ht="41.95" customHeight="1" thickBot="1" x14ac:dyDescent="0.4">
      <c r="A14" s="184" t="s">
        <v>269</v>
      </c>
      <c r="B14" s="185" t="s">
        <v>272</v>
      </c>
      <c r="C14" s="186" t="s">
        <v>217</v>
      </c>
      <c r="D14" s="185">
        <v>1</v>
      </c>
      <c r="E14" s="185">
        <v>2</v>
      </c>
      <c r="F14" s="185">
        <v>3</v>
      </c>
      <c r="G14" s="185">
        <v>4</v>
      </c>
      <c r="H14" s="185">
        <v>5</v>
      </c>
      <c r="I14" s="185">
        <v>6</v>
      </c>
      <c r="J14" s="185">
        <v>7</v>
      </c>
      <c r="K14" s="185">
        <v>8</v>
      </c>
      <c r="L14" s="185">
        <v>9</v>
      </c>
      <c r="M14" s="185">
        <v>10</v>
      </c>
      <c r="N14" s="185">
        <v>11</v>
      </c>
      <c r="O14" s="185">
        <v>12</v>
      </c>
      <c r="P14" s="185">
        <v>13</v>
      </c>
      <c r="Q14" s="187" t="s">
        <v>226</v>
      </c>
      <c r="R14" s="187" t="s">
        <v>225</v>
      </c>
      <c r="S14" s="187" t="s">
        <v>273</v>
      </c>
      <c r="T14" s="187" t="s">
        <v>218</v>
      </c>
      <c r="U14" s="187" t="s">
        <v>222</v>
      </c>
      <c r="V14" s="188" t="s">
        <v>224</v>
      </c>
      <c r="W14" s="189" t="s">
        <v>223</v>
      </c>
      <c r="X14" s="188" t="s">
        <v>274</v>
      </c>
      <c r="Y14" s="188" t="s">
        <v>25</v>
      </c>
      <c r="Z14" s="190" t="s">
        <v>221</v>
      </c>
      <c r="AA14" s="190" t="s">
        <v>22</v>
      </c>
      <c r="AB14" s="190" t="s">
        <v>220</v>
      </c>
      <c r="AC14" s="190" t="s">
        <v>219</v>
      </c>
      <c r="AD14" s="191" t="s">
        <v>275</v>
      </c>
    </row>
    <row r="15" spans="1:30" x14ac:dyDescent="0.25">
      <c r="A15" s="205">
        <v>42417</v>
      </c>
      <c r="B15" s="63" t="s">
        <v>159</v>
      </c>
      <c r="C15" s="56" t="s">
        <v>158</v>
      </c>
      <c r="D15" s="8">
        <v>7165.29</v>
      </c>
      <c r="E15" s="8">
        <v>7011.12</v>
      </c>
      <c r="F15" s="8">
        <v>7055.51</v>
      </c>
      <c r="G15" s="8">
        <v>7111.19</v>
      </c>
      <c r="H15" s="8">
        <v>7337.56</v>
      </c>
      <c r="I15" s="8">
        <v>7357.98</v>
      </c>
      <c r="J15" s="8">
        <v>7084.82</v>
      </c>
      <c r="K15" s="8">
        <v>7132.7</v>
      </c>
      <c r="L15" s="8">
        <v>7385.21</v>
      </c>
      <c r="M15" s="99"/>
      <c r="N15" s="99"/>
      <c r="O15" s="99"/>
      <c r="P15" s="99"/>
      <c r="Q15" s="63">
        <f>IF((L16=""),"",MAX(D17:L17))</f>
        <v>2993.5399999999991</v>
      </c>
      <c r="R15" s="63">
        <f>IF(L16="","",MIN(D17:L17))</f>
        <v>2748.08</v>
      </c>
      <c r="S15" s="98">
        <f>IF((L17=""),"",AVERAGE(D17:L17))</f>
        <v>2849.5866666666666</v>
      </c>
      <c r="T15" s="56">
        <f>IF((L16=""),"",((Q15-R15)/(Q15+R15))*100)</f>
        <v>4.2751000588683885</v>
      </c>
      <c r="U15" s="56">
        <f>STDEV(D15:L15)</f>
        <v>140.90259304845242</v>
      </c>
      <c r="V15" s="55" t="str">
        <f>IF(L16="","",(IF(T15&lt;6,IF(S15&gt;3100,IF(S15&lt;3760,"Pass","Fail"),"Fail"),"Fail")))</f>
        <v>Fail</v>
      </c>
      <c r="W15" s="91">
        <v>1159</v>
      </c>
      <c r="X15" s="245"/>
      <c r="Z15" s="53">
        <v>2800</v>
      </c>
      <c r="AA15" s="53">
        <v>3800</v>
      </c>
      <c r="AB15" s="53">
        <v>3100</v>
      </c>
      <c r="AC15" s="53">
        <v>3760</v>
      </c>
      <c r="AD15" s="52">
        <v>6</v>
      </c>
    </row>
    <row r="16" spans="1:30" ht="16.5" customHeight="1" x14ac:dyDescent="0.35">
      <c r="A16" s="206"/>
      <c r="B16" s="48"/>
      <c r="C16" s="51" t="s">
        <v>157</v>
      </c>
      <c r="D16" s="8">
        <v>5672.78</v>
      </c>
      <c r="E16" s="8">
        <v>5609.44</v>
      </c>
      <c r="F16" s="8">
        <v>5656.39</v>
      </c>
      <c r="G16" s="8">
        <v>5737.15</v>
      </c>
      <c r="H16" s="8">
        <v>5911.06</v>
      </c>
      <c r="I16" s="8">
        <v>5861.21</v>
      </c>
      <c r="J16" s="8">
        <v>5700.23</v>
      </c>
      <c r="K16" s="8">
        <v>5741.74</v>
      </c>
      <c r="L16" s="8">
        <v>5928.24</v>
      </c>
      <c r="M16" s="93"/>
      <c r="N16" s="93"/>
      <c r="O16" s="93"/>
      <c r="P16" s="93"/>
      <c r="Q16" s="48"/>
      <c r="R16" s="48"/>
      <c r="S16" s="95"/>
      <c r="T16" s="51"/>
      <c r="U16" s="51"/>
      <c r="V16" s="47"/>
      <c r="W16" s="90"/>
      <c r="X16" s="102"/>
      <c r="Z16" s="8"/>
      <c r="AA16" s="8"/>
      <c r="AB16" s="8"/>
      <c r="AC16" s="8"/>
      <c r="AD16" s="8"/>
    </row>
    <row r="17" spans="1:30" ht="24.8" customHeight="1" thickBot="1" x14ac:dyDescent="0.4">
      <c r="A17" s="206"/>
      <c r="B17" s="61"/>
      <c r="C17" s="51" t="s">
        <v>156</v>
      </c>
      <c r="D17" s="24">
        <f t="shared" ref="D17:L17" si="0">IF(((D15="")*AND(D16="")),"",(D15-D16)*2)</f>
        <v>2985.0200000000004</v>
      </c>
      <c r="E17" s="24">
        <f t="shared" si="0"/>
        <v>2803.3600000000006</v>
      </c>
      <c r="F17" s="24">
        <f t="shared" si="0"/>
        <v>2798.24</v>
      </c>
      <c r="G17" s="24">
        <f t="shared" si="0"/>
        <v>2748.08</v>
      </c>
      <c r="H17" s="24">
        <f t="shared" si="0"/>
        <v>2853</v>
      </c>
      <c r="I17" s="24">
        <f t="shared" si="0"/>
        <v>2993.5399999999991</v>
      </c>
      <c r="J17" s="24">
        <f t="shared" si="0"/>
        <v>2769.1800000000003</v>
      </c>
      <c r="K17" s="24">
        <f t="shared" si="0"/>
        <v>2781.92</v>
      </c>
      <c r="L17" s="24">
        <f t="shared" si="0"/>
        <v>2913.9400000000005</v>
      </c>
      <c r="M17" s="24"/>
      <c r="N17" s="24"/>
      <c r="O17" s="24"/>
      <c r="P17" s="24"/>
      <c r="Q17" s="61"/>
      <c r="R17" s="61"/>
      <c r="S17" s="95"/>
      <c r="T17" s="51"/>
      <c r="U17" s="51"/>
      <c r="V17" s="60"/>
      <c r="W17" s="89"/>
      <c r="X17" s="102"/>
      <c r="Z17" s="8"/>
      <c r="AA17" s="8"/>
      <c r="AB17" s="8"/>
      <c r="AC17" s="8"/>
      <c r="AD17" s="8"/>
    </row>
    <row r="18" spans="1:30" x14ac:dyDescent="0.25">
      <c r="A18" s="205">
        <v>42417</v>
      </c>
      <c r="B18" s="57" t="s">
        <v>160</v>
      </c>
      <c r="C18" s="51" t="s">
        <v>158</v>
      </c>
      <c r="D18" s="8">
        <v>1244.47</v>
      </c>
      <c r="E18" s="8">
        <v>1253.24</v>
      </c>
      <c r="F18" s="8">
        <v>1263.6500000000001</v>
      </c>
      <c r="G18" s="8">
        <v>1259.8499999999999</v>
      </c>
      <c r="H18" s="8">
        <v>1275.5999999999999</v>
      </c>
      <c r="I18" s="8">
        <v>1227.7</v>
      </c>
      <c r="J18" s="8">
        <v>1241.24</v>
      </c>
      <c r="K18" s="8">
        <v>1266.19</v>
      </c>
      <c r="L18" s="8">
        <v>1267.57</v>
      </c>
      <c r="M18" s="93"/>
      <c r="N18" s="93"/>
      <c r="O18" s="93"/>
      <c r="P18" s="93"/>
      <c r="Q18" s="57">
        <f>IF((L19=""),"",MAX(D20:L20))</f>
        <v>2849.6400000000003</v>
      </c>
      <c r="R18" s="57">
        <f>IF(L19="","",MIN(D20:L20))</f>
        <v>2630.4400000000005</v>
      </c>
      <c r="S18" s="51">
        <f>IF((L20=""),"",AVERAGE(D20:L20))</f>
        <v>2716.6133333333328</v>
      </c>
      <c r="T18" s="51">
        <f>IF((L19=""),"",((Q18-R18)/(Q18+R18))*100)</f>
        <v>3.9999416066918689</v>
      </c>
      <c r="U18" s="51">
        <f>STDEV(D18:L18)</f>
        <v>15.21624168811439</v>
      </c>
      <c r="V18" s="64" t="str">
        <f>IF(L19="","",(IF(T18&lt;12,IF(S18&gt;2200,IF(S18&lt;3280,"Pass","Fail"),"Fail"),"Fail")))</f>
        <v>Pass</v>
      </c>
      <c r="W18" s="105">
        <v>1159</v>
      </c>
      <c r="X18" s="246"/>
      <c r="Z18" s="37">
        <v>2000</v>
      </c>
      <c r="AA18" s="37">
        <v>3000</v>
      </c>
      <c r="AB18" s="37">
        <v>2200</v>
      </c>
      <c r="AC18" s="37">
        <v>3280</v>
      </c>
      <c r="AD18" s="39">
        <v>12</v>
      </c>
    </row>
    <row r="19" spans="1:30" ht="16.5" customHeight="1" x14ac:dyDescent="0.35">
      <c r="A19" s="206"/>
      <c r="B19" s="48"/>
      <c r="C19" s="51" t="s">
        <v>157</v>
      </c>
      <c r="D19" s="8">
        <v>545.48</v>
      </c>
      <c r="E19" s="8">
        <v>575.21</v>
      </c>
      <c r="F19" s="8">
        <v>606.04</v>
      </c>
      <c r="G19" s="8">
        <v>592.03</v>
      </c>
      <c r="H19" s="8">
        <v>602.57000000000005</v>
      </c>
      <c r="I19" s="8">
        <v>515.29</v>
      </c>
      <c r="J19" s="8">
        <v>558.13</v>
      </c>
      <c r="K19" s="8">
        <v>603.17999999999995</v>
      </c>
      <c r="L19" s="8">
        <v>589.20000000000005</v>
      </c>
      <c r="M19" s="93"/>
      <c r="N19" s="93"/>
      <c r="O19" s="93"/>
      <c r="P19" s="93"/>
      <c r="Q19" s="48"/>
      <c r="R19" s="48"/>
      <c r="S19" s="51"/>
      <c r="T19" s="51"/>
      <c r="U19" s="51"/>
      <c r="V19" s="47"/>
      <c r="W19" s="90"/>
      <c r="X19" s="102"/>
    </row>
    <row r="20" spans="1:30" ht="24.8" customHeight="1" thickBot="1" x14ac:dyDescent="0.4">
      <c r="A20" s="206"/>
      <c r="B20" s="42"/>
      <c r="C20" s="45" t="s">
        <v>156</v>
      </c>
      <c r="D20" s="44">
        <f t="shared" ref="D20:L20" si="1">IF(((D18="")*AND(D19="")),"",(D18-D19)*4)</f>
        <v>2795.96</v>
      </c>
      <c r="E20" s="44">
        <f t="shared" si="1"/>
        <v>2712.12</v>
      </c>
      <c r="F20" s="44">
        <f t="shared" si="1"/>
        <v>2630.4400000000005</v>
      </c>
      <c r="G20" s="44">
        <f t="shared" si="1"/>
        <v>2671.2799999999997</v>
      </c>
      <c r="H20" s="44">
        <f t="shared" si="1"/>
        <v>2692.1199999999994</v>
      </c>
      <c r="I20" s="44">
        <f t="shared" si="1"/>
        <v>2849.6400000000003</v>
      </c>
      <c r="J20" s="44">
        <f t="shared" si="1"/>
        <v>2732.44</v>
      </c>
      <c r="K20" s="44">
        <f t="shared" si="1"/>
        <v>2652.0400000000004</v>
      </c>
      <c r="L20" s="44">
        <f t="shared" si="1"/>
        <v>2713.4799999999996</v>
      </c>
      <c r="M20" s="44"/>
      <c r="N20" s="44"/>
      <c r="O20" s="44"/>
      <c r="P20" s="44" t="str">
        <f>IF(((P18="")*AND(P19="")),"",(P18-P19)*4)</f>
        <v/>
      </c>
      <c r="Q20" s="42"/>
      <c r="R20" s="42"/>
      <c r="S20" s="45"/>
      <c r="T20" s="45"/>
      <c r="U20" s="45"/>
      <c r="V20" s="41"/>
      <c r="W20" s="92"/>
      <c r="X20" s="104"/>
    </row>
    <row r="21" spans="1:30" x14ac:dyDescent="0.25">
      <c r="A21" s="207">
        <v>42432</v>
      </c>
      <c r="B21" s="63" t="s">
        <v>160</v>
      </c>
      <c r="C21" s="51" t="s">
        <v>158</v>
      </c>
      <c r="D21" s="8">
        <v>1922.59</v>
      </c>
      <c r="E21" s="8">
        <v>1913.45</v>
      </c>
      <c r="F21" s="8">
        <v>1909.91</v>
      </c>
      <c r="G21" s="8">
        <v>1909.21</v>
      </c>
      <c r="H21" s="8">
        <v>1916.77</v>
      </c>
      <c r="I21" s="8">
        <v>1917.47</v>
      </c>
      <c r="J21" s="8">
        <v>1911.52</v>
      </c>
      <c r="K21" s="8">
        <v>1912.87</v>
      </c>
      <c r="L21" s="8">
        <v>1919.53</v>
      </c>
      <c r="M21" s="93"/>
      <c r="N21" s="93"/>
      <c r="O21" s="93"/>
      <c r="P21" s="93"/>
      <c r="Q21" s="63">
        <f>IF((L22=""),"",MAX(D23:L23))</f>
        <v>2766.6800000000003</v>
      </c>
      <c r="R21" s="63">
        <f>IF(L22="","",MIN(D23:L23))</f>
        <v>2568.4000000000005</v>
      </c>
      <c r="S21" s="51">
        <f>IF((L23=""),"",AVERAGE(D23:L23))</f>
        <v>2650.4133333333334</v>
      </c>
      <c r="T21" s="51">
        <f>IF((L22=""),"",((Q21-R21)/(Q21+R21))*100)</f>
        <v>3.7165328354963694</v>
      </c>
      <c r="U21" s="51">
        <f>STDEV(D21:L21)</f>
        <v>4.5487800562348273</v>
      </c>
      <c r="V21" s="64" t="str">
        <f>IF(L22="","",(IF(T21&lt;12,IF(S21&gt;2200,IF(S21&lt;3280,"Pass","Fail"),"Fail"),"Fail")))</f>
        <v>Pass</v>
      </c>
      <c r="W21" s="91">
        <v>1335</v>
      </c>
      <c r="X21" s="247"/>
      <c r="Z21" s="37">
        <v>2000</v>
      </c>
      <c r="AA21" s="37">
        <v>3000</v>
      </c>
      <c r="AB21" s="37">
        <v>2200</v>
      </c>
      <c r="AC21" s="37">
        <v>3280</v>
      </c>
      <c r="AD21" s="39">
        <v>12</v>
      </c>
    </row>
    <row r="22" spans="1:30" ht="16.5" customHeight="1" x14ac:dyDescent="0.35">
      <c r="A22" s="206"/>
      <c r="B22" s="48"/>
      <c r="C22" s="51" t="s">
        <v>157</v>
      </c>
      <c r="D22" s="8">
        <v>1241.05</v>
      </c>
      <c r="E22" s="8">
        <v>1251.48</v>
      </c>
      <c r="F22" s="8">
        <v>1267.81</v>
      </c>
      <c r="G22" s="8">
        <v>1257.0999999999999</v>
      </c>
      <c r="H22" s="8">
        <v>1254.3800000000001</v>
      </c>
      <c r="I22" s="8">
        <v>1225.8</v>
      </c>
      <c r="J22" s="8">
        <v>1245.68</v>
      </c>
      <c r="K22" s="8">
        <v>1266.32</v>
      </c>
      <c r="L22" s="8">
        <v>1260.27</v>
      </c>
      <c r="M22" s="93"/>
      <c r="N22" s="93"/>
      <c r="O22" s="93"/>
      <c r="P22" s="93"/>
      <c r="Q22" s="48"/>
      <c r="R22" s="48"/>
      <c r="S22" s="51"/>
      <c r="T22" s="51"/>
      <c r="U22" s="51"/>
      <c r="V22" s="47"/>
      <c r="W22" s="90"/>
      <c r="X22" s="102"/>
    </row>
    <row r="23" spans="1:30" ht="24.8" customHeight="1" thickBot="1" x14ac:dyDescent="0.4">
      <c r="A23" s="206"/>
      <c r="B23" s="42"/>
      <c r="C23" s="45" t="s">
        <v>156</v>
      </c>
      <c r="D23" s="44">
        <f t="shared" ref="D23:L23" si="2">IF(((D21="")*AND(D22="")),"",(D21-D22)*4)</f>
        <v>2726.16</v>
      </c>
      <c r="E23" s="44">
        <f t="shared" si="2"/>
        <v>2647.88</v>
      </c>
      <c r="F23" s="44">
        <f t="shared" si="2"/>
        <v>2568.4000000000005</v>
      </c>
      <c r="G23" s="44">
        <f t="shared" si="2"/>
        <v>2608.4400000000005</v>
      </c>
      <c r="H23" s="44">
        <f t="shared" si="2"/>
        <v>2649.5599999999995</v>
      </c>
      <c r="I23" s="44">
        <f t="shared" si="2"/>
        <v>2766.6800000000003</v>
      </c>
      <c r="J23" s="44">
        <f t="shared" si="2"/>
        <v>2663.3599999999997</v>
      </c>
      <c r="K23" s="44">
        <f t="shared" si="2"/>
        <v>2586.1999999999998</v>
      </c>
      <c r="L23" s="44">
        <f t="shared" si="2"/>
        <v>2637.04</v>
      </c>
      <c r="M23" s="44"/>
      <c r="N23" s="44"/>
      <c r="O23" s="44"/>
      <c r="P23" s="44" t="str">
        <f>IF(((P21="")*AND(P22="")),"",(P21-P22)*4)</f>
        <v/>
      </c>
      <c r="Q23" s="42"/>
      <c r="R23" s="42"/>
      <c r="S23" s="45"/>
      <c r="T23" s="45"/>
      <c r="U23" s="45"/>
      <c r="V23" s="41"/>
      <c r="W23" s="92"/>
      <c r="X23" s="104"/>
    </row>
    <row r="24" spans="1:30" x14ac:dyDescent="0.25">
      <c r="A24" s="205">
        <v>42438</v>
      </c>
      <c r="B24" s="63" t="s">
        <v>160</v>
      </c>
      <c r="C24" s="51" t="s">
        <v>158</v>
      </c>
      <c r="D24" s="8">
        <v>1242.3800000000001</v>
      </c>
      <c r="E24" s="8">
        <v>1256.9100000000001</v>
      </c>
      <c r="F24" s="8">
        <v>1272.05</v>
      </c>
      <c r="G24" s="8">
        <v>1259.93</v>
      </c>
      <c r="H24" s="8">
        <v>1257.9100000000001</v>
      </c>
      <c r="I24" s="8">
        <v>1227.26</v>
      </c>
      <c r="J24" s="8">
        <v>1247.8599999999999</v>
      </c>
      <c r="K24" s="8">
        <v>1268.96</v>
      </c>
      <c r="L24" s="8">
        <v>1262.78</v>
      </c>
      <c r="M24" s="93"/>
      <c r="N24" s="93"/>
      <c r="O24" s="93"/>
      <c r="P24" s="93"/>
      <c r="Q24" s="63">
        <f>IF((L25=""),"",MAX(D26:L26))</f>
        <v>2510.3199999999997</v>
      </c>
      <c r="R24" s="63">
        <f>IF(L25="","",MIN(D26:L26))</f>
        <v>2405.3199999999997</v>
      </c>
      <c r="S24" s="51">
        <f>IF((L26=""),"",AVERAGE(D26:L26))</f>
        <v>2456.8711111111115</v>
      </c>
      <c r="T24" s="51">
        <f>IF((L25=""),"",((Q24-R24)/(Q24+R24))*100)</f>
        <v>2.1360392542985251</v>
      </c>
      <c r="U24" s="51">
        <f>STDEV(D24:L24)</f>
        <v>13.973926712909931</v>
      </c>
      <c r="V24" s="64" t="str">
        <f>IF(L25="","",(IF(T24&lt;12,IF(S24&gt;2200,IF(S24&lt;3280,"Pass","Fail"),"Fail"),"Fail")))</f>
        <v>Pass</v>
      </c>
      <c r="W24" s="91">
        <v>1428</v>
      </c>
      <c r="X24" s="247"/>
      <c r="Z24" s="37">
        <v>2000</v>
      </c>
      <c r="AA24" s="37">
        <v>3000</v>
      </c>
      <c r="AB24" s="37">
        <v>2200</v>
      </c>
      <c r="AC24" s="37">
        <v>3280</v>
      </c>
      <c r="AD24" s="39">
        <v>12</v>
      </c>
    </row>
    <row r="25" spans="1:30" ht="16.5" customHeight="1" x14ac:dyDescent="0.35">
      <c r="A25" s="206"/>
      <c r="B25" s="48"/>
      <c r="C25" s="51" t="s">
        <v>157</v>
      </c>
      <c r="D25" s="8">
        <v>623.99</v>
      </c>
      <c r="E25" s="8">
        <v>633.87</v>
      </c>
      <c r="F25" s="8">
        <v>666.12</v>
      </c>
      <c r="G25" s="8">
        <v>646.84</v>
      </c>
      <c r="H25" s="8">
        <v>655.99</v>
      </c>
      <c r="I25" s="8">
        <v>600.51</v>
      </c>
      <c r="J25" s="8">
        <v>620.28</v>
      </c>
      <c r="K25" s="8">
        <v>659.03</v>
      </c>
      <c r="L25" s="8">
        <v>661.45</v>
      </c>
      <c r="M25" s="93"/>
      <c r="N25" s="93"/>
      <c r="O25" s="93"/>
      <c r="P25" s="93"/>
      <c r="Q25" s="48"/>
      <c r="R25" s="48"/>
      <c r="S25" s="51"/>
      <c r="T25" s="51"/>
      <c r="U25" s="51"/>
      <c r="V25" s="47"/>
      <c r="W25" s="90"/>
      <c r="X25" s="102"/>
    </row>
    <row r="26" spans="1:30" ht="24.8" customHeight="1" thickBot="1" x14ac:dyDescent="0.4">
      <c r="A26" s="206"/>
      <c r="B26" s="42"/>
      <c r="C26" s="45" t="s">
        <v>156</v>
      </c>
      <c r="D26" s="44">
        <f t="shared" ref="D26:L26" si="3">IF(((D24="")*AND(D25="")),"",(D24-D25)*4)</f>
        <v>2473.5600000000004</v>
      </c>
      <c r="E26" s="44">
        <f t="shared" si="3"/>
        <v>2492.1600000000003</v>
      </c>
      <c r="F26" s="44">
        <f t="shared" si="3"/>
        <v>2423.7199999999998</v>
      </c>
      <c r="G26" s="44">
        <f t="shared" si="3"/>
        <v>2452.36</v>
      </c>
      <c r="H26" s="44">
        <f t="shared" si="3"/>
        <v>2407.6800000000003</v>
      </c>
      <c r="I26" s="44">
        <f t="shared" si="3"/>
        <v>2507</v>
      </c>
      <c r="J26" s="44">
        <f t="shared" si="3"/>
        <v>2510.3199999999997</v>
      </c>
      <c r="K26" s="44">
        <f t="shared" si="3"/>
        <v>2439.7200000000003</v>
      </c>
      <c r="L26" s="44">
        <f t="shared" si="3"/>
        <v>2405.3199999999997</v>
      </c>
      <c r="M26" s="44"/>
      <c r="N26" s="44"/>
      <c r="O26" s="44"/>
      <c r="P26" s="44" t="str">
        <f>IF(((P24="")*AND(P25="")),"",(P24-P25)*4)</f>
        <v/>
      </c>
      <c r="Q26" s="42"/>
      <c r="R26" s="42"/>
      <c r="S26" s="45"/>
      <c r="T26" s="45"/>
      <c r="U26" s="45"/>
      <c r="V26" s="41"/>
      <c r="W26" s="92"/>
      <c r="X26" s="104"/>
    </row>
    <row r="27" spans="1:30" x14ac:dyDescent="0.25">
      <c r="A27" s="205">
        <v>42447</v>
      </c>
      <c r="B27" s="63" t="s">
        <v>160</v>
      </c>
      <c r="C27" s="51" t="s">
        <v>158</v>
      </c>
      <c r="D27" s="8">
        <v>1778.9</v>
      </c>
      <c r="E27" s="8">
        <v>1839.22</v>
      </c>
      <c r="F27" s="8">
        <v>1837.97</v>
      </c>
      <c r="G27" s="8">
        <v>1839.25</v>
      </c>
      <c r="H27" s="8">
        <v>1850.95</v>
      </c>
      <c r="I27" s="8">
        <v>1800.61</v>
      </c>
      <c r="J27" s="8">
        <v>1867.84</v>
      </c>
      <c r="K27" s="8">
        <v>1803.23</v>
      </c>
      <c r="L27" s="8">
        <v>1837.62</v>
      </c>
      <c r="M27" s="93"/>
      <c r="N27" s="93"/>
      <c r="O27" s="93"/>
      <c r="P27" s="93"/>
      <c r="Q27" s="63">
        <f>IF((L28=""),"",MAX(D29:L29))</f>
        <v>2455.04</v>
      </c>
      <c r="R27" s="63">
        <f>IF(L28="","",MIN(D29:L29))</f>
        <v>2178.6000000000004</v>
      </c>
      <c r="S27" s="51">
        <f>IF((L29=""),"",AVERAGE(D29:L29))</f>
        <v>2297.3288888888887</v>
      </c>
      <c r="T27" s="51">
        <f>IF((L28=""),"",((Q27-R27)/(Q27+R27))*100)</f>
        <v>5.965936067540845</v>
      </c>
      <c r="U27" s="51">
        <f>STDEV(D27:L27)</f>
        <v>28.132426328191279</v>
      </c>
      <c r="V27" s="64" t="str">
        <f>IF(L28="","",(IF(T27&lt;12,IF(S27&gt;2200,IF(S27&lt;3280,"Pass","Fail"),"Fail"),"Fail")))</f>
        <v>Pass</v>
      </c>
      <c r="W27" s="91">
        <v>1335</v>
      </c>
      <c r="X27" s="247"/>
      <c r="Z27" s="37">
        <v>2000</v>
      </c>
      <c r="AA27" s="37">
        <v>3000</v>
      </c>
      <c r="AB27" s="37">
        <v>2200</v>
      </c>
      <c r="AC27" s="37">
        <v>3280</v>
      </c>
      <c r="AD27" s="39">
        <v>12</v>
      </c>
    </row>
    <row r="28" spans="1:30" ht="16.5" customHeight="1" x14ac:dyDescent="0.35">
      <c r="A28" s="206"/>
      <c r="B28" s="48"/>
      <c r="C28" s="51" t="s">
        <v>157</v>
      </c>
      <c r="D28" s="8">
        <v>1225.18</v>
      </c>
      <c r="E28" s="8">
        <v>1250.53</v>
      </c>
      <c r="F28" s="8">
        <v>1260.43</v>
      </c>
      <c r="G28" s="8">
        <v>1255.8900000000001</v>
      </c>
      <c r="H28" s="8">
        <v>1267</v>
      </c>
      <c r="I28" s="8">
        <v>1245.51</v>
      </c>
      <c r="J28" s="8">
        <v>1254.08</v>
      </c>
      <c r="K28" s="8">
        <v>1258.58</v>
      </c>
      <c r="L28" s="8">
        <v>1269.4000000000001</v>
      </c>
      <c r="M28" s="93"/>
      <c r="N28" s="93"/>
      <c r="O28" s="93"/>
      <c r="P28" s="93"/>
      <c r="Q28" s="48"/>
      <c r="R28" s="48"/>
      <c r="S28" s="51"/>
      <c r="T28" s="51"/>
      <c r="U28" s="51"/>
      <c r="V28" s="47"/>
      <c r="W28" s="90"/>
      <c r="X28" s="102"/>
    </row>
    <row r="29" spans="1:30" ht="24.8" customHeight="1" thickBot="1" x14ac:dyDescent="0.4">
      <c r="A29" s="206"/>
      <c r="B29" s="42"/>
      <c r="C29" s="45" t="s">
        <v>156</v>
      </c>
      <c r="D29" s="44">
        <f t="shared" ref="D29:L29" si="4">IF(((D27="")*AND(D28="")),"",(D27-D28)*4)</f>
        <v>2214.88</v>
      </c>
      <c r="E29" s="44">
        <f t="shared" si="4"/>
        <v>2354.7600000000002</v>
      </c>
      <c r="F29" s="44">
        <f t="shared" si="4"/>
        <v>2310.16</v>
      </c>
      <c r="G29" s="44">
        <f t="shared" si="4"/>
        <v>2333.4399999999996</v>
      </c>
      <c r="H29" s="44">
        <f t="shared" si="4"/>
        <v>2335.8000000000002</v>
      </c>
      <c r="I29" s="44">
        <f t="shared" si="4"/>
        <v>2220.3999999999996</v>
      </c>
      <c r="J29" s="44">
        <f t="shared" si="4"/>
        <v>2455.04</v>
      </c>
      <c r="K29" s="44">
        <f t="shared" si="4"/>
        <v>2178.6000000000004</v>
      </c>
      <c r="L29" s="44">
        <f t="shared" si="4"/>
        <v>2272.8799999999992</v>
      </c>
      <c r="M29" s="44"/>
      <c r="N29" s="44"/>
      <c r="O29" s="44"/>
      <c r="P29" s="44" t="str">
        <f>IF(((P27="")*AND(P28="")),"",(P27-P28)*4)</f>
        <v/>
      </c>
      <c r="Q29" s="42"/>
      <c r="R29" s="42"/>
      <c r="S29" s="45"/>
      <c r="T29" s="45"/>
      <c r="U29" s="45"/>
      <c r="V29" s="41"/>
      <c r="W29" s="92"/>
      <c r="X29" s="104"/>
    </row>
    <row r="30" spans="1:30" x14ac:dyDescent="0.25">
      <c r="A30" s="205">
        <v>42522</v>
      </c>
      <c r="B30" s="63" t="s">
        <v>160</v>
      </c>
      <c r="C30" s="51" t="s">
        <v>158</v>
      </c>
      <c r="D30" s="8">
        <v>1915.56</v>
      </c>
      <c r="E30" s="8">
        <v>1903.3</v>
      </c>
      <c r="F30" s="8">
        <v>1883.07</v>
      </c>
      <c r="G30" s="8">
        <v>1905.87</v>
      </c>
      <c r="H30" s="8">
        <v>1911.25</v>
      </c>
      <c r="I30" s="8">
        <v>1913.45</v>
      </c>
      <c r="J30" s="8">
        <v>1908.3</v>
      </c>
      <c r="K30" s="8">
        <v>1900.27</v>
      </c>
      <c r="L30" s="8">
        <v>1911.14</v>
      </c>
      <c r="M30" s="93"/>
      <c r="N30" s="93"/>
      <c r="O30" s="93"/>
      <c r="P30" s="93"/>
      <c r="Q30" s="63">
        <f>IF((L31=""),"",MAX(D32:L32))</f>
        <v>2693</v>
      </c>
      <c r="R30" s="63">
        <f>IF(L31="","",MIN(D32:L32))</f>
        <v>2493.3599999999997</v>
      </c>
      <c r="S30" s="51">
        <f>IF((L32=""),"",AVERAGE(D32:L32))</f>
        <v>2580.1466666666665</v>
      </c>
      <c r="T30" s="51">
        <f>IF((L31=""),"",((Q30-R30)/(Q30+R30))*100)</f>
        <v>3.8493278522894734</v>
      </c>
      <c r="U30" s="51">
        <f>STDEV(D30:L30)</f>
        <v>9.821767209169213</v>
      </c>
      <c r="V30" s="64" t="str">
        <f>IF(L31="","",(IF(T30&lt;12,IF(S30&gt;2200,IF(S30&lt;3280,"Pass","Fail"),"Fail"),"Fail")))</f>
        <v>Pass</v>
      </c>
      <c r="W30" s="91">
        <v>1428</v>
      </c>
      <c r="X30" s="247"/>
      <c r="Z30" s="37">
        <v>2000</v>
      </c>
      <c r="AA30" s="37">
        <v>3000</v>
      </c>
      <c r="AB30" s="37">
        <v>2200</v>
      </c>
      <c r="AC30" s="37">
        <v>3280</v>
      </c>
      <c r="AD30" s="39">
        <v>12</v>
      </c>
    </row>
    <row r="31" spans="1:30" ht="16.5" customHeight="1" x14ac:dyDescent="0.35">
      <c r="A31" s="206"/>
      <c r="B31" s="48"/>
      <c r="C31" s="51" t="s">
        <v>157</v>
      </c>
      <c r="D31" s="8">
        <v>1247.32</v>
      </c>
      <c r="E31" s="8">
        <v>1260.2</v>
      </c>
      <c r="F31" s="8">
        <v>1259.73</v>
      </c>
      <c r="G31" s="8">
        <v>1272.27</v>
      </c>
      <c r="H31" s="8">
        <v>1274.83</v>
      </c>
      <c r="I31" s="8">
        <v>1240.2</v>
      </c>
      <c r="J31" s="8">
        <v>1253.46</v>
      </c>
      <c r="K31" s="8">
        <v>1272.33</v>
      </c>
      <c r="L31" s="8">
        <v>1266.54</v>
      </c>
      <c r="M31" s="93"/>
      <c r="N31" s="93"/>
      <c r="O31" s="93"/>
      <c r="P31" s="93"/>
      <c r="Q31" s="48"/>
      <c r="R31" s="48"/>
      <c r="S31" s="51"/>
      <c r="T31" s="51"/>
      <c r="U31" s="51"/>
      <c r="V31" s="47"/>
      <c r="W31" s="90"/>
      <c r="X31" s="102"/>
    </row>
    <row r="32" spans="1:30" ht="24.8" customHeight="1" thickBot="1" x14ac:dyDescent="0.4">
      <c r="A32" s="206"/>
      <c r="B32" s="42"/>
      <c r="C32" s="45" t="s">
        <v>156</v>
      </c>
      <c r="D32" s="44">
        <f t="shared" ref="D32:L32" si="5">IF(((D30="")*AND(D31="")),"",(D30-D31)*4)</f>
        <v>2672.96</v>
      </c>
      <c r="E32" s="44">
        <f t="shared" si="5"/>
        <v>2572.3999999999996</v>
      </c>
      <c r="F32" s="44">
        <f t="shared" si="5"/>
        <v>2493.3599999999997</v>
      </c>
      <c r="G32" s="44">
        <f t="shared" si="5"/>
        <v>2534.3999999999996</v>
      </c>
      <c r="H32" s="44">
        <f t="shared" si="5"/>
        <v>2545.6800000000003</v>
      </c>
      <c r="I32" s="44">
        <f t="shared" si="5"/>
        <v>2693</v>
      </c>
      <c r="J32" s="44">
        <f t="shared" si="5"/>
        <v>2619.3599999999997</v>
      </c>
      <c r="K32" s="44">
        <f t="shared" si="5"/>
        <v>2511.7600000000002</v>
      </c>
      <c r="L32" s="44">
        <f t="shared" si="5"/>
        <v>2578.4000000000005</v>
      </c>
      <c r="M32" s="44"/>
      <c r="N32" s="44"/>
      <c r="O32" s="44"/>
      <c r="P32" s="44" t="str">
        <f>IF(((P30="")*AND(P31="")),"",(P30-P31)*4)</f>
        <v/>
      </c>
      <c r="Q32" s="42"/>
      <c r="R32" s="42"/>
      <c r="S32" s="45"/>
      <c r="T32" s="45"/>
      <c r="U32" s="45"/>
      <c r="V32" s="41"/>
      <c r="W32" s="92"/>
      <c r="X32" s="104"/>
    </row>
    <row r="33" spans="1:30" x14ac:dyDescent="0.25">
      <c r="A33" s="205">
        <v>42536</v>
      </c>
      <c r="B33" s="63" t="s">
        <v>159</v>
      </c>
      <c r="C33" s="56" t="s">
        <v>158</v>
      </c>
      <c r="D33" s="8">
        <v>7217.69</v>
      </c>
      <c r="E33" s="8">
        <v>6905.85</v>
      </c>
      <c r="F33" s="8">
        <v>6787.64</v>
      </c>
      <c r="G33" s="8">
        <v>6862.35</v>
      </c>
      <c r="H33" s="8">
        <v>7147.89</v>
      </c>
      <c r="I33" s="8">
        <v>7149.43</v>
      </c>
      <c r="J33" s="8">
        <v>6877.02</v>
      </c>
      <c r="K33" s="8">
        <v>6883.68</v>
      </c>
      <c r="L33" s="8">
        <v>7155.78</v>
      </c>
      <c r="M33" s="99"/>
      <c r="N33" s="99"/>
      <c r="O33" s="99"/>
      <c r="P33" s="99"/>
      <c r="Q33" s="63">
        <f>IF((L34=""),"",MAX(D35:L35))</f>
        <v>2901.8199999999997</v>
      </c>
      <c r="R33" s="63">
        <f>IF(L34="","",MIN(D35:L35))</f>
        <v>2771.2000000000007</v>
      </c>
      <c r="S33" s="98">
        <f>IF((L35=""),"",AVERAGE(D35:L35))</f>
        <v>2824.2066666666665</v>
      </c>
      <c r="T33" s="56">
        <f>IF((L34=""),"",((Q33-R33)/(Q33+R33))*100)</f>
        <v>2.3024773401115981</v>
      </c>
      <c r="U33" s="56">
        <f>STDEV(D33:L33)</f>
        <v>164.84925779160906</v>
      </c>
      <c r="V33" s="55" t="str">
        <f>IF(L34="","",(IF(T33&lt;7,IF(S33&gt;2800,IF(S33&lt;3800,"Pass","Fail"),"Fail"),"Fail")))</f>
        <v>Pass</v>
      </c>
      <c r="W33" s="91">
        <v>1335</v>
      </c>
      <c r="Y33" s="103" t="s">
        <v>215</v>
      </c>
      <c r="Z33" s="53">
        <v>2800</v>
      </c>
      <c r="AA33" s="53">
        <v>3800</v>
      </c>
      <c r="AB33" s="53">
        <v>3100</v>
      </c>
      <c r="AC33" s="53">
        <v>3760</v>
      </c>
      <c r="AD33" s="52">
        <v>6</v>
      </c>
    </row>
    <row r="34" spans="1:30" ht="15.8" customHeight="1" x14ac:dyDescent="0.35">
      <c r="A34" s="206"/>
      <c r="B34" s="48"/>
      <c r="C34" s="51" t="s">
        <v>157</v>
      </c>
      <c r="D34" s="8">
        <v>5767.22</v>
      </c>
      <c r="E34" s="8">
        <v>5515.79</v>
      </c>
      <c r="F34" s="8">
        <v>5390.8</v>
      </c>
      <c r="G34" s="8">
        <v>5473.62</v>
      </c>
      <c r="H34" s="8">
        <v>5727.26</v>
      </c>
      <c r="I34" s="8">
        <v>5698.52</v>
      </c>
      <c r="J34" s="8">
        <v>5491.42</v>
      </c>
      <c r="K34" s="8">
        <v>5492.3</v>
      </c>
      <c r="L34" s="8">
        <v>5721.47</v>
      </c>
      <c r="M34" s="93"/>
      <c r="N34" s="93"/>
      <c r="O34" s="93"/>
      <c r="P34" s="93"/>
      <c r="Q34" s="48"/>
      <c r="R34" s="48"/>
      <c r="S34" s="95"/>
      <c r="T34" s="51"/>
      <c r="U34" s="51"/>
      <c r="V34" s="47"/>
      <c r="W34" s="90"/>
      <c r="X34" s="102"/>
      <c r="Z34" s="8"/>
      <c r="AA34" s="8"/>
      <c r="AB34" s="8"/>
      <c r="AC34" s="8"/>
      <c r="AD34" s="8"/>
    </row>
    <row r="35" spans="1:30" ht="23.95" customHeight="1" x14ac:dyDescent="0.35">
      <c r="A35" s="206"/>
      <c r="B35" s="61"/>
      <c r="C35" s="51" t="s">
        <v>156</v>
      </c>
      <c r="D35" s="24">
        <f t="shared" ref="D35:L35" si="6">IF(((D33="")*AND(D34="")),"",(D33-D34)*2)</f>
        <v>2900.9399999999987</v>
      </c>
      <c r="E35" s="24">
        <f t="shared" si="6"/>
        <v>2780.1200000000008</v>
      </c>
      <c r="F35" s="24">
        <f t="shared" si="6"/>
        <v>2793.6800000000003</v>
      </c>
      <c r="G35" s="24">
        <f t="shared" si="6"/>
        <v>2777.4600000000009</v>
      </c>
      <c r="H35" s="24">
        <f t="shared" si="6"/>
        <v>2841.26</v>
      </c>
      <c r="I35" s="24">
        <f t="shared" si="6"/>
        <v>2901.8199999999997</v>
      </c>
      <c r="J35" s="24">
        <f t="shared" si="6"/>
        <v>2771.2000000000007</v>
      </c>
      <c r="K35" s="24">
        <f t="shared" si="6"/>
        <v>2782.76</v>
      </c>
      <c r="L35" s="24">
        <f t="shared" si="6"/>
        <v>2868.619999999999</v>
      </c>
      <c r="M35" s="24"/>
      <c r="N35" s="24"/>
      <c r="O35" s="24"/>
      <c r="P35" s="24"/>
      <c r="Q35" s="61"/>
      <c r="R35" s="61"/>
      <c r="S35" s="95"/>
      <c r="T35" s="51"/>
      <c r="U35" s="51"/>
      <c r="V35" s="60"/>
      <c r="W35" s="89"/>
      <c r="X35" s="102"/>
      <c r="Z35" s="8"/>
      <c r="AA35" s="8"/>
      <c r="AB35" s="8"/>
      <c r="AC35" s="8"/>
      <c r="AD35" s="8"/>
    </row>
    <row r="36" spans="1:30" x14ac:dyDescent="0.25">
      <c r="A36" s="207">
        <v>42536</v>
      </c>
      <c r="B36" s="57" t="s">
        <v>160</v>
      </c>
      <c r="C36" s="51" t="s">
        <v>158</v>
      </c>
      <c r="D36" s="8">
        <v>1910.46</v>
      </c>
      <c r="E36" s="8">
        <v>1902.85</v>
      </c>
      <c r="F36" s="8">
        <v>1898.02</v>
      </c>
      <c r="G36" s="8">
        <v>1901.93</v>
      </c>
      <c r="H36" s="8">
        <v>1908.43</v>
      </c>
      <c r="I36" s="8">
        <v>1909.23</v>
      </c>
      <c r="J36" s="8">
        <v>1900.58</v>
      </c>
      <c r="K36" s="8">
        <v>1903.38</v>
      </c>
      <c r="L36" s="8">
        <v>1911.8</v>
      </c>
      <c r="M36" s="93"/>
      <c r="N36" s="93"/>
      <c r="O36" s="93"/>
      <c r="P36" s="93"/>
      <c r="Q36" s="57">
        <f>IF((L37=""),"",MAX(D38:L38))</f>
        <v>2535.7199999999993</v>
      </c>
      <c r="R36" s="57">
        <f>IF(L37="","",MIN(D38:L38))</f>
        <v>2344.6000000000004</v>
      </c>
      <c r="S36" s="51">
        <f>IF((L38=""),"",AVERAGE(D38:L38))</f>
        <v>2464.2711111111107</v>
      </c>
      <c r="T36" s="51">
        <f>IF((L37=""),"",((Q36-R36)/(Q36+R36))*100)</f>
        <v>3.91613664677724</v>
      </c>
      <c r="U36" s="51">
        <f>STDEV(D36:L36)</f>
        <v>4.8775557403273329</v>
      </c>
      <c r="V36" s="64" t="str">
        <f>IF(L37="","",(IF(T36&lt;12,IF(S36&gt;2200,IF(S36&lt;3280,"Pass","Fail"),"Fail"),"Fail")))</f>
        <v>Pass</v>
      </c>
      <c r="W36" s="105">
        <v>1335</v>
      </c>
      <c r="X36" s="246"/>
      <c r="Z36" s="37">
        <v>2000</v>
      </c>
      <c r="AA36" s="37">
        <v>3000</v>
      </c>
      <c r="AB36" s="37">
        <v>2200</v>
      </c>
      <c r="AC36" s="37">
        <v>3280</v>
      </c>
      <c r="AD36" s="39">
        <v>12</v>
      </c>
    </row>
    <row r="37" spans="1:30" ht="16.5" customHeight="1" x14ac:dyDescent="0.35">
      <c r="A37" s="206"/>
      <c r="B37" s="48"/>
      <c r="C37" s="51" t="s">
        <v>157</v>
      </c>
      <c r="D37" s="8">
        <v>1286.08</v>
      </c>
      <c r="E37" s="8">
        <v>1270.73</v>
      </c>
      <c r="F37" s="8">
        <v>1285.06</v>
      </c>
      <c r="G37" s="8">
        <v>1285.77</v>
      </c>
      <c r="H37" s="8">
        <v>1322.28</v>
      </c>
      <c r="I37" s="8">
        <v>1285.29</v>
      </c>
      <c r="J37" s="8">
        <v>1266.6500000000001</v>
      </c>
      <c r="K37" s="8">
        <v>1286.31</v>
      </c>
      <c r="L37" s="8">
        <v>1313.9</v>
      </c>
      <c r="M37" s="93"/>
      <c r="N37" s="93"/>
      <c r="O37" s="93"/>
      <c r="P37" s="93"/>
      <c r="Q37" s="48"/>
      <c r="R37" s="48"/>
      <c r="S37" s="51"/>
      <c r="T37" s="51"/>
      <c r="U37" s="51"/>
      <c r="V37" s="47"/>
      <c r="W37" s="90"/>
      <c r="X37" s="102"/>
    </row>
    <row r="38" spans="1:30" ht="24.8" customHeight="1" thickBot="1" x14ac:dyDescent="0.4">
      <c r="A38" s="206"/>
      <c r="B38" s="42"/>
      <c r="C38" s="45" t="s">
        <v>156</v>
      </c>
      <c r="D38" s="44">
        <f t="shared" ref="D38:L38" si="7">IF(((D36="")*AND(D37="")),"",(D36-D37)*4)</f>
        <v>2497.5200000000004</v>
      </c>
      <c r="E38" s="44">
        <f t="shared" si="7"/>
        <v>2528.4799999999996</v>
      </c>
      <c r="F38" s="44">
        <f t="shared" si="7"/>
        <v>2451.84</v>
      </c>
      <c r="G38" s="44">
        <f t="shared" si="7"/>
        <v>2464.6400000000003</v>
      </c>
      <c r="H38" s="44">
        <f t="shared" si="7"/>
        <v>2344.6000000000004</v>
      </c>
      <c r="I38" s="44">
        <f t="shared" si="7"/>
        <v>2495.7600000000002</v>
      </c>
      <c r="J38" s="44">
        <f t="shared" si="7"/>
        <v>2535.7199999999993</v>
      </c>
      <c r="K38" s="44">
        <f t="shared" si="7"/>
        <v>2468.2800000000007</v>
      </c>
      <c r="L38" s="44">
        <f t="shared" si="7"/>
        <v>2391.5999999999995</v>
      </c>
      <c r="M38" s="44"/>
      <c r="N38" s="44"/>
      <c r="O38" s="44"/>
      <c r="P38" s="44" t="str">
        <f>IF(((P36="")*AND(P37="")),"",(P36-P37)*4)</f>
        <v/>
      </c>
      <c r="Q38" s="42"/>
      <c r="R38" s="42"/>
      <c r="S38" s="45"/>
      <c r="T38" s="45"/>
      <c r="U38" s="45"/>
      <c r="V38" s="41"/>
      <c r="W38" s="92"/>
      <c r="X38" s="104"/>
    </row>
    <row r="39" spans="1:30" x14ac:dyDescent="0.25">
      <c r="A39" s="205">
        <v>42542</v>
      </c>
      <c r="B39" s="63" t="s">
        <v>159</v>
      </c>
      <c r="C39" s="56" t="s">
        <v>158</v>
      </c>
      <c r="D39" s="8">
        <v>7033.44</v>
      </c>
      <c r="E39" s="8">
        <v>6869.26</v>
      </c>
      <c r="F39" s="8">
        <v>6830.29</v>
      </c>
      <c r="G39" s="8">
        <v>6878.47</v>
      </c>
      <c r="H39" s="8">
        <v>7039.04</v>
      </c>
      <c r="I39" s="8">
        <v>7066.68</v>
      </c>
      <c r="J39" s="8">
        <v>6891.51</v>
      </c>
      <c r="K39" s="8">
        <v>6847.07</v>
      </c>
      <c r="L39" s="8">
        <v>6968.85</v>
      </c>
      <c r="M39" s="99"/>
      <c r="N39" s="99"/>
      <c r="O39" s="99"/>
      <c r="P39" s="99"/>
      <c r="Q39" s="63">
        <f>IF((L40=""),"",MAX(D41:L41))</f>
        <v>2894.3999999999996</v>
      </c>
      <c r="R39" s="63">
        <f>IF(L40="","",MIN(D41:L41))</f>
        <v>2750.76</v>
      </c>
      <c r="S39" s="98">
        <f>IF((L41=""),"",AVERAGE(D41:L41))</f>
        <v>2809.6733333333336</v>
      </c>
      <c r="T39" s="56">
        <f>IF((L40=""),"",((Q39-R39)/(Q39+R39))*100)</f>
        <v>2.5444805815955513</v>
      </c>
      <c r="U39" s="56">
        <f>STDEV(D39:L39)</f>
        <v>91.579594039526327</v>
      </c>
      <c r="V39" s="55" t="str">
        <f>IF(L40="","",(IF(T39&lt;7,IF(S39&gt;2800,IF(S39&lt;3800,"Pass","Fail"),"Fail"),"Fail")))</f>
        <v>Pass</v>
      </c>
      <c r="W39" s="91">
        <v>1400</v>
      </c>
      <c r="Y39" s="103" t="s">
        <v>215</v>
      </c>
      <c r="Z39" s="53">
        <v>2800</v>
      </c>
      <c r="AA39" s="53">
        <v>3800</v>
      </c>
      <c r="AB39" s="53">
        <v>3100</v>
      </c>
      <c r="AC39" s="53">
        <v>3760</v>
      </c>
      <c r="AD39" s="52">
        <v>6</v>
      </c>
    </row>
    <row r="40" spans="1:30" ht="15.8" customHeight="1" x14ac:dyDescent="0.35">
      <c r="A40" s="206"/>
      <c r="B40" s="48"/>
      <c r="C40" s="51" t="s">
        <v>157</v>
      </c>
      <c r="D40" s="8">
        <v>5607.94</v>
      </c>
      <c r="E40" s="8">
        <v>5493.55</v>
      </c>
      <c r="F40" s="8">
        <v>5448.92</v>
      </c>
      <c r="G40" s="8">
        <v>5496.63</v>
      </c>
      <c r="H40" s="8">
        <v>5591.84</v>
      </c>
      <c r="I40" s="8">
        <v>5634.41</v>
      </c>
      <c r="J40" s="8">
        <v>5516.13</v>
      </c>
      <c r="K40" s="8">
        <v>5469.67</v>
      </c>
      <c r="L40" s="8">
        <v>5521.99</v>
      </c>
      <c r="M40" s="93"/>
      <c r="N40" s="93"/>
      <c r="O40" s="93"/>
      <c r="P40" s="93"/>
      <c r="Q40" s="48"/>
      <c r="R40" s="48"/>
      <c r="S40" s="95"/>
      <c r="T40" s="51"/>
      <c r="U40" s="51"/>
      <c r="V40" s="47"/>
      <c r="W40" s="90"/>
      <c r="X40" s="8"/>
      <c r="Y40" s="102"/>
      <c r="Z40" s="8"/>
      <c r="AA40" s="8"/>
      <c r="AB40" s="8"/>
      <c r="AC40" s="8"/>
      <c r="AD40" s="8"/>
    </row>
    <row r="41" spans="1:30" ht="23.95" customHeight="1" x14ac:dyDescent="0.35">
      <c r="A41" s="206"/>
      <c r="B41" s="61"/>
      <c r="C41" s="51" t="s">
        <v>156</v>
      </c>
      <c r="D41" s="24">
        <f t="shared" ref="D41:L41" si="8">IF(((D39="")*AND(D40="")),"",(D39-D40)*2)</f>
        <v>2851</v>
      </c>
      <c r="E41" s="24">
        <f t="shared" si="8"/>
        <v>2751.42</v>
      </c>
      <c r="F41" s="24">
        <f t="shared" si="8"/>
        <v>2762.74</v>
      </c>
      <c r="G41" s="24">
        <f t="shared" si="8"/>
        <v>2763.6800000000003</v>
      </c>
      <c r="H41" s="24">
        <f t="shared" si="8"/>
        <v>2894.3999999999996</v>
      </c>
      <c r="I41" s="24">
        <f t="shared" si="8"/>
        <v>2864.5400000000009</v>
      </c>
      <c r="J41" s="24">
        <f t="shared" si="8"/>
        <v>2750.76</v>
      </c>
      <c r="K41" s="24">
        <f t="shared" si="8"/>
        <v>2754.7999999999993</v>
      </c>
      <c r="L41" s="24">
        <f t="shared" si="8"/>
        <v>2893.7200000000012</v>
      </c>
      <c r="M41" s="24"/>
      <c r="N41" s="24"/>
      <c r="O41" s="24"/>
      <c r="P41" s="24"/>
      <c r="Q41" s="61"/>
      <c r="R41" s="61"/>
      <c r="S41" s="95"/>
      <c r="T41" s="51"/>
      <c r="U41" s="51"/>
      <c r="V41" s="60"/>
      <c r="W41" s="89"/>
      <c r="X41" s="8"/>
      <c r="Y41" s="102"/>
      <c r="Z41" s="8"/>
      <c r="AA41" s="8"/>
      <c r="AB41" s="8"/>
      <c r="AC41" s="8"/>
      <c r="AD41" s="8"/>
    </row>
    <row r="42" spans="1:30" x14ac:dyDescent="0.25">
      <c r="A42" s="207">
        <v>42542</v>
      </c>
      <c r="B42" s="57" t="s">
        <v>160</v>
      </c>
      <c r="C42" s="51" t="s">
        <v>158</v>
      </c>
      <c r="D42" s="8">
        <v>1914.09</v>
      </c>
      <c r="E42" s="8">
        <v>1905.8</v>
      </c>
      <c r="F42" s="8">
        <v>1892.49</v>
      </c>
      <c r="G42" s="8">
        <v>1903.66</v>
      </c>
      <c r="H42" s="8">
        <v>1915.76</v>
      </c>
      <c r="I42" s="8">
        <v>1910.95</v>
      </c>
      <c r="J42" s="8">
        <v>1905.07</v>
      </c>
      <c r="K42" s="8">
        <v>1904.95</v>
      </c>
      <c r="L42" s="8">
        <v>1919.89</v>
      </c>
      <c r="M42" s="93"/>
      <c r="N42" s="93"/>
      <c r="O42" s="93"/>
      <c r="P42" s="93"/>
      <c r="Q42" s="57">
        <f>IF((L43=""),"",MAX(D44:L44))</f>
        <v>2644.16</v>
      </c>
      <c r="R42" s="57">
        <f>IF(L43="","",MIN(D44:L44))</f>
        <v>2486.6000000000004</v>
      </c>
      <c r="S42" s="51">
        <f>IF((L44=""),"",AVERAGE(D44:L44))</f>
        <v>2559.2266666666669</v>
      </c>
      <c r="T42" s="51">
        <f>IF((L43=""),"",((Q42-R42)/(Q42+R42))*100)</f>
        <v>3.070890082560858</v>
      </c>
      <c r="U42" s="51">
        <f>STDEV(D42:L42)</f>
        <v>8.1352243361815226</v>
      </c>
      <c r="V42" s="64" t="str">
        <f>IF(L43="","",(IF(T42&lt;12,IF(S42&gt;2200,IF(S42&lt;3280,"Pass","Fail"),"Fail"),"Fail")))</f>
        <v>Pass</v>
      </c>
      <c r="W42" s="105">
        <v>1400</v>
      </c>
      <c r="Y42" s="102"/>
      <c r="Z42" s="37">
        <v>2000</v>
      </c>
      <c r="AA42" s="37">
        <v>3000</v>
      </c>
      <c r="AB42" s="37">
        <v>2200</v>
      </c>
      <c r="AC42" s="37">
        <v>3280</v>
      </c>
      <c r="AD42" s="39">
        <v>12</v>
      </c>
    </row>
    <row r="43" spans="1:30" ht="16.5" customHeight="1" x14ac:dyDescent="0.35">
      <c r="A43" s="206"/>
      <c r="B43" s="48"/>
      <c r="C43" s="51" t="s">
        <v>157</v>
      </c>
      <c r="D43" s="8">
        <v>1255.05</v>
      </c>
      <c r="E43" s="8">
        <v>1259.53</v>
      </c>
      <c r="F43" s="8">
        <v>1266.0999999999999</v>
      </c>
      <c r="G43" s="8">
        <v>1272.76</v>
      </c>
      <c r="H43" s="8">
        <v>1294.1099999999999</v>
      </c>
      <c r="I43" s="8">
        <v>1249.9100000000001</v>
      </c>
      <c r="J43" s="8">
        <v>1255.6300000000001</v>
      </c>
      <c r="K43" s="8">
        <v>1274.5</v>
      </c>
      <c r="L43" s="8">
        <v>1286.81</v>
      </c>
      <c r="M43" s="93"/>
      <c r="N43" s="93"/>
      <c r="O43" s="93"/>
      <c r="P43" s="93"/>
      <c r="Q43" s="48"/>
      <c r="R43" s="48"/>
      <c r="S43" s="51"/>
      <c r="T43" s="51"/>
      <c r="U43" s="51"/>
      <c r="V43" s="47"/>
      <c r="W43" s="90"/>
      <c r="X43" s="8"/>
      <c r="Y43" s="102"/>
    </row>
    <row r="44" spans="1:30" ht="24.8" customHeight="1" thickBot="1" x14ac:dyDescent="0.4">
      <c r="A44" s="206"/>
      <c r="B44" s="42"/>
      <c r="C44" s="45" t="s">
        <v>156</v>
      </c>
      <c r="D44" s="44">
        <f t="shared" ref="D44:L44" si="9">IF(((D42="")*AND(D43="")),"",(D42-D43)*4)</f>
        <v>2636.16</v>
      </c>
      <c r="E44" s="44">
        <f t="shared" si="9"/>
        <v>2585.08</v>
      </c>
      <c r="F44" s="44">
        <f t="shared" si="9"/>
        <v>2505.5600000000004</v>
      </c>
      <c r="G44" s="44">
        <f t="shared" si="9"/>
        <v>2523.6000000000004</v>
      </c>
      <c r="H44" s="44">
        <f t="shared" si="9"/>
        <v>2486.6000000000004</v>
      </c>
      <c r="I44" s="44">
        <f t="shared" si="9"/>
        <v>2644.16</v>
      </c>
      <c r="J44" s="44">
        <f t="shared" si="9"/>
        <v>2597.7599999999993</v>
      </c>
      <c r="K44" s="44">
        <f t="shared" si="9"/>
        <v>2521.8000000000002</v>
      </c>
      <c r="L44" s="44">
        <f t="shared" si="9"/>
        <v>2532.3200000000006</v>
      </c>
      <c r="M44" s="44"/>
      <c r="N44" s="44"/>
      <c r="O44" s="44"/>
      <c r="P44" s="44" t="str">
        <f>IF(((P42="")*AND(P43="")),"",(P42-P43)*4)</f>
        <v/>
      </c>
      <c r="Q44" s="42"/>
      <c r="R44" s="42"/>
      <c r="S44" s="45"/>
      <c r="T44" s="45"/>
      <c r="U44" s="45"/>
      <c r="V44" s="41"/>
      <c r="W44" s="92"/>
      <c r="X44" s="8"/>
      <c r="Y44" s="104"/>
    </row>
    <row r="45" spans="1:30" x14ac:dyDescent="0.25">
      <c r="A45" s="205">
        <v>42555</v>
      </c>
      <c r="B45" s="63" t="s">
        <v>159</v>
      </c>
      <c r="C45" s="56" t="s">
        <v>40</v>
      </c>
      <c r="D45" s="8">
        <v>5627.93</v>
      </c>
      <c r="E45" s="8">
        <v>5510.9</v>
      </c>
      <c r="F45" s="8">
        <v>5466.62</v>
      </c>
      <c r="G45" s="8">
        <v>5513.94</v>
      </c>
      <c r="H45" s="8">
        <v>5612.02</v>
      </c>
      <c r="I45" s="8">
        <v>5652.22</v>
      </c>
      <c r="J45" s="8">
        <v>5534.92</v>
      </c>
      <c r="K45" s="8">
        <v>5486.85</v>
      </c>
      <c r="L45" s="8">
        <v>5541.58</v>
      </c>
      <c r="M45" s="99"/>
      <c r="N45" s="99"/>
      <c r="O45" s="99"/>
      <c r="P45" s="99"/>
      <c r="Q45" s="63">
        <f>IF((L46=""),"",MAX(D47:L47))</f>
        <v>2908.9399999999996</v>
      </c>
      <c r="R45" s="63">
        <f>IF(L46="","",MIN(D47:L47))</f>
        <v>2747.58</v>
      </c>
      <c r="S45" s="98">
        <f>IF((L47=""),"",AVERAGE(D47:L47))</f>
        <v>2811.8422222222221</v>
      </c>
      <c r="T45" s="56">
        <f>IF((L46=""),"",((Q45-R45)/(Q45+R45))*100)</f>
        <v>2.8526373105725726</v>
      </c>
      <c r="U45" s="56">
        <f>STDEV(D45:L45)</f>
        <v>65.607796432876796</v>
      </c>
      <c r="V45" s="55" t="str">
        <f>IF(L46="","",(IF(T45&lt;7,IF(S45&gt;2800,IF(S45&lt;3800,"Pass","Fail"),"Fail"),"Fail")))</f>
        <v>Pass</v>
      </c>
      <c r="W45" s="91">
        <v>1400</v>
      </c>
      <c r="Y45" s="103" t="s">
        <v>215</v>
      </c>
      <c r="Z45" s="53">
        <v>2800</v>
      </c>
      <c r="AA45" s="53">
        <v>3800</v>
      </c>
      <c r="AB45" s="53">
        <v>3100</v>
      </c>
      <c r="AC45" s="53">
        <v>3760</v>
      </c>
      <c r="AD45" s="52">
        <v>6</v>
      </c>
    </row>
    <row r="46" spans="1:30" ht="16.5" customHeight="1" x14ac:dyDescent="0.35">
      <c r="A46" s="206"/>
      <c r="B46" s="48"/>
      <c r="C46" s="51" t="s">
        <v>157</v>
      </c>
      <c r="D46" s="8">
        <v>4192.79</v>
      </c>
      <c r="E46" s="8">
        <v>4132.6000000000004</v>
      </c>
      <c r="F46" s="8">
        <v>4086.96</v>
      </c>
      <c r="G46" s="8">
        <v>4134.8</v>
      </c>
      <c r="H46" s="8">
        <v>4166.8900000000003</v>
      </c>
      <c r="I46" s="8">
        <v>4221.9399999999996</v>
      </c>
      <c r="J46" s="8">
        <v>4161.13</v>
      </c>
      <c r="K46" s="8">
        <v>4109.47</v>
      </c>
      <c r="L46" s="8">
        <v>4087.11</v>
      </c>
      <c r="M46" s="93"/>
      <c r="N46" s="93"/>
      <c r="O46" s="93"/>
      <c r="P46" s="93"/>
      <c r="Q46" s="48"/>
      <c r="R46" s="48"/>
      <c r="S46" s="95"/>
      <c r="T46" s="51"/>
      <c r="U46" s="51"/>
      <c r="V46" s="47"/>
      <c r="W46" s="90"/>
      <c r="X46" s="102"/>
      <c r="Z46" s="8"/>
      <c r="AA46" s="8"/>
      <c r="AB46" s="8"/>
      <c r="AC46" s="8"/>
      <c r="AD46" s="8"/>
    </row>
    <row r="47" spans="1:30" ht="24.8" customHeight="1" thickBot="1" x14ac:dyDescent="0.4">
      <c r="A47" s="206"/>
      <c r="B47" s="61"/>
      <c r="C47" s="51" t="s">
        <v>156</v>
      </c>
      <c r="D47" s="24">
        <f t="shared" ref="D47:L47" si="10">IF(((D45="")*AND(D46="")),"",(D45-D46)*2)</f>
        <v>2870.2800000000007</v>
      </c>
      <c r="E47" s="24">
        <f t="shared" si="10"/>
        <v>2756.5999999999985</v>
      </c>
      <c r="F47" s="24">
        <f t="shared" si="10"/>
        <v>2759.3199999999997</v>
      </c>
      <c r="G47" s="24">
        <f t="shared" si="10"/>
        <v>2758.2799999999988</v>
      </c>
      <c r="H47" s="24">
        <f t="shared" si="10"/>
        <v>2890.26</v>
      </c>
      <c r="I47" s="24">
        <f t="shared" si="10"/>
        <v>2860.5600000000013</v>
      </c>
      <c r="J47" s="24">
        <f t="shared" si="10"/>
        <v>2747.58</v>
      </c>
      <c r="K47" s="24">
        <f t="shared" si="10"/>
        <v>2754.76</v>
      </c>
      <c r="L47" s="24">
        <f t="shared" si="10"/>
        <v>2908.9399999999996</v>
      </c>
      <c r="M47" s="24"/>
      <c r="N47" s="24"/>
      <c r="O47" s="24"/>
      <c r="P47" s="24"/>
      <c r="Q47" s="61"/>
      <c r="R47" s="61"/>
      <c r="S47" s="95"/>
      <c r="T47" s="51"/>
      <c r="U47" s="51"/>
      <c r="V47" s="60"/>
      <c r="W47" s="89"/>
      <c r="X47" s="102"/>
      <c r="Z47" s="8"/>
      <c r="AA47" s="8"/>
      <c r="AB47" s="8"/>
      <c r="AC47" s="8"/>
      <c r="AD47" s="8"/>
    </row>
    <row r="48" spans="1:30" x14ac:dyDescent="0.25">
      <c r="A48" s="205">
        <v>42555</v>
      </c>
      <c r="B48" s="57" t="s">
        <v>160</v>
      </c>
      <c r="C48" s="51" t="s">
        <v>158</v>
      </c>
      <c r="D48" s="8">
        <v>1904.49</v>
      </c>
      <c r="E48" s="8">
        <v>1899.18</v>
      </c>
      <c r="F48" s="8">
        <v>1896.73</v>
      </c>
      <c r="G48" s="8">
        <v>1900.2</v>
      </c>
      <c r="H48" s="8">
        <v>1909.26</v>
      </c>
      <c r="I48" s="8">
        <v>1906.83</v>
      </c>
      <c r="J48" s="8">
        <v>1901.57</v>
      </c>
      <c r="K48" s="8">
        <v>1901.34</v>
      </c>
      <c r="L48" s="8">
        <v>1906.78</v>
      </c>
      <c r="M48" s="93"/>
      <c r="N48" s="93"/>
      <c r="O48" s="93"/>
      <c r="P48" s="93"/>
      <c r="Q48" s="57">
        <f>IF((L49=""),"",MAX(D50:L50))</f>
        <v>2658.7199999999993</v>
      </c>
      <c r="R48" s="57">
        <f>IF(L49="","",MIN(D50:L50))</f>
        <v>2495.5600000000004</v>
      </c>
      <c r="S48" s="51">
        <f>IF((L50=""),"",AVERAGE(D50:L50))</f>
        <v>2570.2044444444446</v>
      </c>
      <c r="T48" s="51">
        <f>IF((L49=""),"",((Q48-R48)/(Q48+R48))*100)</f>
        <v>3.1655245737522786</v>
      </c>
      <c r="U48" s="51">
        <f>STDEV(D48:L48)</f>
        <v>4.1362435991018387</v>
      </c>
      <c r="V48" s="64" t="str">
        <f>IF(L49="","",(IF(T48&lt;12,IF(S48&gt;2200,IF(S48&lt;3280,"Pass","Fail"),"Fail"),"Fail")))</f>
        <v>Pass</v>
      </c>
      <c r="W48" s="105">
        <v>1400</v>
      </c>
      <c r="X48" s="246"/>
      <c r="Z48" s="37">
        <v>2000</v>
      </c>
      <c r="AA48" s="37">
        <v>3000</v>
      </c>
      <c r="AB48" s="37">
        <v>2200</v>
      </c>
      <c r="AC48" s="37">
        <v>3280</v>
      </c>
      <c r="AD48" s="39">
        <v>12</v>
      </c>
    </row>
    <row r="49" spans="1:30" ht="16.5" customHeight="1" x14ac:dyDescent="0.35">
      <c r="A49" s="206"/>
      <c r="B49" s="48"/>
      <c r="C49" s="51" t="s">
        <v>157</v>
      </c>
      <c r="D49" s="8">
        <v>1239.83</v>
      </c>
      <c r="E49" s="8">
        <v>1252.01</v>
      </c>
      <c r="F49" s="8">
        <v>1272.8399999999999</v>
      </c>
      <c r="G49" s="8">
        <v>1268.06</v>
      </c>
      <c r="H49" s="8">
        <v>1281.97</v>
      </c>
      <c r="I49" s="8">
        <v>1242.1500000000001</v>
      </c>
      <c r="J49" s="8">
        <v>1254.31</v>
      </c>
      <c r="K49" s="8">
        <v>1267.1300000000001</v>
      </c>
      <c r="L49" s="8">
        <v>1265.1199999999999</v>
      </c>
      <c r="M49" s="93"/>
      <c r="N49" s="93"/>
      <c r="O49" s="93"/>
      <c r="P49" s="93"/>
      <c r="Q49" s="48"/>
      <c r="R49" s="48"/>
      <c r="S49" s="51"/>
      <c r="T49" s="51"/>
      <c r="U49" s="51"/>
      <c r="V49" s="47"/>
      <c r="W49" s="90"/>
      <c r="X49" s="102"/>
    </row>
    <row r="50" spans="1:30" ht="24.8" customHeight="1" thickBot="1" x14ac:dyDescent="0.4">
      <c r="A50" s="206"/>
      <c r="B50" s="42"/>
      <c r="C50" s="45" t="s">
        <v>156</v>
      </c>
      <c r="D50" s="44">
        <f t="shared" ref="D50:L50" si="11">IF(((D48="")*AND(D49="")),"",(D48-D49)*4)</f>
        <v>2658.6400000000003</v>
      </c>
      <c r="E50" s="44">
        <f t="shared" si="11"/>
        <v>2588.6800000000003</v>
      </c>
      <c r="F50" s="44">
        <f t="shared" si="11"/>
        <v>2495.5600000000004</v>
      </c>
      <c r="G50" s="44">
        <f t="shared" si="11"/>
        <v>2528.5600000000004</v>
      </c>
      <c r="H50" s="44">
        <f t="shared" si="11"/>
        <v>2509.16</v>
      </c>
      <c r="I50" s="44">
        <f t="shared" si="11"/>
        <v>2658.7199999999993</v>
      </c>
      <c r="J50" s="44">
        <f t="shared" si="11"/>
        <v>2589.04</v>
      </c>
      <c r="K50" s="44">
        <f t="shared" si="11"/>
        <v>2536.8399999999992</v>
      </c>
      <c r="L50" s="44">
        <f t="shared" si="11"/>
        <v>2566.6400000000003</v>
      </c>
      <c r="M50" s="44"/>
      <c r="N50" s="44"/>
      <c r="O50" s="44"/>
      <c r="P50" s="44" t="str">
        <f>IF(((P48="")*AND(P49="")),"",(P48-P49)*4)</f>
        <v/>
      </c>
      <c r="Q50" s="42"/>
      <c r="R50" s="42"/>
      <c r="S50" s="45"/>
      <c r="T50" s="45"/>
      <c r="U50" s="45"/>
      <c r="V50" s="41"/>
      <c r="W50" s="92"/>
      <c r="X50" s="104"/>
    </row>
    <row r="51" spans="1:30" x14ac:dyDescent="0.25">
      <c r="A51" s="205">
        <v>42564</v>
      </c>
      <c r="B51" s="63" t="s">
        <v>159</v>
      </c>
      <c r="C51" s="51" t="s">
        <v>158</v>
      </c>
      <c r="D51" s="8">
        <v>7105.14</v>
      </c>
      <c r="E51" s="8">
        <v>6946</v>
      </c>
      <c r="F51" s="8">
        <v>6888</v>
      </c>
      <c r="G51" s="8">
        <v>6893.18</v>
      </c>
      <c r="H51" s="8">
        <v>6982.33</v>
      </c>
      <c r="I51" s="8">
        <v>7069.16</v>
      </c>
      <c r="J51" s="8">
        <v>6927.73</v>
      </c>
      <c r="K51" s="8">
        <v>6926.82</v>
      </c>
      <c r="L51" s="8">
        <v>7093.27</v>
      </c>
      <c r="M51" s="99"/>
      <c r="N51" s="99"/>
      <c r="O51" s="99"/>
      <c r="P51" s="99"/>
      <c r="Q51" s="63">
        <f>IF((L52=""),"",MAX(D53:L53))</f>
        <v>2881.9400000000005</v>
      </c>
      <c r="R51" s="63">
        <f>IF(L52="","",MIN(D53:L53))</f>
        <v>2727.8199999999997</v>
      </c>
      <c r="S51" s="98">
        <f>IF((L53=""),"",AVERAGE(D53:L53))</f>
        <v>2785.4266666666663</v>
      </c>
      <c r="T51" s="56">
        <f>IF((L52=""),"",((Q51-R51)/(Q51+R51))*100)</f>
        <v>2.747354610535937</v>
      </c>
      <c r="U51" s="56">
        <f>STDEV(D51:L51)</f>
        <v>85.985461093399195</v>
      </c>
      <c r="V51" s="55" t="str">
        <f>IF(L52="","",(IF(T51&lt;7,IF(S51&gt;2800,IF(S51&lt;3800,"Pass","Fail"),"Fail"),"Fail")))</f>
        <v>Fail</v>
      </c>
      <c r="W51" s="91">
        <v>1159</v>
      </c>
      <c r="Y51" s="103" t="s">
        <v>215</v>
      </c>
      <c r="Z51" s="53">
        <v>2800</v>
      </c>
      <c r="AA51" s="53">
        <v>3800</v>
      </c>
      <c r="AB51" s="53">
        <v>3100</v>
      </c>
      <c r="AC51" s="53">
        <v>3760</v>
      </c>
      <c r="AD51" s="52">
        <v>6</v>
      </c>
    </row>
    <row r="52" spans="1:30" ht="16.5" customHeight="1" x14ac:dyDescent="0.35">
      <c r="A52" s="206"/>
      <c r="B52" s="48"/>
      <c r="C52" s="51" t="s">
        <v>157</v>
      </c>
      <c r="D52" s="8">
        <v>5693.61</v>
      </c>
      <c r="E52" s="8">
        <v>5581.13</v>
      </c>
      <c r="F52" s="8">
        <v>5516.51</v>
      </c>
      <c r="G52" s="8">
        <v>5526.07</v>
      </c>
      <c r="H52" s="8">
        <v>5552.59</v>
      </c>
      <c r="I52" s="8">
        <v>5648.74</v>
      </c>
      <c r="J52" s="8">
        <v>5563.35</v>
      </c>
      <c r="K52" s="8">
        <v>5562.91</v>
      </c>
      <c r="L52" s="8">
        <v>5652.3</v>
      </c>
      <c r="M52" s="93"/>
      <c r="N52" s="93"/>
      <c r="O52" s="93"/>
      <c r="P52" s="93"/>
      <c r="Q52" s="48"/>
      <c r="R52" s="48"/>
      <c r="S52" s="95"/>
      <c r="T52" s="51"/>
      <c r="U52" s="51"/>
      <c r="V52" s="47"/>
      <c r="W52" s="90"/>
      <c r="X52" s="102"/>
      <c r="Z52" s="8"/>
      <c r="AA52" s="8"/>
      <c r="AB52" s="8"/>
      <c r="AC52" s="8"/>
      <c r="AD52" s="8"/>
    </row>
    <row r="53" spans="1:30" ht="24.8" customHeight="1" thickBot="1" x14ac:dyDescent="0.4">
      <c r="A53" s="206"/>
      <c r="B53" s="61"/>
      <c r="C53" s="51" t="s">
        <v>156</v>
      </c>
      <c r="D53" s="24">
        <f t="shared" ref="D53:L53" si="12">IF(((D51="")*AND(D52="")),"",(D51-D52)*2)</f>
        <v>2823.0600000000013</v>
      </c>
      <c r="E53" s="24">
        <f t="shared" si="12"/>
        <v>2729.74</v>
      </c>
      <c r="F53" s="24">
        <f t="shared" si="12"/>
        <v>2742.9799999999996</v>
      </c>
      <c r="G53" s="24">
        <f t="shared" si="12"/>
        <v>2734.2200000000012</v>
      </c>
      <c r="H53" s="24">
        <f t="shared" si="12"/>
        <v>2859.4799999999996</v>
      </c>
      <c r="I53" s="24">
        <f t="shared" si="12"/>
        <v>2840.84</v>
      </c>
      <c r="J53" s="24">
        <f t="shared" si="12"/>
        <v>2728.7599999999984</v>
      </c>
      <c r="K53" s="24">
        <f t="shared" si="12"/>
        <v>2727.8199999999997</v>
      </c>
      <c r="L53" s="24">
        <f t="shared" si="12"/>
        <v>2881.9400000000005</v>
      </c>
      <c r="M53" s="24"/>
      <c r="N53" s="24"/>
      <c r="O53" s="24"/>
      <c r="P53" s="24"/>
      <c r="Q53" s="61"/>
      <c r="R53" s="61"/>
      <c r="S53" s="95"/>
      <c r="T53" s="51"/>
      <c r="U53" s="51"/>
      <c r="V53" s="60"/>
      <c r="W53" s="89"/>
      <c r="X53" s="102"/>
      <c r="Z53" s="8"/>
      <c r="AA53" s="8"/>
      <c r="AB53" s="8"/>
      <c r="AC53" s="8"/>
      <c r="AD53" s="8"/>
    </row>
    <row r="54" spans="1:30" x14ac:dyDescent="0.25">
      <c r="A54" s="205">
        <v>42564</v>
      </c>
      <c r="B54" s="57" t="s">
        <v>160</v>
      </c>
      <c r="C54" s="51" t="s">
        <v>158</v>
      </c>
      <c r="D54" s="8">
        <v>2050.81</v>
      </c>
      <c r="E54" s="8">
        <v>2034.6</v>
      </c>
      <c r="F54" s="8">
        <v>2015.87</v>
      </c>
      <c r="G54" s="8">
        <v>2037.1</v>
      </c>
      <c r="H54" s="8">
        <v>2069.7800000000002</v>
      </c>
      <c r="I54" s="8">
        <v>2057.94</v>
      </c>
      <c r="J54" s="8">
        <v>2036.99</v>
      </c>
      <c r="K54" s="8">
        <v>2036.93</v>
      </c>
      <c r="L54" s="8">
        <v>2064.8000000000002</v>
      </c>
      <c r="M54" s="93"/>
      <c r="N54" s="93"/>
      <c r="O54" s="93"/>
      <c r="P54" s="93"/>
      <c r="Q54" s="57">
        <f>IF((L55=""),"",MAX(D56:L56))</f>
        <v>3213.5600000000004</v>
      </c>
      <c r="R54" s="57">
        <f>IF(L55="","",MIN(D56:L56))</f>
        <v>2937.6799999999994</v>
      </c>
      <c r="S54" s="51">
        <f>IF((L56=""),"",AVERAGE(D56:L56))</f>
        <v>3067.2488888888893</v>
      </c>
      <c r="T54" s="51">
        <f>IF((L55=""),"",((Q54-R54)/(Q54+R54))*100)</f>
        <v>4.4849493760607784</v>
      </c>
      <c r="U54" s="51">
        <f>STDEV(D54:L54)</f>
        <v>17.159896561459902</v>
      </c>
      <c r="V54" s="64" t="str">
        <f>IF(L55="","",(IF(T54&lt;12,IF(S54&gt;2200,IF(S54&lt;3280,"Pass","Fail"),"Fail"),"Fail")))</f>
        <v>Pass</v>
      </c>
      <c r="W54" s="105">
        <v>1159</v>
      </c>
      <c r="X54" s="246"/>
      <c r="Z54" s="37">
        <v>2000</v>
      </c>
      <c r="AA54" s="37">
        <v>3000</v>
      </c>
      <c r="AB54" s="37">
        <v>2200</v>
      </c>
      <c r="AC54" s="37">
        <v>3280</v>
      </c>
      <c r="AD54" s="39">
        <v>12</v>
      </c>
    </row>
    <row r="55" spans="1:30" ht="16.5" customHeight="1" x14ac:dyDescent="0.35">
      <c r="A55" s="206"/>
      <c r="B55" s="48"/>
      <c r="C55" s="51" t="s">
        <v>157</v>
      </c>
      <c r="D55" s="8">
        <v>1252.98</v>
      </c>
      <c r="E55" s="8">
        <v>1273.51</v>
      </c>
      <c r="F55" s="8">
        <v>1281.45</v>
      </c>
      <c r="G55" s="8">
        <v>1289.8699999999999</v>
      </c>
      <c r="H55" s="8">
        <v>1301.79</v>
      </c>
      <c r="I55" s="8">
        <v>1254.55</v>
      </c>
      <c r="J55" s="8">
        <v>1270.3599999999999</v>
      </c>
      <c r="K55" s="8">
        <v>1289.1600000000001</v>
      </c>
      <c r="L55" s="8">
        <v>1289.8399999999999</v>
      </c>
      <c r="M55" s="93"/>
      <c r="N55" s="93"/>
      <c r="O55" s="93"/>
      <c r="P55" s="93"/>
      <c r="Q55" s="48"/>
      <c r="R55" s="48"/>
      <c r="S55" s="51"/>
      <c r="T55" s="51"/>
      <c r="U55" s="51"/>
      <c r="V55" s="47"/>
      <c r="W55" s="90"/>
      <c r="X55" s="102"/>
    </row>
    <row r="56" spans="1:30" ht="24.8" customHeight="1" thickBot="1" x14ac:dyDescent="0.4">
      <c r="A56" s="206"/>
      <c r="B56" s="42"/>
      <c r="C56" s="45" t="s">
        <v>156</v>
      </c>
      <c r="D56" s="44">
        <f t="shared" ref="D56:L56" si="13">IF(((D54="")*AND(D55="")),"",(D54-D55)*4)</f>
        <v>3191.3199999999997</v>
      </c>
      <c r="E56" s="44">
        <f t="shared" si="13"/>
        <v>3044.3599999999997</v>
      </c>
      <c r="F56" s="44">
        <f t="shared" si="13"/>
        <v>2937.6799999999994</v>
      </c>
      <c r="G56" s="44">
        <f t="shared" si="13"/>
        <v>2988.92</v>
      </c>
      <c r="H56" s="44">
        <f t="shared" si="13"/>
        <v>3071.9600000000009</v>
      </c>
      <c r="I56" s="44">
        <f t="shared" si="13"/>
        <v>3213.5600000000004</v>
      </c>
      <c r="J56" s="44">
        <f t="shared" si="13"/>
        <v>3066.5200000000004</v>
      </c>
      <c r="K56" s="44">
        <f t="shared" si="13"/>
        <v>2991.08</v>
      </c>
      <c r="L56" s="44">
        <f t="shared" si="13"/>
        <v>3099.8400000000011</v>
      </c>
      <c r="M56" s="44"/>
      <c r="N56" s="44"/>
      <c r="O56" s="44"/>
      <c r="P56" s="44" t="str">
        <f>IF(((P54="")*AND(P55="")),"",(P54-P55)*4)</f>
        <v/>
      </c>
      <c r="Q56" s="42"/>
      <c r="R56" s="42"/>
      <c r="S56" s="45"/>
      <c r="T56" s="45"/>
      <c r="U56" s="45"/>
      <c r="V56" s="41"/>
      <c r="W56" s="92"/>
      <c r="X56" s="104"/>
    </row>
    <row r="57" spans="1:30" x14ac:dyDescent="0.25">
      <c r="A57" s="205">
        <v>42566</v>
      </c>
      <c r="B57" s="63" t="s">
        <v>160</v>
      </c>
      <c r="C57" s="51" t="s">
        <v>158</v>
      </c>
      <c r="D57" s="8">
        <v>1812.06</v>
      </c>
      <c r="E57" s="8">
        <v>1839.67</v>
      </c>
      <c r="F57" s="8">
        <v>1848.6</v>
      </c>
      <c r="G57" s="8">
        <v>1837.52</v>
      </c>
      <c r="H57" s="8">
        <v>1860.84</v>
      </c>
      <c r="I57" s="8">
        <v>1858.45</v>
      </c>
      <c r="J57" s="8">
        <v>1867.78</v>
      </c>
      <c r="K57" s="8">
        <v>1828.15</v>
      </c>
      <c r="L57" s="8">
        <v>1832.11</v>
      </c>
      <c r="M57" s="93"/>
      <c r="N57" s="93"/>
      <c r="O57" s="93"/>
      <c r="P57" s="93"/>
      <c r="Q57" s="63">
        <f>IF((L58=""),"",MAX(D59:L59))</f>
        <v>2370.04</v>
      </c>
      <c r="R57" s="63">
        <f>IF(L58="","",MIN(D59:L59))</f>
        <v>2120.2799999999997</v>
      </c>
      <c r="S57" s="51">
        <f>IF((L59=""),"",AVERAGE(D59:L59))</f>
        <v>2236.3688888888887</v>
      </c>
      <c r="T57" s="51">
        <f>IF((L58=""),"",((Q57-R57)/(Q57+R57))*100)</f>
        <v>5.562187104705238</v>
      </c>
      <c r="U57" s="51">
        <f>STDEV(D57:L57)</f>
        <v>17.816866852632767</v>
      </c>
      <c r="V57" s="64" t="str">
        <f>IF(L58="","",(IF(T57&lt;12,IF(S57&gt;2200,IF(S57&lt;3280,"Pass","Fail"),"Fail"),"Fail")))</f>
        <v>Pass</v>
      </c>
      <c r="W57" s="91">
        <v>1159</v>
      </c>
      <c r="X57" s="245"/>
      <c r="Z57" s="37">
        <v>2000</v>
      </c>
      <c r="AA57" s="37">
        <v>3000</v>
      </c>
      <c r="AB57" s="37">
        <v>2200</v>
      </c>
      <c r="AC57" s="37">
        <v>3280</v>
      </c>
      <c r="AD57" s="39">
        <v>12</v>
      </c>
    </row>
    <row r="58" spans="1:30" ht="16.5" customHeight="1" x14ac:dyDescent="0.35">
      <c r="A58" s="206"/>
      <c r="B58" s="48"/>
      <c r="C58" s="51" t="s">
        <v>157</v>
      </c>
      <c r="D58" s="8">
        <v>1262.8699999999999</v>
      </c>
      <c r="E58" s="8">
        <v>1269.27</v>
      </c>
      <c r="F58" s="8">
        <v>1290.33</v>
      </c>
      <c r="G58" s="8">
        <v>1286.01</v>
      </c>
      <c r="H58" s="8">
        <v>1305.8499999999999</v>
      </c>
      <c r="I58" s="8">
        <v>1273.92</v>
      </c>
      <c r="J58" s="8">
        <v>1275.27</v>
      </c>
      <c r="K58" s="8">
        <v>1287.79</v>
      </c>
      <c r="L58" s="8">
        <v>1302.04</v>
      </c>
      <c r="M58" s="93"/>
      <c r="N58" s="93"/>
      <c r="O58" s="93"/>
      <c r="P58" s="93"/>
      <c r="Q58" s="48"/>
      <c r="R58" s="48"/>
      <c r="S58" s="51"/>
      <c r="T58" s="51"/>
      <c r="U58" s="51"/>
      <c r="V58" s="47"/>
      <c r="W58" s="90"/>
      <c r="X58" s="102"/>
      <c r="Z58" s="8"/>
      <c r="AA58" s="8"/>
      <c r="AB58" s="8"/>
      <c r="AC58" s="8"/>
      <c r="AD58" s="8"/>
    </row>
    <row r="59" spans="1:30" ht="24.8" customHeight="1" thickBot="1" x14ac:dyDescent="0.4">
      <c r="A59" s="206"/>
      <c r="B59" s="42"/>
      <c r="C59" s="45" t="s">
        <v>156</v>
      </c>
      <c r="D59" s="44">
        <f t="shared" ref="D59:L59" si="14">IF(((D57="")*AND(D58="")),"",(D57-D58)*4)</f>
        <v>2196.7600000000002</v>
      </c>
      <c r="E59" s="44">
        <f t="shared" si="14"/>
        <v>2281.6000000000004</v>
      </c>
      <c r="F59" s="44">
        <f t="shared" si="14"/>
        <v>2233.08</v>
      </c>
      <c r="G59" s="44">
        <f t="shared" si="14"/>
        <v>2206.04</v>
      </c>
      <c r="H59" s="44">
        <f t="shared" si="14"/>
        <v>2219.96</v>
      </c>
      <c r="I59" s="44">
        <f t="shared" si="14"/>
        <v>2338.12</v>
      </c>
      <c r="J59" s="44">
        <f t="shared" si="14"/>
        <v>2370.04</v>
      </c>
      <c r="K59" s="44">
        <f t="shared" si="14"/>
        <v>2161.4400000000005</v>
      </c>
      <c r="L59" s="44">
        <f t="shared" si="14"/>
        <v>2120.2799999999997</v>
      </c>
      <c r="M59" s="44"/>
      <c r="N59" s="44"/>
      <c r="O59" s="44"/>
      <c r="P59" s="44" t="str">
        <f>IF(((P57="")*AND(P58="")),"",(P57-P58)*4)</f>
        <v/>
      </c>
      <c r="Q59" s="42"/>
      <c r="R59" s="42"/>
      <c r="S59" s="45"/>
      <c r="T59" s="45"/>
      <c r="U59" s="45"/>
      <c r="V59" s="41"/>
      <c r="W59" s="92"/>
      <c r="X59" s="102"/>
      <c r="Z59" s="8"/>
      <c r="AA59" s="8"/>
      <c r="AB59" s="8"/>
      <c r="AC59" s="8"/>
      <c r="AD59" s="8"/>
    </row>
    <row r="60" spans="1:30" x14ac:dyDescent="0.25">
      <c r="A60" s="205">
        <v>42577</v>
      </c>
      <c r="B60" s="63" t="s">
        <v>160</v>
      </c>
      <c r="C60" s="51" t="s">
        <v>158</v>
      </c>
      <c r="D60" s="8">
        <v>1911.11</v>
      </c>
      <c r="E60" s="8">
        <v>1904.11</v>
      </c>
      <c r="F60" s="8">
        <v>1889.83</v>
      </c>
      <c r="G60" s="8">
        <v>1901.51</v>
      </c>
      <c r="H60" s="8">
        <v>1916.14</v>
      </c>
      <c r="I60" s="8">
        <v>1909.29</v>
      </c>
      <c r="J60" s="8">
        <v>1900.71</v>
      </c>
      <c r="K60" s="8">
        <v>1903.51</v>
      </c>
      <c r="L60" s="8">
        <v>1916.18</v>
      </c>
      <c r="M60" s="93"/>
      <c r="N60" s="93"/>
      <c r="O60" s="93"/>
      <c r="P60" s="93"/>
      <c r="Q60" s="63">
        <f>IF((L61=""),"",MAX(D62:L62))</f>
        <v>2699.4799999999996</v>
      </c>
      <c r="R60" s="63">
        <f>IF(L61="","",MIN(D62:L62))</f>
        <v>2502.6799999999994</v>
      </c>
      <c r="S60" s="51">
        <f>IF((L62=""),"",AVERAGE(D62:L62))</f>
        <v>2585.7999999999997</v>
      </c>
      <c r="T60" s="51">
        <f>IF((L61=""),"",((Q60-R60)/(Q60+R60))*100)</f>
        <v>3.7830439663524422</v>
      </c>
      <c r="U60" s="51">
        <f>STDEV(D60:L60)</f>
        <v>8.38514675549043</v>
      </c>
      <c r="V60" s="64" t="str">
        <f>IF(L61="","",(IF(T60&lt;12,IF(S60&gt;2200,IF(S60&lt;3280,"Pass","Fail"),"Fail"),"Fail")))</f>
        <v>Pass</v>
      </c>
      <c r="W60" s="91">
        <v>1335</v>
      </c>
      <c r="X60" s="246"/>
      <c r="Z60" s="37">
        <v>2000</v>
      </c>
      <c r="AA60" s="37">
        <v>3000</v>
      </c>
      <c r="AB60" s="37">
        <v>2200</v>
      </c>
      <c r="AC60" s="37">
        <v>3280</v>
      </c>
      <c r="AD60" s="39">
        <v>12</v>
      </c>
    </row>
    <row r="61" spans="1:30" ht="16.5" customHeight="1" x14ac:dyDescent="0.35">
      <c r="A61" s="206"/>
      <c r="B61" s="48"/>
      <c r="C61" s="51" t="s">
        <v>157</v>
      </c>
      <c r="D61" s="8">
        <v>1247.33</v>
      </c>
      <c r="E61" s="8">
        <v>1259.9000000000001</v>
      </c>
      <c r="F61" s="8">
        <v>1264.1600000000001</v>
      </c>
      <c r="G61" s="8">
        <v>1263.53</v>
      </c>
      <c r="H61" s="8">
        <v>1272.7</v>
      </c>
      <c r="I61" s="8">
        <v>1234.42</v>
      </c>
      <c r="J61" s="8">
        <v>1249.78</v>
      </c>
      <c r="K61" s="8">
        <v>1271.45</v>
      </c>
      <c r="L61" s="8">
        <v>1271.07</v>
      </c>
      <c r="M61" s="93"/>
      <c r="N61" s="93"/>
      <c r="O61" s="93"/>
      <c r="P61" s="93"/>
      <c r="Q61" s="48"/>
      <c r="R61" s="48"/>
      <c r="S61" s="51"/>
      <c r="T61" s="51"/>
      <c r="U61" s="51"/>
      <c r="V61" s="47"/>
      <c r="W61" s="90"/>
      <c r="X61" s="102"/>
    </row>
    <row r="62" spans="1:30" ht="24.8" customHeight="1" thickBot="1" x14ac:dyDescent="0.4">
      <c r="A62" s="206"/>
      <c r="B62" s="42"/>
      <c r="C62" s="45" t="s">
        <v>156</v>
      </c>
      <c r="D62" s="44">
        <f t="shared" ref="D62:L62" si="15">IF(((D60="")*AND(D61="")),"",(D60-D61)*4)</f>
        <v>2655.12</v>
      </c>
      <c r="E62" s="44">
        <f t="shared" si="15"/>
        <v>2576.8399999999992</v>
      </c>
      <c r="F62" s="44">
        <f t="shared" si="15"/>
        <v>2502.6799999999994</v>
      </c>
      <c r="G62" s="44">
        <f t="shared" si="15"/>
        <v>2551.92</v>
      </c>
      <c r="H62" s="44">
        <f t="shared" si="15"/>
        <v>2573.7600000000002</v>
      </c>
      <c r="I62" s="44">
        <f t="shared" si="15"/>
        <v>2699.4799999999996</v>
      </c>
      <c r="J62" s="44">
        <f t="shared" si="15"/>
        <v>2603.7200000000003</v>
      </c>
      <c r="K62" s="44">
        <f t="shared" si="15"/>
        <v>2528.2399999999998</v>
      </c>
      <c r="L62" s="44">
        <f t="shared" si="15"/>
        <v>2580.4400000000005</v>
      </c>
      <c r="M62" s="44"/>
      <c r="N62" s="44"/>
      <c r="O62" s="44"/>
      <c r="P62" s="44" t="str">
        <f>IF(((P60="")*AND(P61="")),"",(P60-P61)*4)</f>
        <v/>
      </c>
      <c r="Q62" s="42"/>
      <c r="R62" s="42"/>
      <c r="S62" s="45"/>
      <c r="T62" s="45"/>
      <c r="U62" s="45"/>
      <c r="V62" s="41"/>
      <c r="W62" s="92"/>
      <c r="X62" s="101"/>
    </row>
    <row r="63" spans="1:30" x14ac:dyDescent="0.25">
      <c r="A63" s="205">
        <v>42577</v>
      </c>
      <c r="B63" s="63" t="s">
        <v>159</v>
      </c>
      <c r="C63" s="51" t="s">
        <v>158</v>
      </c>
      <c r="D63" s="8">
        <v>7242.32</v>
      </c>
      <c r="E63" s="8">
        <v>6985.85</v>
      </c>
      <c r="F63" s="8">
        <v>6926.83</v>
      </c>
      <c r="G63" s="8">
        <v>6993.45</v>
      </c>
      <c r="H63" s="8">
        <v>7240.1</v>
      </c>
      <c r="I63" s="8">
        <v>7195.32</v>
      </c>
      <c r="J63" s="8">
        <v>6986.72</v>
      </c>
      <c r="K63" s="8">
        <v>6974.99</v>
      </c>
      <c r="L63" s="8">
        <v>7201.36</v>
      </c>
      <c r="M63" s="99"/>
      <c r="N63" s="99"/>
      <c r="O63" s="99"/>
      <c r="P63" s="99"/>
      <c r="Q63" s="63">
        <f>IF((L64=""),"",MAX(D65:L65))</f>
        <v>2914.16</v>
      </c>
      <c r="R63" s="63">
        <f>IF(L64="","",MIN(D65:L65))</f>
        <v>2703.2200000000012</v>
      </c>
      <c r="S63" s="98">
        <f>IF((L65=""),"",AVERAGE(D65:L65))</f>
        <v>2791.1977777777779</v>
      </c>
      <c r="T63" s="56">
        <f>IF((L64=""),"",((Q63-R63)/(Q63+R63))*100)</f>
        <v>3.7551313957752304</v>
      </c>
      <c r="U63" s="56">
        <f>STDEV(D63:L63)</f>
        <v>132.03718055911366</v>
      </c>
      <c r="V63" s="55" t="str">
        <f>IF(L64="","",(IF(T63&lt;7,IF(S63&gt;2800,IF(S63&lt;3800,"Pass","Fail"),"Fail"),"Fail")))</f>
        <v>Fail</v>
      </c>
      <c r="W63" s="91">
        <v>1335</v>
      </c>
      <c r="Y63" s="97" t="s">
        <v>215</v>
      </c>
      <c r="Z63" s="53">
        <v>2800</v>
      </c>
      <c r="AA63" s="53">
        <v>3800</v>
      </c>
      <c r="AB63" s="53">
        <v>3100</v>
      </c>
      <c r="AC63" s="53">
        <v>3760</v>
      </c>
      <c r="AD63" s="52">
        <v>6</v>
      </c>
    </row>
    <row r="64" spans="1:30" ht="16.5" customHeight="1" x14ac:dyDescent="0.35">
      <c r="A64" s="206"/>
      <c r="B64" s="48"/>
      <c r="C64" s="51" t="s">
        <v>157</v>
      </c>
      <c r="D64" s="8">
        <v>5806.75</v>
      </c>
      <c r="E64" s="8">
        <v>5626.98</v>
      </c>
      <c r="F64" s="8">
        <v>5565.62</v>
      </c>
      <c r="G64" s="8">
        <v>5634.29</v>
      </c>
      <c r="H64" s="8">
        <v>5792.71</v>
      </c>
      <c r="I64" s="8">
        <v>5763.89</v>
      </c>
      <c r="J64" s="8">
        <v>5635.11</v>
      </c>
      <c r="K64" s="8">
        <v>5616.92</v>
      </c>
      <c r="L64" s="8">
        <v>5744.28</v>
      </c>
      <c r="M64" s="93"/>
      <c r="N64" s="93"/>
      <c r="O64" s="93"/>
      <c r="P64" s="93"/>
      <c r="Q64" s="48"/>
      <c r="R64" s="48"/>
      <c r="S64" s="95"/>
      <c r="T64" s="51"/>
      <c r="U64" s="51"/>
      <c r="V64" s="47"/>
      <c r="W64" s="90"/>
      <c r="X64" s="96"/>
      <c r="Z64" s="8"/>
      <c r="AA64" s="8"/>
      <c r="AB64" s="8"/>
      <c r="AC64" s="8"/>
      <c r="AD64" s="8"/>
    </row>
    <row r="65" spans="1:30" ht="24.8" customHeight="1" thickBot="1" x14ac:dyDescent="0.4">
      <c r="A65" s="206"/>
      <c r="B65" s="42"/>
      <c r="C65" s="51" t="s">
        <v>156</v>
      </c>
      <c r="D65" s="24">
        <f t="shared" ref="D65:L65" si="16">IF(((D63="")*AND(D64="")),"",(D63-D64)*2)</f>
        <v>2871.1399999999994</v>
      </c>
      <c r="E65" s="24">
        <f t="shared" si="16"/>
        <v>2717.7400000000016</v>
      </c>
      <c r="F65" s="24">
        <f t="shared" si="16"/>
        <v>2722.42</v>
      </c>
      <c r="G65" s="24">
        <f t="shared" si="16"/>
        <v>2718.3199999999997</v>
      </c>
      <c r="H65" s="24">
        <f t="shared" si="16"/>
        <v>2894.7800000000007</v>
      </c>
      <c r="I65" s="24">
        <f t="shared" si="16"/>
        <v>2862.8599999999988</v>
      </c>
      <c r="J65" s="24">
        <f t="shared" si="16"/>
        <v>2703.2200000000012</v>
      </c>
      <c r="K65" s="24">
        <f t="shared" si="16"/>
        <v>2716.1399999999994</v>
      </c>
      <c r="L65" s="24">
        <f t="shared" si="16"/>
        <v>2914.16</v>
      </c>
      <c r="M65" s="24"/>
      <c r="N65" s="24"/>
      <c r="O65" s="24"/>
      <c r="P65" s="24"/>
      <c r="Q65" s="42"/>
      <c r="R65" s="42"/>
      <c r="S65" s="95"/>
      <c r="T65" s="51"/>
      <c r="U65" s="51"/>
      <c r="V65" s="41"/>
      <c r="W65" s="92"/>
      <c r="X65" s="100"/>
      <c r="Z65" s="8"/>
      <c r="AA65" s="8"/>
      <c r="AB65" s="8"/>
      <c r="AC65" s="8"/>
      <c r="AD65" s="8"/>
    </row>
    <row r="66" spans="1:30" x14ac:dyDescent="0.25">
      <c r="A66" s="205">
        <v>42584</v>
      </c>
      <c r="B66" s="63" t="s">
        <v>159</v>
      </c>
      <c r="C66" s="51" t="s">
        <v>158</v>
      </c>
      <c r="D66" s="8">
        <v>5809.85</v>
      </c>
      <c r="E66" s="8">
        <v>5631.68</v>
      </c>
      <c r="F66" s="8">
        <v>5570.22</v>
      </c>
      <c r="G66" s="8">
        <v>5637.79</v>
      </c>
      <c r="H66" s="8">
        <v>5799.8</v>
      </c>
      <c r="I66" s="8">
        <v>5768.18</v>
      </c>
      <c r="J66" s="8">
        <v>5639.38</v>
      </c>
      <c r="K66" s="8">
        <v>5618.77</v>
      </c>
      <c r="L66" s="8">
        <v>5749.06</v>
      </c>
      <c r="M66" s="99"/>
      <c r="N66" s="99"/>
      <c r="O66" s="99"/>
      <c r="P66" s="99"/>
      <c r="Q66" s="63">
        <f>IF((L67=""),"",MAX(D68:L68))</f>
        <v>3398.880000000001</v>
      </c>
      <c r="R66" s="63">
        <f>IF(L67="","",MIN(D68:L68))</f>
        <v>3105.46</v>
      </c>
      <c r="S66" s="98">
        <f>IF((L68=""),"",AVERAGE(D68:L68))</f>
        <v>3223.3511111111115</v>
      </c>
      <c r="T66" s="56">
        <f>IF((L67=""),"",((Q66-R66)/(Q66+R66))*100)</f>
        <v>4.511141791480779</v>
      </c>
      <c r="U66" s="56">
        <f>STDEV(D66:L66)</f>
        <v>89.517178937899999</v>
      </c>
      <c r="V66" s="55" t="str">
        <f>IF(L67="","",(IF(T66&lt;7,IF(S66&gt;2800,IF(S66&lt;3800,"Pass","Fail"),"Fail"),"Fail")))</f>
        <v>Pass</v>
      </c>
      <c r="W66" s="91">
        <v>1159</v>
      </c>
      <c r="X66" s="248" t="s">
        <v>278</v>
      </c>
      <c r="Y66" s="37" t="s">
        <v>279</v>
      </c>
      <c r="Z66" s="53">
        <v>2800</v>
      </c>
      <c r="AA66" s="53">
        <v>3800</v>
      </c>
      <c r="AB66" s="53">
        <v>3100</v>
      </c>
      <c r="AC66" s="53">
        <v>3760</v>
      </c>
      <c r="AD66" s="52">
        <v>6</v>
      </c>
    </row>
    <row r="67" spans="1:30" ht="16.5" customHeight="1" x14ac:dyDescent="0.35">
      <c r="A67" s="206"/>
      <c r="B67" s="48"/>
      <c r="C67" s="51" t="s">
        <v>157</v>
      </c>
      <c r="D67" s="8">
        <v>4122.46</v>
      </c>
      <c r="E67" s="8">
        <v>4065.06</v>
      </c>
      <c r="F67" s="8">
        <v>4016.35</v>
      </c>
      <c r="G67" s="8">
        <v>4085.06</v>
      </c>
      <c r="H67" s="8">
        <v>4139.6099999999997</v>
      </c>
      <c r="I67" s="8">
        <v>4103.13</v>
      </c>
      <c r="J67" s="8">
        <v>4085.76</v>
      </c>
      <c r="K67" s="8">
        <v>4052.6</v>
      </c>
      <c r="L67" s="8">
        <v>4049.62</v>
      </c>
      <c r="M67" s="93"/>
      <c r="N67" s="93"/>
      <c r="O67" s="93"/>
      <c r="P67" s="93"/>
      <c r="Q67" s="48"/>
      <c r="R67" s="48"/>
      <c r="S67" s="95"/>
      <c r="T67" s="51"/>
      <c r="U67" s="51"/>
      <c r="V67" s="47"/>
      <c r="W67" s="90"/>
      <c r="X67" s="96"/>
    </row>
    <row r="68" spans="1:30" ht="24.8" customHeight="1" thickBot="1" x14ac:dyDescent="0.4">
      <c r="A68" s="206"/>
      <c r="B68" s="42"/>
      <c r="C68" s="51" t="s">
        <v>156</v>
      </c>
      <c r="D68" s="24">
        <f t="shared" ref="D68:L68" si="17">IF(((D66="")*AND(D67="")),"",(D66-D67)*2)</f>
        <v>3374.7800000000007</v>
      </c>
      <c r="E68" s="24">
        <f t="shared" si="17"/>
        <v>3133.2400000000007</v>
      </c>
      <c r="F68" s="24">
        <f t="shared" si="17"/>
        <v>3107.7400000000007</v>
      </c>
      <c r="G68" s="24">
        <f t="shared" si="17"/>
        <v>3105.46</v>
      </c>
      <c r="H68" s="24">
        <f t="shared" si="17"/>
        <v>3320.380000000001</v>
      </c>
      <c r="I68" s="24">
        <f t="shared" si="17"/>
        <v>3330.1000000000004</v>
      </c>
      <c r="J68" s="24">
        <f t="shared" si="17"/>
        <v>3107.24</v>
      </c>
      <c r="K68" s="24">
        <f t="shared" si="17"/>
        <v>3132.3400000000011</v>
      </c>
      <c r="L68" s="24">
        <f t="shared" si="17"/>
        <v>3398.880000000001</v>
      </c>
      <c r="M68" s="24"/>
      <c r="N68" s="24"/>
      <c r="O68" s="24"/>
      <c r="P68" s="24"/>
      <c r="Q68" s="42"/>
      <c r="R68" s="42"/>
      <c r="S68" s="95"/>
      <c r="T68" s="51"/>
      <c r="U68" s="51"/>
      <c r="V68" s="41"/>
      <c r="W68" s="89"/>
      <c r="X68" s="94"/>
    </row>
    <row r="69" spans="1:30" x14ac:dyDescent="0.25">
      <c r="A69" s="205">
        <v>42584</v>
      </c>
      <c r="B69" s="63" t="s">
        <v>160</v>
      </c>
      <c r="C69" s="56" t="s">
        <v>158</v>
      </c>
      <c r="D69" s="8">
        <v>1935.18</v>
      </c>
      <c r="E69" s="8">
        <v>1926.47</v>
      </c>
      <c r="F69" s="8">
        <v>1921.51</v>
      </c>
      <c r="G69" s="8">
        <v>1924.71</v>
      </c>
      <c r="H69" s="8">
        <v>1939.29</v>
      </c>
      <c r="I69" s="8">
        <v>1932.12</v>
      </c>
      <c r="J69" s="8">
        <v>1926.65</v>
      </c>
      <c r="K69" s="8">
        <v>1927.94</v>
      </c>
      <c r="L69" s="8">
        <v>1938.43</v>
      </c>
      <c r="M69" s="80"/>
      <c r="N69" s="80"/>
      <c r="O69" s="80"/>
      <c r="P69" s="80"/>
      <c r="Q69" s="63">
        <f>IF((L70=""),"",MAX(D71:L71))</f>
        <v>2691.9599999999991</v>
      </c>
      <c r="R69" s="63">
        <f>IF(L70="","",MIN(D71:L71))</f>
        <v>2531.08</v>
      </c>
      <c r="S69" s="63">
        <f>IF((L71=""),"",AVERAGE(D71:L71))</f>
        <v>2601.6844444444446</v>
      </c>
      <c r="T69" s="63">
        <f>IF((L70=""),"",((Q69-R69)/(Q69+R69))*100)</f>
        <v>3.0801985050851464</v>
      </c>
      <c r="U69" s="51">
        <f>STDEV(D69:L69)</f>
        <v>6.2858891795654248</v>
      </c>
      <c r="V69" s="64" t="str">
        <f>IF(L70="","",(IF(T69&lt;12,IF(S69&gt;2200,IF(S69&lt;3280,"Pass","Fail"),"Fail"),"Fail")))</f>
        <v>Pass</v>
      </c>
      <c r="W69" s="57">
        <v>1159</v>
      </c>
      <c r="X69" s="248" t="s">
        <v>278</v>
      </c>
      <c r="Y69" s="81" t="s">
        <v>215</v>
      </c>
      <c r="Z69" s="37">
        <v>2000</v>
      </c>
      <c r="AA69" s="37">
        <v>3000</v>
      </c>
      <c r="AB69" s="37">
        <v>2200</v>
      </c>
      <c r="AC69" s="37">
        <v>3280</v>
      </c>
      <c r="AD69" s="39">
        <v>12</v>
      </c>
    </row>
    <row r="70" spans="1:30" ht="16.5" customHeight="1" x14ac:dyDescent="0.35">
      <c r="A70" s="206"/>
      <c r="B70" s="48"/>
      <c r="C70" s="51" t="s">
        <v>157</v>
      </c>
      <c r="D70" s="8">
        <v>1265.93</v>
      </c>
      <c r="E70" s="8">
        <v>1273.53</v>
      </c>
      <c r="F70" s="8">
        <v>1288.74</v>
      </c>
      <c r="G70" s="8">
        <v>1281.57</v>
      </c>
      <c r="H70" s="8">
        <v>1299.56</v>
      </c>
      <c r="I70" s="8">
        <v>1259.1300000000001</v>
      </c>
      <c r="J70" s="8">
        <v>1266</v>
      </c>
      <c r="K70" s="8">
        <v>1287.32</v>
      </c>
      <c r="L70" s="8">
        <v>1296.73</v>
      </c>
      <c r="M70" s="80"/>
      <c r="N70" s="80"/>
      <c r="O70" s="80"/>
      <c r="P70" s="80"/>
      <c r="Q70" s="48"/>
      <c r="R70" s="48"/>
      <c r="S70" s="48"/>
      <c r="T70" s="48"/>
      <c r="U70" s="48"/>
      <c r="V70" s="47"/>
      <c r="W70" s="48"/>
      <c r="X70" s="79"/>
      <c r="Z70" s="8"/>
      <c r="AA70" s="8"/>
      <c r="AB70" s="8"/>
      <c r="AC70" s="8"/>
      <c r="AD70" s="8"/>
    </row>
    <row r="71" spans="1:30" ht="24.8" customHeight="1" thickBot="1" x14ac:dyDescent="0.4">
      <c r="A71" s="206"/>
      <c r="B71" s="61"/>
      <c r="C71" s="51" t="s">
        <v>156</v>
      </c>
      <c r="D71" s="24">
        <f t="shared" ref="D71:L71" si="18">IF(((D69="")*AND(D70="")),"",(D69-D70)*4)</f>
        <v>2677</v>
      </c>
      <c r="E71" s="24">
        <f t="shared" si="18"/>
        <v>2611.7600000000002</v>
      </c>
      <c r="F71" s="24">
        <f t="shared" si="18"/>
        <v>2531.08</v>
      </c>
      <c r="G71" s="24">
        <f t="shared" si="18"/>
        <v>2572.5600000000004</v>
      </c>
      <c r="H71" s="24">
        <f t="shared" si="18"/>
        <v>2558.92</v>
      </c>
      <c r="I71" s="24">
        <f t="shared" si="18"/>
        <v>2691.9599999999991</v>
      </c>
      <c r="J71" s="24">
        <f t="shared" si="18"/>
        <v>2642.6000000000004</v>
      </c>
      <c r="K71" s="24">
        <f t="shared" si="18"/>
        <v>2562.4800000000005</v>
      </c>
      <c r="L71" s="24">
        <f t="shared" si="18"/>
        <v>2566.8000000000002</v>
      </c>
      <c r="M71" s="24"/>
      <c r="N71" s="24"/>
      <c r="O71" s="24"/>
      <c r="P71" s="24" t="str">
        <f>IF(((P69="")*AND(P70="")),"",(P69-P70)*4)</f>
        <v/>
      </c>
      <c r="Q71" s="61"/>
      <c r="R71" s="61"/>
      <c r="S71" s="61"/>
      <c r="T71" s="61"/>
      <c r="U71" s="61"/>
      <c r="V71" s="60"/>
      <c r="W71" s="42"/>
      <c r="X71" s="79"/>
      <c r="Z71" s="8"/>
      <c r="AA71" s="8"/>
      <c r="AB71" s="8"/>
      <c r="AC71" s="8"/>
      <c r="AD71" s="8"/>
    </row>
    <row r="72" spans="1:30" x14ac:dyDescent="0.25">
      <c r="A72" s="205">
        <v>42587</v>
      </c>
      <c r="B72" s="57" t="s">
        <v>159</v>
      </c>
      <c r="C72" s="51" t="s">
        <v>158</v>
      </c>
      <c r="D72" s="8">
        <v>4131.66</v>
      </c>
      <c r="E72" s="8">
        <v>4071.69</v>
      </c>
      <c r="F72" s="8">
        <v>4022.77</v>
      </c>
      <c r="G72" s="8">
        <v>4093.04</v>
      </c>
      <c r="H72" s="8">
        <v>4148.28</v>
      </c>
      <c r="I72" s="8">
        <v>4107.9799999999996</v>
      </c>
      <c r="J72" s="8">
        <v>4093.88</v>
      </c>
      <c r="K72" s="8">
        <v>4061.3</v>
      </c>
      <c r="L72" s="8">
        <v>4059.97</v>
      </c>
      <c r="M72" s="80"/>
      <c r="N72" s="80"/>
      <c r="O72" s="80"/>
      <c r="P72" s="80"/>
      <c r="Q72" s="57">
        <f>IF((L73=""),"",MAX(D74:L74))</f>
        <v>2941.7999999999993</v>
      </c>
      <c r="R72" s="57">
        <f>IF(L73="","",MIN(D74:L74))</f>
        <v>2800.84</v>
      </c>
      <c r="S72" s="58">
        <f>IF((L74=""),"",AVERAGE(D74:L74))</f>
        <v>2860.7977777777774</v>
      </c>
      <c r="T72" s="57">
        <f>IF((L73=""),"",((Q72-R72)/(Q72+R72))*100)</f>
        <v>2.4546201746931575</v>
      </c>
      <c r="U72" s="56">
        <f>STDEV(D72:L72)</f>
        <v>38.759455441364288</v>
      </c>
      <c r="V72" s="55" t="str">
        <f>IF(L73="","",(IF(T72&lt;7,IF(S72&gt;2800,IF(S72&lt;3800,"Pass","Fail"),"Fail"),"Fail")))</f>
        <v>Pass</v>
      </c>
      <c r="W72" s="63">
        <v>1159</v>
      </c>
      <c r="X72" s="26" t="s">
        <v>216</v>
      </c>
      <c r="Z72" s="53">
        <v>2800</v>
      </c>
      <c r="AA72" s="53">
        <v>3800</v>
      </c>
      <c r="AB72" s="53">
        <v>3100</v>
      </c>
      <c r="AC72" s="53">
        <v>3760</v>
      </c>
      <c r="AD72" s="52">
        <v>6</v>
      </c>
    </row>
    <row r="73" spans="1:30" ht="16.5" customHeight="1" x14ac:dyDescent="0.35">
      <c r="A73" s="206"/>
      <c r="B73" s="48"/>
      <c r="C73" s="51" t="s">
        <v>157</v>
      </c>
      <c r="D73" s="8">
        <v>2672.22</v>
      </c>
      <c r="E73" s="8">
        <v>2669.68</v>
      </c>
      <c r="F73" s="8">
        <v>2613.5100000000002</v>
      </c>
      <c r="G73" s="8">
        <v>2685.53</v>
      </c>
      <c r="H73" s="8">
        <v>2677.38</v>
      </c>
      <c r="I73" s="8">
        <v>2652.4</v>
      </c>
      <c r="J73" s="8">
        <v>2693.46</v>
      </c>
      <c r="K73" s="8">
        <v>2658.16</v>
      </c>
      <c r="L73" s="8">
        <v>2594.64</v>
      </c>
      <c r="M73" s="80"/>
      <c r="N73" s="80"/>
      <c r="O73" s="80"/>
      <c r="P73" s="80"/>
      <c r="Q73" s="48"/>
      <c r="R73" s="48"/>
      <c r="S73" s="49"/>
      <c r="T73" s="48"/>
      <c r="U73" s="48"/>
      <c r="V73" s="47"/>
      <c r="W73" s="48"/>
      <c r="X73" s="79"/>
    </row>
    <row r="74" spans="1:30" ht="24.8" customHeight="1" thickBot="1" x14ac:dyDescent="0.4">
      <c r="A74" s="206"/>
      <c r="B74" s="42"/>
      <c r="C74" s="45" t="s">
        <v>156</v>
      </c>
      <c r="D74" s="44">
        <f t="shared" ref="D74:L74" si="19">IF(((D72="")*AND(D73="")),"",(D72-D73)*2)</f>
        <v>2918.88</v>
      </c>
      <c r="E74" s="44">
        <f t="shared" si="19"/>
        <v>2804.0200000000004</v>
      </c>
      <c r="F74" s="44">
        <f t="shared" si="19"/>
        <v>2818.5199999999995</v>
      </c>
      <c r="G74" s="44">
        <f t="shared" si="19"/>
        <v>2815.0199999999995</v>
      </c>
      <c r="H74" s="44">
        <f t="shared" si="19"/>
        <v>2941.7999999999993</v>
      </c>
      <c r="I74" s="44">
        <f t="shared" si="19"/>
        <v>2911.1599999999989</v>
      </c>
      <c r="J74" s="44">
        <f t="shared" si="19"/>
        <v>2800.84</v>
      </c>
      <c r="K74" s="44">
        <f t="shared" si="19"/>
        <v>2806.2800000000007</v>
      </c>
      <c r="L74" s="44">
        <f t="shared" si="19"/>
        <v>2930.66</v>
      </c>
      <c r="M74" s="44"/>
      <c r="N74" s="44"/>
      <c r="O74" s="44"/>
      <c r="P74" s="44"/>
      <c r="Q74" s="42"/>
      <c r="R74" s="42"/>
      <c r="S74" s="43"/>
      <c r="T74" s="42"/>
      <c r="U74" s="42"/>
      <c r="V74" s="41"/>
      <c r="W74" s="42"/>
      <c r="X74" s="78"/>
    </row>
    <row r="75" spans="1:30" x14ac:dyDescent="0.25">
      <c r="A75" s="205">
        <v>42587</v>
      </c>
      <c r="B75" s="63" t="s">
        <v>160</v>
      </c>
      <c r="C75" s="51" t="s">
        <v>158</v>
      </c>
      <c r="D75" s="8">
        <v>1912.72</v>
      </c>
      <c r="E75" s="8">
        <v>1908.12</v>
      </c>
      <c r="F75" s="8">
        <v>1892.98</v>
      </c>
      <c r="G75" s="8">
        <v>1905.14</v>
      </c>
      <c r="H75" s="8">
        <v>1911.86</v>
      </c>
      <c r="I75" s="8">
        <v>1912.61</v>
      </c>
      <c r="J75" s="8">
        <v>1906.51</v>
      </c>
      <c r="K75" s="8">
        <v>1907.96</v>
      </c>
      <c r="L75" s="8">
        <v>1916.51</v>
      </c>
      <c r="M75" s="93"/>
      <c r="N75" s="93"/>
      <c r="O75" s="93"/>
      <c r="P75" s="93"/>
      <c r="Q75" s="63">
        <f>IF((L76=""),"",MAX(D77:L77))</f>
        <v>2613.08</v>
      </c>
      <c r="R75" s="63">
        <f>IF(L76="","",MIN(D77:L77))</f>
        <v>2423.7199999999993</v>
      </c>
      <c r="S75" s="51">
        <f>IF((L77=""),"",AVERAGE(D77:L77))</f>
        <v>2519.7377777777774</v>
      </c>
      <c r="T75" s="51">
        <f>IF((L76=""),"",((Q75-R75)/(Q75+R75))*100)</f>
        <v>3.7595298602287288</v>
      </c>
      <c r="U75" s="51">
        <f>STDEV(D75:L75)</f>
        <v>6.7659160092661601</v>
      </c>
      <c r="V75" s="64" t="str">
        <f>IF(L76="","",(IF(T75&lt;12,IF(S75&gt;2200,IF(S75&lt;3280,"Pass","Fail"),"Fail"),"Fail")))</f>
        <v>Pass</v>
      </c>
      <c r="W75" s="91">
        <v>1159</v>
      </c>
      <c r="X75" s="26" t="s">
        <v>216</v>
      </c>
      <c r="Z75" s="37">
        <v>2000</v>
      </c>
      <c r="AA75" s="37">
        <v>3000</v>
      </c>
      <c r="AB75" s="37">
        <v>2200</v>
      </c>
      <c r="AC75" s="37">
        <v>3280</v>
      </c>
      <c r="AD75" s="39">
        <v>12</v>
      </c>
    </row>
    <row r="76" spans="1:30" ht="16.5" customHeight="1" x14ac:dyDescent="0.35">
      <c r="A76" s="206"/>
      <c r="B76" s="48"/>
      <c r="C76" s="51" t="s">
        <v>157</v>
      </c>
      <c r="D76" s="8">
        <v>1259.45</v>
      </c>
      <c r="E76" s="8">
        <v>1269.78</v>
      </c>
      <c r="F76" s="8">
        <v>1278.74</v>
      </c>
      <c r="G76" s="8">
        <v>1281.71</v>
      </c>
      <c r="H76" s="8">
        <v>1305.93</v>
      </c>
      <c r="I76" s="8">
        <v>1262.23</v>
      </c>
      <c r="J76" s="8">
        <v>1267.1400000000001</v>
      </c>
      <c r="K76" s="8">
        <v>1282.6199999999999</v>
      </c>
      <c r="L76" s="8">
        <v>1297.4000000000001</v>
      </c>
      <c r="M76" s="93"/>
      <c r="N76" s="93"/>
      <c r="O76" s="93"/>
      <c r="P76" s="93"/>
      <c r="Q76" s="48"/>
      <c r="R76" s="48"/>
      <c r="S76" s="51"/>
      <c r="T76" s="51"/>
      <c r="U76" s="51"/>
      <c r="V76" s="47"/>
      <c r="W76" s="90"/>
      <c r="X76" s="8"/>
      <c r="Z76" s="8"/>
      <c r="AA76" s="8"/>
      <c r="AB76" s="8"/>
      <c r="AC76" s="8"/>
      <c r="AD76" s="8"/>
    </row>
    <row r="77" spans="1:30" ht="24.8" customHeight="1" thickBot="1" x14ac:dyDescent="0.4">
      <c r="A77" s="206"/>
      <c r="B77" s="42"/>
      <c r="C77" s="45" t="s">
        <v>156</v>
      </c>
      <c r="D77" s="44">
        <f t="shared" ref="D77:L77" si="20">IF(((D75="")*AND(D76="")),"",(D75-D76)*4)</f>
        <v>2613.08</v>
      </c>
      <c r="E77" s="44">
        <f t="shared" si="20"/>
        <v>2553.3599999999997</v>
      </c>
      <c r="F77" s="44">
        <f t="shared" si="20"/>
        <v>2456.96</v>
      </c>
      <c r="G77" s="44">
        <f t="shared" si="20"/>
        <v>2493.7200000000003</v>
      </c>
      <c r="H77" s="44">
        <f t="shared" si="20"/>
        <v>2423.7199999999993</v>
      </c>
      <c r="I77" s="44">
        <f t="shared" si="20"/>
        <v>2601.5199999999995</v>
      </c>
      <c r="J77" s="44">
        <f t="shared" si="20"/>
        <v>2557.4799999999996</v>
      </c>
      <c r="K77" s="44">
        <f t="shared" si="20"/>
        <v>2501.3600000000006</v>
      </c>
      <c r="L77" s="44">
        <f t="shared" si="20"/>
        <v>2476.4399999999996</v>
      </c>
      <c r="M77" s="44"/>
      <c r="N77" s="44"/>
      <c r="O77" s="44"/>
      <c r="P77" s="44" t="str">
        <f>IF(((P75="")*AND(P76="")),"",(P75-P76)*4)</f>
        <v/>
      </c>
      <c r="Q77" s="42"/>
      <c r="R77" s="42"/>
      <c r="S77" s="45"/>
      <c r="T77" s="45"/>
      <c r="U77" s="45"/>
      <c r="V77" s="41"/>
      <c r="W77" s="92"/>
      <c r="X77" s="8"/>
      <c r="Z77" s="8"/>
      <c r="AA77" s="8"/>
      <c r="AB77" s="8"/>
      <c r="AC77" s="8"/>
      <c r="AD77" s="8"/>
    </row>
    <row r="78" spans="1:30" x14ac:dyDescent="0.25">
      <c r="A78" s="205">
        <v>42590</v>
      </c>
      <c r="B78" s="63" t="s">
        <v>160</v>
      </c>
      <c r="C78" s="56" t="s">
        <v>158</v>
      </c>
      <c r="D78" s="8">
        <v>1946.91</v>
      </c>
      <c r="E78" s="8">
        <v>1933.6</v>
      </c>
      <c r="F78" s="8">
        <v>1932.74</v>
      </c>
      <c r="G78" s="8">
        <v>1932.52</v>
      </c>
      <c r="H78" s="8">
        <v>1947.39</v>
      </c>
      <c r="I78" s="8">
        <v>1944.59</v>
      </c>
      <c r="J78" s="8">
        <v>1933.44</v>
      </c>
      <c r="K78" s="8">
        <v>1934.98</v>
      </c>
      <c r="L78" s="8">
        <v>1948.6</v>
      </c>
      <c r="M78" s="80"/>
      <c r="N78" s="80"/>
      <c r="O78" s="80"/>
      <c r="P78" s="80"/>
      <c r="Q78" s="63">
        <f>IF((L79=""),"",MAX(D80:L80))</f>
        <v>2841.2400000000007</v>
      </c>
      <c r="R78" s="63">
        <f>IF(L79="","",MIN(D80:L80))</f>
        <v>2609.92</v>
      </c>
      <c r="S78" s="63">
        <f>IF((L80=""),"",AVERAGE(D80:L80))</f>
        <v>2713.3777777777777</v>
      </c>
      <c r="T78" s="63">
        <f>IF((L79=""),"",((Q78-R78)/(Q78+R78))*100)</f>
        <v>4.243500465955881</v>
      </c>
      <c r="U78" s="51">
        <f>STDEV(D78:L78)</f>
        <v>7.178101149406519</v>
      </c>
      <c r="V78" s="64" t="str">
        <f>IF(L79="","",(IF(T78&lt;12,IF(S78&gt;2200,IF(S78&lt;3280,"Pass","Fail"),"Fail"),"Fail")))</f>
        <v>Pass</v>
      </c>
      <c r="W78" s="63">
        <v>1159</v>
      </c>
      <c r="Y78" s="81" t="s">
        <v>215</v>
      </c>
      <c r="Z78" s="37">
        <v>2000</v>
      </c>
      <c r="AA78" s="37">
        <v>3000</v>
      </c>
      <c r="AB78" s="37">
        <v>2200</v>
      </c>
      <c r="AC78" s="37">
        <v>3280</v>
      </c>
      <c r="AD78" s="39">
        <v>12</v>
      </c>
    </row>
    <row r="79" spans="1:30" ht="16.5" customHeight="1" x14ac:dyDescent="0.35">
      <c r="A79" s="206"/>
      <c r="B79" s="48"/>
      <c r="C79" s="51" t="s">
        <v>157</v>
      </c>
      <c r="D79" s="8">
        <v>1236.5999999999999</v>
      </c>
      <c r="E79" s="8">
        <v>1255.67</v>
      </c>
      <c r="F79" s="8">
        <v>1280.26</v>
      </c>
      <c r="G79" s="8">
        <v>1271.6099999999999</v>
      </c>
      <c r="H79" s="8">
        <v>1277.32</v>
      </c>
      <c r="I79" s="8">
        <v>1236.3499999999999</v>
      </c>
      <c r="J79" s="8">
        <v>1254.02</v>
      </c>
      <c r="K79" s="8">
        <v>1269.95</v>
      </c>
      <c r="L79" s="8">
        <v>1267.8900000000001</v>
      </c>
      <c r="M79" s="80"/>
      <c r="N79" s="80"/>
      <c r="O79" s="80"/>
      <c r="P79" s="80"/>
      <c r="Q79" s="48"/>
      <c r="R79" s="48"/>
      <c r="S79" s="48"/>
      <c r="T79" s="48"/>
      <c r="U79" s="48"/>
      <c r="V79" s="47"/>
      <c r="W79" s="48"/>
      <c r="X79" s="79"/>
    </row>
    <row r="80" spans="1:30" ht="24.8" customHeight="1" thickBot="1" x14ac:dyDescent="0.4">
      <c r="A80" s="206"/>
      <c r="B80" s="61"/>
      <c r="C80" s="51" t="s">
        <v>156</v>
      </c>
      <c r="D80" s="24">
        <f t="shared" ref="D80:L80" si="21">IF(((D78="")*AND(D79="")),"",(D78-D79)*4)</f>
        <v>2841.2400000000007</v>
      </c>
      <c r="E80" s="24">
        <f t="shared" si="21"/>
        <v>2711.7199999999993</v>
      </c>
      <c r="F80" s="24">
        <f t="shared" si="21"/>
        <v>2609.92</v>
      </c>
      <c r="G80" s="24">
        <f t="shared" si="21"/>
        <v>2643.6400000000003</v>
      </c>
      <c r="H80" s="24">
        <f t="shared" si="21"/>
        <v>2680.2800000000007</v>
      </c>
      <c r="I80" s="24">
        <f t="shared" si="21"/>
        <v>2832.96</v>
      </c>
      <c r="J80" s="24">
        <f t="shared" si="21"/>
        <v>2717.6800000000003</v>
      </c>
      <c r="K80" s="24">
        <f t="shared" si="21"/>
        <v>2660.12</v>
      </c>
      <c r="L80" s="24">
        <f t="shared" si="21"/>
        <v>2722.8399999999992</v>
      </c>
      <c r="M80" s="24"/>
      <c r="N80" s="24"/>
      <c r="O80" s="24"/>
      <c r="P80" s="24" t="str">
        <f>IF(((P78="")*AND(P79="")),"",(P78-P79)*4)</f>
        <v/>
      </c>
      <c r="Q80" s="61"/>
      <c r="R80" s="61"/>
      <c r="S80" s="61"/>
      <c r="T80" s="61"/>
      <c r="U80" s="61"/>
      <c r="V80" s="60"/>
      <c r="W80" s="42"/>
      <c r="X80" s="79"/>
    </row>
    <row r="81" spans="1:30" x14ac:dyDescent="0.25">
      <c r="A81" s="205">
        <v>42590</v>
      </c>
      <c r="B81" s="57" t="s">
        <v>159</v>
      </c>
      <c r="C81" s="51" t="s">
        <v>158</v>
      </c>
      <c r="D81" s="8">
        <v>7229.25</v>
      </c>
      <c r="E81" s="8">
        <v>7102.74</v>
      </c>
      <c r="F81" s="8">
        <v>7058.57</v>
      </c>
      <c r="G81" s="8">
        <v>7088.7</v>
      </c>
      <c r="H81" s="8">
        <v>7211.88</v>
      </c>
      <c r="I81" s="8">
        <v>7253.91</v>
      </c>
      <c r="J81" s="8">
        <v>7114.75</v>
      </c>
      <c r="K81" s="8">
        <v>7040.42</v>
      </c>
      <c r="L81" s="8">
        <v>7054.55</v>
      </c>
      <c r="M81" s="80"/>
      <c r="N81" s="80"/>
      <c r="O81" s="80"/>
      <c r="P81" s="80"/>
      <c r="Q81" s="57">
        <f>IF((L82=""),"",MAX(D83:L83))</f>
        <v>2867.58</v>
      </c>
      <c r="R81" s="57">
        <f>IF(L82="","",MIN(D83:L83))</f>
        <v>2690.8799999999992</v>
      </c>
      <c r="S81" s="58">
        <f>IF((L83=""),"",AVERAGE(D83:L83))</f>
        <v>2761.5622222222219</v>
      </c>
      <c r="T81" s="57">
        <f>IF((L82=""),"",((Q81-R81)/(Q81+R81))*100)</f>
        <v>3.1789380511868535</v>
      </c>
      <c r="U81" s="56">
        <f>STDEV(D81:L81)</f>
        <v>81.688200154272252</v>
      </c>
      <c r="V81" s="55" t="str">
        <f>IF(L82="","",(IF(T81&lt;7,IF(S81&gt;2800,IF(S81&lt;3800,"Pass","Fail"),"Fail"),"Fail")))</f>
        <v>Fail</v>
      </c>
      <c r="W81" s="63">
        <v>1159</v>
      </c>
      <c r="X81" s="249"/>
      <c r="Z81" s="53">
        <v>2800</v>
      </c>
      <c r="AA81" s="53">
        <v>3800</v>
      </c>
      <c r="AB81" s="53">
        <v>3100</v>
      </c>
      <c r="AC81" s="53">
        <v>3760</v>
      </c>
      <c r="AD81" s="52">
        <v>6</v>
      </c>
    </row>
    <row r="82" spans="1:30" ht="16.5" customHeight="1" x14ac:dyDescent="0.35">
      <c r="A82" s="206"/>
      <c r="B82" s="48"/>
      <c r="C82" s="51" t="s">
        <v>157</v>
      </c>
      <c r="D82" s="8">
        <v>5824.29</v>
      </c>
      <c r="E82" s="8">
        <v>5753.24</v>
      </c>
      <c r="F82" s="8">
        <v>5703.63</v>
      </c>
      <c r="G82" s="8">
        <v>5734.89</v>
      </c>
      <c r="H82" s="8">
        <v>5786.81</v>
      </c>
      <c r="I82" s="8">
        <v>5844.32</v>
      </c>
      <c r="J82" s="8">
        <v>5769.31</v>
      </c>
      <c r="K82" s="8">
        <v>5690.49</v>
      </c>
      <c r="L82" s="8">
        <v>5620.76</v>
      </c>
      <c r="M82" s="80"/>
      <c r="N82" s="80"/>
      <c r="O82" s="80"/>
      <c r="P82" s="80"/>
      <c r="Q82" s="48"/>
      <c r="R82" s="48"/>
      <c r="S82" s="49"/>
      <c r="T82" s="48"/>
      <c r="U82" s="48"/>
      <c r="V82" s="47"/>
      <c r="W82" s="48"/>
      <c r="X82" s="79"/>
      <c r="Z82" s="8"/>
      <c r="AA82" s="8"/>
      <c r="AB82" s="8"/>
      <c r="AC82" s="8"/>
      <c r="AD82" s="8"/>
    </row>
    <row r="83" spans="1:30" ht="24.8" customHeight="1" thickBot="1" x14ac:dyDescent="0.4">
      <c r="A83" s="206"/>
      <c r="B83" s="42"/>
      <c r="C83" s="45" t="s">
        <v>156</v>
      </c>
      <c r="D83" s="44">
        <f t="shared" ref="D83:L83" si="22">IF(((D81="")*AND(D82="")),"",(D81-D82)*2)</f>
        <v>2809.92</v>
      </c>
      <c r="E83" s="44">
        <f t="shared" si="22"/>
        <v>2699</v>
      </c>
      <c r="F83" s="44">
        <f t="shared" si="22"/>
        <v>2709.8799999999992</v>
      </c>
      <c r="G83" s="44">
        <f t="shared" si="22"/>
        <v>2707.619999999999</v>
      </c>
      <c r="H83" s="44">
        <f t="shared" si="22"/>
        <v>2850.1399999999994</v>
      </c>
      <c r="I83" s="44">
        <f t="shared" si="22"/>
        <v>2819.1800000000003</v>
      </c>
      <c r="J83" s="44">
        <f t="shared" si="22"/>
        <v>2690.8799999999992</v>
      </c>
      <c r="K83" s="44">
        <f t="shared" si="22"/>
        <v>2699.8600000000006</v>
      </c>
      <c r="L83" s="44">
        <f t="shared" si="22"/>
        <v>2867.58</v>
      </c>
      <c r="M83" s="44"/>
      <c r="N83" s="44"/>
      <c r="O83" s="44"/>
      <c r="P83" s="44"/>
      <c r="Q83" s="42"/>
      <c r="R83" s="42"/>
      <c r="S83" s="43"/>
      <c r="T83" s="42"/>
      <c r="U83" s="42"/>
      <c r="V83" s="41"/>
      <c r="W83" s="42"/>
      <c r="X83" s="78"/>
      <c r="Z83" s="8"/>
      <c r="AA83" s="8"/>
      <c r="AB83" s="8"/>
      <c r="AC83" s="8"/>
      <c r="AD83" s="8"/>
    </row>
    <row r="84" spans="1:30" x14ac:dyDescent="0.25">
      <c r="A84" s="205">
        <v>42593</v>
      </c>
      <c r="B84" s="63" t="s">
        <v>160</v>
      </c>
      <c r="C84" s="56" t="s">
        <v>158</v>
      </c>
      <c r="D84" s="8">
        <v>1922.66</v>
      </c>
      <c r="E84" s="8">
        <v>1916.27</v>
      </c>
      <c r="F84" s="8">
        <v>1898.93</v>
      </c>
      <c r="G84" s="8">
        <v>1910.66</v>
      </c>
      <c r="H84" s="8">
        <v>1924.79</v>
      </c>
      <c r="I84" s="8">
        <v>1915.17</v>
      </c>
      <c r="J84" s="8">
        <v>1914.55</v>
      </c>
      <c r="K84" s="8">
        <v>1915.17</v>
      </c>
      <c r="L84" s="8">
        <v>1925.15</v>
      </c>
      <c r="M84" s="80"/>
      <c r="N84" s="80"/>
      <c r="O84" s="80"/>
      <c r="P84" s="80"/>
      <c r="Q84" s="63">
        <f>IF((L85=""),"",MAX(D86:L86))</f>
        <v>2697.8</v>
      </c>
      <c r="R84" s="63">
        <f>IF(L85="","",MIN(D86:L86))</f>
        <v>2501.5600000000004</v>
      </c>
      <c r="S84" s="63">
        <f>IF((L86=""),"",AVERAGE(D86:L86))</f>
        <v>2587.1733333333341</v>
      </c>
      <c r="T84" s="63">
        <f>IF((L85=""),"",((Q84-R84)/(Q84+R84))*100)</f>
        <v>3.7743106843919203</v>
      </c>
      <c r="U84" s="51">
        <f>STDEV(D84:L84)</f>
        <v>8.1297982413122849</v>
      </c>
      <c r="V84" s="64" t="str">
        <f>IF(L85="","",(IF(T84&lt;12,IF(S84&gt;2200,IF(S84&lt;3280,"Pass","Fail"),"Fail"),"Fail")))</f>
        <v>Pass</v>
      </c>
      <c r="W84" s="63">
        <v>1159</v>
      </c>
      <c r="Y84" s="81" t="s">
        <v>215</v>
      </c>
      <c r="Z84" s="37">
        <v>2000</v>
      </c>
      <c r="AA84" s="37">
        <v>3000</v>
      </c>
      <c r="AB84" s="37">
        <v>2200</v>
      </c>
      <c r="AC84" s="37">
        <v>3280</v>
      </c>
      <c r="AD84" s="39">
        <v>12</v>
      </c>
    </row>
    <row r="85" spans="1:30" ht="16.5" customHeight="1" x14ac:dyDescent="0.35">
      <c r="A85" s="206"/>
      <c r="B85" s="48"/>
      <c r="C85" s="51" t="s">
        <v>157</v>
      </c>
      <c r="D85" s="8">
        <v>1248.21</v>
      </c>
      <c r="E85" s="8">
        <v>1262.93</v>
      </c>
      <c r="F85" s="8">
        <v>1273.54</v>
      </c>
      <c r="G85" s="8">
        <v>1274.32</v>
      </c>
      <c r="H85" s="8">
        <v>1296.1099999999999</v>
      </c>
      <c r="I85" s="8">
        <v>1243.79</v>
      </c>
      <c r="J85" s="8">
        <v>1262.0899999999999</v>
      </c>
      <c r="K85" s="8">
        <v>1277.6400000000001</v>
      </c>
      <c r="L85" s="8">
        <v>1283.58</v>
      </c>
      <c r="M85" s="80"/>
      <c r="N85" s="80"/>
      <c r="O85" s="80"/>
      <c r="P85" s="80"/>
      <c r="Q85" s="48"/>
      <c r="R85" s="48"/>
      <c r="S85" s="48"/>
      <c r="T85" s="48"/>
      <c r="U85" s="48"/>
      <c r="V85" s="47"/>
      <c r="W85" s="48"/>
      <c r="X85" s="8"/>
      <c r="Y85" s="79"/>
    </row>
    <row r="86" spans="1:30" ht="24.8" customHeight="1" thickBot="1" x14ac:dyDescent="0.4">
      <c r="A86" s="206"/>
      <c r="B86" s="61"/>
      <c r="C86" s="51" t="s">
        <v>156</v>
      </c>
      <c r="D86" s="24">
        <f t="shared" ref="D86:L86" si="23">IF(((D84="")*AND(D85="")),"",(D84-D85)*4)</f>
        <v>2697.8</v>
      </c>
      <c r="E86" s="24">
        <f t="shared" si="23"/>
        <v>2613.3599999999997</v>
      </c>
      <c r="F86" s="24">
        <f t="shared" si="23"/>
        <v>2501.5600000000004</v>
      </c>
      <c r="G86" s="24">
        <f t="shared" si="23"/>
        <v>2545.3600000000006</v>
      </c>
      <c r="H86" s="24">
        <f t="shared" si="23"/>
        <v>2514.7200000000003</v>
      </c>
      <c r="I86" s="24">
        <f t="shared" si="23"/>
        <v>2685.5200000000004</v>
      </c>
      <c r="J86" s="24">
        <f t="shared" si="23"/>
        <v>2609.84</v>
      </c>
      <c r="K86" s="24">
        <f t="shared" si="23"/>
        <v>2550.12</v>
      </c>
      <c r="L86" s="24">
        <f t="shared" si="23"/>
        <v>2566.2800000000007</v>
      </c>
      <c r="M86" s="24"/>
      <c r="N86" s="24"/>
      <c r="O86" s="24"/>
      <c r="P86" s="24" t="str">
        <f>IF(((P84="")*AND(P85="")),"",(P84-P85)*4)</f>
        <v/>
      </c>
      <c r="Q86" s="61"/>
      <c r="R86" s="61"/>
      <c r="S86" s="61"/>
      <c r="T86" s="61"/>
      <c r="U86" s="61"/>
      <c r="V86" s="60"/>
      <c r="W86" s="42"/>
      <c r="X86" s="8"/>
      <c r="Y86" s="79"/>
    </row>
    <row r="87" spans="1:30" x14ac:dyDescent="0.25">
      <c r="A87" s="205">
        <v>42593</v>
      </c>
      <c r="B87" s="57" t="s">
        <v>159</v>
      </c>
      <c r="C87" s="51" t="s">
        <v>158</v>
      </c>
      <c r="D87" s="8">
        <v>5825.27</v>
      </c>
      <c r="E87" s="8">
        <v>5753.37</v>
      </c>
      <c r="F87" s="8">
        <v>5704.11</v>
      </c>
      <c r="G87" s="8">
        <v>5736.1</v>
      </c>
      <c r="H87" s="8">
        <v>5788.58</v>
      </c>
      <c r="I87" s="8">
        <v>5846.61</v>
      </c>
      <c r="J87" s="8">
        <v>5768.76</v>
      </c>
      <c r="K87" s="8">
        <v>5691.37</v>
      </c>
      <c r="L87" s="8">
        <v>5620.27</v>
      </c>
      <c r="M87" s="80"/>
      <c r="N87" s="80"/>
      <c r="O87" s="80"/>
      <c r="P87" s="80"/>
      <c r="Q87" s="57">
        <f>IF((L88=""),"",MAX(D89:L89))</f>
        <v>2878.4000000000015</v>
      </c>
      <c r="R87" s="57">
        <f>IF(L88="","",MIN(D89:L89))</f>
        <v>2739.66</v>
      </c>
      <c r="S87" s="58">
        <f>IF((L89=""),"",AVERAGE(D89:L89))</f>
        <v>2797.0777777777785</v>
      </c>
      <c r="T87" s="57">
        <f>IF((L88=""),"",((Q87-R87)/(Q87+R87))*100)</f>
        <v>2.469535747215259</v>
      </c>
      <c r="U87" s="56">
        <f>STDEV(D87:L87)</f>
        <v>70.169728416968397</v>
      </c>
      <c r="V87" s="55" t="str">
        <f>IF(L88="","",(IF(T87&lt;7,IF(S87&gt;2800,IF(S87&lt;3800,"Pass","Fail"),"Fail"),"Fail")))</f>
        <v>Fail</v>
      </c>
      <c r="W87" s="63">
        <v>1159</v>
      </c>
      <c r="Y87" s="79"/>
      <c r="Z87" s="53">
        <v>2800</v>
      </c>
      <c r="AA87" s="53">
        <v>3800</v>
      </c>
      <c r="AB87" s="53">
        <v>3100</v>
      </c>
      <c r="AC87" s="53">
        <v>3760</v>
      </c>
      <c r="AD87" s="52">
        <v>6</v>
      </c>
    </row>
    <row r="88" spans="1:30" ht="16.5" customHeight="1" x14ac:dyDescent="0.35">
      <c r="A88" s="206"/>
      <c r="B88" s="48"/>
      <c r="C88" s="51" t="s">
        <v>157</v>
      </c>
      <c r="D88" s="8">
        <v>4408.58</v>
      </c>
      <c r="E88" s="8">
        <v>4381.18</v>
      </c>
      <c r="F88" s="8">
        <v>4323.49</v>
      </c>
      <c r="G88" s="8">
        <v>4356.6499999999996</v>
      </c>
      <c r="H88" s="8">
        <v>4354.21</v>
      </c>
      <c r="I88" s="8">
        <v>4426.83</v>
      </c>
      <c r="J88" s="8">
        <v>4398.93</v>
      </c>
      <c r="K88" s="8">
        <v>4316.6499999999996</v>
      </c>
      <c r="L88" s="8">
        <v>4181.07</v>
      </c>
      <c r="M88" s="80"/>
      <c r="N88" s="80"/>
      <c r="O88" s="80"/>
      <c r="P88" s="80"/>
      <c r="Q88" s="48"/>
      <c r="R88" s="48"/>
      <c r="S88" s="49"/>
      <c r="T88" s="48"/>
      <c r="U88" s="48"/>
      <c r="V88" s="47"/>
      <c r="W88" s="48"/>
      <c r="X88" s="8"/>
      <c r="Y88" s="79"/>
      <c r="Z88" s="8"/>
      <c r="AA88" s="8"/>
      <c r="AB88" s="8"/>
      <c r="AC88" s="8"/>
      <c r="AD88" s="8"/>
    </row>
    <row r="89" spans="1:30" ht="24.8" customHeight="1" thickBot="1" x14ac:dyDescent="0.4">
      <c r="A89" s="206"/>
      <c r="B89" s="42"/>
      <c r="C89" s="45" t="s">
        <v>156</v>
      </c>
      <c r="D89" s="44">
        <f t="shared" ref="D89:L89" si="24">IF(((D87="")*AND(D88="")),"",(D87-D88)*2)</f>
        <v>2833.380000000001</v>
      </c>
      <c r="E89" s="44">
        <f t="shared" si="24"/>
        <v>2744.3799999999992</v>
      </c>
      <c r="F89" s="44">
        <f t="shared" si="24"/>
        <v>2761.24</v>
      </c>
      <c r="G89" s="44">
        <f t="shared" si="24"/>
        <v>2758.9000000000015</v>
      </c>
      <c r="H89" s="44">
        <f t="shared" si="24"/>
        <v>2868.74</v>
      </c>
      <c r="I89" s="44">
        <f t="shared" si="24"/>
        <v>2839.5599999999995</v>
      </c>
      <c r="J89" s="44">
        <f t="shared" si="24"/>
        <v>2739.66</v>
      </c>
      <c r="K89" s="44">
        <f t="shared" si="24"/>
        <v>2749.4400000000005</v>
      </c>
      <c r="L89" s="44">
        <f t="shared" si="24"/>
        <v>2878.4000000000015</v>
      </c>
      <c r="M89" s="44"/>
      <c r="N89" s="44"/>
      <c r="O89" s="44"/>
      <c r="P89" s="44"/>
      <c r="Q89" s="42"/>
      <c r="R89" s="42"/>
      <c r="S89" s="43"/>
      <c r="T89" s="42"/>
      <c r="U89" s="42"/>
      <c r="V89" s="41"/>
      <c r="W89" s="42"/>
      <c r="X89" s="8"/>
      <c r="Y89" s="78"/>
      <c r="Z89" s="8"/>
      <c r="AA89" s="8"/>
      <c r="AB89" s="8"/>
      <c r="AC89" s="8"/>
      <c r="AD89" s="8"/>
    </row>
    <row r="90" spans="1:30" x14ac:dyDescent="0.25">
      <c r="A90" s="205">
        <v>42598</v>
      </c>
      <c r="B90" s="63" t="s">
        <v>160</v>
      </c>
      <c r="C90" s="56" t="s">
        <v>158</v>
      </c>
      <c r="D90" s="8">
        <v>2165.58</v>
      </c>
      <c r="E90" s="8">
        <v>2136.92</v>
      </c>
      <c r="F90" s="8">
        <v>2126.5100000000002</v>
      </c>
      <c r="G90" s="8">
        <v>2128.65</v>
      </c>
      <c r="H90" s="8">
        <v>2166.4899999999998</v>
      </c>
      <c r="I90" s="8">
        <v>2170.23</v>
      </c>
      <c r="J90" s="8">
        <v>2135.83</v>
      </c>
      <c r="K90" s="8">
        <v>2130.14</v>
      </c>
      <c r="L90" s="8">
        <v>2164.61</v>
      </c>
      <c r="M90" s="80"/>
      <c r="N90" s="80"/>
      <c r="O90" s="80"/>
      <c r="P90" s="80"/>
      <c r="Q90" s="63">
        <f>IF((L91=""),"",MAX(D92:L92))</f>
        <v>2870.7200000000003</v>
      </c>
      <c r="R90" s="63">
        <f>IF(L91="","",MIN(D92:L92))</f>
        <v>2642.2000000000007</v>
      </c>
      <c r="S90" s="63">
        <f>IF((L92=""),"",AVERAGE(D92:L92))</f>
        <v>2741.0888888888894</v>
      </c>
      <c r="T90" s="63">
        <f>IF((L91=""),"",((Q90-R90)/(Q90+R90))*100)</f>
        <v>4.1451717057385107</v>
      </c>
      <c r="U90" s="51">
        <f>STDEV(D90:L90)</f>
        <v>18.846724369089781</v>
      </c>
      <c r="V90" s="64" t="str">
        <f>IF(L91="","",(IF(T90&lt;12,IF(S90&gt;2200,IF(S90&lt;3280,"Pass","Fail"),"Fail"),"Fail")))</f>
        <v>Pass</v>
      </c>
      <c r="W90" s="63">
        <v>1428</v>
      </c>
      <c r="Y90" s="81" t="s">
        <v>215</v>
      </c>
      <c r="Z90" s="37">
        <v>2000</v>
      </c>
      <c r="AA90" s="37">
        <v>3000</v>
      </c>
      <c r="AB90" s="37">
        <v>2200</v>
      </c>
      <c r="AC90" s="37">
        <v>3280</v>
      </c>
      <c r="AD90" s="39">
        <v>12</v>
      </c>
    </row>
    <row r="91" spans="1:30" ht="16.5" customHeight="1" x14ac:dyDescent="0.35">
      <c r="A91" s="206"/>
      <c r="B91" s="48"/>
      <c r="C91" s="51" t="s">
        <v>157</v>
      </c>
      <c r="D91" s="8">
        <v>1449.36</v>
      </c>
      <c r="E91" s="8">
        <v>1446.67</v>
      </c>
      <c r="F91" s="8">
        <v>1465.96</v>
      </c>
      <c r="G91" s="8">
        <v>1459.7</v>
      </c>
      <c r="H91" s="8">
        <v>1496.35</v>
      </c>
      <c r="I91" s="8">
        <v>1452.55</v>
      </c>
      <c r="J91" s="8">
        <v>1447.19</v>
      </c>
      <c r="K91" s="8">
        <v>1458.9</v>
      </c>
      <c r="L91" s="8">
        <v>1480.83</v>
      </c>
      <c r="M91" s="80"/>
      <c r="N91" s="80"/>
      <c r="O91" s="80"/>
      <c r="P91" s="80"/>
      <c r="Q91" s="48"/>
      <c r="R91" s="48"/>
      <c r="S91" s="48"/>
      <c r="T91" s="48"/>
      <c r="U91" s="48"/>
      <c r="V91" s="47"/>
      <c r="W91" s="48"/>
      <c r="X91" s="8"/>
      <c r="Y91" s="79"/>
    </row>
    <row r="92" spans="1:30" ht="24.8" customHeight="1" thickBot="1" x14ac:dyDescent="0.4">
      <c r="A92" s="206"/>
      <c r="B92" s="61"/>
      <c r="C92" s="51" t="s">
        <v>156</v>
      </c>
      <c r="D92" s="24">
        <f t="shared" ref="D92:L92" si="25">IF(((D90="")*AND(D91="")),"",(D90-D91)*4)</f>
        <v>2864.88</v>
      </c>
      <c r="E92" s="24">
        <f t="shared" si="25"/>
        <v>2761</v>
      </c>
      <c r="F92" s="24">
        <f t="shared" si="25"/>
        <v>2642.2000000000007</v>
      </c>
      <c r="G92" s="24">
        <f t="shared" si="25"/>
        <v>2675.8</v>
      </c>
      <c r="H92" s="24">
        <f t="shared" si="25"/>
        <v>2680.5599999999995</v>
      </c>
      <c r="I92" s="24">
        <f t="shared" si="25"/>
        <v>2870.7200000000003</v>
      </c>
      <c r="J92" s="24">
        <f t="shared" si="25"/>
        <v>2754.5599999999995</v>
      </c>
      <c r="K92" s="24">
        <f t="shared" si="25"/>
        <v>2684.9599999999991</v>
      </c>
      <c r="L92" s="24">
        <f t="shared" si="25"/>
        <v>2735.1200000000008</v>
      </c>
      <c r="M92" s="24"/>
      <c r="N92" s="24"/>
      <c r="O92" s="24"/>
      <c r="P92" s="24" t="str">
        <f>IF(((P90="")*AND(P91="")),"",(P90-P91)*4)</f>
        <v/>
      </c>
      <c r="Q92" s="61"/>
      <c r="R92" s="61"/>
      <c r="S92" s="61"/>
      <c r="T92" s="61"/>
      <c r="U92" s="61"/>
      <c r="V92" s="60"/>
      <c r="W92" s="42"/>
      <c r="X92" s="8"/>
      <c r="Y92" s="79"/>
    </row>
    <row r="93" spans="1:30" x14ac:dyDescent="0.25">
      <c r="A93" s="205">
        <v>42598</v>
      </c>
      <c r="B93" s="57" t="s">
        <v>159</v>
      </c>
      <c r="C93" s="51" t="s">
        <v>158</v>
      </c>
      <c r="D93" s="8">
        <v>4417.6899999999996</v>
      </c>
      <c r="E93" s="8">
        <v>4389.8999999999996</v>
      </c>
      <c r="F93" s="8">
        <v>4331.59</v>
      </c>
      <c r="G93" s="8">
        <v>4366.34</v>
      </c>
      <c r="H93" s="8">
        <v>4361.05</v>
      </c>
      <c r="I93" s="8">
        <v>4431.96</v>
      </c>
      <c r="J93" s="8">
        <v>4407.33</v>
      </c>
      <c r="K93" s="8">
        <v>4324.28</v>
      </c>
      <c r="L93" s="8">
        <v>4196.18</v>
      </c>
      <c r="M93" s="80"/>
      <c r="N93" s="80"/>
      <c r="O93" s="80"/>
      <c r="P93" s="80"/>
      <c r="Q93" s="57">
        <f>IF((L94=""),"",MAX(D95:L95))</f>
        <v>2906.76</v>
      </c>
      <c r="R93" s="57">
        <f>IF(L94="","",MIN(D95:L95))</f>
        <v>2781.8999999999996</v>
      </c>
      <c r="S93" s="58">
        <f>IF((L95=""),"",AVERAGE(D95:L95))</f>
        <v>2832.2999999999997</v>
      </c>
      <c r="T93" s="57">
        <f>IF((L94=""),"",((Q93-R93)/(Q93+R93))*100)</f>
        <v>2.1948929976479628</v>
      </c>
      <c r="U93" s="56">
        <f>STDEV(D93:L93)</f>
        <v>71.222415713032234</v>
      </c>
      <c r="V93" s="55" t="str">
        <f>IF(L94="","",(IF(T93&lt;7,IF(S93&gt;2800,IF(S93&lt;3800,"Pass","Fail"),"Fail"),"Fail")))</f>
        <v>Pass</v>
      </c>
      <c r="W93" s="63">
        <v>1428</v>
      </c>
      <c r="Y93" s="79"/>
      <c r="Z93" s="53">
        <v>2800</v>
      </c>
      <c r="AA93" s="53">
        <v>3800</v>
      </c>
      <c r="AB93" s="53">
        <v>3100</v>
      </c>
      <c r="AC93" s="53">
        <v>3760</v>
      </c>
      <c r="AD93" s="52">
        <v>6</v>
      </c>
    </row>
    <row r="94" spans="1:30" ht="16.5" customHeight="1" x14ac:dyDescent="0.35">
      <c r="A94" s="206"/>
      <c r="B94" s="48"/>
      <c r="C94" s="51" t="s">
        <v>157</v>
      </c>
      <c r="D94" s="8">
        <v>2976.84</v>
      </c>
      <c r="E94" s="8">
        <v>2996.4</v>
      </c>
      <c r="F94" s="8">
        <v>2932.78</v>
      </c>
      <c r="G94" s="8">
        <v>2970.15</v>
      </c>
      <c r="H94" s="8">
        <v>2916.21</v>
      </c>
      <c r="I94" s="8">
        <v>2998.22</v>
      </c>
      <c r="J94" s="8">
        <v>3016.38</v>
      </c>
      <c r="K94" s="8">
        <v>2931.19</v>
      </c>
      <c r="L94" s="8">
        <v>2742.8</v>
      </c>
      <c r="M94" s="80"/>
      <c r="N94" s="80"/>
      <c r="O94" s="80"/>
      <c r="P94" s="80"/>
      <c r="Q94" s="48"/>
      <c r="R94" s="48"/>
      <c r="S94" s="49"/>
      <c r="T94" s="48"/>
      <c r="U94" s="48"/>
      <c r="V94" s="47"/>
      <c r="W94" s="48"/>
      <c r="X94" s="8"/>
      <c r="Y94" s="79"/>
      <c r="Z94" s="8"/>
      <c r="AA94" s="8"/>
      <c r="AB94" s="8"/>
      <c r="AC94" s="8"/>
      <c r="AD94" s="8"/>
    </row>
    <row r="95" spans="1:30" ht="24.8" customHeight="1" thickBot="1" x14ac:dyDescent="0.4">
      <c r="A95" s="206"/>
      <c r="B95" s="42"/>
      <c r="C95" s="45" t="s">
        <v>156</v>
      </c>
      <c r="D95" s="44">
        <f t="shared" ref="D95:L95" si="26">IF(((D93="")*AND(D94="")),"",(D93-D94)*2)</f>
        <v>2881.6999999999989</v>
      </c>
      <c r="E95" s="44">
        <f t="shared" si="26"/>
        <v>2786.9999999999991</v>
      </c>
      <c r="F95" s="44">
        <f t="shared" si="26"/>
        <v>2797.62</v>
      </c>
      <c r="G95" s="44">
        <f t="shared" si="26"/>
        <v>2792.38</v>
      </c>
      <c r="H95" s="44">
        <f t="shared" si="26"/>
        <v>2889.6800000000003</v>
      </c>
      <c r="I95" s="44">
        <f t="shared" si="26"/>
        <v>2867.4800000000005</v>
      </c>
      <c r="J95" s="44">
        <f t="shared" si="26"/>
        <v>2781.8999999999996</v>
      </c>
      <c r="K95" s="44">
        <f t="shared" si="26"/>
        <v>2786.1799999999994</v>
      </c>
      <c r="L95" s="44">
        <f t="shared" si="26"/>
        <v>2906.76</v>
      </c>
      <c r="M95" s="44"/>
      <c r="N95" s="44"/>
      <c r="O95" s="44"/>
      <c r="P95" s="44"/>
      <c r="Q95" s="42"/>
      <c r="R95" s="42"/>
      <c r="S95" s="43"/>
      <c r="T95" s="42"/>
      <c r="U95" s="42"/>
      <c r="V95" s="41"/>
      <c r="W95" s="42"/>
      <c r="X95" s="8"/>
      <c r="Y95" s="78"/>
      <c r="Z95" s="8"/>
      <c r="AA95" s="8"/>
      <c r="AB95" s="8"/>
      <c r="AC95" s="8"/>
      <c r="AD95" s="8"/>
    </row>
    <row r="96" spans="1:30" x14ac:dyDescent="0.25">
      <c r="A96" s="205">
        <v>42601</v>
      </c>
      <c r="B96" s="63" t="s">
        <v>160</v>
      </c>
      <c r="C96" s="56" t="s">
        <v>158</v>
      </c>
      <c r="D96" s="8">
        <v>1909.24</v>
      </c>
      <c r="E96" s="8">
        <v>1904.25</v>
      </c>
      <c r="F96" s="8">
        <v>1898.19</v>
      </c>
      <c r="G96" s="8">
        <v>1904.57</v>
      </c>
      <c r="H96" s="8">
        <v>1913.14</v>
      </c>
      <c r="I96" s="8">
        <v>1911.84</v>
      </c>
      <c r="J96" s="8">
        <v>1904.87</v>
      </c>
      <c r="K96" s="8">
        <v>1905.29</v>
      </c>
      <c r="L96" s="8">
        <v>1913.25</v>
      </c>
      <c r="M96" s="80"/>
      <c r="N96" s="80"/>
      <c r="O96" s="80"/>
      <c r="P96" s="80"/>
      <c r="Q96" s="63">
        <f>IF((L97=""),"",MAX(D98:L98))</f>
        <v>2653.08</v>
      </c>
      <c r="R96" s="63">
        <f>IF(L97="","",MIN(D98:L98))</f>
        <v>2495.6000000000004</v>
      </c>
      <c r="S96" s="63">
        <f>IF((L98=""),"",AVERAGE(D98:L98))</f>
        <v>2566.56</v>
      </c>
      <c r="T96" s="63">
        <f>IF((L97=""),"",((Q96-R96)/(Q96+R96))*100)</f>
        <v>3.0586480418281878</v>
      </c>
      <c r="U96" s="51">
        <f>STDEV(D96:L96)</f>
        <v>5.0429524531215346</v>
      </c>
      <c r="V96" s="64" t="str">
        <f>IF(L97="","",(IF(T96&lt;12,IF(S96&gt;2200,IF(S96&lt;3280,"Pass","Fail"),"Fail"),"Fail")))</f>
        <v>Pass</v>
      </c>
      <c r="W96" s="63">
        <v>1335</v>
      </c>
      <c r="Y96" s="81" t="s">
        <v>215</v>
      </c>
      <c r="Z96" s="37">
        <v>2000</v>
      </c>
      <c r="AA96" s="37">
        <v>3000</v>
      </c>
      <c r="AB96" s="37">
        <v>2200</v>
      </c>
      <c r="AC96" s="37">
        <v>3280</v>
      </c>
      <c r="AD96" s="39">
        <v>12</v>
      </c>
    </row>
    <row r="97" spans="1:30" ht="16.5" customHeight="1" x14ac:dyDescent="0.35">
      <c r="A97" s="206"/>
      <c r="B97" s="48"/>
      <c r="C97" s="51" t="s">
        <v>157</v>
      </c>
      <c r="D97" s="8">
        <v>1247.74</v>
      </c>
      <c r="E97" s="8">
        <v>1254.04</v>
      </c>
      <c r="F97" s="8">
        <v>1273.0899999999999</v>
      </c>
      <c r="G97" s="8">
        <v>1273.46</v>
      </c>
      <c r="H97" s="8">
        <v>1289.24</v>
      </c>
      <c r="I97" s="8">
        <v>1248.57</v>
      </c>
      <c r="J97" s="8">
        <v>1255.1400000000001</v>
      </c>
      <c r="K97" s="8">
        <v>1270.27</v>
      </c>
      <c r="L97" s="8">
        <v>1278.33</v>
      </c>
      <c r="M97" s="80"/>
      <c r="N97" s="80"/>
      <c r="O97" s="80"/>
      <c r="P97" s="80"/>
      <c r="Q97" s="48"/>
      <c r="R97" s="48"/>
      <c r="S97" s="48"/>
      <c r="T97" s="48"/>
      <c r="U97" s="48"/>
      <c r="V97" s="47"/>
      <c r="W97" s="48"/>
      <c r="X97" s="8"/>
      <c r="Y97" s="79"/>
    </row>
    <row r="98" spans="1:30" ht="24.8" customHeight="1" thickBot="1" x14ac:dyDescent="0.4">
      <c r="A98" s="206"/>
      <c r="B98" s="61"/>
      <c r="C98" s="51" t="s">
        <v>156</v>
      </c>
      <c r="D98" s="24">
        <f t="shared" ref="D98:L98" si="27">IF(((D96="")*AND(D97="")),"",(D96-D97)*4)</f>
        <v>2646</v>
      </c>
      <c r="E98" s="24">
        <f t="shared" si="27"/>
        <v>2600.84</v>
      </c>
      <c r="F98" s="24">
        <f t="shared" si="27"/>
        <v>2500.4000000000005</v>
      </c>
      <c r="G98" s="24">
        <f t="shared" si="27"/>
        <v>2524.4399999999996</v>
      </c>
      <c r="H98" s="24">
        <f t="shared" si="27"/>
        <v>2495.6000000000004</v>
      </c>
      <c r="I98" s="24">
        <f t="shared" si="27"/>
        <v>2653.08</v>
      </c>
      <c r="J98" s="24">
        <f t="shared" si="27"/>
        <v>2598.9199999999992</v>
      </c>
      <c r="K98" s="24">
        <f t="shared" si="27"/>
        <v>2540.08</v>
      </c>
      <c r="L98" s="24">
        <f t="shared" si="27"/>
        <v>2539.6800000000003</v>
      </c>
      <c r="M98" s="24"/>
      <c r="N98" s="24"/>
      <c r="O98" s="24"/>
      <c r="P98" s="24" t="str">
        <f>IF(((P96="")*AND(P97="")),"",(P96-P97)*4)</f>
        <v/>
      </c>
      <c r="Q98" s="61"/>
      <c r="R98" s="61"/>
      <c r="S98" s="61"/>
      <c r="T98" s="61"/>
      <c r="U98" s="61"/>
      <c r="V98" s="60"/>
      <c r="W98" s="42"/>
      <c r="X98" s="8"/>
      <c r="Y98" s="79"/>
    </row>
    <row r="99" spans="1:30" x14ac:dyDescent="0.25">
      <c r="A99" s="205">
        <v>42601</v>
      </c>
      <c r="B99" s="57" t="s">
        <v>159</v>
      </c>
      <c r="C99" s="51" t="s">
        <v>158</v>
      </c>
      <c r="D99" s="8">
        <v>6850.47</v>
      </c>
      <c r="E99" s="8">
        <v>6863.75</v>
      </c>
      <c r="F99" s="8">
        <v>6863.22</v>
      </c>
      <c r="G99" s="8">
        <v>6859.25</v>
      </c>
      <c r="H99" s="8">
        <v>6960.76</v>
      </c>
      <c r="I99" s="8">
        <v>6887.13</v>
      </c>
      <c r="J99" s="8">
        <v>6859.51</v>
      </c>
      <c r="K99" s="8">
        <v>6883.92</v>
      </c>
      <c r="L99" s="8">
        <v>7017.85</v>
      </c>
      <c r="M99" s="80"/>
      <c r="N99" s="80"/>
      <c r="O99" s="80"/>
      <c r="P99" s="80"/>
      <c r="Q99" s="57">
        <f>IF((L100=""),"",MAX(D101:L101))</f>
        <v>2649.5200000000004</v>
      </c>
      <c r="R99" s="57">
        <f>IF(L100="","",MIN(D101:L101))</f>
        <v>2586.5</v>
      </c>
      <c r="S99" s="58">
        <f>IF((L101=""),"",AVERAGE(D101:L101))</f>
        <v>2633.7044444444446</v>
      </c>
      <c r="T99" s="57">
        <f>IF((L100=""),"",((Q99-R99)/(Q99+R99))*100)</f>
        <v>1.2035859297710938</v>
      </c>
      <c r="U99" s="56">
        <f>STDEV(D99:L99)</f>
        <v>57.117177388048383</v>
      </c>
      <c r="V99" s="55" t="str">
        <f>IF(L100="","",(IF(T99&lt;7,IF(S99&gt;2800,IF(S99&lt;3800,"Pass","Fail"),"Fail"),"Fail")))</f>
        <v>Fail</v>
      </c>
      <c r="W99" s="63">
        <v>1335</v>
      </c>
      <c r="Y99" s="79"/>
      <c r="Z99" s="53">
        <v>2800</v>
      </c>
      <c r="AA99" s="53">
        <v>3800</v>
      </c>
      <c r="AB99" s="53">
        <v>3100</v>
      </c>
      <c r="AC99" s="53">
        <v>3760</v>
      </c>
      <c r="AD99" s="52">
        <v>6</v>
      </c>
    </row>
    <row r="100" spans="1:30" ht="16.5" customHeight="1" x14ac:dyDescent="0.35">
      <c r="A100" s="206"/>
      <c r="B100" s="48"/>
      <c r="C100" s="51" t="s">
        <v>157</v>
      </c>
      <c r="D100" s="8">
        <v>5557.22</v>
      </c>
      <c r="E100" s="8">
        <v>5542.35</v>
      </c>
      <c r="F100" s="8">
        <v>5540.34</v>
      </c>
      <c r="G100" s="8">
        <v>5536.66</v>
      </c>
      <c r="H100" s="8">
        <v>5651.96</v>
      </c>
      <c r="I100" s="8">
        <v>5566.05</v>
      </c>
      <c r="J100" s="8">
        <v>5542.91</v>
      </c>
      <c r="K100" s="8">
        <v>5563.61</v>
      </c>
      <c r="L100" s="8">
        <v>5693.09</v>
      </c>
      <c r="M100" s="80"/>
      <c r="N100" s="80"/>
      <c r="O100" s="80"/>
      <c r="P100" s="80"/>
      <c r="Q100" s="48"/>
      <c r="R100" s="48"/>
      <c r="S100" s="49"/>
      <c r="T100" s="48"/>
      <c r="U100" s="48"/>
      <c r="V100" s="47"/>
      <c r="W100" s="48"/>
      <c r="X100" s="8"/>
      <c r="Y100" s="79"/>
      <c r="Z100" s="8"/>
      <c r="AA100" s="8"/>
      <c r="AB100" s="8"/>
      <c r="AC100" s="8"/>
      <c r="AD100" s="8"/>
    </row>
    <row r="101" spans="1:30" ht="24.8" customHeight="1" thickBot="1" x14ac:dyDescent="0.4">
      <c r="A101" s="206"/>
      <c r="B101" s="42"/>
      <c r="C101" s="45" t="s">
        <v>156</v>
      </c>
      <c r="D101" s="44">
        <f t="shared" ref="D101:L101" si="28">IF(((D99="")*AND(D100="")),"",(D99-D100)*2)</f>
        <v>2586.5</v>
      </c>
      <c r="E101" s="44">
        <f t="shared" si="28"/>
        <v>2642.7999999999993</v>
      </c>
      <c r="F101" s="44">
        <f t="shared" si="28"/>
        <v>2645.76</v>
      </c>
      <c r="G101" s="44">
        <f t="shared" si="28"/>
        <v>2645.1800000000003</v>
      </c>
      <c r="H101" s="44">
        <f t="shared" si="28"/>
        <v>2617.6000000000004</v>
      </c>
      <c r="I101" s="44">
        <f t="shared" si="28"/>
        <v>2642.16</v>
      </c>
      <c r="J101" s="44">
        <f t="shared" si="28"/>
        <v>2633.2000000000007</v>
      </c>
      <c r="K101" s="44">
        <f t="shared" si="28"/>
        <v>2640.6200000000008</v>
      </c>
      <c r="L101" s="44">
        <f t="shared" si="28"/>
        <v>2649.5200000000004</v>
      </c>
      <c r="M101" s="44"/>
      <c r="N101" s="44"/>
      <c r="O101" s="44"/>
      <c r="P101" s="44"/>
      <c r="Q101" s="42"/>
      <c r="R101" s="42"/>
      <c r="S101" s="43"/>
      <c r="T101" s="42"/>
      <c r="U101" s="42"/>
      <c r="V101" s="41"/>
      <c r="W101" s="42"/>
      <c r="X101" s="8"/>
      <c r="Y101" s="78"/>
      <c r="Z101" s="8"/>
      <c r="AA101" s="8"/>
      <c r="AB101" s="8"/>
      <c r="AC101" s="8"/>
      <c r="AD101" s="8"/>
    </row>
    <row r="102" spans="1:30" x14ac:dyDescent="0.25">
      <c r="A102" s="205">
        <v>42606</v>
      </c>
      <c r="B102" s="63" t="s">
        <v>160</v>
      </c>
      <c r="C102" s="56" t="s">
        <v>158</v>
      </c>
      <c r="D102" s="8">
        <v>1912.86</v>
      </c>
      <c r="E102" s="8">
        <v>1905.94</v>
      </c>
      <c r="F102" s="8">
        <v>1891.17</v>
      </c>
      <c r="G102" s="8">
        <v>1902.18</v>
      </c>
      <c r="H102" s="8">
        <v>1917.06</v>
      </c>
      <c r="I102" s="8">
        <v>1907.9</v>
      </c>
      <c r="J102" s="8">
        <v>1900.9</v>
      </c>
      <c r="K102" s="8">
        <v>1903.36</v>
      </c>
      <c r="L102" s="8">
        <v>1916.25</v>
      </c>
      <c r="M102" s="80"/>
      <c r="N102" s="80"/>
      <c r="O102" s="80"/>
      <c r="P102" s="80"/>
      <c r="Q102" s="63">
        <f>IF((L103=""),"",MAX(D104:L104))</f>
        <v>2618.5599999999995</v>
      </c>
      <c r="R102" s="63">
        <f>IF(L103="","",MIN(D104:L104))</f>
        <v>2448.8000000000002</v>
      </c>
      <c r="S102" s="63">
        <f>IF((L104=""),"",AVERAGE(D104:L104))</f>
        <v>2530.5644444444442</v>
      </c>
      <c r="T102" s="63">
        <f>IF((L103=""),"",((Q102-R102)/(Q102+R102))*100)</f>
        <v>3.350067885447241</v>
      </c>
      <c r="U102" s="51">
        <f>STDEV(D102:L102)</f>
        <v>8.2470006332268326</v>
      </c>
      <c r="V102" s="64" t="str">
        <f>IF(L103="","",(IF(T102&lt;12,IF(S102&gt;2200,IF(S102&lt;3280,"Pass","Fail"),"Fail"),"Fail")))</f>
        <v>Pass</v>
      </c>
      <c r="W102" s="63">
        <v>1335</v>
      </c>
      <c r="Y102" s="81" t="s">
        <v>215</v>
      </c>
      <c r="Z102" s="37">
        <v>2000</v>
      </c>
      <c r="AA102" s="37">
        <v>3000</v>
      </c>
      <c r="AB102" s="37">
        <v>2200</v>
      </c>
      <c r="AC102" s="37">
        <v>3280</v>
      </c>
      <c r="AD102" s="39">
        <v>12</v>
      </c>
    </row>
    <row r="103" spans="1:30" ht="16.5" customHeight="1" x14ac:dyDescent="0.35">
      <c r="A103" s="206"/>
      <c r="B103" s="48"/>
      <c r="C103" s="51" t="s">
        <v>157</v>
      </c>
      <c r="D103" s="8">
        <v>1258.22</v>
      </c>
      <c r="E103" s="8">
        <v>1264.72</v>
      </c>
      <c r="F103" s="8">
        <v>1274.69</v>
      </c>
      <c r="G103" s="8">
        <v>1277.3</v>
      </c>
      <c r="H103" s="8">
        <v>1304.8599999999999</v>
      </c>
      <c r="I103" s="8">
        <v>1254.24</v>
      </c>
      <c r="J103" s="8">
        <v>1259.6400000000001</v>
      </c>
      <c r="K103" s="8">
        <v>1276.75</v>
      </c>
      <c r="L103" s="8">
        <v>1293.43</v>
      </c>
      <c r="M103" s="80"/>
      <c r="N103" s="80"/>
      <c r="O103" s="80"/>
      <c r="P103" s="80"/>
      <c r="Q103" s="48"/>
      <c r="R103" s="48"/>
      <c r="S103" s="48"/>
      <c r="T103" s="48"/>
      <c r="U103" s="48"/>
      <c r="V103" s="47"/>
      <c r="W103" s="48"/>
      <c r="X103" s="8"/>
      <c r="Y103" s="79"/>
    </row>
    <row r="104" spans="1:30" ht="24.8" customHeight="1" thickBot="1" x14ac:dyDescent="0.4">
      <c r="A104" s="206"/>
      <c r="B104" s="61"/>
      <c r="C104" s="51" t="s">
        <v>156</v>
      </c>
      <c r="D104" s="24">
        <f t="shared" ref="D104:L104" si="29">IF(((D102="")*AND(D103="")),"",(D102-D103)*4)</f>
        <v>2618.5599999999995</v>
      </c>
      <c r="E104" s="24">
        <f t="shared" si="29"/>
        <v>2564.88</v>
      </c>
      <c r="F104" s="24">
        <f t="shared" si="29"/>
        <v>2465.92</v>
      </c>
      <c r="G104" s="24">
        <f t="shared" si="29"/>
        <v>2499.5200000000004</v>
      </c>
      <c r="H104" s="24">
        <f t="shared" si="29"/>
        <v>2448.8000000000002</v>
      </c>
      <c r="I104" s="24">
        <f t="shared" si="29"/>
        <v>2614.6400000000003</v>
      </c>
      <c r="J104" s="24">
        <f t="shared" si="29"/>
        <v>2565.04</v>
      </c>
      <c r="K104" s="24">
        <f t="shared" si="29"/>
        <v>2506.4399999999996</v>
      </c>
      <c r="L104" s="24">
        <f t="shared" si="29"/>
        <v>2491.2799999999997</v>
      </c>
      <c r="M104" s="24"/>
      <c r="N104" s="24"/>
      <c r="O104" s="24"/>
      <c r="P104" s="24" t="str">
        <f>IF(((P102="")*AND(P103="")),"",(P102-P103)*4)</f>
        <v/>
      </c>
      <c r="Q104" s="61"/>
      <c r="R104" s="61"/>
      <c r="S104" s="61"/>
      <c r="T104" s="61"/>
      <c r="U104" s="61"/>
      <c r="V104" s="60"/>
      <c r="W104" s="42"/>
      <c r="X104" s="8"/>
      <c r="Y104" s="79"/>
    </row>
    <row r="105" spans="1:30" x14ac:dyDescent="0.25">
      <c r="A105" s="205">
        <v>42606</v>
      </c>
      <c r="B105" s="57" t="s">
        <v>159</v>
      </c>
      <c r="C105" s="51" t="s">
        <v>158</v>
      </c>
      <c r="D105" s="8">
        <v>5567.87</v>
      </c>
      <c r="E105" s="8">
        <v>5552.01</v>
      </c>
      <c r="F105" s="8">
        <v>5549.57</v>
      </c>
      <c r="G105" s="8">
        <v>5544.66</v>
      </c>
      <c r="H105" s="8">
        <v>5660.88</v>
      </c>
      <c r="I105" s="8">
        <v>5575.69</v>
      </c>
      <c r="J105" s="8">
        <v>5551.27</v>
      </c>
      <c r="K105" s="8">
        <v>5573.51</v>
      </c>
      <c r="L105" s="8">
        <v>5702.67</v>
      </c>
      <c r="M105" s="80"/>
      <c r="N105" s="80"/>
      <c r="O105" s="80"/>
      <c r="P105" s="80"/>
      <c r="Q105" s="57">
        <f>IF((L106=""),"",MAX(D107:L107))</f>
        <v>2654.5200000000004</v>
      </c>
      <c r="R105" s="57">
        <f>IF(L106="","",MIN(D107:L107))</f>
        <v>2575.2600000000002</v>
      </c>
      <c r="S105" s="58">
        <f>IF((L107=""),"",AVERAGE(D107:L107))</f>
        <v>2634.3000000000006</v>
      </c>
      <c r="T105" s="57">
        <f>IF((L106=""),"",((Q105-R105)/(Q105+R105))*100)</f>
        <v>1.5155513233826321</v>
      </c>
      <c r="U105" s="56">
        <f>STDEV(D105:L105)</f>
        <v>56.131135175685827</v>
      </c>
      <c r="V105" s="55" t="str">
        <f>IF(L106="","",(IF(T105&lt;7,IF(S105&gt;2800,IF(S105&lt;3800,"Pass","Fail"),"Fail"),"Fail")))</f>
        <v>Fail</v>
      </c>
      <c r="W105" s="63">
        <v>1335</v>
      </c>
      <c r="Y105" s="79"/>
      <c r="Z105" s="53">
        <v>2800</v>
      </c>
      <c r="AA105" s="53">
        <v>3800</v>
      </c>
      <c r="AB105" s="53">
        <v>3100</v>
      </c>
      <c r="AC105" s="53">
        <v>3760</v>
      </c>
      <c r="AD105" s="52">
        <v>6</v>
      </c>
    </row>
    <row r="106" spans="1:30" ht="16.5" customHeight="1" x14ac:dyDescent="0.35">
      <c r="A106" s="206"/>
      <c r="B106" s="48"/>
      <c r="C106" s="51" t="s">
        <v>157</v>
      </c>
      <c r="D106" s="8">
        <v>4280.24</v>
      </c>
      <c r="E106" s="8">
        <v>4227.82</v>
      </c>
      <c r="F106" s="8">
        <v>4223.7299999999996</v>
      </c>
      <c r="G106" s="8">
        <v>4217.3999999999996</v>
      </c>
      <c r="H106" s="8">
        <v>4350.1899999999996</v>
      </c>
      <c r="I106" s="8">
        <v>4257.32</v>
      </c>
      <c r="J106" s="8">
        <v>4232.5200000000004</v>
      </c>
      <c r="K106" s="8">
        <v>4251.2</v>
      </c>
      <c r="L106" s="8">
        <v>4383.3599999999997</v>
      </c>
      <c r="M106" s="80"/>
      <c r="N106" s="80"/>
      <c r="O106" s="80"/>
      <c r="P106" s="80"/>
      <c r="Q106" s="48"/>
      <c r="R106" s="48"/>
      <c r="S106" s="49"/>
      <c r="T106" s="48"/>
      <c r="U106" s="48"/>
      <c r="V106" s="47"/>
      <c r="W106" s="48"/>
      <c r="X106" s="8"/>
      <c r="Y106" s="79"/>
      <c r="Z106" s="8"/>
      <c r="AA106" s="8"/>
      <c r="AB106" s="8"/>
      <c r="AC106" s="8"/>
      <c r="AD106" s="8"/>
    </row>
    <row r="107" spans="1:30" ht="24.8" customHeight="1" thickBot="1" x14ac:dyDescent="0.4">
      <c r="A107" s="206"/>
      <c r="B107" s="42"/>
      <c r="C107" s="45" t="s">
        <v>156</v>
      </c>
      <c r="D107" s="44">
        <f t="shared" ref="D107:L107" si="30">IF(((D105="")*AND(D106="")),"",(D105-D106)*2)</f>
        <v>2575.2600000000002</v>
      </c>
      <c r="E107" s="44">
        <f t="shared" si="30"/>
        <v>2648.380000000001</v>
      </c>
      <c r="F107" s="44">
        <f t="shared" si="30"/>
        <v>2651.6800000000003</v>
      </c>
      <c r="G107" s="44">
        <f t="shared" si="30"/>
        <v>2654.5200000000004</v>
      </c>
      <c r="H107" s="44">
        <f t="shared" si="30"/>
        <v>2621.380000000001</v>
      </c>
      <c r="I107" s="44">
        <f t="shared" si="30"/>
        <v>2636.74</v>
      </c>
      <c r="J107" s="44">
        <f t="shared" si="30"/>
        <v>2637.5</v>
      </c>
      <c r="K107" s="44">
        <f t="shared" si="30"/>
        <v>2644.6200000000008</v>
      </c>
      <c r="L107" s="44">
        <f t="shared" si="30"/>
        <v>2638.6200000000008</v>
      </c>
      <c r="M107" s="44"/>
      <c r="N107" s="44"/>
      <c r="O107" s="44"/>
      <c r="P107" s="44"/>
      <c r="Q107" s="42"/>
      <c r="R107" s="42"/>
      <c r="S107" s="43"/>
      <c r="T107" s="42"/>
      <c r="U107" s="42"/>
      <c r="V107" s="41"/>
      <c r="W107" s="42"/>
      <c r="X107" s="8"/>
      <c r="Y107" s="78"/>
      <c r="Z107" s="8"/>
      <c r="AA107" s="8"/>
      <c r="AB107" s="8"/>
      <c r="AC107" s="8"/>
      <c r="AD107" s="8"/>
    </row>
    <row r="108" spans="1:30" x14ac:dyDescent="0.25">
      <c r="A108" s="205">
        <v>42610</v>
      </c>
      <c r="B108" s="63" t="s">
        <v>160</v>
      </c>
      <c r="C108" s="56" t="s">
        <v>158</v>
      </c>
      <c r="D108" s="8">
        <v>1917.98</v>
      </c>
      <c r="E108" s="8">
        <v>1913</v>
      </c>
      <c r="F108" s="8">
        <v>1911.46</v>
      </c>
      <c r="G108" s="8">
        <v>1911.31</v>
      </c>
      <c r="H108" s="8">
        <v>1918.09</v>
      </c>
      <c r="I108" s="8">
        <v>1915.03</v>
      </c>
      <c r="J108" s="8">
        <v>1911.82</v>
      </c>
      <c r="K108" s="8">
        <v>1915.19</v>
      </c>
      <c r="L108" s="8">
        <v>1916.31</v>
      </c>
      <c r="M108" s="80"/>
      <c r="N108" s="80"/>
      <c r="O108" s="80"/>
      <c r="P108" s="80"/>
      <c r="Q108" s="63">
        <f>IF((L109=""),"",MAX(D110:L110))</f>
        <v>2626.08</v>
      </c>
      <c r="R108" s="63">
        <f>IF(L109="","",MIN(D110:L110))</f>
        <v>2446.7199999999993</v>
      </c>
      <c r="S108" s="63">
        <f>IF((L110=""),"",AVERAGE(D110:L110))</f>
        <v>2553.2666666666664</v>
      </c>
      <c r="T108" s="63">
        <f>IF((L109=""),"",((Q108-R108)/(Q108+R108))*100)</f>
        <v>3.5357199179940193</v>
      </c>
      <c r="U108" s="51">
        <f>STDEV(D108:L108)</f>
        <v>2.6895869158251342</v>
      </c>
      <c r="V108" s="64" t="str">
        <f>IF(L109="","",(IF(T108&lt;12,IF(S108&gt;2200,IF(S108&lt;3280,"Pass","Fail"),"Fail"),"Fail")))</f>
        <v>Pass</v>
      </c>
      <c r="W108" s="63">
        <v>1400</v>
      </c>
      <c r="Y108" s="81" t="s">
        <v>215</v>
      </c>
      <c r="Z108" s="37">
        <v>2000</v>
      </c>
      <c r="AA108" s="37">
        <v>3000</v>
      </c>
      <c r="AB108" s="37">
        <v>2200</v>
      </c>
      <c r="AC108" s="37">
        <v>3280</v>
      </c>
      <c r="AD108" s="39">
        <v>12</v>
      </c>
    </row>
    <row r="109" spans="1:30" ht="16.5" customHeight="1" x14ac:dyDescent="0.35">
      <c r="A109" s="206"/>
      <c r="B109" s="48"/>
      <c r="C109" s="51" t="s">
        <v>157</v>
      </c>
      <c r="D109" s="8">
        <v>1261.46</v>
      </c>
      <c r="E109" s="8">
        <v>1264.79</v>
      </c>
      <c r="F109" s="8">
        <v>1283.31</v>
      </c>
      <c r="G109" s="8">
        <v>1278.46</v>
      </c>
      <c r="H109" s="8">
        <v>1306.4100000000001</v>
      </c>
      <c r="I109" s="8">
        <v>1259.1199999999999</v>
      </c>
      <c r="J109" s="8">
        <v>1263.1600000000001</v>
      </c>
      <c r="K109" s="8">
        <v>1279.19</v>
      </c>
      <c r="L109" s="8">
        <v>1289.44</v>
      </c>
      <c r="M109" s="80"/>
      <c r="N109" s="80"/>
      <c r="O109" s="80"/>
      <c r="P109" s="80"/>
      <c r="Q109" s="48"/>
      <c r="R109" s="48"/>
      <c r="S109" s="48"/>
      <c r="T109" s="48"/>
      <c r="U109" s="48"/>
      <c r="V109" s="47"/>
      <c r="W109" s="48"/>
      <c r="X109" s="79"/>
    </row>
    <row r="110" spans="1:30" ht="24.8" customHeight="1" thickBot="1" x14ac:dyDescent="0.4">
      <c r="A110" s="206"/>
      <c r="B110" s="61"/>
      <c r="C110" s="51" t="s">
        <v>156</v>
      </c>
      <c r="D110" s="24">
        <f t="shared" ref="D110:L110" si="31">IF(((D108="")*AND(D109="")),"",(D108-D109)*4)</f>
        <v>2626.08</v>
      </c>
      <c r="E110" s="24">
        <f t="shared" si="31"/>
        <v>2592.84</v>
      </c>
      <c r="F110" s="24">
        <f t="shared" si="31"/>
        <v>2512.6000000000004</v>
      </c>
      <c r="G110" s="24">
        <f t="shared" si="31"/>
        <v>2531.3999999999996</v>
      </c>
      <c r="H110" s="24">
        <f t="shared" si="31"/>
        <v>2446.7199999999993</v>
      </c>
      <c r="I110" s="24">
        <f t="shared" si="31"/>
        <v>2623.6400000000003</v>
      </c>
      <c r="J110" s="24">
        <f t="shared" si="31"/>
        <v>2594.6399999999994</v>
      </c>
      <c r="K110" s="24">
        <f t="shared" si="31"/>
        <v>2544</v>
      </c>
      <c r="L110" s="24">
        <f t="shared" si="31"/>
        <v>2507.4799999999996</v>
      </c>
      <c r="M110" s="24"/>
      <c r="N110" s="24"/>
      <c r="O110" s="24"/>
      <c r="P110" s="24" t="str">
        <f>IF(((P108="")*AND(P109="")),"",(P108-P109)*4)</f>
        <v/>
      </c>
      <c r="Q110" s="61"/>
      <c r="R110" s="61"/>
      <c r="S110" s="61"/>
      <c r="T110" s="61"/>
      <c r="U110" s="61"/>
      <c r="V110" s="41"/>
      <c r="W110" s="42"/>
      <c r="X110" s="79"/>
    </row>
    <row r="111" spans="1:30" x14ac:dyDescent="0.25">
      <c r="A111" s="205">
        <v>42610</v>
      </c>
      <c r="B111" s="57" t="s">
        <v>159</v>
      </c>
      <c r="C111" s="51" t="s">
        <v>158</v>
      </c>
      <c r="D111" s="8">
        <v>4292.97</v>
      </c>
      <c r="E111" s="8">
        <v>4240.3999999999996</v>
      </c>
      <c r="F111" s="8">
        <v>4235.97</v>
      </c>
      <c r="G111" s="8">
        <v>4229.78</v>
      </c>
      <c r="H111" s="8">
        <v>4363.3900000000003</v>
      </c>
      <c r="I111" s="8">
        <v>4271.13</v>
      </c>
      <c r="J111" s="8">
        <v>4244.63</v>
      </c>
      <c r="K111" s="8">
        <v>4263.26</v>
      </c>
      <c r="L111" s="8">
        <v>4395.12</v>
      </c>
      <c r="M111" s="80"/>
      <c r="N111" s="80"/>
      <c r="O111" s="80"/>
      <c r="P111" s="80"/>
      <c r="Q111" s="57">
        <f>IF((L112=""),"",MAX(D113:L113))</f>
        <v>2700.2800000000007</v>
      </c>
      <c r="R111" s="57">
        <f>IF(L112="","",MIN(D113:L113))</f>
        <v>2608.6400000000003</v>
      </c>
      <c r="S111" s="58">
        <f>IF((L113=""),"",AVERAGE(D113:L113))</f>
        <v>2671.3</v>
      </c>
      <c r="T111" s="57">
        <f>IF((L112=""),"",((Q111-R111)/(Q111+R111))*100)</f>
        <v>1.7261514583003759</v>
      </c>
      <c r="U111" s="56">
        <f>STDEV(D111:L111)</f>
        <v>59.142535031904117</v>
      </c>
      <c r="V111" s="55" t="str">
        <f>IF(L112="","",(IF(T111&lt;7,IF(S111&gt;2800,IF(S111&lt;3800,"Pass","Fail"),"Fail"),"Fail")))</f>
        <v>Fail</v>
      </c>
      <c r="W111" s="63">
        <v>1400</v>
      </c>
      <c r="X111" s="249"/>
      <c r="Z111" s="53">
        <v>2800</v>
      </c>
      <c r="AA111" s="53">
        <v>3800</v>
      </c>
      <c r="AB111" s="53">
        <v>3100</v>
      </c>
      <c r="AC111" s="53">
        <v>3760</v>
      </c>
      <c r="AD111" s="52">
        <v>6</v>
      </c>
    </row>
    <row r="112" spans="1:30" ht="16.5" customHeight="1" x14ac:dyDescent="0.35">
      <c r="A112" s="206"/>
      <c r="B112" s="48"/>
      <c r="C112" s="51" t="s">
        <v>157</v>
      </c>
      <c r="D112" s="8">
        <v>2975.51</v>
      </c>
      <c r="E112" s="8">
        <v>2892.42</v>
      </c>
      <c r="F112" s="8">
        <v>2885.83</v>
      </c>
      <c r="G112" s="8">
        <v>2883.09</v>
      </c>
      <c r="H112" s="8">
        <v>3059.07</v>
      </c>
      <c r="I112" s="8">
        <v>2946.78</v>
      </c>
      <c r="J112" s="8">
        <v>2905.2</v>
      </c>
      <c r="K112" s="8">
        <v>2919.02</v>
      </c>
      <c r="L112" s="8">
        <v>3048.88</v>
      </c>
      <c r="M112" s="80"/>
      <c r="N112" s="80"/>
      <c r="O112" s="80"/>
      <c r="P112" s="80"/>
      <c r="Q112" s="48"/>
      <c r="R112" s="48"/>
      <c r="S112" s="49"/>
      <c r="T112" s="48"/>
      <c r="U112" s="48"/>
      <c r="V112" s="47"/>
      <c r="W112" s="48"/>
      <c r="X112" s="79"/>
      <c r="Z112" s="8"/>
      <c r="AA112" s="8"/>
      <c r="AB112" s="8"/>
      <c r="AC112" s="8"/>
      <c r="AD112" s="8"/>
    </row>
    <row r="113" spans="1:30" ht="24.8" customHeight="1" thickBot="1" x14ac:dyDescent="0.4">
      <c r="A113" s="206"/>
      <c r="B113" s="42"/>
      <c r="C113" s="45" t="s">
        <v>156</v>
      </c>
      <c r="D113" s="44">
        <f t="shared" ref="D113:L113" si="32">IF(((D111="")*AND(D112="")),"",(D111-D112)*2)</f>
        <v>2634.92</v>
      </c>
      <c r="E113" s="44">
        <f t="shared" si="32"/>
        <v>2695.9599999999991</v>
      </c>
      <c r="F113" s="44">
        <f t="shared" si="32"/>
        <v>2700.2800000000007</v>
      </c>
      <c r="G113" s="44">
        <f t="shared" si="32"/>
        <v>2693.3799999999992</v>
      </c>
      <c r="H113" s="44">
        <f t="shared" si="32"/>
        <v>2608.6400000000003</v>
      </c>
      <c r="I113" s="44">
        <f t="shared" si="32"/>
        <v>2648.7</v>
      </c>
      <c r="J113" s="44">
        <f t="shared" si="32"/>
        <v>2678.8600000000006</v>
      </c>
      <c r="K113" s="44">
        <f t="shared" si="32"/>
        <v>2688.4800000000005</v>
      </c>
      <c r="L113" s="44">
        <f t="shared" si="32"/>
        <v>2692.4799999999996</v>
      </c>
      <c r="M113" s="44"/>
      <c r="N113" s="44"/>
      <c r="O113" s="44"/>
      <c r="P113" s="44"/>
      <c r="Q113" s="42"/>
      <c r="R113" s="42"/>
      <c r="S113" s="43"/>
      <c r="T113" s="42"/>
      <c r="U113" s="48"/>
      <c r="V113" s="41"/>
      <c r="W113" s="42"/>
      <c r="X113" s="78"/>
      <c r="Z113" s="8"/>
      <c r="AA113" s="8"/>
      <c r="AB113" s="8"/>
      <c r="AC113" s="8"/>
      <c r="AD113" s="8"/>
    </row>
    <row r="114" spans="1:30" x14ac:dyDescent="0.25">
      <c r="A114" s="205">
        <v>42614</v>
      </c>
      <c r="B114" s="63" t="s">
        <v>160</v>
      </c>
      <c r="C114" s="56" t="s">
        <v>158</v>
      </c>
      <c r="D114" s="8">
        <v>1913.08</v>
      </c>
      <c r="E114" s="8">
        <v>1905.21</v>
      </c>
      <c r="F114" s="8">
        <v>1894.67</v>
      </c>
      <c r="G114" s="8">
        <v>1901.48</v>
      </c>
      <c r="H114" s="8">
        <v>1916.61</v>
      </c>
      <c r="I114" s="8">
        <v>1908.91</v>
      </c>
      <c r="J114" s="8">
        <v>1903.63</v>
      </c>
      <c r="K114" s="8">
        <v>1905.25</v>
      </c>
      <c r="L114" s="8">
        <v>1914.37</v>
      </c>
      <c r="M114" s="80"/>
      <c r="N114" s="80"/>
      <c r="O114" s="80"/>
      <c r="P114" s="80"/>
      <c r="Q114" s="63">
        <f>IF((L115=""),"",MAX(D116:L116))</f>
        <v>2702.88</v>
      </c>
      <c r="R114" s="63">
        <f>IF(L115="","",MIN(D116:L116))</f>
        <v>2526.5200000000004</v>
      </c>
      <c r="S114" s="63">
        <f>IF((L116=""),"",AVERAGE(D116:L116))</f>
        <v>2596.1466666666665</v>
      </c>
      <c r="T114" s="63">
        <f>IF((L115=""),"",((Q114-R114)/(Q114+R114))*100)</f>
        <v>3.3724710291811615</v>
      </c>
      <c r="U114" s="51">
        <f>STDEV(D114:L114)</f>
        <v>6.9588199430649968</v>
      </c>
      <c r="V114" s="64" t="str">
        <f>IF(L115="","",(IF(T114&lt;12,IF(S114&gt;2200,IF(S114&lt;3280,"Pass","Fail"),"Fail"),"Fail")))</f>
        <v>Pass</v>
      </c>
      <c r="W114" s="63">
        <v>1159</v>
      </c>
      <c r="X114" s="250" t="s">
        <v>276</v>
      </c>
      <c r="Y114" s="37" t="s">
        <v>277</v>
      </c>
      <c r="Z114" s="37">
        <v>2000</v>
      </c>
      <c r="AA114" s="37">
        <v>3000</v>
      </c>
      <c r="AB114" s="37">
        <v>2200</v>
      </c>
      <c r="AC114" s="37">
        <v>3280</v>
      </c>
      <c r="AD114" s="39">
        <v>12</v>
      </c>
    </row>
    <row r="115" spans="1:30" ht="16.5" customHeight="1" x14ac:dyDescent="0.35">
      <c r="A115" s="206"/>
      <c r="B115" s="48"/>
      <c r="C115" s="51" t="s">
        <v>157</v>
      </c>
      <c r="D115" s="8">
        <v>1241.29</v>
      </c>
      <c r="E115" s="8">
        <v>1254.49</v>
      </c>
      <c r="F115" s="8">
        <v>1263.04</v>
      </c>
      <c r="G115" s="8">
        <v>1266.25</v>
      </c>
      <c r="H115" s="8">
        <v>1277.1500000000001</v>
      </c>
      <c r="I115" s="8">
        <v>1233.19</v>
      </c>
      <c r="J115" s="8">
        <v>1249.42</v>
      </c>
      <c r="K115" s="8">
        <v>1267.8399999999999</v>
      </c>
      <c r="L115" s="8">
        <v>1269.21</v>
      </c>
      <c r="M115" s="80"/>
      <c r="N115" s="80"/>
      <c r="O115" s="80"/>
      <c r="P115" s="80"/>
      <c r="Q115" s="48"/>
      <c r="R115" s="48"/>
      <c r="S115" s="48"/>
      <c r="T115" s="48"/>
      <c r="U115" s="48"/>
      <c r="V115" s="47"/>
      <c r="W115" s="48"/>
      <c r="X115" s="79"/>
    </row>
    <row r="116" spans="1:30" ht="24.8" customHeight="1" thickBot="1" x14ac:dyDescent="0.4">
      <c r="A116" s="206"/>
      <c r="B116" s="61"/>
      <c r="C116" s="51" t="s">
        <v>156</v>
      </c>
      <c r="D116" s="24">
        <f t="shared" ref="D116:L116" si="33">IF(((D114="")*AND(D115="")),"",(D114-D115)*4)</f>
        <v>2687.16</v>
      </c>
      <c r="E116" s="24">
        <f t="shared" si="33"/>
        <v>2602.88</v>
      </c>
      <c r="F116" s="24">
        <f t="shared" si="33"/>
        <v>2526.5200000000004</v>
      </c>
      <c r="G116" s="24">
        <f t="shared" si="33"/>
        <v>2540.92</v>
      </c>
      <c r="H116" s="24">
        <f t="shared" si="33"/>
        <v>2557.8399999999992</v>
      </c>
      <c r="I116" s="24">
        <f t="shared" si="33"/>
        <v>2702.88</v>
      </c>
      <c r="J116" s="24">
        <f t="shared" si="33"/>
        <v>2616.84</v>
      </c>
      <c r="K116" s="24">
        <f t="shared" si="33"/>
        <v>2549.6400000000003</v>
      </c>
      <c r="L116" s="24">
        <f t="shared" si="33"/>
        <v>2580.6399999999994</v>
      </c>
      <c r="M116" s="24"/>
      <c r="N116" s="24"/>
      <c r="O116" s="24"/>
      <c r="P116" s="24" t="str">
        <f>IF(((P114="")*AND(P115="")),"",(P114-P115)*4)</f>
        <v/>
      </c>
      <c r="Q116" s="61"/>
      <c r="R116" s="61"/>
      <c r="S116" s="61"/>
      <c r="T116" s="61"/>
      <c r="U116" s="61"/>
      <c r="V116" s="60"/>
      <c r="W116" s="42"/>
      <c r="X116" s="79"/>
    </row>
    <row r="117" spans="1:30" x14ac:dyDescent="0.25">
      <c r="A117" s="205">
        <v>42614</v>
      </c>
      <c r="B117" s="57" t="s">
        <v>159</v>
      </c>
      <c r="C117" s="51" t="s">
        <v>158</v>
      </c>
      <c r="D117" s="8">
        <v>6730.52</v>
      </c>
      <c r="E117" s="8">
        <v>6760.3</v>
      </c>
      <c r="F117" s="8">
        <v>6773.73</v>
      </c>
      <c r="G117" s="8">
        <v>6759.74</v>
      </c>
      <c r="H117" s="8">
        <v>6795.38</v>
      </c>
      <c r="I117" s="8">
        <v>6789.21</v>
      </c>
      <c r="J117" s="8">
        <v>6762.48</v>
      </c>
      <c r="K117" s="8">
        <v>6781.24</v>
      </c>
      <c r="L117" s="8">
        <v>6868.37</v>
      </c>
      <c r="M117" s="80"/>
      <c r="N117" s="80"/>
      <c r="O117" s="80"/>
      <c r="P117" s="80"/>
      <c r="Q117" s="57">
        <f>IF((L118=""),"",MAX(D119:L119))</f>
        <v>3284.619999999999</v>
      </c>
      <c r="R117" s="57">
        <f>IF(L118="","",MIN(D119:L119))</f>
        <v>3215.6400000000012</v>
      </c>
      <c r="S117" s="58">
        <f>IF((L119=""),"",AVERAGE(D119:L119))</f>
        <v>3260.1622222222218</v>
      </c>
      <c r="T117" s="57">
        <f>IF((L118=""),"",((Q117-R117)/(Q117+R117))*100)</f>
        <v>1.0611883216978666</v>
      </c>
      <c r="U117" s="56">
        <f>STDEV(D117:L117)</f>
        <v>38.283726561614138</v>
      </c>
      <c r="V117" s="55" t="str">
        <f>IF(L118="","",(IF(T117&lt;7,IF(S117&gt;2800,IF(S117&lt;3800,"Pass","Fail"),"Fail"),"Fail")))</f>
        <v>Pass</v>
      </c>
      <c r="W117" s="91">
        <v>1159</v>
      </c>
      <c r="X117" s="250" t="s">
        <v>276</v>
      </c>
      <c r="Z117" s="53">
        <v>2800</v>
      </c>
      <c r="AA117" s="53">
        <v>3800</v>
      </c>
      <c r="AB117" s="53">
        <v>3100</v>
      </c>
      <c r="AC117" s="53">
        <v>3760</v>
      </c>
      <c r="AD117" s="52">
        <v>6</v>
      </c>
    </row>
    <row r="118" spans="1:30" ht="16.5" customHeight="1" x14ac:dyDescent="0.35">
      <c r="A118" s="206"/>
      <c r="B118" s="48"/>
      <c r="C118" s="51" t="s">
        <v>157</v>
      </c>
      <c r="D118" s="8">
        <v>5122.7</v>
      </c>
      <c r="E118" s="8">
        <v>5121.71</v>
      </c>
      <c r="F118" s="8">
        <v>5140.04</v>
      </c>
      <c r="G118" s="8">
        <v>5128.47</v>
      </c>
      <c r="H118" s="8">
        <v>5174.72</v>
      </c>
      <c r="I118" s="8">
        <v>5161.5600000000004</v>
      </c>
      <c r="J118" s="8">
        <v>5131.79</v>
      </c>
      <c r="K118" s="8">
        <v>5143.1899999999996</v>
      </c>
      <c r="L118" s="8">
        <v>5226.0600000000004</v>
      </c>
      <c r="M118" s="80"/>
      <c r="N118" s="80"/>
      <c r="O118" s="80"/>
      <c r="P118" s="80"/>
      <c r="Q118" s="48"/>
      <c r="R118" s="48"/>
      <c r="S118" s="49"/>
      <c r="T118" s="48"/>
      <c r="U118" s="48"/>
      <c r="V118" s="47"/>
      <c r="W118" s="90"/>
      <c r="X118" s="79"/>
      <c r="Z118" s="8"/>
      <c r="AA118" s="8"/>
      <c r="AB118" s="8"/>
      <c r="AC118" s="8"/>
      <c r="AD118" s="8"/>
    </row>
    <row r="119" spans="1:30" ht="24.8" customHeight="1" thickBot="1" x14ac:dyDescent="0.4">
      <c r="A119" s="206"/>
      <c r="B119" s="42"/>
      <c r="C119" s="45" t="s">
        <v>156</v>
      </c>
      <c r="D119" s="44">
        <f t="shared" ref="D119:L119" si="34">IF(((D117="")*AND(D118="")),"",(D117-D118)*2)</f>
        <v>3215.6400000000012</v>
      </c>
      <c r="E119" s="44">
        <f t="shared" si="34"/>
        <v>3277.1800000000003</v>
      </c>
      <c r="F119" s="44">
        <f t="shared" si="34"/>
        <v>3267.3799999999992</v>
      </c>
      <c r="G119" s="44">
        <f t="shared" si="34"/>
        <v>3262.5399999999991</v>
      </c>
      <c r="H119" s="44">
        <f t="shared" si="34"/>
        <v>3241.3199999999997</v>
      </c>
      <c r="I119" s="44">
        <f t="shared" si="34"/>
        <v>3255.2999999999993</v>
      </c>
      <c r="J119" s="44">
        <f t="shared" si="34"/>
        <v>3261.3799999999992</v>
      </c>
      <c r="K119" s="44">
        <f t="shared" si="34"/>
        <v>3276.1000000000004</v>
      </c>
      <c r="L119" s="44">
        <f t="shared" si="34"/>
        <v>3284.619999999999</v>
      </c>
      <c r="M119" s="44"/>
      <c r="N119" s="44"/>
      <c r="O119" s="44"/>
      <c r="P119" s="44"/>
      <c r="Q119" s="42"/>
      <c r="R119" s="42"/>
      <c r="S119" s="43"/>
      <c r="T119" s="42"/>
      <c r="U119" s="42"/>
      <c r="V119" s="41"/>
      <c r="W119" s="89"/>
      <c r="X119" s="78"/>
      <c r="Z119" s="8"/>
      <c r="AA119" s="8"/>
      <c r="AB119" s="8"/>
      <c r="AC119" s="8"/>
      <c r="AD119" s="8"/>
    </row>
    <row r="120" spans="1:30" x14ac:dyDescent="0.25">
      <c r="A120" s="205">
        <v>42624</v>
      </c>
      <c r="B120" s="63" t="s">
        <v>160</v>
      </c>
      <c r="C120" s="56" t="s">
        <v>158</v>
      </c>
      <c r="D120" s="8">
        <v>1956.76</v>
      </c>
      <c r="E120" s="8">
        <v>1946.8</v>
      </c>
      <c r="F120" s="8">
        <v>1950.33</v>
      </c>
      <c r="G120" s="8">
        <v>1947.74</v>
      </c>
      <c r="H120" s="8">
        <v>1958.21</v>
      </c>
      <c r="I120" s="8">
        <v>1955.46</v>
      </c>
      <c r="J120" s="8">
        <v>1948.03</v>
      </c>
      <c r="K120" s="8">
        <v>1947.62</v>
      </c>
      <c r="L120" s="8">
        <v>1956.65</v>
      </c>
      <c r="M120" s="80"/>
      <c r="N120" s="80"/>
      <c r="O120" s="80"/>
      <c r="P120" s="80"/>
      <c r="Q120" s="63">
        <f>IF((L121=""),"",MAX(D122:L122))</f>
        <v>2733.5199999999995</v>
      </c>
      <c r="R120" s="63">
        <f>IF(L121="","",MIN(D122:L122))</f>
        <v>2554.5600000000004</v>
      </c>
      <c r="S120" s="63">
        <f>IF((L122=""),"",AVERAGE(D122:L122))</f>
        <v>2670.5111111111109</v>
      </c>
      <c r="T120" s="63">
        <f>IF((L121=""),"",((Q120-R120)/(Q120+R120))*100)</f>
        <v>3.3842150648250238</v>
      </c>
      <c r="U120" s="51">
        <f>STDEV(D120:L120)</f>
        <v>4.7132767559075273</v>
      </c>
      <c r="V120" s="64" t="str">
        <f>IF(L121="","",(IF(T120&lt;12,IF(S120&gt;2200,IF(S120&lt;3280,"Pass","Fail"),"Fail"),"Fail")))</f>
        <v>Pass</v>
      </c>
      <c r="W120" s="57">
        <v>1159</v>
      </c>
      <c r="X120" s="250" t="s">
        <v>280</v>
      </c>
      <c r="Y120" s="37" t="s">
        <v>277</v>
      </c>
      <c r="Z120" s="37">
        <v>2000</v>
      </c>
      <c r="AA120" s="37">
        <v>3000</v>
      </c>
      <c r="AB120" s="37">
        <v>2200</v>
      </c>
      <c r="AC120" s="37">
        <v>3280</v>
      </c>
      <c r="AD120" s="39">
        <v>12</v>
      </c>
    </row>
    <row r="121" spans="1:30" ht="16.5" customHeight="1" x14ac:dyDescent="0.35">
      <c r="A121" s="206"/>
      <c r="B121" s="48"/>
      <c r="C121" s="51" t="s">
        <v>157</v>
      </c>
      <c r="D121" s="8">
        <v>1273.49</v>
      </c>
      <c r="E121" s="8">
        <v>1263.93</v>
      </c>
      <c r="F121" s="8">
        <v>1296.81</v>
      </c>
      <c r="G121" s="8">
        <v>1283.21</v>
      </c>
      <c r="H121" s="8">
        <v>1319.57</v>
      </c>
      <c r="I121" s="8">
        <v>1272.1500000000001</v>
      </c>
      <c r="J121" s="8">
        <v>1264.6500000000001</v>
      </c>
      <c r="K121" s="8">
        <v>1282.3699999999999</v>
      </c>
      <c r="L121" s="8">
        <v>1302.77</v>
      </c>
      <c r="M121" s="80"/>
      <c r="N121" s="80"/>
      <c r="O121" s="80"/>
      <c r="P121" s="80"/>
      <c r="Q121" s="48"/>
      <c r="R121" s="48"/>
      <c r="S121" s="48"/>
      <c r="T121" s="48"/>
      <c r="U121" s="48"/>
      <c r="V121" s="47"/>
      <c r="W121" s="48"/>
      <c r="X121" s="79"/>
    </row>
    <row r="122" spans="1:30" ht="24.8" customHeight="1" thickBot="1" x14ac:dyDescent="0.4">
      <c r="A122" s="206"/>
      <c r="B122" s="61"/>
      <c r="C122" s="51" t="s">
        <v>156</v>
      </c>
      <c r="D122" s="24">
        <f t="shared" ref="D122:L122" si="35">IF(((D120="")*AND(D121="")),"",(D120-D121)*4)</f>
        <v>2733.08</v>
      </c>
      <c r="E122" s="24">
        <f t="shared" si="35"/>
        <v>2731.4799999999996</v>
      </c>
      <c r="F122" s="24">
        <f t="shared" si="35"/>
        <v>2614.08</v>
      </c>
      <c r="G122" s="24">
        <f t="shared" si="35"/>
        <v>2658.12</v>
      </c>
      <c r="H122" s="24">
        <f t="shared" si="35"/>
        <v>2554.5600000000004</v>
      </c>
      <c r="I122" s="24">
        <f t="shared" si="35"/>
        <v>2733.24</v>
      </c>
      <c r="J122" s="24">
        <f t="shared" si="35"/>
        <v>2733.5199999999995</v>
      </c>
      <c r="K122" s="24">
        <f t="shared" si="35"/>
        <v>2661</v>
      </c>
      <c r="L122" s="24">
        <f t="shared" si="35"/>
        <v>2615.5200000000004</v>
      </c>
      <c r="M122" s="24"/>
      <c r="N122" s="24"/>
      <c r="O122" s="24"/>
      <c r="P122" s="24" t="str">
        <f>IF(((P120="")*AND(P121="")),"",(P120-P121)*4)</f>
        <v/>
      </c>
      <c r="Q122" s="61"/>
      <c r="R122" s="61"/>
      <c r="S122" s="61"/>
      <c r="T122" s="61"/>
      <c r="U122" s="61"/>
      <c r="V122" s="60"/>
      <c r="W122" s="42"/>
      <c r="X122" s="79"/>
    </row>
    <row r="123" spans="1:30" x14ac:dyDescent="0.25">
      <c r="A123" s="205">
        <v>42624</v>
      </c>
      <c r="B123" s="57" t="s">
        <v>159</v>
      </c>
      <c r="C123" s="51" t="s">
        <v>158</v>
      </c>
      <c r="D123" s="8">
        <v>6850.8</v>
      </c>
      <c r="E123" s="8">
        <v>6880.28</v>
      </c>
      <c r="F123" s="8">
        <v>6893.19</v>
      </c>
      <c r="G123" s="8">
        <v>6881.22</v>
      </c>
      <c r="H123" s="8">
        <v>6919.22</v>
      </c>
      <c r="I123" s="8">
        <v>6908.81</v>
      </c>
      <c r="J123" s="8">
        <v>6882.86</v>
      </c>
      <c r="K123" s="8">
        <v>6900.4</v>
      </c>
      <c r="L123" s="8">
        <v>6971.33</v>
      </c>
      <c r="M123" s="80"/>
      <c r="N123" s="80"/>
      <c r="O123" s="80"/>
      <c r="P123" s="80"/>
      <c r="Q123" s="57">
        <f>IF((L124=""),"",MAX(D125:L125))</f>
        <v>3291.3199999999997</v>
      </c>
      <c r="R123" s="57">
        <f>IF(L124="","",MIN(D125:L125))</f>
        <v>3239.92</v>
      </c>
      <c r="S123" s="58">
        <f>IF((L125=""),"",AVERAGE(D125:L125))</f>
        <v>3269.8533333333335</v>
      </c>
      <c r="T123" s="57">
        <f>IF((L124=""),"",((Q123-R123)/(Q123+R123))*100)</f>
        <v>0.78698685088895282</v>
      </c>
      <c r="U123" s="56">
        <f>STDEV(D123:L123)</f>
        <v>33.581631677318953</v>
      </c>
      <c r="V123" s="55" t="str">
        <f>IF(L124="","",(IF(T123&lt;7,IF(S123&gt;2800,IF(S123&lt;3800,"Pass","Fail"),"Fail"),"Fail")))</f>
        <v>Pass</v>
      </c>
      <c r="W123" s="91">
        <v>1159</v>
      </c>
      <c r="X123" s="250" t="s">
        <v>280</v>
      </c>
      <c r="Z123" s="53">
        <v>2800</v>
      </c>
      <c r="AA123" s="53">
        <v>3800</v>
      </c>
      <c r="AB123" s="53">
        <v>3100</v>
      </c>
      <c r="AC123" s="53">
        <v>3760</v>
      </c>
      <c r="AD123" s="52">
        <v>6</v>
      </c>
    </row>
    <row r="124" spans="1:30" ht="16.5" customHeight="1" x14ac:dyDescent="0.35">
      <c r="A124" s="206"/>
      <c r="B124" s="48"/>
      <c r="C124" s="51" t="s">
        <v>157</v>
      </c>
      <c r="D124" s="8">
        <v>5230.84</v>
      </c>
      <c r="E124" s="8">
        <v>5234.62</v>
      </c>
      <c r="F124" s="8">
        <v>5251.87</v>
      </c>
      <c r="G124" s="8">
        <v>5242.29</v>
      </c>
      <c r="H124" s="8">
        <v>5298.06</v>
      </c>
      <c r="I124" s="8">
        <v>5278.85</v>
      </c>
      <c r="J124" s="8">
        <v>5244.81</v>
      </c>
      <c r="K124" s="8">
        <v>5255.39</v>
      </c>
      <c r="L124" s="8">
        <v>5337.04</v>
      </c>
      <c r="M124" s="80"/>
      <c r="N124" s="80"/>
      <c r="O124" s="80"/>
      <c r="P124" s="80"/>
      <c r="Q124" s="48"/>
      <c r="R124" s="48"/>
      <c r="S124" s="49"/>
      <c r="T124" s="48"/>
      <c r="U124" s="48"/>
      <c r="V124" s="47"/>
      <c r="W124" s="90"/>
      <c r="X124" s="79"/>
    </row>
    <row r="125" spans="1:30" ht="24.8" customHeight="1" thickBot="1" x14ac:dyDescent="0.4">
      <c r="A125" s="206"/>
      <c r="B125" s="42"/>
      <c r="C125" s="45" t="s">
        <v>156</v>
      </c>
      <c r="D125" s="44">
        <f t="shared" ref="D125:L125" si="36">IF(((D123="")*AND(D124="")),"",(D123-D124)*2)</f>
        <v>3239.92</v>
      </c>
      <c r="E125" s="44">
        <f t="shared" si="36"/>
        <v>3291.3199999999997</v>
      </c>
      <c r="F125" s="44">
        <f t="shared" si="36"/>
        <v>3282.6399999999994</v>
      </c>
      <c r="G125" s="44">
        <f t="shared" si="36"/>
        <v>3277.8600000000006</v>
      </c>
      <c r="H125" s="44">
        <f t="shared" si="36"/>
        <v>3242.3199999999997</v>
      </c>
      <c r="I125" s="44">
        <f t="shared" si="36"/>
        <v>3259.92</v>
      </c>
      <c r="J125" s="44">
        <f t="shared" si="36"/>
        <v>3276.0999999999985</v>
      </c>
      <c r="K125" s="44">
        <f t="shared" si="36"/>
        <v>3290.0199999999986</v>
      </c>
      <c r="L125" s="44">
        <f t="shared" si="36"/>
        <v>3268.58</v>
      </c>
      <c r="M125" s="44"/>
      <c r="N125" s="44"/>
      <c r="O125" s="44"/>
      <c r="P125" s="44"/>
      <c r="Q125" s="42"/>
      <c r="R125" s="42"/>
      <c r="S125" s="43"/>
      <c r="T125" s="42"/>
      <c r="U125" s="42"/>
      <c r="V125" s="41"/>
      <c r="W125" s="89"/>
      <c r="X125" s="78"/>
    </row>
    <row r="126" spans="1:30" x14ac:dyDescent="0.25">
      <c r="A126" s="205">
        <v>42628</v>
      </c>
      <c r="B126" s="63" t="s">
        <v>160</v>
      </c>
      <c r="C126" s="56" t="s">
        <v>158</v>
      </c>
      <c r="D126" s="8">
        <v>1278.1600000000001</v>
      </c>
      <c r="E126" s="8">
        <v>1265.21</v>
      </c>
      <c r="F126" s="8">
        <v>1297.72</v>
      </c>
      <c r="G126" s="8">
        <v>1285.1300000000001</v>
      </c>
      <c r="H126" s="8">
        <v>1322.54</v>
      </c>
      <c r="I126" s="8">
        <v>1273.95</v>
      </c>
      <c r="J126" s="8">
        <v>1267.75</v>
      </c>
      <c r="K126" s="8">
        <v>1283.07</v>
      </c>
      <c r="L126" s="8">
        <v>1305.1400000000001</v>
      </c>
      <c r="M126" s="80"/>
      <c r="N126" s="80"/>
      <c r="O126" s="80"/>
      <c r="P126" s="80"/>
      <c r="Q126" s="63">
        <f>IF((L127=""),"",MAX(D128:L128))</f>
        <v>2581.4000000000005</v>
      </c>
      <c r="R126" s="63">
        <f>IF(L127="","",MIN(D128:L128))</f>
        <v>2437.3999999999996</v>
      </c>
      <c r="S126" s="63">
        <f>IF((L128=""),"",AVERAGE(D128:L128))</f>
        <v>2522.8844444444449</v>
      </c>
      <c r="T126" s="63">
        <f>IF((L127=""),"",((Q126-R126)/(Q126+R126))*100)</f>
        <v>2.8692117637682495</v>
      </c>
      <c r="U126" s="51">
        <f>STDEV(D126:L126)</f>
        <v>18.767468159320554</v>
      </c>
      <c r="V126" s="64" t="str">
        <f>IF(L127="","",(IF(T126&lt;12,IF(S126&gt;2200,IF(S126&lt;3280,"Pass","Fail"),"Fail"),"Fail")))</f>
        <v>Pass</v>
      </c>
      <c r="W126" s="57">
        <v>1428</v>
      </c>
      <c r="X126" s="250"/>
      <c r="Z126" s="37">
        <v>2000</v>
      </c>
      <c r="AA126" s="37">
        <v>3000</v>
      </c>
      <c r="AB126" s="37">
        <v>2200</v>
      </c>
      <c r="AC126" s="37">
        <v>3280</v>
      </c>
      <c r="AD126" s="39">
        <v>12</v>
      </c>
    </row>
    <row r="127" spans="1:30" ht="16.5" customHeight="1" x14ac:dyDescent="0.35">
      <c r="A127" s="206"/>
      <c r="B127" s="48"/>
      <c r="C127" s="51" t="s">
        <v>157</v>
      </c>
      <c r="D127" s="8">
        <v>632.80999999999995</v>
      </c>
      <c r="E127" s="8">
        <v>624.05999999999995</v>
      </c>
      <c r="F127" s="8">
        <v>678.6</v>
      </c>
      <c r="G127" s="8">
        <v>656.87</v>
      </c>
      <c r="H127" s="8">
        <v>713.19</v>
      </c>
      <c r="I127" s="8">
        <v>630.37</v>
      </c>
      <c r="J127" s="8">
        <v>623.07000000000005</v>
      </c>
      <c r="K127" s="8">
        <v>656.7</v>
      </c>
      <c r="L127" s="8">
        <v>686.51</v>
      </c>
      <c r="M127" s="80"/>
      <c r="N127" s="80"/>
      <c r="O127" s="80"/>
      <c r="P127" s="80"/>
      <c r="Q127" s="48"/>
      <c r="R127" s="48"/>
      <c r="S127" s="48"/>
      <c r="T127" s="48"/>
      <c r="U127" s="48"/>
      <c r="V127" s="47"/>
      <c r="W127" s="48"/>
      <c r="X127" s="79"/>
    </row>
    <row r="128" spans="1:30" ht="24.8" customHeight="1" thickBot="1" x14ac:dyDescent="0.4">
      <c r="A128" s="206"/>
      <c r="B128" s="42"/>
      <c r="C128" s="51" t="s">
        <v>156</v>
      </c>
      <c r="D128" s="24">
        <f t="shared" ref="D128:L128" si="37">IF(((D126="")*AND(D127="")),"",(D126-D127)*4)</f>
        <v>2581.4000000000005</v>
      </c>
      <c r="E128" s="24">
        <f t="shared" si="37"/>
        <v>2564.6000000000004</v>
      </c>
      <c r="F128" s="24">
        <f t="shared" si="37"/>
        <v>2476.48</v>
      </c>
      <c r="G128" s="24">
        <f t="shared" si="37"/>
        <v>2513.0400000000004</v>
      </c>
      <c r="H128" s="24">
        <f t="shared" si="37"/>
        <v>2437.3999999999996</v>
      </c>
      <c r="I128" s="24">
        <f t="shared" si="37"/>
        <v>2574.3200000000002</v>
      </c>
      <c r="J128" s="24">
        <f t="shared" si="37"/>
        <v>2578.7199999999998</v>
      </c>
      <c r="K128" s="24">
        <f t="shared" si="37"/>
        <v>2505.4799999999996</v>
      </c>
      <c r="L128" s="24">
        <f t="shared" si="37"/>
        <v>2474.5200000000004</v>
      </c>
      <c r="M128" s="24"/>
      <c r="N128" s="24"/>
      <c r="O128" s="24"/>
      <c r="P128" s="24" t="str">
        <f>IF(((P126="")*AND(P127="")),"",(P126-P127)*4)</f>
        <v/>
      </c>
      <c r="Q128" s="42"/>
      <c r="R128" s="42"/>
      <c r="S128" s="61"/>
      <c r="T128" s="61"/>
      <c r="U128" s="61"/>
      <c r="V128" s="41"/>
      <c r="W128" s="42"/>
      <c r="X128" s="78"/>
    </row>
    <row r="129" spans="1:30" x14ac:dyDescent="0.25">
      <c r="A129" s="205">
        <v>42633</v>
      </c>
      <c r="B129" s="63" t="s">
        <v>160</v>
      </c>
      <c r="C129" s="56" t="s">
        <v>158</v>
      </c>
      <c r="D129" s="8">
        <v>1925.62</v>
      </c>
      <c r="E129" s="8">
        <v>1920.03</v>
      </c>
      <c r="F129" s="8">
        <v>1910.5</v>
      </c>
      <c r="G129" s="8">
        <v>1919.08</v>
      </c>
      <c r="H129" s="8">
        <v>1927.12</v>
      </c>
      <c r="I129" s="8">
        <v>1920.45</v>
      </c>
      <c r="J129" s="8">
        <v>1921.76</v>
      </c>
      <c r="K129" s="8">
        <v>1921.65</v>
      </c>
      <c r="L129" s="8">
        <v>1928.67</v>
      </c>
      <c r="M129" s="80"/>
      <c r="N129" s="80"/>
      <c r="O129" s="80"/>
      <c r="P129" s="80"/>
      <c r="Q129" s="63">
        <f>IF((L130=""),"",MAX(D131:L131))</f>
        <v>2617.16</v>
      </c>
      <c r="R129" s="63">
        <f>IF(L130="","",MIN(D131:L131))</f>
        <v>2363.4399999999996</v>
      </c>
      <c r="S129" s="63">
        <f>IF((L131=""),"",AVERAGE(D131:L131))</f>
        <v>2528.0177777777776</v>
      </c>
      <c r="T129" s="63">
        <f>IF((L130=""),"",((Q129-R129)/(Q129+R129))*100)</f>
        <v>5.0941653616030251</v>
      </c>
      <c r="U129" s="51">
        <f>STDEV(D129:L129)</f>
        <v>5.3615063181908047</v>
      </c>
      <c r="V129" s="64" t="str">
        <f>IF(L130="","",(IF(T129&lt;12,IF(S129&gt;2200,IF(S129&lt;3280,"Pass","Fail"),"Fail"),"Fail")))</f>
        <v>Pass</v>
      </c>
      <c r="W129" s="63">
        <v>1159</v>
      </c>
      <c r="X129" s="250" t="s">
        <v>214</v>
      </c>
      <c r="Z129" s="37">
        <v>2000</v>
      </c>
      <c r="AA129" s="37">
        <v>3000</v>
      </c>
      <c r="AB129" s="37">
        <v>2200</v>
      </c>
      <c r="AC129" s="37">
        <v>3280</v>
      </c>
      <c r="AD129" s="39">
        <v>12</v>
      </c>
    </row>
    <row r="130" spans="1:30" ht="16.5" customHeight="1" x14ac:dyDescent="0.35">
      <c r="A130" s="206"/>
      <c r="B130" s="48"/>
      <c r="C130" s="51" t="s">
        <v>157</v>
      </c>
      <c r="D130" s="8">
        <v>1288.1600000000001</v>
      </c>
      <c r="E130" s="8">
        <v>1266.43</v>
      </c>
      <c r="F130" s="8">
        <v>1286.24</v>
      </c>
      <c r="G130" s="8">
        <v>1285.27</v>
      </c>
      <c r="H130" s="8">
        <v>1336.26</v>
      </c>
      <c r="I130" s="8">
        <v>1275.6600000000001</v>
      </c>
      <c r="J130" s="8">
        <v>1267.47</v>
      </c>
      <c r="K130" s="8">
        <v>1284.19</v>
      </c>
      <c r="L130" s="8">
        <v>1317.16</v>
      </c>
      <c r="M130" s="80"/>
      <c r="N130" s="80"/>
      <c r="O130" s="80"/>
      <c r="P130" s="80"/>
      <c r="Q130" s="48"/>
      <c r="R130" s="48"/>
      <c r="S130" s="48"/>
      <c r="T130" s="48"/>
      <c r="U130" s="48"/>
      <c r="V130" s="47"/>
      <c r="W130" s="48"/>
      <c r="X130" s="79"/>
    </row>
    <row r="131" spans="1:30" ht="24.8" customHeight="1" thickBot="1" x14ac:dyDescent="0.4">
      <c r="A131" s="206"/>
      <c r="B131" s="61"/>
      <c r="C131" s="51" t="s">
        <v>156</v>
      </c>
      <c r="D131" s="24">
        <f t="shared" ref="D131:L131" si="38">IF(((D129="")*AND(D130="")),"",(D129-D130)*4)</f>
        <v>2549.8399999999992</v>
      </c>
      <c r="E131" s="24">
        <f t="shared" si="38"/>
        <v>2614.3999999999996</v>
      </c>
      <c r="F131" s="24">
        <f t="shared" si="38"/>
        <v>2497.04</v>
      </c>
      <c r="G131" s="24">
        <f t="shared" si="38"/>
        <v>2535.2399999999998</v>
      </c>
      <c r="H131" s="24">
        <f t="shared" si="38"/>
        <v>2363.4399999999996</v>
      </c>
      <c r="I131" s="24">
        <f t="shared" si="38"/>
        <v>2579.16</v>
      </c>
      <c r="J131" s="24">
        <f t="shared" si="38"/>
        <v>2617.16</v>
      </c>
      <c r="K131" s="24">
        <f t="shared" si="38"/>
        <v>2549.84</v>
      </c>
      <c r="L131" s="24">
        <f t="shared" si="38"/>
        <v>2446.04</v>
      </c>
      <c r="M131" s="24"/>
      <c r="N131" s="24"/>
      <c r="O131" s="24"/>
      <c r="P131" s="24" t="str">
        <f>IF(((P129="")*AND(P130="")),"",(P129-P130)*4)</f>
        <v/>
      </c>
      <c r="Q131" s="61"/>
      <c r="R131" s="61"/>
      <c r="S131" s="61"/>
      <c r="T131" s="61"/>
      <c r="U131" s="61"/>
      <c r="V131" s="60"/>
      <c r="W131" s="42"/>
      <c r="X131" s="79"/>
    </row>
    <row r="132" spans="1:30" x14ac:dyDescent="0.25">
      <c r="A132" s="205">
        <v>42633</v>
      </c>
      <c r="B132" s="57" t="s">
        <v>159</v>
      </c>
      <c r="C132" s="51" t="s">
        <v>158</v>
      </c>
      <c r="D132" s="8">
        <v>6852.37</v>
      </c>
      <c r="E132" s="8">
        <v>6880.23</v>
      </c>
      <c r="F132" s="8">
        <v>6892.08</v>
      </c>
      <c r="G132" s="8">
        <v>6878.18</v>
      </c>
      <c r="H132" s="8">
        <v>6910.91</v>
      </c>
      <c r="I132" s="8">
        <v>6904.05</v>
      </c>
      <c r="J132" s="8">
        <v>6880.68</v>
      </c>
      <c r="K132" s="8">
        <v>6897.97</v>
      </c>
      <c r="L132" s="8">
        <v>6976.26</v>
      </c>
      <c r="M132" s="80"/>
      <c r="N132" s="80"/>
      <c r="O132" s="80"/>
      <c r="P132" s="80"/>
      <c r="Q132" s="57">
        <f>IF((L133=""),"",MAX(D134:L134))</f>
        <v>3312.9800000000014</v>
      </c>
      <c r="R132" s="57">
        <f>IF(L133="","",MIN(D134:L134))</f>
        <v>3165.5399999999991</v>
      </c>
      <c r="S132" s="58">
        <f>IF((L134=""),"",AVERAGE(D134:L134))</f>
        <v>3242.74</v>
      </c>
      <c r="T132" s="57">
        <f>IF((L133=""),"",((Q132-R132)/(Q132+R132))*100)</f>
        <v>2.2758284299500864</v>
      </c>
      <c r="U132" s="56">
        <f>STDEV(D132:L132)</f>
        <v>34.358554247814396</v>
      </c>
      <c r="V132" s="55" t="str">
        <f>IF(L133="","",(IF(T132&lt;7,IF(S132&gt;2800,IF(S132&lt;3800,"Pass","Fail"),"Fail"),"Fail")))</f>
        <v>Pass</v>
      </c>
      <c r="W132" s="91">
        <v>1159</v>
      </c>
      <c r="X132" s="250" t="s">
        <v>214</v>
      </c>
      <c r="Z132" s="53">
        <v>2800</v>
      </c>
      <c r="AA132" s="53">
        <v>3800</v>
      </c>
      <c r="AB132" s="53">
        <v>3100</v>
      </c>
      <c r="AC132" s="53">
        <v>3760</v>
      </c>
      <c r="AD132" s="52">
        <v>6</v>
      </c>
    </row>
    <row r="133" spans="1:30" ht="16.5" customHeight="1" x14ac:dyDescent="0.35">
      <c r="A133" s="206"/>
      <c r="B133" s="48"/>
      <c r="C133" s="51" t="s">
        <v>157</v>
      </c>
      <c r="D133" s="8">
        <v>5254.15</v>
      </c>
      <c r="E133" s="8">
        <v>5259.91</v>
      </c>
      <c r="F133" s="8">
        <v>5265.24</v>
      </c>
      <c r="G133" s="8">
        <v>5221.6899999999996</v>
      </c>
      <c r="H133" s="8">
        <v>5328.14</v>
      </c>
      <c r="I133" s="8">
        <v>5303.01</v>
      </c>
      <c r="J133" s="8">
        <v>5236.04</v>
      </c>
      <c r="K133" s="8">
        <v>5259.64</v>
      </c>
      <c r="L133" s="8">
        <v>5352.58</v>
      </c>
      <c r="M133" s="80"/>
      <c r="N133" s="80"/>
      <c r="O133" s="80"/>
      <c r="P133" s="80"/>
      <c r="Q133" s="48"/>
      <c r="R133" s="48"/>
      <c r="S133" s="49"/>
      <c r="T133" s="48"/>
      <c r="U133" s="48"/>
      <c r="V133" s="47"/>
      <c r="W133" s="90"/>
      <c r="X133" s="79"/>
    </row>
    <row r="134" spans="1:30" ht="24.8" customHeight="1" thickBot="1" x14ac:dyDescent="0.4">
      <c r="A134" s="206"/>
      <c r="B134" s="42"/>
      <c r="C134" s="45" t="s">
        <v>156</v>
      </c>
      <c r="D134" s="44">
        <f t="shared" ref="D134:L134" si="39">IF(((D132="")*AND(D133="")),"",(D132-D133)*2)</f>
        <v>3196.4400000000005</v>
      </c>
      <c r="E134" s="44">
        <f t="shared" si="39"/>
        <v>3240.6399999999994</v>
      </c>
      <c r="F134" s="44">
        <f t="shared" si="39"/>
        <v>3253.6800000000003</v>
      </c>
      <c r="G134" s="44">
        <f t="shared" si="39"/>
        <v>3312.9800000000014</v>
      </c>
      <c r="H134" s="44">
        <f t="shared" si="39"/>
        <v>3165.5399999999991</v>
      </c>
      <c r="I134" s="44">
        <f t="shared" si="39"/>
        <v>3202.08</v>
      </c>
      <c r="J134" s="44">
        <f t="shared" si="39"/>
        <v>3289.2800000000007</v>
      </c>
      <c r="K134" s="44">
        <f t="shared" si="39"/>
        <v>3276.66</v>
      </c>
      <c r="L134" s="44">
        <f t="shared" si="39"/>
        <v>3247.3600000000006</v>
      </c>
      <c r="M134" s="44"/>
      <c r="N134" s="44"/>
      <c r="O134" s="44"/>
      <c r="P134" s="44"/>
      <c r="Q134" s="42"/>
      <c r="R134" s="42"/>
      <c r="S134" s="43"/>
      <c r="T134" s="42"/>
      <c r="U134" s="42"/>
      <c r="V134" s="41"/>
      <c r="W134" s="89"/>
      <c r="X134" s="78"/>
    </row>
    <row r="135" spans="1:30" x14ac:dyDescent="0.25">
      <c r="A135" s="205">
        <v>42641</v>
      </c>
      <c r="B135" s="63" t="s">
        <v>160</v>
      </c>
      <c r="C135" s="56" t="s">
        <v>158</v>
      </c>
      <c r="D135" s="8">
        <v>1916.26</v>
      </c>
      <c r="E135" s="8">
        <v>1908.38</v>
      </c>
      <c r="F135" s="8">
        <v>1899.71</v>
      </c>
      <c r="G135" s="8">
        <v>1908.13</v>
      </c>
      <c r="H135" s="8">
        <v>1917.9</v>
      </c>
      <c r="I135" s="8">
        <v>1916.04</v>
      </c>
      <c r="J135" s="8">
        <v>1908.69</v>
      </c>
      <c r="K135" s="8">
        <v>1909.05</v>
      </c>
      <c r="L135" s="8">
        <v>1917</v>
      </c>
      <c r="M135" s="80"/>
      <c r="N135" s="80"/>
      <c r="O135" s="80"/>
      <c r="P135" s="80"/>
      <c r="Q135" s="63">
        <f>IF((L136=""),"",MAX(D137:L137))</f>
        <v>2721.4399999999996</v>
      </c>
      <c r="R135" s="63">
        <f>IF(L136="","",MIN(D137:L137))</f>
        <v>2524.5600000000004</v>
      </c>
      <c r="S135" s="63">
        <f>IF((L137=""),"",AVERAGE(D137:L137))</f>
        <v>2608.6444444444442</v>
      </c>
      <c r="T135" s="63">
        <f>IF((L136=""),"",((Q135-R135)/(Q135+R135))*100)</f>
        <v>3.7529546321006331</v>
      </c>
      <c r="U135" s="51">
        <f>STDEV(D135:L135)</f>
        <v>5.9985915013442801</v>
      </c>
      <c r="V135" s="64" t="str">
        <f>IF(L136="","",(IF(T135&lt;12,IF(S135&gt;2200,IF(S135&lt;3280,"Pass","Fail"),"Fail"),"Fail")))</f>
        <v>Pass</v>
      </c>
      <c r="W135" s="54">
        <v>1400</v>
      </c>
      <c r="X135" s="251" t="s">
        <v>212</v>
      </c>
      <c r="Y135" s="88" t="s">
        <v>213</v>
      </c>
      <c r="Z135" s="37">
        <v>2000</v>
      </c>
      <c r="AA135" s="37">
        <v>3000</v>
      </c>
      <c r="AB135" s="37">
        <v>2200</v>
      </c>
      <c r="AC135" s="37">
        <v>3280</v>
      </c>
      <c r="AD135" s="39">
        <v>12</v>
      </c>
    </row>
    <row r="136" spans="1:30" ht="16.5" customHeight="1" x14ac:dyDescent="0.35">
      <c r="A136" s="206"/>
      <c r="B136" s="48"/>
      <c r="C136" s="51" t="s">
        <v>157</v>
      </c>
      <c r="D136" s="8">
        <v>1235.9000000000001</v>
      </c>
      <c r="E136" s="8">
        <v>1255.27</v>
      </c>
      <c r="F136" s="8">
        <v>1268.57</v>
      </c>
      <c r="G136" s="8">
        <v>1271.8800000000001</v>
      </c>
      <c r="H136" s="8">
        <v>1275.48</v>
      </c>
      <c r="I136" s="8">
        <v>1237.8399999999999</v>
      </c>
      <c r="J136" s="8">
        <v>1254.17</v>
      </c>
      <c r="K136" s="8">
        <v>1268.8900000000001</v>
      </c>
      <c r="L136" s="8">
        <v>1263.71</v>
      </c>
      <c r="M136" s="80"/>
      <c r="N136" s="80"/>
      <c r="O136" s="80"/>
      <c r="P136" s="80"/>
      <c r="Q136" s="48"/>
      <c r="R136" s="48"/>
      <c r="S136" s="48"/>
      <c r="T136" s="48"/>
      <c r="U136" s="48"/>
      <c r="V136" s="47"/>
      <c r="W136" s="46"/>
      <c r="X136" s="8"/>
      <c r="Y136" s="8"/>
    </row>
    <row r="137" spans="1:30" ht="24.8" customHeight="1" thickBot="1" x14ac:dyDescent="0.4">
      <c r="A137" s="206"/>
      <c r="B137" s="61"/>
      <c r="C137" s="51" t="s">
        <v>156</v>
      </c>
      <c r="D137" s="24">
        <f t="shared" ref="D137:L137" si="40">IF(((D135="")*AND(D136="")),"",(D135-D136)*4)</f>
        <v>2721.4399999999996</v>
      </c>
      <c r="E137" s="24">
        <f t="shared" si="40"/>
        <v>2612.4400000000005</v>
      </c>
      <c r="F137" s="24">
        <f t="shared" si="40"/>
        <v>2524.5600000000004</v>
      </c>
      <c r="G137" s="24">
        <f t="shared" si="40"/>
        <v>2545</v>
      </c>
      <c r="H137" s="24">
        <f t="shared" si="40"/>
        <v>2569.6800000000003</v>
      </c>
      <c r="I137" s="24">
        <f t="shared" si="40"/>
        <v>2712.8</v>
      </c>
      <c r="J137" s="24">
        <f t="shared" si="40"/>
        <v>2618.08</v>
      </c>
      <c r="K137" s="24">
        <f t="shared" si="40"/>
        <v>2560.6399999999994</v>
      </c>
      <c r="L137" s="24">
        <f t="shared" si="40"/>
        <v>2613.16</v>
      </c>
      <c r="M137" s="24"/>
      <c r="N137" s="24"/>
      <c r="O137" s="24"/>
      <c r="P137" s="24" t="str">
        <f>IF(((P135="")*AND(P136="")),"",(P135-P136)*4)</f>
        <v/>
      </c>
      <c r="Q137" s="61"/>
      <c r="R137" s="61"/>
      <c r="S137" s="61"/>
      <c r="T137" s="61"/>
      <c r="U137" s="61"/>
      <c r="V137" s="60"/>
      <c r="W137" s="40"/>
      <c r="X137" s="87"/>
    </row>
    <row r="138" spans="1:30" x14ac:dyDescent="0.25">
      <c r="A138" s="205">
        <v>42641</v>
      </c>
      <c r="B138" s="57" t="s">
        <v>159</v>
      </c>
      <c r="C138" s="51" t="s">
        <v>158</v>
      </c>
      <c r="D138" s="8">
        <v>6772.95</v>
      </c>
      <c r="E138" s="8">
        <v>6789.39</v>
      </c>
      <c r="F138" s="8">
        <v>6793.55</v>
      </c>
      <c r="G138" s="8">
        <v>6749.57</v>
      </c>
      <c r="H138" s="8">
        <v>6822.78</v>
      </c>
      <c r="I138" s="8">
        <v>6791.71</v>
      </c>
      <c r="J138" s="8">
        <v>6764.87</v>
      </c>
      <c r="K138" s="8">
        <v>6789.84</v>
      </c>
      <c r="L138" s="8">
        <v>6884.02</v>
      </c>
      <c r="M138" s="80"/>
      <c r="N138" s="80"/>
      <c r="O138" s="80"/>
      <c r="P138" s="80"/>
      <c r="Q138" s="57">
        <f>IF((L139=""),"",MAX(D140:L140))</f>
        <v>3252.0200000000004</v>
      </c>
      <c r="R138" s="57">
        <f>IF(L139="","",MIN(D140:L140))</f>
        <v>3173.5400000000009</v>
      </c>
      <c r="S138" s="58">
        <f>IF((L140=""),"",AVERAGE(D140:L140))</f>
        <v>3232.5022222222228</v>
      </c>
      <c r="T138" s="57">
        <f>IF((L139=""),"",((Q138-R138)/(Q138+R138))*100)</f>
        <v>1.2213721449959156</v>
      </c>
      <c r="U138" s="56">
        <f>STDEV(D138:L138)</f>
        <v>39.089181190082805</v>
      </c>
      <c r="V138" s="55" t="str">
        <f>IF(L139="","",(IF(T138&lt;7,IF(S138&gt;2800,IF(S138&lt;3800,"Pass","Fail"),"Fail"),"Fail")))</f>
        <v>Pass</v>
      </c>
      <c r="W138" s="86">
        <v>1400</v>
      </c>
      <c r="X138" s="251" t="s">
        <v>212</v>
      </c>
      <c r="Z138" s="53">
        <v>2800</v>
      </c>
      <c r="AA138" s="53">
        <v>3800</v>
      </c>
      <c r="AB138" s="53">
        <v>3100</v>
      </c>
      <c r="AC138" s="53">
        <v>3760</v>
      </c>
      <c r="AD138" s="52">
        <v>6</v>
      </c>
    </row>
    <row r="139" spans="1:30" ht="16.5" customHeight="1" x14ac:dyDescent="0.35">
      <c r="A139" s="206"/>
      <c r="B139" s="48"/>
      <c r="C139" s="51" t="s">
        <v>157</v>
      </c>
      <c r="D139" s="8">
        <v>5154.75</v>
      </c>
      <c r="E139" s="8">
        <v>5164.3</v>
      </c>
      <c r="F139" s="8">
        <v>5169.5</v>
      </c>
      <c r="G139" s="8">
        <v>5125.3599999999997</v>
      </c>
      <c r="H139" s="8">
        <v>5227.99</v>
      </c>
      <c r="I139" s="8">
        <v>5204.9399999999996</v>
      </c>
      <c r="J139" s="8">
        <v>5142.1899999999996</v>
      </c>
      <c r="K139" s="8">
        <v>5163.83</v>
      </c>
      <c r="L139" s="8">
        <v>5259.56</v>
      </c>
      <c r="M139" s="80"/>
      <c r="N139" s="80"/>
      <c r="O139" s="80"/>
      <c r="P139" s="80"/>
      <c r="Q139" s="48"/>
      <c r="R139" s="48"/>
      <c r="S139" s="49"/>
      <c r="T139" s="48"/>
      <c r="U139" s="48"/>
      <c r="V139" s="47"/>
      <c r="W139" s="85"/>
      <c r="X139" s="79"/>
    </row>
    <row r="140" spans="1:30" ht="24.8" customHeight="1" thickBot="1" x14ac:dyDescent="0.4">
      <c r="A140" s="206"/>
      <c r="B140" s="42"/>
      <c r="C140" s="45" t="s">
        <v>156</v>
      </c>
      <c r="D140" s="44">
        <f t="shared" ref="D140:L140" si="41">IF(((D138="")*AND(D139="")),"",(D138-D139)*2)</f>
        <v>3236.3999999999996</v>
      </c>
      <c r="E140" s="44">
        <f t="shared" si="41"/>
        <v>3250.1800000000003</v>
      </c>
      <c r="F140" s="44">
        <f t="shared" si="41"/>
        <v>3248.1000000000004</v>
      </c>
      <c r="G140" s="44">
        <f t="shared" si="41"/>
        <v>3248.42</v>
      </c>
      <c r="H140" s="44">
        <f t="shared" si="41"/>
        <v>3189.58</v>
      </c>
      <c r="I140" s="44">
        <f t="shared" si="41"/>
        <v>3173.5400000000009</v>
      </c>
      <c r="J140" s="44">
        <f t="shared" si="41"/>
        <v>3245.3600000000006</v>
      </c>
      <c r="K140" s="44">
        <f t="shared" si="41"/>
        <v>3252.0200000000004</v>
      </c>
      <c r="L140" s="44">
        <f t="shared" si="41"/>
        <v>3248.92</v>
      </c>
      <c r="M140" s="44"/>
      <c r="N140" s="44"/>
      <c r="O140" s="44"/>
      <c r="P140" s="44"/>
      <c r="Q140" s="42"/>
      <c r="R140" s="42"/>
      <c r="S140" s="43"/>
      <c r="T140" s="42"/>
      <c r="U140" s="42"/>
      <c r="V140" s="41"/>
      <c r="W140" s="84"/>
      <c r="X140" s="78"/>
    </row>
    <row r="141" spans="1:30" x14ac:dyDescent="0.25">
      <c r="A141" s="205">
        <v>42646</v>
      </c>
      <c r="B141" s="63" t="s">
        <v>160</v>
      </c>
      <c r="C141" s="56" t="s">
        <v>158</v>
      </c>
      <c r="D141" s="8">
        <v>1915.2</v>
      </c>
      <c r="E141" s="8">
        <v>1913.49</v>
      </c>
      <c r="F141" s="8">
        <v>1916.38</v>
      </c>
      <c r="G141" s="8">
        <v>1912.68</v>
      </c>
      <c r="H141" s="8">
        <v>1917.93</v>
      </c>
      <c r="I141" s="8">
        <v>1917.92</v>
      </c>
      <c r="J141" s="8">
        <v>1916.39</v>
      </c>
      <c r="K141" s="8">
        <v>1914.15</v>
      </c>
      <c r="L141" s="8">
        <v>1917.4</v>
      </c>
      <c r="M141" s="80"/>
      <c r="N141" s="80"/>
      <c r="O141" s="80"/>
      <c r="P141" s="80"/>
      <c r="Q141" s="63">
        <f>IF((L142=""),"",MAX(D143:L143))</f>
        <v>2668.92</v>
      </c>
      <c r="R141" s="63">
        <f>IF(L142="","",MIN(D143:L143))</f>
        <v>2506.04</v>
      </c>
      <c r="S141" s="63">
        <f>IF((L143=""),"",AVERAGE(D143:L143))</f>
        <v>2582.3200000000002</v>
      </c>
      <c r="T141" s="63">
        <f>IF((L142=""),"",((Q141-R141)/(Q141+R141))*100)</f>
        <v>3.1474639417502766</v>
      </c>
      <c r="U141" s="51">
        <f>STDEV(D141:L141)</f>
        <v>1.9487303558984377</v>
      </c>
      <c r="V141" s="64" t="str">
        <f>IF(L142="","",(IF(T141&lt;12,IF(S141&gt;2200,IF(S141&lt;3280,"Pass","Fail"),"Fail"),"Fail")))</f>
        <v>Pass</v>
      </c>
      <c r="W141" s="57">
        <v>1400</v>
      </c>
      <c r="X141" s="250"/>
      <c r="Z141" s="37">
        <v>2000</v>
      </c>
      <c r="AA141" s="37">
        <v>3000</v>
      </c>
      <c r="AB141" s="37">
        <v>2200</v>
      </c>
      <c r="AC141" s="37">
        <v>3280</v>
      </c>
      <c r="AD141" s="39">
        <v>12</v>
      </c>
    </row>
    <row r="142" spans="1:30" ht="16.5" customHeight="1" x14ac:dyDescent="0.35">
      <c r="A142" s="206"/>
      <c r="B142" s="48"/>
      <c r="C142" s="51" t="s">
        <v>157</v>
      </c>
      <c r="D142" s="8">
        <v>1247.97</v>
      </c>
      <c r="E142" s="8">
        <v>1258.8499999999999</v>
      </c>
      <c r="F142" s="8">
        <v>1284.6600000000001</v>
      </c>
      <c r="G142" s="8">
        <v>1276.97</v>
      </c>
      <c r="H142" s="8">
        <v>1291.42</v>
      </c>
      <c r="I142" s="8">
        <v>1252.71</v>
      </c>
      <c r="J142" s="8">
        <v>1262.8499999999999</v>
      </c>
      <c r="K142" s="8">
        <v>1275.4000000000001</v>
      </c>
      <c r="L142" s="8">
        <v>1280.49</v>
      </c>
      <c r="M142" s="80"/>
      <c r="N142" s="80"/>
      <c r="O142" s="80"/>
      <c r="P142" s="80"/>
      <c r="Q142" s="48"/>
      <c r="R142" s="48"/>
      <c r="S142" s="48"/>
      <c r="T142" s="48"/>
      <c r="U142" s="48"/>
      <c r="V142" s="47"/>
      <c r="W142" s="48"/>
      <c r="X142" s="79"/>
    </row>
    <row r="143" spans="1:30" ht="24.8" customHeight="1" thickBot="1" x14ac:dyDescent="0.4">
      <c r="A143" s="206"/>
      <c r="B143" s="61"/>
      <c r="C143" s="51" t="s">
        <v>156</v>
      </c>
      <c r="D143" s="24">
        <f t="shared" ref="D143:L143" si="42">IF(((D141="")*AND(D142="")),"",(D141-D142)*4)</f>
        <v>2668.92</v>
      </c>
      <c r="E143" s="24">
        <f t="shared" si="42"/>
        <v>2618.5600000000004</v>
      </c>
      <c r="F143" s="24">
        <f t="shared" si="42"/>
        <v>2526.88</v>
      </c>
      <c r="G143" s="24">
        <f t="shared" si="42"/>
        <v>2542.84</v>
      </c>
      <c r="H143" s="24">
        <f t="shared" si="42"/>
        <v>2506.04</v>
      </c>
      <c r="I143" s="24">
        <f t="shared" si="42"/>
        <v>2660.84</v>
      </c>
      <c r="J143" s="24">
        <f t="shared" si="42"/>
        <v>2614.1600000000008</v>
      </c>
      <c r="K143" s="24">
        <f t="shared" si="42"/>
        <v>2555</v>
      </c>
      <c r="L143" s="24">
        <f t="shared" si="42"/>
        <v>2547.6400000000003</v>
      </c>
      <c r="M143" s="24"/>
      <c r="N143" s="24"/>
      <c r="O143" s="24"/>
      <c r="P143" s="24" t="str">
        <f>IF(((P141="")*AND(P142="")),"",(P141-P142)*4)</f>
        <v/>
      </c>
      <c r="Q143" s="61"/>
      <c r="R143" s="61"/>
      <c r="S143" s="61"/>
      <c r="T143" s="61"/>
      <c r="U143" s="61"/>
      <c r="V143" s="60"/>
      <c r="W143" s="61"/>
      <c r="X143" s="79"/>
    </row>
    <row r="144" spans="1:30" x14ac:dyDescent="0.25">
      <c r="A144" s="205">
        <v>42646</v>
      </c>
      <c r="B144" s="57" t="s">
        <v>159</v>
      </c>
      <c r="C144" s="51" t="s">
        <v>158</v>
      </c>
      <c r="D144" s="8">
        <v>5163.04</v>
      </c>
      <c r="E144" s="8">
        <v>5172.3900000000003</v>
      </c>
      <c r="F144" s="8">
        <v>5177.6499999999996</v>
      </c>
      <c r="G144" s="8">
        <v>5133.38</v>
      </c>
      <c r="H144" s="8">
        <v>5235.96</v>
      </c>
      <c r="I144" s="8">
        <v>5213</v>
      </c>
      <c r="J144" s="8">
        <v>5150.1000000000004</v>
      </c>
      <c r="K144" s="8">
        <v>5171.93</v>
      </c>
      <c r="L144" s="8">
        <v>5268.46</v>
      </c>
      <c r="M144" s="80"/>
      <c r="N144" s="80"/>
      <c r="O144" s="80"/>
      <c r="P144" s="80"/>
      <c r="Q144" s="57">
        <f>IF((L145=""),"",MAX(D146:L146))</f>
        <v>3266.1400000000003</v>
      </c>
      <c r="R144" s="57">
        <f>IF(L145="","",MIN(D146:L146))</f>
        <v>3161.1800000000003</v>
      </c>
      <c r="S144" s="58">
        <f>IF((L146=""),"",AVERAGE(D146:L146))</f>
        <v>3238.6888888888884</v>
      </c>
      <c r="T144" s="57">
        <f>IF((L145=""),"",((Q144-R144)/(Q144+R144))*100)</f>
        <v>1.6330290074245568</v>
      </c>
      <c r="U144" s="56">
        <f>STDEV(D144:L144)</f>
        <v>43.368548223338017</v>
      </c>
      <c r="V144" s="55" t="str">
        <f>IF(L145="","",(IF(T144&lt;7,IF(S144&gt;2800,IF(S144&lt;3800,"Pass","Fail"),"Fail"),"Fail")))</f>
        <v>Pass</v>
      </c>
      <c r="W144" s="57">
        <v>1400</v>
      </c>
      <c r="X144" s="249"/>
      <c r="Z144" s="53">
        <v>2800</v>
      </c>
      <c r="AA144" s="53">
        <v>3800</v>
      </c>
      <c r="AB144" s="53">
        <v>3100</v>
      </c>
      <c r="AC144" s="53">
        <v>3760</v>
      </c>
      <c r="AD144" s="52">
        <v>6</v>
      </c>
    </row>
    <row r="145" spans="1:30" ht="16.5" customHeight="1" x14ac:dyDescent="0.35">
      <c r="A145" s="206"/>
      <c r="B145" s="48"/>
      <c r="C145" s="51" t="s">
        <v>157</v>
      </c>
      <c r="D145" s="8">
        <v>3542.8</v>
      </c>
      <c r="E145" s="8">
        <v>3541.32</v>
      </c>
      <c r="F145" s="8">
        <v>3547.42</v>
      </c>
      <c r="G145" s="8">
        <v>3504.25</v>
      </c>
      <c r="H145" s="8">
        <v>3644.46</v>
      </c>
      <c r="I145" s="8">
        <v>3632.41</v>
      </c>
      <c r="J145" s="8">
        <v>3523.17</v>
      </c>
      <c r="K145" s="8">
        <v>3538.86</v>
      </c>
      <c r="L145" s="8">
        <v>3637.12</v>
      </c>
      <c r="M145" s="80"/>
      <c r="N145" s="80"/>
      <c r="O145" s="80"/>
      <c r="P145" s="80"/>
      <c r="Q145" s="48"/>
      <c r="R145" s="48"/>
      <c r="S145" s="49"/>
      <c r="T145" s="48"/>
      <c r="U145" s="48"/>
      <c r="V145" s="47"/>
      <c r="W145" s="48"/>
      <c r="X145" s="79"/>
    </row>
    <row r="146" spans="1:30" ht="24.8" customHeight="1" thickBot="1" x14ac:dyDescent="0.4">
      <c r="A146" s="206"/>
      <c r="B146" s="42"/>
      <c r="C146" s="45" t="s">
        <v>156</v>
      </c>
      <c r="D146" s="44">
        <f t="shared" ref="D146:L146" si="43">IF(((D144="")*AND(D145="")),"",(D144-D145)*2)</f>
        <v>3240.4799999999996</v>
      </c>
      <c r="E146" s="44">
        <f t="shared" si="43"/>
        <v>3262.1400000000003</v>
      </c>
      <c r="F146" s="44">
        <f t="shared" si="43"/>
        <v>3260.4599999999991</v>
      </c>
      <c r="G146" s="44">
        <f t="shared" si="43"/>
        <v>3258.26</v>
      </c>
      <c r="H146" s="44">
        <f t="shared" si="43"/>
        <v>3183</v>
      </c>
      <c r="I146" s="44">
        <f t="shared" si="43"/>
        <v>3161.1800000000003</v>
      </c>
      <c r="J146" s="44">
        <f t="shared" si="43"/>
        <v>3253.8600000000006</v>
      </c>
      <c r="K146" s="44">
        <f t="shared" si="43"/>
        <v>3266.1400000000003</v>
      </c>
      <c r="L146" s="44">
        <f t="shared" si="43"/>
        <v>3262.6800000000003</v>
      </c>
      <c r="M146" s="44"/>
      <c r="N146" s="44"/>
      <c r="O146" s="44"/>
      <c r="P146" s="44"/>
      <c r="Q146" s="42"/>
      <c r="R146" s="42"/>
      <c r="S146" s="43"/>
      <c r="T146" s="42"/>
      <c r="U146" s="42"/>
      <c r="V146" s="41"/>
      <c r="W146" s="42"/>
      <c r="X146" s="78"/>
    </row>
    <row r="147" spans="1:30" x14ac:dyDescent="0.25">
      <c r="A147" s="205">
        <v>42662</v>
      </c>
      <c r="B147" s="63" t="s">
        <v>160</v>
      </c>
      <c r="C147" s="56" t="s">
        <v>158</v>
      </c>
      <c r="D147" s="8">
        <v>1915.96</v>
      </c>
      <c r="E147" s="8">
        <v>1913.82</v>
      </c>
      <c r="F147" s="8">
        <v>1895.95</v>
      </c>
      <c r="G147" s="8">
        <v>1906.27</v>
      </c>
      <c r="H147" s="8">
        <v>1915.85</v>
      </c>
      <c r="I147" s="8">
        <v>1913.82</v>
      </c>
      <c r="J147" s="8">
        <v>1912.34</v>
      </c>
      <c r="K147" s="8">
        <v>1910.46</v>
      </c>
      <c r="L147" s="8">
        <v>1922.18</v>
      </c>
      <c r="M147" s="80"/>
      <c r="N147" s="80"/>
      <c r="O147" s="80"/>
      <c r="P147" s="80"/>
      <c r="Q147" s="63">
        <f>IF((L148=""),"",MAX(D149:L149))</f>
        <v>2645.2</v>
      </c>
      <c r="R147" s="63">
        <f>IF(L148="","",MIN(D149:L149))</f>
        <v>2468.4399999999996</v>
      </c>
      <c r="S147" s="63">
        <f>IF((L149=""),"",AVERAGE(D149:L149))</f>
        <v>2559.0044444444447</v>
      </c>
      <c r="T147" s="63">
        <f>IF((L148=""),"",((Q147-R147)/(Q147+R147))*100)</f>
        <v>3.4566375419466415</v>
      </c>
      <c r="U147" s="51">
        <f>STDEV(D147:L147)</f>
        <v>7.3610580081941936</v>
      </c>
      <c r="V147" s="64" t="str">
        <f>IF(L148="","",(IF(T147&lt;12,IF(S147&gt;2200,IF(S147&lt;3280,"Pass","Fail"),"Fail"),"Fail")))</f>
        <v>Pass</v>
      </c>
      <c r="W147" s="63">
        <v>1400</v>
      </c>
      <c r="X147" s="250" t="s">
        <v>211</v>
      </c>
      <c r="Z147" s="37">
        <v>2000</v>
      </c>
      <c r="AA147" s="37">
        <v>3000</v>
      </c>
      <c r="AB147" s="37">
        <v>2200</v>
      </c>
      <c r="AC147" s="37">
        <v>3280</v>
      </c>
      <c r="AD147" s="39">
        <v>12</v>
      </c>
    </row>
    <row r="148" spans="1:30" ht="16.5" customHeight="1" x14ac:dyDescent="0.35">
      <c r="A148" s="206"/>
      <c r="B148" s="48"/>
      <c r="C148" s="51" t="s">
        <v>157</v>
      </c>
      <c r="D148" s="8">
        <v>1254.6600000000001</v>
      </c>
      <c r="E148" s="8">
        <v>1262.69</v>
      </c>
      <c r="F148" s="8">
        <v>1272.74</v>
      </c>
      <c r="G148" s="8">
        <v>1275.52</v>
      </c>
      <c r="H148" s="8">
        <v>1298.74</v>
      </c>
      <c r="I148" s="8">
        <v>1253.45</v>
      </c>
      <c r="J148" s="8">
        <v>1262.2</v>
      </c>
      <c r="K148" s="8">
        <v>1276.4100000000001</v>
      </c>
      <c r="L148" s="8">
        <v>1292.48</v>
      </c>
      <c r="M148" s="80"/>
      <c r="N148" s="80"/>
      <c r="O148" s="80"/>
      <c r="P148" s="80"/>
      <c r="Q148" s="48"/>
      <c r="R148" s="48"/>
      <c r="S148" s="48"/>
      <c r="T148" s="48"/>
      <c r="U148" s="48"/>
      <c r="V148" s="47"/>
      <c r="W148" s="48"/>
      <c r="X148" s="79"/>
    </row>
    <row r="149" spans="1:30" ht="24.8" customHeight="1" thickBot="1" x14ac:dyDescent="0.4">
      <c r="A149" s="206"/>
      <c r="B149" s="61"/>
      <c r="C149" s="51" t="s">
        <v>156</v>
      </c>
      <c r="D149" s="24">
        <f t="shared" ref="D149:L149" si="44">IF(((D147="")*AND(D148="")),"",(D147-D148)*4)</f>
        <v>2645.2</v>
      </c>
      <c r="E149" s="24">
        <f t="shared" si="44"/>
        <v>2604.5199999999995</v>
      </c>
      <c r="F149" s="24">
        <f t="shared" si="44"/>
        <v>2492.84</v>
      </c>
      <c r="G149" s="24">
        <f t="shared" si="44"/>
        <v>2523</v>
      </c>
      <c r="H149" s="24">
        <f t="shared" si="44"/>
        <v>2468.4399999999996</v>
      </c>
      <c r="I149" s="24">
        <f t="shared" si="44"/>
        <v>2641.4799999999996</v>
      </c>
      <c r="J149" s="24">
        <f t="shared" si="44"/>
        <v>2600.5599999999995</v>
      </c>
      <c r="K149" s="24">
        <f t="shared" si="44"/>
        <v>2536.1999999999998</v>
      </c>
      <c r="L149" s="24">
        <f t="shared" si="44"/>
        <v>2518.8000000000002</v>
      </c>
      <c r="M149" s="24"/>
      <c r="N149" s="24"/>
      <c r="O149" s="24"/>
      <c r="P149" s="24" t="str">
        <f>IF(((P147="")*AND(P148="")),"",(P147-P148)*4)</f>
        <v/>
      </c>
      <c r="Q149" s="61"/>
      <c r="R149" s="61"/>
      <c r="S149" s="61"/>
      <c r="T149" s="61"/>
      <c r="U149" s="61"/>
      <c r="V149" s="60"/>
      <c r="W149" s="61"/>
      <c r="X149" s="79"/>
    </row>
    <row r="150" spans="1:30" x14ac:dyDescent="0.25">
      <c r="A150" s="205">
        <v>42662</v>
      </c>
      <c r="B150" s="57" t="s">
        <v>159</v>
      </c>
      <c r="C150" s="51" t="s">
        <v>158</v>
      </c>
      <c r="D150" s="8">
        <v>3566</v>
      </c>
      <c r="E150" s="8">
        <v>3564.55</v>
      </c>
      <c r="F150" s="8">
        <v>3570.77</v>
      </c>
      <c r="G150" s="8">
        <v>3527.7</v>
      </c>
      <c r="H150" s="8">
        <v>3663.08</v>
      </c>
      <c r="I150" s="8">
        <v>3650.69</v>
      </c>
      <c r="J150" s="8">
        <v>3546.29</v>
      </c>
      <c r="K150" s="8">
        <v>3561.97</v>
      </c>
      <c r="L150" s="8">
        <v>3657.58</v>
      </c>
      <c r="M150" s="80"/>
      <c r="N150" s="80"/>
      <c r="O150" s="80"/>
      <c r="P150" s="80"/>
      <c r="Q150" s="57">
        <f>IF((L151=""),"",MAX(D152:L152))</f>
        <v>3336.1399999999994</v>
      </c>
      <c r="R150" s="57">
        <f>IF(L151="","",MIN(D152:L152))</f>
        <v>3249.52</v>
      </c>
      <c r="S150" s="58">
        <f>IF((L152=""),"",AVERAGE(D152:L152))</f>
        <v>3314.2355555555559</v>
      </c>
      <c r="T150" s="57">
        <f>IF((L151=""),"",((Q150-R150)/(Q150+R150))*100)</f>
        <v>1.3152819914784462</v>
      </c>
      <c r="U150" s="56">
        <f>STDEV(D150:L150)</f>
        <v>52.155825124759033</v>
      </c>
      <c r="V150" s="55" t="str">
        <f>IF(L151="","",(IF(T150&lt;7,IF(S150&gt;2800,IF(S150&lt;3800,"Pass","Fail"),"Fail"),"Fail")))</f>
        <v>Pass</v>
      </c>
      <c r="W150" s="57">
        <v>1400</v>
      </c>
      <c r="X150" s="250" t="s">
        <v>211</v>
      </c>
      <c r="Z150" s="53">
        <v>2800</v>
      </c>
      <c r="AA150" s="53">
        <v>3800</v>
      </c>
      <c r="AB150" s="53">
        <v>3100</v>
      </c>
      <c r="AC150" s="53">
        <v>3760</v>
      </c>
      <c r="AD150" s="52">
        <v>6</v>
      </c>
    </row>
    <row r="151" spans="1:30" ht="16.5" customHeight="1" x14ac:dyDescent="0.35">
      <c r="A151" s="206"/>
      <c r="B151" s="48"/>
      <c r="C151" s="51" t="s">
        <v>157</v>
      </c>
      <c r="D151" s="8">
        <v>1906.72</v>
      </c>
      <c r="E151" s="8">
        <v>1897.78</v>
      </c>
      <c r="F151" s="8">
        <v>1904.55</v>
      </c>
      <c r="G151" s="8">
        <v>1859.63</v>
      </c>
      <c r="H151" s="8">
        <v>2031.51</v>
      </c>
      <c r="I151" s="8">
        <v>2025.93</v>
      </c>
      <c r="J151" s="8">
        <v>1880.96</v>
      </c>
      <c r="K151" s="8">
        <v>1894.45</v>
      </c>
      <c r="L151" s="8">
        <v>1993.04</v>
      </c>
      <c r="M151" s="80"/>
      <c r="N151" s="80"/>
      <c r="O151" s="80"/>
      <c r="P151" s="80"/>
      <c r="Q151" s="48"/>
      <c r="R151" s="48"/>
      <c r="S151" s="49"/>
      <c r="T151" s="48"/>
      <c r="U151" s="48"/>
      <c r="V151" s="47"/>
      <c r="W151" s="48"/>
      <c r="X151" s="79"/>
    </row>
    <row r="152" spans="1:30" ht="24.8" customHeight="1" thickBot="1" x14ac:dyDescent="0.4">
      <c r="A152" s="206"/>
      <c r="B152" s="42"/>
      <c r="C152" s="45" t="s">
        <v>156</v>
      </c>
      <c r="D152" s="44">
        <f t="shared" ref="D152:L152" si="45">IF(((D150="")*AND(D151="")),"",(D150-D151)*2)</f>
        <v>3318.56</v>
      </c>
      <c r="E152" s="44">
        <f t="shared" si="45"/>
        <v>3333.5400000000004</v>
      </c>
      <c r="F152" s="44">
        <f t="shared" si="45"/>
        <v>3332.44</v>
      </c>
      <c r="G152" s="44">
        <f t="shared" si="45"/>
        <v>3336.1399999999994</v>
      </c>
      <c r="H152" s="44">
        <f t="shared" si="45"/>
        <v>3263.14</v>
      </c>
      <c r="I152" s="44">
        <f t="shared" si="45"/>
        <v>3249.52</v>
      </c>
      <c r="J152" s="44">
        <f t="shared" si="45"/>
        <v>3330.66</v>
      </c>
      <c r="K152" s="44">
        <f t="shared" si="45"/>
        <v>3335.0399999999995</v>
      </c>
      <c r="L152" s="44">
        <f t="shared" si="45"/>
        <v>3329.08</v>
      </c>
      <c r="M152" s="44"/>
      <c r="N152" s="44"/>
      <c r="O152" s="44"/>
      <c r="P152" s="44"/>
      <c r="Q152" s="42"/>
      <c r="R152" s="42"/>
      <c r="S152" s="43"/>
      <c r="T152" s="42"/>
      <c r="U152" s="42"/>
      <c r="V152" s="41"/>
      <c r="W152" s="42"/>
      <c r="X152" s="78"/>
    </row>
    <row r="153" spans="1:30" x14ac:dyDescent="0.25">
      <c r="A153" s="205">
        <v>42669</v>
      </c>
      <c r="B153" s="63" t="s">
        <v>160</v>
      </c>
      <c r="C153" s="56" t="s">
        <v>158</v>
      </c>
      <c r="D153" s="8">
        <v>1916.67</v>
      </c>
      <c r="E153" s="8">
        <v>1907.8</v>
      </c>
      <c r="F153" s="8">
        <v>1915.42</v>
      </c>
      <c r="G153" s="8">
        <v>1909.39</v>
      </c>
      <c r="H153" s="8">
        <v>1911.9</v>
      </c>
      <c r="I153" s="8">
        <v>1910.39</v>
      </c>
      <c r="J153" s="8">
        <v>1906.29</v>
      </c>
      <c r="K153" s="8">
        <v>1909.79</v>
      </c>
      <c r="L153" s="8">
        <v>1915.97</v>
      </c>
      <c r="M153" s="80"/>
      <c r="N153" s="80"/>
      <c r="O153" s="80"/>
      <c r="P153" s="80"/>
      <c r="Q153" s="63">
        <f>IF((L154=""),"",MAX(D155:L155))</f>
        <v>2699.4400000000005</v>
      </c>
      <c r="R153" s="63">
        <f>IF(L154="","",MIN(D155:L155))</f>
        <v>2511.08</v>
      </c>
      <c r="S153" s="63">
        <f>IF((L155=""),"",AVERAGE(D155:L155))</f>
        <v>2590.7644444444445</v>
      </c>
      <c r="T153" s="63">
        <f>IF((L154=""),"",((Q153-R153)/(Q153+R153))*100)</f>
        <v>3.6149942808011595</v>
      </c>
      <c r="U153" s="51">
        <f>STDEV(D153:L153)</f>
        <v>3.7362581548924361</v>
      </c>
      <c r="V153" s="64" t="str">
        <f>IF(L154="","",(IF(T153&lt;12,IF(S153&gt;2200,IF(S153&lt;3280,"Pass","Fail"),"Fail"),"Fail")))</f>
        <v>Pass</v>
      </c>
      <c r="W153" s="63">
        <v>1335</v>
      </c>
      <c r="X153" s="250" t="s">
        <v>210</v>
      </c>
      <c r="Z153" s="37">
        <v>2000</v>
      </c>
      <c r="AA153" s="37">
        <v>3000</v>
      </c>
      <c r="AB153" s="37">
        <v>2200</v>
      </c>
      <c r="AC153" s="37">
        <v>3280</v>
      </c>
      <c r="AD153" s="39">
        <v>12</v>
      </c>
    </row>
    <row r="154" spans="1:30" ht="16.5" customHeight="1" x14ac:dyDescent="0.35">
      <c r="A154" s="206"/>
      <c r="B154" s="48"/>
      <c r="C154" s="51" t="s">
        <v>157</v>
      </c>
      <c r="D154" s="8">
        <v>1241.81</v>
      </c>
      <c r="E154" s="8">
        <v>1251.8499999999999</v>
      </c>
      <c r="F154" s="8">
        <v>1281.25</v>
      </c>
      <c r="G154" s="8">
        <v>1272.3399999999999</v>
      </c>
      <c r="H154" s="8">
        <v>1284.1300000000001</v>
      </c>
      <c r="I154" s="8">
        <v>1244.6199999999999</v>
      </c>
      <c r="J154" s="8">
        <v>1252.24</v>
      </c>
      <c r="K154" s="8">
        <v>1269.3900000000001</v>
      </c>
      <c r="L154" s="8">
        <v>1276.77</v>
      </c>
      <c r="M154" s="80"/>
      <c r="N154" s="80"/>
      <c r="O154" s="80"/>
      <c r="P154" s="80"/>
      <c r="Q154" s="48"/>
      <c r="R154" s="48"/>
      <c r="S154" s="48"/>
      <c r="T154" s="48"/>
      <c r="U154" s="48"/>
      <c r="V154" s="47"/>
      <c r="W154" s="48"/>
      <c r="X154" s="79"/>
    </row>
    <row r="155" spans="1:30" ht="24.8" customHeight="1" thickBot="1" x14ac:dyDescent="0.4">
      <c r="A155" s="206"/>
      <c r="B155" s="61"/>
      <c r="C155" s="51" t="s">
        <v>156</v>
      </c>
      <c r="D155" s="24">
        <f t="shared" ref="D155:L155" si="46">IF(((D153="")*AND(D154="")),"",(D153-D154)*4)</f>
        <v>2699.4400000000005</v>
      </c>
      <c r="E155" s="24">
        <f t="shared" si="46"/>
        <v>2623.8</v>
      </c>
      <c r="F155" s="24">
        <f t="shared" si="46"/>
        <v>2536.6800000000003</v>
      </c>
      <c r="G155" s="24">
        <f t="shared" si="46"/>
        <v>2548.2000000000007</v>
      </c>
      <c r="H155" s="24">
        <f t="shared" si="46"/>
        <v>2511.08</v>
      </c>
      <c r="I155" s="24">
        <f t="shared" si="46"/>
        <v>2663.0800000000008</v>
      </c>
      <c r="J155" s="24">
        <f t="shared" si="46"/>
        <v>2616.1999999999998</v>
      </c>
      <c r="K155" s="24">
        <f t="shared" si="46"/>
        <v>2561.5999999999995</v>
      </c>
      <c r="L155" s="24">
        <f t="shared" si="46"/>
        <v>2556.8000000000002</v>
      </c>
      <c r="M155" s="24"/>
      <c r="N155" s="24"/>
      <c r="O155" s="24"/>
      <c r="P155" s="24" t="str">
        <f>IF(((P153="")*AND(P154="")),"",(P153-P154)*4)</f>
        <v/>
      </c>
      <c r="Q155" s="61"/>
      <c r="R155" s="61"/>
      <c r="S155" s="61"/>
      <c r="T155" s="61"/>
      <c r="U155" s="61"/>
      <c r="V155" s="60"/>
      <c r="W155" s="61"/>
      <c r="X155" s="79"/>
    </row>
    <row r="156" spans="1:30" x14ac:dyDescent="0.25">
      <c r="A156" s="205">
        <v>42669</v>
      </c>
      <c r="B156" s="57" t="s">
        <v>159</v>
      </c>
      <c r="C156" s="51" t="s">
        <v>158</v>
      </c>
      <c r="D156" s="8">
        <v>6794.58</v>
      </c>
      <c r="E156" s="8">
        <v>6811.76</v>
      </c>
      <c r="F156" s="8">
        <v>6814.97</v>
      </c>
      <c r="G156" s="8">
        <v>6770.09</v>
      </c>
      <c r="H156" s="8">
        <v>6838.51</v>
      </c>
      <c r="I156" s="8">
        <v>6807.3</v>
      </c>
      <c r="J156" s="8">
        <v>6785.73</v>
      </c>
      <c r="K156" s="8">
        <v>6812.26</v>
      </c>
      <c r="L156" s="8">
        <v>6906.36</v>
      </c>
      <c r="M156" s="80"/>
      <c r="N156" s="80"/>
      <c r="O156" s="80"/>
      <c r="P156" s="80"/>
      <c r="Q156" s="57">
        <f>IF((L157=""),"",MAX(D158:L158))</f>
        <v>3266.6399999999994</v>
      </c>
      <c r="R156" s="57">
        <f>IF(L157="","",MIN(D158:L158))</f>
        <v>3183.7800000000007</v>
      </c>
      <c r="S156" s="58">
        <f>IF((L158=""),"",AVERAGE(D158:L158))</f>
        <v>3245.1222222222223</v>
      </c>
      <c r="T156" s="57">
        <f>IF((L157=""),"",((Q156-R156)/(Q156+R156))*100)</f>
        <v>1.284567516533788</v>
      </c>
      <c r="U156" s="56">
        <f>STDEV(D156:L156)</f>
        <v>39.151152104518026</v>
      </c>
      <c r="V156" s="55" t="str">
        <f>IF(L157="","",(IF(T156&lt;7,IF(S156&gt;2800,IF(S156&lt;3800,"Pass","Fail"),"Fail"),"Fail")))</f>
        <v>Pass</v>
      </c>
      <c r="W156" s="57">
        <v>1335</v>
      </c>
      <c r="X156" s="250" t="s">
        <v>210</v>
      </c>
      <c r="Z156" s="53">
        <v>2800</v>
      </c>
      <c r="AA156" s="53">
        <v>3800</v>
      </c>
      <c r="AB156" s="53">
        <v>3100</v>
      </c>
      <c r="AC156" s="53">
        <v>3760</v>
      </c>
      <c r="AD156" s="52">
        <v>6</v>
      </c>
    </row>
    <row r="157" spans="1:30" ht="16.5" customHeight="1" x14ac:dyDescent="0.35">
      <c r="A157" s="206"/>
      <c r="B157" s="48"/>
      <c r="C157" s="51" t="s">
        <v>157</v>
      </c>
      <c r="D157" s="8">
        <v>5169.92</v>
      </c>
      <c r="E157" s="8">
        <v>5182.42</v>
      </c>
      <c r="F157" s="8">
        <v>5186.09</v>
      </c>
      <c r="G157" s="8">
        <v>5139.84</v>
      </c>
      <c r="H157" s="8">
        <v>5234.3599999999997</v>
      </c>
      <c r="I157" s="8">
        <v>5215.41</v>
      </c>
      <c r="J157" s="8">
        <v>5157.66</v>
      </c>
      <c r="K157" s="8">
        <v>5179.7700000000004</v>
      </c>
      <c r="L157" s="8">
        <v>5273.04</v>
      </c>
      <c r="M157" s="80"/>
      <c r="N157" s="80"/>
      <c r="O157" s="80"/>
      <c r="P157" s="80"/>
      <c r="Q157" s="48"/>
      <c r="R157" s="48"/>
      <c r="S157" s="49"/>
      <c r="T157" s="48"/>
      <c r="U157" s="48"/>
      <c r="V157" s="47"/>
      <c r="W157" s="48"/>
      <c r="X157" s="79"/>
    </row>
    <row r="158" spans="1:30" ht="24.8" customHeight="1" thickBot="1" x14ac:dyDescent="0.4">
      <c r="A158" s="206"/>
      <c r="B158" s="42"/>
      <c r="C158" s="45" t="s">
        <v>156</v>
      </c>
      <c r="D158" s="44">
        <f t="shared" ref="D158:L158" si="47">IF(((D156="")*AND(D157="")),"",(D156-D157)*2)</f>
        <v>3249.3199999999997</v>
      </c>
      <c r="E158" s="44">
        <f t="shared" si="47"/>
        <v>3258.6800000000003</v>
      </c>
      <c r="F158" s="44">
        <f t="shared" si="47"/>
        <v>3257.76</v>
      </c>
      <c r="G158" s="44">
        <f t="shared" si="47"/>
        <v>3260.5</v>
      </c>
      <c r="H158" s="44">
        <f t="shared" si="47"/>
        <v>3208.3000000000011</v>
      </c>
      <c r="I158" s="44">
        <f t="shared" si="47"/>
        <v>3183.7800000000007</v>
      </c>
      <c r="J158" s="44">
        <f t="shared" si="47"/>
        <v>3256.1399999999994</v>
      </c>
      <c r="K158" s="44">
        <f t="shared" si="47"/>
        <v>3264.9799999999996</v>
      </c>
      <c r="L158" s="44">
        <f t="shared" si="47"/>
        <v>3266.6399999999994</v>
      </c>
      <c r="M158" s="44"/>
      <c r="N158" s="44"/>
      <c r="O158" s="44"/>
      <c r="P158" s="44"/>
      <c r="Q158" s="42"/>
      <c r="R158" s="42"/>
      <c r="S158" s="43"/>
      <c r="T158" s="42"/>
      <c r="U158" s="42"/>
      <c r="V158" s="41"/>
      <c r="W158" s="42"/>
      <c r="X158" s="78"/>
    </row>
    <row r="159" spans="1:30" x14ac:dyDescent="0.25">
      <c r="A159" s="205">
        <v>42675</v>
      </c>
      <c r="B159" s="63" t="s">
        <v>160</v>
      </c>
      <c r="C159" s="56" t="s">
        <v>158</v>
      </c>
      <c r="D159" s="8">
        <v>2169.59</v>
      </c>
      <c r="E159" s="8">
        <v>2140.67</v>
      </c>
      <c r="F159" s="8">
        <v>2115.89</v>
      </c>
      <c r="G159" s="8">
        <v>2134.84</v>
      </c>
      <c r="H159" s="8">
        <v>2170.84</v>
      </c>
      <c r="I159" s="8">
        <v>2169.19</v>
      </c>
      <c r="J159" s="8">
        <v>2140</v>
      </c>
      <c r="K159" s="8">
        <v>2132.87</v>
      </c>
      <c r="L159" s="8">
        <v>2169.04</v>
      </c>
      <c r="M159" s="80"/>
      <c r="N159" s="80"/>
      <c r="O159" s="80"/>
      <c r="P159" s="80"/>
      <c r="Q159" s="63">
        <f>IF((L160=""),"",MAX(D161:L161))</f>
        <v>2999.12</v>
      </c>
      <c r="R159" s="63">
        <f>IF(L160="","",MIN(D161:L161))</f>
        <v>2712.08</v>
      </c>
      <c r="S159" s="63">
        <f>IF((L161=""),"",AVERAGE(D161:L161))</f>
        <v>2844.5822222222218</v>
      </c>
      <c r="T159" s="63">
        <f>IF((L160=""),"",((Q159-R159)/(Q159+R159))*100)</f>
        <v>5.0259139935565207</v>
      </c>
      <c r="U159" s="51">
        <f>STDEV(D159:L159)</f>
        <v>20.667308188967915</v>
      </c>
      <c r="V159" s="64" t="str">
        <f>IF(L160="","",(IF(T159&lt;12,IF(S159&gt;2200,IF(S159&lt;3280,"Pass","Fail"),"Fail"),"Fail")))</f>
        <v>Pass</v>
      </c>
      <c r="W159" s="63">
        <v>1335</v>
      </c>
      <c r="X159" s="250" t="s">
        <v>209</v>
      </c>
      <c r="Z159" s="37">
        <v>2000</v>
      </c>
      <c r="AA159" s="37">
        <v>3000</v>
      </c>
      <c r="AB159" s="37">
        <v>2200</v>
      </c>
      <c r="AC159" s="37">
        <v>3280</v>
      </c>
      <c r="AD159" s="39">
        <v>12</v>
      </c>
    </row>
    <row r="160" spans="1:30" ht="16.5" customHeight="1" x14ac:dyDescent="0.35">
      <c r="A160" s="206"/>
      <c r="B160" s="48"/>
      <c r="C160" s="51" t="s">
        <v>157</v>
      </c>
      <c r="D160" s="8">
        <v>1425.41</v>
      </c>
      <c r="E160" s="8">
        <v>1434.8</v>
      </c>
      <c r="F160" s="8">
        <v>1437.87</v>
      </c>
      <c r="G160" s="8">
        <v>1443.41</v>
      </c>
      <c r="H160" s="8">
        <v>1455.44</v>
      </c>
      <c r="I160" s="8">
        <v>1419.41</v>
      </c>
      <c r="J160" s="8">
        <v>1430.18</v>
      </c>
      <c r="K160" s="8">
        <v>1445.16</v>
      </c>
      <c r="L160" s="8">
        <v>1450.94</v>
      </c>
      <c r="M160" s="80"/>
      <c r="N160" s="80"/>
      <c r="O160" s="80"/>
      <c r="P160" s="80"/>
      <c r="Q160" s="48"/>
      <c r="R160" s="48"/>
      <c r="S160" s="48"/>
      <c r="T160" s="48"/>
      <c r="U160" s="48"/>
      <c r="V160" s="47"/>
      <c r="W160" s="48"/>
      <c r="X160" s="79"/>
    </row>
    <row r="161" spans="1:30" ht="24.8" customHeight="1" thickBot="1" x14ac:dyDescent="0.4">
      <c r="A161" s="206"/>
      <c r="B161" s="61"/>
      <c r="C161" s="51" t="s">
        <v>156</v>
      </c>
      <c r="D161" s="24">
        <f t="shared" ref="D161:L161" si="48">IF(((D159="")*AND(D160="")),"",(D159-D160)*4)</f>
        <v>2976.7200000000003</v>
      </c>
      <c r="E161" s="24">
        <f t="shared" si="48"/>
        <v>2823.4800000000005</v>
      </c>
      <c r="F161" s="24">
        <f t="shared" si="48"/>
        <v>2712.08</v>
      </c>
      <c r="G161" s="24">
        <f t="shared" si="48"/>
        <v>2765.7200000000003</v>
      </c>
      <c r="H161" s="24">
        <f t="shared" si="48"/>
        <v>2861.6000000000004</v>
      </c>
      <c r="I161" s="24">
        <f t="shared" si="48"/>
        <v>2999.12</v>
      </c>
      <c r="J161" s="24">
        <f t="shared" si="48"/>
        <v>2839.2799999999997</v>
      </c>
      <c r="K161" s="24">
        <f t="shared" si="48"/>
        <v>2750.8399999999992</v>
      </c>
      <c r="L161" s="24">
        <f t="shared" si="48"/>
        <v>2872.3999999999996</v>
      </c>
      <c r="M161" s="24"/>
      <c r="N161" s="24"/>
      <c r="O161" s="24"/>
      <c r="P161" s="24" t="str">
        <f>IF(((P159="")*AND(P160="")),"",(P159-P160)*4)</f>
        <v/>
      </c>
      <c r="Q161" s="61"/>
      <c r="R161" s="61"/>
      <c r="S161" s="61"/>
      <c r="T161" s="61"/>
      <c r="U161" s="61"/>
      <c r="V161" s="60"/>
      <c r="W161" s="61"/>
      <c r="X161" s="79"/>
    </row>
    <row r="162" spans="1:30" x14ac:dyDescent="0.25">
      <c r="A162" s="205">
        <v>42675</v>
      </c>
      <c r="B162" s="57" t="s">
        <v>159</v>
      </c>
      <c r="C162" s="51" t="s">
        <v>158</v>
      </c>
      <c r="D162" s="8">
        <v>6811.92</v>
      </c>
      <c r="E162" s="8">
        <v>6843.5</v>
      </c>
      <c r="F162" s="8">
        <v>6850.42</v>
      </c>
      <c r="G162" s="8">
        <v>6797.31</v>
      </c>
      <c r="H162" s="8">
        <v>6841.64</v>
      </c>
      <c r="I162" s="8">
        <v>6807.06</v>
      </c>
      <c r="J162" s="8">
        <v>6810.18</v>
      </c>
      <c r="K162" s="8">
        <v>6849.63</v>
      </c>
      <c r="L162" s="8">
        <v>6918.39</v>
      </c>
      <c r="M162" s="80"/>
      <c r="N162" s="80"/>
      <c r="O162" s="80"/>
      <c r="P162" s="80"/>
      <c r="Q162" s="57">
        <f>IF((L163=""),"",MAX(D164:L164))</f>
        <v>3256.1800000000003</v>
      </c>
      <c r="R162" s="57">
        <f>IF(L163="","",MIN(D164:L164))</f>
        <v>3194.9000000000015</v>
      </c>
      <c r="S162" s="58">
        <f>IF((L164=""),"",AVERAGE(D164:L164))</f>
        <v>3236.626666666667</v>
      </c>
      <c r="T162" s="57">
        <f>IF((L163=""),"",((Q162-R162)/(Q162+R162))*100)</f>
        <v>0.94991846326504747</v>
      </c>
      <c r="U162" s="56">
        <f>STDEV(D162:L162)</f>
        <v>36.821828708585926</v>
      </c>
      <c r="V162" s="55" t="str">
        <f>IF(L163="","",(IF(T162&lt;7,IF(S162&gt;2800,IF(S162&lt;3800,"Pass","Fail"),"Fail"),"Fail")))</f>
        <v>Pass</v>
      </c>
      <c r="W162" s="57">
        <v>1335</v>
      </c>
      <c r="X162" s="250" t="s">
        <v>209</v>
      </c>
      <c r="Z162" s="53">
        <v>2800</v>
      </c>
      <c r="AA162" s="53">
        <v>3800</v>
      </c>
      <c r="AB162" s="53">
        <v>3100</v>
      </c>
      <c r="AC162" s="53">
        <v>3760</v>
      </c>
      <c r="AD162" s="52">
        <v>6</v>
      </c>
    </row>
    <row r="163" spans="1:30" ht="16.5" customHeight="1" x14ac:dyDescent="0.35">
      <c r="A163" s="206"/>
      <c r="B163" s="48"/>
      <c r="C163" s="51" t="s">
        <v>157</v>
      </c>
      <c r="D163" s="8">
        <v>5189.07</v>
      </c>
      <c r="E163" s="8">
        <v>5218.12</v>
      </c>
      <c r="F163" s="8">
        <v>5227.38</v>
      </c>
      <c r="G163" s="8">
        <v>5173.76</v>
      </c>
      <c r="H163" s="8">
        <v>5244.19</v>
      </c>
      <c r="I163" s="8">
        <v>5209.6099999999997</v>
      </c>
      <c r="J163" s="8">
        <v>5187.58</v>
      </c>
      <c r="K163" s="8">
        <v>5225.22</v>
      </c>
      <c r="L163" s="8">
        <v>5290.3</v>
      </c>
      <c r="M163" s="80"/>
      <c r="N163" s="80"/>
      <c r="O163" s="80"/>
      <c r="P163" s="80"/>
      <c r="Q163" s="48"/>
      <c r="R163" s="48"/>
      <c r="S163" s="49"/>
      <c r="T163" s="48"/>
      <c r="U163" s="48"/>
      <c r="V163" s="47"/>
      <c r="W163" s="48"/>
      <c r="X163" s="79"/>
    </row>
    <row r="164" spans="1:30" ht="24.8" customHeight="1" thickBot="1" x14ac:dyDescent="0.4">
      <c r="A164" s="206"/>
      <c r="B164" s="42"/>
      <c r="C164" s="45" t="s">
        <v>156</v>
      </c>
      <c r="D164" s="44">
        <f t="shared" ref="D164:L164" si="49">IF(((D162="")*AND(D163="")),"",(D162-D163)*2)</f>
        <v>3245.7000000000007</v>
      </c>
      <c r="E164" s="44">
        <f t="shared" si="49"/>
        <v>3250.76</v>
      </c>
      <c r="F164" s="44">
        <f t="shared" si="49"/>
        <v>3246.08</v>
      </c>
      <c r="G164" s="44">
        <f t="shared" si="49"/>
        <v>3247.1000000000004</v>
      </c>
      <c r="H164" s="44">
        <f t="shared" si="49"/>
        <v>3194.9000000000015</v>
      </c>
      <c r="I164" s="44">
        <f t="shared" si="49"/>
        <v>3194.9000000000015</v>
      </c>
      <c r="J164" s="44">
        <f t="shared" si="49"/>
        <v>3245.2000000000007</v>
      </c>
      <c r="K164" s="44">
        <f t="shared" si="49"/>
        <v>3248.8199999999997</v>
      </c>
      <c r="L164" s="44">
        <f t="shared" si="49"/>
        <v>3256.1800000000003</v>
      </c>
      <c r="M164" s="44"/>
      <c r="N164" s="44"/>
      <c r="O164" s="44"/>
      <c r="P164" s="44"/>
      <c r="Q164" s="42"/>
      <c r="R164" s="42"/>
      <c r="S164" s="43"/>
      <c r="T164" s="42"/>
      <c r="U164" s="42"/>
      <c r="V164" s="41"/>
      <c r="W164" s="42"/>
      <c r="X164" s="78"/>
    </row>
    <row r="165" spans="1:30" x14ac:dyDescent="0.25">
      <c r="A165" s="205">
        <v>42682</v>
      </c>
      <c r="B165" s="63" t="s">
        <v>160</v>
      </c>
      <c r="C165" s="56" t="s">
        <v>158</v>
      </c>
      <c r="D165" s="8">
        <v>1915.76</v>
      </c>
      <c r="E165" s="8">
        <v>1909.98</v>
      </c>
      <c r="F165" s="8">
        <v>1912.48</v>
      </c>
      <c r="G165" s="8">
        <v>1909.6</v>
      </c>
      <c r="H165" s="8">
        <v>1917.14</v>
      </c>
      <c r="I165" s="8">
        <v>1915</v>
      </c>
      <c r="J165" s="8">
        <v>1912.64</v>
      </c>
      <c r="K165" s="8">
        <v>1912.08</v>
      </c>
      <c r="L165" s="8">
        <v>1918.99</v>
      </c>
      <c r="M165" s="80"/>
      <c r="N165" s="80"/>
      <c r="O165" s="80"/>
      <c r="P165" s="80"/>
      <c r="Q165" s="63">
        <f>IF((L166=""),"",MAX(D167:L167))</f>
        <v>2729.3999999999996</v>
      </c>
      <c r="R165" s="63">
        <f>IF(L166="","",MIN(D167:L167))</f>
        <v>2528.7200000000003</v>
      </c>
      <c r="S165" s="63">
        <f>IF((L167=""),"",AVERAGE(D167:L167))</f>
        <v>2611.5555555555552</v>
      </c>
      <c r="T165" s="63">
        <f>IF((L166=""),"",((Q165-R165)/(Q165+R165))*100)</f>
        <v>3.8165732238898955</v>
      </c>
      <c r="U165" s="51">
        <f>STDEV(D165:L165)</f>
        <v>3.194152643677393</v>
      </c>
      <c r="V165" s="64" t="str">
        <f>IF(L166="","",(IF(T165&lt;12,IF(S165&gt;2200,IF(S165&lt;3280,"Pass","Fail"),"Fail"),"Fail")))</f>
        <v>Pass</v>
      </c>
      <c r="W165" s="63">
        <v>1428</v>
      </c>
      <c r="X165" s="250" t="s">
        <v>208</v>
      </c>
      <c r="Z165" s="37">
        <v>2000</v>
      </c>
      <c r="AA165" s="37">
        <v>3000</v>
      </c>
      <c r="AB165" s="37">
        <v>2200</v>
      </c>
      <c r="AC165" s="37">
        <v>3280</v>
      </c>
      <c r="AD165" s="39">
        <v>12</v>
      </c>
    </row>
    <row r="166" spans="1:30" ht="16.5" customHeight="1" x14ac:dyDescent="0.35">
      <c r="A166" s="206"/>
      <c r="B166" s="48"/>
      <c r="C166" s="51" t="s">
        <v>157</v>
      </c>
      <c r="D166" s="8">
        <v>1233.4100000000001</v>
      </c>
      <c r="E166" s="8">
        <v>1253.1400000000001</v>
      </c>
      <c r="F166" s="8">
        <v>1280.3</v>
      </c>
      <c r="G166" s="8">
        <v>1269.31</v>
      </c>
      <c r="H166" s="8">
        <v>1281.78</v>
      </c>
      <c r="I166" s="8">
        <v>1237.94</v>
      </c>
      <c r="J166" s="8">
        <v>1254.6500000000001</v>
      </c>
      <c r="K166" s="8">
        <v>1268.93</v>
      </c>
      <c r="L166" s="8">
        <v>1268.21</v>
      </c>
      <c r="M166" s="80"/>
      <c r="N166" s="80"/>
      <c r="O166" s="80"/>
      <c r="P166" s="80"/>
      <c r="Q166" s="48"/>
      <c r="R166" s="48"/>
      <c r="S166" s="48"/>
      <c r="T166" s="48"/>
      <c r="U166" s="48"/>
      <c r="V166" s="47"/>
      <c r="W166" s="48"/>
      <c r="X166" s="79"/>
    </row>
    <row r="167" spans="1:30" ht="24.8" customHeight="1" thickBot="1" x14ac:dyDescent="0.4">
      <c r="A167" s="206"/>
      <c r="B167" s="61"/>
      <c r="C167" s="51" t="s">
        <v>156</v>
      </c>
      <c r="D167" s="24">
        <f t="shared" ref="D167:L167" si="50">IF(((D165="")*AND(D166="")),"",(D165-D166)*4)</f>
        <v>2729.3999999999996</v>
      </c>
      <c r="E167" s="24">
        <f t="shared" si="50"/>
        <v>2627.3599999999997</v>
      </c>
      <c r="F167" s="24">
        <f t="shared" si="50"/>
        <v>2528.7200000000003</v>
      </c>
      <c r="G167" s="24">
        <f t="shared" si="50"/>
        <v>2561.16</v>
      </c>
      <c r="H167" s="24">
        <f t="shared" si="50"/>
        <v>2541.4400000000005</v>
      </c>
      <c r="I167" s="24">
        <f t="shared" si="50"/>
        <v>2708.24</v>
      </c>
      <c r="J167" s="24">
        <f t="shared" si="50"/>
        <v>2631.96</v>
      </c>
      <c r="K167" s="24">
        <f t="shared" si="50"/>
        <v>2572.5999999999995</v>
      </c>
      <c r="L167" s="24">
        <f t="shared" si="50"/>
        <v>2603.12</v>
      </c>
      <c r="M167" s="24"/>
      <c r="N167" s="24"/>
      <c r="O167" s="24"/>
      <c r="P167" s="24" t="str">
        <f>IF(((P165="")*AND(P166="")),"",(P165-P166)*4)</f>
        <v/>
      </c>
      <c r="Q167" s="61"/>
      <c r="R167" s="61"/>
      <c r="S167" s="61"/>
      <c r="T167" s="61"/>
      <c r="U167" s="61"/>
      <c r="V167" s="60"/>
      <c r="W167" s="61"/>
      <c r="X167" s="79"/>
    </row>
    <row r="168" spans="1:30" x14ac:dyDescent="0.25">
      <c r="A168" s="205">
        <v>42682</v>
      </c>
      <c r="B168" s="57" t="s">
        <v>159</v>
      </c>
      <c r="C168" s="51" t="s">
        <v>158</v>
      </c>
      <c r="D168" s="8">
        <v>2944.22</v>
      </c>
      <c r="E168" s="8">
        <v>3214.33</v>
      </c>
      <c r="F168" s="8">
        <v>3310.93</v>
      </c>
      <c r="G168" s="8">
        <v>3157.16</v>
      </c>
      <c r="H168" s="8">
        <v>3016.45</v>
      </c>
      <c r="I168" s="8">
        <v>2549.48</v>
      </c>
      <c r="J168" s="8">
        <v>3143.87</v>
      </c>
      <c r="K168" s="8">
        <v>3295.53</v>
      </c>
      <c r="L168" s="8">
        <v>3124.4</v>
      </c>
      <c r="M168" s="80"/>
      <c r="N168" s="80"/>
      <c r="O168" s="80"/>
      <c r="P168" s="80"/>
      <c r="Q168" s="57">
        <f>IF((L169=""),"",MAX(D170:L170))</f>
        <v>3317.4</v>
      </c>
      <c r="R168" s="57">
        <f>IF(L169="","",MIN(D170:L170))</f>
        <v>3224.2</v>
      </c>
      <c r="S168" s="58">
        <f>IF((L170=""),"",AVERAGE(D170:L170))</f>
        <v>3292.6200000000003</v>
      </c>
      <c r="T168" s="57">
        <f>IF((L169=""),"",((Q168-R168)/(Q168+R168))*100)</f>
        <v>1.4247278953161346</v>
      </c>
      <c r="U168" s="56">
        <f>STDEV(D168:L168)</f>
        <v>232.81164685451441</v>
      </c>
      <c r="V168" s="55" t="str">
        <f>IF(L169="","",(IF(T168&lt;7,IF(S168&gt;2800,IF(S168&lt;3800,"Pass","Fail"),"Fail"),"Fail")))</f>
        <v>Pass</v>
      </c>
      <c r="W168" s="57">
        <v>1428</v>
      </c>
      <c r="X168" s="250" t="s">
        <v>208</v>
      </c>
      <c r="Z168" s="53">
        <v>2800</v>
      </c>
      <c r="AA168" s="53">
        <v>3800</v>
      </c>
      <c r="AB168" s="53">
        <v>3100</v>
      </c>
      <c r="AC168" s="53">
        <v>3760</v>
      </c>
      <c r="AD168" s="52">
        <v>6</v>
      </c>
    </row>
    <row r="169" spans="1:30" ht="16.5" customHeight="1" x14ac:dyDescent="0.35">
      <c r="A169" s="206"/>
      <c r="B169" s="48"/>
      <c r="C169" s="51" t="s">
        <v>157</v>
      </c>
      <c r="D169" s="8">
        <v>1285.6099999999999</v>
      </c>
      <c r="E169" s="8">
        <v>1564.85</v>
      </c>
      <c r="F169" s="8">
        <v>1663.62</v>
      </c>
      <c r="G169" s="8">
        <v>1502.8</v>
      </c>
      <c r="H169" s="8">
        <v>1382.21</v>
      </c>
      <c r="I169" s="8">
        <v>937.38</v>
      </c>
      <c r="J169" s="8">
        <v>1490.05</v>
      </c>
      <c r="K169" s="8">
        <v>1647.36</v>
      </c>
      <c r="L169" s="8">
        <v>1465.7</v>
      </c>
      <c r="M169" s="80"/>
      <c r="N169" s="80"/>
      <c r="O169" s="80"/>
      <c r="P169" s="80"/>
      <c r="Q169" s="48"/>
      <c r="R169" s="48"/>
      <c r="S169" s="49"/>
      <c r="T169" s="48"/>
      <c r="U169" s="48"/>
      <c r="V169" s="47"/>
      <c r="W169" s="48"/>
      <c r="X169" s="79"/>
    </row>
    <row r="170" spans="1:30" ht="24.8" customHeight="1" thickBot="1" x14ac:dyDescent="0.4">
      <c r="A170" s="206"/>
      <c r="B170" s="42"/>
      <c r="C170" s="45" t="s">
        <v>156</v>
      </c>
      <c r="D170" s="44">
        <f t="shared" ref="D170:L170" si="51">IF(((D168="")*AND(D169="")),"",(D168-D169)*2)</f>
        <v>3317.22</v>
      </c>
      <c r="E170" s="44">
        <f t="shared" si="51"/>
        <v>3298.96</v>
      </c>
      <c r="F170" s="44">
        <f t="shared" si="51"/>
        <v>3294.62</v>
      </c>
      <c r="G170" s="44">
        <f t="shared" si="51"/>
        <v>3308.72</v>
      </c>
      <c r="H170" s="44">
        <f t="shared" si="51"/>
        <v>3268.4799999999996</v>
      </c>
      <c r="I170" s="44">
        <f t="shared" si="51"/>
        <v>3224.2</v>
      </c>
      <c r="J170" s="44">
        <f t="shared" si="51"/>
        <v>3307.64</v>
      </c>
      <c r="K170" s="44">
        <f t="shared" si="51"/>
        <v>3296.3400000000006</v>
      </c>
      <c r="L170" s="44">
        <f t="shared" si="51"/>
        <v>3317.4</v>
      </c>
      <c r="M170" s="44"/>
      <c r="N170" s="44"/>
      <c r="O170" s="44"/>
      <c r="P170" s="44"/>
      <c r="Q170" s="42"/>
      <c r="R170" s="42"/>
      <c r="S170" s="43"/>
      <c r="T170" s="42"/>
      <c r="U170" s="42"/>
      <c r="V170" s="41"/>
      <c r="W170" s="42"/>
      <c r="X170" s="78"/>
    </row>
    <row r="171" spans="1:30" x14ac:dyDescent="0.25">
      <c r="A171" s="205">
        <v>42699</v>
      </c>
      <c r="B171" s="63" t="s">
        <v>160</v>
      </c>
      <c r="C171" s="56" t="s">
        <v>158</v>
      </c>
      <c r="D171" s="8">
        <v>1947.92</v>
      </c>
      <c r="E171" s="8">
        <v>1937.04</v>
      </c>
      <c r="F171" s="8">
        <v>1921.7</v>
      </c>
      <c r="G171" s="8">
        <v>1932.22</v>
      </c>
      <c r="H171" s="8">
        <v>1946.1</v>
      </c>
      <c r="I171" s="8">
        <v>1950.12</v>
      </c>
      <c r="J171" s="8">
        <v>1936.89</v>
      </c>
      <c r="K171" s="8">
        <v>1933.34</v>
      </c>
      <c r="L171" s="8">
        <v>1946.22</v>
      </c>
      <c r="M171" s="80"/>
      <c r="N171" s="80"/>
      <c r="O171" s="80"/>
      <c r="P171" s="80"/>
      <c r="Q171" s="63">
        <f>IF((L172=""),"",MAX(D173:L173))</f>
        <v>2762.2000000000007</v>
      </c>
      <c r="R171" s="63">
        <f>IF(L172="","",MIN(D173:L173))</f>
        <v>2569.1999999999998</v>
      </c>
      <c r="S171" s="63">
        <f>IF((L173=""),"",AVERAGE(D173:L173))</f>
        <v>2649.8444444444449</v>
      </c>
      <c r="T171" s="63">
        <f>IF((L172=""),"",((Q171-R171)/(Q171+R171))*100)</f>
        <v>3.6200622725738247</v>
      </c>
      <c r="U171" s="51">
        <f>STDEV(D171:L171)</f>
        <v>9.295921746180456</v>
      </c>
      <c r="V171" s="64" t="str">
        <f>IF(L172="","",(IF(T171&lt;12,IF(S171&gt;2200,IF(S171&lt;3280,"Pass","Fail"),"Fail"),"Fail")))</f>
        <v>Pass</v>
      </c>
      <c r="W171" s="63">
        <v>1335</v>
      </c>
      <c r="X171" s="250" t="s">
        <v>207</v>
      </c>
      <c r="Z171" s="37">
        <v>2000</v>
      </c>
      <c r="AA171" s="37">
        <v>3000</v>
      </c>
      <c r="AB171" s="37">
        <v>2200</v>
      </c>
      <c r="AC171" s="37">
        <v>3280</v>
      </c>
      <c r="AD171" s="39">
        <v>12</v>
      </c>
    </row>
    <row r="172" spans="1:30" ht="16.5" customHeight="1" x14ac:dyDescent="0.35">
      <c r="A172" s="206"/>
      <c r="B172" s="48"/>
      <c r="C172" s="51" t="s">
        <v>157</v>
      </c>
      <c r="D172" s="8">
        <v>1257.3699999999999</v>
      </c>
      <c r="E172" s="8">
        <v>1267.8800000000001</v>
      </c>
      <c r="F172" s="8">
        <v>1279.4000000000001</v>
      </c>
      <c r="G172" s="8">
        <v>1281.7</v>
      </c>
      <c r="H172" s="8">
        <v>1302.5899999999999</v>
      </c>
      <c r="I172" s="8">
        <v>1260.02</v>
      </c>
      <c r="J172" s="8">
        <v>1267.95</v>
      </c>
      <c r="K172" s="8">
        <v>1282.6600000000001</v>
      </c>
      <c r="L172" s="8">
        <v>1289.83</v>
      </c>
      <c r="M172" s="80"/>
      <c r="N172" s="80"/>
      <c r="O172" s="80"/>
      <c r="P172" s="80"/>
      <c r="Q172" s="48"/>
      <c r="R172" s="48"/>
      <c r="S172" s="48"/>
      <c r="T172" s="48"/>
      <c r="U172" s="48"/>
      <c r="V172" s="47"/>
      <c r="W172" s="48"/>
      <c r="X172" s="79"/>
    </row>
    <row r="173" spans="1:30" ht="24.8" customHeight="1" thickBot="1" x14ac:dyDescent="0.4">
      <c r="A173" s="206"/>
      <c r="B173" s="61"/>
      <c r="C173" s="51" t="s">
        <v>156</v>
      </c>
      <c r="D173" s="24">
        <f t="shared" ref="D173:L173" si="52">IF(((D171="")*AND(D172="")),"",(D171-D172)*4)</f>
        <v>2762.2000000000007</v>
      </c>
      <c r="E173" s="24">
        <f t="shared" si="52"/>
        <v>2676.6399999999994</v>
      </c>
      <c r="F173" s="24">
        <f t="shared" si="52"/>
        <v>2569.1999999999998</v>
      </c>
      <c r="G173" s="24">
        <f t="shared" si="52"/>
        <v>2602.08</v>
      </c>
      <c r="H173" s="24">
        <f t="shared" si="52"/>
        <v>2574.04</v>
      </c>
      <c r="I173" s="24">
        <f t="shared" si="52"/>
        <v>2760.3999999999996</v>
      </c>
      <c r="J173" s="24">
        <f t="shared" si="52"/>
        <v>2675.76</v>
      </c>
      <c r="K173" s="24">
        <f t="shared" si="52"/>
        <v>2602.7199999999993</v>
      </c>
      <c r="L173" s="24">
        <f t="shared" si="52"/>
        <v>2625.5600000000004</v>
      </c>
      <c r="M173" s="24"/>
      <c r="N173" s="24"/>
      <c r="O173" s="24"/>
      <c r="P173" s="24" t="str">
        <f>IF(((P171="")*AND(P172="")),"",(P171-P172)*4)</f>
        <v/>
      </c>
      <c r="Q173" s="61"/>
      <c r="R173" s="61"/>
      <c r="S173" s="61"/>
      <c r="T173" s="61"/>
      <c r="U173" s="61"/>
      <c r="V173" s="60"/>
      <c r="W173" s="61"/>
      <c r="X173" s="79"/>
    </row>
    <row r="174" spans="1:30" x14ac:dyDescent="0.25">
      <c r="A174" s="205">
        <v>42699</v>
      </c>
      <c r="B174" s="57" t="s">
        <v>159</v>
      </c>
      <c r="C174" s="51" t="s">
        <v>158</v>
      </c>
      <c r="D174" s="8">
        <v>6842.56</v>
      </c>
      <c r="E174" s="8">
        <v>6847.96</v>
      </c>
      <c r="F174" s="8">
        <v>6861.01</v>
      </c>
      <c r="G174" s="8">
        <v>6817.85</v>
      </c>
      <c r="H174" s="8">
        <v>6856.42</v>
      </c>
      <c r="I174" s="8">
        <v>6807.69</v>
      </c>
      <c r="J174" s="8">
        <v>6819.21</v>
      </c>
      <c r="K174" s="8">
        <v>6856.45</v>
      </c>
      <c r="L174" s="8">
        <v>6931.31</v>
      </c>
      <c r="M174" s="80"/>
      <c r="N174" s="80"/>
      <c r="O174" s="80"/>
      <c r="P174" s="80"/>
      <c r="Q174" s="57">
        <f>IF((L175=""),"",MAX(D176:L176))</f>
        <v>3360.42</v>
      </c>
      <c r="R174" s="57">
        <f>IF(L175="","",MIN(D176:L176))</f>
        <v>3284.7599999999984</v>
      </c>
      <c r="S174" s="58">
        <f>IF((L176=""),"",AVERAGE(D176:L176))</f>
        <v>3333.4822222222219</v>
      </c>
      <c r="T174" s="57">
        <f>IF((L175=""),"",((Q174-R174)/(Q174+R174))*100)</f>
        <v>1.1385696098525804</v>
      </c>
      <c r="U174" s="56">
        <f>STDEV(D174:L174)</f>
        <v>36.463235937036764</v>
      </c>
      <c r="V174" s="55" t="str">
        <f>IF(L175="","",(IF(T174&lt;7,IF(S174&gt;2800,IF(S174&lt;3800,"Pass","Fail"),"Fail"),"Fail")))</f>
        <v>Pass</v>
      </c>
      <c r="W174" s="57">
        <v>1335</v>
      </c>
      <c r="X174" s="250" t="s">
        <v>207</v>
      </c>
      <c r="Z174" s="53">
        <v>2800</v>
      </c>
      <c r="AA174" s="53">
        <v>3800</v>
      </c>
      <c r="AB174" s="53">
        <v>3100</v>
      </c>
      <c r="AC174" s="53">
        <v>3760</v>
      </c>
      <c r="AD174" s="52">
        <v>6</v>
      </c>
    </row>
    <row r="175" spans="1:30" ht="16.5" customHeight="1" x14ac:dyDescent="0.35">
      <c r="A175" s="206"/>
      <c r="B175" s="48"/>
      <c r="C175" s="51" t="s">
        <v>157</v>
      </c>
      <c r="D175" s="8">
        <v>5175.53</v>
      </c>
      <c r="E175" s="8">
        <v>5174.93</v>
      </c>
      <c r="F175" s="8">
        <v>5191.17</v>
      </c>
      <c r="G175" s="8">
        <v>5146.47</v>
      </c>
      <c r="H175" s="8">
        <v>5204.32</v>
      </c>
      <c r="I175" s="8">
        <v>5165.3100000000004</v>
      </c>
      <c r="J175" s="8">
        <v>5147.21</v>
      </c>
      <c r="K175" s="8">
        <v>5183.75</v>
      </c>
      <c r="L175" s="8">
        <v>5251.1</v>
      </c>
      <c r="M175" s="80"/>
      <c r="N175" s="80"/>
      <c r="O175" s="80"/>
      <c r="P175" s="80"/>
      <c r="Q175" s="48"/>
      <c r="R175" s="48"/>
      <c r="S175" s="49"/>
      <c r="T175" s="48"/>
      <c r="U175" s="48"/>
      <c r="V175" s="47"/>
      <c r="W175" s="48"/>
      <c r="X175" s="79"/>
    </row>
    <row r="176" spans="1:30" ht="24.8" customHeight="1" thickBot="1" x14ac:dyDescent="0.4">
      <c r="A176" s="206"/>
      <c r="B176" s="42"/>
      <c r="C176" s="45" t="s">
        <v>156</v>
      </c>
      <c r="D176" s="44">
        <f t="shared" ref="D176:L176" si="53">IF(((D174="")*AND(D175="")),"",(D174-D175)*2)</f>
        <v>3334.0600000000013</v>
      </c>
      <c r="E176" s="44">
        <f t="shared" si="53"/>
        <v>3346.0599999999995</v>
      </c>
      <c r="F176" s="44">
        <f t="shared" si="53"/>
        <v>3339.6800000000003</v>
      </c>
      <c r="G176" s="44">
        <f t="shared" si="53"/>
        <v>3342.76</v>
      </c>
      <c r="H176" s="44">
        <f t="shared" si="53"/>
        <v>3304.2000000000007</v>
      </c>
      <c r="I176" s="44">
        <f t="shared" si="53"/>
        <v>3284.7599999999984</v>
      </c>
      <c r="J176" s="44">
        <f t="shared" si="53"/>
        <v>3344</v>
      </c>
      <c r="K176" s="44">
        <f t="shared" si="53"/>
        <v>3345.3999999999996</v>
      </c>
      <c r="L176" s="44">
        <f t="shared" si="53"/>
        <v>3360.42</v>
      </c>
      <c r="M176" s="44"/>
      <c r="N176" s="44"/>
      <c r="O176" s="44"/>
      <c r="P176" s="44"/>
      <c r="Q176" s="42"/>
      <c r="R176" s="42"/>
      <c r="S176" s="43"/>
      <c r="T176" s="42"/>
      <c r="U176" s="42"/>
      <c r="V176" s="41"/>
      <c r="W176" s="42"/>
      <c r="X176" s="78"/>
    </row>
    <row r="177" spans="1:30" x14ac:dyDescent="0.25">
      <c r="A177" s="205">
        <v>42709</v>
      </c>
      <c r="B177" s="63" t="s">
        <v>160</v>
      </c>
      <c r="C177" s="56" t="s">
        <v>158</v>
      </c>
      <c r="D177" s="8">
        <v>1911.61</v>
      </c>
      <c r="E177" s="8">
        <v>1907.52</v>
      </c>
      <c r="F177" s="8">
        <v>1909.81</v>
      </c>
      <c r="G177" s="8">
        <v>1907.87</v>
      </c>
      <c r="H177" s="8">
        <v>1913.81</v>
      </c>
      <c r="I177" s="8">
        <v>1910.33</v>
      </c>
      <c r="J177" s="8">
        <v>1907.95</v>
      </c>
      <c r="K177" s="8">
        <v>1906.9</v>
      </c>
      <c r="L177" s="8">
        <v>1914.46</v>
      </c>
      <c r="M177" s="80"/>
      <c r="N177" s="80"/>
      <c r="O177" s="80"/>
      <c r="P177" s="80"/>
      <c r="Q177" s="63">
        <f>IF((L178=""),"",MAX(D179:L179))</f>
        <v>2691.88</v>
      </c>
      <c r="R177" s="63">
        <f>IF(L178="","",MIN(D179:L179))</f>
        <v>2495.4399999999996</v>
      </c>
      <c r="S177" s="63">
        <f>IF((L179=""),"",AVERAGE(D179:L179))</f>
        <v>2584.4488888888882</v>
      </c>
      <c r="T177" s="63">
        <f>IF((L178=""),"",((Q177-R177)/(Q177+R177))*100)</f>
        <v>3.7869265825127529</v>
      </c>
      <c r="U177" s="51">
        <f>STDEV(D177:L177)</f>
        <v>2.7757226286340342</v>
      </c>
      <c r="V177" s="64" t="str">
        <f>IF(L178="","",(IF(T177&lt;12,IF(S177&gt;2200,IF(S177&lt;3280,"Pass","Fail"),"Fail"),"Fail")))</f>
        <v>Pass</v>
      </c>
      <c r="W177" s="63">
        <v>102</v>
      </c>
      <c r="X177" s="252" t="s">
        <v>206</v>
      </c>
      <c r="Z177" s="37">
        <v>2000</v>
      </c>
      <c r="AA177" s="37">
        <v>3000</v>
      </c>
      <c r="AB177" s="37">
        <v>2200</v>
      </c>
      <c r="AC177" s="37">
        <v>3280</v>
      </c>
      <c r="AD177" s="39">
        <v>12</v>
      </c>
    </row>
    <row r="178" spans="1:30" ht="16.5" customHeight="1" x14ac:dyDescent="0.35">
      <c r="A178" s="206"/>
      <c r="B178" s="48"/>
      <c r="C178" s="51" t="s">
        <v>157</v>
      </c>
      <c r="D178" s="8">
        <v>1244.94</v>
      </c>
      <c r="E178" s="8">
        <v>1261.3499999999999</v>
      </c>
      <c r="F178" s="8">
        <v>1285.95</v>
      </c>
      <c r="G178" s="8">
        <v>1270.93</v>
      </c>
      <c r="H178" s="8">
        <v>1275.26</v>
      </c>
      <c r="I178" s="8">
        <v>1237.3599999999999</v>
      </c>
      <c r="J178" s="8">
        <v>1256.3900000000001</v>
      </c>
      <c r="K178" s="8">
        <v>1272.92</v>
      </c>
      <c r="L178" s="8">
        <v>1270.1500000000001</v>
      </c>
      <c r="M178" s="80"/>
      <c r="N178" s="80"/>
      <c r="O178" s="80"/>
      <c r="P178" s="80"/>
      <c r="Q178" s="48"/>
      <c r="R178" s="48"/>
      <c r="S178" s="48"/>
      <c r="T178" s="48"/>
      <c r="U178" s="48"/>
      <c r="V178" s="47"/>
      <c r="W178" s="48"/>
      <c r="X178" s="83"/>
    </row>
    <row r="179" spans="1:30" ht="24.8" customHeight="1" thickBot="1" x14ac:dyDescent="0.4">
      <c r="A179" s="206"/>
      <c r="B179" s="61"/>
      <c r="C179" s="51" t="s">
        <v>156</v>
      </c>
      <c r="D179" s="24">
        <f t="shared" ref="D179:L179" si="54">IF(((D177="")*AND(D178="")),"",(D177-D178)*4)</f>
        <v>2666.6799999999994</v>
      </c>
      <c r="E179" s="24">
        <f t="shared" si="54"/>
        <v>2584.6800000000003</v>
      </c>
      <c r="F179" s="24">
        <f t="shared" si="54"/>
        <v>2495.4399999999996</v>
      </c>
      <c r="G179" s="24">
        <f t="shared" si="54"/>
        <v>2547.7599999999993</v>
      </c>
      <c r="H179" s="24">
        <f t="shared" si="54"/>
        <v>2554.1999999999998</v>
      </c>
      <c r="I179" s="24">
        <f t="shared" si="54"/>
        <v>2691.88</v>
      </c>
      <c r="J179" s="24">
        <f t="shared" si="54"/>
        <v>2606.2399999999998</v>
      </c>
      <c r="K179" s="24">
        <f t="shared" si="54"/>
        <v>2535.92</v>
      </c>
      <c r="L179" s="24">
        <f t="shared" si="54"/>
        <v>2577.2399999999998</v>
      </c>
      <c r="M179" s="24"/>
      <c r="N179" s="24"/>
      <c r="O179" s="24"/>
      <c r="P179" s="24" t="str">
        <f>IF(((P177="")*AND(P178="")),"",(P177-P178)*4)</f>
        <v/>
      </c>
      <c r="Q179" s="61"/>
      <c r="R179" s="61"/>
      <c r="S179" s="61"/>
      <c r="T179" s="61"/>
      <c r="U179" s="61"/>
      <c r="V179" s="60"/>
      <c r="W179" s="61"/>
      <c r="X179" s="83"/>
    </row>
    <row r="180" spans="1:30" x14ac:dyDescent="0.25">
      <c r="A180" s="205">
        <v>42709</v>
      </c>
      <c r="B180" s="57" t="s">
        <v>159</v>
      </c>
      <c r="C180" s="51" t="s">
        <v>158</v>
      </c>
      <c r="D180" s="8">
        <v>6850.09</v>
      </c>
      <c r="E180" s="8">
        <v>6878.52</v>
      </c>
      <c r="F180" s="8">
        <v>6906.25</v>
      </c>
      <c r="G180" s="8">
        <v>6853.2</v>
      </c>
      <c r="H180" s="8">
        <v>6854.97</v>
      </c>
      <c r="I180" s="8">
        <v>6804.41</v>
      </c>
      <c r="J180" s="8">
        <v>6850.68</v>
      </c>
      <c r="K180" s="8">
        <v>6898.43</v>
      </c>
      <c r="L180" s="8">
        <v>6934.5</v>
      </c>
      <c r="M180" s="80"/>
      <c r="N180" s="80"/>
      <c r="O180" s="80"/>
      <c r="P180" s="80"/>
      <c r="Q180" s="57">
        <f>IF((L181=""),"",MAX(D182:L182))</f>
        <v>3432.2999999999993</v>
      </c>
      <c r="R180" s="57">
        <f>IF(L181="","",MIN(D182:L182))</f>
        <v>3359.1400000000012</v>
      </c>
      <c r="S180" s="58">
        <f>IF((L182=""),"",AVERAGE(D182:L182))</f>
        <v>3376.5422222222228</v>
      </c>
      <c r="T180" s="57">
        <f>IF((L181=""),"",((Q180-R180)/(Q180+R180))*100)</f>
        <v>1.0772384059933982</v>
      </c>
      <c r="U180" s="56">
        <f>STDEV(D180:L180)</f>
        <v>38.624643687676958</v>
      </c>
      <c r="V180" s="55" t="str">
        <f>IF(L181="","",(IF(T180&lt;7,IF(S180&gt;2800,IF(S180&lt;3800,"Pass","Fail"),"Fail"),"Fail")))</f>
        <v>Pass</v>
      </c>
      <c r="W180" s="57">
        <v>102</v>
      </c>
      <c r="X180" s="252" t="s">
        <v>206</v>
      </c>
      <c r="Z180" s="53">
        <v>2800</v>
      </c>
      <c r="AA180" s="53">
        <v>3800</v>
      </c>
      <c r="AB180" s="53">
        <v>3100</v>
      </c>
      <c r="AC180" s="53">
        <v>3760</v>
      </c>
      <c r="AD180" s="52">
        <v>6</v>
      </c>
    </row>
    <row r="181" spans="1:30" ht="16.5" customHeight="1" x14ac:dyDescent="0.35">
      <c r="A181" s="206"/>
      <c r="B181" s="48"/>
      <c r="C181" s="51" t="s">
        <v>157</v>
      </c>
      <c r="D181" s="8">
        <v>5158.1499999999996</v>
      </c>
      <c r="E181" s="8">
        <v>5198.95</v>
      </c>
      <c r="F181" s="8">
        <v>5226.46</v>
      </c>
      <c r="G181" s="8">
        <v>5173.42</v>
      </c>
      <c r="H181" s="8">
        <v>5164.62</v>
      </c>
      <c r="I181" s="8">
        <v>5088.26</v>
      </c>
      <c r="J181" s="8">
        <v>5170.07</v>
      </c>
      <c r="K181" s="8">
        <v>5215.54</v>
      </c>
      <c r="L181" s="8">
        <v>5241.1400000000003</v>
      </c>
      <c r="M181" s="80"/>
      <c r="N181" s="80"/>
      <c r="O181" s="80"/>
      <c r="P181" s="80"/>
      <c r="Q181" s="48"/>
      <c r="R181" s="48"/>
      <c r="S181" s="49"/>
      <c r="T181" s="48"/>
      <c r="U181" s="48"/>
      <c r="V181" s="47"/>
      <c r="W181" s="48"/>
      <c r="X181" s="83"/>
    </row>
    <row r="182" spans="1:30" ht="24.8" customHeight="1" thickBot="1" x14ac:dyDescent="0.4">
      <c r="A182" s="206"/>
      <c r="B182" s="42"/>
      <c r="C182" s="45" t="s">
        <v>156</v>
      </c>
      <c r="D182" s="44">
        <f t="shared" ref="D182:L182" si="55">IF(((D180="")*AND(D181="")),"",(D180-D181)*2)</f>
        <v>3383.880000000001</v>
      </c>
      <c r="E182" s="44">
        <f t="shared" si="55"/>
        <v>3359.1400000000012</v>
      </c>
      <c r="F182" s="44">
        <f t="shared" si="55"/>
        <v>3359.58</v>
      </c>
      <c r="G182" s="44">
        <f t="shared" si="55"/>
        <v>3359.5599999999995</v>
      </c>
      <c r="H182" s="44">
        <f t="shared" si="55"/>
        <v>3380.7000000000007</v>
      </c>
      <c r="I182" s="44">
        <f t="shared" si="55"/>
        <v>3432.2999999999993</v>
      </c>
      <c r="J182" s="44">
        <f t="shared" si="55"/>
        <v>3361.2200000000012</v>
      </c>
      <c r="K182" s="44">
        <f t="shared" si="55"/>
        <v>3365.7800000000007</v>
      </c>
      <c r="L182" s="44">
        <f t="shared" si="55"/>
        <v>3386.7199999999993</v>
      </c>
      <c r="M182" s="44"/>
      <c r="N182" s="44"/>
      <c r="O182" s="44"/>
      <c r="P182" s="44"/>
      <c r="Q182" s="42"/>
      <c r="R182" s="42"/>
      <c r="S182" s="43"/>
      <c r="T182" s="42"/>
      <c r="U182" s="42"/>
      <c r="V182" s="41"/>
      <c r="W182" s="42"/>
      <c r="X182" s="82"/>
    </row>
    <row r="183" spans="1:30" x14ac:dyDescent="0.25">
      <c r="A183" s="205">
        <v>42717</v>
      </c>
      <c r="B183" s="63" t="s">
        <v>160</v>
      </c>
      <c r="C183" s="56" t="s">
        <v>158</v>
      </c>
      <c r="D183" s="8">
        <v>1939.1</v>
      </c>
      <c r="E183" s="8">
        <v>1931.44</v>
      </c>
      <c r="F183" s="8">
        <v>1915.56</v>
      </c>
      <c r="G183" s="8">
        <v>1926.71</v>
      </c>
      <c r="H183" s="8">
        <v>1939.99</v>
      </c>
      <c r="I183" s="8">
        <v>1935.31</v>
      </c>
      <c r="J183" s="8">
        <v>1931.62</v>
      </c>
      <c r="K183" s="8">
        <v>1930.83</v>
      </c>
      <c r="L183" s="8">
        <v>1943.06</v>
      </c>
      <c r="M183" s="80"/>
      <c r="N183" s="80"/>
      <c r="O183" s="80"/>
      <c r="P183" s="80"/>
      <c r="Q183" s="63">
        <f>IF((L184=""),"",MAX(D185:L185))</f>
        <v>2710.8799999999992</v>
      </c>
      <c r="R183" s="63">
        <f>IF(L184="","",MIN(D185:L185))</f>
        <v>2531.3999999999996</v>
      </c>
      <c r="S183" s="63">
        <f>IF((L185=""),"",AVERAGE(D185:L185))</f>
        <v>2612.1066666666661</v>
      </c>
      <c r="T183" s="63">
        <f>IF((L184=""),"",((Q183-R183)/(Q183+R183))*100)</f>
        <v>3.4237011376729134</v>
      </c>
      <c r="U183" s="51">
        <f>STDEV(D183:L183)</f>
        <v>8.2470072012686941</v>
      </c>
      <c r="V183" s="64" t="str">
        <f>IF(L184="","",(IF(T183&lt;12,IF(S183&gt;2200,IF(S183&lt;3280,"Pass","Fail"),"Fail"),"Fail")))</f>
        <v>Pass</v>
      </c>
      <c r="W183" s="63">
        <v>1159</v>
      </c>
      <c r="X183" s="250" t="s">
        <v>205</v>
      </c>
      <c r="Z183" s="37">
        <v>2000</v>
      </c>
      <c r="AA183" s="37">
        <v>3000</v>
      </c>
      <c r="AB183" s="37">
        <v>2200</v>
      </c>
      <c r="AC183" s="37">
        <v>3280</v>
      </c>
      <c r="AD183" s="39">
        <v>12</v>
      </c>
    </row>
    <row r="184" spans="1:30" ht="16.5" customHeight="1" x14ac:dyDescent="0.35">
      <c r="A184" s="206"/>
      <c r="B184" s="48"/>
      <c r="C184" s="51" t="s">
        <v>157</v>
      </c>
      <c r="D184" s="8">
        <v>1261.3800000000001</v>
      </c>
      <c r="E184" s="8">
        <v>1271.51</v>
      </c>
      <c r="F184" s="8">
        <v>1278.76</v>
      </c>
      <c r="G184" s="8">
        <v>1284.04</v>
      </c>
      <c r="H184" s="8">
        <v>1307.1400000000001</v>
      </c>
      <c r="I184" s="8">
        <v>1264.6500000000001</v>
      </c>
      <c r="J184" s="8">
        <v>1268.31</v>
      </c>
      <c r="K184" s="8">
        <v>1283.9000000000001</v>
      </c>
      <c r="L184" s="8">
        <v>1296.69</v>
      </c>
      <c r="M184" s="80"/>
      <c r="N184" s="80"/>
      <c r="O184" s="80"/>
      <c r="P184" s="80"/>
      <c r="Q184" s="48"/>
      <c r="R184" s="48"/>
      <c r="S184" s="48"/>
      <c r="T184" s="48"/>
      <c r="U184" s="48"/>
      <c r="V184" s="47"/>
      <c r="W184" s="48"/>
      <c r="X184" s="79"/>
    </row>
    <row r="185" spans="1:30" ht="24.8" customHeight="1" thickBot="1" x14ac:dyDescent="0.4">
      <c r="A185" s="206"/>
      <c r="B185" s="61"/>
      <c r="C185" s="51" t="s">
        <v>156</v>
      </c>
      <c r="D185" s="24">
        <f t="shared" ref="D185:L185" si="56">IF(((D183="")*AND(D184="")),"",(D183-D184)*4)</f>
        <v>2710.8799999999992</v>
      </c>
      <c r="E185" s="24">
        <f t="shared" si="56"/>
        <v>2639.7200000000003</v>
      </c>
      <c r="F185" s="24">
        <f t="shared" si="56"/>
        <v>2547.1999999999998</v>
      </c>
      <c r="G185" s="24">
        <f t="shared" si="56"/>
        <v>2570.6800000000003</v>
      </c>
      <c r="H185" s="24">
        <f t="shared" si="56"/>
        <v>2531.3999999999996</v>
      </c>
      <c r="I185" s="24">
        <f t="shared" si="56"/>
        <v>2682.6399999999994</v>
      </c>
      <c r="J185" s="24">
        <f t="shared" si="56"/>
        <v>2653.24</v>
      </c>
      <c r="K185" s="24">
        <f t="shared" si="56"/>
        <v>2587.7199999999993</v>
      </c>
      <c r="L185" s="24">
        <f t="shared" si="56"/>
        <v>2585.4799999999996</v>
      </c>
      <c r="M185" s="24"/>
      <c r="N185" s="24"/>
      <c r="O185" s="24"/>
      <c r="P185" s="24" t="str">
        <f>IF(((P183="")*AND(P184="")),"",(P183-P184)*4)</f>
        <v/>
      </c>
      <c r="Q185" s="61"/>
      <c r="R185" s="61"/>
      <c r="S185" s="61"/>
      <c r="T185" s="61"/>
      <c r="U185" s="61"/>
      <c r="V185" s="60"/>
      <c r="W185" s="61"/>
      <c r="X185" s="79"/>
    </row>
    <row r="186" spans="1:30" x14ac:dyDescent="0.25">
      <c r="A186" s="207">
        <v>42717</v>
      </c>
      <c r="B186" s="57" t="s">
        <v>159</v>
      </c>
      <c r="C186" s="51" t="s">
        <v>158</v>
      </c>
      <c r="D186" s="8">
        <v>6806.94</v>
      </c>
      <c r="E186" s="8">
        <v>6812.43</v>
      </c>
      <c r="F186" s="8">
        <v>6836.93</v>
      </c>
      <c r="G186" s="8">
        <v>6793.25</v>
      </c>
      <c r="H186" s="8">
        <v>6825.65</v>
      </c>
      <c r="I186" s="8">
        <v>6773.56</v>
      </c>
      <c r="J186" s="8">
        <v>6792.02</v>
      </c>
      <c r="K186" s="8">
        <v>6828.68</v>
      </c>
      <c r="L186" s="8">
        <v>6896.99</v>
      </c>
      <c r="M186" s="80"/>
      <c r="N186" s="80"/>
      <c r="O186" s="80"/>
      <c r="P186" s="80"/>
      <c r="Q186" s="57">
        <f>IF((L187=""),"",MAX(D188:L188))</f>
        <v>3411.34</v>
      </c>
      <c r="R186" s="57">
        <f>IF(L187="","",MIN(D188:L188))</f>
        <v>3356.3000000000011</v>
      </c>
      <c r="S186" s="58">
        <f>IF((L188=""),"",AVERAGE(D188:L188))</f>
        <v>3372.028888888889</v>
      </c>
      <c r="T186" s="57">
        <f>IF((L187=""),"",((Q186-R186)/(Q186+R186))*100)</f>
        <v>0.81328203036803137</v>
      </c>
      <c r="U186" s="56">
        <f>STDEV(D186:L186)</f>
        <v>35.679011025780525</v>
      </c>
      <c r="V186" s="55" t="str">
        <f>IF(L187="","",(IF(T186&lt;7,IF(S186&gt;2800,IF(S186&lt;3800,"Pass","Fail"),"Fail"),"Fail")))</f>
        <v>Pass</v>
      </c>
      <c r="W186" s="57">
        <v>1159</v>
      </c>
      <c r="X186" s="250" t="s">
        <v>205</v>
      </c>
      <c r="Z186" s="53">
        <v>2800</v>
      </c>
      <c r="AA186" s="53">
        <v>3800</v>
      </c>
      <c r="AB186" s="53">
        <v>3100</v>
      </c>
      <c r="AC186" s="53">
        <v>3760</v>
      </c>
      <c r="AD186" s="52">
        <v>6</v>
      </c>
    </row>
    <row r="187" spans="1:30" ht="16.5" customHeight="1" x14ac:dyDescent="0.35">
      <c r="A187" s="206"/>
      <c r="B187" s="48"/>
      <c r="C187" s="51" t="s">
        <v>157</v>
      </c>
      <c r="D187" s="8">
        <v>5114.42</v>
      </c>
      <c r="E187" s="8">
        <v>5132.38</v>
      </c>
      <c r="F187" s="8">
        <v>5157.74</v>
      </c>
      <c r="G187" s="8">
        <v>5113.68</v>
      </c>
      <c r="H187" s="8">
        <v>5142.21</v>
      </c>
      <c r="I187" s="8">
        <v>5067.8900000000003</v>
      </c>
      <c r="J187" s="8">
        <v>5113.87</v>
      </c>
      <c r="K187" s="8">
        <v>5145.83</v>
      </c>
      <c r="L187" s="8">
        <v>5204.3</v>
      </c>
      <c r="M187" s="80"/>
      <c r="N187" s="80"/>
      <c r="O187" s="80"/>
      <c r="P187" s="80"/>
      <c r="Q187" s="48"/>
      <c r="R187" s="48"/>
      <c r="S187" s="49"/>
      <c r="T187" s="48"/>
      <c r="U187" s="48"/>
      <c r="V187" s="47"/>
      <c r="W187" s="48"/>
      <c r="X187" s="79"/>
    </row>
    <row r="188" spans="1:30" ht="24.8" customHeight="1" thickBot="1" x14ac:dyDescent="0.4">
      <c r="A188" s="206"/>
      <c r="B188" s="42"/>
      <c r="C188" s="45" t="s">
        <v>156</v>
      </c>
      <c r="D188" s="44">
        <f t="shared" ref="D188:L188" si="57">IF(((D186="")*AND(D187="")),"",(D186-D187)*2)</f>
        <v>3385.0399999999991</v>
      </c>
      <c r="E188" s="44">
        <f t="shared" si="57"/>
        <v>3360.1000000000004</v>
      </c>
      <c r="F188" s="44">
        <f t="shared" si="57"/>
        <v>3358.380000000001</v>
      </c>
      <c r="G188" s="44">
        <f t="shared" si="57"/>
        <v>3359.1399999999994</v>
      </c>
      <c r="H188" s="44">
        <f t="shared" si="57"/>
        <v>3366.8799999999992</v>
      </c>
      <c r="I188" s="44">
        <f t="shared" si="57"/>
        <v>3411.34</v>
      </c>
      <c r="J188" s="44">
        <f t="shared" si="57"/>
        <v>3356.3000000000011</v>
      </c>
      <c r="K188" s="44">
        <f t="shared" si="57"/>
        <v>3365.7000000000007</v>
      </c>
      <c r="L188" s="44">
        <f t="shared" si="57"/>
        <v>3385.3799999999992</v>
      </c>
      <c r="M188" s="44"/>
      <c r="N188" s="44"/>
      <c r="O188" s="44"/>
      <c r="P188" s="44"/>
      <c r="Q188" s="42"/>
      <c r="R188" s="42"/>
      <c r="S188" s="43"/>
      <c r="T188" s="42"/>
      <c r="U188" s="42"/>
      <c r="V188" s="41"/>
      <c r="W188" s="42"/>
      <c r="X188" s="78"/>
    </row>
    <row r="189" spans="1:30" x14ac:dyDescent="0.25">
      <c r="A189" s="205">
        <v>42720</v>
      </c>
      <c r="B189" s="63" t="s">
        <v>160</v>
      </c>
      <c r="C189" s="56" t="s">
        <v>158</v>
      </c>
      <c r="D189" s="8">
        <v>1916.21</v>
      </c>
      <c r="E189" s="8">
        <v>1910.36</v>
      </c>
      <c r="F189" s="8">
        <v>1910.76</v>
      </c>
      <c r="G189" s="8">
        <v>1904.02</v>
      </c>
      <c r="H189" s="8">
        <v>1913.73</v>
      </c>
      <c r="I189" s="8">
        <v>1913.19</v>
      </c>
      <c r="J189" s="8">
        <v>1908.79</v>
      </c>
      <c r="K189" s="8">
        <v>1906.92</v>
      </c>
      <c r="L189" s="8">
        <v>1916.19</v>
      </c>
      <c r="M189" s="80"/>
      <c r="N189" s="80"/>
      <c r="O189" s="80"/>
      <c r="P189" s="80"/>
      <c r="Q189" s="63">
        <f>IF((L190=""),"",MAX(D191:L191))</f>
        <v>2658.2</v>
      </c>
      <c r="R189" s="63">
        <f>IF(L190="","",MIN(D191:L191))</f>
        <v>2488</v>
      </c>
      <c r="S189" s="63">
        <f>IF((L191=""),"",AVERAGE(D191:L191))</f>
        <v>2564.7511111111112</v>
      </c>
      <c r="T189" s="63">
        <f>IF((L190=""),"",((Q189-R189)/(Q189+R189))*100)</f>
        <v>3.3072947028875643</v>
      </c>
      <c r="U189" s="51">
        <f>STDEV(D189:L189)</f>
        <v>4.1366532366153379</v>
      </c>
      <c r="V189" s="64" t="str">
        <f>IF(L190="","",(IF(T189&lt;12,IF(S189&gt;2200,IF(S189&lt;3280,"Pass","Fail"),"Fail"),"Fail")))</f>
        <v>Pass</v>
      </c>
      <c r="W189" s="63">
        <v>1400</v>
      </c>
      <c r="X189" s="250" t="s">
        <v>204</v>
      </c>
      <c r="Z189" s="37">
        <v>2000</v>
      </c>
      <c r="AA189" s="37">
        <v>3000</v>
      </c>
      <c r="AB189" s="37">
        <v>2200</v>
      </c>
      <c r="AC189" s="37">
        <v>3280</v>
      </c>
      <c r="AD189" s="39">
        <v>12</v>
      </c>
    </row>
    <row r="190" spans="1:30" ht="16.5" customHeight="1" x14ac:dyDescent="0.35">
      <c r="A190" s="206"/>
      <c r="B190" s="48"/>
      <c r="C190" s="51" t="s">
        <v>157</v>
      </c>
      <c r="D190" s="8">
        <v>1251.6600000000001</v>
      </c>
      <c r="E190" s="8">
        <v>1261.07</v>
      </c>
      <c r="F190" s="8">
        <v>1281.29</v>
      </c>
      <c r="G190" s="8">
        <v>1274.1300000000001</v>
      </c>
      <c r="H190" s="8">
        <v>1291.73</v>
      </c>
      <c r="I190" s="8">
        <v>1253.8800000000001</v>
      </c>
      <c r="J190" s="8">
        <v>1259.3499999999999</v>
      </c>
      <c r="K190" s="8">
        <v>1272.75</v>
      </c>
      <c r="L190" s="8">
        <v>1283.6199999999999</v>
      </c>
      <c r="M190" s="80"/>
      <c r="N190" s="80"/>
      <c r="O190" s="80"/>
      <c r="P190" s="80"/>
      <c r="Q190" s="48"/>
      <c r="R190" s="48"/>
      <c r="S190" s="48"/>
      <c r="T190" s="48"/>
      <c r="U190" s="48"/>
      <c r="V190" s="47"/>
      <c r="W190" s="48"/>
      <c r="X190" s="79"/>
    </row>
    <row r="191" spans="1:30" ht="24.8" customHeight="1" thickBot="1" x14ac:dyDescent="0.4">
      <c r="A191" s="206"/>
      <c r="B191" s="61"/>
      <c r="C191" s="51" t="s">
        <v>156</v>
      </c>
      <c r="D191" s="24">
        <f t="shared" ref="D191:L191" si="58">IF(((D189="")*AND(D190="")),"",(D189-D190)*4)</f>
        <v>2658.2</v>
      </c>
      <c r="E191" s="24">
        <f t="shared" si="58"/>
        <v>2597.16</v>
      </c>
      <c r="F191" s="24">
        <f t="shared" si="58"/>
        <v>2517.88</v>
      </c>
      <c r="G191" s="24">
        <f t="shared" si="58"/>
        <v>2519.5599999999995</v>
      </c>
      <c r="H191" s="24">
        <f t="shared" si="58"/>
        <v>2488</v>
      </c>
      <c r="I191" s="24">
        <f t="shared" si="58"/>
        <v>2637.24</v>
      </c>
      <c r="J191" s="24">
        <f t="shared" si="58"/>
        <v>2597.7600000000002</v>
      </c>
      <c r="K191" s="24">
        <f t="shared" si="58"/>
        <v>2536.6800000000003</v>
      </c>
      <c r="L191" s="24">
        <f t="shared" si="58"/>
        <v>2530.2800000000007</v>
      </c>
      <c r="M191" s="24"/>
      <c r="N191" s="24"/>
      <c r="O191" s="24"/>
      <c r="P191" s="24" t="str">
        <f>IF(((P189="")*AND(P190="")),"",(P189-P190)*4)</f>
        <v/>
      </c>
      <c r="Q191" s="61"/>
      <c r="R191" s="61"/>
      <c r="S191" s="61"/>
      <c r="T191" s="61"/>
      <c r="U191" s="61"/>
      <c r="V191" s="60"/>
      <c r="W191" s="61"/>
      <c r="X191" s="79"/>
    </row>
    <row r="192" spans="1:30" x14ac:dyDescent="0.25">
      <c r="A192" s="207">
        <v>42720</v>
      </c>
      <c r="B192" s="57" t="s">
        <v>159</v>
      </c>
      <c r="C192" s="51" t="s">
        <v>158</v>
      </c>
      <c r="D192" s="8">
        <v>5118.1499999999996</v>
      </c>
      <c r="E192" s="8">
        <v>5136.1899999999996</v>
      </c>
      <c r="F192" s="8">
        <v>5161.71</v>
      </c>
      <c r="G192" s="8">
        <v>5117.6099999999997</v>
      </c>
      <c r="H192" s="8">
        <v>5146.2299999999996</v>
      </c>
      <c r="I192" s="8">
        <v>5071.9399999999996</v>
      </c>
      <c r="J192" s="8">
        <v>5117.9799999999996</v>
      </c>
      <c r="K192" s="8">
        <v>5149.8999999999996</v>
      </c>
      <c r="L192" s="8">
        <v>5208.8999999999996</v>
      </c>
      <c r="M192" s="80"/>
      <c r="N192" s="80"/>
      <c r="O192" s="80"/>
      <c r="P192" s="80"/>
      <c r="Q192" s="57">
        <f>IF((L193=""),"",MAX(D194:L194))</f>
        <v>3374.7799999999988</v>
      </c>
      <c r="R192" s="57">
        <f>IF(L193="","",MIN(D194:L194))</f>
        <v>3317.0399999999991</v>
      </c>
      <c r="S192" s="58">
        <f>IF((L194=""),"",AVERAGE(D194:L194))</f>
        <v>3332.3111111111107</v>
      </c>
      <c r="T192" s="57">
        <f>IF((L193=""),"",((Q192-R192)/(Q192+R192))*100)</f>
        <v>0.86284448774772482</v>
      </c>
      <c r="U192" s="56">
        <f>STDEV(D192:L192)</f>
        <v>37.676535064207371</v>
      </c>
      <c r="V192" s="55" t="str">
        <f>IF(L193="","",(IF(T192&lt;7,IF(S192&gt;2800,IF(S192&lt;3800,"Pass","Fail"),"Fail"),"Fail")))</f>
        <v>Pass</v>
      </c>
      <c r="W192" s="57">
        <v>1400</v>
      </c>
      <c r="X192" s="250" t="s">
        <v>204</v>
      </c>
      <c r="Z192" s="53">
        <v>2800</v>
      </c>
      <c r="AA192" s="53">
        <v>3800</v>
      </c>
      <c r="AB192" s="53">
        <v>3100</v>
      </c>
      <c r="AC192" s="53">
        <v>3760</v>
      </c>
      <c r="AD192" s="52">
        <v>6</v>
      </c>
    </row>
    <row r="193" spans="1:30" ht="16.5" customHeight="1" x14ac:dyDescent="0.35">
      <c r="A193" s="206"/>
      <c r="B193" s="48"/>
      <c r="C193" s="51" t="s">
        <v>157</v>
      </c>
      <c r="D193" s="8">
        <v>3446.6</v>
      </c>
      <c r="E193" s="8">
        <v>3475.19</v>
      </c>
      <c r="F193" s="8">
        <v>3502.24</v>
      </c>
      <c r="G193" s="8">
        <v>3457.21</v>
      </c>
      <c r="H193" s="8">
        <v>3482.21</v>
      </c>
      <c r="I193" s="8">
        <v>3384.55</v>
      </c>
      <c r="J193" s="8">
        <v>3459.46</v>
      </c>
      <c r="K193" s="8">
        <v>3486.61</v>
      </c>
      <c r="L193" s="8">
        <v>3539.14</v>
      </c>
      <c r="M193" s="80"/>
      <c r="N193" s="80"/>
      <c r="O193" s="80"/>
      <c r="P193" s="80"/>
      <c r="Q193" s="48"/>
      <c r="R193" s="48"/>
      <c r="S193" s="49"/>
      <c r="T193" s="48"/>
      <c r="U193" s="48"/>
      <c r="V193" s="47"/>
      <c r="W193" s="48"/>
      <c r="X193" s="79"/>
    </row>
    <row r="194" spans="1:30" ht="24.8" customHeight="1" thickBot="1" x14ac:dyDescent="0.4">
      <c r="A194" s="206"/>
      <c r="B194" s="42"/>
      <c r="C194" s="45" t="s">
        <v>156</v>
      </c>
      <c r="D194" s="44">
        <f t="shared" ref="D194:L194" si="59">IF(((D192="")*AND(D193="")),"",(D192-D193)*2)</f>
        <v>3343.0999999999995</v>
      </c>
      <c r="E194" s="44">
        <f t="shared" si="59"/>
        <v>3321.9999999999991</v>
      </c>
      <c r="F194" s="44">
        <f t="shared" si="59"/>
        <v>3318.9400000000005</v>
      </c>
      <c r="G194" s="44">
        <f t="shared" si="59"/>
        <v>3320.7999999999993</v>
      </c>
      <c r="H194" s="44">
        <f t="shared" si="59"/>
        <v>3328.0399999999991</v>
      </c>
      <c r="I194" s="44">
        <f t="shared" si="59"/>
        <v>3374.7799999999988</v>
      </c>
      <c r="J194" s="44">
        <f t="shared" si="59"/>
        <v>3317.0399999999991</v>
      </c>
      <c r="K194" s="44">
        <f t="shared" si="59"/>
        <v>3326.579999999999</v>
      </c>
      <c r="L194" s="44">
        <f t="shared" si="59"/>
        <v>3339.5199999999995</v>
      </c>
      <c r="M194" s="44"/>
      <c r="N194" s="44"/>
      <c r="O194" s="44"/>
      <c r="P194" s="44"/>
      <c r="Q194" s="42"/>
      <c r="R194" s="42"/>
      <c r="S194" s="43"/>
      <c r="T194" s="42"/>
      <c r="U194" s="42"/>
      <c r="V194" s="41"/>
      <c r="W194" s="42"/>
      <c r="X194" s="78"/>
    </row>
    <row r="195" spans="1:30" x14ac:dyDescent="0.25">
      <c r="A195" s="205">
        <v>42724</v>
      </c>
      <c r="B195" s="63" t="s">
        <v>160</v>
      </c>
      <c r="C195" s="56" t="s">
        <v>158</v>
      </c>
      <c r="D195" s="8">
        <v>1977.95</v>
      </c>
      <c r="E195" s="8">
        <v>1966.65</v>
      </c>
      <c r="F195" s="8">
        <v>1948.71</v>
      </c>
      <c r="G195" s="8">
        <v>1963.01</v>
      </c>
      <c r="H195" s="8">
        <v>1988.11</v>
      </c>
      <c r="I195" s="8">
        <v>1973.4</v>
      </c>
      <c r="J195" s="8">
        <v>1962.3</v>
      </c>
      <c r="K195" s="8">
        <v>1967.66</v>
      </c>
      <c r="L195" s="8">
        <v>1994.18</v>
      </c>
      <c r="M195" s="80"/>
      <c r="N195" s="80"/>
      <c r="O195" s="80"/>
      <c r="P195" s="80"/>
      <c r="Q195" s="63">
        <f>IF((L196=""),"",MAX(D197:L197))</f>
        <v>2819.6800000000003</v>
      </c>
      <c r="R195" s="63">
        <f>IF(L196="","",MIN(D197:L197))</f>
        <v>2641.08</v>
      </c>
      <c r="S195" s="63">
        <f>IF((L197=""),"",AVERAGE(D197:L197))</f>
        <v>2721.7733333333335</v>
      </c>
      <c r="T195" s="63">
        <f>IF((L196=""),"",((Q195-R195)/(Q195+R195))*100)</f>
        <v>3.2706070217332455</v>
      </c>
      <c r="U195" s="51">
        <f>STDEV(D195:L195)</f>
        <v>13.917611145595346</v>
      </c>
      <c r="V195" s="64" t="str">
        <f>IF(L196="","",(IF(T195&lt;12,IF(S195&gt;2200,IF(S195&lt;3280,"Pass","Fail"),"Fail"),"Fail")))</f>
        <v>Pass</v>
      </c>
      <c r="W195" s="63">
        <v>1159</v>
      </c>
      <c r="X195" s="250" t="s">
        <v>203</v>
      </c>
      <c r="Z195" s="37">
        <v>2000</v>
      </c>
      <c r="AA195" s="37">
        <v>3000</v>
      </c>
      <c r="AB195" s="37">
        <v>2200</v>
      </c>
      <c r="AC195" s="37">
        <v>3280</v>
      </c>
      <c r="AD195" s="39">
        <v>12</v>
      </c>
    </row>
    <row r="196" spans="1:30" ht="16.5" customHeight="1" x14ac:dyDescent="0.35">
      <c r="A196" s="206"/>
      <c r="B196" s="48"/>
      <c r="C196" s="51" t="s">
        <v>157</v>
      </c>
      <c r="D196" s="8">
        <v>1273.03</v>
      </c>
      <c r="E196" s="8">
        <v>1280.74</v>
      </c>
      <c r="F196" s="8">
        <v>1288.44</v>
      </c>
      <c r="G196" s="8">
        <v>1294.3800000000001</v>
      </c>
      <c r="H196" s="8">
        <v>1321.8</v>
      </c>
      <c r="I196" s="8">
        <v>1274.58</v>
      </c>
      <c r="J196" s="8">
        <v>1277.93</v>
      </c>
      <c r="K196" s="8">
        <v>1294.0999999999999</v>
      </c>
      <c r="L196" s="8">
        <v>1312.98</v>
      </c>
      <c r="M196" s="80"/>
      <c r="N196" s="80"/>
      <c r="O196" s="80"/>
      <c r="P196" s="80"/>
      <c r="Q196" s="48"/>
      <c r="R196" s="48"/>
      <c r="S196" s="48"/>
      <c r="T196" s="48"/>
      <c r="U196" s="48"/>
      <c r="V196" s="47"/>
      <c r="W196" s="48"/>
      <c r="X196" s="79"/>
    </row>
    <row r="197" spans="1:30" ht="24.8" customHeight="1" thickBot="1" x14ac:dyDescent="0.4">
      <c r="A197" s="206"/>
      <c r="B197" s="61"/>
      <c r="C197" s="51" t="s">
        <v>156</v>
      </c>
      <c r="D197" s="24">
        <f t="shared" ref="D197:L197" si="60">IF(((D195="")*AND(D196="")),"",(D195-D196)*4)</f>
        <v>2819.6800000000003</v>
      </c>
      <c r="E197" s="24">
        <f t="shared" si="60"/>
        <v>2743.6400000000003</v>
      </c>
      <c r="F197" s="24">
        <f t="shared" si="60"/>
        <v>2641.08</v>
      </c>
      <c r="G197" s="24">
        <f t="shared" si="60"/>
        <v>2674.5199999999995</v>
      </c>
      <c r="H197" s="24">
        <f t="shared" si="60"/>
        <v>2665.24</v>
      </c>
      <c r="I197" s="24">
        <f t="shared" si="60"/>
        <v>2795.2800000000007</v>
      </c>
      <c r="J197" s="24">
        <f t="shared" si="60"/>
        <v>2737.4799999999996</v>
      </c>
      <c r="K197" s="24">
        <f t="shared" si="60"/>
        <v>2694.2400000000007</v>
      </c>
      <c r="L197" s="24">
        <f t="shared" si="60"/>
        <v>2724.8</v>
      </c>
      <c r="M197" s="24"/>
      <c r="N197" s="24"/>
      <c r="O197" s="24"/>
      <c r="P197" s="24" t="str">
        <f>IF(((P195="")*AND(P196="")),"",(P195-P196)*4)</f>
        <v/>
      </c>
      <c r="Q197" s="61"/>
      <c r="R197" s="61"/>
      <c r="S197" s="61"/>
      <c r="T197" s="61"/>
      <c r="U197" s="61"/>
      <c r="V197" s="60"/>
      <c r="W197" s="61"/>
      <c r="X197" s="79"/>
    </row>
    <row r="198" spans="1:30" x14ac:dyDescent="0.25">
      <c r="A198" s="207">
        <v>42724</v>
      </c>
      <c r="B198" s="57" t="s">
        <v>159</v>
      </c>
      <c r="C198" s="51" t="s">
        <v>158</v>
      </c>
      <c r="D198" s="8">
        <v>6857.45</v>
      </c>
      <c r="E198" s="8">
        <v>6859.29</v>
      </c>
      <c r="F198" s="8">
        <v>6877.91</v>
      </c>
      <c r="G198" s="8">
        <v>6823.38</v>
      </c>
      <c r="H198" s="8">
        <v>6854.3</v>
      </c>
      <c r="I198" s="8">
        <v>6809.94</v>
      </c>
      <c r="J198" s="8">
        <v>6824.16</v>
      </c>
      <c r="K198" s="8">
        <v>6869.16</v>
      </c>
      <c r="L198" s="8">
        <v>6922.27</v>
      </c>
      <c r="M198" s="80"/>
      <c r="N198" s="80"/>
      <c r="O198" s="80"/>
      <c r="P198" s="80"/>
      <c r="Q198" s="57">
        <f>IF((L199=""),"",MAX(D200:L200))</f>
        <v>3454.2599999999984</v>
      </c>
      <c r="R198" s="57">
        <f>IF(L199="","",MIN(D200:L200))</f>
        <v>3397.0399999999991</v>
      </c>
      <c r="S198" s="58">
        <f>IF((L200=""),"",AVERAGE(D200:L200))</f>
        <v>3412.44</v>
      </c>
      <c r="T198" s="57">
        <f>IF((L199=""),"",((Q198-R198)/(Q198+R198))*100)</f>
        <v>0.83516996774333874</v>
      </c>
      <c r="U198" s="56">
        <f>STDEV(D198:L198)</f>
        <v>34.01460707467389</v>
      </c>
      <c r="V198" s="55" t="str">
        <f>IF(L199="","",(IF(T198&lt;7,IF(S198&gt;2800,IF(S198&lt;3800,"Pass","Fail"),"Fail"),"Fail")))</f>
        <v>Pass</v>
      </c>
      <c r="W198" s="57">
        <v>1159</v>
      </c>
      <c r="X198" s="250" t="s">
        <v>203</v>
      </c>
      <c r="Z198" s="53">
        <v>2800</v>
      </c>
      <c r="AA198" s="53">
        <v>3800</v>
      </c>
      <c r="AB198" s="53">
        <v>3100</v>
      </c>
      <c r="AC198" s="53">
        <v>3760</v>
      </c>
      <c r="AD198" s="52">
        <v>6</v>
      </c>
    </row>
    <row r="199" spans="1:30" ht="16.5" customHeight="1" x14ac:dyDescent="0.35">
      <c r="A199" s="206"/>
      <c r="B199" s="48"/>
      <c r="C199" s="51" t="s">
        <v>157</v>
      </c>
      <c r="D199" s="8">
        <v>5145.45</v>
      </c>
      <c r="E199" s="8">
        <v>5159.2</v>
      </c>
      <c r="F199" s="8">
        <v>5179.33</v>
      </c>
      <c r="G199" s="8">
        <v>5124.34</v>
      </c>
      <c r="H199" s="8">
        <v>5151.0600000000004</v>
      </c>
      <c r="I199" s="8">
        <v>5082.8100000000004</v>
      </c>
      <c r="J199" s="8">
        <v>5125.6400000000003</v>
      </c>
      <c r="K199" s="8">
        <v>5166.51</v>
      </c>
      <c r="L199" s="8">
        <v>5207.54</v>
      </c>
      <c r="M199" s="80"/>
      <c r="N199" s="80"/>
      <c r="O199" s="80"/>
      <c r="P199" s="80"/>
      <c r="Q199" s="48"/>
      <c r="R199" s="48"/>
      <c r="S199" s="49"/>
      <c r="T199" s="48"/>
      <c r="U199" s="48"/>
      <c r="V199" s="47"/>
      <c r="W199" s="48"/>
      <c r="X199" s="79"/>
    </row>
    <row r="200" spans="1:30" ht="24.8" customHeight="1" thickBot="1" x14ac:dyDescent="0.4">
      <c r="A200" s="206"/>
      <c r="B200" s="42"/>
      <c r="C200" s="45" t="s">
        <v>156</v>
      </c>
      <c r="D200" s="44">
        <f t="shared" ref="D200:L200" si="61">IF(((D198="")*AND(D199="")),"",(D198-D199)*2)</f>
        <v>3424</v>
      </c>
      <c r="E200" s="44">
        <f t="shared" si="61"/>
        <v>3400.1800000000003</v>
      </c>
      <c r="F200" s="44">
        <f t="shared" si="61"/>
        <v>3397.16</v>
      </c>
      <c r="G200" s="44">
        <f t="shared" si="61"/>
        <v>3398.08</v>
      </c>
      <c r="H200" s="44">
        <f t="shared" si="61"/>
        <v>3406.4799999999996</v>
      </c>
      <c r="I200" s="44">
        <f t="shared" si="61"/>
        <v>3454.2599999999984</v>
      </c>
      <c r="J200" s="44">
        <f t="shared" si="61"/>
        <v>3397.0399999999991</v>
      </c>
      <c r="K200" s="44">
        <f t="shared" si="61"/>
        <v>3405.2999999999993</v>
      </c>
      <c r="L200" s="44">
        <f t="shared" si="61"/>
        <v>3429.4600000000009</v>
      </c>
      <c r="M200" s="44"/>
      <c r="N200" s="44"/>
      <c r="O200" s="44"/>
      <c r="P200" s="44"/>
      <c r="Q200" s="42"/>
      <c r="R200" s="42"/>
      <c r="S200" s="43"/>
      <c r="T200" s="42"/>
      <c r="U200" s="42"/>
      <c r="V200" s="41"/>
      <c r="W200" s="42"/>
      <c r="X200" s="78"/>
    </row>
    <row r="201" spans="1:30" x14ac:dyDescent="0.25">
      <c r="A201" s="205">
        <v>42727</v>
      </c>
      <c r="B201" s="63" t="s">
        <v>160</v>
      </c>
      <c r="C201" s="56" t="s">
        <v>158</v>
      </c>
      <c r="D201" s="8">
        <v>1987.11</v>
      </c>
      <c r="E201" s="8">
        <v>1972.5</v>
      </c>
      <c r="F201" s="8">
        <v>1975.47</v>
      </c>
      <c r="G201" s="8">
        <v>1974.09</v>
      </c>
      <c r="H201" s="8">
        <v>2000.84</v>
      </c>
      <c r="I201" s="8">
        <v>1990.23</v>
      </c>
      <c r="J201" s="8">
        <v>1977.72</v>
      </c>
      <c r="K201" s="8">
        <v>1975.47</v>
      </c>
      <c r="L201" s="8">
        <v>1996.8</v>
      </c>
      <c r="M201" s="80"/>
      <c r="N201" s="80"/>
      <c r="O201" s="80"/>
      <c r="P201" s="80"/>
      <c r="Q201" s="63">
        <f>IF((L202=""),"",MAX(D203:L203))</f>
        <v>2824.7599999999993</v>
      </c>
      <c r="R201" s="63">
        <f>IF(L202="","",MIN(D203:L203))</f>
        <v>2666.8399999999992</v>
      </c>
      <c r="S201" s="63">
        <f>IF((L203=""),"",AVERAGE(D203:L203))</f>
        <v>2750.804444444444</v>
      </c>
      <c r="T201" s="63">
        <f>IF((L202=""),"",((Q201-R201)/(Q201+R201))*100)</f>
        <v>2.875664651467698</v>
      </c>
      <c r="U201" s="51">
        <f>STDEV(D201:L201)</f>
        <v>10.651465209590208</v>
      </c>
      <c r="V201" s="64" t="str">
        <f>IF(L202="","",(IF(T201&lt;12,IF(S201&gt;2200,IF(S201&lt;3280,"Pass","Fail"),"Fail"),"Fail")))</f>
        <v>Pass</v>
      </c>
      <c r="W201" s="63">
        <v>1428</v>
      </c>
      <c r="X201" s="250"/>
      <c r="Z201" s="37">
        <v>2000</v>
      </c>
      <c r="AA201" s="37">
        <v>3000</v>
      </c>
      <c r="AB201" s="37">
        <v>2200</v>
      </c>
      <c r="AC201" s="37">
        <v>3280</v>
      </c>
      <c r="AD201" s="39">
        <v>12</v>
      </c>
    </row>
    <row r="202" spans="1:30" ht="16.5" customHeight="1" x14ac:dyDescent="0.35">
      <c r="A202" s="206"/>
      <c r="B202" s="48"/>
      <c r="C202" s="51" t="s">
        <v>157</v>
      </c>
      <c r="D202" s="8">
        <v>1280.92</v>
      </c>
      <c r="E202" s="8">
        <v>1277.0899999999999</v>
      </c>
      <c r="F202" s="8">
        <v>1300.9100000000001</v>
      </c>
      <c r="G202" s="8">
        <v>1292</v>
      </c>
      <c r="H202" s="8">
        <v>1334.13</v>
      </c>
      <c r="I202" s="8">
        <v>1284.32</v>
      </c>
      <c r="J202" s="8">
        <v>1277.3</v>
      </c>
      <c r="K202" s="8">
        <v>1293.05</v>
      </c>
      <c r="L202" s="8">
        <v>1321.2</v>
      </c>
      <c r="M202" s="80"/>
      <c r="N202" s="80"/>
      <c r="O202" s="80"/>
      <c r="P202" s="80"/>
      <c r="Q202" s="48"/>
      <c r="R202" s="48"/>
      <c r="S202" s="48"/>
      <c r="T202" s="48"/>
      <c r="U202" s="48"/>
      <c r="V202" s="47"/>
      <c r="W202" s="48"/>
      <c r="X202" s="79"/>
    </row>
    <row r="203" spans="1:30" ht="24.8" customHeight="1" thickBot="1" x14ac:dyDescent="0.4">
      <c r="A203" s="206"/>
      <c r="B203" s="61"/>
      <c r="C203" s="51" t="s">
        <v>156</v>
      </c>
      <c r="D203" s="24">
        <f t="shared" ref="D203:L203" si="62">IF(((D201="")*AND(D202="")),"",(D201-D202)*4)</f>
        <v>2824.7599999999993</v>
      </c>
      <c r="E203" s="24">
        <f t="shared" si="62"/>
        <v>2781.6400000000003</v>
      </c>
      <c r="F203" s="24">
        <f t="shared" si="62"/>
        <v>2698.24</v>
      </c>
      <c r="G203" s="24">
        <f t="shared" si="62"/>
        <v>2728.3599999999997</v>
      </c>
      <c r="H203" s="24">
        <f t="shared" si="62"/>
        <v>2666.8399999999992</v>
      </c>
      <c r="I203" s="24">
        <f t="shared" si="62"/>
        <v>2823.6400000000003</v>
      </c>
      <c r="J203" s="24">
        <f t="shared" si="62"/>
        <v>2801.6800000000003</v>
      </c>
      <c r="K203" s="24">
        <f t="shared" si="62"/>
        <v>2729.6800000000003</v>
      </c>
      <c r="L203" s="24">
        <f t="shared" si="62"/>
        <v>2702.3999999999996</v>
      </c>
      <c r="M203" s="24"/>
      <c r="N203" s="24"/>
      <c r="O203" s="24"/>
      <c r="P203" s="24" t="str">
        <f>IF(((P201="")*AND(P202="")),"",(P201-P202)*4)</f>
        <v/>
      </c>
      <c r="Q203" s="61"/>
      <c r="R203" s="61"/>
      <c r="S203" s="61"/>
      <c r="T203" s="61"/>
      <c r="U203" s="61"/>
      <c r="V203" s="60"/>
      <c r="W203" s="61"/>
      <c r="X203" s="79"/>
    </row>
    <row r="204" spans="1:30" x14ac:dyDescent="0.25">
      <c r="A204" s="207">
        <v>42727</v>
      </c>
      <c r="B204" s="57" t="s">
        <v>159</v>
      </c>
      <c r="C204" s="51" t="s">
        <v>158</v>
      </c>
      <c r="D204" s="8">
        <v>6862.62</v>
      </c>
      <c r="E204" s="8">
        <v>6842.93</v>
      </c>
      <c r="F204" s="8">
        <v>6861.34</v>
      </c>
      <c r="G204" s="8">
        <v>6816.86</v>
      </c>
      <c r="H204" s="8">
        <v>6884.58</v>
      </c>
      <c r="I204" s="8">
        <v>6845.21</v>
      </c>
      <c r="J204" s="8">
        <v>6819.72</v>
      </c>
      <c r="K204" s="8">
        <v>6852.33</v>
      </c>
      <c r="L204" s="8">
        <v>6935.78</v>
      </c>
      <c r="M204" s="80"/>
      <c r="N204" s="80"/>
      <c r="O204" s="80"/>
      <c r="P204" s="80"/>
      <c r="Q204" s="57">
        <f>IF((L205=""),"",MAX(D206:L206))</f>
        <v>3453.6000000000004</v>
      </c>
      <c r="R204" s="57">
        <f>IF(L205="","",MIN(D206:L206))</f>
        <v>3400.7800000000007</v>
      </c>
      <c r="S204" s="58">
        <f>IF((L206=""),"",AVERAGE(D206:L206))</f>
        <v>3414.6355555555565</v>
      </c>
      <c r="T204" s="57">
        <f>IF((L205=""),"",((Q204-R204)/(Q204+R204))*100)</f>
        <v>0.77060215511832875</v>
      </c>
      <c r="U204" s="56">
        <f>STDEV(D204:L204)</f>
        <v>36.002389851230632</v>
      </c>
      <c r="V204" s="55" t="str">
        <f>IF(L205="","",(IF(T204&lt;7,IF(S204&gt;2800,IF(S204&lt;3800,"Pass","Fail"),"Fail"),"Fail")))</f>
        <v>Pass</v>
      </c>
      <c r="W204" s="57">
        <v>1428</v>
      </c>
      <c r="X204" s="249"/>
      <c r="Z204" s="53">
        <v>2800</v>
      </c>
      <c r="AA204" s="53">
        <v>3800</v>
      </c>
      <c r="AB204" s="53">
        <v>3100</v>
      </c>
      <c r="AC204" s="53">
        <v>3760</v>
      </c>
      <c r="AD204" s="52">
        <v>6</v>
      </c>
    </row>
    <row r="205" spans="1:30" ht="16.5" customHeight="1" x14ac:dyDescent="0.35">
      <c r="A205" s="206"/>
      <c r="B205" s="48"/>
      <c r="C205" s="51" t="s">
        <v>157</v>
      </c>
      <c r="D205" s="8">
        <v>5151.78</v>
      </c>
      <c r="E205" s="8">
        <v>5142.21</v>
      </c>
      <c r="F205" s="8">
        <v>5160.95</v>
      </c>
      <c r="G205" s="8">
        <v>5114.78</v>
      </c>
      <c r="H205" s="8">
        <v>5180.08</v>
      </c>
      <c r="I205" s="8">
        <v>5118.41</v>
      </c>
      <c r="J205" s="8">
        <v>5117.2700000000004</v>
      </c>
      <c r="K205" s="8">
        <v>5149.1099999999997</v>
      </c>
      <c r="L205" s="8">
        <v>5220.92</v>
      </c>
      <c r="M205" s="80"/>
      <c r="N205" s="80"/>
      <c r="O205" s="80"/>
      <c r="P205" s="80"/>
      <c r="Q205" s="48"/>
      <c r="R205" s="48"/>
      <c r="S205" s="49"/>
      <c r="T205" s="48"/>
      <c r="U205" s="48"/>
      <c r="V205" s="47"/>
      <c r="W205" s="48"/>
      <c r="X205" s="79"/>
    </row>
    <row r="206" spans="1:30" ht="24.8" customHeight="1" thickBot="1" x14ac:dyDescent="0.4">
      <c r="A206" s="206"/>
      <c r="B206" s="42"/>
      <c r="C206" s="45" t="s">
        <v>156</v>
      </c>
      <c r="D206" s="44">
        <f t="shared" ref="D206:L206" si="63">IF(((D204="")*AND(D205="")),"",(D204-D205)*2)</f>
        <v>3421.6800000000003</v>
      </c>
      <c r="E206" s="44">
        <f t="shared" si="63"/>
        <v>3401.4400000000005</v>
      </c>
      <c r="F206" s="44">
        <f t="shared" si="63"/>
        <v>3400.7800000000007</v>
      </c>
      <c r="G206" s="44">
        <f t="shared" si="63"/>
        <v>3404.16</v>
      </c>
      <c r="H206" s="44">
        <f t="shared" si="63"/>
        <v>3409</v>
      </c>
      <c r="I206" s="44">
        <f t="shared" si="63"/>
        <v>3453.6000000000004</v>
      </c>
      <c r="J206" s="44">
        <f t="shared" si="63"/>
        <v>3404.8999999999996</v>
      </c>
      <c r="K206" s="44">
        <f t="shared" si="63"/>
        <v>3406.4400000000005</v>
      </c>
      <c r="L206" s="44">
        <f t="shared" si="63"/>
        <v>3429.7199999999993</v>
      </c>
      <c r="M206" s="44"/>
      <c r="N206" s="44"/>
      <c r="O206" s="44"/>
      <c r="P206" s="44"/>
      <c r="Q206" s="42"/>
      <c r="R206" s="42"/>
      <c r="S206" s="43"/>
      <c r="T206" s="42"/>
      <c r="U206" s="42"/>
      <c r="V206" s="41"/>
      <c r="W206" s="42"/>
      <c r="X206" s="78"/>
    </row>
    <row r="207" spans="1:30" x14ac:dyDescent="0.25">
      <c r="A207" s="205">
        <v>42732</v>
      </c>
      <c r="B207" s="63" t="s">
        <v>160</v>
      </c>
      <c r="C207" s="56" t="s">
        <v>158</v>
      </c>
      <c r="D207" s="8">
        <v>1809.67</v>
      </c>
      <c r="E207" s="8">
        <v>1830.57</v>
      </c>
      <c r="F207" s="8">
        <v>1834.21</v>
      </c>
      <c r="G207" s="8">
        <v>1836.05</v>
      </c>
      <c r="H207" s="8">
        <v>1853.7</v>
      </c>
      <c r="I207" s="8">
        <v>1839.12</v>
      </c>
      <c r="J207" s="8">
        <v>1838.26</v>
      </c>
      <c r="K207" s="8">
        <v>1848.97</v>
      </c>
      <c r="L207" s="8">
        <v>1842.5</v>
      </c>
      <c r="M207" s="80"/>
      <c r="N207" s="80"/>
      <c r="O207" s="80"/>
      <c r="P207" s="80"/>
      <c r="Q207" s="63">
        <f>IF((L208=""),"",MAX(D209:L209))</f>
        <v>2514.6399999999994</v>
      </c>
      <c r="R207" s="63">
        <f>IF(L208="","",MIN(D209:L209))</f>
        <v>2283.96</v>
      </c>
      <c r="S207" s="63">
        <f>IF((L209=""),"",AVERAGE(D209:L209))</f>
        <v>2361.0933333333328</v>
      </c>
      <c r="T207" s="63">
        <f>IF((L208=""),"",((Q207-R207)/(Q207+R207))*100)</f>
        <v>4.8072354436710585</v>
      </c>
      <c r="U207" s="51">
        <f>STDEV(D207:L207)</f>
        <v>12.527285331538415</v>
      </c>
      <c r="V207" s="64" t="str">
        <f>IF(L208="","",(IF(T207&lt;12,IF(S207&gt;2200,IF(S207&lt;3280,"Pass","Fail"),"Fail"),"Fail")))</f>
        <v>Pass</v>
      </c>
      <c r="W207" s="63">
        <v>1335</v>
      </c>
      <c r="X207" s="250"/>
      <c r="Z207" s="37">
        <v>2000</v>
      </c>
      <c r="AA207" s="37">
        <v>3000</v>
      </c>
      <c r="AB207" s="37">
        <v>2200</v>
      </c>
      <c r="AC207" s="37">
        <v>3280</v>
      </c>
      <c r="AD207" s="39">
        <v>12</v>
      </c>
    </row>
    <row r="208" spans="1:30" ht="16.5" customHeight="1" x14ac:dyDescent="0.35">
      <c r="A208" s="206"/>
      <c r="B208" s="48"/>
      <c r="C208" s="51" t="s">
        <v>157</v>
      </c>
      <c r="D208" s="8">
        <v>1231.03</v>
      </c>
      <c r="E208" s="8">
        <v>1249.4100000000001</v>
      </c>
      <c r="F208" s="8">
        <v>1263.22</v>
      </c>
      <c r="G208" s="8">
        <v>1257.45</v>
      </c>
      <c r="H208" s="8">
        <v>1249.68</v>
      </c>
      <c r="I208" s="8">
        <v>1210.46</v>
      </c>
      <c r="J208" s="8">
        <v>1251.55</v>
      </c>
      <c r="K208" s="8">
        <v>1261.27</v>
      </c>
      <c r="L208" s="8">
        <v>1246.52</v>
      </c>
      <c r="M208" s="80"/>
      <c r="N208" s="80"/>
      <c r="O208" s="80"/>
      <c r="P208" s="80"/>
      <c r="Q208" s="48"/>
      <c r="R208" s="48"/>
      <c r="S208" s="48"/>
      <c r="T208" s="48"/>
      <c r="U208" s="48"/>
      <c r="V208" s="47"/>
      <c r="W208" s="48"/>
      <c r="X208" s="79"/>
    </row>
    <row r="209" spans="1:30" ht="24.8" customHeight="1" thickBot="1" x14ac:dyDescent="0.4">
      <c r="A209" s="206"/>
      <c r="B209" s="61"/>
      <c r="C209" s="51" t="s">
        <v>156</v>
      </c>
      <c r="D209" s="24">
        <f t="shared" ref="D209:L209" si="64">IF(((D207="")*AND(D208="")),"",(D207-D208)*4)</f>
        <v>2314.5600000000004</v>
      </c>
      <c r="E209" s="24">
        <f t="shared" si="64"/>
        <v>2324.6399999999994</v>
      </c>
      <c r="F209" s="24">
        <f t="shared" si="64"/>
        <v>2283.96</v>
      </c>
      <c r="G209" s="24">
        <f t="shared" si="64"/>
        <v>2314.3999999999996</v>
      </c>
      <c r="H209" s="24">
        <f t="shared" si="64"/>
        <v>2416.08</v>
      </c>
      <c r="I209" s="24">
        <f t="shared" si="64"/>
        <v>2514.6399999999994</v>
      </c>
      <c r="J209" s="24">
        <f t="shared" si="64"/>
        <v>2346.84</v>
      </c>
      <c r="K209" s="24">
        <f t="shared" si="64"/>
        <v>2350.8000000000002</v>
      </c>
      <c r="L209" s="24">
        <f t="shared" si="64"/>
        <v>2383.92</v>
      </c>
      <c r="M209" s="24"/>
      <c r="N209" s="24"/>
      <c r="O209" s="24"/>
      <c r="P209" s="24" t="str">
        <f>IF(((P207="")*AND(P208="")),"",(P207-P208)*4)</f>
        <v/>
      </c>
      <c r="Q209" s="61"/>
      <c r="R209" s="61"/>
      <c r="S209" s="61"/>
      <c r="T209" s="61"/>
      <c r="U209" s="61"/>
      <c r="V209" s="60"/>
      <c r="W209" s="61"/>
      <c r="X209" s="79"/>
    </row>
    <row r="210" spans="1:30" x14ac:dyDescent="0.25">
      <c r="A210" s="207">
        <v>42732</v>
      </c>
      <c r="B210" s="57" t="s">
        <v>159</v>
      </c>
      <c r="C210" s="51" t="s">
        <v>158</v>
      </c>
      <c r="D210" s="8">
        <v>6843.59</v>
      </c>
      <c r="E210" s="8">
        <v>6843.09</v>
      </c>
      <c r="F210" s="8">
        <v>6862.32</v>
      </c>
      <c r="G210" s="8">
        <v>6808.59</v>
      </c>
      <c r="H210" s="8">
        <v>6845.07</v>
      </c>
      <c r="I210" s="8">
        <v>6799.97</v>
      </c>
      <c r="J210" s="8">
        <v>6809.7</v>
      </c>
      <c r="K210" s="8">
        <v>6854.7</v>
      </c>
      <c r="L210" s="8">
        <v>6912.06</v>
      </c>
      <c r="M210" s="80"/>
      <c r="N210" s="80"/>
      <c r="O210" s="80"/>
      <c r="P210" s="80"/>
      <c r="Q210" s="57">
        <f>IF((L211=""),"",MAX(D212:L212))</f>
        <v>3452.6200000000008</v>
      </c>
      <c r="R210" s="57">
        <f>IF(L211="","",MIN(D212:L212))</f>
        <v>3371.76</v>
      </c>
      <c r="S210" s="58">
        <f>IF((L212=""),"",AVERAGE(D212:L212))</f>
        <v>3396.54</v>
      </c>
      <c r="T210" s="57">
        <f>IF((L211=""),"",((Q210-R210)/(Q210+R210))*100)</f>
        <v>1.1848695412623649</v>
      </c>
      <c r="U210" s="56">
        <f>STDEV(D210:L210)</f>
        <v>34.31771424659739</v>
      </c>
      <c r="V210" s="55" t="str">
        <f>IF(L211="","",(IF(T210&lt;7,IF(S210&gt;2800,IF(S210&lt;3800,"Pass","Fail"),"Fail"),"Fail")))</f>
        <v>Pass</v>
      </c>
      <c r="W210" s="57">
        <v>1335</v>
      </c>
      <c r="X210" s="249"/>
      <c r="Z210" s="53">
        <v>2800</v>
      </c>
      <c r="AA210" s="53">
        <v>3800</v>
      </c>
      <c r="AB210" s="53">
        <v>3100</v>
      </c>
      <c r="AC210" s="53">
        <v>3760</v>
      </c>
      <c r="AD210" s="52">
        <v>6</v>
      </c>
    </row>
    <row r="211" spans="1:30" ht="16.5" customHeight="1" x14ac:dyDescent="0.35">
      <c r="A211" s="206"/>
      <c r="B211" s="48"/>
      <c r="C211" s="51" t="s">
        <v>157</v>
      </c>
      <c r="D211" s="8">
        <v>5135.04</v>
      </c>
      <c r="E211" s="8">
        <v>5155.12</v>
      </c>
      <c r="F211" s="8">
        <v>5175.07</v>
      </c>
      <c r="G211" s="8">
        <v>5121.18</v>
      </c>
      <c r="H211" s="8">
        <v>5146.92</v>
      </c>
      <c r="I211" s="8">
        <v>5073.66</v>
      </c>
      <c r="J211" s="8">
        <v>5123.82</v>
      </c>
      <c r="K211" s="8">
        <v>5162.97</v>
      </c>
      <c r="L211" s="8">
        <v>5200.88</v>
      </c>
      <c r="M211" s="80"/>
      <c r="N211" s="80"/>
      <c r="O211" s="80"/>
      <c r="P211" s="80"/>
      <c r="Q211" s="48"/>
      <c r="R211" s="48"/>
      <c r="S211" s="49"/>
      <c r="T211" s="48"/>
      <c r="U211" s="48"/>
      <c r="V211" s="47"/>
      <c r="W211" s="48"/>
      <c r="X211" s="79"/>
    </row>
    <row r="212" spans="1:30" ht="24.8" customHeight="1" thickBot="1" x14ac:dyDescent="0.4">
      <c r="A212" s="206"/>
      <c r="B212" s="42"/>
      <c r="C212" s="45" t="s">
        <v>156</v>
      </c>
      <c r="D212" s="44">
        <f t="shared" ref="D212:L212" si="65">IF(((D210="")*AND(D211="")),"",(D210-D211)*2)</f>
        <v>3417.1000000000004</v>
      </c>
      <c r="E212" s="44">
        <f t="shared" si="65"/>
        <v>3375.9400000000005</v>
      </c>
      <c r="F212" s="44">
        <f t="shared" si="65"/>
        <v>3374.5</v>
      </c>
      <c r="G212" s="44">
        <f t="shared" si="65"/>
        <v>3374.8199999999997</v>
      </c>
      <c r="H212" s="44">
        <f t="shared" si="65"/>
        <v>3396.2999999999993</v>
      </c>
      <c r="I212" s="44">
        <f t="shared" si="65"/>
        <v>3452.6200000000008</v>
      </c>
      <c r="J212" s="44">
        <f t="shared" si="65"/>
        <v>3371.76</v>
      </c>
      <c r="K212" s="44">
        <f t="shared" si="65"/>
        <v>3383.4599999999991</v>
      </c>
      <c r="L212" s="44">
        <f t="shared" si="65"/>
        <v>3422.3600000000006</v>
      </c>
      <c r="M212" s="44"/>
      <c r="N212" s="44"/>
      <c r="O212" s="44"/>
      <c r="P212" s="44"/>
      <c r="Q212" s="42"/>
      <c r="R212" s="42"/>
      <c r="S212" s="43"/>
      <c r="T212" s="42"/>
      <c r="U212" s="42"/>
      <c r="V212" s="41"/>
      <c r="W212" s="42"/>
      <c r="X212" s="78"/>
    </row>
    <row r="213" spans="1:30" x14ac:dyDescent="0.25">
      <c r="A213" s="205">
        <v>42739</v>
      </c>
      <c r="B213" s="63" t="s">
        <v>160</v>
      </c>
      <c r="C213" s="56" t="s">
        <v>158</v>
      </c>
      <c r="D213" s="8">
        <v>1921.7</v>
      </c>
      <c r="E213" s="8">
        <v>1918.63</v>
      </c>
      <c r="F213" s="8">
        <v>1919.41</v>
      </c>
      <c r="G213" s="8">
        <v>1916.88</v>
      </c>
      <c r="H213" s="8">
        <v>1926.77</v>
      </c>
      <c r="I213" s="8">
        <v>1922.74</v>
      </c>
      <c r="J213" s="8">
        <v>1919.33</v>
      </c>
      <c r="K213" s="8">
        <v>1920.34</v>
      </c>
      <c r="L213" s="8">
        <v>1925.11</v>
      </c>
      <c r="M213" s="80"/>
      <c r="N213" s="80"/>
      <c r="O213" s="80"/>
      <c r="P213" s="80"/>
      <c r="Q213" s="63">
        <f>IF((L214=""),"",MAX(D215:L215))</f>
        <v>2611.6000000000004</v>
      </c>
      <c r="R213" s="63">
        <f>IF(L214="","",MIN(D215:L215))</f>
        <v>2436.2799999999997</v>
      </c>
      <c r="S213" s="63">
        <f>IF((L215=""),"",AVERAGE(D215:L215))</f>
        <v>2524.0311111111114</v>
      </c>
      <c r="T213" s="63">
        <f>IF((L214=""),"",((Q213-R213)/(Q213+R213))*100)</f>
        <v>3.4731411998700565</v>
      </c>
      <c r="U213" s="51">
        <f>STDEV(D213:L213)</f>
        <v>3.1945491770270427</v>
      </c>
      <c r="V213" s="64" t="str">
        <f>IF(L214="","",(IF(T213&lt;12,IF(S213&gt;2200,IF(S213&lt;3280,"Pass","Fail"),"Fail"),"Fail")))</f>
        <v>Pass</v>
      </c>
      <c r="W213" s="63">
        <v>1335</v>
      </c>
      <c r="X213" s="250"/>
      <c r="Z213" s="37">
        <v>2000</v>
      </c>
      <c r="AA213" s="37">
        <v>3000</v>
      </c>
      <c r="AB213" s="37">
        <v>2200</v>
      </c>
      <c r="AC213" s="37">
        <v>3280</v>
      </c>
      <c r="AD213" s="39">
        <v>12</v>
      </c>
    </row>
    <row r="214" spans="1:30" ht="16.5" customHeight="1" x14ac:dyDescent="0.35">
      <c r="A214" s="206"/>
      <c r="B214" s="48"/>
      <c r="C214" s="51" t="s">
        <v>157</v>
      </c>
      <c r="D214" s="8">
        <v>1268.8</v>
      </c>
      <c r="E214" s="8">
        <v>1276.69</v>
      </c>
      <c r="F214" s="8">
        <v>1302.26</v>
      </c>
      <c r="G214" s="8">
        <v>1295.3699999999999</v>
      </c>
      <c r="H214" s="8">
        <v>1317.7</v>
      </c>
      <c r="I214" s="8">
        <v>1272.58</v>
      </c>
      <c r="J214" s="8">
        <v>1277.69</v>
      </c>
      <c r="K214" s="8">
        <v>1295.46</v>
      </c>
      <c r="L214" s="8">
        <v>1305.29</v>
      </c>
      <c r="M214" s="80"/>
      <c r="N214" s="80"/>
      <c r="O214" s="80"/>
      <c r="P214" s="80"/>
      <c r="Q214" s="48"/>
      <c r="R214" s="48"/>
      <c r="S214" s="48"/>
      <c r="T214" s="48"/>
      <c r="U214" s="48"/>
      <c r="V214" s="47"/>
      <c r="W214" s="48"/>
      <c r="X214" s="79"/>
    </row>
    <row r="215" spans="1:30" ht="24.8" customHeight="1" thickBot="1" x14ac:dyDescent="0.4">
      <c r="A215" s="206"/>
      <c r="B215" s="61"/>
      <c r="C215" s="51" t="s">
        <v>156</v>
      </c>
      <c r="D215" s="24">
        <f t="shared" ref="D215:L215" si="66">IF(((D213="")*AND(D214="")),"",(D213-D214)*4)</f>
        <v>2611.6000000000004</v>
      </c>
      <c r="E215" s="24">
        <f t="shared" si="66"/>
        <v>2567.7600000000002</v>
      </c>
      <c r="F215" s="24">
        <f t="shared" si="66"/>
        <v>2468.6000000000004</v>
      </c>
      <c r="G215" s="24">
        <f t="shared" si="66"/>
        <v>2486.0400000000009</v>
      </c>
      <c r="H215" s="24">
        <f t="shared" si="66"/>
        <v>2436.2799999999997</v>
      </c>
      <c r="I215" s="24">
        <f t="shared" si="66"/>
        <v>2600.6400000000003</v>
      </c>
      <c r="J215" s="24">
        <f t="shared" si="66"/>
        <v>2566.5599999999995</v>
      </c>
      <c r="K215" s="24">
        <f t="shared" si="66"/>
        <v>2499.5199999999995</v>
      </c>
      <c r="L215" s="24">
        <f t="shared" si="66"/>
        <v>2479.2799999999997</v>
      </c>
      <c r="M215" s="24"/>
      <c r="N215" s="24"/>
      <c r="O215" s="24"/>
      <c r="P215" s="24" t="str">
        <f>IF(((P213="")*AND(P214="")),"",(P213-P214)*4)</f>
        <v/>
      </c>
      <c r="Q215" s="61"/>
      <c r="R215" s="61"/>
      <c r="S215" s="61"/>
      <c r="T215" s="61"/>
      <c r="U215" s="61"/>
      <c r="V215" s="60"/>
      <c r="W215" s="61"/>
      <c r="X215" s="79"/>
    </row>
    <row r="216" spans="1:30" x14ac:dyDescent="0.25">
      <c r="A216" s="205">
        <v>42739</v>
      </c>
      <c r="B216" s="57" t="s">
        <v>159</v>
      </c>
      <c r="C216" s="51" t="s">
        <v>158</v>
      </c>
      <c r="D216" s="8">
        <v>6856.11</v>
      </c>
      <c r="E216" s="8">
        <v>6834.93</v>
      </c>
      <c r="F216" s="8">
        <v>6848.9</v>
      </c>
      <c r="G216" s="8">
        <v>6803.43</v>
      </c>
      <c r="H216" s="8">
        <v>6871.55</v>
      </c>
      <c r="I216" s="8">
        <v>6827.76</v>
      </c>
      <c r="J216" s="8">
        <v>6806.66</v>
      </c>
      <c r="K216" s="8">
        <v>6839.48</v>
      </c>
      <c r="L216" s="8">
        <v>6926.38</v>
      </c>
      <c r="M216" s="80"/>
      <c r="N216" s="80"/>
      <c r="O216" s="80"/>
      <c r="P216" s="80"/>
      <c r="Q216" s="57">
        <f>IF((L217=""),"",MAX(D218:L218))</f>
        <v>3462.2800000000007</v>
      </c>
      <c r="R216" s="57">
        <f>IF(L217="","",MIN(D218:L218))</f>
        <v>3408.4400000000005</v>
      </c>
      <c r="S216" s="58">
        <f>IF((L218=""),"",AVERAGE(D218:L218))</f>
        <v>3427.4866666666671</v>
      </c>
      <c r="T216" s="57">
        <f>IF((L217=""),"",((Q216-R216)/(Q216+R216))*100)</f>
        <v>0.78361510875134088</v>
      </c>
      <c r="U216" s="56">
        <f>STDEV(D216:L216)</f>
        <v>37.218614966169817</v>
      </c>
      <c r="V216" s="55" t="str">
        <f>IF(L217="","",(IF(T216&lt;7,IF(S216&gt;2800,IF(S216&lt;3800,"Pass","Fail"),"Fail"),"Fail")))</f>
        <v>Pass</v>
      </c>
      <c r="W216" s="57">
        <v>1335</v>
      </c>
      <c r="X216" s="249"/>
      <c r="Z216" s="53">
        <v>2800</v>
      </c>
      <c r="AA216" s="53">
        <v>3800</v>
      </c>
      <c r="AB216" s="53">
        <v>3100</v>
      </c>
      <c r="AC216" s="53">
        <v>3760</v>
      </c>
      <c r="AD216" s="52">
        <v>6</v>
      </c>
    </row>
    <row r="217" spans="1:30" ht="16.5" customHeight="1" x14ac:dyDescent="0.35">
      <c r="A217" s="206"/>
      <c r="B217" s="48"/>
      <c r="C217" s="51" t="s">
        <v>157</v>
      </c>
      <c r="D217" s="8">
        <v>5135.6000000000004</v>
      </c>
      <c r="E217" s="8">
        <v>5130.18</v>
      </c>
      <c r="F217" s="8">
        <v>5143.3</v>
      </c>
      <c r="G217" s="8">
        <v>5097.87</v>
      </c>
      <c r="H217" s="8">
        <v>5160.32</v>
      </c>
      <c r="I217" s="8">
        <v>5096.62</v>
      </c>
      <c r="J217" s="8">
        <v>5102.4399999999996</v>
      </c>
      <c r="K217" s="8">
        <v>5129.53</v>
      </c>
      <c r="L217" s="8">
        <v>5195.6499999999996</v>
      </c>
      <c r="M217" s="80"/>
      <c r="N217" s="80"/>
      <c r="O217" s="80"/>
      <c r="P217" s="80"/>
      <c r="Q217" s="48"/>
      <c r="R217" s="48"/>
      <c r="S217" s="49"/>
      <c r="T217" s="48"/>
      <c r="U217" s="48"/>
      <c r="V217" s="47"/>
      <c r="W217" s="48"/>
      <c r="X217" s="79"/>
    </row>
    <row r="218" spans="1:30" ht="24.8" customHeight="1" thickBot="1" x14ac:dyDescent="0.4">
      <c r="A218" s="206"/>
      <c r="B218" s="42"/>
      <c r="C218" s="45" t="s">
        <v>156</v>
      </c>
      <c r="D218" s="44">
        <f t="shared" ref="D218:L218" si="67">IF(((D216="")*AND(D217="")),"",(D216-D217)*2)</f>
        <v>3441.0199999999986</v>
      </c>
      <c r="E218" s="44">
        <f t="shared" si="67"/>
        <v>3409.5</v>
      </c>
      <c r="F218" s="44">
        <f t="shared" si="67"/>
        <v>3411.1999999999989</v>
      </c>
      <c r="G218" s="44">
        <f t="shared" si="67"/>
        <v>3411.1200000000008</v>
      </c>
      <c r="H218" s="44">
        <f t="shared" si="67"/>
        <v>3422.4600000000009</v>
      </c>
      <c r="I218" s="44">
        <f t="shared" si="67"/>
        <v>3462.2800000000007</v>
      </c>
      <c r="J218" s="44">
        <f t="shared" si="67"/>
        <v>3408.4400000000005</v>
      </c>
      <c r="K218" s="44">
        <f t="shared" si="67"/>
        <v>3419.8999999999996</v>
      </c>
      <c r="L218" s="44">
        <f t="shared" si="67"/>
        <v>3461.4600000000009</v>
      </c>
      <c r="M218" s="44"/>
      <c r="N218" s="44"/>
      <c r="O218" s="44"/>
      <c r="P218" s="44"/>
      <c r="Q218" s="42"/>
      <c r="R218" s="42"/>
      <c r="S218" s="43"/>
      <c r="T218" s="42"/>
      <c r="U218" s="42"/>
      <c r="V218" s="41"/>
      <c r="W218" s="42"/>
      <c r="X218" s="78"/>
    </row>
    <row r="219" spans="1:30" x14ac:dyDescent="0.25">
      <c r="A219" s="208">
        <v>42743</v>
      </c>
      <c r="B219" s="63" t="s">
        <v>160</v>
      </c>
      <c r="C219" s="56" t="s">
        <v>158</v>
      </c>
      <c r="D219" s="69">
        <v>1915.92</v>
      </c>
      <c r="E219" s="69">
        <v>1907.87</v>
      </c>
      <c r="F219" s="69">
        <v>1898.43</v>
      </c>
      <c r="G219" s="69">
        <v>1910.76</v>
      </c>
      <c r="H219" s="69">
        <v>1919.4</v>
      </c>
      <c r="I219" s="69">
        <v>1919.24</v>
      </c>
      <c r="J219" s="69">
        <v>1910.12</v>
      </c>
      <c r="K219" s="69">
        <v>1912.3</v>
      </c>
      <c r="L219" s="69">
        <v>1918.63</v>
      </c>
      <c r="M219" s="62"/>
      <c r="N219" s="62"/>
      <c r="O219" s="62"/>
      <c r="P219" s="62"/>
      <c r="Q219" s="63">
        <f>IF((L220=""),"",MAX(D221:L221))</f>
        <v>2640.96</v>
      </c>
      <c r="R219" s="63">
        <f>IF(L220="","",MIN(D221:L221))</f>
        <v>2466</v>
      </c>
      <c r="S219" s="63">
        <f>IF((L221=""),"",AVERAGE(D221:L221))</f>
        <v>2559.6533333333332</v>
      </c>
      <c r="T219" s="63">
        <f>IF((L220=""),"",((Q219-R219)/(Q219+R219))*100)</f>
        <v>3.4259128718454823</v>
      </c>
      <c r="U219" s="51">
        <f>STDEV(D219:L219)</f>
        <v>6.8047914083468779</v>
      </c>
      <c r="V219" s="64" t="str">
        <f>IF(L220="","",(IF(T219&lt;12,IF(S219&gt;2200,IF(S219&lt;3280,"Pass","Fail"),"Fail"),"Fail")))</f>
        <v>Pass</v>
      </c>
      <c r="W219" s="63">
        <v>1400</v>
      </c>
      <c r="X219" s="253" t="s">
        <v>202</v>
      </c>
      <c r="Z219" s="37">
        <v>2000</v>
      </c>
      <c r="AA219" s="37">
        <v>3000</v>
      </c>
      <c r="AB219" s="37">
        <v>2200</v>
      </c>
      <c r="AC219" s="37">
        <v>3280</v>
      </c>
      <c r="AD219" s="39">
        <v>12</v>
      </c>
    </row>
    <row r="220" spans="1:30" ht="16.5" customHeight="1" x14ac:dyDescent="0.35">
      <c r="A220" s="206"/>
      <c r="B220" s="48"/>
      <c r="C220" s="51" t="s">
        <v>157</v>
      </c>
      <c r="D220" s="68">
        <v>1255.68</v>
      </c>
      <c r="E220" s="68">
        <v>1259.0899999999999</v>
      </c>
      <c r="F220" s="68">
        <v>1270.32</v>
      </c>
      <c r="G220" s="68">
        <v>1280.06</v>
      </c>
      <c r="H220" s="68">
        <v>1302.9000000000001</v>
      </c>
      <c r="I220" s="68">
        <v>1259.02</v>
      </c>
      <c r="J220" s="68">
        <v>1259.44</v>
      </c>
      <c r="K220" s="68">
        <v>1278.6300000000001</v>
      </c>
      <c r="L220" s="68">
        <v>1288.31</v>
      </c>
      <c r="M220" s="50"/>
      <c r="N220" s="50"/>
      <c r="O220" s="50"/>
      <c r="P220" s="50"/>
      <c r="Q220" s="48"/>
      <c r="R220" s="48"/>
      <c r="S220" s="48"/>
      <c r="T220" s="48"/>
      <c r="U220" s="48"/>
      <c r="V220" s="47"/>
      <c r="W220" s="48"/>
      <c r="X220" s="77"/>
    </row>
    <row r="221" spans="1:30" ht="24.8" customHeight="1" thickBot="1" x14ac:dyDescent="0.4">
      <c r="A221" s="206"/>
      <c r="B221" s="61"/>
      <c r="C221" s="51" t="s">
        <v>156</v>
      </c>
      <c r="D221" s="24">
        <f t="shared" ref="D221:L221" si="68">IF(((D219="")*AND(D220="")),"",(D219-D220)*4)</f>
        <v>2640.96</v>
      </c>
      <c r="E221" s="24">
        <f t="shared" si="68"/>
        <v>2595.12</v>
      </c>
      <c r="F221" s="24">
        <f t="shared" si="68"/>
        <v>2512.4400000000005</v>
      </c>
      <c r="G221" s="24">
        <f t="shared" si="68"/>
        <v>2522.8000000000002</v>
      </c>
      <c r="H221" s="24">
        <f t="shared" si="68"/>
        <v>2466</v>
      </c>
      <c r="I221" s="24">
        <f t="shared" si="68"/>
        <v>2640.88</v>
      </c>
      <c r="J221" s="24">
        <f t="shared" si="68"/>
        <v>2602.7199999999993</v>
      </c>
      <c r="K221" s="24">
        <f t="shared" si="68"/>
        <v>2534.6799999999994</v>
      </c>
      <c r="L221" s="24">
        <f t="shared" si="68"/>
        <v>2521.2800000000007</v>
      </c>
      <c r="M221" s="24"/>
      <c r="N221" s="24"/>
      <c r="O221" s="24"/>
      <c r="P221" s="24" t="str">
        <f>IF(((P219="")*AND(P220="")),"",(P219-P220)*4)</f>
        <v/>
      </c>
      <c r="Q221" s="61"/>
      <c r="R221" s="61"/>
      <c r="S221" s="61"/>
      <c r="T221" s="61"/>
      <c r="U221" s="61"/>
      <c r="V221" s="60"/>
      <c r="W221" s="61"/>
      <c r="X221" s="77"/>
    </row>
    <row r="222" spans="1:30" x14ac:dyDescent="0.25">
      <c r="A222" s="209">
        <v>42743</v>
      </c>
      <c r="B222" s="57" t="s">
        <v>159</v>
      </c>
      <c r="C222" s="51" t="s">
        <v>158</v>
      </c>
      <c r="D222" s="68">
        <v>5150.67</v>
      </c>
      <c r="E222" s="68">
        <v>5145.28</v>
      </c>
      <c r="F222" s="68">
        <v>5158.3100000000004</v>
      </c>
      <c r="G222" s="68">
        <v>5111.78</v>
      </c>
      <c r="H222" s="68">
        <v>5174.9799999999996</v>
      </c>
      <c r="I222" s="68">
        <v>5109.7</v>
      </c>
      <c r="J222" s="68">
        <v>5116.71</v>
      </c>
      <c r="K222" s="68">
        <v>5144.45</v>
      </c>
      <c r="L222" s="68">
        <v>5211.7299999999996</v>
      </c>
      <c r="M222" s="50"/>
      <c r="N222" s="50"/>
      <c r="O222" s="50"/>
      <c r="P222" s="50"/>
      <c r="Q222" s="57">
        <f>IF((L223=""),"",MAX(D224:L224))</f>
        <v>3380.5999999999995</v>
      </c>
      <c r="R222" s="57">
        <f>IF(L223="","",MIN(D224:L224))</f>
        <v>3335.7</v>
      </c>
      <c r="S222" s="58">
        <f>IF((L224=""),"",AVERAGE(D224:L224))</f>
        <v>3352.313333333333</v>
      </c>
      <c r="T222" s="57">
        <f>IF((L223=""),"",((Q222-R222)/(Q222+R222))*100)</f>
        <v>0.66852284740109347</v>
      </c>
      <c r="U222" s="56">
        <f>STDEV(D222:L222)</f>
        <v>32.925826404882223</v>
      </c>
      <c r="V222" s="55" t="str">
        <f>IF(L223="","",(IF(T222&lt;7,IF(S222&gt;2800,IF(S222&lt;3800,"Pass","Fail"),"Fail"),"Fail")))</f>
        <v>Pass</v>
      </c>
      <c r="W222" s="57">
        <v>1400</v>
      </c>
      <c r="X222" s="253" t="s">
        <v>202</v>
      </c>
      <c r="Z222" s="53">
        <v>2800</v>
      </c>
      <c r="AA222" s="53">
        <v>3800</v>
      </c>
      <c r="AB222" s="53">
        <v>3100</v>
      </c>
      <c r="AC222" s="53">
        <v>3760</v>
      </c>
      <c r="AD222" s="52">
        <v>6</v>
      </c>
    </row>
    <row r="223" spans="1:30" ht="16.5" customHeight="1" x14ac:dyDescent="0.35">
      <c r="A223" s="206"/>
      <c r="B223" s="48"/>
      <c r="C223" s="51" t="s">
        <v>157</v>
      </c>
      <c r="D223" s="68">
        <v>3469.17</v>
      </c>
      <c r="E223" s="68">
        <v>3473.94</v>
      </c>
      <c r="F223" s="68">
        <v>3486.84</v>
      </c>
      <c r="G223" s="68">
        <v>3442.16</v>
      </c>
      <c r="H223" s="68">
        <v>3505.14</v>
      </c>
      <c r="I223" s="68">
        <v>3419.4</v>
      </c>
      <c r="J223" s="68">
        <v>3448.86</v>
      </c>
      <c r="K223" s="68">
        <v>3468.62</v>
      </c>
      <c r="L223" s="68">
        <v>3524.07</v>
      </c>
      <c r="M223" s="50"/>
      <c r="N223" s="50"/>
      <c r="O223" s="50"/>
      <c r="P223" s="50"/>
      <c r="Q223" s="48"/>
      <c r="R223" s="48"/>
      <c r="S223" s="49"/>
      <c r="T223" s="48"/>
      <c r="U223" s="48"/>
      <c r="V223" s="47"/>
      <c r="W223" s="48"/>
      <c r="X223" s="77"/>
    </row>
    <row r="224" spans="1:30" ht="24.8" customHeight="1" thickBot="1" x14ac:dyDescent="0.4">
      <c r="A224" s="206"/>
      <c r="B224" s="42"/>
      <c r="C224" s="45" t="s">
        <v>156</v>
      </c>
      <c r="D224" s="44">
        <f t="shared" ref="D224:L224" si="69">IF(((D222="")*AND(D223="")),"",(D222-D223)*2)</f>
        <v>3363</v>
      </c>
      <c r="E224" s="44">
        <f t="shared" si="69"/>
        <v>3342.6799999999994</v>
      </c>
      <c r="F224" s="44">
        <f t="shared" si="69"/>
        <v>3342.9400000000005</v>
      </c>
      <c r="G224" s="44">
        <f t="shared" si="69"/>
        <v>3339.24</v>
      </c>
      <c r="H224" s="44">
        <f t="shared" si="69"/>
        <v>3339.6799999999994</v>
      </c>
      <c r="I224" s="44">
        <f t="shared" si="69"/>
        <v>3380.5999999999995</v>
      </c>
      <c r="J224" s="44">
        <f t="shared" si="69"/>
        <v>3335.7</v>
      </c>
      <c r="K224" s="44">
        <f t="shared" si="69"/>
        <v>3351.66</v>
      </c>
      <c r="L224" s="44">
        <f t="shared" si="69"/>
        <v>3375.3199999999988</v>
      </c>
      <c r="M224" s="44"/>
      <c r="N224" s="44"/>
      <c r="O224" s="44"/>
      <c r="P224" s="44"/>
      <c r="Q224" s="42"/>
      <c r="R224" s="42"/>
      <c r="S224" s="43"/>
      <c r="T224" s="42"/>
      <c r="U224" s="42"/>
      <c r="V224" s="41"/>
      <c r="W224" s="42"/>
      <c r="X224" s="76"/>
    </row>
    <row r="225" spans="1:30" ht="12.75" customHeight="1" x14ac:dyDescent="0.25">
      <c r="A225" s="208">
        <v>42760</v>
      </c>
      <c r="B225" s="63" t="s">
        <v>160</v>
      </c>
      <c r="C225" s="56" t="s">
        <v>158</v>
      </c>
      <c r="D225" s="8">
        <v>1908.12</v>
      </c>
      <c r="E225" s="8">
        <v>1903.13</v>
      </c>
      <c r="F225" s="8">
        <v>1904.02</v>
      </c>
      <c r="G225" s="8">
        <v>1902.86</v>
      </c>
      <c r="H225" s="8">
        <v>1908.84</v>
      </c>
      <c r="I225" s="8">
        <v>1907.51</v>
      </c>
      <c r="J225" s="8">
        <v>1900.88</v>
      </c>
      <c r="K225" s="8">
        <v>1904.61</v>
      </c>
      <c r="L225" s="8">
        <v>1912.45</v>
      </c>
      <c r="M225" s="62"/>
      <c r="N225" s="62"/>
      <c r="O225" s="62"/>
      <c r="P225" s="62"/>
      <c r="Q225" s="63">
        <f>IF((L226=""),"",MAX(D227:L227))</f>
        <v>2683.5599999999995</v>
      </c>
      <c r="R225" s="63">
        <f>IF(L226="","",MIN(D227:L227))</f>
        <v>2488.7999999999993</v>
      </c>
      <c r="S225" s="63">
        <f>IF((L227=""),"",AVERAGE(D227:L227))</f>
        <v>2574.1022222222218</v>
      </c>
      <c r="T225" s="63">
        <f>IF((L226=""),"",((Q225-R225)/(Q225+R225))*100)</f>
        <v>3.7653991601512704</v>
      </c>
      <c r="U225" s="51">
        <f>STDEV(D225:L225)</f>
        <v>3.6456930449199403</v>
      </c>
      <c r="V225" s="64" t="str">
        <f>IF(L226="","",(IF(T225&lt;12,IF(S225&gt;2200,IF(S225&lt;3280,"Pass","Fail"),"Fail"),"Fail")))</f>
        <v>Pass</v>
      </c>
      <c r="W225" s="63">
        <v>1400</v>
      </c>
      <c r="X225" s="254" t="s">
        <v>282</v>
      </c>
      <c r="Y225" s="37" t="s">
        <v>281</v>
      </c>
      <c r="Z225" s="37">
        <v>2000</v>
      </c>
      <c r="AA225" s="37">
        <v>3000</v>
      </c>
      <c r="AB225" s="37">
        <v>2200</v>
      </c>
      <c r="AC225" s="37">
        <v>3280</v>
      </c>
      <c r="AD225" s="39">
        <v>12</v>
      </c>
    </row>
    <row r="226" spans="1:30" ht="16.5" customHeight="1" x14ac:dyDescent="0.35">
      <c r="A226" s="206"/>
      <c r="B226" s="48"/>
      <c r="C226" s="51" t="s">
        <v>157</v>
      </c>
      <c r="D226" s="8">
        <v>1237.23</v>
      </c>
      <c r="E226" s="8">
        <v>1253.46</v>
      </c>
      <c r="F226" s="8">
        <v>1276.28</v>
      </c>
      <c r="G226" s="8">
        <v>1271.69</v>
      </c>
      <c r="H226" s="8">
        <v>1286.6400000000001</v>
      </c>
      <c r="I226" s="8">
        <v>1238.18</v>
      </c>
      <c r="J226" s="8">
        <v>1253.06</v>
      </c>
      <c r="K226" s="8">
        <v>1269.67</v>
      </c>
      <c r="L226" s="8">
        <v>1274.48</v>
      </c>
      <c r="M226" s="50"/>
      <c r="N226" s="50"/>
      <c r="O226" s="50"/>
      <c r="P226" s="50"/>
      <c r="Q226" s="48"/>
      <c r="R226" s="48"/>
      <c r="S226" s="48"/>
      <c r="T226" s="48"/>
      <c r="U226" s="48"/>
      <c r="V226" s="47"/>
      <c r="W226" s="48"/>
      <c r="X226" s="77"/>
    </row>
    <row r="227" spans="1:30" ht="24.8" customHeight="1" thickBot="1" x14ac:dyDescent="0.4">
      <c r="A227" s="206"/>
      <c r="B227" s="61"/>
      <c r="C227" s="51" t="s">
        <v>156</v>
      </c>
      <c r="D227" s="24">
        <f t="shared" ref="D227:L227" si="70">IF(((D225="")*AND(D226="")),"",(D225-D226)*4)</f>
        <v>2683.5599999999995</v>
      </c>
      <c r="E227" s="24">
        <f t="shared" si="70"/>
        <v>2598.6800000000003</v>
      </c>
      <c r="F227" s="24">
        <f t="shared" si="70"/>
        <v>2510.96</v>
      </c>
      <c r="G227" s="24">
        <f t="shared" si="70"/>
        <v>2524.6799999999994</v>
      </c>
      <c r="H227" s="24">
        <f t="shared" si="70"/>
        <v>2488.7999999999993</v>
      </c>
      <c r="I227" s="24">
        <f t="shared" si="70"/>
        <v>2677.3199999999997</v>
      </c>
      <c r="J227" s="24">
        <f t="shared" si="70"/>
        <v>2591.2800000000007</v>
      </c>
      <c r="K227" s="24">
        <f t="shared" si="70"/>
        <v>2539.7599999999993</v>
      </c>
      <c r="L227" s="24">
        <f t="shared" si="70"/>
        <v>2551.88</v>
      </c>
      <c r="M227" s="24"/>
      <c r="N227" s="24"/>
      <c r="O227" s="24"/>
      <c r="P227" s="24" t="str">
        <f>IF(((P225="")*AND(P226="")),"",(P225-P226)*4)</f>
        <v/>
      </c>
      <c r="Q227" s="61"/>
      <c r="R227" s="61"/>
      <c r="S227" s="61"/>
      <c r="T227" s="61"/>
      <c r="U227" s="61"/>
      <c r="V227" s="60"/>
      <c r="W227" s="61"/>
      <c r="X227" s="77"/>
    </row>
    <row r="228" spans="1:30" x14ac:dyDescent="0.25">
      <c r="A228" s="209">
        <v>42760</v>
      </c>
      <c r="B228" s="57" t="s">
        <v>159</v>
      </c>
      <c r="C228" s="51" t="s">
        <v>158</v>
      </c>
      <c r="D228" s="8">
        <v>6992.98</v>
      </c>
      <c r="E228" s="8">
        <v>6973.67</v>
      </c>
      <c r="F228" s="8">
        <v>6987.83</v>
      </c>
      <c r="G228" s="8">
        <v>6941.3</v>
      </c>
      <c r="H228" s="8">
        <v>7005.29</v>
      </c>
      <c r="I228" s="8">
        <v>6963.77</v>
      </c>
      <c r="J228" s="8">
        <v>6946.41</v>
      </c>
      <c r="K228" s="8">
        <v>6977.15</v>
      </c>
      <c r="L228" s="8">
        <v>7058.76</v>
      </c>
      <c r="M228" s="50"/>
      <c r="N228" s="50"/>
      <c r="O228" s="50"/>
      <c r="P228" s="50"/>
      <c r="Q228" s="57">
        <f>IF((L229=""),"",MAX(D230:L230))</f>
        <v>3528.2400000000016</v>
      </c>
      <c r="R228" s="57">
        <f>IF(L229="","",MIN(D230:L230))</f>
        <v>3423.380000000001</v>
      </c>
      <c r="S228" s="58">
        <f>IF((L230=""),"",AVERAGE(D230:L230))</f>
        <v>3450.48888888889</v>
      </c>
      <c r="T228" s="57">
        <f>IF((L229=""),"",((Q228-R228)/(Q228+R228))*100)</f>
        <v>1.5084253742293241</v>
      </c>
      <c r="U228" s="56">
        <f>STDEV(D228:L228)</f>
        <v>35.228061534016383</v>
      </c>
      <c r="V228" s="55" t="str">
        <f>IF(L229="","",(IF(T228&lt;7,IF(S228&gt;2800,IF(S228&lt;3800,"Pass","Fail"),"Fail"),"Fail")))</f>
        <v>Pass</v>
      </c>
      <c r="W228" s="57">
        <v>1400</v>
      </c>
      <c r="X228" s="254" t="s">
        <v>282</v>
      </c>
      <c r="Z228" s="53">
        <v>2800</v>
      </c>
      <c r="AA228" s="53">
        <v>3800</v>
      </c>
      <c r="AB228" s="53">
        <v>3100</v>
      </c>
      <c r="AC228" s="53">
        <v>3760</v>
      </c>
      <c r="AD228" s="52">
        <v>6</v>
      </c>
    </row>
    <row r="229" spans="1:30" ht="16.5" customHeight="1" x14ac:dyDescent="0.35">
      <c r="A229" s="206"/>
      <c r="B229" s="48"/>
      <c r="C229" s="51" t="s">
        <v>157</v>
      </c>
      <c r="D229" s="8">
        <v>5262.16</v>
      </c>
      <c r="E229" s="8">
        <v>5261.98</v>
      </c>
      <c r="F229" s="8">
        <v>5273.87</v>
      </c>
      <c r="G229" s="8">
        <v>5225.4399999999996</v>
      </c>
      <c r="H229" s="8">
        <v>5271.38</v>
      </c>
      <c r="I229" s="8">
        <v>5199.6499999999996</v>
      </c>
      <c r="J229" s="8">
        <v>5231.45</v>
      </c>
      <c r="K229" s="8">
        <v>5261.16</v>
      </c>
      <c r="L229" s="8">
        <v>5332.87</v>
      </c>
      <c r="M229" s="50"/>
      <c r="N229" s="50"/>
      <c r="O229" s="50"/>
      <c r="P229" s="50"/>
      <c r="Q229" s="48"/>
      <c r="R229" s="48"/>
      <c r="S229" s="49"/>
      <c r="T229" s="48"/>
      <c r="U229" s="48"/>
      <c r="V229" s="47"/>
      <c r="W229" s="48"/>
      <c r="X229" s="77"/>
    </row>
    <row r="230" spans="1:30" ht="24.8" customHeight="1" thickBot="1" x14ac:dyDescent="0.4">
      <c r="A230" s="206"/>
      <c r="B230" s="42"/>
      <c r="C230" s="45" t="s">
        <v>156</v>
      </c>
      <c r="D230" s="44">
        <f t="shared" ref="D230:L230" si="71">IF(((D228="")*AND(D229="")),"",(D228-D229)*2)</f>
        <v>3461.6399999999994</v>
      </c>
      <c r="E230" s="44">
        <f t="shared" si="71"/>
        <v>3423.380000000001</v>
      </c>
      <c r="F230" s="44">
        <f t="shared" si="71"/>
        <v>3427.92</v>
      </c>
      <c r="G230" s="44">
        <f t="shared" si="71"/>
        <v>3431.7200000000012</v>
      </c>
      <c r="H230" s="44">
        <f t="shared" si="71"/>
        <v>3467.8199999999997</v>
      </c>
      <c r="I230" s="44">
        <f t="shared" si="71"/>
        <v>3528.2400000000016</v>
      </c>
      <c r="J230" s="44">
        <f t="shared" si="71"/>
        <v>3429.92</v>
      </c>
      <c r="K230" s="44">
        <f t="shared" si="71"/>
        <v>3431.9799999999996</v>
      </c>
      <c r="L230" s="44">
        <f t="shared" si="71"/>
        <v>3451.7800000000007</v>
      </c>
      <c r="M230" s="44"/>
      <c r="N230" s="44"/>
      <c r="O230" s="44"/>
      <c r="P230" s="44"/>
      <c r="Q230" s="42"/>
      <c r="R230" s="42"/>
      <c r="S230" s="43"/>
      <c r="T230" s="42"/>
      <c r="U230" s="42"/>
      <c r="V230" s="41"/>
      <c r="W230" s="42"/>
      <c r="X230" s="76"/>
    </row>
    <row r="231" spans="1:30" x14ac:dyDescent="0.25">
      <c r="A231" s="208">
        <v>42772</v>
      </c>
      <c r="B231" s="63" t="s">
        <v>160</v>
      </c>
      <c r="C231" s="56" t="s">
        <v>158</v>
      </c>
      <c r="D231" s="8">
        <v>1762.84</v>
      </c>
      <c r="E231" s="8">
        <v>1821.72</v>
      </c>
      <c r="F231" s="8">
        <v>1843.26</v>
      </c>
      <c r="G231" s="8">
        <v>1830.53</v>
      </c>
      <c r="H231" s="8">
        <v>1845.3</v>
      </c>
      <c r="I231" s="8">
        <v>1778.41</v>
      </c>
      <c r="J231" s="8">
        <v>1856.08</v>
      </c>
      <c r="K231" s="8">
        <v>1854.56</v>
      </c>
      <c r="L231" s="8">
        <v>1802.35</v>
      </c>
      <c r="M231" s="62"/>
      <c r="N231" s="62"/>
      <c r="O231" s="62"/>
      <c r="P231" s="62"/>
      <c r="Q231" s="63">
        <f>IF((L232=""),"",MAX(D233:L233))</f>
        <v>2406.12</v>
      </c>
      <c r="R231" s="63">
        <f>IF(L232="","",MIN(D233:L233))</f>
        <v>2140.7599999999993</v>
      </c>
      <c r="S231" s="63">
        <f>IF((L233=""),"",AVERAGE(D233:L233))</f>
        <v>2271.0399999999995</v>
      </c>
      <c r="T231" s="63">
        <f>IF((L232=""),"",((Q231-R231)/(Q231+R231))*100)</f>
        <v>5.8360898022380319</v>
      </c>
      <c r="U231" s="51">
        <f>STDEV(D231:L231)</f>
        <v>33.679493307418447</v>
      </c>
      <c r="V231" s="64" t="str">
        <f>IF(L232="","",(IF(T231&lt;12,IF(S231&gt;2200,IF(S231&lt;3280,"Pass","Fail"),"Fail"),"Fail")))</f>
        <v>Pass</v>
      </c>
      <c r="W231" s="63">
        <v>1400</v>
      </c>
      <c r="X231" s="254" t="s">
        <v>201</v>
      </c>
      <c r="Z231" s="37">
        <v>2000</v>
      </c>
      <c r="AA231" s="37">
        <v>3000</v>
      </c>
      <c r="AB231" s="37">
        <v>2200</v>
      </c>
      <c r="AC231" s="37">
        <v>3280</v>
      </c>
      <c r="AD231" s="39">
        <v>12</v>
      </c>
    </row>
    <row r="232" spans="1:30" ht="16.5" customHeight="1" x14ac:dyDescent="0.35">
      <c r="A232" s="206"/>
      <c r="B232" s="48"/>
      <c r="C232" s="51" t="s">
        <v>157</v>
      </c>
      <c r="D232" s="8">
        <v>1224.26</v>
      </c>
      <c r="E232" s="8">
        <v>1248.9000000000001</v>
      </c>
      <c r="F232" s="8">
        <v>1267.22</v>
      </c>
      <c r="G232" s="8">
        <v>1251.3599999999999</v>
      </c>
      <c r="H232" s="8">
        <v>1287.3</v>
      </c>
      <c r="I232" s="8">
        <v>1215.54</v>
      </c>
      <c r="J232" s="8">
        <v>1254.55</v>
      </c>
      <c r="K232" s="8">
        <v>1268.92</v>
      </c>
      <c r="L232" s="8">
        <v>1267.1600000000001</v>
      </c>
      <c r="M232" s="50"/>
      <c r="N232" s="50"/>
      <c r="O232" s="50"/>
      <c r="P232" s="50"/>
      <c r="Q232" s="48"/>
      <c r="R232" s="48"/>
      <c r="S232" s="48"/>
      <c r="T232" s="48"/>
      <c r="U232" s="48"/>
      <c r="V232" s="47"/>
      <c r="W232" s="48"/>
      <c r="X232" s="77"/>
    </row>
    <row r="233" spans="1:30" ht="24.8" customHeight="1" thickBot="1" x14ac:dyDescent="0.4">
      <c r="A233" s="206"/>
      <c r="B233" s="61"/>
      <c r="C233" s="51" t="s">
        <v>156</v>
      </c>
      <c r="D233" s="24">
        <f t="shared" ref="D233:L233" si="72">IF(((D231="")*AND(D232="")),"",(D231-D232)*4)</f>
        <v>2154.3199999999997</v>
      </c>
      <c r="E233" s="24">
        <f t="shared" si="72"/>
        <v>2291.2799999999997</v>
      </c>
      <c r="F233" s="24">
        <f t="shared" si="72"/>
        <v>2304.16</v>
      </c>
      <c r="G233" s="24">
        <f t="shared" si="72"/>
        <v>2316.6800000000003</v>
      </c>
      <c r="H233" s="24">
        <f t="shared" si="72"/>
        <v>2232</v>
      </c>
      <c r="I233" s="24">
        <f t="shared" si="72"/>
        <v>2251.4800000000005</v>
      </c>
      <c r="J233" s="24">
        <f t="shared" si="72"/>
        <v>2406.12</v>
      </c>
      <c r="K233" s="24">
        <f t="shared" si="72"/>
        <v>2342.5599999999995</v>
      </c>
      <c r="L233" s="24">
        <f t="shared" si="72"/>
        <v>2140.7599999999993</v>
      </c>
      <c r="M233" s="24"/>
      <c r="N233" s="24"/>
      <c r="O233" s="24"/>
      <c r="P233" s="24" t="str">
        <f>IF(((P231="")*AND(P232="")),"",(P231-P232)*4)</f>
        <v/>
      </c>
      <c r="Q233" s="61"/>
      <c r="R233" s="61"/>
      <c r="S233" s="61"/>
      <c r="T233" s="61"/>
      <c r="U233" s="61"/>
      <c r="V233" s="60"/>
      <c r="W233" s="61"/>
      <c r="X233" s="77"/>
    </row>
    <row r="234" spans="1:30" x14ac:dyDescent="0.25">
      <c r="A234" s="208">
        <v>42772</v>
      </c>
      <c r="B234" s="57" t="s">
        <v>159</v>
      </c>
      <c r="C234" s="51" t="s">
        <v>158</v>
      </c>
      <c r="D234" s="8">
        <v>5275.56</v>
      </c>
      <c r="E234" s="8">
        <v>5276.11</v>
      </c>
      <c r="F234" s="8">
        <v>5288.3</v>
      </c>
      <c r="G234" s="8">
        <v>5239.43</v>
      </c>
      <c r="H234" s="8">
        <v>5283.96</v>
      </c>
      <c r="I234" s="8">
        <v>5211.22</v>
      </c>
      <c r="J234" s="8">
        <v>5245.73</v>
      </c>
      <c r="K234" s="8">
        <v>5275.15</v>
      </c>
      <c r="L234" s="8">
        <v>5346.91</v>
      </c>
      <c r="M234" s="50"/>
      <c r="N234" s="50"/>
      <c r="O234" s="50"/>
      <c r="P234" s="50"/>
      <c r="Q234" s="57">
        <f>IF((L235=""),"",MAX(D236:L236))</f>
        <v>3460.84</v>
      </c>
      <c r="R234" s="57">
        <f>IF(L235="","",MIN(D236:L236))</f>
        <v>3385.2799999999988</v>
      </c>
      <c r="S234" s="58">
        <f>IF((L236=""),"",AVERAGE(D236:L236))</f>
        <v>3405.4844444444443</v>
      </c>
      <c r="T234" s="57">
        <f>IF((L235=""),"",((Q234-R234)/(Q234+R234))*100)</f>
        <v>1.1036908497075908</v>
      </c>
      <c r="U234" s="56">
        <f>STDEV(D234:L234)</f>
        <v>37.916573259958135</v>
      </c>
      <c r="V234" s="55" t="str">
        <f>IF(L235="","",(IF(T234&lt;7,IF(S234&gt;2800,IF(S234&lt;3800,"Pass","Fail"),"Fail"),"Fail")))</f>
        <v>Pass</v>
      </c>
      <c r="W234" s="57">
        <v>1400</v>
      </c>
      <c r="X234" s="254" t="s">
        <v>201</v>
      </c>
      <c r="Z234" s="53">
        <v>2800</v>
      </c>
      <c r="AA234" s="53">
        <v>3800</v>
      </c>
      <c r="AB234" s="53">
        <v>3100</v>
      </c>
      <c r="AC234" s="53">
        <v>3760</v>
      </c>
      <c r="AD234" s="52">
        <v>6</v>
      </c>
    </row>
    <row r="235" spans="1:30" ht="16.5" customHeight="1" x14ac:dyDescent="0.35">
      <c r="A235" s="206"/>
      <c r="B235" s="48"/>
      <c r="C235" s="51" t="s">
        <v>157</v>
      </c>
      <c r="D235" s="8">
        <v>3569.86</v>
      </c>
      <c r="E235" s="8">
        <v>3583.03</v>
      </c>
      <c r="F235" s="8">
        <v>3592.66</v>
      </c>
      <c r="G235" s="8">
        <v>3544.96</v>
      </c>
      <c r="H235" s="8">
        <v>3576.74</v>
      </c>
      <c r="I235" s="8">
        <v>3480.8</v>
      </c>
      <c r="J235" s="8">
        <v>3553.09</v>
      </c>
      <c r="K235" s="8">
        <v>3577.1</v>
      </c>
      <c r="L235" s="8">
        <v>3639.45</v>
      </c>
      <c r="M235" s="50"/>
      <c r="N235" s="50"/>
      <c r="O235" s="50"/>
      <c r="P235" s="50"/>
      <c r="Q235" s="48"/>
      <c r="R235" s="48"/>
      <c r="S235" s="49"/>
      <c r="T235" s="48"/>
      <c r="U235" s="48"/>
      <c r="V235" s="47"/>
      <c r="W235" s="48"/>
      <c r="X235" s="77"/>
    </row>
    <row r="236" spans="1:30" ht="24.8" customHeight="1" thickBot="1" x14ac:dyDescent="0.4">
      <c r="A236" s="206"/>
      <c r="B236" s="42"/>
      <c r="C236" s="45" t="s">
        <v>156</v>
      </c>
      <c r="D236" s="44">
        <f t="shared" ref="D236:L236" si="73">IF(((D234="")*AND(D235="")),"",(D234-D235)*2)</f>
        <v>3411.4000000000005</v>
      </c>
      <c r="E236" s="44">
        <f t="shared" si="73"/>
        <v>3386.1599999999989</v>
      </c>
      <c r="F236" s="44">
        <f t="shared" si="73"/>
        <v>3391.2800000000007</v>
      </c>
      <c r="G236" s="44">
        <f t="shared" si="73"/>
        <v>3388.9400000000005</v>
      </c>
      <c r="H236" s="44">
        <f t="shared" si="73"/>
        <v>3414.4400000000005</v>
      </c>
      <c r="I236" s="44">
        <f t="shared" si="73"/>
        <v>3460.84</v>
      </c>
      <c r="J236" s="44">
        <f t="shared" si="73"/>
        <v>3385.2799999999988</v>
      </c>
      <c r="K236" s="44">
        <f t="shared" si="73"/>
        <v>3396.0999999999995</v>
      </c>
      <c r="L236" s="44">
        <f t="shared" si="73"/>
        <v>3414.92</v>
      </c>
      <c r="M236" s="44"/>
      <c r="N236" s="44"/>
      <c r="O236" s="44"/>
      <c r="P236" s="44"/>
      <c r="Q236" s="42"/>
      <c r="R236" s="42"/>
      <c r="S236" s="43"/>
      <c r="T236" s="42"/>
      <c r="U236" s="42"/>
      <c r="V236" s="41"/>
      <c r="W236" s="42"/>
      <c r="X236" s="76"/>
    </row>
    <row r="237" spans="1:30" x14ac:dyDescent="0.25">
      <c r="A237" s="208">
        <v>42783</v>
      </c>
      <c r="B237" s="63" t="s">
        <v>160</v>
      </c>
      <c r="C237" s="56" t="s">
        <v>158</v>
      </c>
      <c r="D237" s="8">
        <v>1912.19</v>
      </c>
      <c r="E237" s="8">
        <v>1906.61</v>
      </c>
      <c r="F237" s="8">
        <v>1908.71</v>
      </c>
      <c r="G237" s="8">
        <v>1910.62</v>
      </c>
      <c r="H237" s="8">
        <v>1917.78</v>
      </c>
      <c r="I237" s="8">
        <v>1914.4</v>
      </c>
      <c r="J237" s="8">
        <v>1908.91</v>
      </c>
      <c r="K237" s="8">
        <v>1908.15</v>
      </c>
      <c r="L237" s="8">
        <v>1918.34</v>
      </c>
      <c r="M237" s="62"/>
      <c r="N237" s="62"/>
      <c r="O237" s="62"/>
      <c r="P237" s="62"/>
      <c r="Q237" s="63">
        <f>IF((L238=""),"",MAX(D239:L239))</f>
        <v>2581.2800000000007</v>
      </c>
      <c r="R237" s="63">
        <f>IF(L238="","",MIN(D239:L239))</f>
        <v>2395.3599999999997</v>
      </c>
      <c r="S237" s="63">
        <f>IF((L239=""),"",AVERAGE(D239:L239))</f>
        <v>2513.9333333333334</v>
      </c>
      <c r="T237" s="63">
        <f>IF((L238=""),"",((Q237-R237)/(Q237+R237))*100)</f>
        <v>3.7358539094650403</v>
      </c>
      <c r="U237" s="51">
        <f>STDEV(D237:L237)</f>
        <v>4.2568859249194899</v>
      </c>
      <c r="V237" s="64" t="str">
        <f>IF(L238="","",(IF(T237&lt;12,IF(S237&gt;2200,IF(S237&lt;3280,"Pass","Fail"),"Fail"),"Fail")))</f>
        <v>Pass</v>
      </c>
      <c r="W237" s="63">
        <v>1400</v>
      </c>
      <c r="X237" s="254" t="s">
        <v>200</v>
      </c>
      <c r="Z237" s="37">
        <v>2000</v>
      </c>
      <c r="AA237" s="37">
        <v>3000</v>
      </c>
      <c r="AB237" s="37">
        <v>2200</v>
      </c>
      <c r="AC237" s="37">
        <v>3280</v>
      </c>
      <c r="AD237" s="39">
        <v>12</v>
      </c>
    </row>
    <row r="238" spans="1:30" ht="16.5" customHeight="1" x14ac:dyDescent="0.35">
      <c r="A238" s="206"/>
      <c r="B238" s="48"/>
      <c r="C238" s="51" t="s">
        <v>157</v>
      </c>
      <c r="D238" s="8">
        <v>1266.8699999999999</v>
      </c>
      <c r="E238" s="8">
        <v>1265.1600000000001</v>
      </c>
      <c r="F238" s="8">
        <v>1285.22</v>
      </c>
      <c r="G238" s="8">
        <v>1284.3900000000001</v>
      </c>
      <c r="H238" s="8">
        <v>1318.94</v>
      </c>
      <c r="I238" s="8">
        <v>1271.7</v>
      </c>
      <c r="J238" s="8">
        <v>1263.9000000000001</v>
      </c>
      <c r="K238" s="8">
        <v>1282.98</v>
      </c>
      <c r="L238" s="8">
        <v>1310.2</v>
      </c>
      <c r="M238" s="50"/>
      <c r="N238" s="50"/>
      <c r="O238" s="50"/>
      <c r="P238" s="50"/>
      <c r="Q238" s="48"/>
      <c r="R238" s="48"/>
      <c r="S238" s="48"/>
      <c r="T238" s="48"/>
      <c r="U238" s="48"/>
      <c r="V238" s="47"/>
      <c r="W238" s="48"/>
      <c r="X238" s="77"/>
    </row>
    <row r="239" spans="1:30" ht="24.8" customHeight="1" thickBot="1" x14ac:dyDescent="0.4">
      <c r="A239" s="206"/>
      <c r="B239" s="61"/>
      <c r="C239" s="51" t="s">
        <v>156</v>
      </c>
      <c r="D239" s="24">
        <f t="shared" ref="D239:L239" si="74">IF(((D237="")*AND(D238="")),"",(D237-D238)*4)</f>
        <v>2581.2800000000007</v>
      </c>
      <c r="E239" s="24">
        <f t="shared" si="74"/>
        <v>2565.7999999999993</v>
      </c>
      <c r="F239" s="24">
        <f t="shared" si="74"/>
        <v>2493.96</v>
      </c>
      <c r="G239" s="24">
        <f t="shared" si="74"/>
        <v>2504.9199999999992</v>
      </c>
      <c r="H239" s="24">
        <f t="shared" si="74"/>
        <v>2395.3599999999997</v>
      </c>
      <c r="I239" s="24">
        <f t="shared" si="74"/>
        <v>2570.8000000000002</v>
      </c>
      <c r="J239" s="24">
        <f t="shared" si="74"/>
        <v>2580.04</v>
      </c>
      <c r="K239" s="24">
        <f t="shared" si="74"/>
        <v>2500.6800000000003</v>
      </c>
      <c r="L239" s="24">
        <f t="shared" si="74"/>
        <v>2432.5599999999995</v>
      </c>
      <c r="M239" s="24"/>
      <c r="N239" s="24"/>
      <c r="O239" s="24"/>
      <c r="P239" s="24" t="str">
        <f>IF(((P237="")*AND(P238="")),"",(P237-P238)*4)</f>
        <v/>
      </c>
      <c r="Q239" s="61"/>
      <c r="R239" s="61"/>
      <c r="S239" s="61"/>
      <c r="T239" s="61"/>
      <c r="U239" s="61"/>
      <c r="V239" s="60"/>
      <c r="W239" s="61"/>
      <c r="X239" s="77"/>
    </row>
    <row r="240" spans="1:30" x14ac:dyDescent="0.25">
      <c r="A240" s="208">
        <v>42783</v>
      </c>
      <c r="B240" s="57" t="s">
        <v>159</v>
      </c>
      <c r="C240" s="51" t="s">
        <v>158</v>
      </c>
      <c r="D240" s="8">
        <v>6844.31</v>
      </c>
      <c r="E240" s="8">
        <v>6817.73</v>
      </c>
      <c r="F240" s="8">
        <v>6833.51</v>
      </c>
      <c r="G240" s="8">
        <v>6789.25</v>
      </c>
      <c r="H240" s="8">
        <v>6868.68</v>
      </c>
      <c r="I240" s="8">
        <v>6832.49</v>
      </c>
      <c r="J240" s="8">
        <v>6794.01</v>
      </c>
      <c r="K240" s="8">
        <v>6822.69</v>
      </c>
      <c r="L240" s="8">
        <v>6915.46</v>
      </c>
      <c r="M240" s="50"/>
      <c r="N240" s="50"/>
      <c r="O240" s="50"/>
      <c r="P240" s="50"/>
      <c r="Q240" s="57">
        <f>IF((L241=""),"",MAX(D242:L242))</f>
        <v>3488.5399999999991</v>
      </c>
      <c r="R240" s="57">
        <f>IF(L241="","",MIN(D242:L242))</f>
        <v>3415.3600000000006</v>
      </c>
      <c r="S240" s="58">
        <f>IF((L242=""),"",AVERAGE(D242:L242))</f>
        <v>3437.3711111111115</v>
      </c>
      <c r="T240" s="57">
        <f>IF((L241=""),"",((Q240-R240)/(Q240+R240))*100)</f>
        <v>1.0599805906806077</v>
      </c>
      <c r="U240" s="56">
        <f>STDEV(D240:L240)</f>
        <v>38.609087912620382</v>
      </c>
      <c r="V240" s="55" t="str">
        <f>IF(L241="","",(IF(T240&lt;7,IF(S240&gt;2800,IF(S240&lt;3800,"Pass","Fail"),"Fail"),"Fail")))</f>
        <v>Pass</v>
      </c>
      <c r="W240" s="57">
        <v>1400</v>
      </c>
      <c r="X240" s="254" t="s">
        <v>200</v>
      </c>
      <c r="Z240" s="53">
        <v>2800</v>
      </c>
      <c r="AA240" s="53">
        <v>3800</v>
      </c>
      <c r="AB240" s="53">
        <v>3100</v>
      </c>
      <c r="AC240" s="53">
        <v>3760</v>
      </c>
      <c r="AD240" s="52">
        <v>6</v>
      </c>
    </row>
    <row r="241" spans="1:30" ht="16.5" customHeight="1" x14ac:dyDescent="0.35">
      <c r="A241" s="206"/>
      <c r="B241" s="48"/>
      <c r="C241" s="51" t="s">
        <v>157</v>
      </c>
      <c r="D241" s="8">
        <v>5116.5</v>
      </c>
      <c r="E241" s="8">
        <v>5107.75</v>
      </c>
      <c r="F241" s="8">
        <v>5125.83</v>
      </c>
      <c r="G241" s="8">
        <v>5080.84</v>
      </c>
      <c r="H241" s="8">
        <v>5151.58</v>
      </c>
      <c r="I241" s="8">
        <v>5088.22</v>
      </c>
      <c r="J241" s="8">
        <v>5084.4799999999996</v>
      </c>
      <c r="K241" s="8">
        <v>5110.9399999999996</v>
      </c>
      <c r="L241" s="8">
        <v>5183.82</v>
      </c>
      <c r="M241" s="50"/>
      <c r="N241" s="50"/>
      <c r="O241" s="50"/>
      <c r="P241" s="50"/>
      <c r="Q241" s="48"/>
      <c r="R241" s="48"/>
      <c r="S241" s="49"/>
      <c r="T241" s="48"/>
      <c r="U241" s="48"/>
      <c r="V241" s="47"/>
      <c r="W241" s="48"/>
      <c r="X241" s="77"/>
    </row>
    <row r="242" spans="1:30" ht="24.8" customHeight="1" thickBot="1" x14ac:dyDescent="0.4">
      <c r="A242" s="206"/>
      <c r="B242" s="42"/>
      <c r="C242" s="45" t="s">
        <v>156</v>
      </c>
      <c r="D242" s="44">
        <f t="shared" ref="D242:L242" si="75">IF(((D240="")*AND(D241="")),"",(D240-D241)*2)</f>
        <v>3455.6200000000008</v>
      </c>
      <c r="E242" s="44">
        <f t="shared" si="75"/>
        <v>3419.9599999999991</v>
      </c>
      <c r="F242" s="44">
        <f t="shared" si="75"/>
        <v>3415.3600000000006</v>
      </c>
      <c r="G242" s="44">
        <f t="shared" si="75"/>
        <v>3416.8199999999997</v>
      </c>
      <c r="H242" s="44">
        <f t="shared" si="75"/>
        <v>3434.2000000000007</v>
      </c>
      <c r="I242" s="44">
        <f t="shared" si="75"/>
        <v>3488.5399999999991</v>
      </c>
      <c r="J242" s="44">
        <f t="shared" si="75"/>
        <v>3419.0600000000013</v>
      </c>
      <c r="K242" s="44">
        <f t="shared" si="75"/>
        <v>3423.5</v>
      </c>
      <c r="L242" s="44">
        <f t="shared" si="75"/>
        <v>3463.2800000000007</v>
      </c>
      <c r="M242" s="44"/>
      <c r="N242" s="44"/>
      <c r="O242" s="44"/>
      <c r="P242" s="44"/>
      <c r="Q242" s="42"/>
      <c r="R242" s="42"/>
      <c r="S242" s="43"/>
      <c r="T242" s="42"/>
      <c r="U242" s="42"/>
      <c r="V242" s="41"/>
      <c r="W242" s="42"/>
      <c r="X242" s="76"/>
    </row>
    <row r="243" spans="1:30" x14ac:dyDescent="0.25">
      <c r="A243" s="208">
        <v>42787</v>
      </c>
      <c r="B243" s="63" t="s">
        <v>160</v>
      </c>
      <c r="C243" s="56" t="s">
        <v>158</v>
      </c>
      <c r="D243" s="8">
        <v>1921.06</v>
      </c>
      <c r="E243" s="8">
        <v>1915.3</v>
      </c>
      <c r="F243" s="8">
        <v>1919.49</v>
      </c>
      <c r="G243" s="8">
        <v>1911.45</v>
      </c>
      <c r="H243" s="8">
        <v>1922.89</v>
      </c>
      <c r="I243" s="8">
        <v>1917.9</v>
      </c>
      <c r="J243" s="8">
        <v>1917.94</v>
      </c>
      <c r="K243" s="8">
        <v>1916.89</v>
      </c>
      <c r="L243" s="8">
        <v>1921.82</v>
      </c>
      <c r="M243" s="62"/>
      <c r="N243" s="62"/>
      <c r="O243" s="62"/>
      <c r="P243" s="62"/>
      <c r="Q243" s="63">
        <f>IF((L244=""),"",MAX(D245:L245))</f>
        <v>2702.4399999999996</v>
      </c>
      <c r="R243" s="63">
        <f>IF(L244="","",MIN(D245:L245))</f>
        <v>2443.04</v>
      </c>
      <c r="S243" s="63">
        <f>IF((L245=""),"",AVERAGE(D245:L245))</f>
        <v>2564.1555555555556</v>
      </c>
      <c r="T243" s="63">
        <f>IF((L244=""),"",((Q243-R243)/(Q243+R243))*100)</f>
        <v>5.0413178168023132</v>
      </c>
      <c r="U243" s="51">
        <f>STDEV(D243:L243)</f>
        <v>3.5477496780040312</v>
      </c>
      <c r="V243" s="64" t="str">
        <f>IF(L244="","",(IF(T243&lt;12,IF(S243&gt;2200,IF(S243&lt;3280,"Pass","Fail"),"Fail"),"Fail")))</f>
        <v>Pass</v>
      </c>
      <c r="W243" s="63">
        <v>1400</v>
      </c>
      <c r="Z243" s="37">
        <v>2000</v>
      </c>
      <c r="AA243" s="37">
        <v>3000</v>
      </c>
      <c r="AB243" s="37">
        <v>2200</v>
      </c>
      <c r="AC243" s="37">
        <v>3280</v>
      </c>
      <c r="AD243" s="39">
        <v>12</v>
      </c>
    </row>
    <row r="244" spans="1:30" ht="16.5" customHeight="1" x14ac:dyDescent="0.35">
      <c r="A244" s="206"/>
      <c r="B244" s="48"/>
      <c r="C244" s="51" t="s">
        <v>157</v>
      </c>
      <c r="D244" s="8">
        <v>1272.0999999999999</v>
      </c>
      <c r="E244" s="8">
        <v>1267.72</v>
      </c>
      <c r="F244" s="8">
        <v>1243.8800000000001</v>
      </c>
      <c r="G244" s="8">
        <v>1282.0999999999999</v>
      </c>
      <c r="H244" s="8">
        <v>1312.13</v>
      </c>
      <c r="I244" s="8">
        <v>1269.78</v>
      </c>
      <c r="J244" s="8">
        <v>1266.49</v>
      </c>
      <c r="K244" s="8">
        <v>1283.18</v>
      </c>
      <c r="L244" s="8">
        <v>1298.01</v>
      </c>
      <c r="M244" s="50"/>
      <c r="N244" s="50"/>
      <c r="O244" s="50"/>
      <c r="P244" s="50"/>
      <c r="Q244" s="48"/>
      <c r="R244" s="48"/>
      <c r="S244" s="48"/>
      <c r="T244" s="48"/>
      <c r="U244" s="48"/>
      <c r="V244" s="47"/>
      <c r="W244" s="48"/>
      <c r="X244" s="77"/>
    </row>
    <row r="245" spans="1:30" ht="24.8" customHeight="1" thickBot="1" x14ac:dyDescent="0.4">
      <c r="A245" s="206"/>
      <c r="B245" s="61"/>
      <c r="C245" s="51" t="s">
        <v>156</v>
      </c>
      <c r="D245" s="24">
        <f t="shared" ref="D245:L245" si="76">IF(((D243="")*AND(D244="")),"",(D243-D244)*4)</f>
        <v>2595.84</v>
      </c>
      <c r="E245" s="24">
        <f t="shared" si="76"/>
        <v>2590.3199999999997</v>
      </c>
      <c r="F245" s="24">
        <f t="shared" si="76"/>
        <v>2702.4399999999996</v>
      </c>
      <c r="G245" s="24">
        <f t="shared" si="76"/>
        <v>2517.4000000000005</v>
      </c>
      <c r="H245" s="24">
        <f t="shared" si="76"/>
        <v>2443.04</v>
      </c>
      <c r="I245" s="24">
        <f t="shared" si="76"/>
        <v>2592.4800000000005</v>
      </c>
      <c r="J245" s="24">
        <f t="shared" si="76"/>
        <v>2605.8000000000002</v>
      </c>
      <c r="K245" s="24">
        <f t="shared" si="76"/>
        <v>2534.84</v>
      </c>
      <c r="L245" s="24">
        <f t="shared" si="76"/>
        <v>2495.2399999999998</v>
      </c>
      <c r="M245" s="24"/>
      <c r="N245" s="24"/>
      <c r="O245" s="24"/>
      <c r="P245" s="24" t="str">
        <f>IF(((P243="")*AND(P244="")),"",(P243-P244)*4)</f>
        <v/>
      </c>
      <c r="Q245" s="61"/>
      <c r="R245" s="61"/>
      <c r="S245" s="61"/>
      <c r="T245" s="61"/>
      <c r="U245" s="61"/>
      <c r="V245" s="60"/>
      <c r="W245" s="61"/>
      <c r="X245" s="77"/>
    </row>
    <row r="246" spans="1:30" x14ac:dyDescent="0.25">
      <c r="A246" s="208">
        <v>42787</v>
      </c>
      <c r="B246" s="57" t="s">
        <v>159</v>
      </c>
      <c r="C246" s="51" t="s">
        <v>158</v>
      </c>
      <c r="D246" s="8">
        <v>5140.83</v>
      </c>
      <c r="E246" s="8">
        <v>5155.1499999999996</v>
      </c>
      <c r="F246" s="8">
        <v>5168.92</v>
      </c>
      <c r="G246" s="8">
        <v>5103.9399999999996</v>
      </c>
      <c r="H246" s="8">
        <v>5198.1499999999996</v>
      </c>
      <c r="I246" s="8">
        <v>5109.3500000000004</v>
      </c>
      <c r="J246" s="8">
        <v>5111.92</v>
      </c>
      <c r="K246" s="8">
        <v>5152.8</v>
      </c>
      <c r="L246" s="8">
        <v>5264.01</v>
      </c>
      <c r="M246" s="50"/>
      <c r="N246" s="50"/>
      <c r="O246" s="50"/>
      <c r="P246" s="50"/>
      <c r="Q246" s="57">
        <f>IF((L247=""),"",MAX(D248:L248))</f>
        <v>3504.0800000000008</v>
      </c>
      <c r="R246" s="57">
        <f>IF(L247="","",MIN(D248:L248))</f>
        <v>3420.7999999999993</v>
      </c>
      <c r="S246" s="58">
        <f>IF((L248=""),"",AVERAGE(D248:L248))</f>
        <v>3448.0000000000009</v>
      </c>
      <c r="T246" s="57">
        <f>IF((L247=""),"",((Q246-R246)/(Q246+R246))*100)</f>
        <v>1.2026201176049487</v>
      </c>
      <c r="U246" s="56">
        <f>STDEV(D246:L246)</f>
        <v>50.843123538106049</v>
      </c>
      <c r="V246" s="55" t="str">
        <f>IF(L247="","",(IF(T246&lt;7,IF(S246&gt;2800,IF(S246&lt;3800,"Pass","Fail"),"Fail"),"Fail")))</f>
        <v>Pass</v>
      </c>
      <c r="W246" s="57">
        <v>1400</v>
      </c>
      <c r="X246" s="254" t="s">
        <v>199</v>
      </c>
      <c r="Z246" s="53">
        <v>2800</v>
      </c>
      <c r="AA246" s="53">
        <v>3800</v>
      </c>
      <c r="AB246" s="53">
        <v>3100</v>
      </c>
      <c r="AC246" s="53">
        <v>3760</v>
      </c>
      <c r="AD246" s="52">
        <v>6</v>
      </c>
    </row>
    <row r="247" spans="1:30" ht="16.5" customHeight="1" x14ac:dyDescent="0.35">
      <c r="A247" s="206"/>
      <c r="B247" s="48"/>
      <c r="C247" s="51" t="s">
        <v>157</v>
      </c>
      <c r="D247" s="8">
        <v>3416.63</v>
      </c>
      <c r="E247" s="8">
        <v>3431.61</v>
      </c>
      <c r="F247" s="8">
        <v>3445.78</v>
      </c>
      <c r="G247" s="8">
        <v>3393.54</v>
      </c>
      <c r="H247" s="8">
        <v>3473.54</v>
      </c>
      <c r="I247" s="8">
        <v>3390.54</v>
      </c>
      <c r="J247" s="8">
        <v>3397.54</v>
      </c>
      <c r="K247" s="8">
        <v>3427.92</v>
      </c>
      <c r="L247" s="8">
        <v>3511.97</v>
      </c>
      <c r="M247" s="50"/>
      <c r="N247" s="50"/>
      <c r="O247" s="50"/>
      <c r="P247" s="50"/>
      <c r="Q247" s="48"/>
      <c r="R247" s="48"/>
      <c r="S247" s="49"/>
      <c r="T247" s="48"/>
      <c r="U247" s="48"/>
      <c r="V247" s="47"/>
      <c r="W247" s="48"/>
      <c r="X247" s="77"/>
    </row>
    <row r="248" spans="1:30" ht="24.8" customHeight="1" thickBot="1" x14ac:dyDescent="0.4">
      <c r="A248" s="206"/>
      <c r="B248" s="42"/>
      <c r="C248" s="45" t="s">
        <v>156</v>
      </c>
      <c r="D248" s="44">
        <f t="shared" ref="D248:L248" si="77">IF(((D246="")*AND(D247="")),"",(D246-D247)*2)</f>
        <v>3448.3999999999996</v>
      </c>
      <c r="E248" s="44">
        <f t="shared" si="77"/>
        <v>3447.079999999999</v>
      </c>
      <c r="F248" s="44">
        <f t="shared" si="77"/>
        <v>3446.2799999999997</v>
      </c>
      <c r="G248" s="44">
        <f t="shared" si="77"/>
        <v>3420.7999999999993</v>
      </c>
      <c r="H248" s="44">
        <f t="shared" si="77"/>
        <v>3449.2199999999993</v>
      </c>
      <c r="I248" s="44">
        <f t="shared" si="77"/>
        <v>3437.6200000000008</v>
      </c>
      <c r="J248" s="44">
        <f t="shared" si="77"/>
        <v>3428.76</v>
      </c>
      <c r="K248" s="44">
        <f t="shared" si="77"/>
        <v>3449.76</v>
      </c>
      <c r="L248" s="44">
        <f t="shared" si="77"/>
        <v>3504.0800000000008</v>
      </c>
      <c r="M248" s="44"/>
      <c r="N248" s="44"/>
      <c r="O248" s="44"/>
      <c r="P248" s="44"/>
      <c r="Q248" s="42"/>
      <c r="R248" s="42"/>
      <c r="S248" s="43"/>
      <c r="T248" s="42"/>
      <c r="U248" s="42"/>
      <c r="V248" s="41"/>
      <c r="W248" s="42"/>
      <c r="X248" s="76"/>
    </row>
    <row r="249" spans="1:30" x14ac:dyDescent="0.25">
      <c r="A249" s="208">
        <v>42800</v>
      </c>
      <c r="B249" s="63" t="s">
        <v>160</v>
      </c>
      <c r="C249" s="56" t="s">
        <v>158</v>
      </c>
      <c r="D249" s="8">
        <v>1929.38</v>
      </c>
      <c r="E249" s="8">
        <v>1924.58</v>
      </c>
      <c r="F249" s="8">
        <v>1921.23</v>
      </c>
      <c r="G249" s="8">
        <v>1922.54</v>
      </c>
      <c r="H249" s="8">
        <v>1927.54</v>
      </c>
      <c r="I249" s="8">
        <v>1928.64</v>
      </c>
      <c r="J249" s="8">
        <v>1920.84</v>
      </c>
      <c r="K249" s="8">
        <v>1921.21</v>
      </c>
      <c r="L249" s="8">
        <v>1929.82</v>
      </c>
      <c r="M249" s="62"/>
      <c r="N249" s="62"/>
      <c r="O249" s="62"/>
      <c r="P249" s="62"/>
      <c r="Q249" s="63">
        <f>IF((L250=""),"",MAX(D251:L251))</f>
        <v>2647.84</v>
      </c>
      <c r="R249" s="63">
        <f>IF(L250="","",MIN(D251:L251))</f>
        <v>2466.88</v>
      </c>
      <c r="S249" s="63">
        <f>IF((L251=""),"",AVERAGE(D251:L251))</f>
        <v>2561.9955555555553</v>
      </c>
      <c r="T249" s="63">
        <f>IF((L250=""),"",((Q249-R249)/(Q249+R249))*100)</f>
        <v>3.5380235868239129</v>
      </c>
      <c r="U249" s="51">
        <f>STDEV(D249:L249)</f>
        <v>3.7775818985165861</v>
      </c>
      <c r="V249" s="64" t="str">
        <f>IF(L250="","",(IF(T249&lt;12,IF(S249&gt;2200,IF(S249&lt;3280,"Pass","Fail"),"Fail"),"Fail")))</f>
        <v>Pass</v>
      </c>
      <c r="W249" s="63">
        <v>1335</v>
      </c>
      <c r="X249" s="254" t="s">
        <v>198</v>
      </c>
      <c r="Z249" s="37">
        <v>2000</v>
      </c>
      <c r="AA249" s="37">
        <v>3000</v>
      </c>
      <c r="AB249" s="37">
        <v>2200</v>
      </c>
      <c r="AC249" s="37">
        <v>3280</v>
      </c>
      <c r="AD249" s="39">
        <v>12</v>
      </c>
    </row>
    <row r="250" spans="1:30" ht="16.5" customHeight="1" x14ac:dyDescent="0.35">
      <c r="A250" s="206"/>
      <c r="B250" s="48"/>
      <c r="C250" s="51" t="s">
        <v>157</v>
      </c>
      <c r="D250" s="8">
        <v>1267.42</v>
      </c>
      <c r="E250" s="8">
        <v>1271.6400000000001</v>
      </c>
      <c r="F250" s="8">
        <v>1292.29</v>
      </c>
      <c r="G250" s="8">
        <v>1290.33</v>
      </c>
      <c r="H250" s="8">
        <v>1310.82</v>
      </c>
      <c r="I250" s="8">
        <v>1270.97</v>
      </c>
      <c r="J250" s="8">
        <v>1270.77</v>
      </c>
      <c r="K250" s="8">
        <v>1286.6300000000001</v>
      </c>
      <c r="L250" s="8">
        <v>1300.42</v>
      </c>
      <c r="M250" s="50"/>
      <c r="N250" s="50"/>
      <c r="O250" s="50"/>
      <c r="P250" s="50"/>
      <c r="Q250" s="48"/>
      <c r="R250" s="48"/>
      <c r="S250" s="48"/>
      <c r="T250" s="48"/>
      <c r="U250" s="48"/>
      <c r="V250" s="47"/>
      <c r="W250" s="48"/>
      <c r="X250" s="77"/>
      <c r="Z250" s="37">
        <v>2000</v>
      </c>
      <c r="AA250" s="37">
        <v>3000</v>
      </c>
      <c r="AB250" s="37">
        <v>2500</v>
      </c>
      <c r="AC250" s="37">
        <v>2950</v>
      </c>
      <c r="AD250" s="39">
        <v>9.6</v>
      </c>
    </row>
    <row r="251" spans="1:30" ht="24.8" customHeight="1" thickBot="1" x14ac:dyDescent="0.4">
      <c r="A251" s="206"/>
      <c r="B251" s="61"/>
      <c r="C251" s="51" t="s">
        <v>156</v>
      </c>
      <c r="D251" s="24">
        <f t="shared" ref="D251:L251" si="78">IF(((D249="")*AND(D250="")),"",(D249-D250)*4)</f>
        <v>2647.84</v>
      </c>
      <c r="E251" s="24">
        <f t="shared" si="78"/>
        <v>2611.7599999999993</v>
      </c>
      <c r="F251" s="24">
        <f t="shared" si="78"/>
        <v>2515.7600000000002</v>
      </c>
      <c r="G251" s="24">
        <f t="shared" si="78"/>
        <v>2528.84</v>
      </c>
      <c r="H251" s="24">
        <f t="shared" si="78"/>
        <v>2466.88</v>
      </c>
      <c r="I251" s="24">
        <f t="shared" si="78"/>
        <v>2630.6800000000003</v>
      </c>
      <c r="J251" s="24">
        <f t="shared" si="78"/>
        <v>2600.2799999999997</v>
      </c>
      <c r="K251" s="24">
        <f t="shared" si="78"/>
        <v>2538.3199999999997</v>
      </c>
      <c r="L251" s="24">
        <f t="shared" si="78"/>
        <v>2517.5999999999995</v>
      </c>
      <c r="M251" s="24"/>
      <c r="N251" s="24"/>
      <c r="O251" s="24"/>
      <c r="P251" s="24" t="str">
        <f>IF(((P249="")*AND(P250="")),"",(P249-P250)*4)</f>
        <v/>
      </c>
      <c r="Q251" s="61"/>
      <c r="R251" s="61"/>
      <c r="S251" s="61"/>
      <c r="T251" s="61"/>
      <c r="U251" s="61"/>
      <c r="V251" s="60"/>
      <c r="W251" s="61"/>
      <c r="X251" s="77"/>
      <c r="Z251" s="37">
        <v>2000</v>
      </c>
      <c r="AA251" s="37">
        <v>3000</v>
      </c>
      <c r="AB251" s="37">
        <v>2500</v>
      </c>
      <c r="AC251" s="37">
        <v>2950</v>
      </c>
      <c r="AD251" s="39">
        <v>9.6</v>
      </c>
    </row>
    <row r="252" spans="1:30" x14ac:dyDescent="0.25">
      <c r="A252" s="208">
        <v>42800</v>
      </c>
      <c r="B252" s="57" t="s">
        <v>159</v>
      </c>
      <c r="C252" s="51" t="s">
        <v>158</v>
      </c>
      <c r="D252" s="8">
        <v>6861.34</v>
      </c>
      <c r="E252" s="8">
        <v>6875.1</v>
      </c>
      <c r="F252" s="8">
        <v>6919.67</v>
      </c>
      <c r="G252" s="8">
        <v>6875.72</v>
      </c>
      <c r="H252" s="8">
        <v>6903.26</v>
      </c>
      <c r="I252" s="8">
        <v>6879.05</v>
      </c>
      <c r="J252" s="8">
        <v>6885.23</v>
      </c>
      <c r="K252" s="8">
        <v>6909.39</v>
      </c>
      <c r="L252" s="8">
        <v>6944.54</v>
      </c>
      <c r="M252" s="50"/>
      <c r="N252" s="50"/>
      <c r="O252" s="50"/>
      <c r="P252" s="50"/>
      <c r="Q252" s="57">
        <f>IF((L253=""),"",MAX(D254:L254))</f>
        <v>3338.6800000000003</v>
      </c>
      <c r="R252" s="57">
        <f>IF(L253="","",MIN(D254:L254))</f>
        <v>3286.4399999999987</v>
      </c>
      <c r="S252" s="58">
        <f>IF((L254=""),"",AVERAGE(D254:L254))</f>
        <v>3305.7266666666669</v>
      </c>
      <c r="T252" s="57">
        <f>IF((L253=""),"",((Q252-R252)/(Q252+R252))*100)</f>
        <v>0.78851401936873011</v>
      </c>
      <c r="U252" s="56">
        <f>STDEV(D252:L252)</f>
        <v>26.430045613110639</v>
      </c>
      <c r="V252" s="55" t="str">
        <f>IF(L253="","",(IF(T252&lt;7,IF(S252&gt;2800,IF(S252&lt;3800,"Pass","Fail"),"Fail"),"Fail")))</f>
        <v>Pass</v>
      </c>
      <c r="W252" s="57">
        <v>1335</v>
      </c>
      <c r="X252" s="254" t="s">
        <v>198</v>
      </c>
      <c r="Z252" s="53">
        <v>2800</v>
      </c>
      <c r="AA252" s="53">
        <v>3800</v>
      </c>
      <c r="AB252" s="53">
        <v>3100</v>
      </c>
      <c r="AC252" s="53">
        <v>3760</v>
      </c>
      <c r="AD252" s="52">
        <v>6</v>
      </c>
    </row>
    <row r="253" spans="1:30" ht="16.5" customHeight="1" x14ac:dyDescent="0.35">
      <c r="A253" s="206"/>
      <c r="B253" s="48"/>
      <c r="C253" s="51" t="s">
        <v>157</v>
      </c>
      <c r="D253" s="8">
        <v>5197.04</v>
      </c>
      <c r="E253" s="8">
        <v>5226.1899999999996</v>
      </c>
      <c r="F253" s="8">
        <v>5273.48</v>
      </c>
      <c r="G253" s="8">
        <v>5230.93</v>
      </c>
      <c r="H253" s="8">
        <v>5254.57</v>
      </c>
      <c r="I253" s="8">
        <v>5209.71</v>
      </c>
      <c r="J253" s="8">
        <v>5242.01</v>
      </c>
      <c r="K253" s="8">
        <v>5259.14</v>
      </c>
      <c r="L253" s="8">
        <v>5284.46</v>
      </c>
      <c r="M253" s="50"/>
      <c r="N253" s="50"/>
      <c r="O253" s="50"/>
      <c r="P253" s="50"/>
      <c r="Q253" s="48"/>
      <c r="R253" s="48"/>
      <c r="S253" s="49"/>
      <c r="T253" s="48"/>
      <c r="U253" s="48"/>
      <c r="V253" s="47"/>
      <c r="W253" s="48"/>
      <c r="X253" s="77"/>
      <c r="Z253" s="37">
        <v>2000</v>
      </c>
      <c r="AA253" s="37">
        <v>3000</v>
      </c>
      <c r="AB253" s="37">
        <v>2500</v>
      </c>
      <c r="AC253" s="37">
        <v>2950</v>
      </c>
      <c r="AD253" s="39">
        <v>9.6</v>
      </c>
    </row>
    <row r="254" spans="1:30" ht="24.8" customHeight="1" thickBot="1" x14ac:dyDescent="0.4">
      <c r="A254" s="206"/>
      <c r="B254" s="42"/>
      <c r="C254" s="45" t="s">
        <v>156</v>
      </c>
      <c r="D254" s="44">
        <f t="shared" ref="D254:L254" si="79">IF(((D252="")*AND(D253="")),"",(D252-D253)*2)</f>
        <v>3328.6000000000004</v>
      </c>
      <c r="E254" s="44">
        <f t="shared" si="79"/>
        <v>3297.8200000000015</v>
      </c>
      <c r="F254" s="44">
        <f t="shared" si="79"/>
        <v>3292.380000000001</v>
      </c>
      <c r="G254" s="44">
        <f t="shared" si="79"/>
        <v>3289.58</v>
      </c>
      <c r="H254" s="44">
        <f t="shared" si="79"/>
        <v>3297.380000000001</v>
      </c>
      <c r="I254" s="44">
        <f t="shared" si="79"/>
        <v>3338.6800000000003</v>
      </c>
      <c r="J254" s="44">
        <f t="shared" si="79"/>
        <v>3286.4399999999987</v>
      </c>
      <c r="K254" s="44">
        <f t="shared" si="79"/>
        <v>3300.5</v>
      </c>
      <c r="L254" s="44">
        <f t="shared" si="79"/>
        <v>3320.16</v>
      </c>
      <c r="M254" s="44"/>
      <c r="N254" s="44"/>
      <c r="O254" s="44"/>
      <c r="P254" s="44"/>
      <c r="Q254" s="42"/>
      <c r="R254" s="42"/>
      <c r="S254" s="43"/>
      <c r="T254" s="42"/>
      <c r="U254" s="42"/>
      <c r="V254" s="41"/>
      <c r="W254" s="42"/>
      <c r="X254" s="76"/>
      <c r="Z254" s="37">
        <v>2000</v>
      </c>
      <c r="AA254" s="37">
        <v>3000</v>
      </c>
      <c r="AB254" s="37">
        <v>2500</v>
      </c>
      <c r="AC254" s="37">
        <v>2950</v>
      </c>
      <c r="AD254" s="39">
        <v>9.6</v>
      </c>
    </row>
    <row r="255" spans="1:30" x14ac:dyDescent="0.25">
      <c r="A255" s="208">
        <v>42809</v>
      </c>
      <c r="B255" s="63" t="s">
        <v>160</v>
      </c>
      <c r="C255" s="56" t="s">
        <v>158</v>
      </c>
      <c r="D255" s="8">
        <v>1981.46</v>
      </c>
      <c r="E255" s="8">
        <v>1964.51</v>
      </c>
      <c r="F255" s="8">
        <v>1952.31</v>
      </c>
      <c r="G255" s="8">
        <v>1966.19</v>
      </c>
      <c r="H255" s="8">
        <v>1983.65</v>
      </c>
      <c r="I255" s="8">
        <v>1986.46</v>
      </c>
      <c r="J255" s="8">
        <v>1969.74</v>
      </c>
      <c r="K255" s="8">
        <v>1962.21</v>
      </c>
      <c r="L255" s="8">
        <v>1985.5</v>
      </c>
      <c r="M255" s="62"/>
      <c r="N255" s="62"/>
      <c r="O255" s="62"/>
      <c r="P255" s="62"/>
      <c r="Q255" s="63">
        <f>IF((L256=""),"",MAX(D257:L257))</f>
        <v>2812.04</v>
      </c>
      <c r="R255" s="63">
        <f>IF(L256="","",MIN(D257:L257))</f>
        <v>2631.84</v>
      </c>
      <c r="S255" s="63">
        <f>IF((L257=""),"",AVERAGE(D257:L257))</f>
        <v>2704.315555555555</v>
      </c>
      <c r="T255" s="63">
        <f>IF((L256=""),"",((Q255-R255)/(Q255+R255))*100)</f>
        <v>3.310139091971164</v>
      </c>
      <c r="U255" s="51">
        <f>STDEV(D255:L255)</f>
        <v>12.212980571688675</v>
      </c>
      <c r="V255" s="64" t="str">
        <f>IF(L256="","",(IF(T255&lt;12,IF(S255&gt;2200,IF(S255&lt;3280,"Pass","Fail"),"Fail"),"Fail")))</f>
        <v>Pass</v>
      </c>
      <c r="W255" s="63">
        <v>1400</v>
      </c>
      <c r="X255" s="254" t="s">
        <v>197</v>
      </c>
      <c r="Z255" s="37">
        <v>2000</v>
      </c>
      <c r="AA255" s="37">
        <v>3000</v>
      </c>
      <c r="AB255" s="37">
        <v>2200</v>
      </c>
      <c r="AC255" s="37">
        <v>3280</v>
      </c>
      <c r="AD255" s="39">
        <v>12</v>
      </c>
    </row>
    <row r="256" spans="1:30" ht="16.5" customHeight="1" x14ac:dyDescent="0.35">
      <c r="A256" s="206"/>
      <c r="B256" s="48"/>
      <c r="C256" s="51" t="s">
        <v>157</v>
      </c>
      <c r="D256" s="8">
        <v>1278.45</v>
      </c>
      <c r="E256" s="8">
        <v>1283.3</v>
      </c>
      <c r="F256" s="8">
        <v>1294.3499999999999</v>
      </c>
      <c r="G256" s="8">
        <v>1301.99</v>
      </c>
      <c r="H256" s="8">
        <v>1325.41</v>
      </c>
      <c r="I256" s="8">
        <v>1286.19</v>
      </c>
      <c r="J256" s="8">
        <v>1287.32</v>
      </c>
      <c r="K256" s="8">
        <v>1297.9000000000001</v>
      </c>
      <c r="L256" s="8">
        <v>1312.41</v>
      </c>
      <c r="M256" s="50"/>
      <c r="N256" s="50"/>
      <c r="O256" s="50"/>
      <c r="P256" s="50"/>
      <c r="Q256" s="48"/>
      <c r="R256" s="48"/>
      <c r="S256" s="48"/>
      <c r="T256" s="48"/>
      <c r="U256" s="48"/>
      <c r="V256" s="47"/>
      <c r="W256" s="48"/>
      <c r="X256" s="77"/>
      <c r="Z256" s="37">
        <v>2000</v>
      </c>
      <c r="AA256" s="37">
        <v>3000</v>
      </c>
      <c r="AB256" s="37">
        <v>2500</v>
      </c>
      <c r="AC256" s="37">
        <v>2950</v>
      </c>
      <c r="AD256" s="39">
        <v>9.6</v>
      </c>
    </row>
    <row r="257" spans="1:30" ht="24.8" customHeight="1" thickBot="1" x14ac:dyDescent="0.4">
      <c r="A257" s="206"/>
      <c r="B257" s="61"/>
      <c r="C257" s="51" t="s">
        <v>156</v>
      </c>
      <c r="D257" s="24">
        <f t="shared" ref="D257:L257" si="80">IF(((D255="")*AND(D256="")),"",(D255-D256)*4)</f>
        <v>2812.04</v>
      </c>
      <c r="E257" s="24">
        <f t="shared" si="80"/>
        <v>2724.84</v>
      </c>
      <c r="F257" s="24">
        <f t="shared" si="80"/>
        <v>2631.84</v>
      </c>
      <c r="G257" s="24">
        <f t="shared" si="80"/>
        <v>2656.8</v>
      </c>
      <c r="H257" s="24">
        <f t="shared" si="80"/>
        <v>2632.96</v>
      </c>
      <c r="I257" s="24">
        <f t="shared" si="80"/>
        <v>2801.08</v>
      </c>
      <c r="J257" s="24">
        <f t="shared" si="80"/>
        <v>2729.6800000000003</v>
      </c>
      <c r="K257" s="24">
        <f t="shared" si="80"/>
        <v>2657.24</v>
      </c>
      <c r="L257" s="24">
        <f t="shared" si="80"/>
        <v>2692.3599999999997</v>
      </c>
      <c r="M257" s="24"/>
      <c r="N257" s="24"/>
      <c r="O257" s="24"/>
      <c r="P257" s="24" t="str">
        <f>IF(((P255="")*AND(P256="")),"",(P255-P256)*4)</f>
        <v/>
      </c>
      <c r="Q257" s="61"/>
      <c r="R257" s="61"/>
      <c r="S257" s="61"/>
      <c r="T257" s="61"/>
      <c r="U257" s="61"/>
      <c r="V257" s="60"/>
      <c r="W257" s="61"/>
      <c r="X257" s="77"/>
      <c r="Z257" s="37">
        <v>2000</v>
      </c>
      <c r="AA257" s="37">
        <v>3000</v>
      </c>
      <c r="AB257" s="37">
        <v>2500</v>
      </c>
      <c r="AC257" s="37">
        <v>2950</v>
      </c>
      <c r="AD257" s="39">
        <v>9.6</v>
      </c>
    </row>
    <row r="258" spans="1:30" x14ac:dyDescent="0.25">
      <c r="A258" s="208">
        <v>42809</v>
      </c>
      <c r="B258" s="57" t="s">
        <v>159</v>
      </c>
      <c r="C258" s="51" t="s">
        <v>158</v>
      </c>
      <c r="D258" s="8">
        <v>5210.6099999999997</v>
      </c>
      <c r="E258" s="8">
        <v>5240.78</v>
      </c>
      <c r="F258" s="8">
        <v>5288.27</v>
      </c>
      <c r="G258" s="8">
        <v>5244.69</v>
      </c>
      <c r="H258" s="8">
        <v>5265.22</v>
      </c>
      <c r="I258" s="8">
        <v>5220.2700000000004</v>
      </c>
      <c r="J258" s="8">
        <v>5256.34</v>
      </c>
      <c r="K258" s="8">
        <v>5273.51</v>
      </c>
      <c r="L258" s="8">
        <v>5298.53</v>
      </c>
      <c r="M258" s="50"/>
      <c r="N258" s="50"/>
      <c r="O258" s="50"/>
      <c r="P258" s="50"/>
      <c r="Q258" s="57">
        <f>IF((L259=""),"",MAX(D260:L260))</f>
        <v>3388.2800000000007</v>
      </c>
      <c r="R258" s="57">
        <f>IF(L259="","",MIN(D260:L260))</f>
        <v>3328.3</v>
      </c>
      <c r="S258" s="58">
        <f>IF((L260=""),"",AVERAGE(D260:L260))</f>
        <v>3346.3755555555558</v>
      </c>
      <c r="T258" s="57">
        <f>IF((L259=""),"",((Q258-R258)/(Q258+R258))*100)</f>
        <v>0.89301400415092902</v>
      </c>
      <c r="U258" s="56">
        <f>STDEV(D258:L258)</f>
        <v>29.441924520052162</v>
      </c>
      <c r="V258" s="55" t="str">
        <f>IF(L259="","",(IF(T258&lt;7,IF(S258&gt;2800,IF(S258&lt;3800,"Pass","Fail"),"Fail"),"Fail")))</f>
        <v>Pass</v>
      </c>
      <c r="W258" s="57">
        <v>1400</v>
      </c>
      <c r="X258" s="254" t="s">
        <v>197</v>
      </c>
      <c r="Z258" s="53">
        <v>2800</v>
      </c>
      <c r="AA258" s="53">
        <v>3800</v>
      </c>
      <c r="AB258" s="53">
        <v>3100</v>
      </c>
      <c r="AC258" s="53">
        <v>3760</v>
      </c>
      <c r="AD258" s="52">
        <v>6</v>
      </c>
    </row>
    <row r="259" spans="1:30" ht="16.5" customHeight="1" x14ac:dyDescent="0.35">
      <c r="A259" s="206"/>
      <c r="B259" s="48"/>
      <c r="C259" s="51" t="s">
        <v>157</v>
      </c>
      <c r="D259" s="8">
        <v>3530.29</v>
      </c>
      <c r="E259" s="8">
        <v>3573.7</v>
      </c>
      <c r="F259" s="8">
        <v>3622.11</v>
      </c>
      <c r="G259" s="8">
        <v>3580.25</v>
      </c>
      <c r="H259" s="8">
        <v>3593.23</v>
      </c>
      <c r="I259" s="8">
        <v>3526.13</v>
      </c>
      <c r="J259" s="8">
        <v>3592.19</v>
      </c>
      <c r="K259" s="8">
        <v>3603.69</v>
      </c>
      <c r="L259" s="8">
        <v>3617.94</v>
      </c>
      <c r="M259" s="50"/>
      <c r="N259" s="50"/>
      <c r="O259" s="50"/>
      <c r="P259" s="50"/>
      <c r="Q259" s="48"/>
      <c r="R259" s="48"/>
      <c r="S259" s="49"/>
      <c r="T259" s="48"/>
      <c r="U259" s="48"/>
      <c r="V259" s="47"/>
      <c r="W259" s="48"/>
      <c r="X259" s="77"/>
      <c r="Z259" s="37">
        <v>2000</v>
      </c>
      <c r="AA259" s="37">
        <v>3000</v>
      </c>
      <c r="AB259" s="37">
        <v>2500</v>
      </c>
      <c r="AC259" s="37">
        <v>2950</v>
      </c>
      <c r="AD259" s="39">
        <v>9.6</v>
      </c>
    </row>
    <row r="260" spans="1:30" ht="24.8" customHeight="1" thickBot="1" x14ac:dyDescent="0.4">
      <c r="A260" s="206"/>
      <c r="B260" s="42"/>
      <c r="C260" s="45" t="s">
        <v>156</v>
      </c>
      <c r="D260" s="44">
        <f t="shared" ref="D260:L260" si="81">IF(((D258="")*AND(D259="")),"",(D258-D259)*2)</f>
        <v>3360.6399999999994</v>
      </c>
      <c r="E260" s="44">
        <f t="shared" si="81"/>
        <v>3334.16</v>
      </c>
      <c r="F260" s="44">
        <f t="shared" si="81"/>
        <v>3332.3200000000006</v>
      </c>
      <c r="G260" s="44">
        <f t="shared" si="81"/>
        <v>3328.8799999999992</v>
      </c>
      <c r="H260" s="44">
        <f t="shared" si="81"/>
        <v>3343.9800000000005</v>
      </c>
      <c r="I260" s="44">
        <f t="shared" si="81"/>
        <v>3388.2800000000007</v>
      </c>
      <c r="J260" s="44">
        <f t="shared" si="81"/>
        <v>3328.3</v>
      </c>
      <c r="K260" s="44">
        <f t="shared" si="81"/>
        <v>3339.6400000000003</v>
      </c>
      <c r="L260" s="44">
        <f t="shared" si="81"/>
        <v>3361.1799999999994</v>
      </c>
      <c r="M260" s="44"/>
      <c r="N260" s="44"/>
      <c r="O260" s="44"/>
      <c r="P260" s="44"/>
      <c r="Q260" s="42"/>
      <c r="R260" s="42"/>
      <c r="S260" s="43"/>
      <c r="T260" s="42"/>
      <c r="U260" s="42"/>
      <c r="V260" s="41"/>
      <c r="W260" s="42"/>
      <c r="X260" s="76"/>
      <c r="Z260" s="37">
        <v>2000</v>
      </c>
      <c r="AA260" s="37">
        <v>3000</v>
      </c>
      <c r="AB260" s="37">
        <v>2500</v>
      </c>
      <c r="AC260" s="37">
        <v>2950</v>
      </c>
      <c r="AD260" s="39">
        <v>9.6</v>
      </c>
    </row>
    <row r="261" spans="1:30" x14ac:dyDescent="0.25">
      <c r="A261" s="208">
        <v>42815</v>
      </c>
      <c r="B261" s="63" t="s">
        <v>160</v>
      </c>
      <c r="C261" s="56" t="s">
        <v>158</v>
      </c>
      <c r="D261" s="8">
        <v>1973.74</v>
      </c>
      <c r="E261" s="8">
        <v>1962.29</v>
      </c>
      <c r="F261" s="8">
        <v>1962.99</v>
      </c>
      <c r="G261" s="8">
        <v>1963.58</v>
      </c>
      <c r="H261" s="8">
        <v>1986.2</v>
      </c>
      <c r="I261" s="8">
        <v>1974.7</v>
      </c>
      <c r="J261" s="8">
        <v>1962.85</v>
      </c>
      <c r="K261" s="8">
        <v>1965.4</v>
      </c>
      <c r="L261" s="8">
        <v>1985.4</v>
      </c>
      <c r="M261" s="62"/>
      <c r="N261" s="62"/>
      <c r="O261" s="62"/>
      <c r="P261" s="62"/>
      <c r="Q261" s="63">
        <f>IF((L262=""),"",MAX(D263:L263))</f>
        <v>2722.2</v>
      </c>
      <c r="R261" s="63">
        <f>IF(L262="","",MIN(D263:L263))</f>
        <v>2576.2799999999997</v>
      </c>
      <c r="S261" s="63">
        <f>IF((L263=""),"",AVERAGE(D263:L263))</f>
        <v>2655.2488888888888</v>
      </c>
      <c r="T261" s="63">
        <f>IF((L262=""),"",((Q261-R261)/(Q261+R261))*100)</f>
        <v>2.7539973728314551</v>
      </c>
      <c r="U261" s="51">
        <f>STDEV(D261:L261)</f>
        <v>9.6958781334017701</v>
      </c>
      <c r="V261" s="64" t="str">
        <f>IF(L262="","",(IF(T261&lt;12,IF(S261&gt;2200,IF(S261&lt;3280,"Pass","Fail"),"Fail"),"Fail")))</f>
        <v>Pass</v>
      </c>
      <c r="W261" s="63">
        <v>64</v>
      </c>
      <c r="X261" s="254"/>
      <c r="Z261" s="37">
        <v>2000</v>
      </c>
      <c r="AA261" s="37">
        <v>3000</v>
      </c>
      <c r="AB261" s="37">
        <v>2200</v>
      </c>
      <c r="AC261" s="37">
        <v>3280</v>
      </c>
      <c r="AD261" s="39">
        <v>12</v>
      </c>
    </row>
    <row r="262" spans="1:30" ht="16.5" customHeight="1" x14ac:dyDescent="0.35">
      <c r="A262" s="206"/>
      <c r="B262" s="48"/>
      <c r="C262" s="51" t="s">
        <v>157</v>
      </c>
      <c r="D262" s="8">
        <v>1293.19</v>
      </c>
      <c r="E262" s="8">
        <v>1288.3699999999999</v>
      </c>
      <c r="F262" s="8">
        <v>1311.22</v>
      </c>
      <c r="G262" s="8">
        <v>1306.73</v>
      </c>
      <c r="H262" s="8">
        <v>1342.13</v>
      </c>
      <c r="I262" s="8">
        <v>1296.48</v>
      </c>
      <c r="J262" s="8">
        <v>1289.58</v>
      </c>
      <c r="K262" s="8">
        <v>1303.92</v>
      </c>
      <c r="L262" s="8">
        <v>1331.22</v>
      </c>
      <c r="M262" s="50"/>
      <c r="N262" s="50"/>
      <c r="O262" s="50"/>
      <c r="P262" s="50"/>
      <c r="Q262" s="48"/>
      <c r="R262" s="48"/>
      <c r="S262" s="48"/>
      <c r="T262" s="48"/>
      <c r="U262" s="48"/>
      <c r="V262" s="47"/>
      <c r="W262" s="48"/>
      <c r="X262" s="77"/>
      <c r="Z262" s="37">
        <v>2000</v>
      </c>
      <c r="AA262" s="37">
        <v>3000</v>
      </c>
      <c r="AB262" s="37">
        <v>2500</v>
      </c>
      <c r="AC262" s="37">
        <v>2950</v>
      </c>
      <c r="AD262" s="39">
        <v>9.6</v>
      </c>
    </row>
    <row r="263" spans="1:30" ht="24.8" customHeight="1" thickBot="1" x14ac:dyDescent="0.4">
      <c r="A263" s="206"/>
      <c r="B263" s="61"/>
      <c r="C263" s="51" t="s">
        <v>156</v>
      </c>
      <c r="D263" s="24">
        <f t="shared" ref="D263:L263" si="82">IF(((D261="")*AND(D262="")),"",(D261-D262)*4)</f>
        <v>2722.2</v>
      </c>
      <c r="E263" s="24">
        <f t="shared" si="82"/>
        <v>2695.6800000000003</v>
      </c>
      <c r="F263" s="24">
        <f t="shared" si="82"/>
        <v>2607.08</v>
      </c>
      <c r="G263" s="24">
        <f t="shared" si="82"/>
        <v>2627.3999999999996</v>
      </c>
      <c r="H263" s="24">
        <f t="shared" si="82"/>
        <v>2576.2799999999997</v>
      </c>
      <c r="I263" s="24">
        <f t="shared" si="82"/>
        <v>2712.88</v>
      </c>
      <c r="J263" s="24">
        <f t="shared" si="82"/>
        <v>2693.08</v>
      </c>
      <c r="K263" s="24">
        <f t="shared" si="82"/>
        <v>2645.92</v>
      </c>
      <c r="L263" s="24">
        <f t="shared" si="82"/>
        <v>2616.7200000000003</v>
      </c>
      <c r="M263" s="24"/>
      <c r="N263" s="24"/>
      <c r="O263" s="24"/>
      <c r="P263" s="24" t="str">
        <f>IF(((P261="")*AND(P262="")),"",(P261-P262)*4)</f>
        <v/>
      </c>
      <c r="Q263" s="61"/>
      <c r="R263" s="61"/>
      <c r="S263" s="61"/>
      <c r="T263" s="61"/>
      <c r="U263" s="61"/>
      <c r="V263" s="60"/>
      <c r="W263" s="61"/>
      <c r="X263" s="77"/>
      <c r="Z263" s="37">
        <v>2000</v>
      </c>
      <c r="AA263" s="37">
        <v>3000</v>
      </c>
      <c r="AB263" s="37">
        <v>2500</v>
      </c>
      <c r="AC263" s="37">
        <v>2950</v>
      </c>
      <c r="AD263" s="39">
        <v>9.6</v>
      </c>
    </row>
    <row r="264" spans="1:30" x14ac:dyDescent="0.25">
      <c r="A264" s="208">
        <v>42815</v>
      </c>
      <c r="B264" s="57" t="s">
        <v>159</v>
      </c>
      <c r="C264" s="51" t="s">
        <v>158</v>
      </c>
      <c r="D264" s="8">
        <v>6853.87</v>
      </c>
      <c r="E264" s="8">
        <v>6849.3</v>
      </c>
      <c r="F264" s="8">
        <v>6887.4</v>
      </c>
      <c r="G264" s="8">
        <v>6848.82</v>
      </c>
      <c r="H264" s="8">
        <v>6907.26</v>
      </c>
      <c r="I264" s="8">
        <v>6889.05</v>
      </c>
      <c r="J264" s="8">
        <v>6865.14</v>
      </c>
      <c r="K264" s="8">
        <v>6873.5</v>
      </c>
      <c r="L264" s="8">
        <v>6936.41</v>
      </c>
      <c r="M264" s="50"/>
      <c r="N264" s="50"/>
      <c r="O264" s="50"/>
      <c r="P264" s="50"/>
      <c r="Q264" s="57">
        <f>IF((L265=""),"",MAX(D266:L266))</f>
        <v>3421.84</v>
      </c>
      <c r="R264" s="57">
        <f>IF(L265="","",MIN(D266:L266))</f>
        <v>3357.6799999999985</v>
      </c>
      <c r="S264" s="58">
        <f>IF((L266=""),"",AVERAGE(D266:L266))</f>
        <v>3376.1755555555555</v>
      </c>
      <c r="T264" s="57">
        <f>IF((L265=""),"",((Q264-R264)/(Q264+R264))*100)</f>
        <v>0.94637968469746658</v>
      </c>
      <c r="U264" s="56">
        <f>STDEV(D264:L264)</f>
        <v>29.395748322579642</v>
      </c>
      <c r="V264" s="55" t="str">
        <f>IF(L265="","",(IF(T264&lt;7,IF(S264&gt;2800,IF(S264&lt;3800,"Pass","Fail"),"Fail"),"Fail")))</f>
        <v>Pass</v>
      </c>
      <c r="W264" s="57">
        <v>64</v>
      </c>
      <c r="X264" s="255"/>
      <c r="Z264" s="53">
        <v>2800</v>
      </c>
      <c r="AA264" s="53">
        <v>3800</v>
      </c>
      <c r="AB264" s="53">
        <v>3100</v>
      </c>
      <c r="AC264" s="53">
        <v>3760</v>
      </c>
      <c r="AD264" s="52">
        <v>6</v>
      </c>
    </row>
    <row r="265" spans="1:30" ht="16.5" customHeight="1" x14ac:dyDescent="0.35">
      <c r="A265" s="206"/>
      <c r="B265" s="48"/>
      <c r="C265" s="51" t="s">
        <v>157</v>
      </c>
      <c r="D265" s="8">
        <v>5158.01</v>
      </c>
      <c r="E265" s="8">
        <v>5168.97</v>
      </c>
      <c r="F265" s="8">
        <v>5208.5600000000004</v>
      </c>
      <c r="G265" s="8">
        <v>5169.58</v>
      </c>
      <c r="H265" s="8">
        <v>5216.87</v>
      </c>
      <c r="I265" s="8">
        <v>5178.13</v>
      </c>
      <c r="J265" s="8">
        <v>5185.9799999999996</v>
      </c>
      <c r="K265" s="8">
        <v>5190.95</v>
      </c>
      <c r="L265" s="8">
        <v>5240.91</v>
      </c>
      <c r="M265" s="50"/>
      <c r="N265" s="50"/>
      <c r="O265" s="50"/>
      <c r="P265" s="50"/>
      <c r="Q265" s="48"/>
      <c r="R265" s="48"/>
      <c r="S265" s="49"/>
      <c r="T265" s="48"/>
      <c r="U265" s="48"/>
      <c r="V265" s="47"/>
      <c r="W265" s="48"/>
      <c r="X265" s="77"/>
      <c r="Z265" s="37">
        <v>2000</v>
      </c>
      <c r="AA265" s="37">
        <v>3000</v>
      </c>
      <c r="AB265" s="37">
        <v>2500</v>
      </c>
      <c r="AC265" s="37">
        <v>2950</v>
      </c>
      <c r="AD265" s="39">
        <v>9.6</v>
      </c>
    </row>
    <row r="266" spans="1:30" ht="24.8" customHeight="1" thickBot="1" x14ac:dyDescent="0.4">
      <c r="A266" s="206"/>
      <c r="B266" s="42"/>
      <c r="C266" s="45" t="s">
        <v>156</v>
      </c>
      <c r="D266" s="44">
        <f t="shared" ref="D266:L266" si="83">IF(((D264="")*AND(D265="")),"",(D264-D265)*2)</f>
        <v>3391.7199999999993</v>
      </c>
      <c r="E266" s="44">
        <f t="shared" si="83"/>
        <v>3360.66</v>
      </c>
      <c r="F266" s="44">
        <f t="shared" si="83"/>
        <v>3357.6799999999985</v>
      </c>
      <c r="G266" s="44">
        <f t="shared" si="83"/>
        <v>3358.4799999999996</v>
      </c>
      <c r="H266" s="44">
        <f t="shared" si="83"/>
        <v>3380.7800000000007</v>
      </c>
      <c r="I266" s="44">
        <f t="shared" si="83"/>
        <v>3421.84</v>
      </c>
      <c r="J266" s="44">
        <f t="shared" si="83"/>
        <v>3358.3200000000015</v>
      </c>
      <c r="K266" s="44">
        <f t="shared" si="83"/>
        <v>3365.1000000000004</v>
      </c>
      <c r="L266" s="44">
        <f t="shared" si="83"/>
        <v>3391</v>
      </c>
      <c r="M266" s="44"/>
      <c r="N266" s="44"/>
      <c r="O266" s="44"/>
      <c r="P266" s="44"/>
      <c r="Q266" s="42"/>
      <c r="R266" s="42"/>
      <c r="S266" s="43"/>
      <c r="T266" s="42"/>
      <c r="U266" s="42"/>
      <c r="V266" s="41"/>
      <c r="W266" s="42"/>
      <c r="X266" s="76"/>
      <c r="Z266" s="37">
        <v>2000</v>
      </c>
      <c r="AA266" s="37">
        <v>3000</v>
      </c>
      <c r="AB266" s="37">
        <v>2500</v>
      </c>
      <c r="AC266" s="37">
        <v>2950</v>
      </c>
      <c r="AD266" s="39">
        <v>9.6</v>
      </c>
    </row>
    <row r="267" spans="1:30" x14ac:dyDescent="0.25">
      <c r="A267" s="208">
        <v>42822</v>
      </c>
      <c r="B267" s="63" t="s">
        <v>160</v>
      </c>
      <c r="C267" s="56" t="s">
        <v>158</v>
      </c>
      <c r="D267" s="8">
        <v>1938.86</v>
      </c>
      <c r="E267" s="8">
        <v>1931.5</v>
      </c>
      <c r="F267" s="8">
        <v>1930.69</v>
      </c>
      <c r="G267" s="8">
        <v>1930.22</v>
      </c>
      <c r="H267" s="8">
        <v>1938.92</v>
      </c>
      <c r="I267" s="8">
        <v>1959.76</v>
      </c>
      <c r="J267" s="8">
        <v>1931.38</v>
      </c>
      <c r="K267" s="8">
        <v>1934.67</v>
      </c>
      <c r="L267" s="8">
        <v>1936.77</v>
      </c>
      <c r="M267" s="62"/>
      <c r="N267" s="62"/>
      <c r="O267" s="62"/>
      <c r="P267" s="62"/>
      <c r="Q267" s="63">
        <f>IF((L268=""),"",MAX(D269:L269))</f>
        <v>2754.3599999999997</v>
      </c>
      <c r="R267" s="63">
        <f>IF(L268="","",MIN(D269:L269))</f>
        <v>2533.7600000000002</v>
      </c>
      <c r="S267" s="63">
        <f>IF((L269=""),"",AVERAGE(D269:L269))</f>
        <v>2603.2400000000002</v>
      </c>
      <c r="T267" s="63">
        <f>IF((L268=""),"",((Q267-R267)/(Q267+R267))*100)</f>
        <v>4.1716148650181815</v>
      </c>
      <c r="U267" s="51">
        <f>STDEV(D267:L267)</f>
        <v>9.2077305986750808</v>
      </c>
      <c r="V267" s="64" t="str">
        <f>IF(L268="","",(IF(T267&lt;12,IF(S267&gt;2200,IF(S267&lt;3280,"Pass","Fail"),"Fail"),"Fail")))</f>
        <v>Pass</v>
      </c>
      <c r="W267" s="63">
        <v>1159</v>
      </c>
      <c r="X267" s="254" t="s">
        <v>196</v>
      </c>
      <c r="Z267" s="37">
        <v>2000</v>
      </c>
      <c r="AA267" s="37">
        <v>3000</v>
      </c>
      <c r="AB267" s="37">
        <v>2200</v>
      </c>
      <c r="AC267" s="37">
        <v>3280</v>
      </c>
      <c r="AD267" s="39">
        <v>12</v>
      </c>
    </row>
    <row r="268" spans="1:30" ht="16.5" customHeight="1" x14ac:dyDescent="0.35">
      <c r="A268" s="206"/>
      <c r="B268" s="48"/>
      <c r="C268" s="51" t="s">
        <v>157</v>
      </c>
      <c r="D268" s="8">
        <v>1275.02</v>
      </c>
      <c r="E268" s="8">
        <v>1277.6199999999999</v>
      </c>
      <c r="F268" s="8">
        <v>1296.1199999999999</v>
      </c>
      <c r="G268" s="8">
        <v>1286.21</v>
      </c>
      <c r="H268" s="8">
        <v>1305.48</v>
      </c>
      <c r="I268" s="8">
        <v>1271.17</v>
      </c>
      <c r="J268" s="8">
        <v>1272.1600000000001</v>
      </c>
      <c r="K268" s="8">
        <v>1289.02</v>
      </c>
      <c r="L268" s="8">
        <v>1302.68</v>
      </c>
      <c r="M268" s="50"/>
      <c r="N268" s="50"/>
      <c r="O268" s="50"/>
      <c r="P268" s="50"/>
      <c r="Q268" s="48"/>
      <c r="R268" s="48"/>
      <c r="S268" s="48"/>
      <c r="T268" s="48"/>
      <c r="U268" s="48"/>
      <c r="V268" s="47"/>
      <c r="W268" s="48"/>
      <c r="X268" s="77"/>
      <c r="Z268" s="37">
        <v>2000</v>
      </c>
      <c r="AA268" s="37">
        <v>3000</v>
      </c>
      <c r="AB268" s="37">
        <v>2500</v>
      </c>
      <c r="AC268" s="37">
        <v>2950</v>
      </c>
      <c r="AD268" s="39">
        <v>9.6</v>
      </c>
    </row>
    <row r="269" spans="1:30" ht="24.8" customHeight="1" thickBot="1" x14ac:dyDescent="0.4">
      <c r="A269" s="206"/>
      <c r="B269" s="61"/>
      <c r="C269" s="51" t="s">
        <v>156</v>
      </c>
      <c r="D269" s="24">
        <f t="shared" ref="D269:L269" si="84">IF(((D267="")*AND(D268="")),"",(D267-D268)*4)</f>
        <v>2655.3599999999997</v>
      </c>
      <c r="E269" s="24">
        <f t="shared" si="84"/>
        <v>2615.5200000000004</v>
      </c>
      <c r="F269" s="24">
        <f t="shared" si="84"/>
        <v>2538.2800000000007</v>
      </c>
      <c r="G269" s="24">
        <f t="shared" si="84"/>
        <v>2576.04</v>
      </c>
      <c r="H269" s="24">
        <f t="shared" si="84"/>
        <v>2533.7600000000002</v>
      </c>
      <c r="I269" s="24">
        <f t="shared" si="84"/>
        <v>2754.3599999999997</v>
      </c>
      <c r="J269" s="24">
        <f t="shared" si="84"/>
        <v>2636.88</v>
      </c>
      <c r="K269" s="24">
        <f t="shared" si="84"/>
        <v>2582.6000000000004</v>
      </c>
      <c r="L269" s="24">
        <f t="shared" si="84"/>
        <v>2536.3599999999997</v>
      </c>
      <c r="M269" s="24"/>
      <c r="N269" s="24"/>
      <c r="O269" s="24"/>
      <c r="P269" s="24" t="str">
        <f>IF(((P267="")*AND(P268="")),"",(P267-P268)*4)</f>
        <v/>
      </c>
      <c r="Q269" s="61"/>
      <c r="R269" s="61"/>
      <c r="S269" s="61"/>
      <c r="T269" s="61"/>
      <c r="U269" s="61"/>
      <c r="V269" s="60"/>
      <c r="W269" s="61"/>
      <c r="X269" s="77"/>
      <c r="Z269" s="37">
        <v>2000</v>
      </c>
      <c r="AA269" s="37">
        <v>3000</v>
      </c>
      <c r="AB269" s="37">
        <v>2500</v>
      </c>
      <c r="AC269" s="37">
        <v>2950</v>
      </c>
      <c r="AD269" s="39">
        <v>9.6</v>
      </c>
    </row>
    <row r="270" spans="1:30" x14ac:dyDescent="0.25">
      <c r="A270" s="208">
        <v>42822</v>
      </c>
      <c r="B270" s="57" t="s">
        <v>159</v>
      </c>
      <c r="C270" s="51" t="s">
        <v>158</v>
      </c>
      <c r="D270" s="8">
        <v>6979.82</v>
      </c>
      <c r="E270" s="8">
        <v>6971.05</v>
      </c>
      <c r="F270" s="8">
        <v>7007.76</v>
      </c>
      <c r="G270" s="8">
        <v>6968.23</v>
      </c>
      <c r="H270" s="8">
        <v>7021.41</v>
      </c>
      <c r="I270" s="8">
        <v>7003.26</v>
      </c>
      <c r="J270" s="8">
        <v>6984.72</v>
      </c>
      <c r="K270" s="8">
        <v>6994.56</v>
      </c>
      <c r="L270" s="8">
        <v>7050.39</v>
      </c>
      <c r="M270" s="50"/>
      <c r="N270" s="50"/>
      <c r="O270" s="50"/>
      <c r="P270" s="50"/>
      <c r="Q270" s="57">
        <f>IF((L271=""),"",MAX(D272:L272))</f>
        <v>3432.5400000000009</v>
      </c>
      <c r="R270" s="57">
        <f>IF(L271="","",MIN(D272:L272))</f>
        <v>3344.26</v>
      </c>
      <c r="S270" s="58">
        <f>IF((L272=""),"",AVERAGE(D272:L272))</f>
        <v>3368.5355555555561</v>
      </c>
      <c r="T270" s="57">
        <f>IF((L271=""),"",((Q270-R270)/(Q270+R270))*100)</f>
        <v>1.3026797308464266</v>
      </c>
      <c r="U270" s="56">
        <f>STDEV(D270:L270)</f>
        <v>26.331668407283225</v>
      </c>
      <c r="V270" s="55" t="str">
        <f>IF(L271="","",(IF(T270&lt;7,IF(S270&gt;2800,IF(S270&lt;3800,"Pass","Fail"),"Fail"),"Fail")))</f>
        <v>Pass</v>
      </c>
      <c r="W270" s="57">
        <v>1159</v>
      </c>
      <c r="X270" s="254" t="s">
        <v>196</v>
      </c>
      <c r="Z270" s="53">
        <v>2800</v>
      </c>
      <c r="AA270" s="53">
        <v>3800</v>
      </c>
      <c r="AB270" s="53">
        <v>3100</v>
      </c>
      <c r="AC270" s="53">
        <v>3760</v>
      </c>
      <c r="AD270" s="52">
        <v>6</v>
      </c>
    </row>
    <row r="271" spans="1:30" ht="16.5" customHeight="1" x14ac:dyDescent="0.35">
      <c r="A271" s="206"/>
      <c r="B271" s="48"/>
      <c r="C271" s="51" t="s">
        <v>157</v>
      </c>
      <c r="D271" s="8">
        <v>5283.92</v>
      </c>
      <c r="E271" s="8">
        <v>5296.68</v>
      </c>
      <c r="F271" s="8">
        <v>5335.36</v>
      </c>
      <c r="G271" s="8">
        <v>5295.45</v>
      </c>
      <c r="H271" s="8">
        <v>5331.57</v>
      </c>
      <c r="I271" s="8">
        <v>5286.99</v>
      </c>
      <c r="J271" s="8">
        <v>5312.59</v>
      </c>
      <c r="K271" s="8">
        <v>5319.02</v>
      </c>
      <c r="L271" s="8">
        <v>5361.21</v>
      </c>
      <c r="M271" s="50"/>
      <c r="N271" s="50"/>
      <c r="O271" s="50"/>
      <c r="P271" s="50"/>
      <c r="Q271" s="48"/>
      <c r="R271" s="48"/>
      <c r="S271" s="49"/>
      <c r="T271" s="48"/>
      <c r="U271" s="48"/>
      <c r="V271" s="47"/>
      <c r="W271" s="48"/>
      <c r="X271" s="77"/>
      <c r="Z271" s="37">
        <v>2000</v>
      </c>
      <c r="AA271" s="37">
        <v>3000</v>
      </c>
      <c r="AB271" s="37">
        <v>2500</v>
      </c>
      <c r="AC271" s="37">
        <v>2950</v>
      </c>
      <c r="AD271" s="39">
        <v>9.6</v>
      </c>
    </row>
    <row r="272" spans="1:30" ht="24.8" customHeight="1" thickBot="1" x14ac:dyDescent="0.4">
      <c r="A272" s="206"/>
      <c r="B272" s="42"/>
      <c r="C272" s="45" t="s">
        <v>156</v>
      </c>
      <c r="D272" s="44">
        <f t="shared" ref="D272:L272" si="85">IF(((D270="")*AND(D271="")),"",(D270-D271)*2)</f>
        <v>3391.7999999999993</v>
      </c>
      <c r="E272" s="44">
        <f t="shared" si="85"/>
        <v>3348.74</v>
      </c>
      <c r="F272" s="44">
        <f t="shared" si="85"/>
        <v>3344.8000000000011</v>
      </c>
      <c r="G272" s="44">
        <f t="shared" si="85"/>
        <v>3345.5599999999995</v>
      </c>
      <c r="H272" s="44">
        <f t="shared" si="85"/>
        <v>3379.6800000000003</v>
      </c>
      <c r="I272" s="44">
        <f t="shared" si="85"/>
        <v>3432.5400000000009</v>
      </c>
      <c r="J272" s="44">
        <f t="shared" si="85"/>
        <v>3344.26</v>
      </c>
      <c r="K272" s="44">
        <f t="shared" si="85"/>
        <v>3351.08</v>
      </c>
      <c r="L272" s="44">
        <f t="shared" si="85"/>
        <v>3378.3600000000006</v>
      </c>
      <c r="M272" s="44"/>
      <c r="N272" s="44"/>
      <c r="O272" s="44"/>
      <c r="P272" s="44"/>
      <c r="Q272" s="42"/>
      <c r="R272" s="42"/>
      <c r="S272" s="43"/>
      <c r="T272" s="42"/>
      <c r="U272" s="42"/>
      <c r="V272" s="41"/>
      <c r="W272" s="42"/>
      <c r="X272" s="76"/>
      <c r="Z272" s="37">
        <v>2000</v>
      </c>
      <c r="AA272" s="37">
        <v>3000</v>
      </c>
      <c r="AB272" s="37">
        <v>2500</v>
      </c>
      <c r="AC272" s="37">
        <v>2950</v>
      </c>
      <c r="AD272" s="39">
        <v>9.6</v>
      </c>
    </row>
    <row r="273" spans="1:30" x14ac:dyDescent="0.25">
      <c r="A273" s="208">
        <v>42836</v>
      </c>
      <c r="B273" s="63" t="s">
        <v>160</v>
      </c>
      <c r="C273" s="56" t="s">
        <v>158</v>
      </c>
      <c r="D273" s="8">
        <v>1942.59</v>
      </c>
      <c r="E273" s="8">
        <v>1935.99</v>
      </c>
      <c r="F273" s="8">
        <v>1932.45</v>
      </c>
      <c r="G273" s="8">
        <v>1934.43</v>
      </c>
      <c r="H273" s="8">
        <v>1942.81</v>
      </c>
      <c r="I273" s="8">
        <v>1966.4</v>
      </c>
      <c r="J273" s="8">
        <v>1933.94</v>
      </c>
      <c r="K273" s="8">
        <v>1935.56</v>
      </c>
      <c r="L273" s="8">
        <v>1944.66</v>
      </c>
      <c r="M273" s="62"/>
      <c r="N273" s="62"/>
      <c r="O273" s="62"/>
      <c r="P273" s="62"/>
      <c r="Q273" s="63">
        <f>IF((L274=""),"",MAX(D275:L275))</f>
        <v>2861.7200000000003</v>
      </c>
      <c r="R273" s="63">
        <f>IF(L274="","",MIN(D275:L275))</f>
        <v>2574</v>
      </c>
      <c r="S273" s="63">
        <f>IF((L275=""),"",AVERAGE(D275:L275))</f>
        <v>2673.2177777777774</v>
      </c>
      <c r="T273" s="63">
        <f>IF((L274=""),"",((Q273-R273)/(Q273+R273))*100)</f>
        <v>5.2931350400682931</v>
      </c>
      <c r="U273" s="51">
        <f>STDEV(D273:L273)</f>
        <v>10.518800364638141</v>
      </c>
      <c r="V273" s="64" t="str">
        <f>IF(L274="","",(IF(T273&lt;12,IF(S273&gt;2200,IF(S273&lt;3280,"Pass","Fail"),"Fail"),"Fail")))</f>
        <v>Pass</v>
      </c>
      <c r="W273" s="63">
        <v>1400</v>
      </c>
      <c r="X273" s="254"/>
      <c r="Z273" s="37">
        <v>2000</v>
      </c>
      <c r="AA273" s="37">
        <v>3000</v>
      </c>
      <c r="AB273" s="37">
        <v>2200</v>
      </c>
      <c r="AC273" s="37">
        <v>3280</v>
      </c>
      <c r="AD273" s="39">
        <v>12</v>
      </c>
    </row>
    <row r="274" spans="1:30" ht="16.5" customHeight="1" x14ac:dyDescent="0.35">
      <c r="A274" s="206"/>
      <c r="B274" s="48"/>
      <c r="C274" s="51" t="s">
        <v>157</v>
      </c>
      <c r="D274" s="8">
        <v>1245.26</v>
      </c>
      <c r="E274" s="8">
        <v>1268.27</v>
      </c>
      <c r="F274" s="8">
        <v>1288.95</v>
      </c>
      <c r="G274" s="8">
        <v>1283.99</v>
      </c>
      <c r="H274" s="8">
        <v>1288.9100000000001</v>
      </c>
      <c r="I274" s="8">
        <v>1250.97</v>
      </c>
      <c r="J274" s="8">
        <v>1266.71</v>
      </c>
      <c r="K274" s="8">
        <v>1282.83</v>
      </c>
      <c r="L274" s="8">
        <v>1278.2</v>
      </c>
      <c r="M274" s="50"/>
      <c r="N274" s="50"/>
      <c r="O274" s="50"/>
      <c r="P274" s="50"/>
      <c r="Q274" s="48"/>
      <c r="R274" s="48"/>
      <c r="S274" s="48"/>
      <c r="T274" s="48"/>
      <c r="U274" s="48"/>
      <c r="V274" s="47"/>
      <c r="W274" s="48"/>
      <c r="X274" s="77"/>
      <c r="Z274" s="37">
        <v>2000</v>
      </c>
      <c r="AA274" s="37">
        <v>3000</v>
      </c>
      <c r="AB274" s="37">
        <v>2500</v>
      </c>
      <c r="AC274" s="37">
        <v>2950</v>
      </c>
      <c r="AD274" s="39">
        <v>9.6</v>
      </c>
    </row>
    <row r="275" spans="1:30" ht="24.8" customHeight="1" thickBot="1" x14ac:dyDescent="0.4">
      <c r="A275" s="206"/>
      <c r="B275" s="61"/>
      <c r="C275" s="51" t="s">
        <v>156</v>
      </c>
      <c r="D275" s="24">
        <f t="shared" ref="D275:L275" si="86">IF(((D273="")*AND(D274="")),"",(D273-D274)*4)</f>
        <v>2789.3199999999997</v>
      </c>
      <c r="E275" s="24">
        <f t="shared" si="86"/>
        <v>2670.88</v>
      </c>
      <c r="F275" s="24">
        <f t="shared" si="86"/>
        <v>2574</v>
      </c>
      <c r="G275" s="24">
        <f t="shared" si="86"/>
        <v>2601.7600000000002</v>
      </c>
      <c r="H275" s="24">
        <f t="shared" si="86"/>
        <v>2615.5999999999995</v>
      </c>
      <c r="I275" s="24">
        <f t="shared" si="86"/>
        <v>2861.7200000000003</v>
      </c>
      <c r="J275" s="24">
        <f t="shared" si="86"/>
        <v>2668.92</v>
      </c>
      <c r="K275" s="24">
        <f t="shared" si="86"/>
        <v>2610.92</v>
      </c>
      <c r="L275" s="24">
        <f t="shared" si="86"/>
        <v>2665.84</v>
      </c>
      <c r="M275" s="24"/>
      <c r="N275" s="24"/>
      <c r="O275" s="24"/>
      <c r="P275" s="24" t="str">
        <f>IF(((P273="")*AND(P274="")),"",(P273-P274)*4)</f>
        <v/>
      </c>
      <c r="Q275" s="61"/>
      <c r="R275" s="61"/>
      <c r="S275" s="61"/>
      <c r="T275" s="61"/>
      <c r="U275" s="61"/>
      <c r="V275" s="60"/>
      <c r="W275" s="61"/>
      <c r="X275" s="77"/>
      <c r="Z275" s="37">
        <v>2000</v>
      </c>
      <c r="AA275" s="37">
        <v>3000</v>
      </c>
      <c r="AB275" s="37">
        <v>2500</v>
      </c>
      <c r="AC275" s="37">
        <v>2950</v>
      </c>
      <c r="AD275" s="39">
        <v>9.6</v>
      </c>
    </row>
    <row r="276" spans="1:30" x14ac:dyDescent="0.25">
      <c r="A276" s="208">
        <v>42836</v>
      </c>
      <c r="B276" s="57" t="s">
        <v>159</v>
      </c>
      <c r="C276" s="51" t="s">
        <v>158</v>
      </c>
      <c r="D276" s="8">
        <v>6977.08</v>
      </c>
      <c r="E276" s="8">
        <v>6983.32</v>
      </c>
      <c r="F276" s="8">
        <v>7016.08</v>
      </c>
      <c r="G276" s="8">
        <v>6972.55</v>
      </c>
      <c r="H276" s="8">
        <v>7030.5</v>
      </c>
      <c r="I276" s="8">
        <v>7013.98</v>
      </c>
      <c r="J276" s="8">
        <v>6995.52</v>
      </c>
      <c r="K276" s="8">
        <v>7007.59</v>
      </c>
      <c r="L276" s="8">
        <v>7079.45</v>
      </c>
      <c r="M276" s="50"/>
      <c r="N276" s="50"/>
      <c r="O276" s="50"/>
      <c r="P276" s="50"/>
      <c r="Q276" s="57">
        <f>IF((L277=""),"",MAX(D278:L278))</f>
        <v>3380.3599999999988</v>
      </c>
      <c r="R276" s="57">
        <f>IF(L277="","",MIN(D278:L278))</f>
        <v>3294.7199999999993</v>
      </c>
      <c r="S276" s="58">
        <f>IF((L278=""),"",AVERAGE(D278:L278))</f>
        <v>3321.5777777777776</v>
      </c>
      <c r="T276" s="57">
        <f>IF((L277=""),"",((Q276-R276)/(Q276+R276))*100)</f>
        <v>1.2829808781317893</v>
      </c>
      <c r="U276" s="56">
        <f>STDEV(D276:L276)</f>
        <v>32.95513722387512</v>
      </c>
      <c r="V276" s="55" t="str">
        <f>IF(L277="","",(IF(T276&lt;7,IF(S276&gt;2800,IF(S276&lt;3800,"Pass","Fail"),"Fail"),"Fail")))</f>
        <v>Pass</v>
      </c>
      <c r="W276" s="57">
        <v>1400</v>
      </c>
      <c r="X276" s="255"/>
      <c r="Z276" s="53">
        <v>2800</v>
      </c>
      <c r="AA276" s="53">
        <v>3800</v>
      </c>
      <c r="AB276" s="53">
        <v>3100</v>
      </c>
      <c r="AC276" s="53">
        <v>3760</v>
      </c>
      <c r="AD276" s="52">
        <v>6</v>
      </c>
    </row>
    <row r="277" spans="1:30" ht="16.5" customHeight="1" x14ac:dyDescent="0.35">
      <c r="A277" s="206"/>
      <c r="B277" s="48"/>
      <c r="C277" s="51" t="s">
        <v>157</v>
      </c>
      <c r="D277" s="8">
        <v>5329.72</v>
      </c>
      <c r="E277" s="8">
        <v>5327.86</v>
      </c>
      <c r="F277" s="8">
        <v>5358.04</v>
      </c>
      <c r="G277" s="8">
        <v>5316.82</v>
      </c>
      <c r="H277" s="8">
        <v>5355.22</v>
      </c>
      <c r="I277" s="8">
        <v>5323.8</v>
      </c>
      <c r="J277" s="8">
        <v>5343.54</v>
      </c>
      <c r="K277" s="8">
        <v>5349.66</v>
      </c>
      <c r="L277" s="8">
        <v>5424.31</v>
      </c>
      <c r="M277" s="50"/>
      <c r="N277" s="50"/>
      <c r="O277" s="50"/>
      <c r="P277" s="50"/>
      <c r="Q277" s="48"/>
      <c r="R277" s="48"/>
      <c r="S277" s="49"/>
      <c r="T277" s="48"/>
      <c r="U277" s="48"/>
      <c r="V277" s="47"/>
      <c r="W277" s="48"/>
      <c r="X277" s="77"/>
      <c r="Z277" s="37">
        <v>2000</v>
      </c>
      <c r="AA277" s="37">
        <v>3000</v>
      </c>
      <c r="AB277" s="37">
        <v>2500</v>
      </c>
      <c r="AC277" s="37">
        <v>2950</v>
      </c>
      <c r="AD277" s="39">
        <v>9.6</v>
      </c>
    </row>
    <row r="278" spans="1:30" ht="24.8" customHeight="1" thickBot="1" x14ac:dyDescent="0.4">
      <c r="A278" s="206"/>
      <c r="B278" s="42"/>
      <c r="C278" s="45" t="s">
        <v>156</v>
      </c>
      <c r="D278" s="44">
        <f t="shared" ref="D278:L278" si="87">IF(((D276="")*AND(D277="")),"",(D276-D277)*2)</f>
        <v>3294.7199999999993</v>
      </c>
      <c r="E278" s="44">
        <f t="shared" si="87"/>
        <v>3310.92</v>
      </c>
      <c r="F278" s="44">
        <f t="shared" si="87"/>
        <v>3316.08</v>
      </c>
      <c r="G278" s="44">
        <f t="shared" si="87"/>
        <v>3311.4600000000009</v>
      </c>
      <c r="H278" s="44">
        <f t="shared" si="87"/>
        <v>3350.5599999999995</v>
      </c>
      <c r="I278" s="44">
        <f t="shared" si="87"/>
        <v>3380.3599999999988</v>
      </c>
      <c r="J278" s="44">
        <f t="shared" si="87"/>
        <v>3303.9600000000009</v>
      </c>
      <c r="K278" s="44">
        <f t="shared" si="87"/>
        <v>3315.8600000000006</v>
      </c>
      <c r="L278" s="44">
        <f t="shared" si="87"/>
        <v>3310.2799999999988</v>
      </c>
      <c r="M278" s="44"/>
      <c r="N278" s="44"/>
      <c r="O278" s="44"/>
      <c r="P278" s="44"/>
      <c r="Q278" s="42"/>
      <c r="R278" s="42"/>
      <c r="S278" s="43"/>
      <c r="T278" s="42"/>
      <c r="U278" s="42"/>
      <c r="V278" s="41"/>
      <c r="W278" s="42"/>
      <c r="X278" s="76"/>
      <c r="Z278" s="37">
        <v>2000</v>
      </c>
      <c r="AA278" s="37">
        <v>3000</v>
      </c>
      <c r="AB278" s="37">
        <v>2500</v>
      </c>
      <c r="AC278" s="37">
        <v>2950</v>
      </c>
      <c r="AD278" s="39">
        <v>9.6</v>
      </c>
    </row>
    <row r="279" spans="1:30" x14ac:dyDescent="0.25">
      <c r="A279" s="208">
        <v>42843</v>
      </c>
      <c r="B279" s="63" t="s">
        <v>160</v>
      </c>
      <c r="C279" s="56" t="s">
        <v>158</v>
      </c>
      <c r="D279" s="8">
        <v>1924.58</v>
      </c>
      <c r="E279" s="8">
        <v>1916.16</v>
      </c>
      <c r="F279" s="8">
        <v>1906.81</v>
      </c>
      <c r="G279" s="8">
        <v>1914.4</v>
      </c>
      <c r="H279" s="8">
        <v>1925.73</v>
      </c>
      <c r="I279" s="8">
        <v>1918.34</v>
      </c>
      <c r="J279" s="8">
        <v>1914.8</v>
      </c>
      <c r="K279" s="8">
        <v>1916.44</v>
      </c>
      <c r="L279" s="8">
        <v>1927.38</v>
      </c>
      <c r="M279" s="62"/>
      <c r="N279" s="62"/>
      <c r="O279" s="62"/>
      <c r="P279" s="62"/>
      <c r="Q279" s="63">
        <f>IF((L280=""),"",MAX(D281:L281))</f>
        <v>2693.6799999999994</v>
      </c>
      <c r="R279" s="63">
        <f>IF(L280="","",MIN(D281:L281))</f>
        <v>2492.6399999999994</v>
      </c>
      <c r="S279" s="63">
        <f>IF((L281=""),"",AVERAGE(D281:L281))</f>
        <v>2574.2133333333336</v>
      </c>
      <c r="T279" s="63">
        <f>IF((L280=""),"",((Q279-R279)/(Q279+R279))*100)</f>
        <v>3.8763516327569456</v>
      </c>
      <c r="U279" s="51">
        <f>STDEV(D279:L279)</f>
        <v>6.5632518616917492</v>
      </c>
      <c r="V279" s="64" t="str">
        <f>IF(L280="","",(IF(T279&lt;12,IF(S279&gt;2200,IF(S279&lt;3280,"Pass","Fail"),"Fail"),"Fail")))</f>
        <v>Pass</v>
      </c>
      <c r="W279" s="63">
        <v>1159</v>
      </c>
      <c r="X279" s="254" t="s">
        <v>195</v>
      </c>
      <c r="Z279" s="37">
        <v>2000</v>
      </c>
      <c r="AA279" s="37">
        <v>3000</v>
      </c>
      <c r="AB279" s="37">
        <v>2200</v>
      </c>
      <c r="AC279" s="37">
        <v>3280</v>
      </c>
      <c r="AD279" s="39">
        <v>12</v>
      </c>
    </row>
    <row r="280" spans="1:30" ht="16.5" customHeight="1" x14ac:dyDescent="0.35">
      <c r="A280" s="206"/>
      <c r="B280" s="48"/>
      <c r="C280" s="51" t="s">
        <v>157</v>
      </c>
      <c r="D280" s="8">
        <v>1251.1600000000001</v>
      </c>
      <c r="E280" s="8">
        <v>1267.57</v>
      </c>
      <c r="F280" s="8">
        <v>1283.6500000000001</v>
      </c>
      <c r="G280" s="8">
        <v>1285.93</v>
      </c>
      <c r="H280" s="8">
        <v>1299.28</v>
      </c>
      <c r="I280" s="8">
        <v>1248.4100000000001</v>
      </c>
      <c r="J280" s="8">
        <v>1266.8</v>
      </c>
      <c r="K280" s="8">
        <v>1282.6600000000001</v>
      </c>
      <c r="L280" s="8">
        <v>1287.2</v>
      </c>
      <c r="M280" s="50"/>
      <c r="N280" s="50"/>
      <c r="O280" s="50"/>
      <c r="P280" s="50"/>
      <c r="Q280" s="48"/>
      <c r="R280" s="48"/>
      <c r="S280" s="48"/>
      <c r="T280" s="48"/>
      <c r="U280" s="48"/>
      <c r="V280" s="47"/>
      <c r="W280" s="48"/>
      <c r="X280" s="77"/>
      <c r="Z280" s="37">
        <v>2000</v>
      </c>
      <c r="AA280" s="37">
        <v>3000</v>
      </c>
      <c r="AB280" s="37">
        <v>2500</v>
      </c>
      <c r="AC280" s="37">
        <v>2950</v>
      </c>
      <c r="AD280" s="39">
        <v>9.6</v>
      </c>
    </row>
    <row r="281" spans="1:30" ht="24.8" customHeight="1" thickBot="1" x14ac:dyDescent="0.4">
      <c r="A281" s="206"/>
      <c r="B281" s="61"/>
      <c r="C281" s="51" t="s">
        <v>156</v>
      </c>
      <c r="D281" s="24">
        <f t="shared" ref="D281:L281" si="88">IF(((D279="")*AND(D280="")),"",(D279-D280)*4)</f>
        <v>2693.6799999999994</v>
      </c>
      <c r="E281" s="24">
        <f t="shared" si="88"/>
        <v>2594.3600000000006</v>
      </c>
      <c r="F281" s="24">
        <f t="shared" si="88"/>
        <v>2492.6399999999994</v>
      </c>
      <c r="G281" s="24">
        <f t="shared" si="88"/>
        <v>2513.88</v>
      </c>
      <c r="H281" s="24">
        <f t="shared" si="88"/>
        <v>2505.8000000000002</v>
      </c>
      <c r="I281" s="24">
        <f t="shared" si="88"/>
        <v>2679.7199999999993</v>
      </c>
      <c r="J281" s="24">
        <f t="shared" si="88"/>
        <v>2592</v>
      </c>
      <c r="K281" s="24">
        <f t="shared" si="88"/>
        <v>2535.12</v>
      </c>
      <c r="L281" s="24">
        <f t="shared" si="88"/>
        <v>2560.7200000000003</v>
      </c>
      <c r="M281" s="24"/>
      <c r="N281" s="24"/>
      <c r="O281" s="24"/>
      <c r="P281" s="24" t="str">
        <f>IF(((P279="")*AND(P280="")),"",(P279-P280)*4)</f>
        <v/>
      </c>
      <c r="Q281" s="61"/>
      <c r="R281" s="61"/>
      <c r="S281" s="61"/>
      <c r="T281" s="61"/>
      <c r="U281" s="61"/>
      <c r="V281" s="60"/>
      <c r="W281" s="61"/>
      <c r="X281" s="77"/>
      <c r="Z281" s="37">
        <v>2000</v>
      </c>
      <c r="AA281" s="37">
        <v>3000</v>
      </c>
      <c r="AB281" s="37">
        <v>2500</v>
      </c>
      <c r="AC281" s="37">
        <v>2950</v>
      </c>
      <c r="AD281" s="39">
        <v>9.6</v>
      </c>
    </row>
    <row r="282" spans="1:30" x14ac:dyDescent="0.25">
      <c r="A282" s="208">
        <v>42843</v>
      </c>
      <c r="B282" s="57" t="s">
        <v>159</v>
      </c>
      <c r="C282" s="51" t="s">
        <v>158</v>
      </c>
      <c r="D282" s="8">
        <v>6850.61</v>
      </c>
      <c r="E282" s="8">
        <v>6875.93</v>
      </c>
      <c r="F282" s="8">
        <v>6912.32</v>
      </c>
      <c r="G282" s="8">
        <v>6859.08</v>
      </c>
      <c r="H282" s="8">
        <v>6896.55</v>
      </c>
      <c r="I282" s="8">
        <v>6874.52</v>
      </c>
      <c r="J282" s="8">
        <v>6879.4</v>
      </c>
      <c r="K282" s="8">
        <v>6894.88</v>
      </c>
      <c r="L282" s="8">
        <v>6947.79</v>
      </c>
      <c r="M282" s="50"/>
      <c r="N282" s="50"/>
      <c r="O282" s="50"/>
      <c r="P282" s="50"/>
      <c r="Q282" s="57">
        <f>IF((L283=""),"",MAX(D284:L284))</f>
        <v>3387.5400000000009</v>
      </c>
      <c r="R282" s="57">
        <f>IF(L283="","",MIN(D284:L284))</f>
        <v>3308.0199999999986</v>
      </c>
      <c r="S282" s="58">
        <f>IF((L284=""),"",AVERAGE(D284:L284))</f>
        <v>3331.4088888888896</v>
      </c>
      <c r="T282" s="57">
        <f>IF((L283=""),"",((Q282-R282)/(Q282+R282))*100)</f>
        <v>1.1876527131412797</v>
      </c>
      <c r="U282" s="56">
        <f>STDEV(D282:L282)</f>
        <v>29.415946261244848</v>
      </c>
      <c r="V282" s="55" t="str">
        <f>IF(L283="","",(IF(T282&lt;7,IF(S282&gt;2800,IF(S282&lt;3800,"Pass","Fail"),"Fail"),"Fail")))</f>
        <v>Pass</v>
      </c>
      <c r="W282" s="57">
        <v>1159</v>
      </c>
      <c r="X282" s="254" t="s">
        <v>195</v>
      </c>
      <c r="Z282" s="53">
        <v>2800</v>
      </c>
      <c r="AA282" s="53">
        <v>3800</v>
      </c>
      <c r="AB282" s="53">
        <v>3100</v>
      </c>
      <c r="AC282" s="53">
        <v>3760</v>
      </c>
      <c r="AD282" s="52">
        <v>6</v>
      </c>
    </row>
    <row r="283" spans="1:30" ht="16.5" customHeight="1" x14ac:dyDescent="0.35">
      <c r="A283" s="206"/>
      <c r="B283" s="48"/>
      <c r="C283" s="51" t="s">
        <v>157</v>
      </c>
      <c r="D283" s="8">
        <v>5182.3599999999997</v>
      </c>
      <c r="E283" s="8">
        <v>5221.49</v>
      </c>
      <c r="F283" s="8">
        <v>5258.31</v>
      </c>
      <c r="G283" s="8">
        <v>5202.17</v>
      </c>
      <c r="H283" s="8">
        <v>5215.75</v>
      </c>
      <c r="I283" s="8">
        <v>5180.75</v>
      </c>
      <c r="J283" s="8">
        <v>5223.95</v>
      </c>
      <c r="K283" s="8">
        <v>5237.4799999999996</v>
      </c>
      <c r="L283" s="8">
        <v>5277.48</v>
      </c>
      <c r="M283" s="50"/>
      <c r="N283" s="50"/>
      <c r="O283" s="50"/>
      <c r="P283" s="50"/>
      <c r="Q283" s="48"/>
      <c r="R283" s="48"/>
      <c r="S283" s="49"/>
      <c r="T283" s="48"/>
      <c r="U283" s="48"/>
      <c r="V283" s="47"/>
      <c r="W283" s="48"/>
      <c r="X283" s="77"/>
      <c r="Z283" s="37">
        <v>2000</v>
      </c>
      <c r="AA283" s="37">
        <v>3000</v>
      </c>
      <c r="AB283" s="37">
        <v>2500</v>
      </c>
      <c r="AC283" s="37">
        <v>2950</v>
      </c>
      <c r="AD283" s="39">
        <v>9.6</v>
      </c>
    </row>
    <row r="284" spans="1:30" ht="24.8" customHeight="1" thickBot="1" x14ac:dyDescent="0.4">
      <c r="A284" s="206"/>
      <c r="B284" s="42"/>
      <c r="C284" s="45" t="s">
        <v>156</v>
      </c>
      <c r="D284" s="44">
        <f t="shared" ref="D284:L284" si="89">IF(((D282="")*AND(D283="")),"",(D282-D283)*2)</f>
        <v>3336.5</v>
      </c>
      <c r="E284" s="44">
        <f t="shared" si="89"/>
        <v>3308.880000000001</v>
      </c>
      <c r="F284" s="44">
        <f t="shared" si="89"/>
        <v>3308.0199999999986</v>
      </c>
      <c r="G284" s="44">
        <f t="shared" si="89"/>
        <v>3313.8199999999997</v>
      </c>
      <c r="H284" s="44">
        <f t="shared" si="89"/>
        <v>3361.6000000000004</v>
      </c>
      <c r="I284" s="44">
        <f t="shared" si="89"/>
        <v>3387.5400000000009</v>
      </c>
      <c r="J284" s="44">
        <f t="shared" si="89"/>
        <v>3310.8999999999996</v>
      </c>
      <c r="K284" s="44">
        <f t="shared" si="89"/>
        <v>3314.8000000000011</v>
      </c>
      <c r="L284" s="44">
        <f t="shared" si="89"/>
        <v>3340.6200000000008</v>
      </c>
      <c r="M284" s="44"/>
      <c r="N284" s="44"/>
      <c r="O284" s="44"/>
      <c r="P284" s="44"/>
      <c r="Q284" s="42"/>
      <c r="R284" s="42"/>
      <c r="S284" s="43"/>
      <c r="T284" s="42"/>
      <c r="U284" s="42"/>
      <c r="V284" s="41"/>
      <c r="W284" s="42"/>
      <c r="X284" s="76"/>
      <c r="Z284" s="37">
        <v>2000</v>
      </c>
      <c r="AA284" s="37">
        <v>3000</v>
      </c>
      <c r="AB284" s="37">
        <v>2500</v>
      </c>
      <c r="AC284" s="37">
        <v>2950</v>
      </c>
      <c r="AD284" s="39">
        <v>9.6</v>
      </c>
    </row>
    <row r="285" spans="1:30" x14ac:dyDescent="0.25">
      <c r="A285" s="208">
        <v>42846</v>
      </c>
      <c r="B285" s="63" t="s">
        <v>160</v>
      </c>
      <c r="C285" s="56" t="s">
        <v>158</v>
      </c>
      <c r="D285" s="8">
        <v>1929.74</v>
      </c>
      <c r="E285" s="8">
        <v>1921.75</v>
      </c>
      <c r="F285" s="8">
        <v>1909.71</v>
      </c>
      <c r="G285" s="8">
        <v>1919.4</v>
      </c>
      <c r="H285" s="8">
        <v>1928.81</v>
      </c>
      <c r="I285" s="8">
        <v>1927.76</v>
      </c>
      <c r="J285" s="8">
        <v>1919.85</v>
      </c>
      <c r="K285" s="8">
        <v>1918.02</v>
      </c>
      <c r="L285" s="8">
        <v>1925.64</v>
      </c>
      <c r="M285" s="62"/>
      <c r="N285" s="62"/>
      <c r="O285" s="62"/>
      <c r="P285" s="62"/>
      <c r="Q285" s="63">
        <f>IF((L286=""),"",MAX(D287:L287))</f>
        <v>2655.88</v>
      </c>
      <c r="R285" s="63">
        <f>IF(L286="","",MIN(D287:L287))</f>
        <v>2490.5200000000004</v>
      </c>
      <c r="S285" s="63">
        <f>IF((L287=""),"",AVERAGE(D287:L287))</f>
        <v>2560.6577777777779</v>
      </c>
      <c r="T285" s="63">
        <f>IF((L286=""),"",((Q285-R285)/(Q285+R285))*100)</f>
        <v>3.2131198507694627</v>
      </c>
      <c r="U285" s="51">
        <f>STDEV(D285:L285)</f>
        <v>6.4249742757807473</v>
      </c>
      <c r="V285" s="64" t="str">
        <f>IF(L286="","",(IF(T285&lt;12,IF(S285&gt;2200,IF(S285&lt;3280,"Pass","Fail"),"Fail"),"Fail")))</f>
        <v>Pass</v>
      </c>
      <c r="W285" s="63">
        <v>1159</v>
      </c>
      <c r="X285" s="254" t="s">
        <v>194</v>
      </c>
      <c r="Z285" s="37">
        <v>2000</v>
      </c>
      <c r="AA285" s="37">
        <v>3000</v>
      </c>
      <c r="AB285" s="37">
        <v>2200</v>
      </c>
      <c r="AC285" s="37">
        <v>3280</v>
      </c>
      <c r="AD285" s="39">
        <v>12</v>
      </c>
    </row>
    <row r="286" spans="1:30" ht="16.5" customHeight="1" x14ac:dyDescent="0.35">
      <c r="A286" s="206"/>
      <c r="B286" s="48"/>
      <c r="C286" s="51" t="s">
        <v>157</v>
      </c>
      <c r="D286" s="8">
        <v>1266.21</v>
      </c>
      <c r="E286" s="8">
        <v>1276.9000000000001</v>
      </c>
      <c r="F286" s="8">
        <v>1287.08</v>
      </c>
      <c r="G286" s="8">
        <v>1288.05</v>
      </c>
      <c r="H286" s="8">
        <v>1304.6300000000001</v>
      </c>
      <c r="I286" s="8">
        <v>1263.79</v>
      </c>
      <c r="J286" s="8">
        <v>1269.9000000000001</v>
      </c>
      <c r="K286" s="8">
        <v>1286.29</v>
      </c>
      <c r="L286" s="8">
        <v>1296.3499999999999</v>
      </c>
      <c r="M286" s="50"/>
      <c r="N286" s="50"/>
      <c r="O286" s="50"/>
      <c r="P286" s="50"/>
      <c r="Q286" s="48"/>
      <c r="R286" s="48"/>
      <c r="S286" s="48"/>
      <c r="T286" s="48"/>
      <c r="U286" s="48"/>
      <c r="V286" s="47"/>
      <c r="W286" s="48"/>
      <c r="X286" s="77"/>
      <c r="Z286" s="37">
        <v>2000</v>
      </c>
      <c r="AA286" s="37">
        <v>3000</v>
      </c>
      <c r="AB286" s="37">
        <v>2500</v>
      </c>
      <c r="AC286" s="37">
        <v>2950</v>
      </c>
      <c r="AD286" s="39">
        <v>9.6</v>
      </c>
    </row>
    <row r="287" spans="1:30" ht="24.8" customHeight="1" thickBot="1" x14ac:dyDescent="0.4">
      <c r="A287" s="206"/>
      <c r="B287" s="61"/>
      <c r="C287" s="51" t="s">
        <v>156</v>
      </c>
      <c r="D287" s="24">
        <f t="shared" ref="D287:L287" si="90">IF(((D285="")*AND(D286="")),"",(D285-D286)*4)</f>
        <v>2654.12</v>
      </c>
      <c r="E287" s="24">
        <f t="shared" si="90"/>
        <v>2579.3999999999996</v>
      </c>
      <c r="F287" s="24">
        <f t="shared" si="90"/>
        <v>2490.5200000000004</v>
      </c>
      <c r="G287" s="24">
        <f t="shared" si="90"/>
        <v>2525.4000000000005</v>
      </c>
      <c r="H287" s="24">
        <f t="shared" si="90"/>
        <v>2496.7199999999993</v>
      </c>
      <c r="I287" s="24">
        <f t="shared" si="90"/>
        <v>2655.88</v>
      </c>
      <c r="J287" s="24">
        <f t="shared" si="90"/>
        <v>2599.7999999999993</v>
      </c>
      <c r="K287" s="24">
        <f t="shared" si="90"/>
        <v>2526.92</v>
      </c>
      <c r="L287" s="24">
        <f t="shared" si="90"/>
        <v>2517.1600000000008</v>
      </c>
      <c r="M287" s="24"/>
      <c r="N287" s="24"/>
      <c r="O287" s="24"/>
      <c r="P287" s="24" t="str">
        <f>IF(((P285="")*AND(P286="")),"",(P285-P286)*4)</f>
        <v/>
      </c>
      <c r="Q287" s="61"/>
      <c r="R287" s="61"/>
      <c r="S287" s="61"/>
      <c r="T287" s="61"/>
      <c r="U287" s="61"/>
      <c r="V287" s="60"/>
      <c r="W287" s="61"/>
      <c r="X287" s="77"/>
      <c r="Z287" s="37">
        <v>2000</v>
      </c>
      <c r="AA287" s="37">
        <v>3000</v>
      </c>
      <c r="AB287" s="37">
        <v>2500</v>
      </c>
      <c r="AC287" s="37">
        <v>2950</v>
      </c>
      <c r="AD287" s="39">
        <v>9.6</v>
      </c>
    </row>
    <row r="288" spans="1:30" x14ac:dyDescent="0.25">
      <c r="A288" s="208">
        <v>42846</v>
      </c>
      <c r="B288" s="57" t="s">
        <v>159</v>
      </c>
      <c r="C288" s="51" t="s">
        <v>158</v>
      </c>
      <c r="D288" s="8">
        <v>5190.3500000000004</v>
      </c>
      <c r="E288" s="8">
        <v>5228.8999999999996</v>
      </c>
      <c r="F288" s="8">
        <v>5266.23</v>
      </c>
      <c r="G288" s="8">
        <v>5209.7299999999996</v>
      </c>
      <c r="H288" s="8">
        <v>5223.67</v>
      </c>
      <c r="I288" s="8">
        <v>5188.2</v>
      </c>
      <c r="J288" s="8">
        <v>5231.45</v>
      </c>
      <c r="K288" s="8">
        <v>5245.47</v>
      </c>
      <c r="L288" s="8">
        <v>5285.83</v>
      </c>
      <c r="M288" s="50"/>
      <c r="N288" s="50"/>
      <c r="O288" s="50"/>
      <c r="P288" s="50"/>
      <c r="Q288" s="57">
        <f>IF((L289=""),"",MAX(D290:L290))</f>
        <v>3355.2</v>
      </c>
      <c r="R288" s="57">
        <f>IF(L289="","",MIN(D290:L290))</f>
        <v>3301.4799999999996</v>
      </c>
      <c r="S288" s="58">
        <f>IF((L290=""),"",AVERAGE(D290:L290))</f>
        <v>3320.4244444444444</v>
      </c>
      <c r="T288" s="57">
        <f>IF((L289=""),"",((Q288-R288)/(Q288+R288))*100)</f>
        <v>0.80700889933120212</v>
      </c>
      <c r="U288" s="56">
        <f>STDEV(D288:L288)</f>
        <v>32.485643538509549</v>
      </c>
      <c r="V288" s="55" t="str">
        <f>IF(L289="","",(IF(T288&lt;7,IF(S288&gt;2800,IF(S288&lt;3800,"Pass","Fail"),"Fail"),"Fail")))</f>
        <v>Pass</v>
      </c>
      <c r="W288" s="57">
        <v>1159</v>
      </c>
      <c r="X288" s="254" t="s">
        <v>194</v>
      </c>
      <c r="Z288" s="53">
        <v>2800</v>
      </c>
      <c r="AA288" s="53">
        <v>3800</v>
      </c>
      <c r="AB288" s="53">
        <v>3100</v>
      </c>
      <c r="AC288" s="53">
        <v>3760</v>
      </c>
      <c r="AD288" s="52">
        <v>6</v>
      </c>
    </row>
    <row r="289" spans="1:30" ht="16.5" customHeight="1" x14ac:dyDescent="0.35">
      <c r="A289" s="206"/>
      <c r="B289" s="48"/>
      <c r="C289" s="51" t="s">
        <v>157</v>
      </c>
      <c r="D289" s="8">
        <v>3522.63</v>
      </c>
      <c r="E289" s="8">
        <v>3573.69</v>
      </c>
      <c r="F289" s="8">
        <v>3612.69</v>
      </c>
      <c r="G289" s="8">
        <v>3558.99</v>
      </c>
      <c r="H289" s="8">
        <v>3563.65</v>
      </c>
      <c r="I289" s="8">
        <v>3510.6</v>
      </c>
      <c r="J289" s="8">
        <v>3579.2</v>
      </c>
      <c r="K289" s="8">
        <v>3589.07</v>
      </c>
      <c r="L289" s="8">
        <v>3617.4</v>
      </c>
      <c r="M289" s="50"/>
      <c r="N289" s="50"/>
      <c r="O289" s="50"/>
      <c r="P289" s="50"/>
      <c r="Q289" s="48"/>
      <c r="R289" s="48"/>
      <c r="S289" s="49"/>
      <c r="T289" s="48"/>
      <c r="U289" s="48"/>
      <c r="V289" s="47"/>
      <c r="W289" s="48"/>
      <c r="X289" s="77"/>
      <c r="Z289" s="37">
        <v>2000</v>
      </c>
      <c r="AA289" s="37">
        <v>3000</v>
      </c>
      <c r="AB289" s="37">
        <v>2500</v>
      </c>
      <c r="AC289" s="37">
        <v>2950</v>
      </c>
      <c r="AD289" s="39">
        <v>9.6</v>
      </c>
    </row>
    <row r="290" spans="1:30" ht="24.8" customHeight="1" thickBot="1" x14ac:dyDescent="0.4">
      <c r="A290" s="206"/>
      <c r="B290" s="42"/>
      <c r="C290" s="45" t="s">
        <v>156</v>
      </c>
      <c r="D290" s="44">
        <f t="shared" ref="D290:L290" si="91">IF(((D288="")*AND(D289="")),"",(D288-D289)*2)</f>
        <v>3335.4400000000005</v>
      </c>
      <c r="E290" s="44">
        <f t="shared" si="91"/>
        <v>3310.4199999999992</v>
      </c>
      <c r="F290" s="44">
        <f t="shared" si="91"/>
        <v>3307.079999999999</v>
      </c>
      <c r="G290" s="44">
        <f t="shared" si="91"/>
        <v>3301.4799999999996</v>
      </c>
      <c r="H290" s="44">
        <f t="shared" si="91"/>
        <v>3320.04</v>
      </c>
      <c r="I290" s="44">
        <f t="shared" si="91"/>
        <v>3355.2</v>
      </c>
      <c r="J290" s="44">
        <f t="shared" si="91"/>
        <v>3304.5</v>
      </c>
      <c r="K290" s="44">
        <f t="shared" si="91"/>
        <v>3312.8</v>
      </c>
      <c r="L290" s="44">
        <f t="shared" si="91"/>
        <v>3336.8599999999997</v>
      </c>
      <c r="M290" s="44"/>
      <c r="N290" s="44"/>
      <c r="O290" s="44"/>
      <c r="P290" s="44"/>
      <c r="Q290" s="42"/>
      <c r="R290" s="42"/>
      <c r="S290" s="43"/>
      <c r="T290" s="42"/>
      <c r="U290" s="42"/>
      <c r="V290" s="41"/>
      <c r="W290" s="42"/>
      <c r="X290" s="76"/>
      <c r="Z290" s="37">
        <v>2000</v>
      </c>
      <c r="AA290" s="37">
        <v>3000</v>
      </c>
      <c r="AB290" s="37">
        <v>2500</v>
      </c>
      <c r="AC290" s="37">
        <v>2950</v>
      </c>
      <c r="AD290" s="39">
        <v>9.6</v>
      </c>
    </row>
    <row r="291" spans="1:30" x14ac:dyDescent="0.25">
      <c r="A291" s="208">
        <v>42850</v>
      </c>
      <c r="B291" s="63" t="s">
        <v>160</v>
      </c>
      <c r="C291" s="56" t="s">
        <v>158</v>
      </c>
      <c r="D291" s="8">
        <v>2174.36</v>
      </c>
      <c r="E291" s="8">
        <v>2146.4299999999998</v>
      </c>
      <c r="F291" s="8">
        <v>2130.6999999999998</v>
      </c>
      <c r="G291" s="8">
        <v>2139.9699999999998</v>
      </c>
      <c r="H291" s="8">
        <v>2169.35</v>
      </c>
      <c r="I291" s="8">
        <v>2176.35</v>
      </c>
      <c r="J291" s="8">
        <v>2145.6799999999998</v>
      </c>
      <c r="K291" s="8">
        <v>2140.0700000000002</v>
      </c>
      <c r="L291" s="8">
        <v>2169.1999999999998</v>
      </c>
      <c r="M291" s="62"/>
      <c r="N291" s="62"/>
      <c r="O291" s="62"/>
      <c r="P291" s="62"/>
      <c r="Q291" s="63">
        <f>IF((L292=""),"",MAX(D293:L293))</f>
        <v>2964.8399999999992</v>
      </c>
      <c r="R291" s="63">
        <f>IF(L292="","",MIN(D293:L293))</f>
        <v>2683.5999999999995</v>
      </c>
      <c r="S291" s="63">
        <f>IF((L293=""),"",AVERAGE(D293:L293))</f>
        <v>2819.6355555555556</v>
      </c>
      <c r="T291" s="63">
        <f>IF((L292=""),"",((Q291-R291)/(Q291+R291))*100)</f>
        <v>4.9790738681830709</v>
      </c>
      <c r="U291" s="51">
        <f>STDEV(D291:L291)</f>
        <v>17.453043032981732</v>
      </c>
      <c r="V291" s="64" t="str">
        <f>IF(L292="","",(IF(T291&lt;12,IF(S291&gt;2200,IF(S291&lt;3280,"Pass","Fail"),"Fail"),"Fail")))</f>
        <v>Pass</v>
      </c>
      <c r="W291" s="63">
        <v>1335</v>
      </c>
      <c r="Z291" s="37">
        <v>2000</v>
      </c>
      <c r="AA291" s="37">
        <v>3000</v>
      </c>
      <c r="AB291" s="37">
        <v>2200</v>
      </c>
      <c r="AC291" s="37">
        <v>3280</v>
      </c>
      <c r="AD291" s="39">
        <v>12</v>
      </c>
    </row>
    <row r="292" spans="1:30" ht="16.5" customHeight="1" x14ac:dyDescent="0.35">
      <c r="A292" s="206"/>
      <c r="B292" s="48"/>
      <c r="C292" s="51" t="s">
        <v>157</v>
      </c>
      <c r="D292" s="8">
        <v>1434.77</v>
      </c>
      <c r="E292" s="8">
        <v>1445.85</v>
      </c>
      <c r="F292" s="8">
        <v>1459.8</v>
      </c>
      <c r="G292" s="8">
        <v>1452.44</v>
      </c>
      <c r="H292" s="8">
        <v>1464.65</v>
      </c>
      <c r="I292" s="8">
        <v>1435.14</v>
      </c>
      <c r="J292" s="8">
        <v>1441.38</v>
      </c>
      <c r="K292" s="8">
        <v>1453.59</v>
      </c>
      <c r="L292" s="8">
        <v>1460.31</v>
      </c>
      <c r="M292" s="50"/>
      <c r="N292" s="50"/>
      <c r="O292" s="50"/>
      <c r="P292" s="50"/>
      <c r="Q292" s="48"/>
      <c r="R292" s="48"/>
      <c r="S292" s="48"/>
      <c r="T292" s="48"/>
      <c r="U292" s="48"/>
      <c r="V292" s="47"/>
      <c r="W292" s="48"/>
      <c r="X292" s="8"/>
      <c r="Z292" s="37">
        <v>2000</v>
      </c>
      <c r="AA292" s="37">
        <v>3000</v>
      </c>
      <c r="AB292" s="37">
        <v>2500</v>
      </c>
      <c r="AC292" s="37">
        <v>2950</v>
      </c>
      <c r="AD292" s="39">
        <v>9.6</v>
      </c>
    </row>
    <row r="293" spans="1:30" ht="24.8" customHeight="1" thickBot="1" x14ac:dyDescent="0.4">
      <c r="A293" s="206"/>
      <c r="B293" s="61"/>
      <c r="C293" s="51" t="s">
        <v>156</v>
      </c>
      <c r="D293" s="24">
        <f t="shared" ref="D293:L293" si="92">IF(((D291="")*AND(D292="")),"",(D291-D292)*4)</f>
        <v>2958.3600000000006</v>
      </c>
      <c r="E293" s="24">
        <f t="shared" si="92"/>
        <v>2802.3199999999997</v>
      </c>
      <c r="F293" s="24">
        <f t="shared" si="92"/>
        <v>2683.5999999999995</v>
      </c>
      <c r="G293" s="24">
        <f t="shared" si="92"/>
        <v>2750.119999999999</v>
      </c>
      <c r="H293" s="24">
        <f t="shared" si="92"/>
        <v>2818.7999999999993</v>
      </c>
      <c r="I293" s="24">
        <f t="shared" si="92"/>
        <v>2964.8399999999992</v>
      </c>
      <c r="J293" s="24">
        <f t="shared" si="92"/>
        <v>2817.1999999999989</v>
      </c>
      <c r="K293" s="24">
        <f t="shared" si="92"/>
        <v>2745.920000000001</v>
      </c>
      <c r="L293" s="24">
        <f t="shared" si="92"/>
        <v>2835.5599999999995</v>
      </c>
      <c r="M293" s="24"/>
      <c r="N293" s="24"/>
      <c r="O293" s="24"/>
      <c r="P293" s="24" t="str">
        <f>IF(((P291="")*AND(P292="")),"",(P291-P292)*4)</f>
        <v/>
      </c>
      <c r="Q293" s="61"/>
      <c r="R293" s="61"/>
      <c r="S293" s="61"/>
      <c r="T293" s="61"/>
      <c r="U293" s="61"/>
      <c r="V293" s="60"/>
      <c r="W293" s="61"/>
      <c r="X293" s="8"/>
      <c r="Z293" s="37">
        <v>2000</v>
      </c>
      <c r="AA293" s="37">
        <v>3000</v>
      </c>
      <c r="AB293" s="37">
        <v>2500</v>
      </c>
      <c r="AC293" s="37">
        <v>2950</v>
      </c>
      <c r="AD293" s="39">
        <v>9.6</v>
      </c>
    </row>
    <row r="294" spans="1:30" x14ac:dyDescent="0.25">
      <c r="A294" s="208">
        <v>42850</v>
      </c>
      <c r="B294" s="57" t="s">
        <v>159</v>
      </c>
      <c r="C294" s="51" t="s">
        <v>158</v>
      </c>
      <c r="D294" s="8">
        <v>6974.09</v>
      </c>
      <c r="E294" s="8">
        <v>6981.18</v>
      </c>
      <c r="F294" s="8">
        <v>7017.66</v>
      </c>
      <c r="G294" s="8">
        <v>6973.36</v>
      </c>
      <c r="H294" s="8">
        <v>7030.36</v>
      </c>
      <c r="I294" s="8">
        <v>7017.02</v>
      </c>
      <c r="J294" s="8">
        <v>6996.69</v>
      </c>
      <c r="K294" s="8">
        <v>7009.4</v>
      </c>
      <c r="L294" s="8">
        <v>7076.86</v>
      </c>
      <c r="M294" s="50"/>
      <c r="N294" s="50"/>
      <c r="O294" s="50"/>
      <c r="P294" s="50"/>
      <c r="Q294" s="57">
        <f>IF((L295=""),"",MAX(D296:L296))</f>
        <v>3304.6600000000017</v>
      </c>
      <c r="R294" s="57">
        <f>IF(L295="","",MIN(D296:L296))</f>
        <v>3257.8999999999996</v>
      </c>
      <c r="S294" s="58">
        <f>IF((L296=""),"",AVERAGE(D296:L296))</f>
        <v>3276.4733333333334</v>
      </c>
      <c r="T294" s="57">
        <f>IF((L295=""),"",((Q294-R294)/(Q294+R294))*100)</f>
        <v>0.7125268188024495</v>
      </c>
      <c r="U294" s="56">
        <f>STDEV(D294:L294)</f>
        <v>32.811925804499708</v>
      </c>
      <c r="V294" s="55" t="str">
        <f>IF(L295="","",(IF(T294&lt;7,IF(S294&gt;2800,IF(S294&lt;3800,"Pass","Fail"),"Fail"),"Fail")))</f>
        <v>Pass</v>
      </c>
      <c r="W294" s="57">
        <v>1335</v>
      </c>
      <c r="Z294" s="53">
        <v>2800</v>
      </c>
      <c r="AA294" s="53">
        <v>3800</v>
      </c>
      <c r="AB294" s="53">
        <v>3100</v>
      </c>
      <c r="AC294" s="53">
        <v>3760</v>
      </c>
      <c r="AD294" s="52">
        <v>6</v>
      </c>
    </row>
    <row r="295" spans="1:30" ht="16.5" customHeight="1" x14ac:dyDescent="0.35">
      <c r="A295" s="206"/>
      <c r="B295" s="48"/>
      <c r="C295" s="51" t="s">
        <v>157</v>
      </c>
      <c r="D295" s="8">
        <v>5341.52</v>
      </c>
      <c r="E295" s="8">
        <v>5343.66</v>
      </c>
      <c r="F295" s="8">
        <v>5381.28</v>
      </c>
      <c r="G295" s="8">
        <v>5339.89</v>
      </c>
      <c r="H295" s="8">
        <v>5401.41</v>
      </c>
      <c r="I295" s="8">
        <v>5364.69</v>
      </c>
      <c r="J295" s="8">
        <v>5360.27</v>
      </c>
      <c r="K295" s="8">
        <v>5363.24</v>
      </c>
      <c r="L295" s="8">
        <v>5436.53</v>
      </c>
      <c r="M295" s="50"/>
      <c r="N295" s="50"/>
      <c r="O295" s="50"/>
      <c r="P295" s="50"/>
      <c r="Q295" s="48"/>
      <c r="R295" s="48"/>
      <c r="S295" s="49"/>
      <c r="T295" s="48"/>
      <c r="U295" s="48"/>
      <c r="V295" s="47"/>
      <c r="W295" s="48"/>
      <c r="X295" s="8"/>
      <c r="Z295" s="37">
        <v>2000</v>
      </c>
      <c r="AA295" s="37">
        <v>3000</v>
      </c>
      <c r="AB295" s="37">
        <v>2500</v>
      </c>
      <c r="AC295" s="37">
        <v>2950</v>
      </c>
      <c r="AD295" s="39">
        <v>9.6</v>
      </c>
    </row>
    <row r="296" spans="1:30" ht="24.8" customHeight="1" thickBot="1" x14ac:dyDescent="0.4">
      <c r="A296" s="206"/>
      <c r="B296" s="42"/>
      <c r="C296" s="45" t="s">
        <v>156</v>
      </c>
      <c r="D296" s="44">
        <f t="shared" ref="D296:L296" si="93">IF(((D294="")*AND(D295="")),"",(D294-D295)*2)</f>
        <v>3265.1399999999994</v>
      </c>
      <c r="E296" s="44">
        <f t="shared" si="93"/>
        <v>3275.0400000000009</v>
      </c>
      <c r="F296" s="44">
        <f t="shared" si="93"/>
        <v>3272.76</v>
      </c>
      <c r="G296" s="44">
        <f t="shared" si="93"/>
        <v>3266.9399999999987</v>
      </c>
      <c r="H296" s="44">
        <f t="shared" si="93"/>
        <v>3257.8999999999996</v>
      </c>
      <c r="I296" s="44">
        <f t="shared" si="93"/>
        <v>3304.6600000000017</v>
      </c>
      <c r="J296" s="44">
        <f t="shared" si="93"/>
        <v>3272.8399999999983</v>
      </c>
      <c r="K296" s="44">
        <f t="shared" si="93"/>
        <v>3292.3199999999997</v>
      </c>
      <c r="L296" s="44">
        <f t="shared" si="93"/>
        <v>3280.66</v>
      </c>
      <c r="M296" s="44"/>
      <c r="N296" s="44"/>
      <c r="O296" s="44"/>
      <c r="P296" s="44"/>
      <c r="Q296" s="42"/>
      <c r="R296" s="42"/>
      <c r="S296" s="43"/>
      <c r="T296" s="42"/>
      <c r="U296" s="42"/>
      <c r="V296" s="41"/>
      <c r="W296" s="42"/>
      <c r="X296" s="8"/>
      <c r="Z296" s="37">
        <v>2000</v>
      </c>
      <c r="AA296" s="37">
        <v>3000</v>
      </c>
      <c r="AB296" s="37">
        <v>2500</v>
      </c>
      <c r="AC296" s="37">
        <v>2950</v>
      </c>
      <c r="AD296" s="39">
        <v>9.6</v>
      </c>
    </row>
    <row r="297" spans="1:30" x14ac:dyDescent="0.25">
      <c r="A297" s="208">
        <v>42859</v>
      </c>
      <c r="B297" s="63" t="s">
        <v>160</v>
      </c>
      <c r="C297" s="56" t="s">
        <v>158</v>
      </c>
      <c r="D297" s="8">
        <v>1924.9</v>
      </c>
      <c r="E297" s="8">
        <v>1919.03</v>
      </c>
      <c r="F297" s="8">
        <v>1915.58</v>
      </c>
      <c r="G297" s="8">
        <v>1919.71</v>
      </c>
      <c r="H297" s="8">
        <v>1922.44</v>
      </c>
      <c r="I297" s="8">
        <v>1926.8</v>
      </c>
      <c r="J297" s="8">
        <v>1916.93</v>
      </c>
      <c r="K297" s="8">
        <v>1918.72</v>
      </c>
      <c r="L297" s="8">
        <v>1930.16</v>
      </c>
      <c r="M297" s="62"/>
      <c r="N297" s="62"/>
      <c r="O297" s="62"/>
      <c r="P297" s="62"/>
      <c r="Q297" s="63">
        <f>IF((L298=""),"",MAX(D299:L299))</f>
        <v>2699.2</v>
      </c>
      <c r="R297" s="63">
        <f>IF(L298="","",MIN(D299:L299))</f>
        <v>2525.6799999999994</v>
      </c>
      <c r="S297" s="63">
        <f>IF((L299=""),"",AVERAGE(D299:L299))</f>
        <v>2597.6222222222223</v>
      </c>
      <c r="T297" s="63">
        <f>IF((L298=""),"",((Q297-R297)/(Q297+R297))*100)</f>
        <v>3.3210332103321125</v>
      </c>
      <c r="U297" s="51">
        <f>STDEV(D297:L297)</f>
        <v>4.8531951102112094</v>
      </c>
      <c r="V297" s="64" t="str">
        <f>IF(L298="","",(IF(T297&lt;12,IF(S297&gt;2200,IF(S297&lt;3280,"Pass","Fail"),"Fail"),"Fail")))</f>
        <v>Pass</v>
      </c>
      <c r="W297" s="63">
        <v>1335</v>
      </c>
      <c r="Z297" s="37">
        <v>2000</v>
      </c>
      <c r="AA297" s="37">
        <v>3000</v>
      </c>
      <c r="AB297" s="37">
        <v>2200</v>
      </c>
      <c r="AC297" s="37">
        <v>3280</v>
      </c>
      <c r="AD297" s="39">
        <v>12</v>
      </c>
    </row>
    <row r="298" spans="1:30" ht="16.5" customHeight="1" x14ac:dyDescent="0.35">
      <c r="A298" s="206"/>
      <c r="B298" s="48"/>
      <c r="C298" s="51" t="s">
        <v>157</v>
      </c>
      <c r="D298" s="8">
        <v>1254.51</v>
      </c>
      <c r="E298" s="8">
        <v>1265.19</v>
      </c>
      <c r="F298" s="8">
        <v>1284.1600000000001</v>
      </c>
      <c r="G298" s="8">
        <v>1279.8</v>
      </c>
      <c r="H298" s="8">
        <v>1286.54</v>
      </c>
      <c r="I298" s="8">
        <v>1252</v>
      </c>
      <c r="J298" s="8">
        <v>1262.18</v>
      </c>
      <c r="K298" s="8">
        <v>1278.73</v>
      </c>
      <c r="L298" s="8">
        <v>1286.51</v>
      </c>
      <c r="M298" s="50"/>
      <c r="N298" s="50"/>
      <c r="O298" s="50"/>
      <c r="P298" s="50"/>
      <c r="Q298" s="48"/>
      <c r="R298" s="48"/>
      <c r="S298" s="48"/>
      <c r="T298" s="48"/>
      <c r="U298" s="48"/>
      <c r="V298" s="47"/>
      <c r="W298" s="48"/>
      <c r="X298" s="8"/>
      <c r="Z298" s="37">
        <v>2000</v>
      </c>
      <c r="AA298" s="37">
        <v>3000</v>
      </c>
      <c r="AB298" s="37">
        <v>2500</v>
      </c>
      <c r="AC298" s="37">
        <v>2950</v>
      </c>
      <c r="AD298" s="39">
        <v>9.6</v>
      </c>
    </row>
    <row r="299" spans="1:30" ht="24.8" customHeight="1" thickBot="1" x14ac:dyDescent="0.4">
      <c r="A299" s="206"/>
      <c r="B299" s="61"/>
      <c r="C299" s="51" t="s">
        <v>156</v>
      </c>
      <c r="D299" s="24">
        <f t="shared" ref="D299:L299" si="94">IF(((D297="")*AND(D298="")),"",(D297-D298)*4)</f>
        <v>2681.5600000000004</v>
      </c>
      <c r="E299" s="24">
        <f t="shared" si="94"/>
        <v>2615.3599999999997</v>
      </c>
      <c r="F299" s="24">
        <f t="shared" si="94"/>
        <v>2525.6799999999994</v>
      </c>
      <c r="G299" s="24">
        <f t="shared" si="94"/>
        <v>2559.6400000000003</v>
      </c>
      <c r="H299" s="24">
        <f t="shared" si="94"/>
        <v>2543.6000000000004</v>
      </c>
      <c r="I299" s="24">
        <f t="shared" si="94"/>
        <v>2699.2</v>
      </c>
      <c r="J299" s="24">
        <f t="shared" si="94"/>
        <v>2619</v>
      </c>
      <c r="K299" s="24">
        <f t="shared" si="94"/>
        <v>2559.96</v>
      </c>
      <c r="L299" s="24">
        <f t="shared" si="94"/>
        <v>2574.6000000000004</v>
      </c>
      <c r="M299" s="24"/>
      <c r="N299" s="24"/>
      <c r="O299" s="24"/>
      <c r="P299" s="24" t="str">
        <f>IF(((P297="")*AND(P298="")),"",(P297-P298)*4)</f>
        <v/>
      </c>
      <c r="Q299" s="61"/>
      <c r="R299" s="61"/>
      <c r="S299" s="61"/>
      <c r="T299" s="61"/>
      <c r="U299" s="61"/>
      <c r="V299" s="60"/>
      <c r="W299" s="61"/>
      <c r="X299" s="8"/>
      <c r="Z299" s="37">
        <v>2000</v>
      </c>
      <c r="AA299" s="37">
        <v>3000</v>
      </c>
      <c r="AB299" s="37">
        <v>2500</v>
      </c>
      <c r="AC299" s="37">
        <v>2950</v>
      </c>
      <c r="AD299" s="39">
        <v>9.6</v>
      </c>
    </row>
    <row r="300" spans="1:30" x14ac:dyDescent="0.25">
      <c r="A300" s="208">
        <v>42859</v>
      </c>
      <c r="B300" s="57" t="s">
        <v>159</v>
      </c>
      <c r="C300" s="51" t="s">
        <v>158</v>
      </c>
      <c r="D300" s="8">
        <v>6850.12</v>
      </c>
      <c r="E300" s="8">
        <v>6858.17</v>
      </c>
      <c r="F300" s="8">
        <v>6892.58</v>
      </c>
      <c r="G300" s="8">
        <v>6848.12</v>
      </c>
      <c r="H300" s="8">
        <v>6905.03</v>
      </c>
      <c r="I300" s="8">
        <v>6891.52</v>
      </c>
      <c r="J300" s="8">
        <v>6872.69</v>
      </c>
      <c r="K300" s="8">
        <v>6883.84</v>
      </c>
      <c r="L300" s="8">
        <v>6956.76</v>
      </c>
      <c r="M300" s="50"/>
      <c r="N300" s="50"/>
      <c r="O300" s="50"/>
      <c r="P300" s="50"/>
      <c r="Q300" s="57">
        <f>IF((L301=""),"",MAX(D302:L302))</f>
        <v>3335.880000000001</v>
      </c>
      <c r="R300" s="57">
        <f>IF(L301="","",MIN(D302:L302))</f>
        <v>3288.74</v>
      </c>
      <c r="S300" s="58">
        <f>IF((L302=""),"",AVERAGE(D302:L302))</f>
        <v>3301.8155555555559</v>
      </c>
      <c r="T300" s="57">
        <f>IF((L301=""),"",((Q300-R300)/(Q300+R300))*100)</f>
        <v>0.71158798542408819</v>
      </c>
      <c r="U300" s="56">
        <f>STDEV(D300:L300)</f>
        <v>33.719272720178644</v>
      </c>
      <c r="V300" s="55" t="str">
        <f>IF(L301="","",(IF(T300&lt;7,IF(S300&gt;2800,IF(S300&lt;3800,"Pass","Fail"),"Fail"),"Fail")))</f>
        <v>Pass</v>
      </c>
      <c r="W300" s="57">
        <v>1335</v>
      </c>
      <c r="Z300" s="53">
        <v>2800</v>
      </c>
      <c r="AA300" s="53">
        <v>3800</v>
      </c>
      <c r="AB300" s="53">
        <v>3100</v>
      </c>
      <c r="AC300" s="53">
        <v>3760</v>
      </c>
      <c r="AD300" s="52">
        <v>6</v>
      </c>
    </row>
    <row r="301" spans="1:30" ht="16.5" customHeight="1" x14ac:dyDescent="0.35">
      <c r="A301" s="206"/>
      <c r="B301" s="48"/>
      <c r="C301" s="51" t="s">
        <v>157</v>
      </c>
      <c r="D301" s="8">
        <v>5200.01</v>
      </c>
      <c r="E301" s="8">
        <v>5205</v>
      </c>
      <c r="F301" s="8">
        <v>5242.7299999999996</v>
      </c>
      <c r="G301" s="8">
        <v>5203.7</v>
      </c>
      <c r="H301" s="8">
        <v>5258.38</v>
      </c>
      <c r="I301" s="8">
        <v>5223.58</v>
      </c>
      <c r="J301" s="8">
        <v>5228.32</v>
      </c>
      <c r="K301" s="8">
        <v>5231.42</v>
      </c>
      <c r="L301" s="8">
        <v>5307.52</v>
      </c>
      <c r="M301" s="50"/>
      <c r="N301" s="50"/>
      <c r="O301" s="50"/>
      <c r="P301" s="50"/>
      <c r="Q301" s="48"/>
      <c r="R301" s="48"/>
      <c r="S301" s="49"/>
      <c r="T301" s="48"/>
      <c r="U301" s="48"/>
      <c r="V301" s="47"/>
      <c r="W301" s="48"/>
      <c r="X301" s="8"/>
      <c r="Z301" s="37">
        <v>2000</v>
      </c>
      <c r="AA301" s="37">
        <v>3000</v>
      </c>
      <c r="AB301" s="37">
        <v>2500</v>
      </c>
      <c r="AC301" s="37">
        <v>2950</v>
      </c>
      <c r="AD301" s="39">
        <v>9.6</v>
      </c>
    </row>
    <row r="302" spans="1:30" ht="24.8" customHeight="1" thickBot="1" x14ac:dyDescent="0.4">
      <c r="A302" s="206"/>
      <c r="B302" s="42"/>
      <c r="C302" s="45" t="s">
        <v>156</v>
      </c>
      <c r="D302" s="44">
        <f t="shared" ref="D302:L302" si="95">IF(((D300="")*AND(D301="")),"",(D300-D301)*2)</f>
        <v>3300.2199999999993</v>
      </c>
      <c r="E302" s="44">
        <f t="shared" si="95"/>
        <v>3306.34</v>
      </c>
      <c r="F302" s="44">
        <f t="shared" si="95"/>
        <v>3299.7000000000007</v>
      </c>
      <c r="G302" s="44">
        <f t="shared" si="95"/>
        <v>3288.84</v>
      </c>
      <c r="H302" s="44">
        <f t="shared" si="95"/>
        <v>3293.2999999999993</v>
      </c>
      <c r="I302" s="44">
        <f t="shared" si="95"/>
        <v>3335.880000000001</v>
      </c>
      <c r="J302" s="44">
        <f t="shared" si="95"/>
        <v>3288.74</v>
      </c>
      <c r="K302" s="44">
        <f t="shared" si="95"/>
        <v>3304.84</v>
      </c>
      <c r="L302" s="44">
        <f t="shared" si="95"/>
        <v>3298.4799999999996</v>
      </c>
      <c r="M302" s="44"/>
      <c r="N302" s="44"/>
      <c r="O302" s="44"/>
      <c r="P302" s="44"/>
      <c r="Q302" s="42"/>
      <c r="R302" s="42"/>
      <c r="S302" s="43"/>
      <c r="T302" s="42"/>
      <c r="U302" s="42"/>
      <c r="V302" s="41"/>
      <c r="W302" s="42"/>
      <c r="X302" s="8"/>
      <c r="Z302" s="37">
        <v>2000</v>
      </c>
      <c r="AA302" s="37">
        <v>3000</v>
      </c>
      <c r="AB302" s="37">
        <v>2500</v>
      </c>
      <c r="AC302" s="37">
        <v>2950</v>
      </c>
      <c r="AD302" s="39">
        <v>9.6</v>
      </c>
    </row>
    <row r="303" spans="1:30" x14ac:dyDescent="0.25">
      <c r="A303" s="208">
        <v>42862</v>
      </c>
      <c r="B303" s="63" t="s">
        <v>160</v>
      </c>
      <c r="C303" s="56" t="s">
        <v>158</v>
      </c>
      <c r="D303" s="8">
        <v>1254.51</v>
      </c>
      <c r="E303" s="8">
        <v>1265.19</v>
      </c>
      <c r="F303" s="8">
        <v>1284.1600000000001</v>
      </c>
      <c r="G303" s="8">
        <v>1279.8</v>
      </c>
      <c r="H303" s="8">
        <v>1286.54</v>
      </c>
      <c r="I303" s="8">
        <v>1252</v>
      </c>
      <c r="J303" s="8">
        <v>1262.18</v>
      </c>
      <c r="K303" s="8">
        <v>1278.73</v>
      </c>
      <c r="L303" s="8">
        <v>1286.51</v>
      </c>
      <c r="M303" s="62"/>
      <c r="N303" s="62"/>
      <c r="O303" s="62"/>
      <c r="P303" s="62"/>
      <c r="Q303" s="63">
        <f>IF((L304=""),"",MAX(D305:L305))</f>
        <v>2654.24</v>
      </c>
      <c r="R303" s="63">
        <f>IF(L304="","",MIN(D305:L305))</f>
        <v>2465.2800000000002</v>
      </c>
      <c r="S303" s="63">
        <f>IF((L305=""),"",AVERAGE(D305:L305))</f>
        <v>2542.6488888888889</v>
      </c>
      <c r="T303" s="63">
        <f>IF((L304=""),"",((Q303-R303)/(Q303+R303))*100)</f>
        <v>3.6909710285339168</v>
      </c>
      <c r="U303" s="51">
        <f>STDEV(D303:L303)</f>
        <v>13.803836423255669</v>
      </c>
      <c r="V303" s="64" t="str">
        <f>IF(L304="","",(IF(T303&lt;12,IF(S303&gt;2200,IF(S303&lt;3280,"Pass","Fail"),"Fail"),"Fail")))</f>
        <v>Pass</v>
      </c>
      <c r="W303" s="63">
        <v>1428</v>
      </c>
      <c r="Z303" s="37">
        <v>2000</v>
      </c>
      <c r="AA303" s="37">
        <v>3000</v>
      </c>
      <c r="AB303" s="37">
        <v>2200</v>
      </c>
      <c r="AC303" s="37">
        <v>3280</v>
      </c>
      <c r="AD303" s="39">
        <v>12</v>
      </c>
    </row>
    <row r="304" spans="1:30" ht="16.5" customHeight="1" x14ac:dyDescent="0.35">
      <c r="A304" s="206"/>
      <c r="B304" s="48"/>
      <c r="C304" s="51" t="s">
        <v>157</v>
      </c>
      <c r="D304" s="8">
        <v>590.95000000000005</v>
      </c>
      <c r="E304" s="8">
        <v>626.73</v>
      </c>
      <c r="F304" s="8">
        <v>667.84</v>
      </c>
      <c r="G304" s="8">
        <v>658.51</v>
      </c>
      <c r="H304" s="8">
        <v>662.8</v>
      </c>
      <c r="I304" s="8">
        <v>589.51</v>
      </c>
      <c r="J304" s="8">
        <v>624.26</v>
      </c>
      <c r="K304" s="8">
        <v>656.8</v>
      </c>
      <c r="L304" s="8">
        <v>651.26</v>
      </c>
      <c r="M304" s="50"/>
      <c r="N304" s="50"/>
      <c r="O304" s="50"/>
      <c r="P304" s="50"/>
      <c r="Q304" s="48"/>
      <c r="R304" s="48"/>
      <c r="S304" s="48"/>
      <c r="T304" s="48"/>
      <c r="U304" s="48"/>
      <c r="V304" s="47"/>
      <c r="W304" s="48"/>
      <c r="X304" s="8"/>
      <c r="Z304" s="37">
        <v>2000</v>
      </c>
      <c r="AA304" s="37">
        <v>3000</v>
      </c>
      <c r="AB304" s="37">
        <v>2500</v>
      </c>
      <c r="AC304" s="37">
        <v>2950</v>
      </c>
      <c r="AD304" s="39">
        <v>9.6</v>
      </c>
    </row>
    <row r="305" spans="1:30" ht="24.8" customHeight="1" thickBot="1" x14ac:dyDescent="0.4">
      <c r="A305" s="206"/>
      <c r="B305" s="61"/>
      <c r="C305" s="51" t="s">
        <v>156</v>
      </c>
      <c r="D305" s="24">
        <f t="shared" ref="D305:L305" si="96">IF(((D303="")*AND(D304="")),"",(D303-D304)*4)</f>
        <v>2654.24</v>
      </c>
      <c r="E305" s="24">
        <f t="shared" si="96"/>
        <v>2553.84</v>
      </c>
      <c r="F305" s="24">
        <f t="shared" si="96"/>
        <v>2465.2800000000002</v>
      </c>
      <c r="G305" s="24">
        <f t="shared" si="96"/>
        <v>2485.16</v>
      </c>
      <c r="H305" s="24">
        <f t="shared" si="96"/>
        <v>2494.96</v>
      </c>
      <c r="I305" s="24">
        <f t="shared" si="96"/>
        <v>2649.96</v>
      </c>
      <c r="J305" s="24">
        <f t="shared" si="96"/>
        <v>2551.6800000000003</v>
      </c>
      <c r="K305" s="24">
        <f t="shared" si="96"/>
        <v>2487.7200000000003</v>
      </c>
      <c r="L305" s="24">
        <f t="shared" si="96"/>
        <v>2541</v>
      </c>
      <c r="M305" s="24"/>
      <c r="N305" s="24"/>
      <c r="O305" s="24"/>
      <c r="P305" s="24" t="str">
        <f>IF(((P303="")*AND(P304="")),"",(P303-P304)*4)</f>
        <v/>
      </c>
      <c r="Q305" s="61"/>
      <c r="R305" s="61"/>
      <c r="S305" s="61"/>
      <c r="T305" s="61"/>
      <c r="U305" s="61"/>
      <c r="V305" s="60"/>
      <c r="W305" s="61"/>
      <c r="X305" s="8"/>
      <c r="Z305" s="37">
        <v>2000</v>
      </c>
      <c r="AA305" s="37">
        <v>3000</v>
      </c>
      <c r="AB305" s="37">
        <v>2500</v>
      </c>
      <c r="AC305" s="37">
        <v>2950</v>
      </c>
      <c r="AD305" s="39">
        <v>9.6</v>
      </c>
    </row>
    <row r="306" spans="1:30" x14ac:dyDescent="0.25">
      <c r="A306" s="208">
        <v>42862</v>
      </c>
      <c r="B306" s="57" t="s">
        <v>159</v>
      </c>
      <c r="C306" s="51" t="s">
        <v>158</v>
      </c>
      <c r="D306" s="8">
        <v>5200.01</v>
      </c>
      <c r="E306" s="8">
        <v>5205</v>
      </c>
      <c r="F306" s="8">
        <v>5242.7299999999996</v>
      </c>
      <c r="G306" s="8">
        <v>5203.7</v>
      </c>
      <c r="H306" s="8">
        <v>5258.38</v>
      </c>
      <c r="I306" s="8">
        <v>5223.58</v>
      </c>
      <c r="J306" s="8">
        <v>5228.32</v>
      </c>
      <c r="K306" s="8">
        <v>5231.42</v>
      </c>
      <c r="L306" s="8">
        <v>5307.52</v>
      </c>
      <c r="M306" s="50"/>
      <c r="N306" s="50"/>
      <c r="O306" s="50"/>
      <c r="P306" s="50"/>
      <c r="Q306" s="57">
        <f>IF((L307=""),"",MAX(D308:L308))</f>
        <v>3296.5599999999995</v>
      </c>
      <c r="R306" s="57">
        <f>IF(L307="","",MIN(D308:L308))</f>
        <v>3241.7800000000007</v>
      </c>
      <c r="S306" s="58">
        <f>IF((L308=""),"",AVERAGE(D308:L308))</f>
        <v>3262.9844444444443</v>
      </c>
      <c r="T306" s="57">
        <f>IF((L307=""),"",((Q306-R306)/(Q306+R306))*100)</f>
        <v>0.83782733843756718</v>
      </c>
      <c r="U306" s="56">
        <f>STDEV(D306:L306)</f>
        <v>33.790761681264421</v>
      </c>
      <c r="V306" s="55" t="str">
        <f>IF(L307="","",(IF(T306&lt;7,IF(S306&gt;2800,IF(S306&lt;3800,"Pass","Fail"),"Fail"),"Fail")))</f>
        <v>Pass</v>
      </c>
      <c r="W306" s="57">
        <v>1428</v>
      </c>
      <c r="Z306" s="53">
        <v>2800</v>
      </c>
      <c r="AA306" s="53">
        <v>3800</v>
      </c>
      <c r="AB306" s="53">
        <v>3100</v>
      </c>
      <c r="AC306" s="53">
        <v>3760</v>
      </c>
      <c r="AD306" s="52">
        <v>6</v>
      </c>
    </row>
    <row r="307" spans="1:30" ht="16.5" customHeight="1" x14ac:dyDescent="0.35">
      <c r="A307" s="206"/>
      <c r="B307" s="48"/>
      <c r="C307" s="51" t="s">
        <v>157</v>
      </c>
      <c r="D307" s="8">
        <v>3579.12</v>
      </c>
      <c r="E307" s="8">
        <v>3572.93</v>
      </c>
      <c r="F307" s="8">
        <v>3609.81</v>
      </c>
      <c r="G307" s="8">
        <v>3577</v>
      </c>
      <c r="H307" s="8">
        <v>3626.72</v>
      </c>
      <c r="I307" s="8">
        <v>3575.3</v>
      </c>
      <c r="J307" s="8">
        <v>3601.49</v>
      </c>
      <c r="K307" s="8">
        <v>3597.2</v>
      </c>
      <c r="L307" s="8">
        <v>3677.66</v>
      </c>
      <c r="M307" s="50"/>
      <c r="N307" s="50"/>
      <c r="O307" s="50"/>
      <c r="P307" s="50"/>
      <c r="Q307" s="48"/>
      <c r="R307" s="48"/>
      <c r="S307" s="49"/>
      <c r="T307" s="48"/>
      <c r="U307" s="48"/>
      <c r="V307" s="47"/>
      <c r="W307" s="48"/>
      <c r="X307" s="8"/>
      <c r="Z307" s="37">
        <v>2000</v>
      </c>
      <c r="AA307" s="37">
        <v>3000</v>
      </c>
      <c r="AB307" s="37">
        <v>2500</v>
      </c>
      <c r="AC307" s="37">
        <v>2950</v>
      </c>
      <c r="AD307" s="39">
        <v>9.6</v>
      </c>
    </row>
    <row r="308" spans="1:30" ht="24.8" customHeight="1" thickBot="1" x14ac:dyDescent="0.4">
      <c r="A308" s="206"/>
      <c r="B308" s="42"/>
      <c r="C308" s="45" t="s">
        <v>156</v>
      </c>
      <c r="D308" s="44">
        <f t="shared" ref="D308:L308" si="97">IF(((D306="")*AND(D307="")),"",(D306-D307)*2)</f>
        <v>3241.7800000000007</v>
      </c>
      <c r="E308" s="44">
        <f t="shared" si="97"/>
        <v>3264.1400000000003</v>
      </c>
      <c r="F308" s="44">
        <f t="shared" si="97"/>
        <v>3265.8399999999992</v>
      </c>
      <c r="G308" s="44">
        <f t="shared" si="97"/>
        <v>3253.3999999999996</v>
      </c>
      <c r="H308" s="44">
        <f t="shared" si="97"/>
        <v>3263.3200000000006</v>
      </c>
      <c r="I308" s="44">
        <f t="shared" si="97"/>
        <v>3296.5599999999995</v>
      </c>
      <c r="J308" s="44">
        <f t="shared" si="97"/>
        <v>3253.66</v>
      </c>
      <c r="K308" s="44">
        <f t="shared" si="97"/>
        <v>3268.4400000000005</v>
      </c>
      <c r="L308" s="44">
        <f t="shared" si="97"/>
        <v>3259.7200000000012</v>
      </c>
      <c r="M308" s="44"/>
      <c r="N308" s="44"/>
      <c r="O308" s="44"/>
      <c r="P308" s="44"/>
      <c r="Q308" s="42"/>
      <c r="R308" s="42"/>
      <c r="S308" s="43"/>
      <c r="T308" s="42"/>
      <c r="U308" s="42"/>
      <c r="V308" s="41"/>
      <c r="W308" s="42"/>
      <c r="X308" s="8"/>
      <c r="Z308" s="37">
        <v>2000</v>
      </c>
      <c r="AA308" s="37">
        <v>3000</v>
      </c>
      <c r="AB308" s="37">
        <v>2500</v>
      </c>
      <c r="AC308" s="37">
        <v>2950</v>
      </c>
      <c r="AD308" s="39">
        <v>9.6</v>
      </c>
    </row>
    <row r="309" spans="1:30" x14ac:dyDescent="0.25">
      <c r="A309" s="208">
        <v>42870</v>
      </c>
      <c r="B309" s="63" t="s">
        <v>160</v>
      </c>
      <c r="C309" s="56" t="s">
        <v>158</v>
      </c>
      <c r="D309" s="8">
        <v>1925.31</v>
      </c>
      <c r="E309" s="8">
        <v>1922.91</v>
      </c>
      <c r="F309" s="8">
        <v>1922.31</v>
      </c>
      <c r="G309" s="8">
        <v>1923.79</v>
      </c>
      <c r="H309" s="8">
        <v>1931.52</v>
      </c>
      <c r="I309" s="8">
        <v>1929.62</v>
      </c>
      <c r="J309" s="65">
        <v>1923.99</v>
      </c>
      <c r="K309" s="65">
        <v>1922.15</v>
      </c>
      <c r="L309" s="65">
        <v>1930.66</v>
      </c>
      <c r="M309" s="62"/>
      <c r="N309" s="62"/>
      <c r="O309" s="62"/>
      <c r="P309" s="62"/>
      <c r="Q309" s="63">
        <f>IF((L310=""),"",MAX(D311:L311))</f>
        <v>2799.2799999999997</v>
      </c>
      <c r="R309" s="63">
        <f>IF(L310="","",MIN(D311:L311))</f>
        <v>2540.84</v>
      </c>
      <c r="S309" s="63">
        <f>IF((L311=""),"",AVERAGE(D311:L311))</f>
        <v>2658.9155555555553</v>
      </c>
      <c r="T309" s="63">
        <f>IF((L310=""),"",((Q309-R309)/(Q309+R309))*100)</f>
        <v>4.8395916196639703</v>
      </c>
      <c r="U309" s="51">
        <f>STDEV(D309:L309)</f>
        <v>3.7473490630043922</v>
      </c>
      <c r="V309" s="64" t="str">
        <f>IF(L310="","",(IF(T309&lt;12,IF(S309&gt;2200,IF(S309&lt;3280,"Pass","Fail"),"Fail"),"Fail")))</f>
        <v>Pass</v>
      </c>
      <c r="W309" s="63">
        <v>1159</v>
      </c>
      <c r="X309" s="26" t="s">
        <v>193</v>
      </c>
      <c r="Z309" s="37">
        <v>2000</v>
      </c>
      <c r="AA309" s="37">
        <v>3000</v>
      </c>
      <c r="AB309" s="37">
        <v>2200</v>
      </c>
      <c r="AC309" s="37">
        <v>3280</v>
      </c>
      <c r="AD309" s="39">
        <v>12</v>
      </c>
    </row>
    <row r="310" spans="1:30" ht="16.5" customHeight="1" x14ac:dyDescent="0.35">
      <c r="A310" s="206"/>
      <c r="B310" s="48"/>
      <c r="C310" s="51" t="s">
        <v>157</v>
      </c>
      <c r="D310" s="8">
        <v>1236.97</v>
      </c>
      <c r="E310" s="8">
        <v>1263.55</v>
      </c>
      <c r="F310" s="8">
        <v>1287.0999999999999</v>
      </c>
      <c r="G310" s="8">
        <v>1273.51</v>
      </c>
      <c r="H310" s="8">
        <v>1265.26</v>
      </c>
      <c r="I310" s="8">
        <v>1229.8</v>
      </c>
      <c r="J310" s="65">
        <v>1255.55</v>
      </c>
      <c r="K310" s="65">
        <v>1275.72</v>
      </c>
      <c r="L310" s="65">
        <v>1262.24</v>
      </c>
      <c r="M310" s="50"/>
      <c r="N310" s="50"/>
      <c r="O310" s="50"/>
      <c r="P310" s="50"/>
      <c r="Q310" s="48"/>
      <c r="R310" s="48"/>
      <c r="S310" s="48"/>
      <c r="T310" s="48"/>
      <c r="U310" s="48"/>
      <c r="V310" s="47"/>
      <c r="W310" s="48"/>
      <c r="X310" s="8"/>
      <c r="Z310" s="37">
        <v>2000</v>
      </c>
      <c r="AA310" s="37">
        <v>3000</v>
      </c>
      <c r="AB310" s="37">
        <v>2500</v>
      </c>
      <c r="AC310" s="37">
        <v>2950</v>
      </c>
      <c r="AD310" s="39">
        <v>9.6</v>
      </c>
    </row>
    <row r="311" spans="1:30" ht="24.8" customHeight="1" thickBot="1" x14ac:dyDescent="0.4">
      <c r="A311" s="206"/>
      <c r="B311" s="61"/>
      <c r="C311" s="51" t="s">
        <v>156</v>
      </c>
      <c r="D311" s="24">
        <f t="shared" ref="D311:L311" si="98">IF(((D309="")*AND(D310="")),"",(D309-D310)*4)</f>
        <v>2753.3599999999997</v>
      </c>
      <c r="E311" s="24">
        <f t="shared" si="98"/>
        <v>2637.4400000000005</v>
      </c>
      <c r="F311" s="24">
        <f t="shared" si="98"/>
        <v>2540.84</v>
      </c>
      <c r="G311" s="24">
        <f t="shared" si="98"/>
        <v>2601.12</v>
      </c>
      <c r="H311" s="24">
        <f t="shared" si="98"/>
        <v>2665.04</v>
      </c>
      <c r="I311" s="24">
        <f t="shared" si="98"/>
        <v>2799.2799999999997</v>
      </c>
      <c r="J311" s="24">
        <f t="shared" si="98"/>
        <v>2673.76</v>
      </c>
      <c r="K311" s="24">
        <f t="shared" si="98"/>
        <v>2585.7200000000003</v>
      </c>
      <c r="L311" s="24">
        <f t="shared" si="98"/>
        <v>2673.6800000000003</v>
      </c>
      <c r="M311" s="24"/>
      <c r="N311" s="24"/>
      <c r="O311" s="24"/>
      <c r="P311" s="24" t="str">
        <f>IF(((P309="")*AND(P310="")),"",(P309-P310)*4)</f>
        <v/>
      </c>
      <c r="Q311" s="61"/>
      <c r="R311" s="61"/>
      <c r="S311" s="61"/>
      <c r="T311" s="61"/>
      <c r="U311" s="61"/>
      <c r="V311" s="60"/>
      <c r="W311" s="61"/>
      <c r="X311" s="8"/>
      <c r="Z311" s="37">
        <v>2000</v>
      </c>
      <c r="AA311" s="37">
        <v>3000</v>
      </c>
      <c r="AB311" s="37">
        <v>2500</v>
      </c>
      <c r="AC311" s="37">
        <v>2950</v>
      </c>
      <c r="AD311" s="39">
        <v>9.6</v>
      </c>
    </row>
    <row r="312" spans="1:30" x14ac:dyDescent="0.25">
      <c r="A312" s="208">
        <v>42870</v>
      </c>
      <c r="B312" s="57" t="s">
        <v>159</v>
      </c>
      <c r="C312" s="51" t="s">
        <v>158</v>
      </c>
      <c r="D312" s="8">
        <v>3552.35</v>
      </c>
      <c r="E312" s="8">
        <v>3610.84</v>
      </c>
      <c r="F312" s="8">
        <v>3658.58</v>
      </c>
      <c r="G312" s="8">
        <v>3603.33</v>
      </c>
      <c r="H312" s="8">
        <v>3617.54</v>
      </c>
      <c r="I312" s="8">
        <v>3566.14</v>
      </c>
      <c r="J312" s="65">
        <v>3621.43</v>
      </c>
      <c r="K312" s="65">
        <v>3636.93</v>
      </c>
      <c r="L312" s="65">
        <v>3664.06</v>
      </c>
      <c r="M312" s="50"/>
      <c r="N312" s="50"/>
      <c r="O312" s="50"/>
      <c r="P312" s="50"/>
      <c r="Q312" s="57">
        <f>IF((L313=""),"",MAX(D314:L314))</f>
        <v>3337.3799999999997</v>
      </c>
      <c r="R312" s="57">
        <f>IF(L313="","",MIN(D314:L314))</f>
        <v>3254.3199999999997</v>
      </c>
      <c r="S312" s="58">
        <f>IF((L314=""),"",AVERAGE(D314:L314))</f>
        <v>3278.84</v>
      </c>
      <c r="T312" s="57">
        <f>IF((L313=""),"",((Q312-R312)/(Q312+R312))*100)</f>
        <v>1.2600694813174136</v>
      </c>
      <c r="U312" s="56">
        <f>STDEV(D312:L312)</f>
        <v>37.58163373836274</v>
      </c>
      <c r="V312" s="55" t="str">
        <f>IF(L313="","",(IF(T312&lt;7,IF(S312&gt;2800,IF(S312&lt;3800,"Pass","Fail"),"Fail"),"Fail")))</f>
        <v>Pass</v>
      </c>
      <c r="W312" s="57">
        <v>1159</v>
      </c>
      <c r="X312" s="26" t="s">
        <v>193</v>
      </c>
      <c r="Z312" s="53">
        <v>2800</v>
      </c>
      <c r="AA312" s="53">
        <v>3800</v>
      </c>
      <c r="AB312" s="53">
        <v>3100</v>
      </c>
      <c r="AC312" s="53">
        <v>3760</v>
      </c>
      <c r="AD312" s="52">
        <v>6</v>
      </c>
    </row>
    <row r="313" spans="1:30" ht="16.5" customHeight="1" x14ac:dyDescent="0.35">
      <c r="A313" s="206"/>
      <c r="B313" s="48"/>
      <c r="C313" s="51" t="s">
        <v>157</v>
      </c>
      <c r="D313" s="8">
        <v>1907.3</v>
      </c>
      <c r="E313" s="8">
        <v>1978.72</v>
      </c>
      <c r="F313" s="8">
        <v>2029.95</v>
      </c>
      <c r="G313" s="8">
        <v>1975.71</v>
      </c>
      <c r="H313" s="8">
        <v>1967.33</v>
      </c>
      <c r="I313" s="65">
        <v>1897.45</v>
      </c>
      <c r="J313" s="65">
        <v>1994.27</v>
      </c>
      <c r="K313" s="65">
        <v>2005.91</v>
      </c>
      <c r="L313" s="65">
        <v>2019.78</v>
      </c>
      <c r="M313" s="50"/>
      <c r="N313" s="50"/>
      <c r="O313" s="50"/>
      <c r="P313" s="50"/>
      <c r="Q313" s="48"/>
      <c r="R313" s="48"/>
      <c r="S313" s="49"/>
      <c r="T313" s="48"/>
      <c r="U313" s="48"/>
      <c r="V313" s="47"/>
      <c r="W313" s="48"/>
      <c r="X313" s="8"/>
      <c r="Z313" s="37">
        <v>2000</v>
      </c>
      <c r="AA313" s="37">
        <v>3000</v>
      </c>
      <c r="AB313" s="37">
        <v>2500</v>
      </c>
      <c r="AC313" s="37">
        <v>2950</v>
      </c>
      <c r="AD313" s="39">
        <v>9.6</v>
      </c>
    </row>
    <row r="314" spans="1:30" ht="24.8" customHeight="1" thickBot="1" x14ac:dyDescent="0.4">
      <c r="A314" s="206"/>
      <c r="B314" s="42"/>
      <c r="C314" s="45" t="s">
        <v>156</v>
      </c>
      <c r="D314" s="44">
        <f t="shared" ref="D314:L314" si="99">IF(((D312="")*AND(D313="")),"",(D312-D313)*2)</f>
        <v>3290.1</v>
      </c>
      <c r="E314" s="44">
        <f t="shared" si="99"/>
        <v>3264.2400000000002</v>
      </c>
      <c r="F314" s="44">
        <f t="shared" si="99"/>
        <v>3257.2599999999998</v>
      </c>
      <c r="G314" s="44">
        <f t="shared" si="99"/>
        <v>3255.24</v>
      </c>
      <c r="H314" s="44">
        <f t="shared" si="99"/>
        <v>3300.42</v>
      </c>
      <c r="I314" s="44">
        <f t="shared" si="99"/>
        <v>3337.3799999999997</v>
      </c>
      <c r="J314" s="44">
        <f t="shared" si="99"/>
        <v>3254.3199999999997</v>
      </c>
      <c r="K314" s="44">
        <f t="shared" si="99"/>
        <v>3262.0399999999995</v>
      </c>
      <c r="L314" s="44">
        <f t="shared" si="99"/>
        <v>3288.56</v>
      </c>
      <c r="M314" s="44"/>
      <c r="N314" s="44"/>
      <c r="O314" s="44"/>
      <c r="P314" s="44"/>
      <c r="Q314" s="42"/>
      <c r="R314" s="42"/>
      <c r="S314" s="43"/>
      <c r="T314" s="42"/>
      <c r="U314" s="42"/>
      <c r="V314" s="41"/>
      <c r="W314" s="42"/>
      <c r="X314" s="8"/>
      <c r="Z314" s="37">
        <v>2000</v>
      </c>
      <c r="AA314" s="37">
        <v>3000</v>
      </c>
      <c r="AB314" s="37">
        <v>2500</v>
      </c>
      <c r="AC314" s="37">
        <v>2950</v>
      </c>
      <c r="AD314" s="39">
        <v>9.6</v>
      </c>
    </row>
    <row r="315" spans="1:30" x14ac:dyDescent="0.25">
      <c r="A315" s="208">
        <v>42879</v>
      </c>
      <c r="B315" s="63" t="s">
        <v>160</v>
      </c>
      <c r="C315" s="56" t="s">
        <v>158</v>
      </c>
      <c r="D315" s="8">
        <v>1953</v>
      </c>
      <c r="E315" s="8">
        <v>1946</v>
      </c>
      <c r="F315" s="8">
        <v>1946</v>
      </c>
      <c r="G315" s="8">
        <v>1948</v>
      </c>
      <c r="H315" s="8">
        <v>1956</v>
      </c>
      <c r="I315" s="8">
        <v>1956</v>
      </c>
      <c r="J315" s="65">
        <v>1948</v>
      </c>
      <c r="K315" s="65">
        <v>1947</v>
      </c>
      <c r="L315" s="65">
        <v>1956</v>
      </c>
      <c r="M315" s="62"/>
      <c r="N315" s="62"/>
      <c r="O315" s="62"/>
      <c r="P315" s="62"/>
      <c r="Q315" s="63">
        <f>IF((L316=""),"",MAX(D317:L317))</f>
        <v>2704</v>
      </c>
      <c r="R315" s="63">
        <f>IF(L316="","",MIN(D317:L317))</f>
        <v>2536</v>
      </c>
      <c r="S315" s="63">
        <f>IF((L317=""),"",AVERAGE(D317:L317))</f>
        <v>2630.2222222222222</v>
      </c>
      <c r="T315" s="63">
        <f>IF((L316=""),"",((Q315-R315)/(Q315+R315))*100)</f>
        <v>3.2061068702290076</v>
      </c>
      <c r="U315" s="51">
        <f>STDEV(D315:L315)</f>
        <v>4.5</v>
      </c>
      <c r="V315" s="64" t="str">
        <f>IF(L316="","",(IF(T315&lt;12,IF(S315&gt;2200,IF(S315&lt;3280,"Pass","Fail"),"Fail"),"Fail")))</f>
        <v>Pass</v>
      </c>
      <c r="W315" s="63">
        <v>121</v>
      </c>
      <c r="Z315" s="37">
        <v>2000</v>
      </c>
      <c r="AA315" s="37">
        <v>3000</v>
      </c>
      <c r="AB315" s="37">
        <v>2200</v>
      </c>
      <c r="AC315" s="37">
        <v>3280</v>
      </c>
      <c r="AD315" s="39">
        <v>12</v>
      </c>
    </row>
    <row r="316" spans="1:30" ht="16.5" customHeight="1" x14ac:dyDescent="0.35">
      <c r="A316" s="206"/>
      <c r="B316" s="48"/>
      <c r="C316" s="51" t="s">
        <v>157</v>
      </c>
      <c r="D316" s="8">
        <v>1277</v>
      </c>
      <c r="E316" s="8">
        <v>1278</v>
      </c>
      <c r="F316" s="8">
        <v>1304</v>
      </c>
      <c r="G316" s="8">
        <v>1296</v>
      </c>
      <c r="H316" s="8">
        <v>1322</v>
      </c>
      <c r="I316" s="8">
        <v>1281</v>
      </c>
      <c r="J316" s="65">
        <v>1279</v>
      </c>
      <c r="K316" s="65">
        <v>1295</v>
      </c>
      <c r="L316" s="65">
        <v>1306</v>
      </c>
      <c r="M316" s="50"/>
      <c r="N316" s="50"/>
      <c r="O316" s="50"/>
      <c r="P316" s="50"/>
      <c r="Q316" s="48"/>
      <c r="R316" s="48"/>
      <c r="S316" s="48"/>
      <c r="T316" s="48"/>
      <c r="U316" s="48"/>
      <c r="V316" s="47"/>
      <c r="W316" s="48"/>
      <c r="X316" s="8"/>
      <c r="Z316" s="37">
        <v>2000</v>
      </c>
      <c r="AA316" s="37">
        <v>3000</v>
      </c>
      <c r="AB316" s="37">
        <v>2500</v>
      </c>
      <c r="AC316" s="37">
        <v>2950</v>
      </c>
      <c r="AD316" s="39">
        <v>9.6</v>
      </c>
    </row>
    <row r="317" spans="1:30" ht="24.8" customHeight="1" thickBot="1" x14ac:dyDescent="0.4">
      <c r="A317" s="206"/>
      <c r="B317" s="61"/>
      <c r="C317" s="51" t="s">
        <v>156</v>
      </c>
      <c r="D317" s="24">
        <f t="shared" ref="D317:L317" si="100">IF(((D315="")*AND(D316="")),"",(D315-D316)*4)</f>
        <v>2704</v>
      </c>
      <c r="E317" s="24">
        <f t="shared" si="100"/>
        <v>2672</v>
      </c>
      <c r="F317" s="24">
        <f t="shared" si="100"/>
        <v>2568</v>
      </c>
      <c r="G317" s="24">
        <f t="shared" si="100"/>
        <v>2608</v>
      </c>
      <c r="H317" s="24">
        <f t="shared" si="100"/>
        <v>2536</v>
      </c>
      <c r="I317" s="24">
        <f t="shared" si="100"/>
        <v>2700</v>
      </c>
      <c r="J317" s="24">
        <f t="shared" si="100"/>
        <v>2676</v>
      </c>
      <c r="K317" s="24">
        <f t="shared" si="100"/>
        <v>2608</v>
      </c>
      <c r="L317" s="24">
        <f t="shared" si="100"/>
        <v>2600</v>
      </c>
      <c r="M317" s="24"/>
      <c r="N317" s="24"/>
      <c r="O317" s="24"/>
      <c r="P317" s="24" t="str">
        <f>IF(((P315="")*AND(P316="")),"",(P315-P316)*4)</f>
        <v/>
      </c>
      <c r="Q317" s="61"/>
      <c r="R317" s="61"/>
      <c r="S317" s="61"/>
      <c r="T317" s="61"/>
      <c r="U317" s="61"/>
      <c r="V317" s="60"/>
      <c r="W317" s="61"/>
      <c r="X317" s="8"/>
      <c r="Z317" s="37">
        <v>2000</v>
      </c>
      <c r="AA317" s="37">
        <v>3000</v>
      </c>
      <c r="AB317" s="37">
        <v>2500</v>
      </c>
      <c r="AC317" s="37">
        <v>2950</v>
      </c>
      <c r="AD317" s="39">
        <v>9.6</v>
      </c>
    </row>
    <row r="318" spans="1:30" x14ac:dyDescent="0.25">
      <c r="A318" s="208">
        <v>42879</v>
      </c>
      <c r="B318" s="57" t="s">
        <v>159</v>
      </c>
      <c r="C318" s="51" t="s">
        <v>158</v>
      </c>
      <c r="D318" s="8">
        <v>5353</v>
      </c>
      <c r="E318" s="8">
        <v>5353</v>
      </c>
      <c r="F318" s="8">
        <v>5385</v>
      </c>
      <c r="G318" s="8">
        <v>5343</v>
      </c>
      <c r="H318" s="8">
        <v>5398</v>
      </c>
      <c r="I318" s="8">
        <v>5361</v>
      </c>
      <c r="J318" s="65">
        <v>5364</v>
      </c>
      <c r="K318" s="65">
        <v>5368</v>
      </c>
      <c r="L318" s="65">
        <v>5442</v>
      </c>
      <c r="M318" s="50"/>
      <c r="N318" s="50"/>
      <c r="O318" s="50"/>
      <c r="P318" s="50"/>
      <c r="Q318" s="57">
        <f>IF((L319=""),"",MAX(D320:L320))</f>
        <v>3370</v>
      </c>
      <c r="R318" s="57">
        <f>IF(L319="","",MIN(D320:L320))</f>
        <v>3338</v>
      </c>
      <c r="S318" s="58">
        <f>IF((L320=""),"",AVERAGE(D320:L320))</f>
        <v>3348.6666666666665</v>
      </c>
      <c r="T318" s="57">
        <f>IF((L319=""),"",((Q318-R318)/(Q318+R318))*100)</f>
        <v>0.47704233750745378</v>
      </c>
      <c r="U318" s="56">
        <f>STDEV(D318:L318)</f>
        <v>30.555050500876465</v>
      </c>
      <c r="V318" s="55" t="str">
        <f>IF(L319="","",(IF(T318&lt;7,IF(S318&gt;2800,IF(S318&lt;3800,"Pass","Fail"),"Fail"),"Fail")))</f>
        <v>Pass</v>
      </c>
      <c r="W318" s="57">
        <v>121</v>
      </c>
      <c r="Z318" s="53">
        <v>2800</v>
      </c>
      <c r="AA318" s="53">
        <v>3800</v>
      </c>
      <c r="AB318" s="53">
        <v>3100</v>
      </c>
      <c r="AC318" s="53">
        <v>3760</v>
      </c>
      <c r="AD318" s="52">
        <v>6</v>
      </c>
    </row>
    <row r="319" spans="1:30" ht="16.5" customHeight="1" x14ac:dyDescent="0.35">
      <c r="A319" s="206"/>
      <c r="B319" s="48"/>
      <c r="C319" s="51" t="s">
        <v>157</v>
      </c>
      <c r="D319" s="8">
        <v>3684</v>
      </c>
      <c r="E319" s="8">
        <v>3680</v>
      </c>
      <c r="F319" s="8">
        <v>3709</v>
      </c>
      <c r="G319" s="8">
        <v>3673</v>
      </c>
      <c r="H319" s="8">
        <v>3728</v>
      </c>
      <c r="I319" s="65">
        <v>3676</v>
      </c>
      <c r="J319" s="65">
        <v>3695</v>
      </c>
      <c r="K319" s="65">
        <v>3691</v>
      </c>
      <c r="L319" s="65">
        <v>3762</v>
      </c>
      <c r="M319" s="50"/>
      <c r="N319" s="50"/>
      <c r="O319" s="50"/>
      <c r="P319" s="50"/>
      <c r="Q319" s="48"/>
      <c r="R319" s="48"/>
      <c r="S319" s="49"/>
      <c r="T319" s="48"/>
      <c r="U319" s="48"/>
      <c r="V319" s="47"/>
      <c r="W319" s="48"/>
      <c r="X319" s="8"/>
      <c r="Z319" s="37">
        <v>2000</v>
      </c>
      <c r="AA319" s="37">
        <v>3000</v>
      </c>
      <c r="AB319" s="37">
        <v>2500</v>
      </c>
      <c r="AC319" s="37">
        <v>2950</v>
      </c>
      <c r="AD319" s="39">
        <v>9.6</v>
      </c>
    </row>
    <row r="320" spans="1:30" ht="24.8" customHeight="1" thickBot="1" x14ac:dyDescent="0.4">
      <c r="A320" s="206"/>
      <c r="B320" s="42"/>
      <c r="C320" s="45" t="s">
        <v>156</v>
      </c>
      <c r="D320" s="44">
        <f t="shared" ref="D320:L320" si="101">IF(((D318="")*AND(D319="")),"",(D318-D319)*2)</f>
        <v>3338</v>
      </c>
      <c r="E320" s="44">
        <f t="shared" si="101"/>
        <v>3346</v>
      </c>
      <c r="F320" s="44">
        <f t="shared" si="101"/>
        <v>3352</v>
      </c>
      <c r="G320" s="44">
        <f t="shared" si="101"/>
        <v>3340</v>
      </c>
      <c r="H320" s="44">
        <f t="shared" si="101"/>
        <v>3340</v>
      </c>
      <c r="I320" s="44">
        <f t="shared" si="101"/>
        <v>3370</v>
      </c>
      <c r="J320" s="44">
        <f t="shared" si="101"/>
        <v>3338</v>
      </c>
      <c r="K320" s="44">
        <f t="shared" si="101"/>
        <v>3354</v>
      </c>
      <c r="L320" s="44">
        <f t="shared" si="101"/>
        <v>3360</v>
      </c>
      <c r="M320" s="44"/>
      <c r="N320" s="44"/>
      <c r="O320" s="44"/>
      <c r="P320" s="44"/>
      <c r="Q320" s="42"/>
      <c r="R320" s="42"/>
      <c r="S320" s="43"/>
      <c r="T320" s="42"/>
      <c r="U320" s="42"/>
      <c r="V320" s="41"/>
      <c r="W320" s="42"/>
      <c r="X320" s="8"/>
      <c r="Z320" s="37">
        <v>2000</v>
      </c>
      <c r="AA320" s="37">
        <v>3000</v>
      </c>
      <c r="AB320" s="37">
        <v>2500</v>
      </c>
      <c r="AC320" s="37">
        <v>2950</v>
      </c>
      <c r="AD320" s="39">
        <v>9.6</v>
      </c>
    </row>
    <row r="321" spans="1:30" x14ac:dyDescent="0.25">
      <c r="A321" s="208">
        <v>42892</v>
      </c>
      <c r="B321" s="63" t="s">
        <v>160</v>
      </c>
      <c r="C321" s="56" t="s">
        <v>158</v>
      </c>
      <c r="D321" s="8">
        <v>1912</v>
      </c>
      <c r="E321" s="8">
        <v>1902</v>
      </c>
      <c r="F321" s="8">
        <v>1897</v>
      </c>
      <c r="G321" s="8">
        <v>1904</v>
      </c>
      <c r="H321" s="8">
        <v>1912</v>
      </c>
      <c r="I321" s="8">
        <v>1909</v>
      </c>
      <c r="J321" s="65">
        <v>1904</v>
      </c>
      <c r="K321" s="65">
        <v>1906</v>
      </c>
      <c r="L321" s="65">
        <v>1912</v>
      </c>
      <c r="M321" s="62"/>
      <c r="N321" s="62"/>
      <c r="O321" s="62"/>
      <c r="P321" s="62"/>
      <c r="Q321" s="63">
        <f>IF((L322=""),"",MAX(D323:L323))</f>
        <v>2548</v>
      </c>
      <c r="R321" s="63">
        <f>IF(L322="","",MIN(D323:L323))</f>
        <v>2344</v>
      </c>
      <c r="S321" s="63">
        <f>IF((L323=""),"",AVERAGE(D323:L323))</f>
        <v>2464.4444444444443</v>
      </c>
      <c r="T321" s="63">
        <f>IF((L322=""),"",((Q321-R321)/(Q321+R321))*100)</f>
        <v>4.1700735895339323</v>
      </c>
      <c r="U321" s="51">
        <f>STDEV(D321:L321)</f>
        <v>5.2466920795657304</v>
      </c>
      <c r="V321" s="64" t="str">
        <f>IF(L322="","",(IF(T321&lt;12,IF(S321&gt;2200,IF(S321&lt;3280,"Pass","Fail"),"Fail"),"Fail")))</f>
        <v>Pass</v>
      </c>
      <c r="W321" s="63">
        <v>1159</v>
      </c>
      <c r="X321" s="256" t="s">
        <v>192</v>
      </c>
      <c r="Z321" s="37">
        <v>2000</v>
      </c>
      <c r="AA321" s="37">
        <v>3000</v>
      </c>
      <c r="AB321" s="37">
        <v>2200</v>
      </c>
      <c r="AC321" s="37">
        <v>3280</v>
      </c>
      <c r="AD321" s="39">
        <v>12</v>
      </c>
    </row>
    <row r="322" spans="1:30" ht="16.5" customHeight="1" x14ac:dyDescent="0.35">
      <c r="A322" s="206"/>
      <c r="B322" s="48"/>
      <c r="C322" s="51" t="s">
        <v>157</v>
      </c>
      <c r="D322" s="8">
        <v>1275</v>
      </c>
      <c r="E322" s="8">
        <v>1276</v>
      </c>
      <c r="F322" s="8">
        <v>1291</v>
      </c>
      <c r="G322" s="8">
        <v>1297</v>
      </c>
      <c r="H322" s="8">
        <v>1326</v>
      </c>
      <c r="I322" s="8">
        <v>1276</v>
      </c>
      <c r="J322" s="65">
        <v>1275</v>
      </c>
      <c r="K322" s="65">
        <v>1291</v>
      </c>
      <c r="L322" s="65">
        <v>1306</v>
      </c>
      <c r="M322" s="50"/>
      <c r="N322" s="50"/>
      <c r="O322" s="50"/>
      <c r="P322" s="50"/>
      <c r="Q322" s="48"/>
      <c r="R322" s="48"/>
      <c r="S322" s="48"/>
      <c r="T322" s="48"/>
      <c r="U322" s="48"/>
      <c r="V322" s="47"/>
      <c r="W322" s="48"/>
      <c r="X322" s="8"/>
      <c r="Z322" s="37">
        <v>2000</v>
      </c>
      <c r="AA322" s="37">
        <v>3000</v>
      </c>
      <c r="AB322" s="37">
        <v>2500</v>
      </c>
      <c r="AC322" s="37">
        <v>2950</v>
      </c>
      <c r="AD322" s="39">
        <v>9.6</v>
      </c>
    </row>
    <row r="323" spans="1:30" ht="24.8" customHeight="1" thickBot="1" x14ac:dyDescent="0.4">
      <c r="A323" s="206"/>
      <c r="B323" s="61"/>
      <c r="C323" s="51" t="s">
        <v>156</v>
      </c>
      <c r="D323" s="24">
        <f t="shared" ref="D323:L323" si="102">IF(((D321="")*AND(D322="")),"",(D321-D322)*4)</f>
        <v>2548</v>
      </c>
      <c r="E323" s="24">
        <f t="shared" si="102"/>
        <v>2504</v>
      </c>
      <c r="F323" s="24">
        <f t="shared" si="102"/>
        <v>2424</v>
      </c>
      <c r="G323" s="24">
        <f t="shared" si="102"/>
        <v>2428</v>
      </c>
      <c r="H323" s="24">
        <f t="shared" si="102"/>
        <v>2344</v>
      </c>
      <c r="I323" s="24">
        <f t="shared" si="102"/>
        <v>2532</v>
      </c>
      <c r="J323" s="24">
        <f t="shared" si="102"/>
        <v>2516</v>
      </c>
      <c r="K323" s="24">
        <f t="shared" si="102"/>
        <v>2460</v>
      </c>
      <c r="L323" s="24">
        <f t="shared" si="102"/>
        <v>2424</v>
      </c>
      <c r="M323" s="24"/>
      <c r="N323" s="24"/>
      <c r="O323" s="24"/>
      <c r="P323" s="24" t="str">
        <f>IF(((P321="")*AND(P322="")),"",(P321-P322)*4)</f>
        <v/>
      </c>
      <c r="Q323" s="61"/>
      <c r="R323" s="61"/>
      <c r="S323" s="61"/>
      <c r="T323" s="61"/>
      <c r="U323" s="61"/>
      <c r="V323" s="60"/>
      <c r="W323" s="61"/>
      <c r="X323" s="8"/>
      <c r="Z323" s="37">
        <v>2000</v>
      </c>
      <c r="AA323" s="37">
        <v>3000</v>
      </c>
      <c r="AB323" s="37">
        <v>2500</v>
      </c>
      <c r="AC323" s="37">
        <v>2950</v>
      </c>
      <c r="AD323" s="39">
        <v>9.6</v>
      </c>
    </row>
    <row r="324" spans="1:30" x14ac:dyDescent="0.25">
      <c r="A324" s="208">
        <v>42892</v>
      </c>
      <c r="B324" s="57" t="s">
        <v>159</v>
      </c>
      <c r="C324" s="51" t="s">
        <v>158</v>
      </c>
      <c r="D324" s="8">
        <v>6839</v>
      </c>
      <c r="E324" s="8">
        <v>6846</v>
      </c>
      <c r="F324" s="8">
        <v>6874</v>
      </c>
      <c r="G324" s="8">
        <v>6842</v>
      </c>
      <c r="H324" s="8">
        <v>6868</v>
      </c>
      <c r="I324" s="8">
        <v>6860</v>
      </c>
      <c r="J324" s="65">
        <v>6874</v>
      </c>
      <c r="K324" s="65">
        <v>6868</v>
      </c>
      <c r="L324" s="65">
        <v>6857</v>
      </c>
      <c r="M324" s="50"/>
      <c r="N324" s="50"/>
      <c r="O324" s="50"/>
      <c r="P324" s="50"/>
      <c r="Q324" s="57">
        <f>IF((L325=""),"",MAX(D326:L326))</f>
        <v>3140</v>
      </c>
      <c r="R324" s="57">
        <f>IF(L325="","",MIN(D326:L326))</f>
        <v>2906</v>
      </c>
      <c r="S324" s="58">
        <f>IF((L326=""),"",AVERAGE(D326:L326))</f>
        <v>3086.8888888888887</v>
      </c>
      <c r="T324" s="57">
        <f>IF((L325=""),"",((Q324-R324)/(Q324+R324))*100)</f>
        <v>3.8703274892490902</v>
      </c>
      <c r="U324" s="56">
        <f>STDEV(D324:L324)</f>
        <v>13.573871960498227</v>
      </c>
      <c r="V324" s="55" t="str">
        <f>IF(L325="","",(IF(T324&lt;7,IF(S324&gt;2800,IF(S324&lt;3800,"Pass","Fail"),"Fail"),"Fail")))</f>
        <v>Pass</v>
      </c>
      <c r="W324" s="57">
        <v>1159</v>
      </c>
      <c r="X324" s="256" t="s">
        <v>192</v>
      </c>
      <c r="Z324" s="53">
        <v>2800</v>
      </c>
      <c r="AA324" s="53">
        <v>3800</v>
      </c>
      <c r="AB324" s="53">
        <v>3100</v>
      </c>
      <c r="AC324" s="53">
        <v>3760</v>
      </c>
      <c r="AD324" s="52">
        <v>6</v>
      </c>
    </row>
    <row r="325" spans="1:30" ht="16.5" customHeight="1" x14ac:dyDescent="0.35">
      <c r="A325" s="206"/>
      <c r="B325" s="48"/>
      <c r="C325" s="51" t="s">
        <v>157</v>
      </c>
      <c r="D325" s="8">
        <v>5280</v>
      </c>
      <c r="E325" s="8">
        <v>5277</v>
      </c>
      <c r="F325" s="8">
        <v>5312</v>
      </c>
      <c r="G325" s="8">
        <v>5306</v>
      </c>
      <c r="H325" s="8">
        <v>5415</v>
      </c>
      <c r="I325" s="65">
        <v>5319</v>
      </c>
      <c r="J325" s="65">
        <v>5328</v>
      </c>
      <c r="K325" s="65">
        <v>5298</v>
      </c>
      <c r="L325" s="65">
        <v>5302</v>
      </c>
      <c r="M325" s="50"/>
      <c r="N325" s="50"/>
      <c r="O325" s="50"/>
      <c r="P325" s="50"/>
      <c r="Q325" s="48"/>
      <c r="R325" s="48"/>
      <c r="S325" s="49"/>
      <c r="T325" s="48"/>
      <c r="U325" s="48"/>
      <c r="V325" s="47"/>
      <c r="W325" s="48"/>
      <c r="X325" s="8"/>
      <c r="Z325" s="37">
        <v>2000</v>
      </c>
      <c r="AA325" s="37">
        <v>3000</v>
      </c>
      <c r="AB325" s="37">
        <v>2500</v>
      </c>
      <c r="AC325" s="37">
        <v>2950</v>
      </c>
      <c r="AD325" s="39">
        <v>9.6</v>
      </c>
    </row>
    <row r="326" spans="1:30" ht="24.8" customHeight="1" thickBot="1" x14ac:dyDescent="0.4">
      <c r="A326" s="206"/>
      <c r="B326" s="42"/>
      <c r="C326" s="45" t="s">
        <v>156</v>
      </c>
      <c r="D326" s="44">
        <f t="shared" ref="D326:L326" si="103">IF(((D324="")*AND(D325="")),"",(D324-D325)*2)</f>
        <v>3118</v>
      </c>
      <c r="E326" s="44">
        <f t="shared" si="103"/>
        <v>3138</v>
      </c>
      <c r="F326" s="44">
        <f t="shared" si="103"/>
        <v>3124</v>
      </c>
      <c r="G326" s="44">
        <f t="shared" si="103"/>
        <v>3072</v>
      </c>
      <c r="H326" s="44">
        <f t="shared" si="103"/>
        <v>2906</v>
      </c>
      <c r="I326" s="44">
        <f t="shared" si="103"/>
        <v>3082</v>
      </c>
      <c r="J326" s="44">
        <f t="shared" si="103"/>
        <v>3092</v>
      </c>
      <c r="K326" s="44">
        <f t="shared" si="103"/>
        <v>3140</v>
      </c>
      <c r="L326" s="44">
        <f t="shared" si="103"/>
        <v>3110</v>
      </c>
      <c r="M326" s="44"/>
      <c r="N326" s="44"/>
      <c r="O326" s="44"/>
      <c r="P326" s="44"/>
      <c r="Q326" s="42"/>
      <c r="R326" s="42"/>
      <c r="S326" s="43"/>
      <c r="T326" s="42"/>
      <c r="U326" s="42"/>
      <c r="V326" s="41"/>
      <c r="W326" s="42"/>
      <c r="X326" s="8"/>
      <c r="Z326" s="37">
        <v>2000</v>
      </c>
      <c r="AA326" s="37">
        <v>3000</v>
      </c>
      <c r="AB326" s="37">
        <v>2500</v>
      </c>
      <c r="AC326" s="37">
        <v>2950</v>
      </c>
      <c r="AD326" s="39">
        <v>9.6</v>
      </c>
    </row>
    <row r="327" spans="1:30" x14ac:dyDescent="0.25">
      <c r="A327" s="208">
        <v>42905</v>
      </c>
      <c r="B327" s="63" t="s">
        <v>160</v>
      </c>
      <c r="C327" s="56" t="s">
        <v>158</v>
      </c>
      <c r="D327" s="8">
        <v>1907</v>
      </c>
      <c r="E327" s="8">
        <v>1903</v>
      </c>
      <c r="F327" s="8">
        <v>1903</v>
      </c>
      <c r="G327" s="8">
        <v>1902</v>
      </c>
      <c r="H327" s="8">
        <v>1909</v>
      </c>
      <c r="I327" s="8">
        <v>1910</v>
      </c>
      <c r="J327" s="65">
        <v>1905</v>
      </c>
      <c r="K327" s="65">
        <v>1902</v>
      </c>
      <c r="L327" s="65">
        <v>1907</v>
      </c>
      <c r="M327" s="62"/>
      <c r="N327" s="62"/>
      <c r="O327" s="62"/>
      <c r="P327" s="62"/>
      <c r="Q327" s="63">
        <f>IF((L328=""),"",MAX(D329:L329))</f>
        <v>2684</v>
      </c>
      <c r="R327" s="63">
        <f>IF(L328="","",MIN(D329:L329))</f>
        <v>2492</v>
      </c>
      <c r="S327" s="63">
        <f>IF((L329=""),"",AVERAGE(D329:L329))</f>
        <v>2567.5555555555557</v>
      </c>
      <c r="T327" s="63">
        <f>IF((L328=""),"",((Q327-R327)/(Q327+R327))*100)</f>
        <v>3.7094281298299845</v>
      </c>
      <c r="U327" s="51">
        <f>STDEV(D327:L327)</f>
        <v>3.0413812651491097</v>
      </c>
      <c r="V327" s="64" t="str">
        <f>IF(L328="","",(IF(T327&lt;12,IF(S327&gt;2200,IF(S327&lt;3280,"Pass","Fail"),"Fail"),"Fail")))</f>
        <v>Pass</v>
      </c>
      <c r="W327" s="63">
        <v>1159</v>
      </c>
      <c r="X327" s="26" t="s">
        <v>191</v>
      </c>
      <c r="Z327" s="37">
        <v>2000</v>
      </c>
      <c r="AA327" s="37">
        <v>3000</v>
      </c>
      <c r="AB327" s="37">
        <v>2200</v>
      </c>
      <c r="AC327" s="37">
        <v>3280</v>
      </c>
      <c r="AD327" s="39">
        <v>12</v>
      </c>
    </row>
    <row r="328" spans="1:30" ht="16.5" customHeight="1" x14ac:dyDescent="0.35">
      <c r="A328" s="206"/>
      <c r="B328" s="48"/>
      <c r="C328" s="51" t="s">
        <v>157</v>
      </c>
      <c r="D328" s="8">
        <v>1236</v>
      </c>
      <c r="E328" s="8">
        <v>1255</v>
      </c>
      <c r="F328" s="8">
        <v>1280</v>
      </c>
      <c r="G328" s="8">
        <v>1278</v>
      </c>
      <c r="H328" s="8">
        <v>1284</v>
      </c>
      <c r="I328" s="8">
        <v>1242</v>
      </c>
      <c r="J328" s="65">
        <v>1262</v>
      </c>
      <c r="K328" s="65">
        <v>1272</v>
      </c>
      <c r="L328" s="65">
        <v>1262</v>
      </c>
      <c r="M328" s="50"/>
      <c r="N328" s="50"/>
      <c r="O328" s="50"/>
      <c r="P328" s="50"/>
      <c r="Q328" s="48"/>
      <c r="R328" s="48"/>
      <c r="S328" s="48"/>
      <c r="T328" s="48"/>
      <c r="U328" s="48"/>
      <c r="V328" s="47"/>
      <c r="W328" s="48"/>
      <c r="X328" s="8"/>
      <c r="Z328" s="37">
        <v>2000</v>
      </c>
      <c r="AA328" s="37">
        <v>3000</v>
      </c>
      <c r="AB328" s="37">
        <v>2500</v>
      </c>
      <c r="AC328" s="37">
        <v>2950</v>
      </c>
      <c r="AD328" s="39">
        <v>9.6</v>
      </c>
    </row>
    <row r="329" spans="1:30" ht="24.8" customHeight="1" thickBot="1" x14ac:dyDescent="0.4">
      <c r="A329" s="206"/>
      <c r="B329" s="61"/>
      <c r="C329" s="51" t="s">
        <v>156</v>
      </c>
      <c r="D329" s="24">
        <f t="shared" ref="D329:L329" si="104">IF(((D327="")*AND(D328="")),"",(D327-D328)*4)</f>
        <v>2684</v>
      </c>
      <c r="E329" s="24">
        <f t="shared" si="104"/>
        <v>2592</v>
      </c>
      <c r="F329" s="24">
        <f t="shared" si="104"/>
        <v>2492</v>
      </c>
      <c r="G329" s="24">
        <f t="shared" si="104"/>
        <v>2496</v>
      </c>
      <c r="H329" s="24">
        <f t="shared" si="104"/>
        <v>2500</v>
      </c>
      <c r="I329" s="24">
        <f t="shared" si="104"/>
        <v>2672</v>
      </c>
      <c r="J329" s="24">
        <f t="shared" si="104"/>
        <v>2572</v>
      </c>
      <c r="K329" s="24">
        <f t="shared" si="104"/>
        <v>2520</v>
      </c>
      <c r="L329" s="24">
        <f t="shared" si="104"/>
        <v>2580</v>
      </c>
      <c r="M329" s="24"/>
      <c r="N329" s="24"/>
      <c r="O329" s="24"/>
      <c r="P329" s="24" t="str">
        <f>IF(((P327="")*AND(P328="")),"",(P327-P328)*4)</f>
        <v/>
      </c>
      <c r="Q329" s="61"/>
      <c r="R329" s="61"/>
      <c r="S329" s="61"/>
      <c r="T329" s="61"/>
      <c r="U329" s="61"/>
      <c r="V329" s="60"/>
      <c r="W329" s="61"/>
      <c r="X329" s="8"/>
      <c r="Y329" s="8"/>
      <c r="Z329" s="37">
        <v>2000</v>
      </c>
      <c r="AA329" s="37">
        <v>3000</v>
      </c>
      <c r="AB329" s="37">
        <v>2500</v>
      </c>
      <c r="AC329" s="37">
        <v>2950</v>
      </c>
      <c r="AD329" s="39">
        <v>9.6</v>
      </c>
    </row>
    <row r="330" spans="1:30" x14ac:dyDescent="0.25">
      <c r="A330" s="208">
        <v>42905</v>
      </c>
      <c r="B330" s="57" t="s">
        <v>159</v>
      </c>
      <c r="C330" s="51" t="s">
        <v>158</v>
      </c>
      <c r="D330" s="8">
        <v>3636</v>
      </c>
      <c r="E330" s="8">
        <v>3646</v>
      </c>
      <c r="F330" s="8">
        <v>3704</v>
      </c>
      <c r="G330" s="8">
        <v>3704</v>
      </c>
      <c r="H330" s="8">
        <v>3830</v>
      </c>
      <c r="I330" s="8">
        <v>3696</v>
      </c>
      <c r="J330" s="65">
        <v>3724</v>
      </c>
      <c r="K330" s="65">
        <v>3679</v>
      </c>
      <c r="L330" s="65">
        <v>3695</v>
      </c>
      <c r="M330" s="50"/>
      <c r="N330" s="50"/>
      <c r="O330" s="50"/>
      <c r="P330" s="50"/>
      <c r="Q330" s="57">
        <f>IF((L331=""),"",MAX(D332:L332))</f>
        <v>3318</v>
      </c>
      <c r="R330" s="57">
        <f>IF(L331="","",MIN(D332:L332))</f>
        <v>3198</v>
      </c>
      <c r="S330" s="58">
        <f>IF((L332=""),"",AVERAGE(D332:L332))</f>
        <v>3264.4444444444443</v>
      </c>
      <c r="T330" s="57">
        <f>IF((L331=""),"",((Q330-R330)/(Q330+R330))*100)</f>
        <v>1.8416206261510131</v>
      </c>
      <c r="U330" s="56">
        <f>STDEV(D330:L330)</f>
        <v>55.879582834679226</v>
      </c>
      <c r="V330" s="55" t="str">
        <f>IF(L331="","",(IF(T330&lt;7,IF(S330&gt;2800,IF(S330&lt;3800,"Pass","Fail"),"Fail"),"Fail")))</f>
        <v>Pass</v>
      </c>
      <c r="W330" s="57">
        <v>1159</v>
      </c>
      <c r="X330" s="26" t="s">
        <v>191</v>
      </c>
      <c r="Z330" s="53">
        <v>2800</v>
      </c>
      <c r="AA330" s="53">
        <v>3800</v>
      </c>
      <c r="AB330" s="53">
        <v>3100</v>
      </c>
      <c r="AC330" s="53">
        <v>3760</v>
      </c>
      <c r="AD330" s="52">
        <v>6</v>
      </c>
    </row>
    <row r="331" spans="1:30" ht="16.5" customHeight="1" x14ac:dyDescent="0.35">
      <c r="A331" s="206"/>
      <c r="B331" s="48"/>
      <c r="C331" s="51" t="s">
        <v>157</v>
      </c>
      <c r="D331" s="8">
        <v>1977</v>
      </c>
      <c r="E331" s="8">
        <v>2002</v>
      </c>
      <c r="F331" s="8">
        <v>2075</v>
      </c>
      <c r="G331" s="8">
        <v>2088</v>
      </c>
      <c r="H331" s="8">
        <v>2231</v>
      </c>
      <c r="I331" s="65">
        <v>2049</v>
      </c>
      <c r="J331" s="65">
        <v>2103</v>
      </c>
      <c r="K331" s="65">
        <v>2043</v>
      </c>
      <c r="L331" s="65">
        <v>2056</v>
      </c>
      <c r="M331" s="50"/>
      <c r="N331" s="50"/>
      <c r="O331" s="50"/>
      <c r="P331" s="50"/>
      <c r="Q331" s="48"/>
      <c r="R331" s="48"/>
      <c r="S331" s="49"/>
      <c r="T331" s="48"/>
      <c r="U331" s="48"/>
      <c r="V331" s="47"/>
      <c r="W331" s="48"/>
      <c r="X331" s="8"/>
      <c r="Z331" s="37">
        <v>2000</v>
      </c>
      <c r="AA331" s="37">
        <v>3000</v>
      </c>
      <c r="AB331" s="37">
        <v>2500</v>
      </c>
      <c r="AC331" s="37">
        <v>2950</v>
      </c>
      <c r="AD331" s="39">
        <v>9.6</v>
      </c>
    </row>
    <row r="332" spans="1:30" ht="24.8" customHeight="1" thickBot="1" x14ac:dyDescent="0.4">
      <c r="A332" s="206"/>
      <c r="B332" s="42"/>
      <c r="C332" s="45" t="s">
        <v>156</v>
      </c>
      <c r="D332" s="44">
        <f t="shared" ref="D332:L332" si="105">IF(((D330="")*AND(D331="")),"",(D330-D331)*2)</f>
        <v>3318</v>
      </c>
      <c r="E332" s="44">
        <f t="shared" si="105"/>
        <v>3288</v>
      </c>
      <c r="F332" s="44">
        <f t="shared" si="105"/>
        <v>3258</v>
      </c>
      <c r="G332" s="44">
        <f t="shared" si="105"/>
        <v>3232</v>
      </c>
      <c r="H332" s="44">
        <f t="shared" si="105"/>
        <v>3198</v>
      </c>
      <c r="I332" s="44">
        <f t="shared" si="105"/>
        <v>3294</v>
      </c>
      <c r="J332" s="44">
        <f t="shared" si="105"/>
        <v>3242</v>
      </c>
      <c r="K332" s="44">
        <f t="shared" si="105"/>
        <v>3272</v>
      </c>
      <c r="L332" s="44">
        <f t="shared" si="105"/>
        <v>3278</v>
      </c>
      <c r="M332" s="44"/>
      <c r="N332" s="44"/>
      <c r="O332" s="44"/>
      <c r="P332" s="44"/>
      <c r="Q332" s="42"/>
      <c r="R332" s="42"/>
      <c r="S332" s="43"/>
      <c r="T332" s="42"/>
      <c r="U332" s="42"/>
      <c r="V332" s="41"/>
      <c r="W332" s="42"/>
      <c r="X332" s="8"/>
      <c r="Z332" s="37">
        <v>2000</v>
      </c>
      <c r="AA332" s="37">
        <v>3000</v>
      </c>
      <c r="AB332" s="37">
        <v>2500</v>
      </c>
      <c r="AC332" s="37">
        <v>2950</v>
      </c>
      <c r="AD332" s="39">
        <v>9.6</v>
      </c>
    </row>
    <row r="333" spans="1:30" x14ac:dyDescent="0.25">
      <c r="A333" s="208">
        <v>42912</v>
      </c>
      <c r="B333" s="63" t="s">
        <v>160</v>
      </c>
      <c r="C333" s="56" t="s">
        <v>158</v>
      </c>
      <c r="D333" s="8">
        <v>1928</v>
      </c>
      <c r="E333" s="8">
        <v>1921</v>
      </c>
      <c r="F333" s="8">
        <v>1916</v>
      </c>
      <c r="G333" s="8">
        <v>1921</v>
      </c>
      <c r="H333" s="8">
        <v>1929</v>
      </c>
      <c r="I333" s="8">
        <v>1929</v>
      </c>
      <c r="J333" s="65">
        <v>1921</v>
      </c>
      <c r="K333" s="65">
        <v>1921</v>
      </c>
      <c r="L333" s="65">
        <v>1933</v>
      </c>
      <c r="M333" s="62"/>
      <c r="N333" s="62"/>
      <c r="O333" s="62"/>
      <c r="P333" s="62"/>
      <c r="Q333" s="63">
        <f>IF((L334=""),"",MAX(D335:L335))</f>
        <v>2704</v>
      </c>
      <c r="R333" s="63">
        <f>IF(L334="","",MIN(D335:L335))</f>
        <v>2476</v>
      </c>
      <c r="S333" s="63">
        <f>IF((L335=""),"",AVERAGE(D335:L335))</f>
        <v>2579.5555555555557</v>
      </c>
      <c r="T333" s="63">
        <f>IF((L334=""),"",((Q333-R333)/(Q333+R333))*100)</f>
        <v>4.4015444015444016</v>
      </c>
      <c r="U333" s="51">
        <f>STDEV(D333:L333)</f>
        <v>5.545268253204708</v>
      </c>
      <c r="V333" s="64" t="str">
        <f>IF(L334="","",(IF(T333&lt;12,IF(S333&gt;2200,IF(S333&lt;3280,"Pass","Fail"),"Fail"),"Fail")))</f>
        <v>Pass</v>
      </c>
      <c r="W333" s="63">
        <v>1159</v>
      </c>
      <c r="Z333" s="37">
        <v>2000</v>
      </c>
      <c r="AA333" s="37">
        <v>3000</v>
      </c>
      <c r="AB333" s="37">
        <v>2200</v>
      </c>
      <c r="AC333" s="37">
        <v>3280</v>
      </c>
      <c r="AD333" s="39">
        <v>12</v>
      </c>
    </row>
    <row r="334" spans="1:30" ht="16.5" customHeight="1" x14ac:dyDescent="0.35">
      <c r="A334" s="206"/>
      <c r="B334" s="48"/>
      <c r="C334" s="51" t="s">
        <v>157</v>
      </c>
      <c r="D334" s="8">
        <v>1252</v>
      </c>
      <c r="E334" s="8">
        <v>1274</v>
      </c>
      <c r="F334" s="8">
        <v>1297</v>
      </c>
      <c r="G334" s="8">
        <v>1296</v>
      </c>
      <c r="H334" s="8">
        <v>1296</v>
      </c>
      <c r="I334" s="8">
        <v>1255</v>
      </c>
      <c r="J334" s="65">
        <v>1275</v>
      </c>
      <c r="K334" s="65">
        <v>1291</v>
      </c>
      <c r="L334" s="65">
        <v>1279</v>
      </c>
      <c r="M334" s="50"/>
      <c r="N334" s="50"/>
      <c r="O334" s="50"/>
      <c r="P334" s="50"/>
      <c r="Q334" s="48"/>
      <c r="R334" s="48"/>
      <c r="S334" s="48"/>
      <c r="T334" s="48"/>
      <c r="U334" s="48"/>
      <c r="V334" s="47"/>
      <c r="W334" s="48"/>
      <c r="X334" s="8"/>
      <c r="Z334" s="37">
        <v>2000</v>
      </c>
      <c r="AA334" s="37">
        <v>3000</v>
      </c>
      <c r="AB334" s="37">
        <v>2500</v>
      </c>
      <c r="AC334" s="37">
        <v>2950</v>
      </c>
      <c r="AD334" s="39">
        <v>9.6</v>
      </c>
    </row>
    <row r="335" spans="1:30" ht="24.8" customHeight="1" thickBot="1" x14ac:dyDescent="0.4">
      <c r="A335" s="206"/>
      <c r="B335" s="61"/>
      <c r="C335" s="51" t="s">
        <v>156</v>
      </c>
      <c r="D335" s="24">
        <f t="shared" ref="D335:L335" si="106">IF(((D333="")*AND(D334="")),"",(D333-D334)*4)</f>
        <v>2704</v>
      </c>
      <c r="E335" s="24">
        <f t="shared" si="106"/>
        <v>2588</v>
      </c>
      <c r="F335" s="24">
        <f t="shared" si="106"/>
        <v>2476</v>
      </c>
      <c r="G335" s="24">
        <f t="shared" si="106"/>
        <v>2500</v>
      </c>
      <c r="H335" s="24">
        <f t="shared" si="106"/>
        <v>2532</v>
      </c>
      <c r="I335" s="24">
        <f t="shared" si="106"/>
        <v>2696</v>
      </c>
      <c r="J335" s="24">
        <f t="shared" si="106"/>
        <v>2584</v>
      </c>
      <c r="K335" s="24">
        <f t="shared" si="106"/>
        <v>2520</v>
      </c>
      <c r="L335" s="24">
        <f t="shared" si="106"/>
        <v>2616</v>
      </c>
      <c r="M335" s="24"/>
      <c r="N335" s="24"/>
      <c r="O335" s="24"/>
      <c r="P335" s="24" t="str">
        <f>IF(((P333="")*AND(P334="")),"",(P333-P334)*4)</f>
        <v/>
      </c>
      <c r="Q335" s="61"/>
      <c r="R335" s="61"/>
      <c r="S335" s="61"/>
      <c r="T335" s="61"/>
      <c r="U335" s="61"/>
      <c r="V335" s="60"/>
      <c r="W335" s="61"/>
      <c r="X335" s="8"/>
      <c r="Z335" s="37">
        <v>2000</v>
      </c>
      <c r="AA335" s="37">
        <v>3000</v>
      </c>
      <c r="AB335" s="37">
        <v>2500</v>
      </c>
      <c r="AC335" s="37">
        <v>2950</v>
      </c>
      <c r="AD335" s="39">
        <v>9.6</v>
      </c>
    </row>
    <row r="336" spans="1:30" x14ac:dyDescent="0.25">
      <c r="A336" s="208">
        <v>42912</v>
      </c>
      <c r="B336" s="57" t="s">
        <v>159</v>
      </c>
      <c r="C336" s="51" t="s">
        <v>158</v>
      </c>
      <c r="D336" s="8">
        <v>6968</v>
      </c>
      <c r="E336" s="8">
        <v>6953</v>
      </c>
      <c r="F336" s="8">
        <v>6989</v>
      </c>
      <c r="G336" s="8">
        <v>6966</v>
      </c>
      <c r="H336" s="8">
        <v>7049</v>
      </c>
      <c r="I336" s="8">
        <v>6993</v>
      </c>
      <c r="J336" s="65">
        <v>6993</v>
      </c>
      <c r="K336" s="65">
        <v>6871</v>
      </c>
      <c r="L336" s="65">
        <v>7006</v>
      </c>
      <c r="M336" s="50"/>
      <c r="N336" s="50"/>
      <c r="O336" s="50"/>
      <c r="P336" s="50"/>
      <c r="Q336" s="57">
        <f>IF((L337=""),"",MAX(D338:L338))</f>
        <v>3314</v>
      </c>
      <c r="R336" s="57">
        <f>IF(L337="","",MIN(D338:L338))</f>
        <v>3062</v>
      </c>
      <c r="S336" s="58">
        <f>IF((L338=""),"",AVERAGE(D338:L338))</f>
        <v>3253.5555555555557</v>
      </c>
      <c r="T336" s="57">
        <f>IF((L337=""),"",((Q336-R336)/(Q336+R336))*100)</f>
        <v>3.9523212045169385</v>
      </c>
      <c r="U336" s="56">
        <f>STDEV(D336:L336)</f>
        <v>48.337643485980756</v>
      </c>
      <c r="V336" s="55" t="str">
        <f>IF(L337="","",(IF(T336&lt;7,IF(S336&gt;2800,IF(S336&lt;3800,"Pass","Fail"),"Fail"),"Fail")))</f>
        <v>Pass</v>
      </c>
      <c r="W336" s="57">
        <v>1159</v>
      </c>
      <c r="Y336" s="8" t="s">
        <v>190</v>
      </c>
      <c r="Z336" s="53">
        <v>2800</v>
      </c>
      <c r="AA336" s="53">
        <v>3800</v>
      </c>
      <c r="AB336" s="53">
        <v>3100</v>
      </c>
      <c r="AC336" s="53">
        <v>3760</v>
      </c>
      <c r="AD336" s="52">
        <v>6</v>
      </c>
    </row>
    <row r="337" spans="1:30" ht="16.5" customHeight="1" x14ac:dyDescent="0.35">
      <c r="A337" s="206"/>
      <c r="B337" s="48"/>
      <c r="C337" s="51" t="s">
        <v>157</v>
      </c>
      <c r="D337" s="8">
        <v>5311</v>
      </c>
      <c r="E337" s="8">
        <v>5307</v>
      </c>
      <c r="F337" s="8">
        <v>5354</v>
      </c>
      <c r="G337" s="8">
        <v>5341</v>
      </c>
      <c r="H337" s="8">
        <v>5433</v>
      </c>
      <c r="I337" s="65">
        <v>5337</v>
      </c>
      <c r="J337" s="65">
        <v>5364</v>
      </c>
      <c r="K337" s="65">
        <v>5340</v>
      </c>
      <c r="L337" s="65">
        <v>5360</v>
      </c>
      <c r="M337" s="50"/>
      <c r="N337" s="50"/>
      <c r="O337" s="50"/>
      <c r="P337" s="50"/>
      <c r="Q337" s="48"/>
      <c r="R337" s="48"/>
      <c r="S337" s="49"/>
      <c r="T337" s="48"/>
      <c r="U337" s="48"/>
      <c r="V337" s="47"/>
      <c r="W337" s="48"/>
      <c r="X337" s="8"/>
      <c r="Z337" s="37">
        <v>2000</v>
      </c>
      <c r="AA337" s="37">
        <v>3000</v>
      </c>
      <c r="AB337" s="37">
        <v>2500</v>
      </c>
      <c r="AC337" s="37">
        <v>2950</v>
      </c>
      <c r="AD337" s="39">
        <v>9.6</v>
      </c>
    </row>
    <row r="338" spans="1:30" ht="24.8" customHeight="1" thickBot="1" x14ac:dyDescent="0.4">
      <c r="A338" s="206"/>
      <c r="B338" s="42"/>
      <c r="C338" s="45" t="s">
        <v>156</v>
      </c>
      <c r="D338" s="44">
        <f t="shared" ref="D338:L338" si="107">IF(((D336="")*AND(D337="")),"",(D336-D337)*2)</f>
        <v>3314</v>
      </c>
      <c r="E338" s="44">
        <f t="shared" si="107"/>
        <v>3292</v>
      </c>
      <c r="F338" s="44">
        <f t="shared" si="107"/>
        <v>3270</v>
      </c>
      <c r="G338" s="44">
        <f t="shared" si="107"/>
        <v>3250</v>
      </c>
      <c r="H338" s="44">
        <f t="shared" si="107"/>
        <v>3232</v>
      </c>
      <c r="I338" s="44">
        <f t="shared" si="107"/>
        <v>3312</v>
      </c>
      <c r="J338" s="44">
        <f t="shared" si="107"/>
        <v>3258</v>
      </c>
      <c r="K338" s="44">
        <f t="shared" si="107"/>
        <v>3062</v>
      </c>
      <c r="L338" s="44">
        <f t="shared" si="107"/>
        <v>3292</v>
      </c>
      <c r="M338" s="44"/>
      <c r="N338" s="44"/>
      <c r="O338" s="44"/>
      <c r="P338" s="44"/>
      <c r="Q338" s="42"/>
      <c r="R338" s="42"/>
      <c r="S338" s="43"/>
      <c r="T338" s="42"/>
      <c r="U338" s="42"/>
      <c r="V338" s="41"/>
      <c r="W338" s="42"/>
      <c r="X338" s="8"/>
      <c r="Z338" s="37">
        <v>2000</v>
      </c>
      <c r="AA338" s="37">
        <v>3000</v>
      </c>
      <c r="AB338" s="37">
        <v>2500</v>
      </c>
      <c r="AC338" s="37">
        <v>2950</v>
      </c>
      <c r="AD338" s="39">
        <v>9.6</v>
      </c>
    </row>
    <row r="339" spans="1:30" x14ac:dyDescent="0.25">
      <c r="A339" s="208">
        <v>42927</v>
      </c>
      <c r="B339" s="63" t="s">
        <v>160</v>
      </c>
      <c r="C339" s="56" t="s">
        <v>158</v>
      </c>
      <c r="D339" s="8">
        <v>1919.67</v>
      </c>
      <c r="E339" s="8">
        <v>1915.17</v>
      </c>
      <c r="F339" s="8">
        <v>1909.59</v>
      </c>
      <c r="G339" s="8">
        <v>1911.05</v>
      </c>
      <c r="H339" s="8">
        <v>1916.24</v>
      </c>
      <c r="I339" s="8">
        <v>1916.59</v>
      </c>
      <c r="J339" s="8">
        <v>1912.18</v>
      </c>
      <c r="K339" s="8">
        <v>1911.07</v>
      </c>
      <c r="L339" s="8">
        <v>1920.13</v>
      </c>
      <c r="M339" s="62"/>
      <c r="N339" s="62"/>
      <c r="O339" s="62"/>
      <c r="P339" s="62"/>
      <c r="Q339" s="63">
        <f>IF((L340=""),"",MAX(D341:L341))</f>
        <v>2521.7199999999993</v>
      </c>
      <c r="R339" s="63">
        <f>IF(L340="","",MIN(D341:L341))</f>
        <v>2391.5200000000004</v>
      </c>
      <c r="S339" s="63">
        <f>IF((L341=""),"",AVERAGE(D341:L341))</f>
        <v>2466.1955555555555</v>
      </c>
      <c r="T339" s="63">
        <f>IF((L340=""),"",((Q339-R339)/(Q339+R339))*100)</f>
        <v>2.6499824962753484</v>
      </c>
      <c r="U339" s="51">
        <f>STDEV(D339:L339)</f>
        <v>3.8612005185492269</v>
      </c>
      <c r="V339" s="64" t="str">
        <f>IF(L340="","",(IF(T339&lt;12,IF(S339&gt;2200,IF(S339&lt;3280,"Pass","Fail"),"Fail"),"Fail")))</f>
        <v>Pass</v>
      </c>
      <c r="W339" s="63">
        <v>121</v>
      </c>
      <c r="Z339" s="37">
        <v>2000</v>
      </c>
      <c r="AA339" s="37">
        <v>3000</v>
      </c>
      <c r="AB339" s="37">
        <v>2200</v>
      </c>
      <c r="AC339" s="37">
        <v>3280</v>
      </c>
      <c r="AD339" s="39">
        <v>12</v>
      </c>
    </row>
    <row r="340" spans="1:30" ht="16.5" customHeight="1" x14ac:dyDescent="0.35">
      <c r="A340" s="206"/>
      <c r="B340" s="48"/>
      <c r="C340" s="51" t="s">
        <v>157</v>
      </c>
      <c r="D340" s="8">
        <v>1298.4000000000001</v>
      </c>
      <c r="E340" s="8">
        <v>1294.94</v>
      </c>
      <c r="F340" s="8">
        <v>1301.54</v>
      </c>
      <c r="G340" s="8">
        <v>1289.1400000000001</v>
      </c>
      <c r="H340" s="8">
        <v>1307.82</v>
      </c>
      <c r="I340" s="8">
        <v>1286.1600000000001</v>
      </c>
      <c r="J340" s="8">
        <v>1282.04</v>
      </c>
      <c r="K340" s="8">
        <v>1300.46</v>
      </c>
      <c r="L340" s="8">
        <v>1322.25</v>
      </c>
      <c r="M340" s="50"/>
      <c r="N340" s="50"/>
      <c r="O340" s="50"/>
      <c r="P340" s="50"/>
      <c r="Q340" s="48"/>
      <c r="R340" s="48"/>
      <c r="S340" s="48"/>
      <c r="T340" s="48"/>
      <c r="U340" s="48"/>
      <c r="V340" s="47"/>
      <c r="W340" s="48"/>
      <c r="X340" s="8"/>
      <c r="Z340" s="37">
        <v>2000</v>
      </c>
      <c r="AA340" s="37">
        <v>3000</v>
      </c>
      <c r="AB340" s="37">
        <v>2500</v>
      </c>
      <c r="AC340" s="37">
        <v>2950</v>
      </c>
      <c r="AD340" s="39">
        <v>9.6</v>
      </c>
    </row>
    <row r="341" spans="1:30" ht="24.8" customHeight="1" thickBot="1" x14ac:dyDescent="0.4">
      <c r="A341" s="206"/>
      <c r="B341" s="61"/>
      <c r="C341" s="51" t="s">
        <v>156</v>
      </c>
      <c r="D341" s="24">
        <f t="shared" ref="D341:L341" si="108">IF(((D339="")*AND(D340="")),"",(D339-D340)*4)</f>
        <v>2485.08</v>
      </c>
      <c r="E341" s="24">
        <f t="shared" si="108"/>
        <v>2480.92</v>
      </c>
      <c r="F341" s="24">
        <f t="shared" si="108"/>
        <v>2432.1999999999998</v>
      </c>
      <c r="G341" s="24">
        <f t="shared" si="108"/>
        <v>2487.6399999999994</v>
      </c>
      <c r="H341" s="24">
        <f t="shared" si="108"/>
        <v>2433.6800000000003</v>
      </c>
      <c r="I341" s="24">
        <f t="shared" si="108"/>
        <v>2521.7199999999993</v>
      </c>
      <c r="J341" s="24">
        <f t="shared" si="108"/>
        <v>2520.5600000000004</v>
      </c>
      <c r="K341" s="24">
        <f t="shared" si="108"/>
        <v>2442.4399999999996</v>
      </c>
      <c r="L341" s="24">
        <f t="shared" si="108"/>
        <v>2391.5200000000004</v>
      </c>
      <c r="M341" s="24"/>
      <c r="N341" s="24"/>
      <c r="O341" s="24"/>
      <c r="P341" s="24" t="str">
        <f>IF(((P339="")*AND(P340="")),"",(P339-P340)*4)</f>
        <v/>
      </c>
      <c r="Q341" s="61"/>
      <c r="R341" s="61"/>
      <c r="S341" s="61"/>
      <c r="T341" s="61"/>
      <c r="U341" s="61"/>
      <c r="V341" s="60"/>
      <c r="W341" s="61"/>
      <c r="X341" s="8"/>
      <c r="Z341" s="37">
        <v>2000</v>
      </c>
      <c r="AA341" s="37">
        <v>3000</v>
      </c>
      <c r="AB341" s="37">
        <v>2500</v>
      </c>
      <c r="AC341" s="37">
        <v>2950</v>
      </c>
      <c r="AD341" s="39">
        <v>9.6</v>
      </c>
    </row>
    <row r="342" spans="1:30" x14ac:dyDescent="0.25">
      <c r="A342" s="208">
        <v>42927</v>
      </c>
      <c r="B342" s="57" t="s">
        <v>159</v>
      </c>
      <c r="C342" s="51" t="s">
        <v>158</v>
      </c>
      <c r="D342" s="8">
        <v>6880.7</v>
      </c>
      <c r="E342" s="8">
        <v>6888.29</v>
      </c>
      <c r="F342" s="8">
        <v>6914.37</v>
      </c>
      <c r="G342" s="8">
        <v>6874</v>
      </c>
      <c r="H342" s="8">
        <v>6902.52</v>
      </c>
      <c r="I342" s="8">
        <v>6898.05</v>
      </c>
      <c r="J342" s="8">
        <v>6914.11</v>
      </c>
      <c r="K342" s="8">
        <v>6904.68</v>
      </c>
      <c r="L342" s="8">
        <v>6924.11</v>
      </c>
      <c r="M342" s="50"/>
      <c r="N342" s="50"/>
      <c r="O342" s="50"/>
      <c r="P342" s="50"/>
      <c r="Q342" s="57">
        <f>IF((L343=""),"",MAX(D344:L344))</f>
        <v>3081.3199999999997</v>
      </c>
      <c r="R342" s="57">
        <f>IF(L343="","",MIN(D344:L344))</f>
        <v>3030.0200000000004</v>
      </c>
      <c r="S342" s="58">
        <f>IF((L344=""),"",AVERAGE(D344:L344))</f>
        <v>3066.9822222222228</v>
      </c>
      <c r="T342" s="57">
        <f>IF((L343=""),"",((Q342-R342)/(Q342+R342))*100)</f>
        <v>0.83942310524368258</v>
      </c>
      <c r="U342" s="56">
        <f>STDEV(D342:L342)</f>
        <v>16.599977242286883</v>
      </c>
      <c r="V342" s="55" t="str">
        <f>IF(L343="","",(IF(T342&lt;7,IF(S342&gt;2800,IF(S342&lt;3800,"Pass","Fail"),"Fail"),"Fail")))</f>
        <v>Pass</v>
      </c>
      <c r="W342" s="57">
        <v>121</v>
      </c>
      <c r="Z342" s="53">
        <v>2800</v>
      </c>
      <c r="AA342" s="53">
        <v>3800</v>
      </c>
      <c r="AB342" s="53">
        <v>3100</v>
      </c>
      <c r="AC342" s="53">
        <v>3760</v>
      </c>
      <c r="AD342" s="52">
        <v>6</v>
      </c>
    </row>
    <row r="343" spans="1:30" ht="16.5" customHeight="1" x14ac:dyDescent="0.35">
      <c r="A343" s="206"/>
      <c r="B343" s="48"/>
      <c r="C343" s="51" t="s">
        <v>157</v>
      </c>
      <c r="D343" s="8">
        <v>5350.69</v>
      </c>
      <c r="E343" s="8">
        <v>5347.63</v>
      </c>
      <c r="F343" s="8">
        <v>5373.97</v>
      </c>
      <c r="G343" s="8">
        <v>5339.64</v>
      </c>
      <c r="H343" s="8">
        <v>5387.51</v>
      </c>
      <c r="I343" s="8">
        <v>5362.31</v>
      </c>
      <c r="J343" s="8">
        <v>5378.11</v>
      </c>
      <c r="K343" s="8">
        <v>5364.55</v>
      </c>
      <c r="L343" s="8">
        <v>5395</v>
      </c>
      <c r="M343" s="50"/>
      <c r="N343" s="50"/>
      <c r="O343" s="50"/>
      <c r="P343" s="50"/>
      <c r="Q343" s="48"/>
      <c r="R343" s="48"/>
      <c r="S343" s="49"/>
      <c r="T343" s="48"/>
      <c r="U343" s="48"/>
      <c r="V343" s="47"/>
      <c r="W343" s="48"/>
      <c r="X343" s="8"/>
      <c r="Z343" s="37">
        <v>2000</v>
      </c>
      <c r="AA343" s="37">
        <v>3000</v>
      </c>
      <c r="AB343" s="37">
        <v>2500</v>
      </c>
      <c r="AC343" s="37">
        <v>2950</v>
      </c>
      <c r="AD343" s="39">
        <v>9.6</v>
      </c>
    </row>
    <row r="344" spans="1:30" ht="24.8" customHeight="1" thickBot="1" x14ac:dyDescent="0.4">
      <c r="A344" s="206"/>
      <c r="B344" s="42"/>
      <c r="C344" s="45" t="s">
        <v>156</v>
      </c>
      <c r="D344" s="44">
        <f t="shared" ref="D344:L344" si="109">IF(((D342="")*AND(D343="")),"",(D342-D343)*2)</f>
        <v>3060.0200000000004</v>
      </c>
      <c r="E344" s="44">
        <f t="shared" si="109"/>
        <v>3081.3199999999997</v>
      </c>
      <c r="F344" s="44">
        <f t="shared" si="109"/>
        <v>3080.7999999999993</v>
      </c>
      <c r="G344" s="44">
        <f t="shared" si="109"/>
        <v>3068.7199999999993</v>
      </c>
      <c r="H344" s="44">
        <f t="shared" si="109"/>
        <v>3030.0200000000004</v>
      </c>
      <c r="I344" s="44">
        <f t="shared" si="109"/>
        <v>3071.4799999999996</v>
      </c>
      <c r="J344" s="44">
        <f t="shared" si="109"/>
        <v>3072</v>
      </c>
      <c r="K344" s="44">
        <f t="shared" si="109"/>
        <v>3080.26</v>
      </c>
      <c r="L344" s="44">
        <f t="shared" si="109"/>
        <v>3058.2199999999993</v>
      </c>
      <c r="M344" s="44"/>
      <c r="N344" s="44"/>
      <c r="O344" s="44"/>
      <c r="P344" s="44"/>
      <c r="Q344" s="42"/>
      <c r="R344" s="42"/>
      <c r="S344" s="43"/>
      <c r="T344" s="42"/>
      <c r="U344" s="42"/>
      <c r="V344" s="41"/>
      <c r="W344" s="42"/>
      <c r="X344" s="8"/>
      <c r="Z344" s="37">
        <v>2000</v>
      </c>
      <c r="AA344" s="37">
        <v>3000</v>
      </c>
      <c r="AB344" s="37">
        <v>2500</v>
      </c>
      <c r="AC344" s="37">
        <v>2950</v>
      </c>
      <c r="AD344" s="39">
        <v>9.6</v>
      </c>
    </row>
    <row r="345" spans="1:30" x14ac:dyDescent="0.25">
      <c r="A345" s="208">
        <v>42936</v>
      </c>
      <c r="B345" s="63" t="s">
        <v>160</v>
      </c>
      <c r="C345" s="56" t="s">
        <v>158</v>
      </c>
      <c r="D345" s="8">
        <v>1254.83</v>
      </c>
      <c r="E345" s="8">
        <v>1277.83</v>
      </c>
      <c r="F345" s="8">
        <v>1298.8900000000001</v>
      </c>
      <c r="G345" s="8">
        <v>1297.8599999999999</v>
      </c>
      <c r="H345" s="8">
        <v>1299.92</v>
      </c>
      <c r="I345" s="8">
        <v>1258.75</v>
      </c>
      <c r="J345" s="8">
        <v>1276.3800000000001</v>
      </c>
      <c r="K345" s="8">
        <v>1293.43</v>
      </c>
      <c r="L345" s="8">
        <v>1285.0899999999999</v>
      </c>
      <c r="M345" s="62"/>
      <c r="N345" s="62"/>
      <c r="O345" s="62"/>
      <c r="P345" s="62"/>
      <c r="Q345" s="63">
        <f>IF((L346=""),"",MAX(D347:L347))</f>
        <v>2650.08</v>
      </c>
      <c r="R345" s="63">
        <f>IF(L346="","",MIN(D347:L347))</f>
        <v>2490.0400000000004</v>
      </c>
      <c r="S345" s="63">
        <f>IF((L347=""),"",AVERAGE(D347:L347))</f>
        <v>2553.3555555555558</v>
      </c>
      <c r="T345" s="63">
        <f>IF((L346=""),"",((Q345-R345)/(Q345+R345))*100)</f>
        <v>3.1135459872532056</v>
      </c>
      <c r="U345" s="51">
        <f>STDEV(D345:L345)</f>
        <v>17.040834046489653</v>
      </c>
      <c r="V345" s="64" t="str">
        <f>IF(L346="","",(IF(T345&lt;12,IF(S345&gt;2200,IF(S345&lt;3280,"Pass","Fail"),"Fail"),"Fail")))</f>
        <v>Pass</v>
      </c>
      <c r="W345" s="63">
        <v>1428</v>
      </c>
      <c r="X345" s="257" t="s">
        <v>189</v>
      </c>
      <c r="Z345" s="37">
        <v>2000</v>
      </c>
      <c r="AA345" s="37">
        <v>3000</v>
      </c>
      <c r="AB345" s="37">
        <v>2200</v>
      </c>
      <c r="AC345" s="37">
        <v>3280</v>
      </c>
      <c r="AD345" s="39">
        <v>12</v>
      </c>
    </row>
    <row r="346" spans="1:30" ht="16.5" customHeight="1" x14ac:dyDescent="0.35">
      <c r="A346" s="206"/>
      <c r="B346" s="48"/>
      <c r="C346" s="51" t="s">
        <v>157</v>
      </c>
      <c r="D346" s="8">
        <v>606.09</v>
      </c>
      <c r="E346" s="8">
        <v>642.30999999999995</v>
      </c>
      <c r="F346" s="8">
        <v>676.38</v>
      </c>
      <c r="G346" s="8">
        <v>661.54</v>
      </c>
      <c r="H346" s="8">
        <v>664.4</v>
      </c>
      <c r="I346" s="8">
        <v>596.23</v>
      </c>
      <c r="J346" s="8">
        <v>632.21</v>
      </c>
      <c r="K346" s="8">
        <v>664.47</v>
      </c>
      <c r="L346" s="8">
        <v>654.29999999999995</v>
      </c>
      <c r="M346" s="50"/>
      <c r="N346" s="50"/>
      <c r="O346" s="50"/>
      <c r="P346" s="50"/>
      <c r="Q346" s="48"/>
      <c r="R346" s="48"/>
      <c r="S346" s="48"/>
      <c r="T346" s="48"/>
      <c r="U346" s="48"/>
      <c r="V346" s="47"/>
      <c r="W346" s="48"/>
      <c r="X346" s="8"/>
      <c r="Z346" s="53">
        <v>2800</v>
      </c>
      <c r="AA346" s="53">
        <v>3800</v>
      </c>
      <c r="AB346" s="53">
        <v>3220</v>
      </c>
      <c r="AC346" s="53">
        <v>3550</v>
      </c>
      <c r="AD346" s="52">
        <v>7.6</v>
      </c>
    </row>
    <row r="347" spans="1:30" ht="24.8" customHeight="1" thickBot="1" x14ac:dyDescent="0.4">
      <c r="A347" s="206"/>
      <c r="B347" s="61"/>
      <c r="C347" s="51" t="s">
        <v>156</v>
      </c>
      <c r="D347" s="24">
        <f t="shared" ref="D347:L347" si="110">IF(((D345="")*AND(D346="")),"",(D345-D346)*4)</f>
        <v>2594.9599999999996</v>
      </c>
      <c r="E347" s="24">
        <f t="shared" si="110"/>
        <v>2542.08</v>
      </c>
      <c r="F347" s="24">
        <f t="shared" si="110"/>
        <v>2490.0400000000004</v>
      </c>
      <c r="G347" s="24">
        <f t="shared" si="110"/>
        <v>2545.2799999999997</v>
      </c>
      <c r="H347" s="24">
        <f t="shared" si="110"/>
        <v>2542.0800000000004</v>
      </c>
      <c r="I347" s="24">
        <f t="shared" si="110"/>
        <v>2650.08</v>
      </c>
      <c r="J347" s="24">
        <f t="shared" si="110"/>
        <v>2576.6800000000003</v>
      </c>
      <c r="K347" s="24">
        <f t="shared" si="110"/>
        <v>2515.84</v>
      </c>
      <c r="L347" s="24">
        <f t="shared" si="110"/>
        <v>2523.16</v>
      </c>
      <c r="M347" s="24"/>
      <c r="N347" s="24"/>
      <c r="O347" s="24"/>
      <c r="P347" s="24" t="str">
        <f>IF(((P345="")*AND(P346="")),"",(P345-P346)*4)</f>
        <v/>
      </c>
      <c r="Q347" s="61"/>
      <c r="R347" s="61"/>
      <c r="S347" s="61"/>
      <c r="T347" s="61"/>
      <c r="U347" s="61"/>
      <c r="V347" s="60"/>
      <c r="W347" s="61"/>
      <c r="X347" s="8"/>
    </row>
    <row r="348" spans="1:30" x14ac:dyDescent="0.25">
      <c r="A348" s="208">
        <v>42936</v>
      </c>
      <c r="B348" s="57" t="s">
        <v>159</v>
      </c>
      <c r="C348" s="51" t="s">
        <v>158</v>
      </c>
      <c r="D348" s="8">
        <v>5342.66</v>
      </c>
      <c r="E348" s="8">
        <v>5338.68</v>
      </c>
      <c r="F348" s="8">
        <v>5385.85</v>
      </c>
      <c r="G348" s="8">
        <v>5371.61</v>
      </c>
      <c r="H348" s="8">
        <v>5460.23</v>
      </c>
      <c r="I348" s="8">
        <v>5366.83</v>
      </c>
      <c r="J348" s="8">
        <v>5395.17</v>
      </c>
      <c r="K348" s="8">
        <v>5370.9</v>
      </c>
      <c r="L348" s="8">
        <v>5392.08</v>
      </c>
      <c r="M348" s="50"/>
      <c r="N348" s="50"/>
      <c r="O348" s="50"/>
      <c r="P348" s="50"/>
      <c r="Q348" s="57">
        <f>IF((L349=""),"",MAX(D350:L350))</f>
        <v>3366.08</v>
      </c>
      <c r="R348" s="57">
        <f>IF(L349="","",MIN(D350:L350))</f>
        <v>3309.8799999999992</v>
      </c>
      <c r="S348" s="58">
        <f>IF((L350=""),"",AVERAGE(D350:L350))</f>
        <v>3337.8711111111106</v>
      </c>
      <c r="T348" s="57">
        <f>IF((L349=""),"",((Q348-R348)/(Q348+R348))*100)</f>
        <v>0.8418264938675597</v>
      </c>
      <c r="U348" s="56">
        <f>STDEV(D348:L348)</f>
        <v>35.835759065181946</v>
      </c>
      <c r="V348" s="55" t="str">
        <f>IF(L349="","",(IF(T348&lt;7,IF(S348&gt;2800,IF(S348&lt;3800,"Pass","Fail"),"Fail"),"Fail")))</f>
        <v>Pass</v>
      </c>
      <c r="W348" s="57">
        <v>1428</v>
      </c>
      <c r="Z348" s="53">
        <v>2800</v>
      </c>
      <c r="AA348" s="53">
        <v>3800</v>
      </c>
      <c r="AB348" s="53">
        <v>3100</v>
      </c>
      <c r="AC348" s="53">
        <v>3760</v>
      </c>
      <c r="AD348" s="52">
        <v>6</v>
      </c>
    </row>
    <row r="349" spans="1:30" ht="16.5" customHeight="1" x14ac:dyDescent="0.35">
      <c r="A349" s="206"/>
      <c r="B349" s="48"/>
      <c r="C349" s="51" t="s">
        <v>157</v>
      </c>
      <c r="D349" s="8">
        <v>3669.06</v>
      </c>
      <c r="E349" s="8">
        <v>3665.63</v>
      </c>
      <c r="F349" s="8">
        <v>3715.09</v>
      </c>
      <c r="G349" s="8">
        <v>3708.2</v>
      </c>
      <c r="H349" s="8">
        <v>3805.29</v>
      </c>
      <c r="I349" s="8">
        <v>3683.79</v>
      </c>
      <c r="J349" s="8">
        <v>3728.64</v>
      </c>
      <c r="K349" s="8">
        <v>3700.1</v>
      </c>
      <c r="L349" s="8">
        <v>3727.79</v>
      </c>
      <c r="M349" s="50"/>
      <c r="N349" s="50"/>
      <c r="O349" s="50"/>
      <c r="P349" s="50"/>
      <c r="Q349" s="48"/>
      <c r="R349" s="48"/>
      <c r="S349" s="49"/>
      <c r="T349" s="48"/>
      <c r="U349" s="48"/>
      <c r="V349" s="47"/>
      <c r="W349" s="48"/>
      <c r="X349" s="8"/>
    </row>
    <row r="350" spans="1:30" ht="24.8" customHeight="1" thickBot="1" x14ac:dyDescent="0.4">
      <c r="A350" s="206"/>
      <c r="B350" s="42"/>
      <c r="C350" s="45" t="s">
        <v>156</v>
      </c>
      <c r="D350" s="44">
        <f t="shared" ref="D350:L350" si="111">IF(((D348="")*AND(D349="")),"",(D348-D349)*2)</f>
        <v>3347.2</v>
      </c>
      <c r="E350" s="44">
        <f t="shared" si="111"/>
        <v>3346.1000000000004</v>
      </c>
      <c r="F350" s="44">
        <f t="shared" si="111"/>
        <v>3341.5200000000004</v>
      </c>
      <c r="G350" s="44">
        <f t="shared" si="111"/>
        <v>3326.8199999999997</v>
      </c>
      <c r="H350" s="44">
        <f t="shared" si="111"/>
        <v>3309.8799999999992</v>
      </c>
      <c r="I350" s="44">
        <f t="shared" si="111"/>
        <v>3366.08</v>
      </c>
      <c r="J350" s="44">
        <f t="shared" si="111"/>
        <v>3333.0600000000004</v>
      </c>
      <c r="K350" s="44">
        <f t="shared" si="111"/>
        <v>3341.5999999999995</v>
      </c>
      <c r="L350" s="44">
        <f t="shared" si="111"/>
        <v>3328.58</v>
      </c>
      <c r="M350" s="44"/>
      <c r="N350" s="44"/>
      <c r="O350" s="44"/>
      <c r="P350" s="44"/>
      <c r="Q350" s="42"/>
      <c r="R350" s="42"/>
      <c r="S350" s="43"/>
      <c r="T350" s="42"/>
      <c r="U350" s="42"/>
      <c r="V350" s="41"/>
      <c r="W350" s="42"/>
      <c r="X350" s="8"/>
    </row>
    <row r="351" spans="1:30" x14ac:dyDescent="0.25">
      <c r="A351" s="208">
        <v>42941</v>
      </c>
      <c r="B351" s="63" t="s">
        <v>160</v>
      </c>
      <c r="C351" s="56" t="s">
        <v>158</v>
      </c>
      <c r="D351" s="8">
        <v>1919.89</v>
      </c>
      <c r="E351" s="8">
        <v>1913.28</v>
      </c>
      <c r="F351" s="8">
        <v>1911.42</v>
      </c>
      <c r="G351" s="8">
        <v>1914.69</v>
      </c>
      <c r="H351" s="8">
        <v>1921.89</v>
      </c>
      <c r="I351" s="8">
        <v>1920.45</v>
      </c>
      <c r="J351" s="8">
        <v>1915.69</v>
      </c>
      <c r="K351" s="8">
        <v>1914.75</v>
      </c>
      <c r="L351" s="8">
        <v>1921.21</v>
      </c>
      <c r="M351" s="62"/>
      <c r="N351" s="62"/>
      <c r="O351" s="62"/>
      <c r="P351" s="62"/>
      <c r="Q351" s="63">
        <f>IF((L352=""),"",MAX(D353:L353))</f>
        <v>2622.8</v>
      </c>
      <c r="R351" s="63">
        <f>IF(L352="","",MIN(D353:L353))</f>
        <v>2462.4000000000005</v>
      </c>
      <c r="S351" s="63">
        <f>IF((L353=""),"",AVERAGE(D353:L353))</f>
        <v>2535.5155555555561</v>
      </c>
      <c r="T351" s="63">
        <f>IF((L352=""),"",((Q351-R351)/(Q351+R351))*100)</f>
        <v>3.1542515535278772</v>
      </c>
      <c r="U351" s="51">
        <f>STDEV(D351:L351)</f>
        <v>3.8563616272336474</v>
      </c>
      <c r="V351" s="64" t="str">
        <f>IF(L352="","",(IF(T351&lt;12,IF(S351&gt;2200,IF(S351&lt;3280,"Pass","Fail"),"Fail"),"Fail")))</f>
        <v>Pass</v>
      </c>
      <c r="W351" s="63">
        <v>1159</v>
      </c>
      <c r="X351" s="26" t="s">
        <v>188</v>
      </c>
      <c r="Z351" s="37">
        <v>2000</v>
      </c>
      <c r="AA351" s="37">
        <v>3000</v>
      </c>
      <c r="AB351" s="37">
        <v>2200</v>
      </c>
      <c r="AC351" s="37">
        <v>3280</v>
      </c>
      <c r="AD351" s="39">
        <v>12</v>
      </c>
    </row>
    <row r="352" spans="1:30" ht="16.5" customHeight="1" x14ac:dyDescent="0.35">
      <c r="A352" s="206"/>
      <c r="B352" s="48"/>
      <c r="C352" s="51" t="s">
        <v>157</v>
      </c>
      <c r="D352" s="8">
        <v>1272.08</v>
      </c>
      <c r="E352" s="8">
        <v>1278.6199999999999</v>
      </c>
      <c r="F352" s="8">
        <v>1295.82</v>
      </c>
      <c r="G352" s="8">
        <v>1283.6400000000001</v>
      </c>
      <c r="H352" s="8">
        <v>1292.93</v>
      </c>
      <c r="I352" s="8">
        <v>1264.75</v>
      </c>
      <c r="J352" s="8">
        <v>1273.8900000000001</v>
      </c>
      <c r="K352" s="8">
        <v>1289.07</v>
      </c>
      <c r="L352" s="8">
        <v>1297.56</v>
      </c>
      <c r="M352" s="50"/>
      <c r="N352" s="50"/>
      <c r="O352" s="50"/>
      <c r="P352" s="50"/>
      <c r="Q352" s="48"/>
      <c r="R352" s="48"/>
      <c r="S352" s="48"/>
      <c r="T352" s="48"/>
      <c r="U352" s="48"/>
      <c r="V352" s="47"/>
      <c r="W352" s="48"/>
      <c r="X352" s="8"/>
    </row>
    <row r="353" spans="1:30" ht="24.8" customHeight="1" thickBot="1" x14ac:dyDescent="0.4">
      <c r="A353" s="206"/>
      <c r="B353" s="61"/>
      <c r="C353" s="51" t="s">
        <v>156</v>
      </c>
      <c r="D353" s="24">
        <f t="shared" ref="D353:L353" si="112">IF(((D351="")*AND(D352="")),"",(D351-D352)*4)</f>
        <v>2591.2400000000007</v>
      </c>
      <c r="E353" s="24">
        <f t="shared" si="112"/>
        <v>2538.6400000000003</v>
      </c>
      <c r="F353" s="24">
        <f t="shared" si="112"/>
        <v>2462.4000000000005</v>
      </c>
      <c r="G353" s="24">
        <f t="shared" si="112"/>
        <v>2524.1999999999998</v>
      </c>
      <c r="H353" s="24">
        <f t="shared" si="112"/>
        <v>2515.84</v>
      </c>
      <c r="I353" s="24">
        <f t="shared" si="112"/>
        <v>2622.8</v>
      </c>
      <c r="J353" s="24">
        <f t="shared" si="112"/>
        <v>2567.1999999999998</v>
      </c>
      <c r="K353" s="24">
        <f t="shared" si="112"/>
        <v>2502.7200000000003</v>
      </c>
      <c r="L353" s="24">
        <f t="shared" si="112"/>
        <v>2494.6000000000004</v>
      </c>
      <c r="M353" s="24"/>
      <c r="N353" s="24"/>
      <c r="O353" s="24"/>
      <c r="P353" s="24" t="str">
        <f>IF(((P351="")*AND(P352="")),"",(P351-P352)*4)</f>
        <v/>
      </c>
      <c r="Q353" s="61"/>
      <c r="R353" s="61"/>
      <c r="S353" s="61"/>
      <c r="T353" s="61"/>
      <c r="U353" s="61"/>
      <c r="V353" s="60"/>
      <c r="W353" s="61"/>
      <c r="X353" s="8"/>
      <c r="Y353" s="8"/>
    </row>
    <row r="354" spans="1:30" x14ac:dyDescent="0.25">
      <c r="A354" s="208">
        <v>42941</v>
      </c>
      <c r="B354" s="57" t="s">
        <v>159</v>
      </c>
      <c r="C354" s="51" t="s">
        <v>158</v>
      </c>
      <c r="D354" s="8">
        <v>6913.61</v>
      </c>
      <c r="E354" s="8">
        <v>6898.24</v>
      </c>
      <c r="F354" s="8">
        <v>6921.72</v>
      </c>
      <c r="G354" s="8">
        <v>6902.21</v>
      </c>
      <c r="H354" s="8">
        <v>6980.79</v>
      </c>
      <c r="I354" s="8">
        <v>6930.06</v>
      </c>
      <c r="J354" s="8">
        <v>6932.61</v>
      </c>
      <c r="K354" s="8">
        <v>6910.64</v>
      </c>
      <c r="L354" s="8">
        <v>6925.56</v>
      </c>
      <c r="M354" s="50"/>
      <c r="N354" s="50"/>
      <c r="O354" s="50"/>
      <c r="P354" s="50"/>
      <c r="Q354" s="57">
        <f>IF((L355=""),"",MAX(D356:L356))</f>
        <v>3355.2000000000007</v>
      </c>
      <c r="R354" s="57">
        <f>IF(L355="","",MIN(D356:L356))</f>
        <v>3287.3000000000011</v>
      </c>
      <c r="S354" s="58">
        <f>IF((L356=""),"",AVERAGE(D356:L356))</f>
        <v>3321.9888888888886</v>
      </c>
      <c r="T354" s="57">
        <f>IF((L355=""),"",((Q354-R354)/(Q354+R354))*100)</f>
        <v>1.0222054949190758</v>
      </c>
      <c r="U354" s="56">
        <f>STDEV(D354:L354)</f>
        <v>24.414084960211902</v>
      </c>
      <c r="V354" s="55" t="str">
        <f>IF(L355="","",(IF(T354&lt;7,IF(S354&gt;2800,IF(S354&lt;3800,"Pass","Fail"),"Fail"),"Fail")))</f>
        <v>Pass</v>
      </c>
      <c r="W354" s="57">
        <v>1159</v>
      </c>
      <c r="X354" s="26" t="s">
        <v>188</v>
      </c>
      <c r="Z354" s="53">
        <v>2800</v>
      </c>
      <c r="AA354" s="53">
        <v>3800</v>
      </c>
      <c r="AB354" s="53">
        <v>3100</v>
      </c>
      <c r="AC354" s="53">
        <v>3760</v>
      </c>
      <c r="AD354" s="52">
        <v>6</v>
      </c>
    </row>
    <row r="355" spans="1:30" ht="16.5" customHeight="1" x14ac:dyDescent="0.35">
      <c r="A355" s="206"/>
      <c r="B355" s="48"/>
      <c r="C355" s="51" t="s">
        <v>157</v>
      </c>
      <c r="D355" s="8">
        <v>5256.17</v>
      </c>
      <c r="E355" s="8">
        <v>5230.1000000000004</v>
      </c>
      <c r="F355" s="8">
        <v>5257.98</v>
      </c>
      <c r="G355" s="8">
        <v>5239.76</v>
      </c>
      <c r="H355" s="8">
        <v>5336.96</v>
      </c>
      <c r="I355" s="8">
        <v>5286.41</v>
      </c>
      <c r="J355" s="8">
        <v>5269.31</v>
      </c>
      <c r="K355" s="8">
        <v>5241.84</v>
      </c>
      <c r="L355" s="8">
        <v>5247.96</v>
      </c>
      <c r="M355" s="50"/>
      <c r="N355" s="50"/>
      <c r="O355" s="50"/>
      <c r="P355" s="50"/>
      <c r="Q355" s="48"/>
      <c r="R355" s="48"/>
      <c r="S355" s="49"/>
      <c r="T355" s="48"/>
      <c r="U355" s="48"/>
      <c r="V355" s="47"/>
      <c r="W355" s="48"/>
      <c r="X355" s="8"/>
    </row>
    <row r="356" spans="1:30" ht="24.8" customHeight="1" thickBot="1" x14ac:dyDescent="0.4">
      <c r="A356" s="206"/>
      <c r="B356" s="42"/>
      <c r="C356" s="45" t="s">
        <v>156</v>
      </c>
      <c r="D356" s="44">
        <f t="shared" ref="D356:L356" si="113">IF(((D354="")*AND(D355="")),"",(D354-D355)*2)</f>
        <v>3314.8799999999992</v>
      </c>
      <c r="E356" s="44">
        <f t="shared" si="113"/>
        <v>3336.2799999999988</v>
      </c>
      <c r="F356" s="44">
        <f t="shared" si="113"/>
        <v>3327.4800000000014</v>
      </c>
      <c r="G356" s="44">
        <f t="shared" si="113"/>
        <v>3324.8999999999996</v>
      </c>
      <c r="H356" s="44">
        <f t="shared" si="113"/>
        <v>3287.66</v>
      </c>
      <c r="I356" s="44">
        <f t="shared" si="113"/>
        <v>3287.3000000000011</v>
      </c>
      <c r="J356" s="44">
        <f t="shared" si="113"/>
        <v>3326.5999999999985</v>
      </c>
      <c r="K356" s="44">
        <f t="shared" si="113"/>
        <v>3337.6000000000004</v>
      </c>
      <c r="L356" s="44">
        <f t="shared" si="113"/>
        <v>3355.2000000000007</v>
      </c>
      <c r="M356" s="44"/>
      <c r="N356" s="44"/>
      <c r="O356" s="44"/>
      <c r="P356" s="44"/>
      <c r="Q356" s="42"/>
      <c r="R356" s="42"/>
      <c r="S356" s="43"/>
      <c r="T356" s="42"/>
      <c r="U356" s="42"/>
      <c r="V356" s="41"/>
      <c r="W356" s="42"/>
      <c r="X356" s="8"/>
    </row>
    <row r="357" spans="1:30" x14ac:dyDescent="0.25">
      <c r="A357" s="208">
        <v>42949</v>
      </c>
      <c r="B357" s="63" t="s">
        <v>160</v>
      </c>
      <c r="C357" s="56" t="s">
        <v>158</v>
      </c>
      <c r="D357" s="8">
        <v>1919.8</v>
      </c>
      <c r="E357" s="8">
        <v>1915.35</v>
      </c>
      <c r="F357" s="8">
        <v>1912.75</v>
      </c>
      <c r="G357" s="8">
        <v>1916.23</v>
      </c>
      <c r="H357" s="8">
        <v>1920.66</v>
      </c>
      <c r="I357" s="8">
        <v>1918.06</v>
      </c>
      <c r="J357" s="8">
        <v>1913.73</v>
      </c>
      <c r="K357" s="8">
        <v>1917.41</v>
      </c>
      <c r="L357" s="8">
        <v>1924.05</v>
      </c>
      <c r="M357" s="62"/>
      <c r="N357" s="62"/>
      <c r="O357" s="62"/>
      <c r="P357" s="62"/>
      <c r="Q357" s="63">
        <f>IF((L358=""),"",MAX(D359:L359))</f>
        <v>2611.3199999999997</v>
      </c>
      <c r="R357" s="63">
        <f>IF(L358="","",MIN(D359:L359))</f>
        <v>2478.5200000000004</v>
      </c>
      <c r="S357" s="63">
        <f>IF((L359=""),"",AVERAGE(D359:L359))</f>
        <v>2531.5466666666666</v>
      </c>
      <c r="T357" s="63">
        <f>IF((L358=""),"",((Q357-R357)/(Q357+R357))*100)</f>
        <v>2.6091193436335773</v>
      </c>
      <c r="U357" s="51">
        <f>STDEV(D357:L357)</f>
        <v>3.5615691766411026</v>
      </c>
      <c r="V357" s="64" t="str">
        <f>IF(L358="","",(IF(T357&lt;12,IF(S357&gt;2200,IF(S357&lt;3280,"Pass","Fail"),"Fail"),"Fail")))</f>
        <v>Pass</v>
      </c>
      <c r="W357" s="63"/>
      <c r="Z357" s="37">
        <v>2000</v>
      </c>
      <c r="AA357" s="37">
        <v>3000</v>
      </c>
      <c r="AB357" s="37">
        <v>2200</v>
      </c>
      <c r="AC357" s="37">
        <v>3280</v>
      </c>
      <c r="AD357" s="39">
        <v>12</v>
      </c>
    </row>
    <row r="358" spans="1:30" ht="16.5" customHeight="1" x14ac:dyDescent="0.35">
      <c r="A358" s="206"/>
      <c r="B358" s="48"/>
      <c r="C358" s="51" t="s">
        <v>157</v>
      </c>
      <c r="D358" s="8">
        <v>1276.8499999999999</v>
      </c>
      <c r="E358" s="8">
        <v>1280.21</v>
      </c>
      <c r="F358" s="8">
        <v>1293.1199999999999</v>
      </c>
      <c r="G358" s="8">
        <v>1284.55</v>
      </c>
      <c r="H358" s="8">
        <v>1297.06</v>
      </c>
      <c r="I358" s="8">
        <v>1265.23</v>
      </c>
      <c r="J358" s="8">
        <v>1270.1199999999999</v>
      </c>
      <c r="K358" s="8">
        <v>1291.43</v>
      </c>
      <c r="L358" s="8">
        <v>1303.49</v>
      </c>
      <c r="M358" s="50"/>
      <c r="N358" s="50"/>
      <c r="O358" s="50"/>
      <c r="P358" s="50"/>
      <c r="Q358" s="48"/>
      <c r="R358" s="48"/>
      <c r="S358" s="48"/>
      <c r="T358" s="48"/>
      <c r="U358" s="48"/>
      <c r="V358" s="47"/>
      <c r="W358" s="48"/>
      <c r="X358" s="8"/>
    </row>
    <row r="359" spans="1:30" ht="24.8" customHeight="1" thickBot="1" x14ac:dyDescent="0.4">
      <c r="A359" s="206"/>
      <c r="B359" s="61"/>
      <c r="C359" s="51" t="s">
        <v>156</v>
      </c>
      <c r="D359" s="24">
        <f t="shared" ref="D359:L359" si="114">IF(((D357="")*AND(D358="")),"",(D357-D358)*4)</f>
        <v>2571.8000000000002</v>
      </c>
      <c r="E359" s="24">
        <f t="shared" si="114"/>
        <v>2540.5599999999995</v>
      </c>
      <c r="F359" s="24">
        <f t="shared" si="114"/>
        <v>2478.5200000000004</v>
      </c>
      <c r="G359" s="24">
        <f t="shared" si="114"/>
        <v>2526.7200000000003</v>
      </c>
      <c r="H359" s="24">
        <f t="shared" si="114"/>
        <v>2494.4000000000005</v>
      </c>
      <c r="I359" s="24">
        <f t="shared" si="114"/>
        <v>2611.3199999999997</v>
      </c>
      <c r="J359" s="24">
        <f t="shared" si="114"/>
        <v>2574.4400000000005</v>
      </c>
      <c r="K359" s="24">
        <f t="shared" si="114"/>
        <v>2503.92</v>
      </c>
      <c r="L359" s="24">
        <f t="shared" si="114"/>
        <v>2482.2399999999998</v>
      </c>
      <c r="M359" s="24"/>
      <c r="N359" s="24"/>
      <c r="O359" s="24"/>
      <c r="P359" s="24" t="str">
        <f>IF(((P357="")*AND(P358="")),"",(P357-P358)*4)</f>
        <v/>
      </c>
      <c r="Q359" s="61"/>
      <c r="R359" s="61"/>
      <c r="S359" s="61"/>
      <c r="T359" s="61"/>
      <c r="U359" s="61"/>
      <c r="V359" s="60"/>
      <c r="W359" s="61"/>
      <c r="X359" s="8"/>
    </row>
    <row r="360" spans="1:30" x14ac:dyDescent="0.25">
      <c r="A360" s="208">
        <v>42949</v>
      </c>
      <c r="B360" s="57" t="s">
        <v>159</v>
      </c>
      <c r="C360" s="51" t="s">
        <v>158</v>
      </c>
      <c r="D360" s="8">
        <v>6891.27</v>
      </c>
      <c r="E360" s="8">
        <v>6897.4</v>
      </c>
      <c r="F360" s="8">
        <v>6928.86</v>
      </c>
      <c r="G360" s="8">
        <v>6888.04</v>
      </c>
      <c r="H360" s="8">
        <v>6916.62</v>
      </c>
      <c r="I360" s="8">
        <v>6915</v>
      </c>
      <c r="J360" s="8">
        <v>6928.43</v>
      </c>
      <c r="K360" s="8">
        <v>6918.91</v>
      </c>
      <c r="L360" s="8">
        <v>6932.76</v>
      </c>
      <c r="M360" s="50"/>
      <c r="N360" s="50"/>
      <c r="O360" s="50"/>
      <c r="P360" s="50"/>
      <c r="Q360" s="57">
        <f>IF((L361=""),"",MAX(D362:L362))</f>
        <v>3376.1800000000003</v>
      </c>
      <c r="R360" s="57">
        <f>IF(L361="","",MIN(D362:L362))</f>
        <v>3332.8000000000011</v>
      </c>
      <c r="S360" s="58">
        <f>IF((L362=""),"",AVERAGE(D362:L362))</f>
        <v>3344.44</v>
      </c>
      <c r="T360" s="57">
        <f>IF((L361=""),"",((Q360-R360)/(Q360+R360))*100)</f>
        <v>0.64659605483991889</v>
      </c>
      <c r="U360" s="56">
        <f>STDEV(D360:L360)</f>
        <v>16.847328258345424</v>
      </c>
      <c r="V360" s="55" t="str">
        <f>IF(L361="","",(IF(T360&lt;7,IF(S360&gt;2800,IF(S360&lt;3800,"Pass","Fail"),"Fail"),"Fail")))</f>
        <v>Pass</v>
      </c>
      <c r="W360" s="57"/>
      <c r="Z360" s="53">
        <v>2800</v>
      </c>
      <c r="AA360" s="53">
        <v>3800</v>
      </c>
      <c r="AB360" s="53">
        <v>3100</v>
      </c>
      <c r="AC360" s="53">
        <v>3760</v>
      </c>
      <c r="AD360" s="52">
        <v>6</v>
      </c>
    </row>
    <row r="361" spans="1:30" ht="16.5" customHeight="1" x14ac:dyDescent="0.35">
      <c r="A361" s="206"/>
      <c r="B361" s="48"/>
      <c r="C361" s="51" t="s">
        <v>157</v>
      </c>
      <c r="D361" s="8">
        <v>5224.87</v>
      </c>
      <c r="E361" s="8">
        <v>5225.4799999999996</v>
      </c>
      <c r="F361" s="8">
        <v>5257.01</v>
      </c>
      <c r="G361" s="8">
        <v>5220.57</v>
      </c>
      <c r="H361" s="8">
        <v>5247.14</v>
      </c>
      <c r="I361" s="8">
        <v>5226.91</v>
      </c>
      <c r="J361" s="8">
        <v>5260.84</v>
      </c>
      <c r="K361" s="8">
        <v>5243.71</v>
      </c>
      <c r="L361" s="8">
        <v>5260.78</v>
      </c>
      <c r="M361" s="50"/>
      <c r="N361" s="50"/>
      <c r="O361" s="50"/>
      <c r="P361" s="50"/>
      <c r="Q361" s="48"/>
      <c r="R361" s="48"/>
      <c r="S361" s="49"/>
      <c r="T361" s="48"/>
      <c r="U361" s="48"/>
      <c r="V361" s="47"/>
      <c r="W361" s="48"/>
      <c r="X361" s="8"/>
    </row>
    <row r="362" spans="1:30" ht="24.8" customHeight="1" thickBot="1" x14ac:dyDescent="0.4">
      <c r="A362" s="206"/>
      <c r="B362" s="42"/>
      <c r="C362" s="45" t="s">
        <v>156</v>
      </c>
      <c r="D362" s="44">
        <f t="shared" ref="D362:L362" si="115">IF(((D360="")*AND(D361="")),"",(D360-D361)*2)</f>
        <v>3332.8000000000011</v>
      </c>
      <c r="E362" s="44">
        <f t="shared" si="115"/>
        <v>3343.84</v>
      </c>
      <c r="F362" s="44">
        <f t="shared" si="115"/>
        <v>3343.6999999999989</v>
      </c>
      <c r="G362" s="44">
        <f t="shared" si="115"/>
        <v>3334.9400000000005</v>
      </c>
      <c r="H362" s="44">
        <f t="shared" si="115"/>
        <v>3338.9599999999991</v>
      </c>
      <c r="I362" s="44">
        <f t="shared" si="115"/>
        <v>3376.1800000000003</v>
      </c>
      <c r="J362" s="44">
        <f t="shared" si="115"/>
        <v>3335.1800000000003</v>
      </c>
      <c r="K362" s="44">
        <f t="shared" si="115"/>
        <v>3350.3999999999996</v>
      </c>
      <c r="L362" s="44">
        <f t="shared" si="115"/>
        <v>3343.9600000000009</v>
      </c>
      <c r="M362" s="44"/>
      <c r="N362" s="44"/>
      <c r="O362" s="44"/>
      <c r="P362" s="44"/>
      <c r="Q362" s="42"/>
      <c r="R362" s="42"/>
      <c r="S362" s="43"/>
      <c r="T362" s="42"/>
      <c r="U362" s="42"/>
      <c r="V362" s="41"/>
      <c r="W362" s="42"/>
      <c r="X362" s="8"/>
    </row>
    <row r="363" spans="1:30" x14ac:dyDescent="0.25">
      <c r="A363" s="208">
        <v>42955</v>
      </c>
      <c r="B363" s="63" t="s">
        <v>160</v>
      </c>
      <c r="C363" s="56" t="s">
        <v>158</v>
      </c>
      <c r="D363" s="8">
        <v>1305.8</v>
      </c>
      <c r="E363" s="8">
        <v>1300.9100000000001</v>
      </c>
      <c r="F363" s="8">
        <v>1306.49</v>
      </c>
      <c r="G363" s="8">
        <v>1293.3599999999999</v>
      </c>
      <c r="H363" s="8">
        <v>1315.2</v>
      </c>
      <c r="I363" s="8">
        <v>1296.1500000000001</v>
      </c>
      <c r="J363" s="8">
        <v>1288.3900000000001</v>
      </c>
      <c r="K363" s="8">
        <v>1304.44</v>
      </c>
      <c r="L363" s="8">
        <v>1336.59</v>
      </c>
      <c r="M363" s="62"/>
      <c r="N363" s="62"/>
      <c r="O363" s="62"/>
      <c r="P363" s="62"/>
      <c r="Q363" s="63">
        <f>IF((L364=""),"",MAX(D365:L365))</f>
        <v>2639.8</v>
      </c>
      <c r="R363" s="63">
        <f>IF(L364="","",MIN(D365:L365))</f>
        <v>2490.84</v>
      </c>
      <c r="S363" s="63">
        <f>IF((L365=""),"",AVERAGE(D365:L365))</f>
        <v>2561.6577777777775</v>
      </c>
      <c r="T363" s="63">
        <f>IF((L364=""),"",((Q363-R363)/(Q363+R363))*100)</f>
        <v>2.9033414934589064</v>
      </c>
      <c r="U363" s="51">
        <f>STDEV(D363:L363)</f>
        <v>14.190537731569941</v>
      </c>
      <c r="V363" s="64" t="str">
        <f>IF(L364="","",(IF(T363&lt;12,IF(S363&gt;2200,IF(S363&lt;3280,"Pass","Fail"),"Fail"),"Fail")))</f>
        <v>Pass</v>
      </c>
      <c r="W363" s="63">
        <v>1428</v>
      </c>
      <c r="Z363" s="37">
        <v>2000</v>
      </c>
      <c r="AA363" s="37">
        <v>3000</v>
      </c>
      <c r="AB363" s="37">
        <v>2200</v>
      </c>
      <c r="AC363" s="37">
        <v>3280</v>
      </c>
      <c r="AD363" s="39">
        <v>12</v>
      </c>
    </row>
    <row r="364" spans="1:30" ht="16.5" customHeight="1" x14ac:dyDescent="0.35">
      <c r="A364" s="206"/>
      <c r="B364" s="48"/>
      <c r="C364" s="51" t="s">
        <v>157</v>
      </c>
      <c r="D364" s="8">
        <v>649.88</v>
      </c>
      <c r="E364" s="8">
        <v>661.84</v>
      </c>
      <c r="F364" s="8">
        <v>683.78</v>
      </c>
      <c r="G364" s="8">
        <v>654.51</v>
      </c>
      <c r="H364" s="8">
        <v>673.29</v>
      </c>
      <c r="I364" s="8">
        <v>636.20000000000005</v>
      </c>
      <c r="J364" s="8">
        <v>641.04999999999995</v>
      </c>
      <c r="K364" s="8">
        <v>675.79</v>
      </c>
      <c r="L364" s="8">
        <v>707.26</v>
      </c>
      <c r="M364" s="50"/>
      <c r="N364" s="50"/>
      <c r="O364" s="50"/>
      <c r="P364" s="50"/>
      <c r="Q364" s="48"/>
      <c r="R364" s="48"/>
      <c r="S364" s="48"/>
      <c r="T364" s="48"/>
      <c r="U364" s="48"/>
      <c r="V364" s="47"/>
      <c r="W364" s="48"/>
      <c r="X364" s="8"/>
    </row>
    <row r="365" spans="1:30" ht="24.8" customHeight="1" thickBot="1" x14ac:dyDescent="0.4">
      <c r="A365" s="206"/>
      <c r="B365" s="61"/>
      <c r="C365" s="51" t="s">
        <v>156</v>
      </c>
      <c r="D365" s="24">
        <f t="shared" ref="D365:L365" si="116">IF(((D363="")*AND(D364="")),"",(D363-D364)*4)</f>
        <v>2623.68</v>
      </c>
      <c r="E365" s="24">
        <f t="shared" si="116"/>
        <v>2556.2800000000002</v>
      </c>
      <c r="F365" s="24">
        <f t="shared" si="116"/>
        <v>2490.84</v>
      </c>
      <c r="G365" s="24">
        <f t="shared" si="116"/>
        <v>2555.3999999999996</v>
      </c>
      <c r="H365" s="24">
        <f t="shared" si="116"/>
        <v>2567.6400000000003</v>
      </c>
      <c r="I365" s="24">
        <f t="shared" si="116"/>
        <v>2639.8</v>
      </c>
      <c r="J365" s="24">
        <f t="shared" si="116"/>
        <v>2589.3600000000006</v>
      </c>
      <c r="K365" s="24">
        <f t="shared" si="116"/>
        <v>2514.6000000000004</v>
      </c>
      <c r="L365" s="24">
        <f t="shared" si="116"/>
        <v>2517.3199999999997</v>
      </c>
      <c r="M365" s="24"/>
      <c r="N365" s="24"/>
      <c r="O365" s="24"/>
      <c r="P365" s="24" t="str">
        <f>IF(((P363="")*AND(P364="")),"",(P363-P364)*4)</f>
        <v/>
      </c>
      <c r="Q365" s="61"/>
      <c r="R365" s="61"/>
      <c r="S365" s="61"/>
      <c r="T365" s="61"/>
      <c r="U365" s="61"/>
      <c r="V365" s="60"/>
      <c r="W365" s="61"/>
      <c r="X365" s="8"/>
    </row>
    <row r="366" spans="1:30" x14ac:dyDescent="0.25">
      <c r="A366" s="208">
        <v>42955</v>
      </c>
      <c r="B366" s="57" t="s">
        <v>159</v>
      </c>
      <c r="C366" s="51" t="s">
        <v>158</v>
      </c>
      <c r="D366" s="8">
        <v>5377.72</v>
      </c>
      <c r="E366" s="8">
        <v>5374.34</v>
      </c>
      <c r="F366" s="8">
        <v>5400.38</v>
      </c>
      <c r="G366" s="8">
        <v>5364.99</v>
      </c>
      <c r="H366" s="8">
        <v>5410.42</v>
      </c>
      <c r="I366" s="8">
        <v>5389.69</v>
      </c>
      <c r="J366" s="8">
        <v>5404.56</v>
      </c>
      <c r="K366" s="8">
        <v>5390.48</v>
      </c>
      <c r="L366" s="8">
        <v>5422.6</v>
      </c>
      <c r="M366" s="50"/>
      <c r="N366" s="50"/>
      <c r="O366" s="50"/>
      <c r="P366" s="50"/>
      <c r="Q366" s="57">
        <f>IF((L367=""),"",MAX(D368:L368))</f>
        <v>3547.1799999999994</v>
      </c>
      <c r="R366" s="57">
        <f>IF(L367="","",MIN(D368:L368))</f>
        <v>3470.58</v>
      </c>
      <c r="S366" s="58">
        <f>IF((L368=""),"",AVERAGE(D368:L368))</f>
        <v>3508.086666666667</v>
      </c>
      <c r="T366" s="57">
        <f>IF((L367=""),"",((Q366-R366)/(Q366+R366))*100)</f>
        <v>1.0915163812954483</v>
      </c>
      <c r="U366" s="56">
        <f>STDEV(D366:L366)</f>
        <v>18.543485903261267</v>
      </c>
      <c r="V366" s="55" t="str">
        <f>IF(L367="","",(IF(T366&lt;7,IF(S366&gt;2800,IF(S366&lt;3800,"Pass","Fail"),"Fail"),"Fail")))</f>
        <v>Pass</v>
      </c>
      <c r="W366" s="57">
        <v>1428</v>
      </c>
      <c r="Z366" s="53">
        <v>2800</v>
      </c>
      <c r="AA366" s="53">
        <v>3800</v>
      </c>
      <c r="AB366" s="53">
        <v>3100</v>
      </c>
      <c r="AC366" s="53">
        <v>3760</v>
      </c>
      <c r="AD366" s="52">
        <v>6</v>
      </c>
    </row>
    <row r="367" spans="1:30" ht="16.5" customHeight="1" x14ac:dyDescent="0.35">
      <c r="A367" s="206"/>
      <c r="B367" s="48"/>
      <c r="C367" s="51" t="s">
        <v>157</v>
      </c>
      <c r="D367" s="8">
        <v>3614.31</v>
      </c>
      <c r="E367" s="8">
        <v>3614.13</v>
      </c>
      <c r="F367" s="8">
        <v>3645.93</v>
      </c>
      <c r="G367" s="8">
        <v>3619.78</v>
      </c>
      <c r="H367" s="8">
        <v>3675.13</v>
      </c>
      <c r="I367" s="8">
        <v>3616.1</v>
      </c>
      <c r="J367" s="8">
        <v>3653.94</v>
      </c>
      <c r="K367" s="8">
        <v>3635.33</v>
      </c>
      <c r="L367" s="8">
        <v>3674.14</v>
      </c>
      <c r="M367" s="50"/>
      <c r="N367" s="50"/>
      <c r="O367" s="50"/>
      <c r="P367" s="50"/>
      <c r="Q367" s="48"/>
      <c r="R367" s="48"/>
      <c r="S367" s="49"/>
      <c r="T367" s="48"/>
      <c r="U367" s="48"/>
      <c r="V367" s="47"/>
      <c r="W367" s="48"/>
      <c r="X367" s="8"/>
    </row>
    <row r="368" spans="1:30" ht="24.8" customHeight="1" thickBot="1" x14ac:dyDescent="0.4">
      <c r="A368" s="206"/>
      <c r="B368" s="42"/>
      <c r="C368" s="45" t="s">
        <v>156</v>
      </c>
      <c r="D368" s="44">
        <f t="shared" ref="D368:L368" si="117">IF(((D366="")*AND(D367="")),"",(D366-D367)*2)</f>
        <v>3526.8200000000006</v>
      </c>
      <c r="E368" s="44">
        <f t="shared" si="117"/>
        <v>3520.42</v>
      </c>
      <c r="F368" s="44">
        <f t="shared" si="117"/>
        <v>3508.9000000000005</v>
      </c>
      <c r="G368" s="44">
        <f t="shared" si="117"/>
        <v>3490.4199999999992</v>
      </c>
      <c r="H368" s="44">
        <f t="shared" si="117"/>
        <v>3470.58</v>
      </c>
      <c r="I368" s="44">
        <f t="shared" si="117"/>
        <v>3547.1799999999994</v>
      </c>
      <c r="J368" s="44">
        <f t="shared" si="117"/>
        <v>3501.2400000000007</v>
      </c>
      <c r="K368" s="44">
        <f t="shared" si="117"/>
        <v>3510.2999999999993</v>
      </c>
      <c r="L368" s="44">
        <f t="shared" si="117"/>
        <v>3496.920000000001</v>
      </c>
      <c r="M368" s="44"/>
      <c r="N368" s="44"/>
      <c r="O368" s="44"/>
      <c r="P368" s="44"/>
      <c r="Q368" s="42"/>
      <c r="R368" s="42"/>
      <c r="S368" s="43"/>
      <c r="T368" s="42"/>
      <c r="U368" s="42"/>
      <c r="V368" s="41"/>
      <c r="W368" s="42"/>
      <c r="X368" s="8"/>
    </row>
    <row r="369" spans="1:30" x14ac:dyDescent="0.25">
      <c r="A369" s="208">
        <v>42968</v>
      </c>
      <c r="B369" s="63" t="s">
        <v>160</v>
      </c>
      <c r="C369" s="56" t="s">
        <v>158</v>
      </c>
      <c r="D369" s="8">
        <v>1915</v>
      </c>
      <c r="E369" s="8">
        <v>1911</v>
      </c>
      <c r="F369" s="8">
        <v>1911</v>
      </c>
      <c r="G369" s="8">
        <v>1913</v>
      </c>
      <c r="H369" s="8">
        <v>1919</v>
      </c>
      <c r="I369" s="8">
        <v>1921</v>
      </c>
      <c r="J369" s="65">
        <v>1912</v>
      </c>
      <c r="K369" s="65">
        <v>1912</v>
      </c>
      <c r="L369" s="65">
        <v>1918</v>
      </c>
      <c r="M369" s="62"/>
      <c r="N369" s="62"/>
      <c r="O369" s="62"/>
      <c r="P369" s="62"/>
      <c r="Q369" s="63">
        <f>IF((L370=""),"",MAX(D371:L371))</f>
        <v>2620</v>
      </c>
      <c r="R369" s="63">
        <f>IF(L370="","",MIN(D371:L371))</f>
        <v>2464</v>
      </c>
      <c r="S369" s="63">
        <f>IF((L371=""),"",AVERAGE(D371:L371))</f>
        <v>2526.6666666666665</v>
      </c>
      <c r="T369" s="63">
        <f>IF((L370=""),"",((Q369-R369)/(Q369+R369))*100)</f>
        <v>3.068450039339103</v>
      </c>
      <c r="U369" s="51">
        <f>STDEV(D369:L369)</f>
        <v>3.7749172176353745</v>
      </c>
      <c r="V369" s="64" t="str">
        <f>IF(L370="","",(IF(T369&lt;12,IF(S369&gt;2200,IF(S369&lt;3280,"Pass","Fail"),"Fail"),"Fail")))</f>
        <v>Pass</v>
      </c>
      <c r="W369" s="63">
        <v>1159</v>
      </c>
      <c r="Z369" s="37">
        <v>2000</v>
      </c>
      <c r="AA369" s="37">
        <v>3000</v>
      </c>
      <c r="AB369" s="37">
        <v>2200</v>
      </c>
      <c r="AC369" s="37">
        <v>3280</v>
      </c>
      <c r="AD369" s="39">
        <v>12</v>
      </c>
    </row>
    <row r="370" spans="1:30" ht="16.5" customHeight="1" x14ac:dyDescent="0.35">
      <c r="A370" s="206"/>
      <c r="B370" s="48"/>
      <c r="C370" s="51" t="s">
        <v>157</v>
      </c>
      <c r="D370" s="8">
        <v>1291</v>
      </c>
      <c r="E370" s="8">
        <v>1284</v>
      </c>
      <c r="F370" s="8">
        <v>1295</v>
      </c>
      <c r="G370" s="8">
        <v>1277</v>
      </c>
      <c r="H370" s="8">
        <v>1274</v>
      </c>
      <c r="I370" s="8">
        <v>1299</v>
      </c>
      <c r="J370" s="8">
        <v>1292</v>
      </c>
      <c r="K370" s="8">
        <v>1272</v>
      </c>
      <c r="L370" s="8">
        <v>1263</v>
      </c>
      <c r="M370" s="50"/>
      <c r="N370" s="50"/>
      <c r="O370" s="50"/>
      <c r="P370" s="50"/>
      <c r="Q370" s="48"/>
      <c r="R370" s="48"/>
      <c r="S370" s="48"/>
      <c r="T370" s="48"/>
      <c r="U370" s="48"/>
      <c r="V370" s="47"/>
      <c r="W370" s="48"/>
      <c r="X370" s="8"/>
    </row>
    <row r="371" spans="1:30" ht="24.8" customHeight="1" thickBot="1" x14ac:dyDescent="0.4">
      <c r="A371" s="206"/>
      <c r="B371" s="61"/>
      <c r="C371" s="51" t="s">
        <v>156</v>
      </c>
      <c r="D371" s="24">
        <f t="shared" ref="D371:L371" si="118">IF(((D369="")*AND(D370="")),"",(D369-D370)*4)</f>
        <v>2496</v>
      </c>
      <c r="E371" s="24">
        <f t="shared" si="118"/>
        <v>2508</v>
      </c>
      <c r="F371" s="24">
        <f t="shared" si="118"/>
        <v>2464</v>
      </c>
      <c r="G371" s="24">
        <f t="shared" si="118"/>
        <v>2544</v>
      </c>
      <c r="H371" s="24">
        <f t="shared" si="118"/>
        <v>2580</v>
      </c>
      <c r="I371" s="24">
        <f t="shared" si="118"/>
        <v>2488</v>
      </c>
      <c r="J371" s="24">
        <f t="shared" si="118"/>
        <v>2480</v>
      </c>
      <c r="K371" s="24">
        <f t="shared" si="118"/>
        <v>2560</v>
      </c>
      <c r="L371" s="24">
        <f t="shared" si="118"/>
        <v>2620</v>
      </c>
      <c r="M371" s="24"/>
      <c r="N371" s="24"/>
      <c r="O371" s="24"/>
      <c r="P371" s="24" t="str">
        <f>IF(((P369="")*AND(P370="")),"",(P369-P370)*4)</f>
        <v/>
      </c>
      <c r="Q371" s="61"/>
      <c r="R371" s="61"/>
      <c r="S371" s="61"/>
      <c r="T371" s="61"/>
      <c r="U371" s="61"/>
      <c r="V371" s="60"/>
      <c r="W371" s="61"/>
      <c r="X371" s="8"/>
    </row>
    <row r="372" spans="1:30" x14ac:dyDescent="0.25">
      <c r="A372" s="208">
        <v>42968</v>
      </c>
      <c r="B372" s="57" t="s">
        <v>159</v>
      </c>
      <c r="C372" s="51" t="s">
        <v>158</v>
      </c>
      <c r="D372" s="8">
        <v>6903</v>
      </c>
      <c r="E372" s="8">
        <v>6884</v>
      </c>
      <c r="F372" s="8">
        <v>6916</v>
      </c>
      <c r="G372" s="8">
        <v>6896</v>
      </c>
      <c r="H372" s="8">
        <v>6988</v>
      </c>
      <c r="I372" s="8">
        <v>6935</v>
      </c>
      <c r="J372" s="8">
        <v>6928</v>
      </c>
      <c r="K372" s="8">
        <v>6903</v>
      </c>
      <c r="L372" s="8">
        <v>6944</v>
      </c>
      <c r="M372" s="50"/>
      <c r="N372" s="50"/>
      <c r="O372" s="50"/>
      <c r="P372" s="50"/>
      <c r="Q372" s="57">
        <f>IF((L373=""),"",MAX(D374:L374))</f>
        <v>3544</v>
      </c>
      <c r="R372" s="57">
        <f>IF(L373="","",MIN(D374:L374))</f>
        <v>3458</v>
      </c>
      <c r="S372" s="58">
        <f>IF((L374=""),"",AVERAGE(D374:L374))</f>
        <v>3491.3333333333335</v>
      </c>
      <c r="T372" s="57">
        <f>IF((L373=""),"",((Q372-R372)/(Q372+R372))*100)</f>
        <v>1.2282205084261639</v>
      </c>
      <c r="U372" s="56">
        <f>STDEV(D372:L372)</f>
        <v>31.470003354164284</v>
      </c>
      <c r="V372" s="55" t="str">
        <f>IF(L373="","",(IF(T372&lt;7,IF(S372&gt;2800,IF(S372&lt;3800,"Pass","Fail"),"Fail"),"Fail")))</f>
        <v>Pass</v>
      </c>
      <c r="W372" s="57">
        <v>1159</v>
      </c>
      <c r="Z372" s="53">
        <v>2800</v>
      </c>
      <c r="AA372" s="53">
        <v>3800</v>
      </c>
      <c r="AB372" s="53">
        <v>3100</v>
      </c>
      <c r="AC372" s="53">
        <v>3760</v>
      </c>
      <c r="AD372" s="52">
        <v>6</v>
      </c>
    </row>
    <row r="373" spans="1:30" ht="16.5" customHeight="1" x14ac:dyDescent="0.35">
      <c r="A373" s="206"/>
      <c r="B373" s="48"/>
      <c r="C373" s="51" t="s">
        <v>157</v>
      </c>
      <c r="D373" s="8">
        <v>5142</v>
      </c>
      <c r="E373" s="8">
        <v>5142</v>
      </c>
      <c r="F373" s="8">
        <v>5180</v>
      </c>
      <c r="G373" s="8">
        <v>5156</v>
      </c>
      <c r="H373" s="8">
        <v>5259</v>
      </c>
      <c r="I373" s="65">
        <v>5189</v>
      </c>
      <c r="J373" s="65">
        <v>5187</v>
      </c>
      <c r="K373" s="65">
        <v>5159</v>
      </c>
      <c r="L373" s="65">
        <v>5172</v>
      </c>
      <c r="M373" s="50"/>
      <c r="N373" s="50"/>
      <c r="O373" s="50"/>
      <c r="P373" s="50"/>
      <c r="Q373" s="48"/>
      <c r="R373" s="48"/>
      <c r="S373" s="49"/>
      <c r="T373" s="48"/>
      <c r="U373" s="48"/>
      <c r="V373" s="47"/>
      <c r="W373" s="48"/>
      <c r="X373" s="8"/>
    </row>
    <row r="374" spans="1:30" ht="24.8" customHeight="1" thickBot="1" x14ac:dyDescent="0.4">
      <c r="A374" s="206"/>
      <c r="B374" s="42"/>
      <c r="C374" s="45" t="s">
        <v>156</v>
      </c>
      <c r="D374" s="44">
        <f t="shared" ref="D374:L374" si="119">IF(((D372="")*AND(D373="")),"",(D372-D373)*2)</f>
        <v>3522</v>
      </c>
      <c r="E374" s="44">
        <f t="shared" si="119"/>
        <v>3484</v>
      </c>
      <c r="F374" s="44">
        <f t="shared" si="119"/>
        <v>3472</v>
      </c>
      <c r="G374" s="44">
        <f t="shared" si="119"/>
        <v>3480</v>
      </c>
      <c r="H374" s="44">
        <f t="shared" si="119"/>
        <v>3458</v>
      </c>
      <c r="I374" s="44">
        <f t="shared" si="119"/>
        <v>3492</v>
      </c>
      <c r="J374" s="44">
        <f t="shared" si="119"/>
        <v>3482</v>
      </c>
      <c r="K374" s="44">
        <f t="shared" si="119"/>
        <v>3488</v>
      </c>
      <c r="L374" s="44">
        <f t="shared" si="119"/>
        <v>3544</v>
      </c>
      <c r="M374" s="44"/>
      <c r="N374" s="44"/>
      <c r="O374" s="44"/>
      <c r="P374" s="44"/>
      <c r="Q374" s="42"/>
      <c r="R374" s="42"/>
      <c r="S374" s="43"/>
      <c r="T374" s="42"/>
      <c r="U374" s="42"/>
      <c r="V374" s="41"/>
      <c r="W374" s="42"/>
      <c r="X374" s="8"/>
    </row>
    <row r="375" spans="1:30" ht="14.4" x14ac:dyDescent="0.3">
      <c r="A375" s="208">
        <v>42976</v>
      </c>
      <c r="B375" s="63" t="s">
        <v>160</v>
      </c>
      <c r="C375" s="56" t="s">
        <v>158</v>
      </c>
      <c r="D375" s="74">
        <v>1290.8699999999999</v>
      </c>
      <c r="E375" s="74">
        <v>1289.21</v>
      </c>
      <c r="F375" s="74">
        <v>1295.77</v>
      </c>
      <c r="G375" s="74">
        <v>1281.3900000000001</v>
      </c>
      <c r="H375" s="74">
        <v>1277.98</v>
      </c>
      <c r="I375" s="74">
        <v>1302.03</v>
      </c>
      <c r="J375" s="74">
        <v>1293.54</v>
      </c>
      <c r="K375" s="74">
        <v>1273.1099999999999</v>
      </c>
      <c r="L375" s="74">
        <v>1264.98</v>
      </c>
      <c r="M375" s="62"/>
      <c r="N375" s="62"/>
      <c r="O375" s="62"/>
      <c r="P375" s="62"/>
      <c r="Q375" s="63">
        <f>IF((L376=""),"",MAX(D377:L377))</f>
        <v>2663.88</v>
      </c>
      <c r="R375" s="63">
        <f>IF(L376="","",MIN(D377:L377))</f>
        <v>2504.04</v>
      </c>
      <c r="S375" s="63">
        <f>IF((L377=""),"",AVERAGE(D377:L377))</f>
        <v>2568.0177777777776</v>
      </c>
      <c r="T375" s="63">
        <f>IF((L376=""),"",((Q375-R375)/(Q375+R375))*100)</f>
        <v>3.0929271350949734</v>
      </c>
      <c r="U375" s="51">
        <f>STDEV(D375:L375)</f>
        <v>11.905559042359616</v>
      </c>
      <c r="V375" s="64" t="str">
        <f>IF(L376="","",(IF(T375&lt;12,IF(S375&gt;2200,IF(S375&lt;3280,"Pass","Fail"),"Fail"),"Fail")))</f>
        <v>Pass</v>
      </c>
      <c r="W375" s="63">
        <v>1428</v>
      </c>
      <c r="Z375" s="37">
        <v>2000</v>
      </c>
      <c r="AA375" s="37">
        <v>3000</v>
      </c>
      <c r="AB375" s="37">
        <v>2200</v>
      </c>
      <c r="AC375" s="37">
        <v>3280</v>
      </c>
      <c r="AD375" s="39">
        <v>12</v>
      </c>
    </row>
    <row r="376" spans="1:30" ht="16.5" customHeight="1" x14ac:dyDescent="0.35">
      <c r="A376" s="206"/>
      <c r="B376" s="48"/>
      <c r="C376" s="51" t="s">
        <v>157</v>
      </c>
      <c r="D376" s="8">
        <v>652.29</v>
      </c>
      <c r="E376" s="8">
        <v>650.64</v>
      </c>
      <c r="F376" s="8">
        <v>669.76</v>
      </c>
      <c r="G376" s="8">
        <v>640.73</v>
      </c>
      <c r="H376" s="8">
        <v>622.84</v>
      </c>
      <c r="I376" s="8">
        <v>667.67</v>
      </c>
      <c r="J376" s="8">
        <v>663.57</v>
      </c>
      <c r="K376" s="8">
        <v>624.33000000000004</v>
      </c>
      <c r="L376" s="8">
        <v>599.01</v>
      </c>
      <c r="M376" s="50"/>
      <c r="N376" s="50"/>
      <c r="O376" s="50"/>
      <c r="P376" s="50"/>
      <c r="Q376" s="48"/>
      <c r="R376" s="48"/>
      <c r="S376" s="48"/>
      <c r="T376" s="48"/>
      <c r="U376" s="48"/>
      <c r="V376" s="47"/>
      <c r="W376" s="48"/>
      <c r="X376" s="8"/>
    </row>
    <row r="377" spans="1:30" ht="24.8" customHeight="1" thickBot="1" x14ac:dyDescent="0.4">
      <c r="A377" s="206"/>
      <c r="B377" s="61"/>
      <c r="C377" s="51" t="s">
        <v>156</v>
      </c>
      <c r="D377" s="24">
        <f t="shared" ref="D377:L377" si="120">IF(((D375="")*AND(D376="")),"",(D375-D376)*4)</f>
        <v>2554.3199999999997</v>
      </c>
      <c r="E377" s="24">
        <f t="shared" si="120"/>
        <v>2554.2800000000002</v>
      </c>
      <c r="F377" s="24">
        <f t="shared" si="120"/>
        <v>2504.04</v>
      </c>
      <c r="G377" s="24">
        <f t="shared" si="120"/>
        <v>2562.6400000000003</v>
      </c>
      <c r="H377" s="24">
        <f t="shared" si="120"/>
        <v>2620.56</v>
      </c>
      <c r="I377" s="24">
        <f t="shared" si="120"/>
        <v>2537.44</v>
      </c>
      <c r="J377" s="24">
        <f t="shared" si="120"/>
        <v>2519.8799999999997</v>
      </c>
      <c r="K377" s="24">
        <f t="shared" si="120"/>
        <v>2595.1199999999994</v>
      </c>
      <c r="L377" s="24">
        <f t="shared" si="120"/>
        <v>2663.88</v>
      </c>
      <c r="M377" s="24"/>
      <c r="N377" s="24"/>
      <c r="O377" s="24"/>
      <c r="P377" s="24" t="str">
        <f>IF(((P375="")*AND(P376="")),"",(P375-P376)*4)</f>
        <v/>
      </c>
      <c r="Q377" s="61"/>
      <c r="R377" s="61"/>
      <c r="S377" s="61"/>
      <c r="T377" s="61"/>
      <c r="U377" s="61"/>
      <c r="V377" s="60"/>
      <c r="W377" s="61"/>
      <c r="X377" s="8"/>
    </row>
    <row r="378" spans="1:30" x14ac:dyDescent="0.25">
      <c r="A378" s="208">
        <v>42976</v>
      </c>
      <c r="B378" s="57" t="s">
        <v>159</v>
      </c>
      <c r="C378" s="51" t="s">
        <v>158</v>
      </c>
      <c r="D378" s="8">
        <v>5147.0200000000004</v>
      </c>
      <c r="E378" s="8">
        <v>5146.99</v>
      </c>
      <c r="F378" s="8">
        <v>5185.51</v>
      </c>
      <c r="G378" s="8">
        <v>5161.04</v>
      </c>
      <c r="H378" s="8">
        <v>5264.14</v>
      </c>
      <c r="I378" s="8">
        <v>5194.54</v>
      </c>
      <c r="J378" s="8">
        <v>5191.91</v>
      </c>
      <c r="K378" s="8">
        <v>5164.12</v>
      </c>
      <c r="L378" s="8">
        <v>5176.7299999999996</v>
      </c>
      <c r="M378" s="50"/>
      <c r="N378" s="50"/>
      <c r="O378" s="50"/>
      <c r="P378" s="50"/>
      <c r="Q378" s="57">
        <f>IF((L379=""),"",MAX(D380:L380))</f>
        <v>3436.7199999999993</v>
      </c>
      <c r="R378" s="57">
        <f>IF(L379="","",MIN(D380:L380))</f>
        <v>3319.0200000000004</v>
      </c>
      <c r="S378" s="58">
        <f>IF((L380=""),"",AVERAGE(D380:L380))</f>
        <v>3399.1000000000004</v>
      </c>
      <c r="T378" s="57">
        <f>IF((L379=""),"",((Q378-R378)/(Q378+R378))*100)</f>
        <v>1.7422221695920643</v>
      </c>
      <c r="U378" s="56">
        <f>STDEV(D378:L378)</f>
        <v>35.789050001362227</v>
      </c>
      <c r="V378" s="55" t="str">
        <f>IF(L379="","",(IF(T378&lt;7,IF(S378&gt;2800,IF(S378&lt;3800,"Pass","Fail"),"Fail"),"Fail")))</f>
        <v>Pass</v>
      </c>
      <c r="W378" s="57">
        <v>1428</v>
      </c>
      <c r="Z378" s="53">
        <v>2800</v>
      </c>
      <c r="AA378" s="53">
        <v>3800</v>
      </c>
      <c r="AB378" s="53">
        <v>3100</v>
      </c>
      <c r="AC378" s="53">
        <v>3760</v>
      </c>
      <c r="AD378" s="52">
        <v>6</v>
      </c>
    </row>
    <row r="379" spans="1:30" ht="16.5" customHeight="1" x14ac:dyDescent="0.35">
      <c r="A379" s="206"/>
      <c r="B379" s="48"/>
      <c r="C379" s="51" t="s">
        <v>157</v>
      </c>
      <c r="D379" s="8">
        <v>3432.85</v>
      </c>
      <c r="E379" s="8">
        <v>3440.56</v>
      </c>
      <c r="F379" s="8">
        <v>3482.24</v>
      </c>
      <c r="G379" s="8">
        <v>3457.14</v>
      </c>
      <c r="H379" s="8">
        <v>3604.63</v>
      </c>
      <c r="I379" s="8">
        <v>3516.13</v>
      </c>
      <c r="J379" s="8">
        <v>3487.76</v>
      </c>
      <c r="K379" s="8">
        <v>3456.37</v>
      </c>
      <c r="L379" s="8">
        <v>3458.37</v>
      </c>
      <c r="M379" s="50"/>
      <c r="N379" s="50"/>
      <c r="O379" s="50"/>
      <c r="P379" s="50"/>
      <c r="Q379" s="48"/>
      <c r="R379" s="48"/>
      <c r="S379" s="49"/>
      <c r="T379" s="48"/>
      <c r="U379" s="48"/>
      <c r="V379" s="47"/>
      <c r="W379" s="48"/>
      <c r="X379" s="8"/>
    </row>
    <row r="380" spans="1:30" ht="24.8" customHeight="1" thickBot="1" x14ac:dyDescent="0.4">
      <c r="A380" s="206"/>
      <c r="B380" s="42"/>
      <c r="C380" s="45" t="s">
        <v>156</v>
      </c>
      <c r="D380" s="44">
        <f t="shared" ref="D380:L380" si="121">IF(((D378="")*AND(D379="")),"",(D378-D379)*2)</f>
        <v>3428.3400000000011</v>
      </c>
      <c r="E380" s="44">
        <f t="shared" si="121"/>
        <v>3412.8599999999997</v>
      </c>
      <c r="F380" s="44">
        <f t="shared" si="121"/>
        <v>3406.5400000000009</v>
      </c>
      <c r="G380" s="44">
        <f t="shared" si="121"/>
        <v>3407.8</v>
      </c>
      <c r="H380" s="44">
        <f t="shared" si="121"/>
        <v>3319.0200000000004</v>
      </c>
      <c r="I380" s="44">
        <f t="shared" si="121"/>
        <v>3356.8199999999997</v>
      </c>
      <c r="J380" s="44">
        <f t="shared" si="121"/>
        <v>3408.2999999999993</v>
      </c>
      <c r="K380" s="44">
        <f t="shared" si="121"/>
        <v>3415.5</v>
      </c>
      <c r="L380" s="44">
        <f t="shared" si="121"/>
        <v>3436.7199999999993</v>
      </c>
      <c r="M380" s="44"/>
      <c r="N380" s="44"/>
      <c r="O380" s="44"/>
      <c r="P380" s="44"/>
      <c r="Q380" s="42"/>
      <c r="R380" s="42"/>
      <c r="S380" s="43"/>
      <c r="T380" s="42"/>
      <c r="U380" s="42"/>
      <c r="V380" s="41"/>
      <c r="W380" s="42"/>
      <c r="X380" s="8"/>
    </row>
    <row r="381" spans="1:30" x14ac:dyDescent="0.25">
      <c r="A381" s="208">
        <v>42990</v>
      </c>
      <c r="B381" s="63" t="s">
        <v>160</v>
      </c>
      <c r="C381" s="56" t="s">
        <v>158</v>
      </c>
      <c r="D381" s="8">
        <v>2163.0300000000002</v>
      </c>
      <c r="E381" s="8">
        <v>2134.5700000000002</v>
      </c>
      <c r="F381" s="8">
        <v>2125.12</v>
      </c>
      <c r="G381" s="8">
        <v>2141.23</v>
      </c>
      <c r="H381" s="8">
        <v>2170.6</v>
      </c>
      <c r="I381" s="8">
        <v>2155.27</v>
      </c>
      <c r="J381" s="8">
        <v>2128.09</v>
      </c>
      <c r="K381" s="8">
        <v>2145.96</v>
      </c>
      <c r="L381" s="8">
        <v>2174.9699999999998</v>
      </c>
      <c r="M381" s="62"/>
      <c r="N381" s="62"/>
      <c r="O381" s="62"/>
      <c r="P381" s="62"/>
      <c r="Q381" s="63">
        <f>IF((L382=""),"",MAX(D383:L383))</f>
        <v>2895.7599999999993</v>
      </c>
      <c r="R381" s="63">
        <f>IF(L382="","",MIN(D383:L383))</f>
        <v>2638.8799999999992</v>
      </c>
      <c r="S381" s="63">
        <f>IF((L383=""),"",AVERAGE(D383:L383))</f>
        <v>2752.6311111111113</v>
      </c>
      <c r="T381" s="63">
        <f>IF((L382=""),"",((Q381-R381)/(Q381+R381))*100)</f>
        <v>4.6413136175071941</v>
      </c>
      <c r="U381" s="51">
        <f>STDEV(D381:L381)</f>
        <v>18.241293128503749</v>
      </c>
      <c r="V381" s="64" t="str">
        <f>IF(L382="","",(IF(T381&lt;12,IF(S381&gt;2200,IF(S381&lt;3280,"Pass","Fail"),"Fail"),"Fail")))</f>
        <v>Pass</v>
      </c>
      <c r="W381" s="63"/>
      <c r="Z381" s="37">
        <v>2000</v>
      </c>
      <c r="AA381" s="37">
        <v>3000</v>
      </c>
      <c r="AB381" s="37">
        <v>2200</v>
      </c>
      <c r="AC381" s="37">
        <v>3280</v>
      </c>
      <c r="AD381" s="39">
        <v>12</v>
      </c>
    </row>
    <row r="382" spans="1:30" ht="16.5" customHeight="1" x14ac:dyDescent="0.35">
      <c r="A382" s="206"/>
      <c r="B382" s="48"/>
      <c r="C382" s="51" t="s">
        <v>157</v>
      </c>
      <c r="D382" s="8">
        <v>1473.43</v>
      </c>
      <c r="E382" s="8">
        <v>1457.6</v>
      </c>
      <c r="F382" s="8">
        <v>1465.4</v>
      </c>
      <c r="G382" s="8">
        <v>1453.86</v>
      </c>
      <c r="H382" s="8">
        <v>1458.35</v>
      </c>
      <c r="I382" s="8">
        <v>1472.38</v>
      </c>
      <c r="J382" s="8">
        <v>1460.53</v>
      </c>
      <c r="K382" s="8">
        <v>1452.84</v>
      </c>
      <c r="L382" s="8">
        <v>1451.03</v>
      </c>
      <c r="M382" s="50"/>
      <c r="N382" s="50"/>
      <c r="O382" s="50"/>
      <c r="P382" s="50"/>
      <c r="Q382" s="48"/>
      <c r="R382" s="48"/>
      <c r="S382" s="48"/>
      <c r="T382" s="48"/>
      <c r="U382" s="48"/>
      <c r="V382" s="47"/>
      <c r="W382" s="48"/>
      <c r="X382" s="8"/>
    </row>
    <row r="383" spans="1:30" ht="24.8" customHeight="1" thickBot="1" x14ac:dyDescent="0.4">
      <c r="A383" s="206"/>
      <c r="B383" s="61"/>
      <c r="C383" s="51" t="s">
        <v>156</v>
      </c>
      <c r="D383" s="24">
        <f t="shared" ref="D383:L383" si="122">IF(((D381="")*AND(D382="")),"",(D381-D382)*4)</f>
        <v>2758.4000000000005</v>
      </c>
      <c r="E383" s="24">
        <f t="shared" si="122"/>
        <v>2707.880000000001</v>
      </c>
      <c r="F383" s="24">
        <f t="shared" si="122"/>
        <v>2638.8799999999992</v>
      </c>
      <c r="G383" s="24">
        <f t="shared" si="122"/>
        <v>2749.4800000000005</v>
      </c>
      <c r="H383" s="24">
        <f t="shared" si="122"/>
        <v>2849</v>
      </c>
      <c r="I383" s="24">
        <f t="shared" si="122"/>
        <v>2731.5599999999995</v>
      </c>
      <c r="J383" s="24">
        <f t="shared" si="122"/>
        <v>2670.2400000000007</v>
      </c>
      <c r="K383" s="24">
        <f t="shared" si="122"/>
        <v>2772.4800000000005</v>
      </c>
      <c r="L383" s="24">
        <f t="shared" si="122"/>
        <v>2895.7599999999993</v>
      </c>
      <c r="M383" s="24"/>
      <c r="N383" s="24"/>
      <c r="O383" s="24"/>
      <c r="P383" s="24" t="str">
        <f>IF(((P381="")*AND(P382="")),"",(P381-P382)*4)</f>
        <v/>
      </c>
      <c r="Q383" s="61"/>
      <c r="R383" s="61"/>
      <c r="S383" s="61"/>
      <c r="T383" s="61"/>
      <c r="U383" s="61"/>
      <c r="V383" s="60"/>
      <c r="W383" s="61"/>
      <c r="X383" s="8"/>
    </row>
    <row r="384" spans="1:30" x14ac:dyDescent="0.25">
      <c r="A384" s="208">
        <v>42990</v>
      </c>
      <c r="B384" s="57" t="s">
        <v>159</v>
      </c>
      <c r="C384" s="51" t="s">
        <v>158</v>
      </c>
      <c r="D384" s="8">
        <v>3448.38</v>
      </c>
      <c r="E384" s="8">
        <v>3456.7</v>
      </c>
      <c r="F384" s="8">
        <v>3498.71</v>
      </c>
      <c r="G384" s="8">
        <v>3474.34</v>
      </c>
      <c r="H384" s="8">
        <v>3620.77</v>
      </c>
      <c r="I384" s="8">
        <v>3534.16</v>
      </c>
      <c r="J384" s="8">
        <v>3503.81</v>
      </c>
      <c r="K384" s="8">
        <v>3473.34</v>
      </c>
      <c r="L384" s="8">
        <v>3474.72</v>
      </c>
      <c r="M384" s="50"/>
      <c r="N384" s="50"/>
      <c r="O384" s="50"/>
      <c r="P384" s="50"/>
      <c r="Q384" s="57">
        <f>IF((L385=""),"",MAX(D386:L386))</f>
        <v>3453.72</v>
      </c>
      <c r="R384" s="57">
        <f>IF(L385="","",MIN(D386:L386))</f>
        <v>3352.82</v>
      </c>
      <c r="S384" s="58">
        <f>IF((L386=""),"",AVERAGE(D386:L386))</f>
        <v>3429.4666666666672</v>
      </c>
      <c r="T384" s="57">
        <f>IF((L385=""),"",((Q384-R384)/(Q384+R384))*100)</f>
        <v>1.4823978115165655</v>
      </c>
      <c r="U384" s="56">
        <f>STDEV(D384:L384)</f>
        <v>52.786159197063917</v>
      </c>
      <c r="V384" s="55" t="str">
        <f>IF(L385="","",(IF(T384&lt;7,IF(S384&gt;2800,IF(S384&lt;3800,"Pass","Fail"),"Fail"),"Fail")))</f>
        <v>Pass</v>
      </c>
      <c r="W384" s="57"/>
      <c r="Z384" s="53">
        <v>2800</v>
      </c>
      <c r="AA384" s="53">
        <v>3800</v>
      </c>
      <c r="AB384" s="53">
        <v>3100</v>
      </c>
      <c r="AC384" s="53">
        <v>3760</v>
      </c>
      <c r="AD384" s="52">
        <v>6</v>
      </c>
    </row>
    <row r="385" spans="1:30" ht="16.5" customHeight="1" x14ac:dyDescent="0.35">
      <c r="A385" s="206"/>
      <c r="B385" s="48"/>
      <c r="C385" s="51" t="s">
        <v>157</v>
      </c>
      <c r="D385" s="8">
        <v>1725</v>
      </c>
      <c r="E385" s="8">
        <v>1732.51</v>
      </c>
      <c r="F385" s="8">
        <v>1779.06</v>
      </c>
      <c r="G385" s="8">
        <v>1754.7</v>
      </c>
      <c r="H385" s="8">
        <v>1944.36</v>
      </c>
      <c r="I385" s="8">
        <v>1834.37</v>
      </c>
      <c r="J385" s="8">
        <v>1784.6</v>
      </c>
      <c r="K385" s="8">
        <v>1749.87</v>
      </c>
      <c r="L385" s="8">
        <v>1747.86</v>
      </c>
      <c r="M385" s="50"/>
      <c r="N385" s="50"/>
      <c r="O385" s="50"/>
      <c r="P385" s="50"/>
      <c r="Q385" s="48"/>
      <c r="R385" s="48"/>
      <c r="S385" s="49"/>
      <c r="T385" s="48"/>
      <c r="U385" s="48"/>
      <c r="V385" s="47"/>
      <c r="W385" s="48"/>
      <c r="X385" s="8"/>
    </row>
    <row r="386" spans="1:30" ht="24.8" customHeight="1" thickBot="1" x14ac:dyDescent="0.4">
      <c r="A386" s="206"/>
      <c r="B386" s="42"/>
      <c r="C386" s="45" t="s">
        <v>156</v>
      </c>
      <c r="D386" s="44">
        <f t="shared" ref="D386:L386" si="123">IF(((D384="")*AND(D385="")),"",(D384-D385)*2)</f>
        <v>3446.76</v>
      </c>
      <c r="E386" s="44">
        <f t="shared" si="123"/>
        <v>3448.3799999999997</v>
      </c>
      <c r="F386" s="44">
        <f t="shared" si="123"/>
        <v>3439.3</v>
      </c>
      <c r="G386" s="44">
        <f t="shared" si="123"/>
        <v>3439.28</v>
      </c>
      <c r="H386" s="44">
        <f t="shared" si="123"/>
        <v>3352.82</v>
      </c>
      <c r="I386" s="44">
        <f t="shared" si="123"/>
        <v>3399.58</v>
      </c>
      <c r="J386" s="44">
        <f t="shared" si="123"/>
        <v>3438.42</v>
      </c>
      <c r="K386" s="44">
        <f t="shared" si="123"/>
        <v>3446.9400000000005</v>
      </c>
      <c r="L386" s="44">
        <f t="shared" si="123"/>
        <v>3453.72</v>
      </c>
      <c r="M386" s="44"/>
      <c r="N386" s="44"/>
      <c r="O386" s="44"/>
      <c r="P386" s="44"/>
      <c r="Q386" s="42"/>
      <c r="R386" s="42"/>
      <c r="S386" s="43"/>
      <c r="T386" s="42"/>
      <c r="U386" s="42"/>
      <c r="V386" s="41"/>
      <c r="W386" s="42"/>
      <c r="X386" s="8"/>
    </row>
    <row r="387" spans="1:30" x14ac:dyDescent="0.25">
      <c r="A387" s="208">
        <v>42995</v>
      </c>
      <c r="B387" s="63" t="s">
        <v>160</v>
      </c>
      <c r="C387" s="56" t="s">
        <v>158</v>
      </c>
      <c r="D387" s="8">
        <v>1930.8</v>
      </c>
      <c r="E387" s="8">
        <v>1924.57</v>
      </c>
      <c r="F387" s="8">
        <v>1920.66</v>
      </c>
      <c r="G387" s="8">
        <v>1928.68</v>
      </c>
      <c r="H387" s="8">
        <v>1937.16</v>
      </c>
      <c r="I387" s="8">
        <v>1935.21</v>
      </c>
      <c r="J387" s="8">
        <v>1926.97</v>
      </c>
      <c r="K387" s="8">
        <v>1925.59</v>
      </c>
      <c r="L387" s="8">
        <v>1932.47</v>
      </c>
      <c r="M387" s="62"/>
      <c r="N387" s="62"/>
      <c r="O387" s="62"/>
      <c r="P387" s="62"/>
      <c r="Q387" s="63">
        <f>IF((L388=""),"",MAX(D389:L389))</f>
        <v>2557.4800000000005</v>
      </c>
      <c r="R387" s="63">
        <f>IF(L388="","",MIN(D389:L389))</f>
        <v>2421.92</v>
      </c>
      <c r="S387" s="63">
        <f>IF((L389=""),"",AVERAGE(D389:L389))</f>
        <v>2488.6622222222222</v>
      </c>
      <c r="T387" s="63">
        <f>IF((L388=""),"",((Q387-R387)/(Q387+R387))*100)</f>
        <v>2.7224163553841905</v>
      </c>
      <c r="U387" s="51">
        <f>STDEV(D387:L387)</f>
        <v>5.3071367044763571</v>
      </c>
      <c r="V387" s="64" t="str">
        <f>IF(L388="","",(IF(T387&lt;12,IF(S387&gt;2200,IF(S387&lt;3280,"Pass","Fail"),"Fail"),"Fail")))</f>
        <v>Pass</v>
      </c>
      <c r="W387" s="63">
        <v>64</v>
      </c>
      <c r="Z387" s="37">
        <v>2000</v>
      </c>
      <c r="AA387" s="37">
        <v>3000</v>
      </c>
      <c r="AB387" s="37">
        <v>2200</v>
      </c>
      <c r="AC387" s="37">
        <v>3280</v>
      </c>
      <c r="AD387" s="39">
        <v>12</v>
      </c>
    </row>
    <row r="388" spans="1:30" ht="16.5" customHeight="1" x14ac:dyDescent="0.35">
      <c r="A388" s="206"/>
      <c r="B388" s="48"/>
      <c r="C388" s="51" t="s">
        <v>157</v>
      </c>
      <c r="D388" s="8">
        <v>1314.82</v>
      </c>
      <c r="E388" s="8">
        <v>1300.26</v>
      </c>
      <c r="F388" s="8">
        <v>1312.19</v>
      </c>
      <c r="G388" s="8">
        <v>1299.7</v>
      </c>
      <c r="H388" s="8">
        <v>1313.41</v>
      </c>
      <c r="I388" s="8">
        <v>1329.73</v>
      </c>
      <c r="J388" s="8">
        <v>1308.58</v>
      </c>
      <c r="K388" s="8">
        <v>1290.83</v>
      </c>
      <c r="L388" s="8">
        <v>1293.0999999999999</v>
      </c>
      <c r="M388" s="50"/>
      <c r="N388" s="50"/>
      <c r="O388" s="50"/>
      <c r="P388" s="50"/>
      <c r="Q388" s="48"/>
      <c r="R388" s="48"/>
      <c r="S388" s="48"/>
      <c r="T388" s="48"/>
      <c r="U388" s="48"/>
      <c r="V388" s="47"/>
      <c r="W388" s="48"/>
      <c r="X388" s="8"/>
    </row>
    <row r="389" spans="1:30" ht="24.8" customHeight="1" thickBot="1" x14ac:dyDescent="0.4">
      <c r="A389" s="206"/>
      <c r="B389" s="61"/>
      <c r="C389" s="51" t="s">
        <v>156</v>
      </c>
      <c r="D389" s="24">
        <f t="shared" ref="D389:L389" si="124">IF(((D387="")*AND(D388="")),"",(D387-D388)*4)</f>
        <v>2463.92</v>
      </c>
      <c r="E389" s="24">
        <f t="shared" si="124"/>
        <v>2497.2399999999998</v>
      </c>
      <c r="F389" s="24">
        <f t="shared" si="124"/>
        <v>2433.88</v>
      </c>
      <c r="G389" s="24">
        <f t="shared" si="124"/>
        <v>2515.92</v>
      </c>
      <c r="H389" s="24">
        <f t="shared" si="124"/>
        <v>2495</v>
      </c>
      <c r="I389" s="24">
        <f t="shared" si="124"/>
        <v>2421.92</v>
      </c>
      <c r="J389" s="24">
        <f t="shared" si="124"/>
        <v>2473.5600000000004</v>
      </c>
      <c r="K389" s="24">
        <f t="shared" si="124"/>
        <v>2539.04</v>
      </c>
      <c r="L389" s="24">
        <f t="shared" si="124"/>
        <v>2557.4800000000005</v>
      </c>
      <c r="M389" s="24"/>
      <c r="N389" s="24"/>
      <c r="O389" s="24"/>
      <c r="P389" s="24" t="str">
        <f>IF(((P387="")*AND(P388="")),"",(P387-P388)*4)</f>
        <v/>
      </c>
      <c r="Q389" s="61"/>
      <c r="R389" s="61"/>
      <c r="S389" s="61"/>
      <c r="T389" s="61"/>
      <c r="U389" s="61"/>
      <c r="V389" s="60"/>
      <c r="W389" s="61"/>
      <c r="X389" s="8"/>
    </row>
    <row r="390" spans="1:30" x14ac:dyDescent="0.25">
      <c r="A390" s="208">
        <v>42995</v>
      </c>
      <c r="B390" s="57" t="s">
        <v>159</v>
      </c>
      <c r="C390" s="51" t="s">
        <v>158</v>
      </c>
      <c r="D390" s="8">
        <v>6893.2</v>
      </c>
      <c r="E390" s="8">
        <v>6900.2</v>
      </c>
      <c r="F390" s="8">
        <v>6931.75</v>
      </c>
      <c r="G390" s="8">
        <v>6890.37</v>
      </c>
      <c r="H390" s="8">
        <v>6914.6</v>
      </c>
      <c r="I390" s="8">
        <v>6914.12</v>
      </c>
      <c r="J390" s="8">
        <v>6931.68</v>
      </c>
      <c r="K390" s="8">
        <v>6921.34</v>
      </c>
      <c r="L390" s="8">
        <v>6931.58</v>
      </c>
      <c r="M390" s="50"/>
      <c r="N390" s="50"/>
      <c r="O390" s="50"/>
      <c r="P390" s="50"/>
      <c r="Q390" s="57">
        <f>IF((L391=""),"",MAX(D392:L392))</f>
        <v>3441.6800000000003</v>
      </c>
      <c r="R390" s="57">
        <f>IF(L391="","",MIN(D392:L392))</f>
        <v>3345.380000000001</v>
      </c>
      <c r="S390" s="58">
        <f>IF((L392=""),"",AVERAGE(D392:L392))</f>
        <v>3408.0666666666675</v>
      </c>
      <c r="T390" s="57">
        <f>IF((L391=""),"",((Q390-R390)/(Q390+R390))*100)</f>
        <v>1.418876509121759</v>
      </c>
      <c r="U390" s="56">
        <f>STDEV(D390:L390)</f>
        <v>16.475405997358042</v>
      </c>
      <c r="V390" s="55" t="str">
        <f>IF(L391="","",(IF(T390&lt;7,IF(S390&gt;2800,IF(S390&lt;3800,"Pass","Fail"),"Fail"),"Fail")))</f>
        <v>Pass</v>
      </c>
      <c r="W390" s="57">
        <v>64</v>
      </c>
      <c r="Z390" s="53">
        <v>2800</v>
      </c>
      <c r="AA390" s="53">
        <v>3800</v>
      </c>
      <c r="AB390" s="53">
        <v>3100</v>
      </c>
      <c r="AC390" s="53">
        <v>3760</v>
      </c>
      <c r="AD390" s="52">
        <v>6</v>
      </c>
    </row>
    <row r="391" spans="1:30" ht="16.5" customHeight="1" x14ac:dyDescent="0.35">
      <c r="A391" s="206"/>
      <c r="B391" s="48"/>
      <c r="C391" s="51" t="s">
        <v>157</v>
      </c>
      <c r="D391" s="8">
        <v>5172.3599999999997</v>
      </c>
      <c r="E391" s="8">
        <v>5189.3599999999997</v>
      </c>
      <c r="F391" s="8">
        <v>5227.59</v>
      </c>
      <c r="G391" s="8">
        <v>5184.82</v>
      </c>
      <c r="H391" s="8">
        <v>5241.91</v>
      </c>
      <c r="I391" s="8">
        <v>5220.28</v>
      </c>
      <c r="J391" s="8">
        <v>5223.96</v>
      </c>
      <c r="K391" s="8">
        <v>5215.12</v>
      </c>
      <c r="L391" s="8">
        <v>5217.1400000000003</v>
      </c>
      <c r="M391" s="50"/>
      <c r="N391" s="50"/>
      <c r="O391" s="50"/>
      <c r="P391" s="50"/>
      <c r="Q391" s="48"/>
      <c r="R391" s="48"/>
      <c r="S391" s="49"/>
      <c r="T391" s="48"/>
      <c r="U391" s="48"/>
      <c r="V391" s="47"/>
      <c r="W391" s="48"/>
      <c r="X391" s="8"/>
    </row>
    <row r="392" spans="1:30" ht="24.8" customHeight="1" thickBot="1" x14ac:dyDescent="0.4">
      <c r="A392" s="206"/>
      <c r="B392" s="42"/>
      <c r="C392" s="45" t="s">
        <v>156</v>
      </c>
      <c r="D392" s="44">
        <f t="shared" ref="D392:L392" si="125">IF(((D390="")*AND(D391="")),"",(D390-D391)*2)</f>
        <v>3441.6800000000003</v>
      </c>
      <c r="E392" s="44">
        <f t="shared" si="125"/>
        <v>3421.6800000000003</v>
      </c>
      <c r="F392" s="44">
        <f t="shared" si="125"/>
        <v>3408.3199999999997</v>
      </c>
      <c r="G392" s="44">
        <f t="shared" si="125"/>
        <v>3411.1000000000004</v>
      </c>
      <c r="H392" s="44">
        <f t="shared" si="125"/>
        <v>3345.380000000001</v>
      </c>
      <c r="I392" s="44">
        <f t="shared" si="125"/>
        <v>3387.6800000000003</v>
      </c>
      <c r="J392" s="44">
        <f t="shared" si="125"/>
        <v>3415.4400000000005</v>
      </c>
      <c r="K392" s="44">
        <f t="shared" si="125"/>
        <v>3412.4400000000005</v>
      </c>
      <c r="L392" s="44">
        <f t="shared" si="125"/>
        <v>3428.8799999999992</v>
      </c>
      <c r="M392" s="44"/>
      <c r="N392" s="44"/>
      <c r="O392" s="44"/>
      <c r="P392" s="44"/>
      <c r="Q392" s="42"/>
      <c r="R392" s="42"/>
      <c r="S392" s="43"/>
      <c r="T392" s="42"/>
      <c r="U392" s="42"/>
      <c r="V392" s="41"/>
      <c r="W392" s="42"/>
      <c r="X392" s="8"/>
    </row>
    <row r="393" spans="1:30" x14ac:dyDescent="0.25">
      <c r="A393" s="208">
        <v>43000</v>
      </c>
      <c r="B393" s="63" t="s">
        <v>160</v>
      </c>
      <c r="C393" s="56" t="s">
        <v>158</v>
      </c>
      <c r="D393" s="8">
        <v>1817.57</v>
      </c>
      <c r="E393" s="8">
        <v>1847.98</v>
      </c>
      <c r="F393" s="8">
        <v>1860.38</v>
      </c>
      <c r="G393" s="8">
        <v>1846.55</v>
      </c>
      <c r="H393" s="8">
        <v>1799.63</v>
      </c>
      <c r="I393" s="8">
        <v>1798.28</v>
      </c>
      <c r="J393" s="8">
        <v>1872.84</v>
      </c>
      <c r="K393" s="8">
        <v>1823.87</v>
      </c>
      <c r="L393" s="8">
        <v>1888.31</v>
      </c>
      <c r="M393" s="62"/>
      <c r="N393" s="62"/>
      <c r="O393" s="62"/>
      <c r="P393" s="62"/>
      <c r="Q393" s="63">
        <f>IF((L394=""),"",MAX(D395:L395))</f>
        <v>2524.8000000000002</v>
      </c>
      <c r="R393" s="63">
        <f>IF(L394="","",MIN(D395:L395))</f>
        <v>2018.3199999999997</v>
      </c>
      <c r="S393" s="63">
        <f>IF((L395=""),"",AVERAGE(D395:L395))</f>
        <v>2261.4888888888891</v>
      </c>
      <c r="T393" s="63">
        <f>IF((L394=""),"",((Q393-R393)/(Q393+R393))*100)</f>
        <v>11.148285759566123</v>
      </c>
      <c r="U393" s="51">
        <f>STDEV(D393:L393)</f>
        <v>31.751939310851533</v>
      </c>
      <c r="V393" s="64" t="str">
        <f>IF(L394="","",(IF(T393&lt;12,IF(S393&gt;2200,IF(S393&lt;3280,"Pass","Fail"),"Fail"),"Fail")))</f>
        <v>Pass</v>
      </c>
      <c r="W393" s="63">
        <v>1335</v>
      </c>
      <c r="Z393" s="37">
        <v>2000</v>
      </c>
      <c r="AA393" s="37">
        <v>3000</v>
      </c>
      <c r="AB393" s="37">
        <v>2200</v>
      </c>
      <c r="AC393" s="37">
        <v>3280</v>
      </c>
      <c r="AD393" s="39">
        <v>12</v>
      </c>
    </row>
    <row r="394" spans="1:30" ht="16.5" customHeight="1" x14ac:dyDescent="0.35">
      <c r="A394" s="206"/>
      <c r="B394" s="48"/>
      <c r="C394" s="51" t="s">
        <v>157</v>
      </c>
      <c r="D394" s="8">
        <v>1283.3</v>
      </c>
      <c r="E394" s="8">
        <v>1276.1400000000001</v>
      </c>
      <c r="F394" s="8">
        <v>1282.27</v>
      </c>
      <c r="G394" s="8">
        <v>1269.5899999999999</v>
      </c>
      <c r="H394" s="8">
        <v>1268.01</v>
      </c>
      <c r="I394" s="8">
        <v>1293.7</v>
      </c>
      <c r="J394" s="8">
        <v>1274.08</v>
      </c>
      <c r="K394" s="8">
        <v>1262.8599999999999</v>
      </c>
      <c r="L394" s="8">
        <v>1257.1099999999999</v>
      </c>
      <c r="M394" s="50"/>
      <c r="N394" s="50"/>
      <c r="O394" s="50"/>
      <c r="P394" s="50"/>
      <c r="Q394" s="48"/>
      <c r="R394" s="48"/>
      <c r="S394" s="48"/>
      <c r="T394" s="48"/>
      <c r="U394" s="48"/>
      <c r="V394" s="47"/>
      <c r="W394" s="48"/>
      <c r="X394" s="8"/>
    </row>
    <row r="395" spans="1:30" ht="24.8" customHeight="1" thickBot="1" x14ac:dyDescent="0.4">
      <c r="A395" s="206"/>
      <c r="B395" s="61"/>
      <c r="C395" s="51" t="s">
        <v>156</v>
      </c>
      <c r="D395" s="24">
        <f t="shared" ref="D395:L395" si="126">IF(((D393="")*AND(D394="")),"",(D393-D394)*4)</f>
        <v>2137.08</v>
      </c>
      <c r="E395" s="24">
        <f t="shared" si="126"/>
        <v>2287.3599999999997</v>
      </c>
      <c r="F395" s="24">
        <f t="shared" si="126"/>
        <v>2312.4400000000005</v>
      </c>
      <c r="G395" s="24">
        <f t="shared" si="126"/>
        <v>2307.84</v>
      </c>
      <c r="H395" s="24">
        <f t="shared" si="126"/>
        <v>2126.4800000000005</v>
      </c>
      <c r="I395" s="24">
        <f t="shared" si="126"/>
        <v>2018.3199999999997</v>
      </c>
      <c r="J395" s="24">
        <f t="shared" si="126"/>
        <v>2395.04</v>
      </c>
      <c r="K395" s="24">
        <f t="shared" si="126"/>
        <v>2244.04</v>
      </c>
      <c r="L395" s="24">
        <f t="shared" si="126"/>
        <v>2524.8000000000002</v>
      </c>
      <c r="M395" s="24"/>
      <c r="N395" s="24"/>
      <c r="O395" s="24"/>
      <c r="P395" s="24" t="str">
        <f>IF(((P393="")*AND(P394="")),"",(P393-P394)*4)</f>
        <v/>
      </c>
      <c r="Q395" s="61"/>
      <c r="R395" s="61"/>
      <c r="S395" s="61"/>
      <c r="T395" s="61"/>
      <c r="U395" s="61"/>
      <c r="V395" s="60"/>
      <c r="W395" s="61"/>
      <c r="X395" s="8"/>
    </row>
    <row r="396" spans="1:30" x14ac:dyDescent="0.25">
      <c r="A396" s="208">
        <v>43000</v>
      </c>
      <c r="B396" s="57" t="s">
        <v>159</v>
      </c>
      <c r="C396" s="51" t="s">
        <v>158</v>
      </c>
      <c r="D396" s="8">
        <v>4800.79</v>
      </c>
      <c r="E396" s="8">
        <v>4834</v>
      </c>
      <c r="F396" s="8">
        <v>4869.1099999999997</v>
      </c>
      <c r="G396" s="8">
        <v>4821.12</v>
      </c>
      <c r="H396" s="8">
        <v>4870.21</v>
      </c>
      <c r="I396" s="8">
        <v>4842.91</v>
      </c>
      <c r="J396" s="8">
        <v>4858.05</v>
      </c>
      <c r="K396" s="8">
        <v>4853.9399999999996</v>
      </c>
      <c r="L396" s="8">
        <v>4833.7</v>
      </c>
      <c r="M396" s="50"/>
      <c r="N396" s="50"/>
      <c r="O396" s="50"/>
      <c r="P396" s="50"/>
      <c r="Q396" s="57">
        <f>IF((L397=""),"",MAX(D398:L398))</f>
        <v>3390.6000000000004</v>
      </c>
      <c r="R396" s="57">
        <f>IF(L397="","",MIN(D398:L398))</f>
        <v>3295.66</v>
      </c>
      <c r="S396" s="58">
        <f>IF((L398=""),"",AVERAGE(D398:L398))</f>
        <v>3365.4044444444439</v>
      </c>
      <c r="T396" s="57">
        <f>IF((L397=""),"",((Q396-R396)/(Q396+R396))*100)</f>
        <v>1.419926835031849</v>
      </c>
      <c r="U396" s="56">
        <f>STDEV(D396:L396)</f>
        <v>22.899515157409851</v>
      </c>
      <c r="V396" s="55" t="str">
        <f>IF(L397="","",(IF(T396&lt;7,IF(S396&gt;2800,IF(S396&lt;3800,"Pass","Fail"),"Fail"),"Fail")))</f>
        <v>Pass</v>
      </c>
      <c r="W396" s="57">
        <v>64</v>
      </c>
      <c r="Z396" s="53">
        <v>2800</v>
      </c>
      <c r="AA396" s="53">
        <v>3800</v>
      </c>
      <c r="AB396" s="53">
        <v>3100</v>
      </c>
      <c r="AC396" s="53">
        <v>3760</v>
      </c>
      <c r="AD396" s="52">
        <v>6</v>
      </c>
    </row>
    <row r="397" spans="1:30" ht="16.5" customHeight="1" x14ac:dyDescent="0.35">
      <c r="A397" s="206"/>
      <c r="B397" s="48"/>
      <c r="C397" s="51" t="s">
        <v>157</v>
      </c>
      <c r="D397" s="8">
        <v>3105.49</v>
      </c>
      <c r="E397" s="8">
        <v>3143.45</v>
      </c>
      <c r="F397" s="8">
        <v>3185.69</v>
      </c>
      <c r="G397" s="8">
        <v>3134.5</v>
      </c>
      <c r="H397" s="8">
        <v>3222.38</v>
      </c>
      <c r="I397" s="8">
        <v>3168.63</v>
      </c>
      <c r="J397" s="8">
        <v>3175.29</v>
      </c>
      <c r="K397" s="8">
        <v>3165.26</v>
      </c>
      <c r="L397" s="8">
        <v>3138.82</v>
      </c>
      <c r="M397" s="50"/>
      <c r="N397" s="50"/>
      <c r="O397" s="50"/>
      <c r="P397" s="50"/>
      <c r="Q397" s="48"/>
      <c r="R397" s="48"/>
      <c r="S397" s="49"/>
      <c r="T397" s="48"/>
      <c r="U397" s="48"/>
      <c r="V397" s="47"/>
      <c r="W397" s="48"/>
      <c r="X397" s="8"/>
    </row>
    <row r="398" spans="1:30" ht="24.8" customHeight="1" thickBot="1" x14ac:dyDescent="0.4">
      <c r="A398" s="206"/>
      <c r="B398" s="42"/>
      <c r="C398" s="45" t="s">
        <v>156</v>
      </c>
      <c r="D398" s="44">
        <f t="shared" ref="D398:L398" si="127">IF(((D396="")*AND(D397="")),"",(D396-D397)*2)</f>
        <v>3390.6000000000004</v>
      </c>
      <c r="E398" s="44">
        <f t="shared" si="127"/>
        <v>3381.1000000000004</v>
      </c>
      <c r="F398" s="44">
        <f t="shared" si="127"/>
        <v>3366.8399999999992</v>
      </c>
      <c r="G398" s="44">
        <f t="shared" si="127"/>
        <v>3373.24</v>
      </c>
      <c r="H398" s="44">
        <f t="shared" si="127"/>
        <v>3295.66</v>
      </c>
      <c r="I398" s="44">
        <f t="shared" si="127"/>
        <v>3348.5599999999995</v>
      </c>
      <c r="J398" s="44">
        <f t="shared" si="127"/>
        <v>3365.5200000000004</v>
      </c>
      <c r="K398" s="44">
        <f t="shared" si="127"/>
        <v>3377.3599999999988</v>
      </c>
      <c r="L398" s="44">
        <f t="shared" si="127"/>
        <v>3389.7599999999993</v>
      </c>
      <c r="M398" s="44"/>
      <c r="N398" s="44"/>
      <c r="O398" s="44"/>
      <c r="P398" s="44"/>
      <c r="Q398" s="42"/>
      <c r="R398" s="42"/>
      <c r="S398" s="43"/>
      <c r="T398" s="42"/>
      <c r="U398" s="42"/>
      <c r="V398" s="41"/>
      <c r="W398" s="42"/>
      <c r="X398" s="8"/>
    </row>
    <row r="399" spans="1:30" x14ac:dyDescent="0.25">
      <c r="A399" s="208">
        <v>43000</v>
      </c>
      <c r="B399" s="63" t="s">
        <v>160</v>
      </c>
      <c r="C399" s="56" t="s">
        <v>158</v>
      </c>
      <c r="D399" s="8">
        <v>1953.04</v>
      </c>
      <c r="E399" s="8">
        <v>1944.31</v>
      </c>
      <c r="F399" s="8">
        <v>1940.52</v>
      </c>
      <c r="G399" s="8">
        <v>1950.16</v>
      </c>
      <c r="H399" s="8">
        <v>1959.11</v>
      </c>
      <c r="I399" s="8">
        <v>1954.01</v>
      </c>
      <c r="J399" s="8">
        <v>1944.18</v>
      </c>
      <c r="K399" s="8">
        <v>1948.64</v>
      </c>
      <c r="L399" s="8">
        <v>1957.14</v>
      </c>
      <c r="M399" s="62"/>
      <c r="N399" s="62"/>
      <c r="O399" s="62"/>
      <c r="P399" s="62"/>
      <c r="Q399" s="63">
        <f>IF((L400=""),"",MAX(D401:L401))</f>
        <v>2694.5200000000004</v>
      </c>
      <c r="R399" s="63">
        <f>IF(L400="","",MIN(D401:L401))</f>
        <v>2539.2799999999997</v>
      </c>
      <c r="S399" s="63">
        <f>IF((L401=""),"",AVERAGE(D401:L401))</f>
        <v>2597.96</v>
      </c>
      <c r="T399" s="63">
        <f>IF((L400=""),"",((Q399-R399)/(Q399+R399))*100)</f>
        <v>2.9661049333180611</v>
      </c>
      <c r="U399" s="51">
        <f>STDEV(D399:L399)</f>
        <v>6.2963342509749198</v>
      </c>
      <c r="V399" s="64" t="str">
        <f>IF(L400="","",(IF(T399&lt;12,IF(S399&gt;2200,IF(S399&lt;3280,"Pass","Fail"),"Fail"),"Fail")))</f>
        <v>Pass</v>
      </c>
      <c r="W399" s="63">
        <v>1335</v>
      </c>
      <c r="Z399" s="37">
        <v>2000</v>
      </c>
      <c r="AA399" s="37">
        <v>3000</v>
      </c>
      <c r="AB399" s="37">
        <v>2200</v>
      </c>
      <c r="AC399" s="37">
        <v>3280</v>
      </c>
      <c r="AD399" s="39">
        <v>12</v>
      </c>
    </row>
    <row r="400" spans="1:30" ht="16.5" customHeight="1" x14ac:dyDescent="0.35">
      <c r="A400" s="206"/>
      <c r="B400" s="48"/>
      <c r="C400" s="51" t="s">
        <v>157</v>
      </c>
      <c r="D400" s="8">
        <v>1304.77</v>
      </c>
      <c r="E400" s="8">
        <v>1297.93</v>
      </c>
      <c r="F400" s="8">
        <v>1305.7</v>
      </c>
      <c r="G400" s="8">
        <v>1299.93</v>
      </c>
      <c r="H400" s="8">
        <v>1299.8699999999999</v>
      </c>
      <c r="I400" s="8">
        <v>1319.04</v>
      </c>
      <c r="J400" s="8">
        <v>1306.56</v>
      </c>
      <c r="K400" s="8">
        <v>1288.3900000000001</v>
      </c>
      <c r="L400" s="8">
        <v>1283.51</v>
      </c>
      <c r="M400" s="50"/>
      <c r="N400" s="50"/>
      <c r="O400" s="50"/>
      <c r="P400" s="50"/>
      <c r="Q400" s="48"/>
      <c r="R400" s="48"/>
      <c r="S400" s="48"/>
      <c r="T400" s="48"/>
      <c r="U400" s="48"/>
      <c r="V400" s="47"/>
      <c r="W400" s="48"/>
      <c r="X400" s="8"/>
    </row>
    <row r="401" spans="1:30" ht="24.8" customHeight="1" thickBot="1" x14ac:dyDescent="0.4">
      <c r="A401" s="206"/>
      <c r="B401" s="61"/>
      <c r="C401" s="51" t="s">
        <v>156</v>
      </c>
      <c r="D401" s="24">
        <f t="shared" ref="D401:L401" si="128">IF(((D399="")*AND(D400="")),"",(D399-D400)*4)</f>
        <v>2593.08</v>
      </c>
      <c r="E401" s="24">
        <f t="shared" si="128"/>
        <v>2585.5199999999995</v>
      </c>
      <c r="F401" s="24">
        <f t="shared" si="128"/>
        <v>2539.2799999999997</v>
      </c>
      <c r="G401" s="24">
        <f t="shared" si="128"/>
        <v>2600.92</v>
      </c>
      <c r="H401" s="24">
        <f t="shared" si="128"/>
        <v>2636.96</v>
      </c>
      <c r="I401" s="24">
        <f t="shared" si="128"/>
        <v>2539.88</v>
      </c>
      <c r="J401" s="24">
        <f t="shared" si="128"/>
        <v>2550.4800000000005</v>
      </c>
      <c r="K401" s="24">
        <f t="shared" si="128"/>
        <v>2641</v>
      </c>
      <c r="L401" s="24">
        <f t="shared" si="128"/>
        <v>2694.5200000000004</v>
      </c>
      <c r="M401" s="24"/>
      <c r="N401" s="24"/>
      <c r="O401" s="24"/>
      <c r="P401" s="24" t="str">
        <f>IF(((P399="")*AND(P400="")),"",(P399-P400)*4)</f>
        <v/>
      </c>
      <c r="Q401" s="61"/>
      <c r="R401" s="61"/>
      <c r="S401" s="61"/>
      <c r="T401" s="61"/>
      <c r="U401" s="61"/>
      <c r="V401" s="60"/>
      <c r="W401" s="61"/>
      <c r="X401" s="8"/>
    </row>
    <row r="402" spans="1:30" x14ac:dyDescent="0.25">
      <c r="A402" s="208">
        <v>43000</v>
      </c>
      <c r="B402" s="57" t="s">
        <v>159</v>
      </c>
      <c r="C402" s="51" t="s">
        <v>158</v>
      </c>
      <c r="D402" s="8">
        <v>3116.02</v>
      </c>
      <c r="E402" s="8">
        <v>3154.32</v>
      </c>
      <c r="F402" s="8">
        <v>3196.74</v>
      </c>
      <c r="G402" s="8">
        <v>3144.59</v>
      </c>
      <c r="H402" s="8">
        <v>3233.17</v>
      </c>
      <c r="I402" s="8">
        <v>3179.6</v>
      </c>
      <c r="J402" s="8">
        <v>3186.03</v>
      </c>
      <c r="K402" s="8">
        <v>3175.9</v>
      </c>
      <c r="L402" s="8">
        <v>3148.86</v>
      </c>
      <c r="M402" s="50"/>
      <c r="N402" s="50"/>
      <c r="O402" s="50"/>
      <c r="P402" s="50"/>
      <c r="Q402" s="57">
        <f>IF((L403=""),"",MAX(D404:L404))</f>
        <v>3463.9</v>
      </c>
      <c r="R402" s="57">
        <f>IF(L403="","",MIN(D404:L404))</f>
        <v>3304.04</v>
      </c>
      <c r="S402" s="58">
        <f>IF((L404=""),"",AVERAGE(D404:L404))</f>
        <v>3408.557777777778</v>
      </c>
      <c r="T402" s="57">
        <f>IF((L403=""),"",((Q402-R402)/(Q402+R402))*100)</f>
        <v>2.3620185758147989</v>
      </c>
      <c r="U402" s="56">
        <f>STDEV(D402:L402)</f>
        <v>34.166208980674305</v>
      </c>
      <c r="V402" s="55" t="str">
        <f>IF(L403="","",(IF(T402&lt;7,IF(S402&gt;2800,IF(S402&lt;3800,"Pass","Fail"),"Fail"),"Fail")))</f>
        <v>Pass</v>
      </c>
      <c r="W402" s="57">
        <v>64</v>
      </c>
      <c r="Z402" s="53">
        <v>2800</v>
      </c>
      <c r="AA402" s="53">
        <v>3800</v>
      </c>
      <c r="AB402" s="53">
        <v>3100</v>
      </c>
      <c r="AC402" s="53">
        <v>3760</v>
      </c>
      <c r="AD402" s="52">
        <v>6</v>
      </c>
    </row>
    <row r="403" spans="1:30" ht="16.5" customHeight="1" x14ac:dyDescent="0.35">
      <c r="A403" s="206"/>
      <c r="B403" s="48"/>
      <c r="C403" s="51" t="s">
        <v>157</v>
      </c>
      <c r="D403" s="8">
        <v>1384.07</v>
      </c>
      <c r="E403" s="8">
        <v>1434.61</v>
      </c>
      <c r="F403" s="8">
        <v>1485.47</v>
      </c>
      <c r="G403" s="8">
        <v>1434.78</v>
      </c>
      <c r="H403" s="8">
        <v>1581.15</v>
      </c>
      <c r="I403" s="8">
        <v>1496.34</v>
      </c>
      <c r="J403" s="8">
        <v>1473.69</v>
      </c>
      <c r="K403" s="8">
        <v>1465.1</v>
      </c>
      <c r="L403" s="8">
        <v>1441.51</v>
      </c>
      <c r="M403" s="50"/>
      <c r="N403" s="50"/>
      <c r="O403" s="50"/>
      <c r="P403" s="50"/>
      <c r="Q403" s="48"/>
      <c r="R403" s="48"/>
      <c r="S403" s="49"/>
      <c r="T403" s="48"/>
      <c r="U403" s="48"/>
      <c r="V403" s="47"/>
      <c r="W403" s="48"/>
      <c r="X403" s="8"/>
    </row>
    <row r="404" spans="1:30" ht="24.8" customHeight="1" thickBot="1" x14ac:dyDescent="0.4">
      <c r="A404" s="206"/>
      <c r="B404" s="42"/>
      <c r="C404" s="45" t="s">
        <v>156</v>
      </c>
      <c r="D404" s="44">
        <f t="shared" ref="D404:L404" si="129">IF(((D402="")*AND(D403="")),"",(D402-D403)*2)</f>
        <v>3463.9</v>
      </c>
      <c r="E404" s="44">
        <f t="shared" si="129"/>
        <v>3439.4200000000005</v>
      </c>
      <c r="F404" s="44">
        <f t="shared" si="129"/>
        <v>3422.5399999999995</v>
      </c>
      <c r="G404" s="44">
        <f t="shared" si="129"/>
        <v>3419.6200000000003</v>
      </c>
      <c r="H404" s="44">
        <f t="shared" si="129"/>
        <v>3304.04</v>
      </c>
      <c r="I404" s="44">
        <f t="shared" si="129"/>
        <v>3366.52</v>
      </c>
      <c r="J404" s="44">
        <f t="shared" si="129"/>
        <v>3424.6800000000003</v>
      </c>
      <c r="K404" s="44">
        <f t="shared" si="129"/>
        <v>3421.6000000000004</v>
      </c>
      <c r="L404" s="44">
        <f t="shared" si="129"/>
        <v>3414.7000000000003</v>
      </c>
      <c r="M404" s="44"/>
      <c r="N404" s="44"/>
      <c r="O404" s="44"/>
      <c r="P404" s="44"/>
      <c r="Q404" s="42"/>
      <c r="R404" s="42"/>
      <c r="S404" s="43"/>
      <c r="T404" s="42"/>
      <c r="U404" s="42"/>
      <c r="V404" s="41"/>
      <c r="W404" s="42"/>
      <c r="X404" s="8"/>
    </row>
    <row r="405" spans="1:30" x14ac:dyDescent="0.25">
      <c r="A405" s="208">
        <v>43003</v>
      </c>
      <c r="B405" s="63" t="s">
        <v>160</v>
      </c>
      <c r="C405" s="56" t="s">
        <v>158</v>
      </c>
      <c r="D405" s="8">
        <v>1953.04</v>
      </c>
      <c r="E405" s="8">
        <v>1944.31</v>
      </c>
      <c r="F405" s="8">
        <v>1940.52</v>
      </c>
      <c r="G405" s="8">
        <v>1950.16</v>
      </c>
      <c r="H405" s="8">
        <v>1959.11</v>
      </c>
      <c r="I405" s="8">
        <v>1954.01</v>
      </c>
      <c r="J405" s="8">
        <v>1944.18</v>
      </c>
      <c r="K405" s="8">
        <v>1948.64</v>
      </c>
      <c r="L405" s="8">
        <v>1957.14</v>
      </c>
      <c r="M405" s="62"/>
      <c r="N405" s="62"/>
      <c r="O405" s="62"/>
      <c r="P405" s="62"/>
      <c r="Q405" s="63">
        <f>IF((L406=""),"",MAX(D407:L407))</f>
        <v>2694.5200000000004</v>
      </c>
      <c r="R405" s="63">
        <f>IF(L406="","",MIN(D407:L407))</f>
        <v>2539.2799999999997</v>
      </c>
      <c r="S405" s="63">
        <f>IF((L407=""),"",AVERAGE(D407:L407))</f>
        <v>2597.96</v>
      </c>
      <c r="T405" s="63">
        <f>IF((L406=""),"",((Q405-R405)/(Q405+R405))*100)</f>
        <v>2.9661049333180611</v>
      </c>
      <c r="U405" s="51">
        <f>STDEV(D405:L405)</f>
        <v>6.2963342509749198</v>
      </c>
      <c r="V405" s="64" t="str">
        <f>IF(L406="","",(IF(T405&lt;12,IF(S405&gt;2200,IF(S405&lt;3280,"Pass","Fail"),"Fail"),"Fail")))</f>
        <v>Pass</v>
      </c>
      <c r="W405" s="63">
        <v>1534</v>
      </c>
      <c r="X405" s="26" t="s">
        <v>187</v>
      </c>
      <c r="Z405" s="37">
        <v>2000</v>
      </c>
      <c r="AA405" s="37">
        <v>3000</v>
      </c>
      <c r="AB405" s="37">
        <v>2200</v>
      </c>
      <c r="AC405" s="37">
        <v>3280</v>
      </c>
      <c r="AD405" s="39">
        <v>12</v>
      </c>
    </row>
    <row r="406" spans="1:30" ht="16.5" customHeight="1" x14ac:dyDescent="0.35">
      <c r="A406" s="206"/>
      <c r="B406" s="48"/>
      <c r="C406" s="51" t="s">
        <v>157</v>
      </c>
      <c r="D406" s="8">
        <v>1304.77</v>
      </c>
      <c r="E406" s="8">
        <v>1297.93</v>
      </c>
      <c r="F406" s="8">
        <v>1305.7</v>
      </c>
      <c r="G406" s="8">
        <v>1299.93</v>
      </c>
      <c r="H406" s="8">
        <v>1299.8699999999999</v>
      </c>
      <c r="I406" s="8">
        <v>1319.04</v>
      </c>
      <c r="J406" s="8">
        <v>1306.56</v>
      </c>
      <c r="K406" s="8">
        <v>1288.3900000000001</v>
      </c>
      <c r="L406" s="8">
        <v>1283.51</v>
      </c>
      <c r="M406" s="50"/>
      <c r="N406" s="50"/>
      <c r="O406" s="50"/>
      <c r="P406" s="50"/>
      <c r="Q406" s="48"/>
      <c r="R406" s="48"/>
      <c r="S406" s="48"/>
      <c r="T406" s="48"/>
      <c r="U406" s="48"/>
      <c r="V406" s="47"/>
      <c r="W406" s="48"/>
      <c r="X406" s="8"/>
    </row>
    <row r="407" spans="1:30" ht="24.8" customHeight="1" thickBot="1" x14ac:dyDescent="0.4">
      <c r="A407" s="206"/>
      <c r="B407" s="61"/>
      <c r="C407" s="51" t="s">
        <v>156</v>
      </c>
      <c r="D407" s="24">
        <f t="shared" ref="D407:L407" si="130">IF(((D405="")*AND(D406="")),"",(D405-D406)*4)</f>
        <v>2593.08</v>
      </c>
      <c r="E407" s="24">
        <f t="shared" si="130"/>
        <v>2585.5199999999995</v>
      </c>
      <c r="F407" s="24">
        <f t="shared" si="130"/>
        <v>2539.2799999999997</v>
      </c>
      <c r="G407" s="24">
        <f t="shared" si="130"/>
        <v>2600.92</v>
      </c>
      <c r="H407" s="24">
        <f t="shared" si="130"/>
        <v>2636.96</v>
      </c>
      <c r="I407" s="24">
        <f t="shared" si="130"/>
        <v>2539.88</v>
      </c>
      <c r="J407" s="24">
        <f t="shared" si="130"/>
        <v>2550.4800000000005</v>
      </c>
      <c r="K407" s="24">
        <f t="shared" si="130"/>
        <v>2641</v>
      </c>
      <c r="L407" s="24">
        <f t="shared" si="130"/>
        <v>2694.5200000000004</v>
      </c>
      <c r="M407" s="24"/>
      <c r="N407" s="24"/>
      <c r="O407" s="24"/>
      <c r="P407" s="24" t="str">
        <f>IF(((P405="")*AND(P406="")),"",(P405-P406)*4)</f>
        <v/>
      </c>
      <c r="Q407" s="61"/>
      <c r="R407" s="61"/>
      <c r="S407" s="61"/>
      <c r="T407" s="61"/>
      <c r="U407" s="61"/>
      <c r="V407" s="60"/>
      <c r="W407" s="61"/>
      <c r="X407" s="8"/>
    </row>
    <row r="408" spans="1:30" x14ac:dyDescent="0.25">
      <c r="A408" s="208">
        <v>43003</v>
      </c>
      <c r="B408" s="57" t="s">
        <v>159</v>
      </c>
      <c r="C408" s="51" t="s">
        <v>158</v>
      </c>
      <c r="D408" s="8">
        <v>3116.02</v>
      </c>
      <c r="E408" s="8">
        <v>3154.32</v>
      </c>
      <c r="F408" s="8">
        <v>3196.74</v>
      </c>
      <c r="G408" s="8">
        <v>3144.59</v>
      </c>
      <c r="H408" s="8">
        <v>3233.17</v>
      </c>
      <c r="I408" s="8">
        <v>3179.6</v>
      </c>
      <c r="J408" s="8">
        <v>3186.03</v>
      </c>
      <c r="K408" s="8">
        <v>3175.9</v>
      </c>
      <c r="L408" s="8">
        <v>3148.86</v>
      </c>
      <c r="M408" s="50"/>
      <c r="N408" s="50"/>
      <c r="O408" s="50"/>
      <c r="P408" s="50"/>
      <c r="Q408" s="57">
        <f>IF((L409=""),"",MAX(D410:L410))</f>
        <v>3463.9</v>
      </c>
      <c r="R408" s="57">
        <f>IF(L409="","",MIN(D410:L410))</f>
        <v>3304.04</v>
      </c>
      <c r="S408" s="58">
        <f>IF((L410=""),"",AVERAGE(D410:L410))</f>
        <v>3408.557777777778</v>
      </c>
      <c r="T408" s="57">
        <f>IF((L409=""),"",((Q408-R408)/(Q408+R408))*100)</f>
        <v>2.3620185758147989</v>
      </c>
      <c r="U408" s="56">
        <f>STDEV(D408:L408)</f>
        <v>34.166208980674305</v>
      </c>
      <c r="V408" s="55" t="str">
        <f>IF(L409="","",(IF(T408&lt;7,IF(S408&gt;2800,IF(S408&lt;3800,"Pass","Fail"),"Fail"),"Fail")))</f>
        <v>Pass</v>
      </c>
      <c r="W408" s="57">
        <v>1534</v>
      </c>
      <c r="X408" s="26" t="s">
        <v>187</v>
      </c>
      <c r="Z408" s="53">
        <v>2800</v>
      </c>
      <c r="AA408" s="53">
        <v>3800</v>
      </c>
      <c r="AB408" s="53">
        <v>3100</v>
      </c>
      <c r="AC408" s="53">
        <v>3760</v>
      </c>
      <c r="AD408" s="52">
        <v>6</v>
      </c>
    </row>
    <row r="409" spans="1:30" ht="16.5" customHeight="1" x14ac:dyDescent="0.35">
      <c r="A409" s="206"/>
      <c r="B409" s="48"/>
      <c r="C409" s="51" t="s">
        <v>157</v>
      </c>
      <c r="D409" s="8">
        <v>1384.07</v>
      </c>
      <c r="E409" s="8">
        <v>1434.61</v>
      </c>
      <c r="F409" s="8">
        <v>1485.47</v>
      </c>
      <c r="G409" s="8">
        <v>1434.78</v>
      </c>
      <c r="H409" s="8">
        <v>1581.15</v>
      </c>
      <c r="I409" s="8">
        <v>1496.34</v>
      </c>
      <c r="J409" s="8">
        <v>1473.69</v>
      </c>
      <c r="K409" s="8">
        <v>1465.1</v>
      </c>
      <c r="L409" s="8">
        <v>1441.51</v>
      </c>
      <c r="M409" s="50"/>
      <c r="N409" s="50"/>
      <c r="O409" s="50"/>
      <c r="P409" s="50"/>
      <c r="Q409" s="48"/>
      <c r="R409" s="48"/>
      <c r="S409" s="49"/>
      <c r="T409" s="48"/>
      <c r="U409" s="48"/>
      <c r="V409" s="47"/>
      <c r="W409" s="48"/>
      <c r="X409" s="8"/>
    </row>
    <row r="410" spans="1:30" ht="24.8" customHeight="1" thickBot="1" x14ac:dyDescent="0.4">
      <c r="A410" s="206"/>
      <c r="B410" s="42"/>
      <c r="C410" s="45" t="s">
        <v>156</v>
      </c>
      <c r="D410" s="44">
        <f t="shared" ref="D410:L410" si="131">IF(((D408="")*AND(D409="")),"",(D408-D409)*2)</f>
        <v>3463.9</v>
      </c>
      <c r="E410" s="44">
        <f t="shared" si="131"/>
        <v>3439.4200000000005</v>
      </c>
      <c r="F410" s="44">
        <f t="shared" si="131"/>
        <v>3422.5399999999995</v>
      </c>
      <c r="G410" s="44">
        <f t="shared" si="131"/>
        <v>3419.6200000000003</v>
      </c>
      <c r="H410" s="44">
        <f t="shared" si="131"/>
        <v>3304.04</v>
      </c>
      <c r="I410" s="44">
        <f t="shared" si="131"/>
        <v>3366.52</v>
      </c>
      <c r="J410" s="44">
        <f t="shared" si="131"/>
        <v>3424.6800000000003</v>
      </c>
      <c r="K410" s="44">
        <f t="shared" si="131"/>
        <v>3421.6000000000004</v>
      </c>
      <c r="L410" s="44">
        <f t="shared" si="131"/>
        <v>3414.7000000000003</v>
      </c>
      <c r="M410" s="44"/>
      <c r="N410" s="44"/>
      <c r="O410" s="44"/>
      <c r="P410" s="44"/>
      <c r="Q410" s="42"/>
      <c r="R410" s="42"/>
      <c r="S410" s="43"/>
      <c r="T410" s="42"/>
      <c r="U410" s="42"/>
      <c r="V410" s="41"/>
      <c r="W410" s="42"/>
      <c r="X410" s="8"/>
    </row>
    <row r="411" spans="1:30" x14ac:dyDescent="0.25">
      <c r="A411" s="208">
        <v>43007</v>
      </c>
      <c r="B411" s="63" t="s">
        <v>160</v>
      </c>
      <c r="C411" s="56" t="s">
        <v>158</v>
      </c>
      <c r="D411" s="8">
        <v>1306.25</v>
      </c>
      <c r="E411" s="8">
        <v>1299.81</v>
      </c>
      <c r="F411" s="8">
        <v>1311.02</v>
      </c>
      <c r="G411" s="8">
        <v>1300.02</v>
      </c>
      <c r="H411" s="8">
        <v>1300.74</v>
      </c>
      <c r="I411" s="8">
        <v>1319.04</v>
      </c>
      <c r="J411" s="8">
        <v>1307.77</v>
      </c>
      <c r="K411" s="8">
        <v>1291.04</v>
      </c>
      <c r="L411" s="8">
        <v>1285.23</v>
      </c>
      <c r="M411" s="62"/>
      <c r="N411" s="62"/>
      <c r="O411" s="62"/>
      <c r="P411" s="62"/>
      <c r="Q411" s="63">
        <f>IF((L412=""),"",MAX(D413:L413))</f>
        <v>2639.48</v>
      </c>
      <c r="R411" s="63">
        <f>IF(L412="","",MIN(D413:L413))</f>
        <v>2486.64</v>
      </c>
      <c r="S411" s="63">
        <f>IF((L413=""),"",AVERAGE(D413:L413))</f>
        <v>2551.96</v>
      </c>
      <c r="T411" s="63">
        <f>IF((L412=""),"",((Q411-R411)/(Q411+R411))*100)</f>
        <v>2.9815923154354591</v>
      </c>
      <c r="U411" s="51">
        <f>STDEV(D411:L411)</f>
        <v>10.20899494454658</v>
      </c>
      <c r="V411" s="64" t="str">
        <f>IF(L412="","",(IF(T411&lt;12,IF(S411&gt;2200,IF(S411&lt;3280,"Pass","Fail"),"Fail"),"Fail")))</f>
        <v>Pass</v>
      </c>
      <c r="W411" s="63">
        <v>1159</v>
      </c>
      <c r="X411" s="26" t="s">
        <v>186</v>
      </c>
      <c r="Z411" s="37">
        <v>2000</v>
      </c>
      <c r="AA411" s="37">
        <v>3000</v>
      </c>
      <c r="AB411" s="37">
        <v>2200</v>
      </c>
      <c r="AC411" s="37">
        <v>3280</v>
      </c>
      <c r="AD411" s="39">
        <v>12</v>
      </c>
    </row>
    <row r="412" spans="1:30" ht="16.5" customHeight="1" x14ac:dyDescent="0.35">
      <c r="A412" s="206"/>
      <c r="B412" s="48"/>
      <c r="C412" s="51" t="s">
        <v>157</v>
      </c>
      <c r="D412" s="8">
        <v>668.83</v>
      </c>
      <c r="E412" s="8">
        <v>664.17</v>
      </c>
      <c r="F412" s="8">
        <v>689.36</v>
      </c>
      <c r="G412" s="8">
        <v>661.44</v>
      </c>
      <c r="H412" s="8">
        <v>655.29</v>
      </c>
      <c r="I412" s="8">
        <v>692.27</v>
      </c>
      <c r="J412" s="8">
        <v>679.83</v>
      </c>
      <c r="K412" s="8">
        <v>642.46</v>
      </c>
      <c r="L412" s="8">
        <v>625.36</v>
      </c>
      <c r="M412" s="50"/>
      <c r="N412" s="50"/>
      <c r="O412" s="50"/>
      <c r="P412" s="50"/>
      <c r="Q412" s="48"/>
      <c r="R412" s="48"/>
      <c r="S412" s="48"/>
      <c r="T412" s="48"/>
      <c r="U412" s="48"/>
      <c r="V412" s="47"/>
      <c r="W412" s="48"/>
      <c r="X412" s="8"/>
    </row>
    <row r="413" spans="1:30" ht="24.8" customHeight="1" thickBot="1" x14ac:dyDescent="0.4">
      <c r="A413" s="206"/>
      <c r="B413" s="61"/>
      <c r="C413" s="51" t="s">
        <v>156</v>
      </c>
      <c r="D413" s="24">
        <f t="shared" ref="D413:L413" si="132">IF(((D411="")*AND(D412="")),"",(D411-D412)*4)</f>
        <v>2549.6799999999998</v>
      </c>
      <c r="E413" s="24">
        <f t="shared" si="132"/>
        <v>2542.56</v>
      </c>
      <c r="F413" s="24">
        <f t="shared" si="132"/>
        <v>2486.64</v>
      </c>
      <c r="G413" s="24">
        <f t="shared" si="132"/>
        <v>2554.3199999999997</v>
      </c>
      <c r="H413" s="24">
        <f t="shared" si="132"/>
        <v>2581.8000000000002</v>
      </c>
      <c r="I413" s="24">
        <f t="shared" si="132"/>
        <v>2507.08</v>
      </c>
      <c r="J413" s="24">
        <f t="shared" si="132"/>
        <v>2511.7599999999998</v>
      </c>
      <c r="K413" s="24">
        <f t="shared" si="132"/>
        <v>2594.3199999999997</v>
      </c>
      <c r="L413" s="24">
        <f t="shared" si="132"/>
        <v>2639.48</v>
      </c>
      <c r="M413" s="24"/>
      <c r="N413" s="24"/>
      <c r="O413" s="24"/>
      <c r="P413" s="24" t="str">
        <f>IF(((P411="")*AND(P412="")),"",(P411-P412)*4)</f>
        <v/>
      </c>
      <c r="Q413" s="61"/>
      <c r="R413" s="61"/>
      <c r="S413" s="61"/>
      <c r="T413" s="61"/>
      <c r="U413" s="61"/>
      <c r="V413" s="60"/>
      <c r="W413" s="61"/>
      <c r="X413" s="8"/>
    </row>
    <row r="414" spans="1:30" x14ac:dyDescent="0.25">
      <c r="A414" s="209">
        <v>43007</v>
      </c>
      <c r="B414" s="57" t="s">
        <v>159</v>
      </c>
      <c r="C414" s="51" t="s">
        <v>158</v>
      </c>
      <c r="D414" s="8">
        <v>7033.78</v>
      </c>
      <c r="E414" s="8">
        <v>7025.33</v>
      </c>
      <c r="F414" s="8">
        <v>7063.75</v>
      </c>
      <c r="G414" s="8">
        <v>7041.76</v>
      </c>
      <c r="H414" s="8">
        <v>7123.96</v>
      </c>
      <c r="I414" s="8">
        <v>7061.17</v>
      </c>
      <c r="J414" s="8">
        <v>7068.84</v>
      </c>
      <c r="K414" s="8">
        <v>7055.38</v>
      </c>
      <c r="L414" s="8">
        <v>7079.9</v>
      </c>
      <c r="M414" s="50"/>
      <c r="N414" s="50"/>
      <c r="O414" s="50"/>
      <c r="P414" s="50"/>
      <c r="Q414" s="57">
        <f>IF((L415=""),"",MAX(D416:L416))</f>
        <v>3451.0599999999995</v>
      </c>
      <c r="R414" s="57">
        <f>IF(L415="","",MIN(D416:L416))</f>
        <v>3325.42</v>
      </c>
      <c r="S414" s="58">
        <f>IF((L416=""),"",AVERAGE(D416:L416))</f>
        <v>3414.6311111111113</v>
      </c>
      <c r="T414" s="57">
        <f>IF((L415=""),"",((Q414-R414)/(Q414+R414))*100)</f>
        <v>1.8540599249167626</v>
      </c>
      <c r="U414" s="56">
        <f>STDEV(D414:L414)</f>
        <v>29.160402708315114</v>
      </c>
      <c r="V414" s="55" t="str">
        <f>IF(L415="","",(IF(T414&lt;7,IF(S414&gt;2800,IF(S414&lt;3800,"Pass","Fail"),"Fail"),"Fail")))</f>
        <v>Pass</v>
      </c>
      <c r="W414" s="57">
        <v>1159</v>
      </c>
      <c r="X414" s="26" t="s">
        <v>186</v>
      </c>
      <c r="Z414" s="53">
        <v>2800</v>
      </c>
      <c r="AA414" s="53">
        <v>3800</v>
      </c>
      <c r="AB414" s="53">
        <v>3100</v>
      </c>
      <c r="AC414" s="53">
        <v>3760</v>
      </c>
      <c r="AD414" s="52">
        <v>6</v>
      </c>
    </row>
    <row r="415" spans="1:30" ht="16.5" customHeight="1" x14ac:dyDescent="0.35">
      <c r="A415" s="206"/>
      <c r="B415" s="48"/>
      <c r="C415" s="51" t="s">
        <v>157</v>
      </c>
      <c r="D415" s="8">
        <v>5308.78</v>
      </c>
      <c r="E415" s="8">
        <v>5308.65</v>
      </c>
      <c r="F415" s="8">
        <v>5352.74</v>
      </c>
      <c r="G415" s="8">
        <v>5329.9</v>
      </c>
      <c r="H415" s="8">
        <v>5461.25</v>
      </c>
      <c r="I415" s="8">
        <v>5376.07</v>
      </c>
      <c r="J415" s="8">
        <v>5355.89</v>
      </c>
      <c r="K415" s="8">
        <v>5340.38</v>
      </c>
      <c r="L415" s="8">
        <v>5354.37</v>
      </c>
      <c r="M415" s="50"/>
      <c r="N415" s="50"/>
      <c r="O415" s="50"/>
      <c r="P415" s="50"/>
      <c r="Q415" s="48"/>
      <c r="R415" s="48"/>
      <c r="S415" s="49"/>
      <c r="T415" s="48"/>
      <c r="U415" s="48"/>
      <c r="V415" s="47"/>
      <c r="W415" s="48"/>
      <c r="X415" s="8"/>
    </row>
    <row r="416" spans="1:30" ht="24.8" customHeight="1" thickBot="1" x14ac:dyDescent="0.4">
      <c r="A416" s="206"/>
      <c r="B416" s="42"/>
      <c r="C416" s="45" t="s">
        <v>156</v>
      </c>
      <c r="D416" s="44">
        <f t="shared" ref="D416:L416" si="133">IF(((D414="")*AND(D415="")),"",(D414-D415)*2)</f>
        <v>3450</v>
      </c>
      <c r="E416" s="44">
        <f t="shared" si="133"/>
        <v>3433.3600000000006</v>
      </c>
      <c r="F416" s="44">
        <f t="shared" si="133"/>
        <v>3422.0200000000004</v>
      </c>
      <c r="G416" s="44">
        <f t="shared" si="133"/>
        <v>3423.7200000000012</v>
      </c>
      <c r="H416" s="44">
        <f t="shared" si="133"/>
        <v>3325.42</v>
      </c>
      <c r="I416" s="44">
        <f t="shared" si="133"/>
        <v>3370.2000000000007</v>
      </c>
      <c r="J416" s="44">
        <f t="shared" si="133"/>
        <v>3425.8999999999996</v>
      </c>
      <c r="K416" s="44">
        <f t="shared" si="133"/>
        <v>3430</v>
      </c>
      <c r="L416" s="44">
        <f t="shared" si="133"/>
        <v>3451.0599999999995</v>
      </c>
      <c r="M416" s="44"/>
      <c r="N416" s="44"/>
      <c r="O416" s="44"/>
      <c r="P416" s="44"/>
      <c r="Q416" s="42"/>
      <c r="R416" s="42"/>
      <c r="S416" s="43"/>
      <c r="T416" s="42"/>
      <c r="U416" s="42"/>
      <c r="V416" s="41"/>
      <c r="W416" s="42"/>
      <c r="X416" s="8"/>
    </row>
    <row r="417" spans="1:30" x14ac:dyDescent="0.25">
      <c r="A417" s="208">
        <v>43011</v>
      </c>
      <c r="B417" s="63" t="s">
        <v>160</v>
      </c>
      <c r="C417" s="56" t="s">
        <v>158</v>
      </c>
      <c r="D417" s="8">
        <v>1934.58</v>
      </c>
      <c r="E417" s="8">
        <v>1932.28</v>
      </c>
      <c r="F417" s="8">
        <v>1928.99</v>
      </c>
      <c r="G417" s="8">
        <v>1936.42</v>
      </c>
      <c r="H417" s="8">
        <v>1941.05</v>
      </c>
      <c r="I417" s="8">
        <v>1942.55</v>
      </c>
      <c r="J417" s="8">
        <v>1935.12</v>
      </c>
      <c r="K417" s="8">
        <v>1934.07</v>
      </c>
      <c r="L417" s="8">
        <v>1939.22</v>
      </c>
      <c r="M417" s="62"/>
      <c r="N417" s="62"/>
      <c r="O417" s="62"/>
      <c r="P417" s="62"/>
      <c r="Q417" s="63">
        <f>IF((L418=""),"",MAX(D419:L419))</f>
        <v>2712.5200000000004</v>
      </c>
      <c r="R417" s="63">
        <f>IF(L418="","",MIN(D419:L419))</f>
        <v>2537.5600000000004</v>
      </c>
      <c r="S417" s="63">
        <f>IF((L419=""),"",AVERAGE(D419:L419))</f>
        <v>2613.6355555555551</v>
      </c>
      <c r="T417" s="63">
        <f>IF((L418=""),"",((Q417-R417)/(Q417+R417))*100)</f>
        <v>3.3325206473044227</v>
      </c>
      <c r="U417" s="51">
        <f>STDEV(D417:L417)</f>
        <v>4.3074831527367694</v>
      </c>
      <c r="V417" s="64" t="str">
        <f>IF(L418="","",(IF(T417&lt;12,IF(S417&gt;2200,IF(S417&lt;3280,"Pass","Fail"),"Fail"),"Fail")))</f>
        <v>Pass</v>
      </c>
      <c r="W417" s="63">
        <v>1428</v>
      </c>
      <c r="Z417" s="37">
        <v>2000</v>
      </c>
      <c r="AA417" s="37">
        <v>3000</v>
      </c>
      <c r="AB417" s="37">
        <v>2200</v>
      </c>
      <c r="AC417" s="37">
        <v>3280</v>
      </c>
      <c r="AD417" s="39">
        <v>12</v>
      </c>
    </row>
    <row r="418" spans="1:30" ht="16.5" customHeight="1" x14ac:dyDescent="0.35">
      <c r="A418" s="206"/>
      <c r="B418" s="48"/>
      <c r="C418" s="51" t="s">
        <v>157</v>
      </c>
      <c r="D418" s="8">
        <v>1288.81</v>
      </c>
      <c r="E418" s="8">
        <v>1286.97</v>
      </c>
      <c r="F418" s="8">
        <v>1294.5999999999999</v>
      </c>
      <c r="G418" s="8">
        <v>1280.1300000000001</v>
      </c>
      <c r="H418" s="8">
        <v>1272</v>
      </c>
      <c r="I418" s="8">
        <v>1295.1500000000001</v>
      </c>
      <c r="J418" s="8">
        <v>1292.52</v>
      </c>
      <c r="K418" s="8">
        <v>1272.33</v>
      </c>
      <c r="L418" s="8">
        <v>1261.0899999999999</v>
      </c>
      <c r="M418" s="50"/>
      <c r="N418" s="50"/>
      <c r="O418" s="50"/>
      <c r="P418" s="50"/>
      <c r="Q418" s="48"/>
      <c r="R418" s="48"/>
      <c r="S418" s="48"/>
      <c r="T418" s="48"/>
      <c r="U418" s="48"/>
      <c r="V418" s="47"/>
      <c r="W418" s="48"/>
      <c r="X418" s="8"/>
    </row>
    <row r="419" spans="1:30" ht="24.8" customHeight="1" thickBot="1" x14ac:dyDescent="0.4">
      <c r="A419" s="206"/>
      <c r="B419" s="61"/>
      <c r="C419" s="51" t="s">
        <v>156</v>
      </c>
      <c r="D419" s="24">
        <f t="shared" ref="D419:L419" si="134">IF(((D417="")*AND(D418="")),"",(D417-D418)*4)</f>
        <v>2583.08</v>
      </c>
      <c r="E419" s="24">
        <f t="shared" si="134"/>
        <v>2581.2399999999998</v>
      </c>
      <c r="F419" s="24">
        <f t="shared" si="134"/>
        <v>2537.5600000000004</v>
      </c>
      <c r="G419" s="24">
        <f t="shared" si="134"/>
        <v>2625.16</v>
      </c>
      <c r="H419" s="24">
        <f t="shared" si="134"/>
        <v>2676.2</v>
      </c>
      <c r="I419" s="24">
        <f t="shared" si="134"/>
        <v>2589.5999999999995</v>
      </c>
      <c r="J419" s="24">
        <f t="shared" si="134"/>
        <v>2570.3999999999996</v>
      </c>
      <c r="K419" s="24">
        <f t="shared" si="134"/>
        <v>2646.96</v>
      </c>
      <c r="L419" s="24">
        <f t="shared" si="134"/>
        <v>2712.5200000000004</v>
      </c>
      <c r="M419" s="24"/>
      <c r="N419" s="24"/>
      <c r="O419" s="24"/>
      <c r="P419" s="24" t="str">
        <f>IF(((P417="")*AND(P418="")),"",(P417-P418)*4)</f>
        <v/>
      </c>
      <c r="Q419" s="61"/>
      <c r="R419" s="61"/>
      <c r="S419" s="61"/>
      <c r="T419" s="61"/>
      <c r="U419" s="61"/>
      <c r="V419" s="60"/>
      <c r="W419" s="61"/>
      <c r="X419" s="8"/>
    </row>
    <row r="420" spans="1:30" x14ac:dyDescent="0.25">
      <c r="A420" s="209">
        <v>43011</v>
      </c>
      <c r="B420" s="57" t="s">
        <v>159</v>
      </c>
      <c r="C420" s="51" t="s">
        <v>158</v>
      </c>
      <c r="D420" s="8">
        <v>4694.99</v>
      </c>
      <c r="E420" s="8">
        <v>4864.7299999999996</v>
      </c>
      <c r="F420" s="8">
        <v>4915.1099999999997</v>
      </c>
      <c r="G420" s="8">
        <v>4831.68</v>
      </c>
      <c r="H420" s="8">
        <v>4734.84</v>
      </c>
      <c r="I420" s="8">
        <v>4791.6899999999996</v>
      </c>
      <c r="J420" s="8">
        <v>4854.66</v>
      </c>
      <c r="K420" s="8">
        <v>4896.21</v>
      </c>
      <c r="L420" s="8">
        <v>4839.33</v>
      </c>
      <c r="M420" s="50"/>
      <c r="N420" s="50"/>
      <c r="O420" s="50"/>
      <c r="P420" s="50"/>
      <c r="Q420" s="57">
        <f>IF((L421=""),"",MAX(D422:L422))</f>
        <v>3496.3199999999988</v>
      </c>
      <c r="R420" s="57">
        <f>IF(L421="","",MIN(D422:L422))</f>
        <v>3434.6400000000003</v>
      </c>
      <c r="S420" s="58">
        <f>IF((L422=""),"",AVERAGE(D422:L422))</f>
        <v>3449.971111111111</v>
      </c>
      <c r="T420" s="57">
        <f>IF((L421=""),"",((Q420-R420)/(Q420+R420))*100)</f>
        <v>0.88992001108069407</v>
      </c>
      <c r="U420" s="56">
        <f>STDEV(D420:L420)</f>
        <v>72.49092496842465</v>
      </c>
      <c r="V420" s="55" t="str">
        <f>IF(L421="","",(IF(T420&lt;7,IF(S420&gt;2800,IF(S420&lt;3800,"Pass","Fail"),"Fail"),"Fail")))</f>
        <v>Pass</v>
      </c>
      <c r="W420" s="57">
        <v>1428</v>
      </c>
      <c r="Z420" s="53">
        <v>2800</v>
      </c>
      <c r="AA420" s="53">
        <v>3800</v>
      </c>
      <c r="AB420" s="53">
        <v>3100</v>
      </c>
      <c r="AC420" s="53">
        <v>3760</v>
      </c>
      <c r="AD420" s="52">
        <v>6</v>
      </c>
    </row>
    <row r="421" spans="1:30" ht="16.5" customHeight="1" x14ac:dyDescent="0.35">
      <c r="A421" s="206"/>
      <c r="B421" s="48"/>
      <c r="C421" s="51" t="s">
        <v>157</v>
      </c>
      <c r="D421" s="8">
        <v>2964.62</v>
      </c>
      <c r="E421" s="8">
        <v>3140.94</v>
      </c>
      <c r="F421" s="8">
        <v>3197.57</v>
      </c>
      <c r="G421" s="8">
        <v>3114.36</v>
      </c>
      <c r="H421" s="8">
        <v>3016.89</v>
      </c>
      <c r="I421" s="8">
        <v>3043.53</v>
      </c>
      <c r="J421" s="8">
        <v>3136.02</v>
      </c>
      <c r="K421" s="8">
        <v>3174.43</v>
      </c>
      <c r="L421" s="8">
        <v>3110.01</v>
      </c>
      <c r="M421" s="50"/>
      <c r="N421" s="50"/>
      <c r="O421" s="50"/>
      <c r="P421" s="50"/>
      <c r="Q421" s="48"/>
      <c r="R421" s="48"/>
      <c r="S421" s="49"/>
      <c r="T421" s="48"/>
      <c r="U421" s="48"/>
      <c r="V421" s="47"/>
      <c r="W421" s="48"/>
      <c r="X421" s="8"/>
    </row>
    <row r="422" spans="1:30" ht="24.8" customHeight="1" thickBot="1" x14ac:dyDescent="0.4">
      <c r="A422" s="206"/>
      <c r="B422" s="42"/>
      <c r="C422" s="45" t="s">
        <v>156</v>
      </c>
      <c r="D422" s="44">
        <f t="shared" ref="D422:L422" si="135">IF(((D420="")*AND(D421="")),"",(D420-D421)*2)</f>
        <v>3460.74</v>
      </c>
      <c r="E422" s="44">
        <f t="shared" si="135"/>
        <v>3447.579999999999</v>
      </c>
      <c r="F422" s="44">
        <f t="shared" si="135"/>
        <v>3435.079999999999</v>
      </c>
      <c r="G422" s="44">
        <f t="shared" si="135"/>
        <v>3434.6400000000003</v>
      </c>
      <c r="H422" s="44">
        <f t="shared" si="135"/>
        <v>3435.9000000000005</v>
      </c>
      <c r="I422" s="44">
        <f t="shared" si="135"/>
        <v>3496.3199999999988</v>
      </c>
      <c r="J422" s="44">
        <f t="shared" si="135"/>
        <v>3437.2799999999997</v>
      </c>
      <c r="K422" s="44">
        <f t="shared" si="135"/>
        <v>3443.5600000000004</v>
      </c>
      <c r="L422" s="44">
        <f t="shared" si="135"/>
        <v>3458.6399999999994</v>
      </c>
      <c r="M422" s="44"/>
      <c r="N422" s="44"/>
      <c r="O422" s="44"/>
      <c r="P422" s="44"/>
      <c r="Q422" s="42"/>
      <c r="R422" s="42"/>
      <c r="S422" s="43"/>
      <c r="T422" s="42"/>
      <c r="U422" s="42"/>
      <c r="V422" s="41"/>
      <c r="W422" s="42"/>
      <c r="X422" s="8"/>
    </row>
    <row r="423" spans="1:30" x14ac:dyDescent="0.25">
      <c r="A423" s="208">
        <v>43018</v>
      </c>
      <c r="B423" s="63" t="s">
        <v>160</v>
      </c>
      <c r="C423" s="56" t="s">
        <v>158</v>
      </c>
      <c r="D423" s="8">
        <v>1292.03</v>
      </c>
      <c r="E423" s="8">
        <v>1287.54</v>
      </c>
      <c r="F423" s="8">
        <v>1301.71</v>
      </c>
      <c r="G423" s="8">
        <v>1281.6300000000001</v>
      </c>
      <c r="H423" s="8">
        <v>1275.06</v>
      </c>
      <c r="I423" s="8">
        <v>1297.07</v>
      </c>
      <c r="J423" s="8">
        <v>1295.92</v>
      </c>
      <c r="K423" s="8">
        <v>1274.9000000000001</v>
      </c>
      <c r="L423" s="8">
        <v>1262.69</v>
      </c>
      <c r="M423" s="62"/>
      <c r="N423" s="62"/>
      <c r="O423" s="62"/>
      <c r="P423" s="62"/>
      <c r="Q423" s="63">
        <f>IF((L424=""),"",MAX(D425:L425))</f>
        <v>2629.1200000000003</v>
      </c>
      <c r="R423" s="63">
        <f>IF(L424="","",MIN(D425:L425))</f>
        <v>2482.1999999999998</v>
      </c>
      <c r="S423" s="63">
        <f>IF((L425=""),"",AVERAGE(D425:L425))</f>
        <v>2545.0844444444447</v>
      </c>
      <c r="T423" s="63">
        <f>IF((L424=""),"",((Q423-R423)/(Q423+R423))*100)</f>
        <v>2.8744042634779379</v>
      </c>
      <c r="U423" s="51">
        <f>STDEV(D423:L423)</f>
        <v>12.789322803720976</v>
      </c>
      <c r="V423" s="64" t="str">
        <f>IF(L424="","",(IF(T423&lt;12,IF(S423&gt;2200,IF(S423&lt;3280,"Pass","Fail"),"Fail"),"Fail")))</f>
        <v>Pass</v>
      </c>
      <c r="W423" s="63">
        <v>1428</v>
      </c>
      <c r="X423" s="26" t="s">
        <v>185</v>
      </c>
      <c r="Z423" s="37">
        <v>2000</v>
      </c>
      <c r="AA423" s="37">
        <v>3000</v>
      </c>
      <c r="AB423" s="37">
        <v>2200</v>
      </c>
      <c r="AC423" s="37">
        <v>3280</v>
      </c>
      <c r="AD423" s="39">
        <v>12</v>
      </c>
    </row>
    <row r="424" spans="1:30" ht="16.5" customHeight="1" x14ac:dyDescent="0.35">
      <c r="A424" s="206"/>
      <c r="B424" s="48"/>
      <c r="C424" s="51" t="s">
        <v>157</v>
      </c>
      <c r="D424" s="8">
        <v>657.28</v>
      </c>
      <c r="E424" s="8">
        <v>652.38</v>
      </c>
      <c r="F424" s="8">
        <v>673.76</v>
      </c>
      <c r="G424" s="8">
        <v>646.38</v>
      </c>
      <c r="H424" s="8">
        <v>634.26</v>
      </c>
      <c r="I424" s="8">
        <v>676.52</v>
      </c>
      <c r="J424" s="8">
        <v>667.53</v>
      </c>
      <c r="K424" s="8">
        <v>628.59</v>
      </c>
      <c r="L424" s="8">
        <v>605.41</v>
      </c>
      <c r="M424" s="50"/>
      <c r="N424" s="50"/>
      <c r="O424" s="50"/>
      <c r="P424" s="50"/>
      <c r="Q424" s="48"/>
      <c r="R424" s="48"/>
      <c r="S424" s="48"/>
      <c r="T424" s="48"/>
      <c r="U424" s="48"/>
      <c r="V424" s="47"/>
      <c r="W424" s="48"/>
      <c r="X424" s="8"/>
      <c r="Y424" s="8"/>
    </row>
    <row r="425" spans="1:30" ht="24.8" customHeight="1" thickBot="1" x14ac:dyDescent="0.4">
      <c r="A425" s="206"/>
      <c r="B425" s="61"/>
      <c r="C425" s="51" t="s">
        <v>156</v>
      </c>
      <c r="D425" s="24">
        <f t="shared" ref="D425:L425" si="136">IF(((D423="")*AND(D424="")),"",(D423-D424)*4)</f>
        <v>2539</v>
      </c>
      <c r="E425" s="24">
        <f t="shared" si="136"/>
        <v>2540.64</v>
      </c>
      <c r="F425" s="24">
        <f t="shared" si="136"/>
        <v>2511.8000000000002</v>
      </c>
      <c r="G425" s="24">
        <f t="shared" si="136"/>
        <v>2541.0000000000005</v>
      </c>
      <c r="H425" s="24">
        <f t="shared" si="136"/>
        <v>2563.1999999999998</v>
      </c>
      <c r="I425" s="24">
        <f t="shared" si="136"/>
        <v>2482.1999999999998</v>
      </c>
      <c r="J425" s="24">
        <f t="shared" si="136"/>
        <v>2513.5600000000004</v>
      </c>
      <c r="K425" s="24">
        <f t="shared" si="136"/>
        <v>2585.2400000000002</v>
      </c>
      <c r="L425" s="24">
        <f t="shared" si="136"/>
        <v>2629.1200000000003</v>
      </c>
      <c r="M425" s="24"/>
      <c r="N425" s="24"/>
      <c r="O425" s="24"/>
      <c r="P425" s="24" t="str">
        <f>IF(((P423="")*AND(P424="")),"",(P423-P424)*4)</f>
        <v/>
      </c>
      <c r="Q425" s="61"/>
      <c r="R425" s="61"/>
      <c r="S425" s="61"/>
      <c r="T425" s="61"/>
      <c r="U425" s="61"/>
      <c r="V425" s="60"/>
      <c r="W425" s="61"/>
      <c r="X425" s="8"/>
      <c r="Y425" s="8"/>
    </row>
    <row r="426" spans="1:30" x14ac:dyDescent="0.25">
      <c r="A426" s="209">
        <v>43018</v>
      </c>
      <c r="B426" s="57" t="s">
        <v>159</v>
      </c>
      <c r="C426" s="51" t="s">
        <v>158</v>
      </c>
      <c r="D426" s="8">
        <v>2971.72</v>
      </c>
      <c r="E426" s="8">
        <v>3148.77</v>
      </c>
      <c r="F426" s="8">
        <v>3205.74</v>
      </c>
      <c r="G426" s="8">
        <v>3122.04</v>
      </c>
      <c r="H426" s="8">
        <v>3025.28</v>
      </c>
      <c r="I426" s="8">
        <v>3052.61</v>
      </c>
      <c r="J426" s="8">
        <v>3143.79</v>
      </c>
      <c r="K426" s="8">
        <v>3182.42</v>
      </c>
      <c r="L426" s="8">
        <v>3117.61</v>
      </c>
      <c r="M426" s="50"/>
      <c r="N426" s="50"/>
      <c r="O426" s="50"/>
      <c r="P426" s="50"/>
      <c r="Q426" s="57">
        <f>IF((L427=""),"",MAX(D428:L428))</f>
        <v>3563.2400000000002</v>
      </c>
      <c r="R426" s="57">
        <f>IF(L427="","",MIN(D428:L428))</f>
        <v>3472.4799999999996</v>
      </c>
      <c r="S426" s="58">
        <f>IF((L428=""),"",AVERAGE(D428:L428))</f>
        <v>3518.8288888888892</v>
      </c>
      <c r="T426" s="57">
        <f>IF((L427=""),"",((Q426-R426)/(Q426+R426))*100)</f>
        <v>1.289988800009106</v>
      </c>
      <c r="U426" s="56">
        <f>STDEV(D426:L426)</f>
        <v>76.490579666896082</v>
      </c>
      <c r="V426" s="55" t="str">
        <f>IF(L427="","",(IF(T426&lt;7,IF(S426&gt;2800,IF(S426&lt;3800,"Pass","Fail"),"Fail"),"Fail")))</f>
        <v>Pass</v>
      </c>
      <c r="W426" s="57">
        <v>1428</v>
      </c>
      <c r="X426" s="26" t="s">
        <v>185</v>
      </c>
      <c r="Y426" s="8"/>
      <c r="Z426" s="53">
        <v>2800</v>
      </c>
      <c r="AA426" s="53">
        <v>3800</v>
      </c>
      <c r="AB426" s="53">
        <v>3100</v>
      </c>
      <c r="AC426" s="53">
        <v>3760</v>
      </c>
      <c r="AD426" s="52">
        <v>6</v>
      </c>
    </row>
    <row r="427" spans="1:30" ht="16.5" customHeight="1" x14ac:dyDescent="0.35">
      <c r="A427" s="206"/>
      <c r="B427" s="48"/>
      <c r="C427" s="51" t="s">
        <v>157</v>
      </c>
      <c r="D427" s="8">
        <v>1235.48</v>
      </c>
      <c r="E427" s="8">
        <v>1388.32</v>
      </c>
      <c r="F427" s="8">
        <v>1447.11</v>
      </c>
      <c r="G427" s="8">
        <v>1364.1</v>
      </c>
      <c r="H427" s="8">
        <v>1269.56</v>
      </c>
      <c r="I427" s="8">
        <v>1270.99</v>
      </c>
      <c r="J427" s="8">
        <v>1385.29</v>
      </c>
      <c r="K427" s="8">
        <v>1421.08</v>
      </c>
      <c r="L427" s="8">
        <v>1353.32</v>
      </c>
      <c r="M427" s="50"/>
      <c r="N427" s="50"/>
      <c r="O427" s="50"/>
      <c r="P427" s="50"/>
      <c r="Q427" s="48"/>
      <c r="R427" s="48"/>
      <c r="S427" s="49"/>
      <c r="T427" s="48"/>
      <c r="U427" s="48"/>
      <c r="V427" s="47"/>
      <c r="W427" s="48"/>
      <c r="X427" s="8"/>
      <c r="Y427" s="8"/>
    </row>
    <row r="428" spans="1:30" ht="24.8" customHeight="1" thickBot="1" x14ac:dyDescent="0.4">
      <c r="A428" s="206"/>
      <c r="B428" s="42"/>
      <c r="C428" s="45" t="s">
        <v>156</v>
      </c>
      <c r="D428" s="44">
        <f t="shared" ref="D428:L428" si="137">IF(((D426="")*AND(D427="")),"",(D426-D427)*2)</f>
        <v>3472.4799999999996</v>
      </c>
      <c r="E428" s="44">
        <f t="shared" si="137"/>
        <v>3520.9</v>
      </c>
      <c r="F428" s="44">
        <f t="shared" si="137"/>
        <v>3517.2599999999998</v>
      </c>
      <c r="G428" s="44">
        <f t="shared" si="137"/>
        <v>3515.88</v>
      </c>
      <c r="H428" s="44">
        <f t="shared" si="137"/>
        <v>3511.4400000000005</v>
      </c>
      <c r="I428" s="44">
        <f t="shared" si="137"/>
        <v>3563.2400000000002</v>
      </c>
      <c r="J428" s="44">
        <f t="shared" si="137"/>
        <v>3517</v>
      </c>
      <c r="K428" s="44">
        <f t="shared" si="137"/>
        <v>3522.6800000000003</v>
      </c>
      <c r="L428" s="44">
        <f t="shared" si="137"/>
        <v>3528.5800000000004</v>
      </c>
      <c r="M428" s="44"/>
      <c r="N428" s="44"/>
      <c r="O428" s="44"/>
      <c r="P428" s="44"/>
      <c r="Q428" s="42"/>
      <c r="R428" s="42"/>
      <c r="S428" s="43"/>
      <c r="T428" s="42"/>
      <c r="U428" s="42"/>
      <c r="V428" s="41"/>
      <c r="W428" s="42"/>
      <c r="X428" s="8"/>
      <c r="Y428" s="8"/>
    </row>
    <row r="429" spans="1:30" x14ac:dyDescent="0.25">
      <c r="A429" s="208">
        <v>43025</v>
      </c>
      <c r="B429" s="63" t="s">
        <v>160</v>
      </c>
      <c r="C429" s="56" t="s">
        <v>158</v>
      </c>
      <c r="D429" s="8">
        <v>1997.74</v>
      </c>
      <c r="E429" s="8">
        <v>1974.01</v>
      </c>
      <c r="F429" s="8">
        <v>1965.61</v>
      </c>
      <c r="G429" s="8">
        <v>1974.26</v>
      </c>
      <c r="H429" s="8">
        <v>1995.21</v>
      </c>
      <c r="I429" s="8">
        <v>2003.6</v>
      </c>
      <c r="J429" s="8">
        <v>1976.9</v>
      </c>
      <c r="K429" s="8">
        <v>1975.75</v>
      </c>
      <c r="L429" s="8">
        <v>1991.73</v>
      </c>
      <c r="M429" s="62"/>
      <c r="N429" s="62"/>
      <c r="O429" s="62"/>
      <c r="P429" s="62"/>
      <c r="Q429" s="63">
        <f>IF((L430=""),"",MAX(D431:L431))</f>
        <v>2793.3999999999996</v>
      </c>
      <c r="R429" s="63">
        <f>IF(L430="","",MIN(D431:L431))</f>
        <v>2603.96</v>
      </c>
      <c r="S429" s="63">
        <f>IF((L431=""),"",AVERAGE(D431:L431))</f>
        <v>2695.4044444444444</v>
      </c>
      <c r="T429" s="63">
        <f>IF((L430=""),"",((Q429-R429)/(Q429+R429))*100)</f>
        <v>3.5098640816991939</v>
      </c>
      <c r="U429" s="51">
        <f>STDEV(D429:L429)</f>
        <v>13.273750202728863</v>
      </c>
      <c r="V429" s="64" t="str">
        <f>IF(L430="","",(IF(T429&lt;12,IF(S429&gt;2200,IF(S429&lt;3280,"Pass","Fail"),"Fail"),"Fail")))</f>
        <v>Pass</v>
      </c>
      <c r="W429" s="63" t="s">
        <v>184</v>
      </c>
      <c r="Y429" s="8"/>
      <c r="Z429" s="37">
        <v>2000</v>
      </c>
      <c r="AA429" s="37">
        <v>3000</v>
      </c>
      <c r="AB429" s="37">
        <v>2200</v>
      </c>
      <c r="AC429" s="37">
        <v>3280</v>
      </c>
      <c r="AD429" s="39">
        <v>12</v>
      </c>
    </row>
    <row r="430" spans="1:30" ht="16.5" customHeight="1" x14ac:dyDescent="0.35">
      <c r="A430" s="206"/>
      <c r="B430" s="48"/>
      <c r="C430" s="51" t="s">
        <v>157</v>
      </c>
      <c r="D430" s="8">
        <v>1320.75</v>
      </c>
      <c r="E430" s="8">
        <v>1302.8</v>
      </c>
      <c r="F430" s="8">
        <v>1314.62</v>
      </c>
      <c r="G430" s="8">
        <v>1302.81</v>
      </c>
      <c r="H430" s="8">
        <v>1313.6</v>
      </c>
      <c r="I430" s="8">
        <v>1334.38</v>
      </c>
      <c r="J430" s="8">
        <v>1314.2</v>
      </c>
      <c r="K430" s="8">
        <v>1293.6099999999999</v>
      </c>
      <c r="L430" s="8">
        <v>1293.3800000000001</v>
      </c>
      <c r="M430" s="50"/>
      <c r="N430" s="50"/>
      <c r="O430" s="50"/>
      <c r="P430" s="50"/>
      <c r="Q430" s="48"/>
      <c r="R430" s="48"/>
      <c r="S430" s="48"/>
      <c r="T430" s="48"/>
      <c r="U430" s="48"/>
      <c r="V430" s="47"/>
      <c r="W430" s="48"/>
      <c r="X430" s="8"/>
      <c r="Y430" s="8"/>
      <c r="Z430" s="8"/>
      <c r="AA430" s="8"/>
      <c r="AB430" s="8"/>
      <c r="AC430" s="8"/>
      <c r="AD430" s="8"/>
    </row>
    <row r="431" spans="1:30" ht="24.8" customHeight="1" thickBot="1" x14ac:dyDescent="0.4">
      <c r="A431" s="206"/>
      <c r="B431" s="61"/>
      <c r="C431" s="51" t="s">
        <v>156</v>
      </c>
      <c r="D431" s="24">
        <f t="shared" ref="D431:L431" si="138">IF(((D429="")*AND(D430="")),"",(D429-D430)*4)</f>
        <v>2707.96</v>
      </c>
      <c r="E431" s="24">
        <f t="shared" si="138"/>
        <v>2684.84</v>
      </c>
      <c r="F431" s="24">
        <f t="shared" si="138"/>
        <v>2603.96</v>
      </c>
      <c r="G431" s="24">
        <f t="shared" si="138"/>
        <v>2685.8</v>
      </c>
      <c r="H431" s="24">
        <f t="shared" si="138"/>
        <v>2726.4400000000005</v>
      </c>
      <c r="I431" s="24">
        <f t="shared" si="138"/>
        <v>2676.8799999999992</v>
      </c>
      <c r="J431" s="24">
        <f t="shared" si="138"/>
        <v>2650.8</v>
      </c>
      <c r="K431" s="24">
        <f t="shared" si="138"/>
        <v>2728.5600000000004</v>
      </c>
      <c r="L431" s="24">
        <f t="shared" si="138"/>
        <v>2793.3999999999996</v>
      </c>
      <c r="M431" s="24"/>
      <c r="N431" s="24"/>
      <c r="O431" s="24"/>
      <c r="P431" s="24" t="str">
        <f>IF(((P429="")*AND(P430="")),"",(P429-P430)*4)</f>
        <v/>
      </c>
      <c r="Q431" s="61"/>
      <c r="R431" s="61"/>
      <c r="S431" s="61"/>
      <c r="T431" s="61"/>
      <c r="U431" s="61"/>
      <c r="V431" s="60"/>
      <c r="W431" s="42"/>
      <c r="X431" s="8"/>
      <c r="Y431" s="8"/>
      <c r="Z431" s="8"/>
      <c r="AA431" s="8"/>
      <c r="AB431" s="8"/>
      <c r="AC431" s="8"/>
      <c r="AD431" s="8"/>
    </row>
    <row r="432" spans="1:30" x14ac:dyDescent="0.25">
      <c r="A432" s="209">
        <v>43025</v>
      </c>
      <c r="B432" s="57" t="s">
        <v>159</v>
      </c>
      <c r="C432" s="51" t="s">
        <v>158</v>
      </c>
      <c r="D432" s="8">
        <v>6734.49</v>
      </c>
      <c r="E432" s="8">
        <v>6742.24</v>
      </c>
      <c r="F432" s="8">
        <v>6777.79</v>
      </c>
      <c r="G432" s="8">
        <v>6745.46</v>
      </c>
      <c r="H432" s="8">
        <v>6718.61</v>
      </c>
      <c r="I432" s="8">
        <v>6732.85</v>
      </c>
      <c r="J432" s="8">
        <v>6799.71</v>
      </c>
      <c r="K432" s="8">
        <v>6748.23</v>
      </c>
      <c r="L432" s="8">
        <v>6720.05</v>
      </c>
      <c r="M432" s="50"/>
      <c r="N432" s="50"/>
      <c r="O432" s="50"/>
      <c r="P432" s="50"/>
      <c r="Q432" s="57">
        <f>IF((L433=""),"",MAX(D434:L434))</f>
        <v>3523.84</v>
      </c>
      <c r="R432" s="57">
        <f>IF(L433="","",MIN(D434:L434))</f>
        <v>3454.6399999999994</v>
      </c>
      <c r="S432" s="58">
        <f>IF((L434=""),"",AVERAGE(D434:L434))</f>
        <v>3496.4577777777781</v>
      </c>
      <c r="T432" s="57">
        <f>IF((L433=""),"",((Q432-R432)/(Q432+R432))*100)</f>
        <v>0.99161995162271344</v>
      </c>
      <c r="U432" s="56">
        <f>STDEV(D432:L432)</f>
        <v>26.553039844808744</v>
      </c>
      <c r="V432" s="55" t="str">
        <f>IF(L433="","",(IF(T432&lt;7,IF(S432&gt;2800,IF(S432&lt;3800,"Pass","Fail"),"Fail"),"Fail")))</f>
        <v>Pass</v>
      </c>
      <c r="W432" s="63" t="s">
        <v>184</v>
      </c>
      <c r="Y432" s="8"/>
      <c r="Z432" s="53">
        <v>2800</v>
      </c>
      <c r="AA432" s="53">
        <v>3800</v>
      </c>
      <c r="AB432" s="53">
        <v>3100</v>
      </c>
      <c r="AC432" s="53">
        <v>3760</v>
      </c>
      <c r="AD432" s="52">
        <v>6</v>
      </c>
    </row>
    <row r="433" spans="1:30" ht="16.5" customHeight="1" x14ac:dyDescent="0.35">
      <c r="A433" s="206"/>
      <c r="B433" s="48"/>
      <c r="C433" s="51" t="s">
        <v>157</v>
      </c>
      <c r="D433" s="8">
        <v>4986.17</v>
      </c>
      <c r="E433" s="8">
        <v>4991.16</v>
      </c>
      <c r="F433" s="8">
        <v>5028.28</v>
      </c>
      <c r="G433" s="8">
        <v>5000.38</v>
      </c>
      <c r="H433" s="8">
        <v>4991.29</v>
      </c>
      <c r="I433" s="8">
        <v>4970.93</v>
      </c>
      <c r="J433" s="8">
        <v>5051.33</v>
      </c>
      <c r="K433" s="8">
        <v>4995.57</v>
      </c>
      <c r="L433" s="8">
        <v>4970.26</v>
      </c>
      <c r="M433" s="50"/>
      <c r="N433" s="50"/>
      <c r="O433" s="50"/>
      <c r="P433" s="50"/>
      <c r="Q433" s="48"/>
      <c r="R433" s="48"/>
      <c r="S433" s="49"/>
      <c r="T433" s="48"/>
      <c r="U433" s="48"/>
      <c r="V433" s="47"/>
      <c r="W433" s="48"/>
      <c r="X433" s="8"/>
      <c r="Y433" s="8"/>
      <c r="Z433" s="8"/>
      <c r="AA433" s="8"/>
      <c r="AB433" s="8"/>
      <c r="AC433" s="8"/>
      <c r="AD433" s="8"/>
    </row>
    <row r="434" spans="1:30" ht="24.8" customHeight="1" thickBot="1" x14ac:dyDescent="0.4">
      <c r="A434" s="206"/>
      <c r="B434" s="42"/>
      <c r="C434" s="45" t="s">
        <v>156</v>
      </c>
      <c r="D434" s="44">
        <f t="shared" ref="D434:L434" si="139">IF(((D432="")*AND(D433="")),"",(D432-D433)*2)</f>
        <v>3496.6399999999994</v>
      </c>
      <c r="E434" s="44">
        <f t="shared" si="139"/>
        <v>3502.16</v>
      </c>
      <c r="F434" s="44">
        <f t="shared" si="139"/>
        <v>3499.0200000000004</v>
      </c>
      <c r="G434" s="44">
        <f t="shared" si="139"/>
        <v>3490.16</v>
      </c>
      <c r="H434" s="44">
        <f t="shared" si="139"/>
        <v>3454.6399999999994</v>
      </c>
      <c r="I434" s="44">
        <f t="shared" si="139"/>
        <v>3523.84</v>
      </c>
      <c r="J434" s="44">
        <f t="shared" si="139"/>
        <v>3496.76</v>
      </c>
      <c r="K434" s="44">
        <f t="shared" si="139"/>
        <v>3505.3199999999997</v>
      </c>
      <c r="L434" s="44">
        <f t="shared" si="139"/>
        <v>3499.58</v>
      </c>
      <c r="M434" s="44"/>
      <c r="N434" s="44"/>
      <c r="O434" s="44"/>
      <c r="P434" s="44"/>
      <c r="Q434" s="42"/>
      <c r="R434" s="42"/>
      <c r="S434" s="43"/>
      <c r="T434" s="42"/>
      <c r="U434" s="42"/>
      <c r="V434" s="41"/>
      <c r="W434" s="42"/>
      <c r="X434" s="8"/>
      <c r="Y434" s="8"/>
      <c r="Z434" s="8"/>
      <c r="AA434" s="8"/>
      <c r="AB434" s="8"/>
      <c r="AC434" s="8"/>
      <c r="AD434" s="8"/>
    </row>
    <row r="435" spans="1:30" x14ac:dyDescent="0.25">
      <c r="A435" s="208">
        <v>43031</v>
      </c>
      <c r="B435" s="63" t="s">
        <v>160</v>
      </c>
      <c r="C435" s="56" t="s">
        <v>158</v>
      </c>
      <c r="D435" s="8">
        <v>1939.6</v>
      </c>
      <c r="E435" s="8">
        <v>1937.39</v>
      </c>
      <c r="F435" s="8">
        <v>1931.03</v>
      </c>
      <c r="G435" s="8">
        <v>1937.53</v>
      </c>
      <c r="H435" s="8">
        <v>1943.39</v>
      </c>
      <c r="I435" s="8">
        <v>1945.91</v>
      </c>
      <c r="J435" s="8">
        <v>1936.98</v>
      </c>
      <c r="K435" s="8">
        <v>1937.1</v>
      </c>
      <c r="L435" s="8">
        <v>1943.32</v>
      </c>
      <c r="M435" s="62"/>
      <c r="N435" s="62"/>
      <c r="O435" s="62"/>
      <c r="P435" s="62"/>
      <c r="Q435" s="63">
        <f>IF((L436=""),"",MAX(D437:L437))</f>
        <v>2621.12</v>
      </c>
      <c r="R435" s="63">
        <f>IF(L436="","",MIN(D437:L437))</f>
        <v>2464.04</v>
      </c>
      <c r="S435" s="63">
        <f>IF((L437=""),"",AVERAGE(D437:L437))</f>
        <v>2528.1288888888889</v>
      </c>
      <c r="T435" s="63">
        <f>IF((L436=""),"",((Q435-R435)/(Q435+R435))*100)</f>
        <v>3.0889883504157183</v>
      </c>
      <c r="U435" s="51">
        <f>STDEV(D435:L435)</f>
        <v>4.4976839719027994</v>
      </c>
      <c r="V435" s="64" t="str">
        <f>IF(L436="","",(IF(T435&lt;12,IF(S435&gt;2200,IF(S435&lt;3280,"Pass","Fail"),"Fail"),"Fail")))</f>
        <v>Pass</v>
      </c>
      <c r="W435" s="63">
        <v>1159</v>
      </c>
      <c r="X435" s="26" t="s">
        <v>183</v>
      </c>
      <c r="Y435" s="8"/>
      <c r="Z435" s="37">
        <v>2000</v>
      </c>
      <c r="AA435" s="37">
        <v>3000</v>
      </c>
      <c r="AB435" s="37">
        <v>2200</v>
      </c>
      <c r="AC435" s="37">
        <v>3280</v>
      </c>
      <c r="AD435" s="39">
        <v>12</v>
      </c>
    </row>
    <row r="436" spans="1:30" ht="16.5" customHeight="1" x14ac:dyDescent="0.35">
      <c r="A436" s="206"/>
      <c r="B436" s="48"/>
      <c r="C436" s="51" t="s">
        <v>157</v>
      </c>
      <c r="D436" s="8">
        <v>1312.37</v>
      </c>
      <c r="E436" s="8">
        <v>1310.72</v>
      </c>
      <c r="F436" s="8">
        <v>1315.02</v>
      </c>
      <c r="G436" s="8">
        <v>1303.98</v>
      </c>
      <c r="H436" s="8">
        <v>1299.54</v>
      </c>
      <c r="I436" s="8">
        <v>1322.43</v>
      </c>
      <c r="J436" s="8">
        <v>1315.23</v>
      </c>
      <c r="K436" s="8">
        <v>1296.6300000000001</v>
      </c>
      <c r="L436" s="8">
        <v>1288.04</v>
      </c>
      <c r="M436" s="50"/>
      <c r="N436" s="50"/>
      <c r="O436" s="50"/>
      <c r="P436" s="50"/>
      <c r="Q436" s="48"/>
      <c r="R436" s="48"/>
      <c r="S436" s="48"/>
      <c r="T436" s="48"/>
      <c r="U436" s="48"/>
      <c r="V436" s="47"/>
      <c r="W436" s="48"/>
      <c r="X436" s="8"/>
      <c r="Y436" s="8"/>
      <c r="Z436" s="8"/>
      <c r="AA436" s="8"/>
      <c r="AB436" s="8"/>
      <c r="AC436" s="8"/>
      <c r="AD436" s="8"/>
    </row>
    <row r="437" spans="1:30" ht="24.8" customHeight="1" thickBot="1" x14ac:dyDescent="0.4">
      <c r="A437" s="206"/>
      <c r="B437" s="61"/>
      <c r="C437" s="51" t="s">
        <v>156</v>
      </c>
      <c r="D437" s="24">
        <f t="shared" ref="D437:L437" si="140">IF(((D435="")*AND(D436="")),"",(D435-D436)*4)</f>
        <v>2508.92</v>
      </c>
      <c r="E437" s="24">
        <f t="shared" si="140"/>
        <v>2506.6800000000003</v>
      </c>
      <c r="F437" s="24">
        <f t="shared" si="140"/>
        <v>2464.04</v>
      </c>
      <c r="G437" s="24">
        <f t="shared" si="140"/>
        <v>2534.1999999999998</v>
      </c>
      <c r="H437" s="24">
        <f t="shared" si="140"/>
        <v>2575.4000000000005</v>
      </c>
      <c r="I437" s="24">
        <f t="shared" si="140"/>
        <v>2493.92</v>
      </c>
      <c r="J437" s="24">
        <f t="shared" si="140"/>
        <v>2487</v>
      </c>
      <c r="K437" s="24">
        <f t="shared" si="140"/>
        <v>2561.8799999999992</v>
      </c>
      <c r="L437" s="24">
        <f t="shared" si="140"/>
        <v>2621.12</v>
      </c>
      <c r="M437" s="24"/>
      <c r="N437" s="24"/>
      <c r="O437" s="24"/>
      <c r="P437" s="24" t="str">
        <f>IF(((P435="")*AND(P436="")),"",(P435-P436)*4)</f>
        <v/>
      </c>
      <c r="Q437" s="61"/>
      <c r="R437" s="61"/>
      <c r="S437" s="61"/>
      <c r="T437" s="61"/>
      <c r="U437" s="61"/>
      <c r="V437" s="60"/>
      <c r="W437" s="61"/>
      <c r="X437" s="8"/>
      <c r="Y437" s="8"/>
      <c r="Z437" s="8"/>
      <c r="AA437" s="8"/>
      <c r="AB437" s="8"/>
      <c r="AC437" s="8"/>
      <c r="AD437" s="8"/>
    </row>
    <row r="438" spans="1:30" x14ac:dyDescent="0.25">
      <c r="A438" s="209">
        <v>43031</v>
      </c>
      <c r="B438" s="57" t="s">
        <v>159</v>
      </c>
      <c r="C438" s="51" t="s">
        <v>158</v>
      </c>
      <c r="D438" s="8">
        <v>4993.6899999999996</v>
      </c>
      <c r="E438" s="8">
        <v>4997.8599999999997</v>
      </c>
      <c r="F438" s="8">
        <v>5034.8500000000004</v>
      </c>
      <c r="G438" s="8">
        <v>5006.96</v>
      </c>
      <c r="H438" s="8">
        <v>4997.6899999999996</v>
      </c>
      <c r="I438" s="8">
        <v>4977.8999999999996</v>
      </c>
      <c r="J438" s="8">
        <v>5057.33</v>
      </c>
      <c r="K438" s="8">
        <v>5001.91</v>
      </c>
      <c r="L438" s="8">
        <v>4977.55</v>
      </c>
      <c r="M438" s="50"/>
      <c r="N438" s="50"/>
      <c r="O438" s="50"/>
      <c r="P438" s="50"/>
      <c r="Q438" s="57">
        <f>IF((L439=""),"",MAX(D440:L440))</f>
        <v>3469.6799999999994</v>
      </c>
      <c r="R438" s="57">
        <f>IF(L439="","",MIN(D440:L440))</f>
        <v>3411.5399999999991</v>
      </c>
      <c r="S438" s="58">
        <f>IF((L440=""),"",AVERAGE(D440:L440))</f>
        <v>3434.1933333333327</v>
      </c>
      <c r="T438" s="57">
        <f>IF((L439=""),"",((Q438-R438)/(Q438+R438))*100)</f>
        <v>0.84490831567658553</v>
      </c>
      <c r="U438" s="56">
        <f>STDEV(D438:L438)</f>
        <v>25.891660229588407</v>
      </c>
      <c r="V438" s="55" t="str">
        <f>IF(L439="","",(IF(T438&lt;7,IF(S438&gt;2800,IF(S438&lt;3800,"Pass","Fail"),"Fail"),"Fail")))</f>
        <v>Pass</v>
      </c>
      <c r="W438" s="57">
        <v>1159</v>
      </c>
      <c r="X438" s="26" t="s">
        <v>183</v>
      </c>
      <c r="Y438" s="8"/>
      <c r="Z438" s="53">
        <v>2800</v>
      </c>
      <c r="AA438" s="53">
        <v>3800</v>
      </c>
      <c r="AB438" s="53">
        <v>3100</v>
      </c>
      <c r="AC438" s="53">
        <v>3760</v>
      </c>
      <c r="AD438" s="52">
        <v>6</v>
      </c>
    </row>
    <row r="439" spans="1:30" ht="16.5" customHeight="1" x14ac:dyDescent="0.35">
      <c r="A439" s="206"/>
      <c r="B439" s="48"/>
      <c r="C439" s="51" t="s">
        <v>157</v>
      </c>
      <c r="D439" s="8">
        <v>3287.92</v>
      </c>
      <c r="E439" s="8">
        <v>3276.64</v>
      </c>
      <c r="F439" s="8">
        <v>3317.79</v>
      </c>
      <c r="G439" s="8">
        <v>3291.95</v>
      </c>
      <c r="H439" s="8">
        <v>3288.92</v>
      </c>
      <c r="I439" s="8">
        <v>3243.06</v>
      </c>
      <c r="J439" s="8">
        <v>3346.55</v>
      </c>
      <c r="K439" s="8">
        <v>3276.98</v>
      </c>
      <c r="L439" s="8">
        <v>3262.06</v>
      </c>
      <c r="M439" s="50"/>
      <c r="N439" s="50"/>
      <c r="O439" s="50"/>
      <c r="P439" s="50"/>
      <c r="Q439" s="48"/>
      <c r="R439" s="48"/>
      <c r="S439" s="49"/>
      <c r="T439" s="48"/>
      <c r="U439" s="48"/>
      <c r="V439" s="47"/>
      <c r="W439" s="48"/>
      <c r="X439" s="8"/>
      <c r="Y439" s="8"/>
      <c r="Z439" s="8"/>
      <c r="AA439" s="8"/>
      <c r="AB439" s="8"/>
      <c r="AC439" s="8"/>
      <c r="AD439" s="8"/>
    </row>
    <row r="440" spans="1:30" ht="24.8" customHeight="1" thickBot="1" x14ac:dyDescent="0.4">
      <c r="A440" s="206"/>
      <c r="B440" s="42"/>
      <c r="C440" s="45" t="s">
        <v>156</v>
      </c>
      <c r="D440" s="44">
        <f t="shared" ref="D440:L440" si="141">IF(((D438="")*AND(D439="")),"",(D438-D439)*2)</f>
        <v>3411.5399999999991</v>
      </c>
      <c r="E440" s="44">
        <f t="shared" si="141"/>
        <v>3442.4399999999996</v>
      </c>
      <c r="F440" s="44">
        <f t="shared" si="141"/>
        <v>3434.1200000000008</v>
      </c>
      <c r="G440" s="44">
        <f t="shared" si="141"/>
        <v>3430.0200000000004</v>
      </c>
      <c r="H440" s="44">
        <f t="shared" si="141"/>
        <v>3417.5399999999991</v>
      </c>
      <c r="I440" s="44">
        <f t="shared" si="141"/>
        <v>3469.6799999999994</v>
      </c>
      <c r="J440" s="44">
        <f t="shared" si="141"/>
        <v>3421.5599999999995</v>
      </c>
      <c r="K440" s="44">
        <f t="shared" si="141"/>
        <v>3449.8599999999997</v>
      </c>
      <c r="L440" s="44">
        <f t="shared" si="141"/>
        <v>3430.9800000000005</v>
      </c>
      <c r="M440" s="44"/>
      <c r="N440" s="44"/>
      <c r="O440" s="44"/>
      <c r="P440" s="44"/>
      <c r="Q440" s="42"/>
      <c r="R440" s="42"/>
      <c r="S440" s="43"/>
      <c r="T440" s="42"/>
      <c r="U440" s="42"/>
      <c r="V440" s="41"/>
      <c r="W440" s="42"/>
      <c r="X440" s="8"/>
      <c r="Y440" s="8"/>
      <c r="Z440" s="8"/>
      <c r="AA440" s="8"/>
      <c r="AB440" s="8"/>
      <c r="AC440" s="8"/>
      <c r="AD440" s="8"/>
    </row>
    <row r="441" spans="1:30" x14ac:dyDescent="0.25">
      <c r="A441" s="208">
        <v>43038</v>
      </c>
      <c r="B441" s="63" t="s">
        <v>160</v>
      </c>
      <c r="C441" s="56" t="s">
        <v>158</v>
      </c>
      <c r="D441" s="8">
        <v>1992.69</v>
      </c>
      <c r="E441" s="8">
        <v>1975.25</v>
      </c>
      <c r="F441" s="8">
        <v>1965.25</v>
      </c>
      <c r="G441" s="8">
        <v>1976.1</v>
      </c>
      <c r="H441" s="8">
        <v>1993.58</v>
      </c>
      <c r="I441" s="8">
        <v>1995.39</v>
      </c>
      <c r="J441" s="8">
        <v>1974.25</v>
      </c>
      <c r="K441" s="8">
        <v>1973.64</v>
      </c>
      <c r="L441" s="8">
        <v>1992.92</v>
      </c>
      <c r="M441" s="62"/>
      <c r="N441" s="62"/>
      <c r="O441" s="62"/>
      <c r="P441" s="62"/>
      <c r="Q441" s="63">
        <f>IF((L442=""),"",MAX(D443:L443))</f>
        <v>2862.6800000000003</v>
      </c>
      <c r="R441" s="63">
        <f>IF(L442="","",MIN(D443:L443))</f>
        <v>2624.96</v>
      </c>
      <c r="S441" s="63">
        <f>IF((L443=""),"",AVERAGE(D443:L443))</f>
        <v>2725.5422222222223</v>
      </c>
      <c r="T441" s="63">
        <f>IF((L442=""),"",((Q441-R441)/(Q441+R441))*100)</f>
        <v>4.3319168167008089</v>
      </c>
      <c r="U441" s="51">
        <f>STDEV(D441:L441)</f>
        <v>11.388979809935195</v>
      </c>
      <c r="V441" s="64" t="str">
        <f>IF(L442="","",(IF(T441&lt;12,IF(S441&gt;2200,IF(S441&lt;3280,"Pass","Fail"),"Fail"),"Fail")))</f>
        <v>Pass</v>
      </c>
      <c r="W441" s="63">
        <v>1428</v>
      </c>
      <c r="Y441" s="8"/>
      <c r="Z441" s="37">
        <v>2000</v>
      </c>
      <c r="AA441" s="37">
        <v>3000</v>
      </c>
      <c r="AB441" s="37">
        <v>2200</v>
      </c>
      <c r="AC441" s="37">
        <v>3280</v>
      </c>
      <c r="AD441" s="39">
        <v>12</v>
      </c>
    </row>
    <row r="442" spans="1:30" ht="16.5" customHeight="1" x14ac:dyDescent="0.35">
      <c r="A442" s="206"/>
      <c r="B442" s="48"/>
      <c r="C442" s="51" t="s">
        <v>157</v>
      </c>
      <c r="D442" s="8">
        <v>1303.1400000000001</v>
      </c>
      <c r="E442" s="8">
        <v>1300.96</v>
      </c>
      <c r="F442" s="8">
        <v>1309.01</v>
      </c>
      <c r="G442" s="8">
        <v>1301.8800000000001</v>
      </c>
      <c r="H442" s="8">
        <v>1296.75</v>
      </c>
      <c r="I442" s="8">
        <v>1316.59</v>
      </c>
      <c r="J442" s="8">
        <v>1310.94</v>
      </c>
      <c r="K442" s="8">
        <v>1290.08</v>
      </c>
      <c r="L442" s="8">
        <v>1277.25</v>
      </c>
      <c r="M442" s="50"/>
      <c r="N442" s="50"/>
      <c r="O442" s="50"/>
      <c r="P442" s="50"/>
      <c r="Q442" s="48"/>
      <c r="R442" s="48"/>
      <c r="S442" s="48"/>
      <c r="T442" s="48"/>
      <c r="U442" s="48"/>
      <c r="V442" s="47"/>
      <c r="W442" s="48"/>
      <c r="X442" s="8"/>
      <c r="Y442" s="8"/>
      <c r="Z442" s="8"/>
      <c r="AA442" s="8"/>
      <c r="AB442" s="8"/>
      <c r="AC442" s="8"/>
      <c r="AD442" s="8"/>
    </row>
    <row r="443" spans="1:30" ht="24.8" customHeight="1" thickBot="1" x14ac:dyDescent="0.4">
      <c r="A443" s="206"/>
      <c r="B443" s="61"/>
      <c r="C443" s="51" t="s">
        <v>156</v>
      </c>
      <c r="D443" s="24">
        <f t="shared" ref="D443:L443" si="142">IF(((D441="")*AND(D442="")),"",(D441-D442)*4)</f>
        <v>2758.2</v>
      </c>
      <c r="E443" s="24">
        <f t="shared" si="142"/>
        <v>2697.16</v>
      </c>
      <c r="F443" s="24">
        <f t="shared" si="142"/>
        <v>2624.96</v>
      </c>
      <c r="G443" s="24">
        <f t="shared" si="142"/>
        <v>2696.8799999999992</v>
      </c>
      <c r="H443" s="24">
        <f t="shared" si="142"/>
        <v>2787.3199999999997</v>
      </c>
      <c r="I443" s="24">
        <f t="shared" si="142"/>
        <v>2715.2000000000007</v>
      </c>
      <c r="J443" s="24">
        <f t="shared" si="142"/>
        <v>2653.24</v>
      </c>
      <c r="K443" s="24">
        <f t="shared" si="142"/>
        <v>2734.2400000000007</v>
      </c>
      <c r="L443" s="24">
        <f t="shared" si="142"/>
        <v>2862.6800000000003</v>
      </c>
      <c r="M443" s="24"/>
      <c r="N443" s="24"/>
      <c r="O443" s="24"/>
      <c r="P443" s="24" t="str">
        <f>IF(((P441="")*AND(P442="")),"",(P441-P442)*4)</f>
        <v/>
      </c>
      <c r="Q443" s="61"/>
      <c r="R443" s="61"/>
      <c r="S443" s="61"/>
      <c r="T443" s="61"/>
      <c r="U443" s="61"/>
      <c r="V443" s="60"/>
      <c r="W443" s="61"/>
      <c r="X443" s="8"/>
      <c r="Y443" s="8"/>
      <c r="Z443" s="8"/>
      <c r="AA443" s="8"/>
      <c r="AB443" s="8"/>
      <c r="AC443" s="8"/>
      <c r="AD443" s="8"/>
    </row>
    <row r="444" spans="1:30" x14ac:dyDescent="0.25">
      <c r="A444" s="209">
        <v>43038</v>
      </c>
      <c r="B444" s="57" t="s">
        <v>159</v>
      </c>
      <c r="C444" s="51" t="s">
        <v>158</v>
      </c>
      <c r="D444" s="8">
        <v>6868.1</v>
      </c>
      <c r="E444" s="8">
        <v>6838.79</v>
      </c>
      <c r="F444" s="8">
        <v>6879.2</v>
      </c>
      <c r="G444" s="8">
        <v>6855.22</v>
      </c>
      <c r="H444" s="8">
        <v>6895.32</v>
      </c>
      <c r="I444" s="8">
        <v>6911.46</v>
      </c>
      <c r="J444" s="8">
        <v>6910.41</v>
      </c>
      <c r="K444" s="8">
        <v>6856.13</v>
      </c>
      <c r="L444" s="8">
        <v>6866.5</v>
      </c>
      <c r="M444" s="50"/>
      <c r="N444" s="50"/>
      <c r="O444" s="50"/>
      <c r="P444" s="50"/>
      <c r="Q444" s="57">
        <f>IF((L445=""),"",MAX(D446:L446))</f>
        <v>3442.1000000000004</v>
      </c>
      <c r="R444" s="57">
        <f>IF(L445="","",MIN(D446:L446))</f>
        <v>3382.6800000000003</v>
      </c>
      <c r="S444" s="58">
        <f>IF((L446=""),"",AVERAGE(D446:L446))</f>
        <v>3411.4777777777772</v>
      </c>
      <c r="T444" s="57">
        <f>IF((L445=""),"",((Q444-R444)/(Q444+R444))*100)</f>
        <v>0.87065077555613601</v>
      </c>
      <c r="U444" s="56">
        <f>STDEV(D444:L444)</f>
        <v>25.465457704724383</v>
      </c>
      <c r="V444" s="55" t="str">
        <f>IF(L445="","",(IF(T444&lt;7,IF(S444&gt;2800,IF(S444&lt;3800,"Pass","Fail"),"Fail"),"Fail")))</f>
        <v>Pass</v>
      </c>
      <c r="W444" s="57">
        <v>1428</v>
      </c>
      <c r="Y444" s="8"/>
      <c r="Z444" s="53">
        <v>2800</v>
      </c>
      <c r="AA444" s="53">
        <v>3800</v>
      </c>
      <c r="AB444" s="53">
        <v>3100</v>
      </c>
      <c r="AC444" s="53">
        <v>3760</v>
      </c>
      <c r="AD444" s="52">
        <v>6</v>
      </c>
    </row>
    <row r="445" spans="1:30" ht="16.5" customHeight="1" x14ac:dyDescent="0.35">
      <c r="A445" s="206"/>
      <c r="B445" s="48"/>
      <c r="C445" s="51" t="s">
        <v>157</v>
      </c>
      <c r="D445" s="8">
        <v>5167.17</v>
      </c>
      <c r="E445" s="8">
        <v>5125.42</v>
      </c>
      <c r="F445" s="8">
        <v>5168.46</v>
      </c>
      <c r="G445" s="8">
        <v>5150.6400000000003</v>
      </c>
      <c r="H445" s="8">
        <v>5200.68</v>
      </c>
      <c r="I445" s="8">
        <v>5190.41</v>
      </c>
      <c r="J445" s="8">
        <v>5206.4399999999996</v>
      </c>
      <c r="K445" s="8">
        <v>5145.1000000000004</v>
      </c>
      <c r="L445" s="8">
        <v>5175.16</v>
      </c>
      <c r="M445" s="50"/>
      <c r="N445" s="50"/>
      <c r="O445" s="50"/>
      <c r="P445" s="50"/>
      <c r="Q445" s="48"/>
      <c r="R445" s="48"/>
      <c r="S445" s="49"/>
      <c r="T445" s="48"/>
      <c r="U445" s="48"/>
      <c r="V445" s="47"/>
      <c r="W445" s="48"/>
      <c r="X445" s="8"/>
      <c r="Y445" s="8"/>
      <c r="Z445" s="8"/>
      <c r="AA445" s="8"/>
      <c r="AB445" s="8"/>
      <c r="AC445" s="8"/>
      <c r="AD445" s="8"/>
    </row>
    <row r="446" spans="1:30" ht="24.8" customHeight="1" thickBot="1" x14ac:dyDescent="0.4">
      <c r="A446" s="206"/>
      <c r="B446" s="42"/>
      <c r="C446" s="45" t="s">
        <v>156</v>
      </c>
      <c r="D446" s="44">
        <f t="shared" ref="D446:L446" si="143">IF(((D444="")*AND(D445="")),"",(D444-D445)*2)</f>
        <v>3401.8600000000006</v>
      </c>
      <c r="E446" s="44">
        <f t="shared" si="143"/>
        <v>3426.74</v>
      </c>
      <c r="F446" s="44">
        <f t="shared" si="143"/>
        <v>3421.4799999999996</v>
      </c>
      <c r="G446" s="44">
        <f t="shared" si="143"/>
        <v>3409.16</v>
      </c>
      <c r="H446" s="44">
        <f t="shared" si="143"/>
        <v>3389.2799999999988</v>
      </c>
      <c r="I446" s="44">
        <f t="shared" si="143"/>
        <v>3442.1000000000004</v>
      </c>
      <c r="J446" s="44">
        <f t="shared" si="143"/>
        <v>3407.9400000000005</v>
      </c>
      <c r="K446" s="44">
        <f t="shared" si="143"/>
        <v>3422.0599999999995</v>
      </c>
      <c r="L446" s="44">
        <f t="shared" si="143"/>
        <v>3382.6800000000003</v>
      </c>
      <c r="M446" s="44"/>
      <c r="N446" s="44"/>
      <c r="O446" s="44"/>
      <c r="P446" s="44"/>
      <c r="Q446" s="42"/>
      <c r="R446" s="42"/>
      <c r="S446" s="43"/>
      <c r="T446" s="42"/>
      <c r="U446" s="42"/>
      <c r="V446" s="41"/>
      <c r="W446" s="42"/>
      <c r="X446" s="8"/>
      <c r="Y446" s="8"/>
      <c r="Z446" s="8"/>
      <c r="AA446" s="8"/>
      <c r="AB446" s="8"/>
      <c r="AC446" s="8"/>
      <c r="AD446" s="8"/>
    </row>
    <row r="447" spans="1:30" x14ac:dyDescent="0.25">
      <c r="A447" s="208">
        <v>43043</v>
      </c>
      <c r="B447" s="63" t="s">
        <v>160</v>
      </c>
      <c r="C447" s="56" t="s">
        <v>158</v>
      </c>
      <c r="D447" s="8">
        <v>2006.74</v>
      </c>
      <c r="E447" s="8">
        <v>1984.72</v>
      </c>
      <c r="F447" s="8">
        <v>1976.05</v>
      </c>
      <c r="G447" s="8">
        <v>1980.56</v>
      </c>
      <c r="H447" s="8">
        <v>1994.22</v>
      </c>
      <c r="I447" s="8">
        <v>1999.84</v>
      </c>
      <c r="J447" s="8">
        <v>1982.8</v>
      </c>
      <c r="K447" s="8">
        <v>1983.13</v>
      </c>
      <c r="L447" s="8">
        <v>1999.84</v>
      </c>
      <c r="M447" s="62"/>
      <c r="N447" s="62"/>
      <c r="O447" s="62"/>
      <c r="P447" s="62"/>
      <c r="Q447" s="63">
        <f>IF((L448=""),"",MAX(D449:L449))</f>
        <v>2980</v>
      </c>
      <c r="R447" s="63">
        <f>IF(L448="","",MIN(D449:L449))</f>
        <v>2699.3599999999997</v>
      </c>
      <c r="S447" s="63">
        <f>IF((L449=""),"",AVERAGE(D449:L449))</f>
        <v>2825.3244444444445</v>
      </c>
      <c r="T447" s="63">
        <f>IF((L448=""),"",((Q447-R447)/(Q447+R447))*100)</f>
        <v>4.9414018480955662</v>
      </c>
      <c r="U447" s="51">
        <f>STDEV(D447:L447)</f>
        <v>10.617371379018433</v>
      </c>
      <c r="V447" s="64" t="str">
        <f>IF(L448="","",(IF(T447&lt;12,IF(S447&gt;2200,IF(S447&lt;3280,"Pass","Fail"),"Fail"),"Fail")))</f>
        <v>Pass</v>
      </c>
      <c r="W447" s="63">
        <v>1335</v>
      </c>
      <c r="Z447" s="37">
        <v>2000</v>
      </c>
      <c r="AA447" s="37">
        <v>3000</v>
      </c>
      <c r="AB447" s="37">
        <v>2200</v>
      </c>
      <c r="AC447" s="37">
        <v>3280</v>
      </c>
      <c r="AD447" s="39">
        <v>12</v>
      </c>
    </row>
    <row r="448" spans="1:30" ht="16.5" customHeight="1" x14ac:dyDescent="0.35">
      <c r="A448" s="206"/>
      <c r="B448" s="48"/>
      <c r="C448" s="51" t="s">
        <v>157</v>
      </c>
      <c r="D448" s="8">
        <v>1282.07</v>
      </c>
      <c r="E448" s="8">
        <v>1287.2</v>
      </c>
      <c r="F448" s="8">
        <v>1301.21</v>
      </c>
      <c r="G448" s="8">
        <v>1284.78</v>
      </c>
      <c r="H448" s="8">
        <v>1272.1099999999999</v>
      </c>
      <c r="I448" s="8">
        <v>1292.5899999999999</v>
      </c>
      <c r="J448" s="8">
        <v>1299.8</v>
      </c>
      <c r="K448" s="8">
        <v>1276.32</v>
      </c>
      <c r="L448" s="8">
        <v>1254.8399999999999</v>
      </c>
      <c r="M448" s="50"/>
      <c r="N448" s="50"/>
      <c r="O448" s="50"/>
      <c r="P448" s="50"/>
      <c r="Q448" s="48"/>
      <c r="R448" s="48"/>
      <c r="S448" s="48"/>
      <c r="T448" s="48"/>
      <c r="U448" s="48"/>
      <c r="V448" s="47"/>
      <c r="W448" s="48"/>
      <c r="X448" s="8"/>
    </row>
    <row r="449" spans="1:30" ht="24.8" customHeight="1" thickBot="1" x14ac:dyDescent="0.4">
      <c r="A449" s="206"/>
      <c r="B449" s="61"/>
      <c r="C449" s="51" t="s">
        <v>156</v>
      </c>
      <c r="D449" s="24">
        <f t="shared" ref="D449:L449" si="144">IF(((D447="")*AND(D448="")),"",(D447-D448)*4)</f>
        <v>2898.6800000000003</v>
      </c>
      <c r="E449" s="24">
        <f t="shared" si="144"/>
        <v>2790.08</v>
      </c>
      <c r="F449" s="24">
        <f t="shared" si="144"/>
        <v>2699.3599999999997</v>
      </c>
      <c r="G449" s="24">
        <f t="shared" si="144"/>
        <v>2783.12</v>
      </c>
      <c r="H449" s="24">
        <f t="shared" si="144"/>
        <v>2888.4400000000005</v>
      </c>
      <c r="I449" s="24">
        <f t="shared" si="144"/>
        <v>2829</v>
      </c>
      <c r="J449" s="24">
        <f t="shared" si="144"/>
        <v>2732</v>
      </c>
      <c r="K449" s="24">
        <f t="shared" si="144"/>
        <v>2827.2400000000007</v>
      </c>
      <c r="L449" s="24">
        <f t="shared" si="144"/>
        <v>2980</v>
      </c>
      <c r="M449" s="24"/>
      <c r="N449" s="24"/>
      <c r="O449" s="24"/>
      <c r="P449" s="24" t="str">
        <f>IF(((P447="")*AND(P448="")),"",(P447-P448)*4)</f>
        <v/>
      </c>
      <c r="Q449" s="61"/>
      <c r="R449" s="61"/>
      <c r="S449" s="61"/>
      <c r="T449" s="61"/>
      <c r="U449" s="61"/>
      <c r="V449" s="60"/>
      <c r="W449" s="61"/>
      <c r="X449" s="8"/>
    </row>
    <row r="450" spans="1:30" x14ac:dyDescent="0.25">
      <c r="A450" s="209">
        <v>43043</v>
      </c>
      <c r="B450" s="57" t="s">
        <v>159</v>
      </c>
      <c r="C450" s="51" t="s">
        <v>158</v>
      </c>
      <c r="D450" s="8">
        <v>6871.17</v>
      </c>
      <c r="E450" s="8">
        <v>6858.16</v>
      </c>
      <c r="F450" s="8">
        <v>6892.31</v>
      </c>
      <c r="G450" s="8">
        <v>6855.69</v>
      </c>
      <c r="H450" s="8">
        <v>6865.53</v>
      </c>
      <c r="I450" s="8">
        <v>6890.57</v>
      </c>
      <c r="J450" s="8">
        <v>6913.2</v>
      </c>
      <c r="K450" s="8">
        <v>6872.83</v>
      </c>
      <c r="L450" s="8">
        <v>6862.98</v>
      </c>
      <c r="M450" s="50"/>
      <c r="N450" s="50"/>
      <c r="O450" s="50"/>
      <c r="P450" s="50"/>
      <c r="Q450" s="57">
        <f>IF((L451=""),"",MAX(D452:L452))</f>
        <v>3483.34</v>
      </c>
      <c r="R450" s="57">
        <f>IF(L451="","",MIN(D452:L452))</f>
        <v>3407.9599999999991</v>
      </c>
      <c r="S450" s="58">
        <f>IF((L452=""),"",AVERAGE(D452:L452))</f>
        <v>3445.6155555555542</v>
      </c>
      <c r="T450" s="57">
        <f>IF((L451=""),"",((Q450-R450)/(Q450+R450))*100)</f>
        <v>1.0938429614151324</v>
      </c>
      <c r="U450" s="56">
        <f>STDEV(D450:L450)</f>
        <v>19.056335560647636</v>
      </c>
      <c r="V450" s="55" t="str">
        <f>IF(L451="","",(IF(T450&lt;7,IF(S450&gt;2800,IF(S450&lt;3800,"Pass","Fail"),"Fail"),"Fail")))</f>
        <v>Pass</v>
      </c>
      <c r="W450" s="57">
        <v>1335</v>
      </c>
      <c r="Z450" s="53">
        <v>2800</v>
      </c>
      <c r="AA450" s="53">
        <v>3800</v>
      </c>
      <c r="AB450" s="53">
        <v>3100</v>
      </c>
      <c r="AC450" s="53">
        <v>3760</v>
      </c>
      <c r="AD450" s="52">
        <v>6</v>
      </c>
    </row>
    <row r="451" spans="1:30" ht="16.5" customHeight="1" x14ac:dyDescent="0.35">
      <c r="A451" s="206"/>
      <c r="B451" s="48"/>
      <c r="C451" s="51" t="s">
        <v>157</v>
      </c>
      <c r="D451" s="8">
        <v>5140.71</v>
      </c>
      <c r="E451" s="8">
        <v>5126.59</v>
      </c>
      <c r="F451" s="8">
        <v>5167.0200000000004</v>
      </c>
      <c r="G451" s="8">
        <v>5137.34</v>
      </c>
      <c r="H451" s="8">
        <v>5161.55</v>
      </c>
      <c r="I451" s="8">
        <v>5148.8999999999996</v>
      </c>
      <c r="J451" s="8">
        <v>5193.5200000000004</v>
      </c>
      <c r="K451" s="8">
        <v>5148.03</v>
      </c>
      <c r="L451" s="8">
        <v>5153.51</v>
      </c>
      <c r="M451" s="50"/>
      <c r="N451" s="50"/>
      <c r="O451" s="50"/>
      <c r="P451" s="50"/>
      <c r="Q451" s="48"/>
      <c r="R451" s="48"/>
      <c r="S451" s="49"/>
      <c r="T451" s="48"/>
      <c r="U451" s="48"/>
      <c r="V451" s="47"/>
      <c r="W451" s="48"/>
      <c r="X451" s="8"/>
    </row>
    <row r="452" spans="1:30" ht="24.8" customHeight="1" thickBot="1" x14ac:dyDescent="0.4">
      <c r="A452" s="206"/>
      <c r="B452" s="42"/>
      <c r="C452" s="45" t="s">
        <v>156</v>
      </c>
      <c r="D452" s="44">
        <f t="shared" ref="D452:L452" si="145">IF(((D450="")*AND(D451="")),"",(D450-D451)*2)</f>
        <v>3460.92</v>
      </c>
      <c r="E452" s="44">
        <f t="shared" si="145"/>
        <v>3463.1399999999994</v>
      </c>
      <c r="F452" s="44">
        <f t="shared" si="145"/>
        <v>3450.58</v>
      </c>
      <c r="G452" s="44">
        <f t="shared" si="145"/>
        <v>3436.6999999999989</v>
      </c>
      <c r="H452" s="44">
        <f t="shared" si="145"/>
        <v>3407.9599999999991</v>
      </c>
      <c r="I452" s="44">
        <f t="shared" si="145"/>
        <v>3483.34</v>
      </c>
      <c r="J452" s="44">
        <f t="shared" si="145"/>
        <v>3439.3599999999988</v>
      </c>
      <c r="K452" s="44">
        <f t="shared" si="145"/>
        <v>3449.6000000000004</v>
      </c>
      <c r="L452" s="44">
        <f t="shared" si="145"/>
        <v>3418.9399999999987</v>
      </c>
      <c r="M452" s="44"/>
      <c r="N452" s="44"/>
      <c r="O452" s="44"/>
      <c r="P452" s="44"/>
      <c r="Q452" s="42"/>
      <c r="R452" s="42"/>
      <c r="S452" s="43"/>
      <c r="T452" s="42"/>
      <c r="U452" s="42"/>
      <c r="V452" s="41"/>
      <c r="W452" s="42"/>
      <c r="X452" s="8"/>
    </row>
    <row r="453" spans="1:30" x14ac:dyDescent="0.25">
      <c r="A453" s="208">
        <v>43047</v>
      </c>
      <c r="B453" s="63" t="s">
        <v>160</v>
      </c>
      <c r="C453" s="56" t="s">
        <v>158</v>
      </c>
      <c r="D453" s="8">
        <v>1947.96</v>
      </c>
      <c r="E453" s="8">
        <v>1941.47</v>
      </c>
      <c r="F453" s="8">
        <v>1939.8</v>
      </c>
      <c r="G453" s="8">
        <v>1946.59</v>
      </c>
      <c r="H453" s="8">
        <v>1953.83</v>
      </c>
      <c r="I453" s="8">
        <v>1950.04</v>
      </c>
      <c r="J453" s="8">
        <v>1941.73</v>
      </c>
      <c r="K453" s="8">
        <v>1945.32</v>
      </c>
      <c r="L453" s="8">
        <v>1950.04</v>
      </c>
      <c r="M453" s="62"/>
      <c r="N453" s="62"/>
      <c r="O453" s="62"/>
      <c r="P453" s="62"/>
      <c r="Q453" s="63">
        <f>IF((L454=""),"",MAX(D455:L455))</f>
        <v>2601.96</v>
      </c>
      <c r="R453" s="63">
        <f>IF(L454="","",MIN(D455:L455))</f>
        <v>2454.2799999999997</v>
      </c>
      <c r="S453" s="63">
        <f>IF((L455=""),"",AVERAGE(D455:L455))</f>
        <v>2536.715555555556</v>
      </c>
      <c r="T453" s="63">
        <f>IF((L454=""),"",((Q453-R453)/(Q453+R453))*100)</f>
        <v>2.9207474328750278</v>
      </c>
      <c r="U453" s="51">
        <f>STDEV(D453:L453)</f>
        <v>4.6762603767445361</v>
      </c>
      <c r="V453" s="64" t="str">
        <f>IF(L454="","",(IF(T453&lt;12,IF(S453&gt;2200,IF(S453&lt;3280,"Pass","Fail"),"Fail"),"Fail")))</f>
        <v>Pass</v>
      </c>
      <c r="W453" s="63">
        <v>1335</v>
      </c>
      <c r="Z453" s="37">
        <v>2000</v>
      </c>
      <c r="AA453" s="37">
        <v>3000</v>
      </c>
      <c r="AB453" s="37">
        <v>2200</v>
      </c>
      <c r="AC453" s="37">
        <v>3280</v>
      </c>
      <c r="AD453" s="39">
        <v>12</v>
      </c>
    </row>
    <row r="454" spans="1:30" ht="16.5" customHeight="1" x14ac:dyDescent="0.35">
      <c r="A454" s="206"/>
      <c r="B454" s="48"/>
      <c r="C454" s="51" t="s">
        <v>157</v>
      </c>
      <c r="D454" s="8">
        <v>1317.74</v>
      </c>
      <c r="E454" s="8">
        <v>1304.1500000000001</v>
      </c>
      <c r="F454" s="8">
        <v>1313.81</v>
      </c>
      <c r="G454" s="8">
        <v>1308.07</v>
      </c>
      <c r="H454" s="8">
        <v>1320.1</v>
      </c>
      <c r="I454" s="8">
        <v>1336.47</v>
      </c>
      <c r="J454" s="8">
        <v>1313.76</v>
      </c>
      <c r="K454" s="8">
        <v>1295.52</v>
      </c>
      <c r="L454" s="8">
        <v>1299.55</v>
      </c>
      <c r="M454" s="50"/>
      <c r="N454" s="50"/>
      <c r="O454" s="50"/>
      <c r="P454" s="50"/>
      <c r="Q454" s="48"/>
      <c r="R454" s="48"/>
      <c r="S454" s="48"/>
      <c r="T454" s="48"/>
      <c r="U454" s="48"/>
      <c r="V454" s="47"/>
      <c r="W454" s="48"/>
      <c r="X454" s="8"/>
    </row>
    <row r="455" spans="1:30" ht="24.8" customHeight="1" thickBot="1" x14ac:dyDescent="0.4">
      <c r="A455" s="206"/>
      <c r="B455" s="61"/>
      <c r="C455" s="51" t="s">
        <v>156</v>
      </c>
      <c r="D455" s="24">
        <f t="shared" ref="D455:L455" si="146">IF(((D453="")*AND(D454="")),"",(D453-D454)*4)</f>
        <v>2520.88</v>
      </c>
      <c r="E455" s="24">
        <f t="shared" si="146"/>
        <v>2549.2799999999997</v>
      </c>
      <c r="F455" s="24">
        <f t="shared" si="146"/>
        <v>2503.96</v>
      </c>
      <c r="G455" s="24">
        <f t="shared" si="146"/>
        <v>2554.08</v>
      </c>
      <c r="H455" s="24">
        <f t="shared" si="146"/>
        <v>2534.92</v>
      </c>
      <c r="I455" s="24">
        <f t="shared" si="146"/>
        <v>2454.2799999999997</v>
      </c>
      <c r="J455" s="24">
        <f t="shared" si="146"/>
        <v>2511.88</v>
      </c>
      <c r="K455" s="24">
        <f t="shared" si="146"/>
        <v>2599.1999999999998</v>
      </c>
      <c r="L455" s="24">
        <f t="shared" si="146"/>
        <v>2601.96</v>
      </c>
      <c r="M455" s="24"/>
      <c r="N455" s="24"/>
      <c r="O455" s="24"/>
      <c r="P455" s="24" t="str">
        <f>IF(((P453="")*AND(P454="")),"",(P453-P454)*4)</f>
        <v/>
      </c>
      <c r="Q455" s="61"/>
      <c r="R455" s="61"/>
      <c r="S455" s="61"/>
      <c r="T455" s="61"/>
      <c r="U455" s="61"/>
      <c r="V455" s="60"/>
      <c r="W455" s="61"/>
      <c r="X455" s="8"/>
    </row>
    <row r="456" spans="1:30" x14ac:dyDescent="0.25">
      <c r="A456" s="209">
        <v>43047</v>
      </c>
      <c r="B456" s="57" t="s">
        <v>159</v>
      </c>
      <c r="C456" s="51" t="s">
        <v>158</v>
      </c>
      <c r="D456" s="8">
        <v>6882.63</v>
      </c>
      <c r="E456" s="8">
        <v>6845.37</v>
      </c>
      <c r="F456" s="8">
        <v>6879.34</v>
      </c>
      <c r="G456" s="8">
        <v>6852.73</v>
      </c>
      <c r="H456" s="8">
        <v>6901.01</v>
      </c>
      <c r="I456" s="8">
        <v>6916.55</v>
      </c>
      <c r="J456" s="8">
        <v>6909.84</v>
      </c>
      <c r="K456" s="8">
        <v>6861.46</v>
      </c>
      <c r="L456" s="8">
        <v>6874.84</v>
      </c>
      <c r="M456" s="50"/>
      <c r="N456" s="50"/>
      <c r="O456" s="50"/>
      <c r="P456" s="50"/>
      <c r="Q456" s="57">
        <f>IF((L457=""),"",MAX(D458:L458))</f>
        <v>3516.2000000000007</v>
      </c>
      <c r="R456" s="57">
        <f>IF(L457="","",MIN(D458:L458))</f>
        <v>3449.2800000000007</v>
      </c>
      <c r="S456" s="58">
        <f>IF((L458=""),"",AVERAGE(D458:L458))</f>
        <v>3494.7799999999997</v>
      </c>
      <c r="T456" s="57">
        <f>IF((L457=""),"",((Q456-R456)/(Q456+R456))*100)</f>
        <v>0.96073780988532098</v>
      </c>
      <c r="U456" s="56">
        <f>STDEV(D456:L456)</f>
        <v>24.966899309107617</v>
      </c>
      <c r="V456" s="55" t="str">
        <f>IF(L457="","",(IF(T456&lt;7,IF(S456&gt;2800,IF(S456&lt;3800,"Pass","Fail"),"Fail"),"Fail")))</f>
        <v>Pass</v>
      </c>
      <c r="W456" s="57">
        <v>1335</v>
      </c>
      <c r="Z456" s="53">
        <v>2800</v>
      </c>
      <c r="AA456" s="53">
        <v>3800</v>
      </c>
      <c r="AB456" s="53">
        <v>3100</v>
      </c>
      <c r="AC456" s="53">
        <v>3760</v>
      </c>
      <c r="AD456" s="52">
        <v>6</v>
      </c>
    </row>
    <row r="457" spans="1:30" ht="16.5" customHeight="1" x14ac:dyDescent="0.35">
      <c r="A457" s="206"/>
      <c r="B457" s="48"/>
      <c r="C457" s="51" t="s">
        <v>157</v>
      </c>
      <c r="D457" s="8">
        <v>5130.29</v>
      </c>
      <c r="E457" s="8">
        <v>5090.24</v>
      </c>
      <c r="F457" s="8">
        <v>5128.5200000000004</v>
      </c>
      <c r="G457" s="8">
        <v>5107.74</v>
      </c>
      <c r="H457" s="8">
        <v>5176.37</v>
      </c>
      <c r="I457" s="8">
        <v>5158.45</v>
      </c>
      <c r="J457" s="8">
        <v>5164.2700000000004</v>
      </c>
      <c r="K457" s="8">
        <v>5108.84</v>
      </c>
      <c r="L457" s="8">
        <v>5132.54</v>
      </c>
      <c r="M457" s="50"/>
      <c r="N457" s="50"/>
      <c r="O457" s="50"/>
      <c r="P457" s="50"/>
      <c r="Q457" s="48"/>
      <c r="R457" s="48"/>
      <c r="S457" s="49"/>
      <c r="T457" s="48"/>
      <c r="U457" s="48"/>
      <c r="V457" s="47"/>
      <c r="W457" s="48"/>
      <c r="X457" s="8"/>
    </row>
    <row r="458" spans="1:30" ht="24.8" customHeight="1" thickBot="1" x14ac:dyDescent="0.4">
      <c r="A458" s="206"/>
      <c r="B458" s="42"/>
      <c r="C458" s="45" t="s">
        <v>156</v>
      </c>
      <c r="D458" s="44">
        <f t="shared" ref="D458:L458" si="147">IF(((D456="")*AND(D457="")),"",(D456-D457)*2)</f>
        <v>3504.6800000000003</v>
      </c>
      <c r="E458" s="44">
        <f t="shared" si="147"/>
        <v>3510.26</v>
      </c>
      <c r="F458" s="44">
        <f t="shared" si="147"/>
        <v>3501.6399999999994</v>
      </c>
      <c r="G458" s="44">
        <f t="shared" si="147"/>
        <v>3489.9799999999996</v>
      </c>
      <c r="H458" s="44">
        <f t="shared" si="147"/>
        <v>3449.2800000000007</v>
      </c>
      <c r="I458" s="44">
        <f t="shared" si="147"/>
        <v>3516.2000000000007</v>
      </c>
      <c r="J458" s="44">
        <f t="shared" si="147"/>
        <v>3491.1399999999994</v>
      </c>
      <c r="K458" s="44">
        <f t="shared" si="147"/>
        <v>3505.24</v>
      </c>
      <c r="L458" s="44">
        <f t="shared" si="147"/>
        <v>3484.6000000000004</v>
      </c>
      <c r="M458" s="44"/>
      <c r="N458" s="44"/>
      <c r="O458" s="44"/>
      <c r="P458" s="44"/>
      <c r="Q458" s="42"/>
      <c r="R458" s="42"/>
      <c r="S458" s="43"/>
      <c r="T458" s="42"/>
      <c r="U458" s="42"/>
      <c r="V458" s="41"/>
      <c r="W458" s="42"/>
      <c r="X458" s="8"/>
    </row>
    <row r="459" spans="1:30" x14ac:dyDescent="0.25">
      <c r="A459" s="208">
        <v>43053</v>
      </c>
      <c r="B459" s="63" t="s">
        <v>160</v>
      </c>
      <c r="C459" s="56" t="s">
        <v>158</v>
      </c>
      <c r="D459" s="8">
        <v>1321.42</v>
      </c>
      <c r="E459" s="8">
        <v>1306.51</v>
      </c>
      <c r="F459" s="8">
        <v>1314.91</v>
      </c>
      <c r="G459" s="8">
        <v>1310.78</v>
      </c>
      <c r="H459" s="8">
        <v>1316.06</v>
      </c>
      <c r="I459" s="8">
        <v>1334.25</v>
      </c>
      <c r="J459" s="8">
        <v>1315.74</v>
      </c>
      <c r="K459" s="8">
        <v>1298.82</v>
      </c>
      <c r="L459" s="8">
        <v>1302</v>
      </c>
      <c r="M459" s="62"/>
      <c r="N459" s="62"/>
      <c r="O459" s="62"/>
      <c r="P459" s="62"/>
      <c r="Q459" s="63">
        <f>IF((L460=""),"",MAX(D461:L461))</f>
        <v>2602.12</v>
      </c>
      <c r="R459" s="63">
        <f>IF(L460="","",MIN(D461:L461))</f>
        <v>2447.6799999999998</v>
      </c>
      <c r="S459" s="63">
        <f>IF((L461=""),"",AVERAGE(D461:L461))</f>
        <v>2532.4088888888891</v>
      </c>
      <c r="T459" s="63">
        <f>IF((L460=""),"",((Q459-R459)/(Q459+R459))*100)</f>
        <v>3.0583389441166</v>
      </c>
      <c r="U459" s="51">
        <f>STDEV(D459:L459)</f>
        <v>10.669733803823076</v>
      </c>
      <c r="V459" s="64" t="str">
        <f>IF(L460="","",(IF(T459&lt;12,IF(S459&gt;2200,IF(S459&lt;3280,"Pass","Fail"),"Fail"),"Fail")))</f>
        <v>Pass</v>
      </c>
      <c r="W459" s="63">
        <v>1159</v>
      </c>
      <c r="Z459" s="37">
        <v>2000</v>
      </c>
      <c r="AA459" s="37">
        <v>3000</v>
      </c>
      <c r="AB459" s="37">
        <v>2200</v>
      </c>
      <c r="AC459" s="37">
        <v>3280</v>
      </c>
      <c r="AD459" s="39">
        <v>12</v>
      </c>
    </row>
    <row r="460" spans="1:30" ht="16.5" customHeight="1" x14ac:dyDescent="0.35">
      <c r="A460" s="206"/>
      <c r="B460" s="48"/>
      <c r="C460" s="51" t="s">
        <v>157</v>
      </c>
      <c r="D460" s="8">
        <v>701.56</v>
      </c>
      <c r="E460" s="8">
        <v>672.39</v>
      </c>
      <c r="F460" s="8">
        <v>689.73</v>
      </c>
      <c r="G460" s="8">
        <v>667.37</v>
      </c>
      <c r="H460" s="8">
        <v>681.43</v>
      </c>
      <c r="I460" s="8">
        <v>722.33</v>
      </c>
      <c r="J460" s="8">
        <v>687.56</v>
      </c>
      <c r="K460" s="8">
        <v>648.73</v>
      </c>
      <c r="L460" s="8">
        <v>651.47</v>
      </c>
      <c r="M460" s="50"/>
      <c r="N460" s="50"/>
      <c r="O460" s="50"/>
      <c r="P460" s="50"/>
      <c r="Q460" s="48"/>
      <c r="R460" s="48"/>
      <c r="S460" s="48"/>
      <c r="T460" s="48"/>
      <c r="U460" s="48"/>
      <c r="V460" s="47"/>
      <c r="W460" s="48"/>
      <c r="X460" s="8"/>
    </row>
    <row r="461" spans="1:30" ht="24.8" customHeight="1" thickBot="1" x14ac:dyDescent="0.4">
      <c r="A461" s="206"/>
      <c r="B461" s="61"/>
      <c r="C461" s="51" t="s">
        <v>156</v>
      </c>
      <c r="D461" s="24">
        <f t="shared" ref="D461:L461" si="148">IF(((D459="")*AND(D460="")),"",(D459-D460)*4)</f>
        <v>2479.4400000000005</v>
      </c>
      <c r="E461" s="24">
        <f t="shared" si="148"/>
        <v>2536.48</v>
      </c>
      <c r="F461" s="24">
        <f t="shared" si="148"/>
        <v>2500.7200000000003</v>
      </c>
      <c r="G461" s="24">
        <f t="shared" si="148"/>
        <v>2573.64</v>
      </c>
      <c r="H461" s="24">
        <f t="shared" si="148"/>
        <v>2538.52</v>
      </c>
      <c r="I461" s="24">
        <f t="shared" si="148"/>
        <v>2447.6799999999998</v>
      </c>
      <c r="J461" s="24">
        <f t="shared" si="148"/>
        <v>2512.7200000000003</v>
      </c>
      <c r="K461" s="24">
        <f t="shared" si="148"/>
        <v>2600.3599999999997</v>
      </c>
      <c r="L461" s="24">
        <f t="shared" si="148"/>
        <v>2602.12</v>
      </c>
      <c r="M461" s="24"/>
      <c r="N461" s="24"/>
      <c r="O461" s="24"/>
      <c r="P461" s="24" t="str">
        <f>IF(((P459="")*AND(P460="")),"",(P459-P460)*4)</f>
        <v/>
      </c>
      <c r="Q461" s="61"/>
      <c r="R461" s="61"/>
      <c r="S461" s="61"/>
      <c r="T461" s="61"/>
      <c r="U461" s="61"/>
      <c r="V461" s="60"/>
      <c r="W461" s="61"/>
      <c r="X461" s="8"/>
    </row>
    <row r="462" spans="1:30" x14ac:dyDescent="0.25">
      <c r="A462" s="209">
        <v>43053</v>
      </c>
      <c r="B462" s="57" t="s">
        <v>159</v>
      </c>
      <c r="C462" s="51" t="s">
        <v>158</v>
      </c>
      <c r="D462" s="8">
        <v>6864.19</v>
      </c>
      <c r="E462" s="8">
        <v>6848.24</v>
      </c>
      <c r="F462" s="8">
        <v>6884.99</v>
      </c>
      <c r="G462" s="8">
        <v>6848.35</v>
      </c>
      <c r="H462" s="8">
        <v>6864.94</v>
      </c>
      <c r="I462" s="8">
        <v>6883.41</v>
      </c>
      <c r="J462" s="8">
        <v>6903.88</v>
      </c>
      <c r="K462" s="8">
        <v>6869.51</v>
      </c>
      <c r="L462" s="8">
        <v>6858.31</v>
      </c>
      <c r="M462" s="50"/>
      <c r="N462" s="50"/>
      <c r="O462" s="50"/>
      <c r="P462" s="50"/>
      <c r="Q462" s="57">
        <f>IF((L463=""),"",MAX(D464:L464))</f>
        <v>3392.66</v>
      </c>
      <c r="R462" s="57">
        <f>IF(L463="","",MIN(D464:L464))</f>
        <v>3296.7999999999993</v>
      </c>
      <c r="S462" s="58">
        <f>IF((L464=""),"",AVERAGE(D464:L464))</f>
        <v>3363.2622222222217</v>
      </c>
      <c r="T462" s="57">
        <f>IF((L463=""),"",((Q462-R462)/(Q462+R462))*100)</f>
        <v>1.433000571047597</v>
      </c>
      <c r="U462" s="56">
        <f>STDEV(D462:L462)</f>
        <v>18.333429923987943</v>
      </c>
      <c r="V462" s="55" t="str">
        <f>IF(L463="","",(IF(T462&lt;7,IF(S462&gt;2800,IF(S462&lt;3800,"Pass","Fail"),"Fail"),"Fail")))</f>
        <v>Pass</v>
      </c>
      <c r="W462" s="57">
        <v>1159</v>
      </c>
      <c r="Z462" s="53">
        <v>2800</v>
      </c>
      <c r="AA462" s="53">
        <v>3800</v>
      </c>
      <c r="AB462" s="53">
        <v>3100</v>
      </c>
      <c r="AC462" s="53">
        <v>3760</v>
      </c>
      <c r="AD462" s="52">
        <v>6</v>
      </c>
    </row>
    <row r="463" spans="1:30" ht="16.5" customHeight="1" x14ac:dyDescent="0.35">
      <c r="A463" s="206"/>
      <c r="B463" s="48"/>
      <c r="C463" s="51" t="s">
        <v>157</v>
      </c>
      <c r="D463" s="8">
        <v>5180.0600000000004</v>
      </c>
      <c r="E463" s="8">
        <v>5151.91</v>
      </c>
      <c r="F463" s="8">
        <v>5193.0200000000004</v>
      </c>
      <c r="G463" s="8">
        <v>5165.28</v>
      </c>
      <c r="H463" s="8">
        <v>5216.54</v>
      </c>
      <c r="I463" s="8">
        <v>5207.99</v>
      </c>
      <c r="J463" s="8">
        <v>5221.05</v>
      </c>
      <c r="K463" s="8">
        <v>5175.6400000000003</v>
      </c>
      <c r="L463" s="8">
        <v>5179.6499999999996</v>
      </c>
      <c r="M463" s="50"/>
      <c r="N463" s="50"/>
      <c r="O463" s="50"/>
      <c r="P463" s="50"/>
      <c r="Q463" s="48"/>
      <c r="R463" s="48"/>
      <c r="S463" s="49"/>
      <c r="T463" s="48"/>
      <c r="U463" s="48"/>
      <c r="V463" s="47"/>
      <c r="W463" s="48"/>
      <c r="X463" s="8"/>
    </row>
    <row r="464" spans="1:30" ht="24.8" customHeight="1" thickBot="1" x14ac:dyDescent="0.4">
      <c r="A464" s="206"/>
      <c r="B464" s="42"/>
      <c r="C464" s="45" t="s">
        <v>156</v>
      </c>
      <c r="D464" s="44">
        <f t="shared" ref="D464:L464" si="149">IF(((D462="")*AND(D463="")),"",(D462-D463)*2)</f>
        <v>3368.2599999999984</v>
      </c>
      <c r="E464" s="44">
        <f t="shared" si="149"/>
        <v>3392.66</v>
      </c>
      <c r="F464" s="44">
        <f t="shared" si="149"/>
        <v>3383.9399999999987</v>
      </c>
      <c r="G464" s="44">
        <f t="shared" si="149"/>
        <v>3366.1400000000012</v>
      </c>
      <c r="H464" s="44">
        <f t="shared" si="149"/>
        <v>3296.7999999999993</v>
      </c>
      <c r="I464" s="44">
        <f t="shared" si="149"/>
        <v>3350.84</v>
      </c>
      <c r="J464" s="44">
        <f t="shared" si="149"/>
        <v>3365.66</v>
      </c>
      <c r="K464" s="44">
        <f t="shared" si="149"/>
        <v>3387.74</v>
      </c>
      <c r="L464" s="44">
        <f t="shared" si="149"/>
        <v>3357.3200000000015</v>
      </c>
      <c r="M464" s="44"/>
      <c r="N464" s="44"/>
      <c r="O464" s="44"/>
      <c r="P464" s="44"/>
      <c r="Q464" s="42"/>
      <c r="R464" s="42"/>
      <c r="S464" s="43"/>
      <c r="T464" s="42"/>
      <c r="U464" s="42"/>
      <c r="V464" s="41"/>
      <c r="W464" s="42"/>
      <c r="X464" s="8"/>
    </row>
    <row r="465" spans="1:30" x14ac:dyDescent="0.25">
      <c r="A465" s="208">
        <v>43059</v>
      </c>
      <c r="B465" s="63" t="s">
        <v>160</v>
      </c>
      <c r="C465" s="56" t="s">
        <v>158</v>
      </c>
      <c r="D465" s="8">
        <v>1912.9</v>
      </c>
      <c r="E465" s="8">
        <v>1910.87</v>
      </c>
      <c r="F465" s="8">
        <v>1907.35</v>
      </c>
      <c r="G465" s="8">
        <v>1913.65</v>
      </c>
      <c r="H465" s="8">
        <v>1922.52</v>
      </c>
      <c r="I465" s="8">
        <v>1916.71</v>
      </c>
      <c r="J465" s="8">
        <v>1911.35</v>
      </c>
      <c r="K465" s="8">
        <v>1912.01</v>
      </c>
      <c r="L465" s="8">
        <v>1918.61</v>
      </c>
      <c r="M465" s="62"/>
      <c r="N465" s="62"/>
      <c r="O465" s="62"/>
      <c r="P465" s="62"/>
      <c r="Q465" s="63">
        <f>IF((L466=""),"",MAX(D467:L467))</f>
        <v>3206.8799999999992</v>
      </c>
      <c r="R465" s="63">
        <f>IF(L466="","",MIN(D467:L467))</f>
        <v>2755.2</v>
      </c>
      <c r="S465" s="63">
        <f>IF((L467=""),"",AVERAGE(D467:L467))</f>
        <v>2951.7022222222222</v>
      </c>
      <c r="T465" s="63">
        <f>IF((L466=""),"",((Q465-R465)/(Q465+R465))*100)</f>
        <v>7.575879558811681</v>
      </c>
      <c r="U465" s="51">
        <f>STDEV(D465:L465)</f>
        <v>4.576038133582383</v>
      </c>
      <c r="V465" s="64" t="str">
        <f>IF(L466="","",(IF(T465&lt;12,IF(S465&gt;2200,IF(S465&lt;3280,"Pass","Fail"),"Fail"),"Fail")))</f>
        <v>Pass</v>
      </c>
      <c r="W465" s="63">
        <v>121</v>
      </c>
      <c r="Y465" s="8" t="s">
        <v>180</v>
      </c>
      <c r="Z465" s="37">
        <v>2000</v>
      </c>
      <c r="AA465" s="37">
        <v>3000</v>
      </c>
      <c r="AB465" s="37">
        <v>2200</v>
      </c>
      <c r="AC465" s="37">
        <v>3280</v>
      </c>
      <c r="AD465" s="39">
        <v>12</v>
      </c>
    </row>
    <row r="466" spans="1:30" ht="16.5" customHeight="1" x14ac:dyDescent="0.35">
      <c r="A466" s="206"/>
      <c r="B466" s="48"/>
      <c r="C466" s="51" t="s">
        <v>157</v>
      </c>
      <c r="D466" s="8">
        <v>1158.04</v>
      </c>
      <c r="E466" s="8">
        <v>1201.2</v>
      </c>
      <c r="F466" s="8">
        <v>1218.55</v>
      </c>
      <c r="G466" s="8">
        <v>1196.76</v>
      </c>
      <c r="H466" s="8">
        <v>1136.96</v>
      </c>
      <c r="I466" s="8">
        <v>1160.57</v>
      </c>
      <c r="J466" s="8">
        <v>1209.22</v>
      </c>
      <c r="K466" s="8">
        <v>1186.45</v>
      </c>
      <c r="L466" s="8">
        <v>1116.8900000000001</v>
      </c>
      <c r="M466" s="50"/>
      <c r="N466" s="50"/>
      <c r="O466" s="50"/>
      <c r="P466" s="50"/>
      <c r="Q466" s="48"/>
      <c r="R466" s="48"/>
      <c r="S466" s="48"/>
      <c r="T466" s="48"/>
      <c r="U466" s="48"/>
      <c r="V466" s="47"/>
      <c r="W466" s="48"/>
      <c r="X466" s="8"/>
    </row>
    <row r="467" spans="1:30" ht="24.8" customHeight="1" thickBot="1" x14ac:dyDescent="0.4">
      <c r="A467" s="206"/>
      <c r="B467" s="61"/>
      <c r="C467" s="51" t="s">
        <v>156</v>
      </c>
      <c r="D467" s="24">
        <f t="shared" ref="D467:L467" si="150">IF(((D465="")*AND(D466="")),"",(D465-D466)*4)</f>
        <v>3019.4400000000005</v>
      </c>
      <c r="E467" s="24">
        <f t="shared" si="150"/>
        <v>2838.6799999999994</v>
      </c>
      <c r="F467" s="24">
        <f t="shared" si="150"/>
        <v>2755.2</v>
      </c>
      <c r="G467" s="24">
        <f t="shared" si="150"/>
        <v>2867.5600000000004</v>
      </c>
      <c r="H467" s="24">
        <f t="shared" si="150"/>
        <v>3142.24</v>
      </c>
      <c r="I467" s="24">
        <f t="shared" si="150"/>
        <v>3024.5600000000004</v>
      </c>
      <c r="J467" s="24">
        <f t="shared" si="150"/>
        <v>2808.5199999999995</v>
      </c>
      <c r="K467" s="24">
        <f t="shared" si="150"/>
        <v>2902.24</v>
      </c>
      <c r="L467" s="24">
        <f t="shared" si="150"/>
        <v>3206.8799999999992</v>
      </c>
      <c r="M467" s="24"/>
      <c r="N467" s="24"/>
      <c r="O467" s="24"/>
      <c r="P467" s="24" t="str">
        <f>IF(((P465="")*AND(P466="")),"",(P465-P466)*4)</f>
        <v/>
      </c>
      <c r="Q467" s="61"/>
      <c r="R467" s="61"/>
      <c r="S467" s="61"/>
      <c r="T467" s="61"/>
      <c r="U467" s="61"/>
      <c r="V467" s="60"/>
      <c r="W467" s="61"/>
      <c r="X467" s="8"/>
    </row>
    <row r="468" spans="1:30" x14ac:dyDescent="0.25">
      <c r="A468" s="209">
        <v>43059</v>
      </c>
      <c r="B468" s="57" t="s">
        <v>159</v>
      </c>
      <c r="C468" s="51" t="s">
        <v>158</v>
      </c>
      <c r="D468" s="8">
        <v>6883.04</v>
      </c>
      <c r="E468" s="8">
        <v>6844.13</v>
      </c>
      <c r="F468" s="8">
        <v>6874.94</v>
      </c>
      <c r="G468" s="8">
        <v>6848.5</v>
      </c>
      <c r="H468" s="8">
        <v>6900.3</v>
      </c>
      <c r="I468" s="8">
        <v>6911.99</v>
      </c>
      <c r="J468" s="8">
        <v>6905.35</v>
      </c>
      <c r="K468" s="8">
        <v>6859.1</v>
      </c>
      <c r="L468" s="8">
        <v>6881.28</v>
      </c>
      <c r="M468" s="50"/>
      <c r="N468" s="50"/>
      <c r="O468" s="50"/>
      <c r="P468" s="50"/>
      <c r="Q468" s="57">
        <f>IF((L469=""),"",MAX(D470:L470))</f>
        <v>3430.24</v>
      </c>
      <c r="R468" s="57">
        <f>IF(L469="","",MIN(D470:L470))</f>
        <v>3344</v>
      </c>
      <c r="S468" s="58">
        <f>IF((L470=""),"",AVERAGE(D470:L470))</f>
        <v>3402.0888888888894</v>
      </c>
      <c r="T468" s="57">
        <f>IF((L469=""),"",((Q468-R468)/(Q468+R468))*100)</f>
        <v>1.2730579371265232</v>
      </c>
      <c r="U468" s="56">
        <f>STDEV(D468:L468)</f>
        <v>24.535456486480928</v>
      </c>
      <c r="V468" s="55" t="str">
        <f>IF(L469="","",(IF(T468&lt;7,IF(S468&gt;2800,IF(S468&lt;3800,"Pass","Fail"),"Fail"),"Fail")))</f>
        <v>Pass</v>
      </c>
      <c r="W468" s="57">
        <v>121</v>
      </c>
      <c r="Z468" s="53">
        <v>2800</v>
      </c>
      <c r="AA468" s="53">
        <v>3800</v>
      </c>
      <c r="AB468" s="53">
        <v>3100</v>
      </c>
      <c r="AC468" s="53">
        <v>3760</v>
      </c>
      <c r="AD468" s="52">
        <v>6</v>
      </c>
    </row>
    <row r="469" spans="1:30" ht="16.5" customHeight="1" x14ac:dyDescent="0.35">
      <c r="A469" s="206"/>
      <c r="B469" s="48"/>
      <c r="C469" s="51" t="s">
        <v>157</v>
      </c>
      <c r="D469" s="8">
        <v>5188.47</v>
      </c>
      <c r="E469" s="8">
        <v>5129.01</v>
      </c>
      <c r="F469" s="8">
        <v>5159.87</v>
      </c>
      <c r="G469" s="8">
        <v>5139.6499999999996</v>
      </c>
      <c r="H469" s="8">
        <v>5221.71</v>
      </c>
      <c r="I469" s="8">
        <v>5204.24</v>
      </c>
      <c r="J469" s="8">
        <v>5193.0600000000004</v>
      </c>
      <c r="K469" s="8">
        <v>5153.9399999999996</v>
      </c>
      <c r="L469" s="8">
        <v>5209.28</v>
      </c>
      <c r="M469" s="50"/>
      <c r="N469" s="50"/>
      <c r="O469" s="50"/>
      <c r="P469" s="50"/>
      <c r="Q469" s="48"/>
      <c r="R469" s="48"/>
      <c r="S469" s="49"/>
      <c r="T469" s="48"/>
      <c r="U469" s="48"/>
      <c r="V469" s="47"/>
      <c r="W469" s="48"/>
      <c r="X469" s="8"/>
    </row>
    <row r="470" spans="1:30" ht="24.8" customHeight="1" thickBot="1" x14ac:dyDescent="0.4">
      <c r="A470" s="206"/>
      <c r="B470" s="42"/>
      <c r="C470" s="45" t="s">
        <v>156</v>
      </c>
      <c r="D470" s="44">
        <f t="shared" ref="D470:L470" si="151">IF(((D468="")*AND(D469="")),"",(D468-D469)*2)</f>
        <v>3389.1399999999994</v>
      </c>
      <c r="E470" s="44">
        <f t="shared" si="151"/>
        <v>3430.24</v>
      </c>
      <c r="F470" s="44">
        <f t="shared" si="151"/>
        <v>3430.1399999999994</v>
      </c>
      <c r="G470" s="44">
        <f t="shared" si="151"/>
        <v>3417.7000000000007</v>
      </c>
      <c r="H470" s="44">
        <f t="shared" si="151"/>
        <v>3357.1800000000003</v>
      </c>
      <c r="I470" s="44">
        <f t="shared" si="151"/>
        <v>3415.5</v>
      </c>
      <c r="J470" s="44">
        <f t="shared" si="151"/>
        <v>3424.58</v>
      </c>
      <c r="K470" s="44">
        <f t="shared" si="151"/>
        <v>3410.3200000000015</v>
      </c>
      <c r="L470" s="44">
        <f t="shared" si="151"/>
        <v>3344</v>
      </c>
      <c r="M470" s="44"/>
      <c r="N470" s="44"/>
      <c r="O470" s="44"/>
      <c r="P470" s="44"/>
      <c r="Q470" s="42"/>
      <c r="R470" s="42"/>
      <c r="S470" s="43"/>
      <c r="T470" s="42"/>
      <c r="U470" s="42"/>
      <c r="V470" s="41"/>
      <c r="W470" s="42"/>
      <c r="X470" s="8"/>
    </row>
    <row r="471" spans="1:30" x14ac:dyDescent="0.25">
      <c r="A471" s="208">
        <v>43067</v>
      </c>
      <c r="B471" s="63" t="s">
        <v>160</v>
      </c>
      <c r="C471" s="56" t="s">
        <v>158</v>
      </c>
      <c r="D471" s="8">
        <v>1166.73</v>
      </c>
      <c r="E471" s="8">
        <v>1207.21</v>
      </c>
      <c r="F471" s="8">
        <v>1215.3</v>
      </c>
      <c r="G471" s="8">
        <v>1199.3800000000001</v>
      </c>
      <c r="H471" s="8">
        <v>1138.1500000000001</v>
      </c>
      <c r="I471" s="8">
        <v>1163.96</v>
      </c>
      <c r="J471" s="8">
        <v>1213.1300000000001</v>
      </c>
      <c r="K471" s="8">
        <v>1191.53</v>
      </c>
      <c r="L471" s="8">
        <v>1124.1300000000001</v>
      </c>
      <c r="M471" s="62"/>
      <c r="N471" s="62"/>
      <c r="O471" s="62"/>
      <c r="P471" s="62"/>
      <c r="Q471" s="63">
        <f>IF((L472=""),"",MAX(D473:L473))</f>
        <v>3131.1600000000008</v>
      </c>
      <c r="R471" s="63">
        <f>IF(L472="","",MIN(D473:L473))</f>
        <v>2466.9199999999996</v>
      </c>
      <c r="S471" s="63">
        <f>IF((L473=""),"",AVERAGE(D473:L473))</f>
        <v>2871.577777777778</v>
      </c>
      <c r="T471" s="63">
        <f>IF((L472=""),"",((Q471-R471)/(Q471+R471))*100)</f>
        <v>11.865496741740046</v>
      </c>
      <c r="U471" s="51">
        <f>STDEV(D471:L471)</f>
        <v>33.351957588723316</v>
      </c>
      <c r="V471" s="64" t="str">
        <f>IF(L472="","",(IF(T471&lt;12,IF(S471&gt;2200,IF(S471&lt;3280,"Pass","Fail"),"Fail"),"Fail")))</f>
        <v>Pass</v>
      </c>
      <c r="W471" s="63">
        <v>102</v>
      </c>
      <c r="Y471" s="8" t="s">
        <v>180</v>
      </c>
      <c r="Z471" s="37">
        <v>2000</v>
      </c>
      <c r="AA471" s="37">
        <v>3000</v>
      </c>
      <c r="AB471" s="37">
        <v>2200</v>
      </c>
      <c r="AC471" s="37">
        <v>3280</v>
      </c>
      <c r="AD471" s="39">
        <v>12</v>
      </c>
    </row>
    <row r="472" spans="1:30" ht="16.5" customHeight="1" x14ac:dyDescent="0.35">
      <c r="A472" s="206"/>
      <c r="B472" s="48"/>
      <c r="C472" s="51" t="s">
        <v>157</v>
      </c>
      <c r="D472" s="8">
        <v>419.57</v>
      </c>
      <c r="E472" s="8">
        <v>509.14</v>
      </c>
      <c r="F472" s="8">
        <v>598.57000000000005</v>
      </c>
      <c r="G472" s="8">
        <v>495.6</v>
      </c>
      <c r="H472" s="8">
        <v>375.42</v>
      </c>
      <c r="I472" s="8">
        <v>419.78</v>
      </c>
      <c r="J472" s="8">
        <v>519.39</v>
      </c>
      <c r="K472" s="8">
        <v>479.66</v>
      </c>
      <c r="L472" s="8">
        <v>341.34</v>
      </c>
      <c r="M472" s="50"/>
      <c r="N472" s="50"/>
      <c r="O472" s="50"/>
      <c r="P472" s="50"/>
      <c r="Q472" s="48"/>
      <c r="R472" s="48"/>
      <c r="S472" s="48"/>
      <c r="T472" s="48"/>
      <c r="U472" s="48"/>
      <c r="V472" s="47"/>
      <c r="W472" s="48"/>
      <c r="X472" s="8"/>
    </row>
    <row r="473" spans="1:30" ht="24.8" customHeight="1" thickBot="1" x14ac:dyDescent="0.4">
      <c r="A473" s="206"/>
      <c r="B473" s="61"/>
      <c r="C473" s="51" t="s">
        <v>156</v>
      </c>
      <c r="D473" s="24">
        <f t="shared" ref="D473:L473" si="152">IF(((D471="")*AND(D472="")),"",(D471-D472)*4)</f>
        <v>2988.6400000000003</v>
      </c>
      <c r="E473" s="24">
        <f t="shared" si="152"/>
        <v>2792.28</v>
      </c>
      <c r="F473" s="24">
        <f t="shared" si="152"/>
        <v>2466.9199999999996</v>
      </c>
      <c r="G473" s="24">
        <f t="shared" si="152"/>
        <v>2815.1200000000003</v>
      </c>
      <c r="H473" s="24">
        <f t="shared" si="152"/>
        <v>3050.92</v>
      </c>
      <c r="I473" s="24">
        <f t="shared" si="152"/>
        <v>2976.7200000000003</v>
      </c>
      <c r="J473" s="24">
        <f t="shared" si="152"/>
        <v>2774.9600000000005</v>
      </c>
      <c r="K473" s="24">
        <f t="shared" si="152"/>
        <v>2847.4799999999996</v>
      </c>
      <c r="L473" s="24">
        <f t="shared" si="152"/>
        <v>3131.1600000000008</v>
      </c>
      <c r="M473" s="24"/>
      <c r="N473" s="24"/>
      <c r="O473" s="24"/>
      <c r="P473" s="24" t="str">
        <f>IF(((P471="")*AND(P472="")),"",(P471-P472)*4)</f>
        <v/>
      </c>
      <c r="Q473" s="61"/>
      <c r="R473" s="61"/>
      <c r="S473" s="61"/>
      <c r="T473" s="61"/>
      <c r="U473" s="61"/>
      <c r="V473" s="60"/>
      <c r="W473" s="61"/>
      <c r="X473" s="8"/>
    </row>
    <row r="474" spans="1:30" x14ac:dyDescent="0.25">
      <c r="A474" s="209">
        <v>43067</v>
      </c>
      <c r="B474" s="57" t="s">
        <v>159</v>
      </c>
      <c r="C474" s="51" t="s">
        <v>158</v>
      </c>
      <c r="D474" s="8">
        <v>5200.03</v>
      </c>
      <c r="E474" s="8">
        <v>5140.33</v>
      </c>
      <c r="F474" s="8">
        <v>5171.38</v>
      </c>
      <c r="G474" s="8">
        <v>5150.6099999999997</v>
      </c>
      <c r="H474" s="8">
        <v>5231.92</v>
      </c>
      <c r="I474" s="8">
        <v>5214.84</v>
      </c>
      <c r="J474" s="8">
        <v>5204.62</v>
      </c>
      <c r="K474" s="8">
        <v>5165.08</v>
      </c>
      <c r="L474" s="8">
        <v>5220.5600000000004</v>
      </c>
      <c r="M474" s="50"/>
      <c r="N474" s="50"/>
      <c r="O474" s="50"/>
      <c r="P474" s="50"/>
      <c r="Q474" s="57">
        <f>IF((L475=""),"",MAX(D476:L476))</f>
        <v>3558.8</v>
      </c>
      <c r="R474" s="57">
        <f>IF(L475="","",MIN(D476:L476))</f>
        <v>3473.54</v>
      </c>
      <c r="S474" s="58">
        <f>IF((L476=""),"",AVERAGE(D476:L476))</f>
        <v>3513.3555555555554</v>
      </c>
      <c r="T474" s="57">
        <f>IF((L475=""),"",((Q474-R474)/(Q474+R474))*100)</f>
        <v>1.2123987179231979</v>
      </c>
      <c r="U474" s="56">
        <f>STDEV(D474:L474)</f>
        <v>32.780343746079275</v>
      </c>
      <c r="V474" s="55" t="str">
        <f>IF(L475="","",(IF(T474&lt;7,IF(S474&gt;2800,IF(S474&lt;3800,"Pass","Fail"),"Fail"),"Fail")))</f>
        <v>Pass</v>
      </c>
      <c r="W474" s="57">
        <v>102</v>
      </c>
      <c r="Z474" s="53">
        <v>2800</v>
      </c>
      <c r="AA474" s="53">
        <v>3800</v>
      </c>
      <c r="AB474" s="53">
        <v>3100</v>
      </c>
      <c r="AC474" s="53">
        <v>3760</v>
      </c>
      <c r="AD474" s="52">
        <v>6</v>
      </c>
    </row>
    <row r="475" spans="1:30" ht="16.5" customHeight="1" x14ac:dyDescent="0.35">
      <c r="A475" s="206"/>
      <c r="B475" s="48"/>
      <c r="C475" s="51" t="s">
        <v>157</v>
      </c>
      <c r="D475" s="8">
        <v>3432.96</v>
      </c>
      <c r="E475" s="8">
        <v>3374.35</v>
      </c>
      <c r="F475" s="8">
        <v>3413.44</v>
      </c>
      <c r="G475" s="8">
        <v>3398.63</v>
      </c>
      <c r="H475" s="8">
        <v>3495.15</v>
      </c>
      <c r="I475" s="8">
        <v>3435.44</v>
      </c>
      <c r="J475" s="8">
        <v>3447.19</v>
      </c>
      <c r="K475" s="8">
        <v>3411.85</v>
      </c>
      <c r="L475" s="8">
        <v>3480.26</v>
      </c>
      <c r="M475" s="50"/>
      <c r="N475" s="50"/>
      <c r="O475" s="50"/>
      <c r="P475" s="50"/>
      <c r="Q475" s="48"/>
      <c r="R475" s="48"/>
      <c r="S475" s="49"/>
      <c r="T475" s="48"/>
      <c r="U475" s="48"/>
      <c r="V475" s="47"/>
      <c r="W475" s="48"/>
      <c r="X475" s="8"/>
    </row>
    <row r="476" spans="1:30" ht="24.8" customHeight="1" thickBot="1" x14ac:dyDescent="0.4">
      <c r="A476" s="206"/>
      <c r="B476" s="42"/>
      <c r="C476" s="45" t="s">
        <v>156</v>
      </c>
      <c r="D476" s="44">
        <f t="shared" ref="D476:L476" si="153">IF(((D474="")*AND(D475="")),"",(D474-D475)*2)</f>
        <v>3534.1399999999994</v>
      </c>
      <c r="E476" s="44">
        <f t="shared" si="153"/>
        <v>3531.96</v>
      </c>
      <c r="F476" s="44">
        <f t="shared" si="153"/>
        <v>3515.88</v>
      </c>
      <c r="G476" s="44">
        <f t="shared" si="153"/>
        <v>3503.9599999999991</v>
      </c>
      <c r="H476" s="44">
        <f t="shared" si="153"/>
        <v>3473.54</v>
      </c>
      <c r="I476" s="44">
        <f t="shared" si="153"/>
        <v>3558.8</v>
      </c>
      <c r="J476" s="44">
        <f t="shared" si="153"/>
        <v>3514.8599999999997</v>
      </c>
      <c r="K476" s="44">
        <f t="shared" si="153"/>
        <v>3506.46</v>
      </c>
      <c r="L476" s="44">
        <f t="shared" si="153"/>
        <v>3480.6000000000004</v>
      </c>
      <c r="M476" s="44"/>
      <c r="N476" s="44"/>
      <c r="O476" s="44"/>
      <c r="P476" s="44"/>
      <c r="Q476" s="42"/>
      <c r="R476" s="42"/>
      <c r="S476" s="43"/>
      <c r="T476" s="42"/>
      <c r="U476" s="42"/>
      <c r="V476" s="41"/>
      <c r="W476" s="42"/>
      <c r="X476" s="8"/>
    </row>
    <row r="477" spans="1:30" x14ac:dyDescent="0.25">
      <c r="A477" s="208">
        <v>43080</v>
      </c>
      <c r="B477" s="63" t="s">
        <v>160</v>
      </c>
      <c r="C477" s="56" t="s">
        <v>158</v>
      </c>
      <c r="D477" s="8">
        <v>1939.08</v>
      </c>
      <c r="E477" s="8">
        <v>1929.64</v>
      </c>
      <c r="F477" s="8">
        <v>1930.52</v>
      </c>
      <c r="G477" s="8">
        <v>1933.82</v>
      </c>
      <c r="H477" s="8">
        <v>1943.23</v>
      </c>
      <c r="I477" s="8">
        <v>1940.6</v>
      </c>
      <c r="J477" s="8">
        <v>1932.92</v>
      </c>
      <c r="K477" s="8">
        <v>1932.28</v>
      </c>
      <c r="L477" s="8">
        <v>1938.28</v>
      </c>
      <c r="M477" s="62"/>
      <c r="N477" s="62"/>
      <c r="O477" s="62"/>
      <c r="P477" s="62"/>
      <c r="Q477" s="63">
        <f>IF((L478=""),"",MAX(D479:L479))</f>
        <v>3219.12</v>
      </c>
      <c r="R477" s="63">
        <f>IF(L478="","",MIN(D479:L479))</f>
        <v>2822.6400000000003</v>
      </c>
      <c r="S477" s="63">
        <f>IF((L479=""),"",AVERAGE(D479:L479))</f>
        <v>2986.1733333333332</v>
      </c>
      <c r="T477" s="63">
        <f>IF((L478=""),"",((Q477-R477)/(Q477+R477))*100)</f>
        <v>6.5623262095813066</v>
      </c>
      <c r="U477" s="51">
        <f>STDEV(D477:L477)</f>
        <v>4.8115849779464268</v>
      </c>
      <c r="V477" s="64" t="str">
        <f>IF(L478="","",(IF(T477&lt;12,IF(S477&gt;2200,IF(S477&lt;3280,"Pass","Fail"),"Fail"),"Fail")))</f>
        <v>Pass</v>
      </c>
      <c r="W477" s="63">
        <v>1335</v>
      </c>
      <c r="Z477" s="37">
        <v>2000</v>
      </c>
      <c r="AA477" s="37">
        <v>3000</v>
      </c>
      <c r="AB477" s="37">
        <v>2200</v>
      </c>
      <c r="AC477" s="37">
        <v>3280</v>
      </c>
      <c r="AD477" s="39">
        <v>12</v>
      </c>
    </row>
    <row r="478" spans="1:30" ht="16.5" customHeight="1" x14ac:dyDescent="0.35">
      <c r="A478" s="206"/>
      <c r="B478" s="48"/>
      <c r="C478" s="51" t="s">
        <v>157</v>
      </c>
      <c r="D478" s="8">
        <v>1171.8699999999999</v>
      </c>
      <c r="E478" s="8">
        <v>1214.54</v>
      </c>
      <c r="F478" s="8">
        <v>1204</v>
      </c>
      <c r="G478" s="8">
        <v>1215.8</v>
      </c>
      <c r="H478" s="8">
        <v>1153.01</v>
      </c>
      <c r="I478" s="8">
        <v>1180.83</v>
      </c>
      <c r="J478" s="8">
        <v>1227.26</v>
      </c>
      <c r="K478" s="8">
        <v>1200.67</v>
      </c>
      <c r="L478" s="8">
        <v>1133.5</v>
      </c>
      <c r="M478" s="50"/>
      <c r="N478" s="50"/>
      <c r="O478" s="50"/>
      <c r="P478" s="50"/>
      <c r="Q478" s="48"/>
      <c r="R478" s="48"/>
      <c r="S478" s="48"/>
      <c r="T478" s="48"/>
      <c r="U478" s="48"/>
      <c r="V478" s="47"/>
      <c r="W478" s="48"/>
      <c r="X478" s="8"/>
    </row>
    <row r="479" spans="1:30" ht="24.8" customHeight="1" thickBot="1" x14ac:dyDescent="0.4">
      <c r="A479" s="206"/>
      <c r="B479" s="61"/>
      <c r="C479" s="51" t="s">
        <v>156</v>
      </c>
      <c r="D479" s="24">
        <f t="shared" ref="D479:L479" si="154">IF(((D477="")*AND(D478="")),"",(D477-D478)*4)</f>
        <v>3068.84</v>
      </c>
      <c r="E479" s="24">
        <f t="shared" si="154"/>
        <v>2860.4000000000005</v>
      </c>
      <c r="F479" s="24">
        <f t="shared" si="154"/>
        <v>2906.08</v>
      </c>
      <c r="G479" s="24">
        <f t="shared" si="154"/>
        <v>2872.08</v>
      </c>
      <c r="H479" s="24">
        <f t="shared" si="154"/>
        <v>3160.88</v>
      </c>
      <c r="I479" s="24">
        <f t="shared" si="154"/>
        <v>3039.08</v>
      </c>
      <c r="J479" s="24">
        <f t="shared" si="154"/>
        <v>2822.6400000000003</v>
      </c>
      <c r="K479" s="24">
        <f t="shared" si="154"/>
        <v>2926.4399999999996</v>
      </c>
      <c r="L479" s="24">
        <f t="shared" si="154"/>
        <v>3219.12</v>
      </c>
      <c r="M479" s="24"/>
      <c r="N479" s="24"/>
      <c r="O479" s="24"/>
      <c r="P479" s="24" t="str">
        <f>IF(((P477="")*AND(P478="")),"",(P477-P478)*4)</f>
        <v/>
      </c>
      <c r="Q479" s="61"/>
      <c r="R479" s="61"/>
      <c r="S479" s="61"/>
      <c r="T479" s="61"/>
      <c r="U479" s="61"/>
      <c r="V479" s="60"/>
      <c r="W479" s="61"/>
      <c r="X479" s="8"/>
    </row>
    <row r="480" spans="1:30" x14ac:dyDescent="0.25">
      <c r="A480" s="209">
        <v>43080</v>
      </c>
      <c r="B480" s="57" t="s">
        <v>159</v>
      </c>
      <c r="C480" s="51" t="s">
        <v>158</v>
      </c>
      <c r="D480" s="8">
        <v>6879.52</v>
      </c>
      <c r="E480" s="8">
        <v>6855.11</v>
      </c>
      <c r="F480" s="8">
        <v>6873.5</v>
      </c>
      <c r="G480" s="8">
        <v>6847.52</v>
      </c>
      <c r="H480" s="8">
        <v>6881.86</v>
      </c>
      <c r="I480" s="8">
        <v>6894.24</v>
      </c>
      <c r="J480" s="8">
        <v>6891.4</v>
      </c>
      <c r="K480" s="8">
        <v>6859.33</v>
      </c>
      <c r="L480" s="8">
        <v>6862.93</v>
      </c>
      <c r="M480" s="50"/>
      <c r="N480" s="50"/>
      <c r="O480" s="50"/>
      <c r="P480" s="50"/>
      <c r="Q480" s="57">
        <f>IF((L481=""),"",MAX(D482:L482))</f>
        <v>3512.16</v>
      </c>
      <c r="R480" s="57">
        <f>IF(L481="","",MIN(D482:L482))</f>
        <v>3448.08</v>
      </c>
      <c r="S480" s="58">
        <f>IF((L482=""),"",AVERAGE(D482:L482))</f>
        <v>3491.5355555555557</v>
      </c>
      <c r="T480" s="57">
        <f>IF((L481=""),"",((Q480-R480)/(Q480+R480))*100)</f>
        <v>0.920657908347987</v>
      </c>
      <c r="U480" s="56">
        <f>STDEV(D480:L480)</f>
        <v>16.407271846484406</v>
      </c>
      <c r="V480" s="55" t="str">
        <f>IF(L481="","",(IF(T480&lt;7,IF(S480&gt;2800,IF(S480&lt;3800,"Pass","Fail"),"Fail"),"Fail")))</f>
        <v>Pass</v>
      </c>
      <c r="W480" s="57">
        <v>1335</v>
      </c>
      <c r="Z480" s="53">
        <v>2800</v>
      </c>
      <c r="AA480" s="53">
        <v>3800</v>
      </c>
      <c r="AB480" s="53">
        <v>3100</v>
      </c>
      <c r="AC480" s="53">
        <v>3760</v>
      </c>
      <c r="AD480" s="52">
        <v>6</v>
      </c>
    </row>
    <row r="481" spans="1:30" ht="16.5" customHeight="1" x14ac:dyDescent="0.35">
      <c r="A481" s="206"/>
      <c r="B481" s="48"/>
      <c r="C481" s="51" t="s">
        <v>157</v>
      </c>
      <c r="D481" s="8">
        <v>5127.12</v>
      </c>
      <c r="E481" s="8">
        <v>5099.03</v>
      </c>
      <c r="F481" s="8">
        <v>5123.1099999999997</v>
      </c>
      <c r="G481" s="8">
        <v>5102.2299999999996</v>
      </c>
      <c r="H481" s="8">
        <v>5157.82</v>
      </c>
      <c r="I481" s="8">
        <v>5141.91</v>
      </c>
      <c r="J481" s="8">
        <v>5142.03</v>
      </c>
      <c r="K481" s="8">
        <v>5111.6400000000003</v>
      </c>
      <c r="L481" s="8">
        <v>5128.6099999999997</v>
      </c>
      <c r="M481" s="50"/>
      <c r="N481" s="50"/>
      <c r="O481" s="50"/>
      <c r="P481" s="50"/>
      <c r="Q481" s="48"/>
      <c r="R481" s="48"/>
      <c r="S481" s="49"/>
      <c r="T481" s="48"/>
      <c r="U481" s="48"/>
      <c r="V481" s="47"/>
      <c r="W481" s="48"/>
      <c r="X481" s="8"/>
    </row>
    <row r="482" spans="1:30" ht="24.8" customHeight="1" thickBot="1" x14ac:dyDescent="0.4">
      <c r="A482" s="206"/>
      <c r="B482" s="42"/>
      <c r="C482" s="45" t="s">
        <v>156</v>
      </c>
      <c r="D482" s="44">
        <f t="shared" ref="D482:L482" si="155">IF(((D480="")*AND(D481="")),"",(D480-D481)*2)</f>
        <v>3504.8000000000011</v>
      </c>
      <c r="E482" s="44">
        <f t="shared" si="155"/>
        <v>3512.16</v>
      </c>
      <c r="F482" s="44">
        <f t="shared" si="155"/>
        <v>3500.7800000000007</v>
      </c>
      <c r="G482" s="44">
        <f t="shared" si="155"/>
        <v>3490.5800000000017</v>
      </c>
      <c r="H482" s="44">
        <f t="shared" si="155"/>
        <v>3448.08</v>
      </c>
      <c r="I482" s="44">
        <f t="shared" si="155"/>
        <v>3504.66</v>
      </c>
      <c r="J482" s="44">
        <f t="shared" si="155"/>
        <v>3498.74</v>
      </c>
      <c r="K482" s="44">
        <f t="shared" si="155"/>
        <v>3495.3799999999992</v>
      </c>
      <c r="L482" s="44">
        <f t="shared" si="155"/>
        <v>3468.6400000000012</v>
      </c>
      <c r="M482" s="44"/>
      <c r="N482" s="44"/>
      <c r="O482" s="44"/>
      <c r="P482" s="44"/>
      <c r="Q482" s="42"/>
      <c r="R482" s="42"/>
      <c r="S482" s="43"/>
      <c r="T482" s="42"/>
      <c r="U482" s="42"/>
      <c r="V482" s="41"/>
      <c r="W482" s="42"/>
      <c r="X482" s="8"/>
    </row>
    <row r="483" spans="1:30" x14ac:dyDescent="0.25">
      <c r="A483" s="208">
        <v>43091</v>
      </c>
      <c r="B483" s="63" t="s">
        <v>160</v>
      </c>
      <c r="C483" s="56" t="s">
        <v>158</v>
      </c>
      <c r="D483" s="8">
        <v>1176.07</v>
      </c>
      <c r="E483" s="8">
        <v>1216.77</v>
      </c>
      <c r="F483" s="8">
        <v>1234.1300000000001</v>
      </c>
      <c r="G483" s="8">
        <v>1218.05</v>
      </c>
      <c r="H483" s="8">
        <v>1157.19</v>
      </c>
      <c r="I483" s="8">
        <v>1184.56</v>
      </c>
      <c r="J483" s="8">
        <v>1229.8</v>
      </c>
      <c r="K483" s="8">
        <v>1203.3499999999999</v>
      </c>
      <c r="L483" s="8">
        <v>1136.9000000000001</v>
      </c>
      <c r="M483" s="62"/>
      <c r="N483" s="62"/>
      <c r="O483" s="62"/>
      <c r="P483" s="62"/>
      <c r="Q483" s="63">
        <f>IF((L484=""),"",MAX(D485:L485))</f>
        <v>3153</v>
      </c>
      <c r="R483" s="63">
        <f>IF(L484="","",MIN(D485:L485))</f>
        <v>2752.5200000000004</v>
      </c>
      <c r="S483" s="63">
        <f>IF((L485=""),"",AVERAGE(D485:L485))</f>
        <v>2934.0888888888894</v>
      </c>
      <c r="T483" s="63">
        <f>IF((L484=""),"",((Q483-R483)/(Q483+R483))*100)</f>
        <v>6.7814519297199825</v>
      </c>
      <c r="U483" s="51">
        <f>STDEV(D483:L483)</f>
        <v>33.70706779659784</v>
      </c>
      <c r="V483" s="64" t="str">
        <f>IF(L484="","",(IF(T483&lt;12,IF(S483&gt;2200,IF(S483&lt;3280,"Pass","Fail"),"Fail"),"Fail")))</f>
        <v>Pass</v>
      </c>
      <c r="W483" s="63">
        <v>121</v>
      </c>
      <c r="Z483" s="37">
        <v>2000</v>
      </c>
      <c r="AA483" s="37">
        <v>3000</v>
      </c>
      <c r="AB483" s="37">
        <v>2200</v>
      </c>
      <c r="AC483" s="37">
        <v>3280</v>
      </c>
      <c r="AD483" s="39">
        <v>12</v>
      </c>
    </row>
    <row r="484" spans="1:30" ht="16.5" customHeight="1" x14ac:dyDescent="0.35">
      <c r="A484" s="206"/>
      <c r="B484" s="48"/>
      <c r="C484" s="51" t="s">
        <v>157</v>
      </c>
      <c r="D484" s="8">
        <v>422.85</v>
      </c>
      <c r="E484" s="8">
        <v>515.74</v>
      </c>
      <c r="F484" s="8">
        <v>546</v>
      </c>
      <c r="G484" s="8">
        <v>508.51</v>
      </c>
      <c r="H484" s="8">
        <v>368.94</v>
      </c>
      <c r="I484" s="8">
        <v>427.44</v>
      </c>
      <c r="J484" s="8">
        <v>532.79</v>
      </c>
      <c r="K484" s="8">
        <v>483.76</v>
      </c>
      <c r="L484" s="8">
        <v>349.09</v>
      </c>
      <c r="M484" s="50"/>
      <c r="N484" s="50"/>
      <c r="O484" s="50"/>
      <c r="P484" s="50"/>
      <c r="Q484" s="48"/>
      <c r="R484" s="48"/>
      <c r="S484" s="48"/>
      <c r="T484" s="48"/>
      <c r="U484" s="48"/>
      <c r="V484" s="47"/>
      <c r="W484" s="48"/>
      <c r="X484" s="8"/>
    </row>
    <row r="485" spans="1:30" ht="24.8" customHeight="1" thickBot="1" x14ac:dyDescent="0.4">
      <c r="A485" s="206"/>
      <c r="B485" s="61"/>
      <c r="C485" s="51" t="s">
        <v>156</v>
      </c>
      <c r="D485" s="24">
        <f t="shared" ref="D485:L485" si="156">IF(((D483="")*AND(D484="")),"",(D483-D484)*4)</f>
        <v>3012.8799999999997</v>
      </c>
      <c r="E485" s="24">
        <f t="shared" si="156"/>
        <v>2804.12</v>
      </c>
      <c r="F485" s="24">
        <f t="shared" si="156"/>
        <v>2752.5200000000004</v>
      </c>
      <c r="G485" s="24">
        <f t="shared" si="156"/>
        <v>2838.16</v>
      </c>
      <c r="H485" s="24">
        <f t="shared" si="156"/>
        <v>3153</v>
      </c>
      <c r="I485" s="24">
        <f t="shared" si="156"/>
        <v>3028.4799999999996</v>
      </c>
      <c r="J485" s="24">
        <f t="shared" si="156"/>
        <v>2788.04</v>
      </c>
      <c r="K485" s="24">
        <f t="shared" si="156"/>
        <v>2878.3599999999997</v>
      </c>
      <c r="L485" s="24">
        <f t="shared" si="156"/>
        <v>3151.2400000000007</v>
      </c>
      <c r="M485" s="24"/>
      <c r="N485" s="24"/>
      <c r="O485" s="24"/>
      <c r="P485" s="24" t="str">
        <f>IF(((P483="")*AND(P484="")),"",(P483-P484)*4)</f>
        <v/>
      </c>
      <c r="Q485" s="61"/>
      <c r="R485" s="61"/>
      <c r="S485" s="61"/>
      <c r="T485" s="61"/>
      <c r="U485" s="61"/>
      <c r="V485" s="60"/>
      <c r="W485" s="61"/>
      <c r="X485" s="8"/>
    </row>
    <row r="486" spans="1:30" x14ac:dyDescent="0.25">
      <c r="A486" s="209">
        <v>43091</v>
      </c>
      <c r="B486" s="57" t="s">
        <v>159</v>
      </c>
      <c r="C486" s="51" t="s">
        <v>158</v>
      </c>
      <c r="D486" s="8">
        <v>5138.3</v>
      </c>
      <c r="E486" s="8">
        <v>5110.26</v>
      </c>
      <c r="F486" s="8">
        <v>5134.78</v>
      </c>
      <c r="G486" s="8">
        <v>5113.59</v>
      </c>
      <c r="H486" s="8">
        <v>5168.2700000000004</v>
      </c>
      <c r="I486" s="8">
        <v>5153.1099999999997</v>
      </c>
      <c r="J486" s="8">
        <v>5153.67</v>
      </c>
      <c r="K486" s="8">
        <v>5122.7</v>
      </c>
      <c r="L486" s="8">
        <v>5139.22</v>
      </c>
      <c r="M486" s="50"/>
      <c r="N486" s="50"/>
      <c r="O486" s="50"/>
      <c r="P486" s="50"/>
      <c r="Q486" s="57">
        <f>IF((L487=""),"",MAX(D488:L488))</f>
        <v>3476.1000000000004</v>
      </c>
      <c r="R486" s="57">
        <f>IF(L487="","",MIN(D488:L488))</f>
        <v>3390.5200000000004</v>
      </c>
      <c r="S486" s="58">
        <f>IF((L488=""),"",AVERAGE(D488:L488))</f>
        <v>3448.4599999999996</v>
      </c>
      <c r="T486" s="57">
        <f>IF((L487=""),"",((Q486-R486)/(Q486+R486))*100)</f>
        <v>1.2463191497417931</v>
      </c>
      <c r="U486" s="56">
        <f>STDEV(D486:L486)</f>
        <v>19.346305848921158</v>
      </c>
      <c r="V486" s="55" t="str">
        <f>IF(L487="","",(IF(T486&lt;7,IF(S486&gt;2800,IF(S486&lt;3800,"Pass","Fail"),"Fail"),"Fail")))</f>
        <v>Pass</v>
      </c>
      <c r="W486" s="57">
        <v>121</v>
      </c>
      <c r="Z486" s="53">
        <v>2800</v>
      </c>
      <c r="AA486" s="53">
        <v>3800</v>
      </c>
      <c r="AB486" s="53">
        <v>3100</v>
      </c>
      <c r="AC486" s="53">
        <v>3760</v>
      </c>
      <c r="AD486" s="52">
        <v>6</v>
      </c>
    </row>
    <row r="487" spans="1:30" ht="16.5" customHeight="1" x14ac:dyDescent="0.35">
      <c r="A487" s="206"/>
      <c r="B487" s="48"/>
      <c r="C487" s="51" t="s">
        <v>157</v>
      </c>
      <c r="D487" s="8">
        <v>3407.93</v>
      </c>
      <c r="E487" s="8">
        <v>3372.21</v>
      </c>
      <c r="F487" s="8">
        <v>3403.37</v>
      </c>
      <c r="G487" s="8">
        <v>3389.53</v>
      </c>
      <c r="H487" s="8">
        <v>3473.01</v>
      </c>
      <c r="I487" s="8">
        <v>3422.9</v>
      </c>
      <c r="J487" s="8">
        <v>3425.91</v>
      </c>
      <c r="K487" s="8">
        <v>3393.49</v>
      </c>
      <c r="L487" s="8">
        <v>3427.48</v>
      </c>
      <c r="M487" s="50"/>
      <c r="N487" s="50"/>
      <c r="O487" s="50"/>
      <c r="P487" s="50"/>
      <c r="Q487" s="48"/>
      <c r="R487" s="48"/>
      <c r="S487" s="49"/>
      <c r="T487" s="48"/>
      <c r="U487" s="48"/>
      <c r="V487" s="47"/>
      <c r="W487" s="48"/>
      <c r="X487" s="8"/>
    </row>
    <row r="488" spans="1:30" ht="24.8" customHeight="1" thickBot="1" x14ac:dyDescent="0.4">
      <c r="A488" s="206"/>
      <c r="B488" s="42"/>
      <c r="C488" s="45" t="s">
        <v>156</v>
      </c>
      <c r="D488" s="44">
        <f t="shared" ref="D488:L488" si="157">IF(((D486="")*AND(D487="")),"",(D486-D487)*2)</f>
        <v>3460.7400000000007</v>
      </c>
      <c r="E488" s="44">
        <f t="shared" si="157"/>
        <v>3476.1000000000004</v>
      </c>
      <c r="F488" s="44">
        <f t="shared" si="157"/>
        <v>3462.8199999999997</v>
      </c>
      <c r="G488" s="44">
        <f t="shared" si="157"/>
        <v>3448.12</v>
      </c>
      <c r="H488" s="44">
        <f t="shared" si="157"/>
        <v>3390.5200000000004</v>
      </c>
      <c r="I488" s="44">
        <f t="shared" si="157"/>
        <v>3460.4199999999992</v>
      </c>
      <c r="J488" s="44">
        <f t="shared" si="157"/>
        <v>3455.5200000000004</v>
      </c>
      <c r="K488" s="44">
        <f t="shared" si="157"/>
        <v>3458.42</v>
      </c>
      <c r="L488" s="44">
        <f t="shared" si="157"/>
        <v>3423.4800000000005</v>
      </c>
      <c r="M488" s="44"/>
      <c r="N488" s="44"/>
      <c r="O488" s="44"/>
      <c r="P488" s="44"/>
      <c r="Q488" s="42"/>
      <c r="R488" s="42"/>
      <c r="S488" s="43"/>
      <c r="T488" s="42"/>
      <c r="U488" s="42"/>
      <c r="V488" s="41"/>
      <c r="W488" s="42"/>
      <c r="X488" s="8"/>
    </row>
    <row r="489" spans="1:30" x14ac:dyDescent="0.25">
      <c r="A489" s="208">
        <v>43098</v>
      </c>
      <c r="B489" s="63" t="s">
        <v>160</v>
      </c>
      <c r="C489" s="56" t="s">
        <v>158</v>
      </c>
      <c r="D489" s="8">
        <v>1324.47</v>
      </c>
      <c r="E489" s="8">
        <v>1305.76</v>
      </c>
      <c r="F489" s="8">
        <v>1316.87</v>
      </c>
      <c r="G489" s="8">
        <v>1306.49</v>
      </c>
      <c r="H489" s="8">
        <v>1317.37</v>
      </c>
      <c r="I489" s="8">
        <v>1340.26</v>
      </c>
      <c r="J489" s="8">
        <v>1318.06</v>
      </c>
      <c r="K489" s="8">
        <v>1295.8900000000001</v>
      </c>
      <c r="L489" s="8">
        <v>1296.55</v>
      </c>
      <c r="M489" s="62"/>
      <c r="N489" s="62"/>
      <c r="O489" s="62"/>
      <c r="P489" s="62"/>
      <c r="Q489" s="63">
        <f>IF((L490=""),"",MAX(D491:L491))</f>
        <v>3128.9199999999996</v>
      </c>
      <c r="R489" s="63">
        <f>IF(L490="","",MIN(D491:L491))</f>
        <v>2729.0399999999995</v>
      </c>
      <c r="S489" s="63">
        <f>IF((L491=""),"",AVERAGE(D491:L491))</f>
        <v>2892.5244444444443</v>
      </c>
      <c r="T489" s="63">
        <f>IF((L490=""),"",((Q489-R489)/(Q489+R489))*100)</f>
        <v>6.8262671646784918</v>
      </c>
      <c r="U489" s="51">
        <f>STDEV(D489:L489)</f>
        <v>14.097973357109783</v>
      </c>
      <c r="V489" s="64" t="str">
        <f>IF(L490="","",(IF(T489&lt;12,IF(S489&gt;2200,IF(S489&lt;3280,"Pass","Fail"),"Fail"),"Fail")))</f>
        <v>Pass</v>
      </c>
      <c r="W489" s="63"/>
      <c r="Z489" s="37">
        <v>2000</v>
      </c>
      <c r="AA489" s="37">
        <v>3000</v>
      </c>
      <c r="AB489" s="37">
        <v>2200</v>
      </c>
      <c r="AC489" s="37">
        <v>3280</v>
      </c>
      <c r="AD489" s="39">
        <v>12</v>
      </c>
    </row>
    <row r="490" spans="1:30" ht="16.5" customHeight="1" x14ac:dyDescent="0.35">
      <c r="A490" s="206"/>
      <c r="B490" s="48"/>
      <c r="C490" s="51" t="s">
        <v>157</v>
      </c>
      <c r="D490" s="8">
        <v>584.92999999999995</v>
      </c>
      <c r="E490" s="8">
        <v>608.63</v>
      </c>
      <c r="F490" s="8">
        <v>634.61</v>
      </c>
      <c r="G490" s="8">
        <v>604.71</v>
      </c>
      <c r="H490" s="8">
        <v>556.46</v>
      </c>
      <c r="I490" s="8">
        <v>600.13</v>
      </c>
      <c r="J490" s="8">
        <v>626.52</v>
      </c>
      <c r="K490" s="8">
        <v>583.23</v>
      </c>
      <c r="L490" s="8">
        <v>514.32000000000005</v>
      </c>
      <c r="M490" s="50"/>
      <c r="N490" s="50"/>
      <c r="O490" s="50"/>
      <c r="P490" s="50"/>
      <c r="Q490" s="48"/>
      <c r="R490" s="48"/>
      <c r="S490" s="48"/>
      <c r="T490" s="48"/>
      <c r="U490" s="48"/>
      <c r="V490" s="47"/>
      <c r="W490" s="48"/>
      <c r="X490" s="8"/>
    </row>
    <row r="491" spans="1:30" ht="24.8" customHeight="1" thickBot="1" x14ac:dyDescent="0.4">
      <c r="A491" s="206"/>
      <c r="B491" s="61"/>
      <c r="C491" s="51" t="s">
        <v>156</v>
      </c>
      <c r="D491" s="24">
        <f t="shared" ref="D491:L491" si="158">IF(((D489="")*AND(D490="")),"",(D489-D490)*4)</f>
        <v>2958.1600000000003</v>
      </c>
      <c r="E491" s="24">
        <f t="shared" si="158"/>
        <v>2788.52</v>
      </c>
      <c r="F491" s="24">
        <f t="shared" si="158"/>
        <v>2729.0399999999995</v>
      </c>
      <c r="G491" s="24">
        <f t="shared" si="158"/>
        <v>2807.12</v>
      </c>
      <c r="H491" s="24">
        <f t="shared" si="158"/>
        <v>3043.6399999999994</v>
      </c>
      <c r="I491" s="24">
        <f t="shared" si="158"/>
        <v>2960.52</v>
      </c>
      <c r="J491" s="24">
        <f t="shared" si="158"/>
        <v>2766.16</v>
      </c>
      <c r="K491" s="24">
        <f t="shared" si="158"/>
        <v>2850.6400000000003</v>
      </c>
      <c r="L491" s="24">
        <f t="shared" si="158"/>
        <v>3128.9199999999996</v>
      </c>
      <c r="M491" s="24"/>
      <c r="N491" s="24"/>
      <c r="O491" s="24"/>
      <c r="P491" s="24" t="str">
        <f>IF(((P489="")*AND(P490="")),"",(P489-P490)*4)</f>
        <v/>
      </c>
      <c r="Q491" s="61"/>
      <c r="R491" s="61"/>
      <c r="S491" s="61"/>
      <c r="T491" s="61"/>
      <c r="U491" s="61"/>
      <c r="V491" s="60"/>
      <c r="W491" s="61"/>
      <c r="X491" s="8"/>
    </row>
    <row r="492" spans="1:30" x14ac:dyDescent="0.25">
      <c r="A492" s="209">
        <v>43098</v>
      </c>
      <c r="B492" s="57" t="s">
        <v>159</v>
      </c>
      <c r="C492" s="51" t="s">
        <v>158</v>
      </c>
      <c r="D492" s="8">
        <v>3421.95</v>
      </c>
      <c r="E492" s="8">
        <v>3387.13</v>
      </c>
      <c r="F492" s="8">
        <v>3418.77</v>
      </c>
      <c r="G492" s="8">
        <v>3404.43</v>
      </c>
      <c r="H492" s="8">
        <v>3486.87</v>
      </c>
      <c r="I492" s="8">
        <v>3437.96</v>
      </c>
      <c r="J492" s="8">
        <v>3441.14</v>
      </c>
      <c r="K492" s="8">
        <v>3408.36</v>
      </c>
      <c r="L492" s="8">
        <v>3441.69</v>
      </c>
      <c r="M492" s="50"/>
      <c r="N492" s="50"/>
      <c r="O492" s="50"/>
      <c r="P492" s="50"/>
      <c r="Q492" s="57">
        <f>IF((L493=""),"",MAX(D494:L494))</f>
        <v>3737.1800000000003</v>
      </c>
      <c r="R492" s="57">
        <f>IF(L493="","",MIN(D494:L494))</f>
        <v>3652.54</v>
      </c>
      <c r="S492" s="58">
        <f>IF((L494=""),"",AVERAGE(D494:L494))</f>
        <v>3691.1799999999994</v>
      </c>
      <c r="T492" s="57">
        <f>IF((L493=""),"",((Q492-R492)/(Q492+R492))*100)</f>
        <v>1.1453749262489015</v>
      </c>
      <c r="U492" s="56">
        <f>STDEV(D492:L492)</f>
        <v>28.846273348755275</v>
      </c>
      <c r="V492" s="55" t="str">
        <f>IF(L493="","",(IF(T492&lt;7,IF(S492&gt;2800,IF(S492&lt;3800,"Pass","Fail"),"Fail"),"Fail")))</f>
        <v>Pass</v>
      </c>
      <c r="W492" s="57"/>
      <c r="Z492" s="53">
        <v>2800</v>
      </c>
      <c r="AA492" s="53">
        <v>3800</v>
      </c>
      <c r="AB492" s="53">
        <v>3100</v>
      </c>
      <c r="AC492" s="53">
        <v>3760</v>
      </c>
      <c r="AD492" s="52">
        <v>6</v>
      </c>
    </row>
    <row r="493" spans="1:30" ht="16.5" customHeight="1" x14ac:dyDescent="0.35">
      <c r="A493" s="206"/>
      <c r="B493" s="48"/>
      <c r="C493" s="51" t="s">
        <v>157</v>
      </c>
      <c r="D493" s="8">
        <v>1560.94</v>
      </c>
      <c r="E493" s="8">
        <v>1538.75</v>
      </c>
      <c r="F493" s="8">
        <v>1578.28</v>
      </c>
      <c r="G493" s="8">
        <v>1567.67</v>
      </c>
      <c r="H493" s="8">
        <v>1660.6</v>
      </c>
      <c r="I493" s="8">
        <v>1569.37</v>
      </c>
      <c r="J493" s="8">
        <v>1598.48</v>
      </c>
      <c r="K493" s="8">
        <v>1568.56</v>
      </c>
      <c r="L493" s="8">
        <v>1595.34</v>
      </c>
      <c r="M493" s="50"/>
      <c r="N493" s="50"/>
      <c r="O493" s="50"/>
      <c r="P493" s="50"/>
      <c r="Q493" s="48"/>
      <c r="R493" s="48"/>
      <c r="S493" s="49"/>
      <c r="T493" s="48"/>
      <c r="U493" s="48"/>
      <c r="V493" s="47"/>
      <c r="W493" s="48"/>
      <c r="X493" s="8"/>
    </row>
    <row r="494" spans="1:30" ht="24.8" customHeight="1" thickBot="1" x14ac:dyDescent="0.4">
      <c r="A494" s="206"/>
      <c r="B494" s="42"/>
      <c r="C494" s="45" t="s">
        <v>156</v>
      </c>
      <c r="D494" s="44">
        <f t="shared" ref="D494:L494" si="159">IF(((D492="")*AND(D493="")),"",(D492-D493)*2)</f>
        <v>3722.0199999999995</v>
      </c>
      <c r="E494" s="44">
        <f t="shared" si="159"/>
        <v>3696.76</v>
      </c>
      <c r="F494" s="44">
        <f t="shared" si="159"/>
        <v>3680.98</v>
      </c>
      <c r="G494" s="44">
        <f t="shared" si="159"/>
        <v>3673.5199999999995</v>
      </c>
      <c r="H494" s="44">
        <f t="shared" si="159"/>
        <v>3652.54</v>
      </c>
      <c r="I494" s="44">
        <f t="shared" si="159"/>
        <v>3737.1800000000003</v>
      </c>
      <c r="J494" s="44">
        <f t="shared" si="159"/>
        <v>3685.3199999999997</v>
      </c>
      <c r="K494" s="44">
        <f t="shared" si="159"/>
        <v>3679.6000000000004</v>
      </c>
      <c r="L494" s="44">
        <f t="shared" si="159"/>
        <v>3692.7000000000003</v>
      </c>
      <c r="M494" s="44"/>
      <c r="N494" s="44"/>
      <c r="O494" s="44"/>
      <c r="P494" s="44"/>
      <c r="Q494" s="42"/>
      <c r="R494" s="42"/>
      <c r="S494" s="43"/>
      <c r="T494" s="42"/>
      <c r="U494" s="42"/>
      <c r="V494" s="41"/>
      <c r="W494" s="42"/>
      <c r="X494" s="8"/>
    </row>
    <row r="495" spans="1:30" x14ac:dyDescent="0.25">
      <c r="A495" s="208">
        <v>43103</v>
      </c>
      <c r="B495" s="63" t="s">
        <v>160</v>
      </c>
      <c r="C495" s="56" t="s">
        <v>158</v>
      </c>
      <c r="D495" s="8">
        <v>1305.1099999999999</v>
      </c>
      <c r="E495" s="8">
        <v>1303.46</v>
      </c>
      <c r="F495" s="8">
        <v>1309.47</v>
      </c>
      <c r="G495" s="8">
        <v>1305.69</v>
      </c>
      <c r="H495" s="8">
        <v>1301.71</v>
      </c>
      <c r="I495" s="8">
        <v>1321.76</v>
      </c>
      <c r="J495" s="8">
        <v>1313.58</v>
      </c>
      <c r="K495" s="8">
        <v>1293.07</v>
      </c>
      <c r="L495" s="8">
        <v>1281.9000000000001</v>
      </c>
      <c r="M495" s="62"/>
      <c r="N495" s="62"/>
      <c r="O495" s="62"/>
      <c r="P495" s="62"/>
      <c r="Q495" s="63">
        <f>IF((L496=""),"",MAX(D497:L497))</f>
        <v>3042.4800000000005</v>
      </c>
      <c r="R495" s="63">
        <f>IF(L496="","",MIN(D497:L497))</f>
        <v>2725.56</v>
      </c>
      <c r="S495" s="63">
        <f>IF((L497=""),"",AVERAGE(D497:L497))</f>
        <v>2889.266666666666</v>
      </c>
      <c r="T495" s="63">
        <f>IF((L496=""),"",((Q495-R495)/(Q495+R495))*100)</f>
        <v>5.4944140470593217</v>
      </c>
      <c r="U495" s="51">
        <f>STDEV(D495:L495)</f>
        <v>11.481543643798245</v>
      </c>
      <c r="V495" s="64" t="str">
        <f>IF(L496="","",(IF(T495&lt;12,IF(S495&gt;2200,IF(S495&lt;3280,"Pass","Fail"),"Fail"),"Fail")))</f>
        <v>Pass</v>
      </c>
      <c r="W495" s="63">
        <v>1335</v>
      </c>
      <c r="Z495" s="37">
        <v>2000</v>
      </c>
      <c r="AA495" s="37">
        <v>3000</v>
      </c>
      <c r="AB495" s="37">
        <v>2200</v>
      </c>
      <c r="AC495" s="37">
        <v>3280</v>
      </c>
      <c r="AD495" s="39">
        <v>12</v>
      </c>
    </row>
    <row r="496" spans="1:30" ht="16.5" customHeight="1" x14ac:dyDescent="0.35">
      <c r="A496" s="206"/>
      <c r="B496" s="48"/>
      <c r="C496" s="51" t="s">
        <v>157</v>
      </c>
      <c r="D496" s="8">
        <v>557.52</v>
      </c>
      <c r="E496" s="8">
        <v>601.22</v>
      </c>
      <c r="F496" s="8">
        <v>628.08000000000004</v>
      </c>
      <c r="G496" s="8">
        <v>597.26</v>
      </c>
      <c r="H496" s="8">
        <v>578.03</v>
      </c>
      <c r="I496" s="8">
        <v>569.32000000000005</v>
      </c>
      <c r="J496" s="8">
        <v>605.35</v>
      </c>
      <c r="K496" s="8">
        <v>576.84</v>
      </c>
      <c r="L496" s="8">
        <v>521.28</v>
      </c>
      <c r="M496" s="50"/>
      <c r="N496" s="50"/>
      <c r="O496" s="50"/>
      <c r="P496" s="50"/>
      <c r="Q496" s="48"/>
      <c r="R496" s="48"/>
      <c r="S496" s="48"/>
      <c r="T496" s="48"/>
      <c r="U496" s="48"/>
      <c r="V496" s="47"/>
      <c r="W496" s="48"/>
      <c r="X496" s="8"/>
    </row>
    <row r="497" spans="1:30" ht="24.8" customHeight="1" thickBot="1" x14ac:dyDescent="0.4">
      <c r="A497" s="206"/>
      <c r="B497" s="61"/>
      <c r="C497" s="51" t="s">
        <v>156</v>
      </c>
      <c r="D497" s="24">
        <f t="shared" ref="D497:L497" si="160">IF(((D495="")*AND(D496="")),"",(D495-D496)*4)</f>
        <v>2990.3599999999997</v>
      </c>
      <c r="E497" s="24">
        <f t="shared" si="160"/>
        <v>2808.96</v>
      </c>
      <c r="F497" s="24">
        <f t="shared" si="160"/>
        <v>2725.56</v>
      </c>
      <c r="G497" s="24">
        <f t="shared" si="160"/>
        <v>2833.7200000000003</v>
      </c>
      <c r="H497" s="24">
        <f t="shared" si="160"/>
        <v>2894.7200000000003</v>
      </c>
      <c r="I497" s="24">
        <f t="shared" si="160"/>
        <v>3009.7599999999998</v>
      </c>
      <c r="J497" s="24">
        <f t="shared" si="160"/>
        <v>2832.9199999999996</v>
      </c>
      <c r="K497" s="24">
        <f t="shared" si="160"/>
        <v>2864.9199999999996</v>
      </c>
      <c r="L497" s="24">
        <f t="shared" si="160"/>
        <v>3042.4800000000005</v>
      </c>
      <c r="M497" s="24"/>
      <c r="N497" s="24"/>
      <c r="O497" s="24"/>
      <c r="P497" s="24" t="str">
        <f>IF(((P495="")*AND(P496="")),"",(P495-P496)*4)</f>
        <v/>
      </c>
      <c r="Q497" s="61"/>
      <c r="R497" s="61"/>
      <c r="S497" s="61"/>
      <c r="T497" s="61"/>
      <c r="U497" s="61"/>
      <c r="V497" s="60"/>
      <c r="W497" s="61"/>
      <c r="X497" s="8"/>
    </row>
    <row r="498" spans="1:30" x14ac:dyDescent="0.25">
      <c r="A498" s="209">
        <v>43103</v>
      </c>
      <c r="B498" s="57" t="s">
        <v>159</v>
      </c>
      <c r="C498" s="51" t="s">
        <v>158</v>
      </c>
      <c r="D498" s="8">
        <v>7015.58</v>
      </c>
      <c r="E498" s="8">
        <v>6990.19</v>
      </c>
      <c r="F498" s="8">
        <v>7001.5</v>
      </c>
      <c r="G498" s="8">
        <v>6975.62</v>
      </c>
      <c r="H498" s="8">
        <v>7004.62</v>
      </c>
      <c r="I498" s="8">
        <v>7019.98</v>
      </c>
      <c r="J498" s="8">
        <v>7019.49</v>
      </c>
      <c r="K498" s="8">
        <v>6991.74</v>
      </c>
      <c r="L498" s="8">
        <v>6993.5</v>
      </c>
      <c r="M498" s="50"/>
      <c r="N498" s="50"/>
      <c r="O498" s="50"/>
      <c r="P498" s="50"/>
      <c r="Q498" s="57">
        <f>IF((L499=""),"",MAX(D500:L500))</f>
        <v>3645.4799999999996</v>
      </c>
      <c r="R498" s="57">
        <f>IF(L499="","",MIN(D500:L500))</f>
        <v>3578.0599999999995</v>
      </c>
      <c r="S498" s="58">
        <f>IF((L500=""),"",AVERAGE(D500:L500))</f>
        <v>3612.1711111111103</v>
      </c>
      <c r="T498" s="57">
        <f>IF((L499=""),"",((Q498-R498)/(Q498+R498))*100)</f>
        <v>0.9333373941308567</v>
      </c>
      <c r="U498" s="56">
        <f>STDEV(D498:L498)</f>
        <v>15.124059291223485</v>
      </c>
      <c r="V498" s="55" t="str">
        <f>IF(L499="","",(IF(T498&lt;7,IF(S498&gt;2800,IF(S498&lt;3800,"Pass","Fail"),"Fail"),"Fail")))</f>
        <v>Pass</v>
      </c>
      <c r="W498" s="57">
        <v>1335</v>
      </c>
      <c r="Z498" s="53">
        <v>2800</v>
      </c>
      <c r="AA498" s="53">
        <v>3800</v>
      </c>
      <c r="AB498" s="53">
        <v>3100</v>
      </c>
      <c r="AC498" s="53">
        <v>3760</v>
      </c>
      <c r="AD498" s="52">
        <v>6</v>
      </c>
    </row>
    <row r="499" spans="1:30" ht="16.5" customHeight="1" x14ac:dyDescent="0.35">
      <c r="A499" s="206"/>
      <c r="B499" s="48"/>
      <c r="C499" s="51" t="s">
        <v>157</v>
      </c>
      <c r="D499" s="8">
        <v>5200.8500000000004</v>
      </c>
      <c r="E499" s="8">
        <v>5178.42</v>
      </c>
      <c r="F499" s="8">
        <v>5197.12</v>
      </c>
      <c r="G499" s="8">
        <v>5173.72</v>
      </c>
      <c r="H499" s="8">
        <v>5215.59</v>
      </c>
      <c r="I499" s="8">
        <v>5197.24</v>
      </c>
      <c r="J499" s="8">
        <v>5213.08</v>
      </c>
      <c r="K499" s="8">
        <v>5188.3599999999997</v>
      </c>
      <c r="L499" s="8">
        <v>5193.07</v>
      </c>
      <c r="M499" s="50"/>
      <c r="N499" s="50"/>
      <c r="O499" s="50"/>
      <c r="P499" s="50"/>
      <c r="Q499" s="48"/>
      <c r="R499" s="48"/>
      <c r="S499" s="49"/>
      <c r="T499" s="48"/>
      <c r="U499" s="48"/>
      <c r="V499" s="47"/>
      <c r="W499" s="48"/>
      <c r="X499" s="8"/>
    </row>
    <row r="500" spans="1:30" ht="24.8" customHeight="1" thickBot="1" x14ac:dyDescent="0.4">
      <c r="A500" s="206"/>
      <c r="B500" s="42"/>
      <c r="C500" s="45" t="s">
        <v>156</v>
      </c>
      <c r="D500" s="44">
        <f t="shared" ref="D500:L500" si="161">IF(((D498="")*AND(D499="")),"",(D498-D499)*2)</f>
        <v>3629.4599999999991</v>
      </c>
      <c r="E500" s="44">
        <f t="shared" si="161"/>
        <v>3623.5399999999991</v>
      </c>
      <c r="F500" s="44">
        <f t="shared" si="161"/>
        <v>3608.76</v>
      </c>
      <c r="G500" s="44">
        <f t="shared" si="161"/>
        <v>3603.7999999999993</v>
      </c>
      <c r="H500" s="44">
        <f t="shared" si="161"/>
        <v>3578.0599999999995</v>
      </c>
      <c r="I500" s="44">
        <f t="shared" si="161"/>
        <v>3645.4799999999996</v>
      </c>
      <c r="J500" s="44">
        <f t="shared" si="161"/>
        <v>3612.8199999999997</v>
      </c>
      <c r="K500" s="44">
        <f t="shared" si="161"/>
        <v>3606.76</v>
      </c>
      <c r="L500" s="44">
        <f t="shared" si="161"/>
        <v>3600.8600000000006</v>
      </c>
      <c r="M500" s="44"/>
      <c r="N500" s="44"/>
      <c r="O500" s="44"/>
      <c r="P500" s="44"/>
      <c r="Q500" s="42"/>
      <c r="R500" s="42"/>
      <c r="S500" s="43"/>
      <c r="T500" s="42"/>
      <c r="U500" s="42"/>
      <c r="V500" s="41"/>
      <c r="W500" s="42"/>
      <c r="X500" s="8"/>
    </row>
    <row r="501" spans="1:30" x14ac:dyDescent="0.25">
      <c r="A501" s="208">
        <v>43106</v>
      </c>
      <c r="B501" s="63" t="s">
        <v>160</v>
      </c>
      <c r="C501" s="56" t="s">
        <v>158</v>
      </c>
      <c r="D501" s="8">
        <v>2091.58</v>
      </c>
      <c r="E501" s="8">
        <v>2086.98</v>
      </c>
      <c r="F501" s="8">
        <v>2074.0300000000002</v>
      </c>
      <c r="G501" s="8">
        <v>2085.67</v>
      </c>
      <c r="H501" s="8">
        <v>2092.7399999999998</v>
      </c>
      <c r="I501" s="8">
        <v>2092.52</v>
      </c>
      <c r="J501" s="8">
        <v>2086.9299999999998</v>
      </c>
      <c r="K501" s="8">
        <v>2084.62</v>
      </c>
      <c r="L501" s="8">
        <v>2093.31</v>
      </c>
      <c r="M501" s="62"/>
      <c r="N501" s="62"/>
      <c r="O501" s="62"/>
      <c r="P501" s="62"/>
      <c r="Q501" s="63">
        <f>IF((L502=""),"",MAX(D503:L503))</f>
        <v>3048.12</v>
      </c>
      <c r="R501" s="63">
        <f>IF(L502="","",MIN(D503:L503))</f>
        <v>2778.7199999999993</v>
      </c>
      <c r="S501" s="63">
        <f>IF((L503=""),"",AVERAGE(D503:L503))</f>
        <v>2878.8088888888888</v>
      </c>
      <c r="T501" s="63">
        <f>IF((L502=""),"",((Q501-R501)/(Q501+R501))*100)</f>
        <v>4.6234322548757225</v>
      </c>
      <c r="U501" s="51">
        <f>STDEV(D501:L501)</f>
        <v>6.0894781750527178</v>
      </c>
      <c r="V501" s="64" t="str">
        <f>IF(L502="","",(IF(T501&lt;12,IF(S501&gt;2200,IF(S501&lt;3280,"Pass","Fail"),"Fail"),"Fail")))</f>
        <v>Pass</v>
      </c>
      <c r="W501" s="63">
        <v>102</v>
      </c>
      <c r="Z501" s="37">
        <v>2000</v>
      </c>
      <c r="AA501" s="37">
        <v>3000</v>
      </c>
      <c r="AB501" s="37">
        <v>2200</v>
      </c>
      <c r="AC501" s="37">
        <v>3280</v>
      </c>
      <c r="AD501" s="39">
        <v>12</v>
      </c>
    </row>
    <row r="502" spans="1:30" ht="16.5" customHeight="1" x14ac:dyDescent="0.35">
      <c r="A502" s="206"/>
      <c r="B502" s="48"/>
      <c r="C502" s="51" t="s">
        <v>157</v>
      </c>
      <c r="D502" s="8">
        <v>1334.93</v>
      </c>
      <c r="E502" s="8">
        <v>1377</v>
      </c>
      <c r="F502" s="8">
        <v>1376.89</v>
      </c>
      <c r="G502" s="8">
        <v>1364.6</v>
      </c>
      <c r="H502" s="8">
        <v>1398.06</v>
      </c>
      <c r="I502" s="8">
        <v>1330.49</v>
      </c>
      <c r="J502" s="8">
        <v>1381.26</v>
      </c>
      <c r="K502" s="8">
        <v>1357.21</v>
      </c>
      <c r="L502" s="8">
        <v>1390.62</v>
      </c>
      <c r="M502" s="50"/>
      <c r="N502" s="50"/>
      <c r="O502" s="50"/>
      <c r="P502" s="50"/>
      <c r="Q502" s="48"/>
      <c r="R502" s="48"/>
      <c r="S502" s="48"/>
      <c r="T502" s="48"/>
      <c r="U502" s="48"/>
      <c r="V502" s="47"/>
      <c r="W502" s="48"/>
      <c r="X502" s="8"/>
    </row>
    <row r="503" spans="1:30" ht="24.8" customHeight="1" thickBot="1" x14ac:dyDescent="0.4">
      <c r="A503" s="206"/>
      <c r="B503" s="61"/>
      <c r="C503" s="51" t="s">
        <v>156</v>
      </c>
      <c r="D503" s="24">
        <f t="shared" ref="D503:L503" si="162">IF(((D501="")*AND(D502="")),"",(D501-D502)*4)</f>
        <v>3026.5999999999995</v>
      </c>
      <c r="E503" s="24">
        <f t="shared" si="162"/>
        <v>2839.92</v>
      </c>
      <c r="F503" s="24">
        <f t="shared" si="162"/>
        <v>2788.5600000000004</v>
      </c>
      <c r="G503" s="24">
        <f t="shared" si="162"/>
        <v>2884.2800000000007</v>
      </c>
      <c r="H503" s="24">
        <f t="shared" si="162"/>
        <v>2778.7199999999993</v>
      </c>
      <c r="I503" s="24">
        <f t="shared" si="162"/>
        <v>3048.12</v>
      </c>
      <c r="J503" s="24">
        <f t="shared" si="162"/>
        <v>2822.6799999999994</v>
      </c>
      <c r="K503" s="24">
        <f t="shared" si="162"/>
        <v>2909.6399999999994</v>
      </c>
      <c r="L503" s="24">
        <f t="shared" si="162"/>
        <v>2810.76</v>
      </c>
      <c r="M503" s="24"/>
      <c r="N503" s="24"/>
      <c r="O503" s="24"/>
      <c r="P503" s="24" t="str">
        <f>IF(((P501="")*AND(P502="")),"",(P501-P502)*4)</f>
        <v/>
      </c>
      <c r="Q503" s="61"/>
      <c r="R503" s="61"/>
      <c r="S503" s="61"/>
      <c r="T503" s="61"/>
      <c r="U503" s="61"/>
      <c r="V503" s="60"/>
      <c r="W503" s="61"/>
      <c r="X503" s="8"/>
    </row>
    <row r="504" spans="1:30" x14ac:dyDescent="0.25">
      <c r="A504" s="209">
        <v>43106</v>
      </c>
      <c r="B504" s="57" t="s">
        <v>159</v>
      </c>
      <c r="C504" s="51" t="s">
        <v>158</v>
      </c>
      <c r="D504" s="8">
        <v>5208.5600000000004</v>
      </c>
      <c r="E504" s="8">
        <v>5185.99</v>
      </c>
      <c r="F504" s="8">
        <v>5205.1000000000004</v>
      </c>
      <c r="G504" s="8">
        <v>5181.47</v>
      </c>
      <c r="H504" s="8">
        <v>5223.88</v>
      </c>
      <c r="I504" s="8">
        <v>5205.18</v>
      </c>
      <c r="J504" s="8">
        <v>5221.1099999999997</v>
      </c>
      <c r="K504" s="8">
        <v>5195.91</v>
      </c>
      <c r="L504" s="8">
        <v>5200.34</v>
      </c>
      <c r="M504" s="50"/>
      <c r="N504" s="50"/>
      <c r="O504" s="50"/>
      <c r="P504" s="50"/>
      <c r="Q504" s="57">
        <f>IF((L505=""),"",MAX(D506:L506))</f>
        <v>3463.08</v>
      </c>
      <c r="R504" s="57">
        <f>IF(L505="","",MIN(D506:L506))</f>
        <v>3363.3</v>
      </c>
      <c r="S504" s="58">
        <f>IF((L506=""),"",AVERAGE(D506:L506))</f>
        <v>3430.4533333333329</v>
      </c>
      <c r="T504" s="57">
        <f>IF((L505=""),"",((Q504-R504)/(Q504+R504))*100)</f>
        <v>1.4616824729944677</v>
      </c>
      <c r="U504" s="56">
        <f>STDEV(D504:L504)</f>
        <v>14.204817844661005</v>
      </c>
      <c r="V504" s="55" t="str">
        <f>IF(L505="","",(IF(T504&lt;7,IF(S504&gt;2800,IF(S504&lt;3800,"Pass","Fail"),"Fail"),"Fail")))</f>
        <v>Pass</v>
      </c>
      <c r="W504" s="57">
        <v>102</v>
      </c>
      <c r="Z504" s="53">
        <v>2800</v>
      </c>
      <c r="AA504" s="53">
        <v>3800</v>
      </c>
      <c r="AB504" s="53">
        <v>3100</v>
      </c>
      <c r="AC504" s="53">
        <v>3760</v>
      </c>
      <c r="AD504" s="52">
        <v>6</v>
      </c>
    </row>
    <row r="505" spans="1:30" ht="16.5" customHeight="1" x14ac:dyDescent="0.35">
      <c r="A505" s="206"/>
      <c r="B505" s="48"/>
      <c r="C505" s="51" t="s">
        <v>157</v>
      </c>
      <c r="D505" s="8">
        <v>3490.51</v>
      </c>
      <c r="E505" s="8">
        <v>3454.45</v>
      </c>
      <c r="F505" s="8">
        <v>3479.25</v>
      </c>
      <c r="G505" s="8">
        <v>3464.88</v>
      </c>
      <c r="H505" s="8">
        <v>3542.23</v>
      </c>
      <c r="I505" s="8">
        <v>3498.1</v>
      </c>
      <c r="J505" s="8">
        <v>3500.64</v>
      </c>
      <c r="K505" s="8">
        <v>3469.29</v>
      </c>
      <c r="L505" s="8">
        <v>3491.15</v>
      </c>
      <c r="M505" s="50"/>
      <c r="N505" s="50"/>
      <c r="O505" s="50"/>
      <c r="P505" s="50"/>
      <c r="Q505" s="48"/>
      <c r="R505" s="48"/>
      <c r="S505" s="49"/>
      <c r="T505" s="48"/>
      <c r="U505" s="48"/>
      <c r="V505" s="47"/>
      <c r="W505" s="48"/>
      <c r="X505" s="8"/>
    </row>
    <row r="506" spans="1:30" ht="24.8" customHeight="1" thickBot="1" x14ac:dyDescent="0.4">
      <c r="A506" s="206"/>
      <c r="B506" s="42"/>
      <c r="C506" s="45" t="s">
        <v>156</v>
      </c>
      <c r="D506" s="44">
        <f t="shared" ref="D506:L506" si="163">IF(((D504="")*AND(D505="")),"",(D504-D505)*2)</f>
        <v>3436.1000000000004</v>
      </c>
      <c r="E506" s="44">
        <f t="shared" si="163"/>
        <v>3463.08</v>
      </c>
      <c r="F506" s="44">
        <f t="shared" si="163"/>
        <v>3451.7000000000007</v>
      </c>
      <c r="G506" s="44">
        <f t="shared" si="163"/>
        <v>3433.1800000000003</v>
      </c>
      <c r="H506" s="44">
        <f t="shared" si="163"/>
        <v>3363.3</v>
      </c>
      <c r="I506" s="44">
        <f t="shared" si="163"/>
        <v>3414.1600000000008</v>
      </c>
      <c r="J506" s="44">
        <f t="shared" si="163"/>
        <v>3440.9399999999996</v>
      </c>
      <c r="K506" s="44">
        <f t="shared" si="163"/>
        <v>3453.24</v>
      </c>
      <c r="L506" s="44">
        <f t="shared" si="163"/>
        <v>3418.38</v>
      </c>
      <c r="M506" s="44"/>
      <c r="N506" s="44"/>
      <c r="O506" s="44"/>
      <c r="P506" s="44"/>
      <c r="Q506" s="42"/>
      <c r="R506" s="42"/>
      <c r="S506" s="43"/>
      <c r="T506" s="42"/>
      <c r="U506" s="42"/>
      <c r="V506" s="41"/>
      <c r="W506" s="42"/>
      <c r="X506" s="8"/>
    </row>
    <row r="507" spans="1:30" x14ac:dyDescent="0.25">
      <c r="A507" s="208">
        <v>43110</v>
      </c>
      <c r="B507" s="63" t="s">
        <v>160</v>
      </c>
      <c r="C507" s="56" t="s">
        <v>158</v>
      </c>
      <c r="D507" s="69">
        <v>2067.92</v>
      </c>
      <c r="E507" s="69">
        <v>2068.83</v>
      </c>
      <c r="F507" s="69">
        <v>2054.15</v>
      </c>
      <c r="G507" s="69">
        <v>2068.02</v>
      </c>
      <c r="H507" s="69">
        <v>2075.94</v>
      </c>
      <c r="I507" s="69">
        <v>2075.08</v>
      </c>
      <c r="J507" s="69">
        <v>2066.2800000000002</v>
      </c>
      <c r="K507" s="69">
        <v>2066.1799999999998</v>
      </c>
      <c r="L507" s="69">
        <v>2069.35</v>
      </c>
      <c r="M507" s="62"/>
      <c r="N507" s="62"/>
      <c r="O507" s="62"/>
      <c r="P507" s="62"/>
      <c r="Q507" s="63">
        <f>IF((L508=""),"",MAX(D509:L509))</f>
        <v>3280.2799999999997</v>
      </c>
      <c r="R507" s="63">
        <f>IF(L508="","",MIN(D509:L509))</f>
        <v>2852.3200000000006</v>
      </c>
      <c r="S507" s="63">
        <f>IF((L509=""),"",AVERAGE(D509:L509))</f>
        <v>3051.7911111111116</v>
      </c>
      <c r="T507" s="63">
        <f>IF((L508=""),"",((Q507-R507)/(Q507+R507))*100)</f>
        <v>6.9784430747154405</v>
      </c>
      <c r="U507" s="51">
        <f>STDEV(D507:L507)</f>
        <v>6.2627325860557104</v>
      </c>
      <c r="V507" s="64" t="str">
        <f>IF(L508="","",(IF(T507&lt;12,IF(S507&gt;2200,IF(S507&lt;3280,"Pass","Fail"),"Fail"),"Fail")))</f>
        <v>Pass</v>
      </c>
      <c r="W507" s="67">
        <v>1335</v>
      </c>
      <c r="Y507" s="8" t="s">
        <v>182</v>
      </c>
      <c r="Z507" s="37">
        <v>2000</v>
      </c>
      <c r="AA507" s="37">
        <v>3000</v>
      </c>
      <c r="AB507" s="37">
        <v>2200</v>
      </c>
      <c r="AC507" s="37">
        <v>3280</v>
      </c>
      <c r="AD507" s="39">
        <v>12</v>
      </c>
    </row>
    <row r="508" spans="1:30" ht="16.5" customHeight="1" x14ac:dyDescent="0.35">
      <c r="A508" s="206"/>
      <c r="B508" s="48"/>
      <c r="C508" s="51" t="s">
        <v>157</v>
      </c>
      <c r="D508" s="68">
        <v>1290.78</v>
      </c>
      <c r="E508" s="68">
        <v>1330.28</v>
      </c>
      <c r="F508" s="68">
        <v>1341.07</v>
      </c>
      <c r="G508" s="68">
        <v>1326.26</v>
      </c>
      <c r="H508" s="68">
        <v>1264.49</v>
      </c>
      <c r="I508" s="68">
        <v>1291.1199999999999</v>
      </c>
      <c r="J508" s="68">
        <v>1337.69</v>
      </c>
      <c r="K508" s="68">
        <v>1314.25</v>
      </c>
      <c r="L508" s="68">
        <v>1249.28</v>
      </c>
      <c r="M508" s="50"/>
      <c r="N508" s="50"/>
      <c r="O508" s="50"/>
      <c r="P508" s="50"/>
      <c r="Q508" s="48"/>
      <c r="R508" s="48"/>
      <c r="S508" s="48"/>
      <c r="T508" s="48"/>
      <c r="U508" s="48"/>
      <c r="V508" s="47"/>
      <c r="W508" s="46"/>
      <c r="X508" s="8"/>
    </row>
    <row r="509" spans="1:30" ht="24.8" customHeight="1" thickBot="1" x14ac:dyDescent="0.4">
      <c r="A509" s="206"/>
      <c r="B509" s="61"/>
      <c r="C509" s="51" t="s">
        <v>156</v>
      </c>
      <c r="D509" s="24">
        <f t="shared" ref="D509:L509" si="164">IF(((D507="")*AND(D508="")),"",(D507-D508)*4)</f>
        <v>3108.5600000000004</v>
      </c>
      <c r="E509" s="24">
        <f t="shared" si="164"/>
        <v>2954.2</v>
      </c>
      <c r="F509" s="24">
        <f t="shared" si="164"/>
        <v>2852.3200000000006</v>
      </c>
      <c r="G509" s="24">
        <f t="shared" si="164"/>
        <v>2967.04</v>
      </c>
      <c r="H509" s="24">
        <f t="shared" si="164"/>
        <v>3245.8</v>
      </c>
      <c r="I509" s="24">
        <f t="shared" si="164"/>
        <v>3135.84</v>
      </c>
      <c r="J509" s="24">
        <f t="shared" si="164"/>
        <v>2914.3600000000006</v>
      </c>
      <c r="K509" s="24">
        <f t="shared" si="164"/>
        <v>3007.7199999999993</v>
      </c>
      <c r="L509" s="24">
        <f t="shared" si="164"/>
        <v>3280.2799999999997</v>
      </c>
      <c r="M509" s="24"/>
      <c r="N509" s="24"/>
      <c r="O509" s="24"/>
      <c r="P509" s="24" t="str">
        <f>IF(((P507="")*AND(P508="")),"",(P507-P508)*4)</f>
        <v/>
      </c>
      <c r="Q509" s="61"/>
      <c r="R509" s="61"/>
      <c r="S509" s="61"/>
      <c r="T509" s="61"/>
      <c r="U509" s="61"/>
      <c r="V509" s="60"/>
      <c r="W509" s="59"/>
      <c r="X509" s="8"/>
    </row>
    <row r="510" spans="1:30" x14ac:dyDescent="0.25">
      <c r="A510" s="209">
        <v>43110</v>
      </c>
      <c r="B510" s="57" t="s">
        <v>159</v>
      </c>
      <c r="C510" s="51" t="s">
        <v>158</v>
      </c>
      <c r="D510" s="68">
        <v>6889.62</v>
      </c>
      <c r="E510" s="68">
        <v>6863.37</v>
      </c>
      <c r="F510" s="68">
        <v>6875.35</v>
      </c>
      <c r="G510" s="68">
        <v>6848.44</v>
      </c>
      <c r="H510" s="68">
        <v>6878.53</v>
      </c>
      <c r="I510" s="68">
        <v>6896.76</v>
      </c>
      <c r="J510" s="68">
        <v>6895.22</v>
      </c>
      <c r="K510" s="68">
        <v>6862.75</v>
      </c>
      <c r="L510" s="68">
        <v>6861.71</v>
      </c>
      <c r="M510" s="50"/>
      <c r="N510" s="50"/>
      <c r="O510" s="50"/>
      <c r="P510" s="50"/>
      <c r="Q510" s="57">
        <f>IF((L511=""),"",MAX(D512:L512))</f>
        <v>3469.16</v>
      </c>
      <c r="R510" s="57">
        <f>IF(L511="","",MIN(D512:L512))</f>
        <v>3374.42</v>
      </c>
      <c r="S510" s="58">
        <f>IF((L512=""),"",AVERAGE(D512:L512))</f>
        <v>3437.4555555555553</v>
      </c>
      <c r="T510" s="57">
        <f>IF((L511=""),"",((Q510-R510)/(Q510+R510))*100)</f>
        <v>1.3843631549569053</v>
      </c>
      <c r="U510" s="56">
        <f>STDEV(D510:L510)</f>
        <v>16.862967150270912</v>
      </c>
      <c r="V510" s="55" t="str">
        <f>IF(L511="","",(IF(T510&lt;7,IF(S510&gt;2800,IF(S510&lt;3800,"Pass","Fail"),"Fail"),"Fail")))</f>
        <v>Pass</v>
      </c>
      <c r="W510" s="54">
        <v>1335</v>
      </c>
      <c r="Z510" s="53">
        <v>2800</v>
      </c>
      <c r="AA510" s="53">
        <v>3800</v>
      </c>
      <c r="AB510" s="53">
        <v>3100</v>
      </c>
      <c r="AC510" s="53">
        <v>3760</v>
      </c>
      <c r="AD510" s="52">
        <v>6</v>
      </c>
    </row>
    <row r="511" spans="1:30" ht="15.8" customHeight="1" x14ac:dyDescent="0.35">
      <c r="A511" s="206"/>
      <c r="B511" s="48"/>
      <c r="C511" s="51" t="s">
        <v>157</v>
      </c>
      <c r="D511" s="68">
        <v>5164.9399999999996</v>
      </c>
      <c r="E511" s="68">
        <v>5128.79</v>
      </c>
      <c r="F511" s="68">
        <v>5146.92</v>
      </c>
      <c r="G511" s="68">
        <v>5127.53</v>
      </c>
      <c r="H511" s="68">
        <v>5191.32</v>
      </c>
      <c r="I511" s="68">
        <v>5182.92</v>
      </c>
      <c r="J511" s="68">
        <v>5169.1400000000003</v>
      </c>
      <c r="K511" s="68">
        <v>5136.21</v>
      </c>
      <c r="L511" s="68">
        <v>5155.43</v>
      </c>
      <c r="M511" s="50"/>
      <c r="N511" s="50"/>
      <c r="O511" s="50"/>
      <c r="P511" s="50"/>
      <c r="Q511" s="48"/>
      <c r="R511" s="48"/>
      <c r="S511" s="49"/>
      <c r="T511" s="48"/>
      <c r="U511" s="48"/>
      <c r="V511" s="47"/>
      <c r="W511" s="46"/>
      <c r="X511" s="8"/>
    </row>
    <row r="512" spans="1:30" ht="23.95" customHeight="1" x14ac:dyDescent="0.35">
      <c r="A512" s="206"/>
      <c r="B512" s="61"/>
      <c r="C512" s="57" t="s">
        <v>156</v>
      </c>
      <c r="D512" s="71">
        <f t="shared" ref="D512:L512" si="165">IF(((D510="")*AND(D511="")),"",(D510-D511)*2)</f>
        <v>3449.3600000000006</v>
      </c>
      <c r="E512" s="71">
        <f t="shared" si="165"/>
        <v>3469.16</v>
      </c>
      <c r="F512" s="71">
        <f t="shared" si="165"/>
        <v>3456.8600000000006</v>
      </c>
      <c r="G512" s="71">
        <f t="shared" si="165"/>
        <v>3441.8199999999997</v>
      </c>
      <c r="H512" s="71">
        <f t="shared" si="165"/>
        <v>3374.42</v>
      </c>
      <c r="I512" s="71">
        <f t="shared" si="165"/>
        <v>3427.6800000000003</v>
      </c>
      <c r="J512" s="71">
        <f t="shared" si="165"/>
        <v>3452.16</v>
      </c>
      <c r="K512" s="71">
        <f t="shared" si="165"/>
        <v>3453.08</v>
      </c>
      <c r="L512" s="71">
        <f t="shared" si="165"/>
        <v>3412.5599999999995</v>
      </c>
      <c r="M512" s="71"/>
      <c r="N512" s="71"/>
      <c r="O512" s="71"/>
      <c r="P512" s="71"/>
      <c r="Q512" s="61"/>
      <c r="R512" s="61"/>
      <c r="S512" s="49"/>
      <c r="T512" s="48"/>
      <c r="U512" s="48"/>
      <c r="V512" s="60"/>
      <c r="W512" s="59"/>
      <c r="X512" s="8"/>
    </row>
    <row r="513" spans="1:30" x14ac:dyDescent="0.25">
      <c r="A513" s="209">
        <v>43110</v>
      </c>
      <c r="B513" s="57" t="s">
        <v>160</v>
      </c>
      <c r="C513" s="51" t="s">
        <v>158</v>
      </c>
      <c r="D513" s="73">
        <v>2142.7600000000002</v>
      </c>
      <c r="E513" s="73">
        <v>2130.5300000000002</v>
      </c>
      <c r="F513" s="73">
        <v>2107.98</v>
      </c>
      <c r="G513" s="73">
        <v>2133.1</v>
      </c>
      <c r="H513" s="73">
        <v>2145.19</v>
      </c>
      <c r="I513" s="73">
        <v>2138.85</v>
      </c>
      <c r="J513" s="73">
        <v>2134.15</v>
      </c>
      <c r="K513" s="73">
        <v>2132.92</v>
      </c>
      <c r="L513" s="73">
        <v>2144.4899999999998</v>
      </c>
      <c r="M513" s="72"/>
      <c r="N513" s="72"/>
      <c r="O513" s="72"/>
      <c r="P513" s="72"/>
      <c r="Q513" s="57">
        <f>IF((L514=""),"",MAX(D515:L515))</f>
        <v>3440.1599999999989</v>
      </c>
      <c r="R513" s="57">
        <f>IF(L514="","",MIN(D515:L515))</f>
        <v>2914.3199999999997</v>
      </c>
      <c r="S513" s="57">
        <f>IF((L515=""),"",AVERAGE(D515:L515))</f>
        <v>3157.6533333333336</v>
      </c>
      <c r="T513" s="57">
        <f>IF((L514=""),"",((Q513-R513)/(Q513+R513))*100)</f>
        <v>8.2751066963779785</v>
      </c>
      <c r="U513" s="51">
        <f>STDEV(D513:L513)</f>
        <v>11.318377141229689</v>
      </c>
      <c r="V513" s="64" t="str">
        <f>IF(L514="","",(IF(T513&lt;12,IF(S513&gt;2200,IF(S513&lt;3280,"Pass","Fail"),"Fail"),"Fail")))</f>
        <v>Pass</v>
      </c>
      <c r="W513" s="54">
        <v>1335</v>
      </c>
      <c r="Y513" s="8" t="s">
        <v>182</v>
      </c>
      <c r="Z513" s="37">
        <v>2000</v>
      </c>
      <c r="AA513" s="37">
        <v>3000</v>
      </c>
      <c r="AB513" s="37">
        <v>2200</v>
      </c>
      <c r="AC513" s="37">
        <v>3280</v>
      </c>
      <c r="AD513" s="39">
        <v>12</v>
      </c>
    </row>
    <row r="514" spans="1:30" ht="15.8" customHeight="1" x14ac:dyDescent="0.35">
      <c r="A514" s="206"/>
      <c r="B514" s="48"/>
      <c r="C514" s="51" t="s">
        <v>157</v>
      </c>
      <c r="D514" s="68">
        <v>1328.58</v>
      </c>
      <c r="E514" s="68">
        <v>1373.59</v>
      </c>
      <c r="F514" s="68">
        <v>1379.4</v>
      </c>
      <c r="G514" s="68">
        <v>1371.28</v>
      </c>
      <c r="H514" s="68">
        <v>1299.03</v>
      </c>
      <c r="I514" s="68">
        <v>1328.66</v>
      </c>
      <c r="J514" s="68">
        <v>1381.92</v>
      </c>
      <c r="K514" s="68">
        <v>1358.34</v>
      </c>
      <c r="L514" s="68">
        <v>1284.45</v>
      </c>
      <c r="M514" s="50"/>
      <c r="N514" s="50"/>
      <c r="O514" s="50"/>
      <c r="P514" s="50"/>
      <c r="Q514" s="48"/>
      <c r="R514" s="48"/>
      <c r="S514" s="48"/>
      <c r="T514" s="48"/>
      <c r="U514" s="48"/>
      <c r="V514" s="47"/>
      <c r="W514" s="46"/>
      <c r="X514" s="8"/>
    </row>
    <row r="515" spans="1:30" ht="23.95" customHeight="1" x14ac:dyDescent="0.35">
      <c r="A515" s="206"/>
      <c r="B515" s="61"/>
      <c r="C515" s="57" t="s">
        <v>156</v>
      </c>
      <c r="D515" s="71">
        <f t="shared" ref="D515:L515" si="166">IF(((D513="")*AND(D514="")),"",(D513-D514)*4)</f>
        <v>3256.7200000000012</v>
      </c>
      <c r="E515" s="71">
        <f t="shared" si="166"/>
        <v>3027.7600000000011</v>
      </c>
      <c r="F515" s="71">
        <f t="shared" si="166"/>
        <v>2914.3199999999997</v>
      </c>
      <c r="G515" s="71">
        <f t="shared" si="166"/>
        <v>3047.2799999999997</v>
      </c>
      <c r="H515" s="71">
        <f t="shared" si="166"/>
        <v>3384.6400000000003</v>
      </c>
      <c r="I515" s="71">
        <f t="shared" si="166"/>
        <v>3240.7599999999993</v>
      </c>
      <c r="J515" s="71">
        <f t="shared" si="166"/>
        <v>3008.92</v>
      </c>
      <c r="K515" s="71">
        <f t="shared" si="166"/>
        <v>3098.3200000000006</v>
      </c>
      <c r="L515" s="71">
        <f t="shared" si="166"/>
        <v>3440.1599999999989</v>
      </c>
      <c r="M515" s="71"/>
      <c r="N515" s="71"/>
      <c r="O515" s="71"/>
      <c r="P515" s="71" t="str">
        <f>IF(((P513="")*AND(P514="")),"",(P513-P514)*4)</f>
        <v/>
      </c>
      <c r="Q515" s="61"/>
      <c r="R515" s="61"/>
      <c r="S515" s="48"/>
      <c r="T515" s="48"/>
      <c r="U515" s="48"/>
      <c r="V515" s="60"/>
      <c r="W515" s="59"/>
      <c r="X515" s="8"/>
    </row>
    <row r="516" spans="1:30" x14ac:dyDescent="0.25">
      <c r="A516" s="209">
        <v>43110</v>
      </c>
      <c r="B516" s="57" t="s">
        <v>160</v>
      </c>
      <c r="C516" s="51" t="s">
        <v>158</v>
      </c>
      <c r="D516" s="73">
        <v>1934.74</v>
      </c>
      <c r="E516" s="73">
        <v>1904.38</v>
      </c>
      <c r="F516" s="73">
        <v>2003.02</v>
      </c>
      <c r="G516" s="73">
        <v>1850.81</v>
      </c>
      <c r="H516" s="73">
        <v>1880.81</v>
      </c>
      <c r="I516" s="73">
        <v>1894.32</v>
      </c>
      <c r="J516" s="73">
        <v>1943.42</v>
      </c>
      <c r="K516" s="73">
        <v>2026.37</v>
      </c>
      <c r="L516" s="73">
        <v>1924.27</v>
      </c>
      <c r="M516" s="72"/>
      <c r="N516" s="72"/>
      <c r="O516" s="72"/>
      <c r="P516" s="72"/>
      <c r="Q516" s="57">
        <f>IF((L517=""),"",MAX(D518:L518))</f>
        <v>2949.9599999999991</v>
      </c>
      <c r="R516" s="57">
        <f>IF(L517="","",MIN(D518:L518))</f>
        <v>2199.4399999999996</v>
      </c>
      <c r="S516" s="57">
        <f>IF((L518=""),"",AVERAGE(D518:L518))</f>
        <v>2600.7822222222221</v>
      </c>
      <c r="T516" s="57">
        <f>IF((L517=""),"",((Q516-R516)/(Q516+R516))*100)</f>
        <v>14.574901930321973</v>
      </c>
      <c r="U516" s="51">
        <f>STDEV(D516:L516)</f>
        <v>56.422279287529662</v>
      </c>
      <c r="V516" s="64" t="str">
        <f>IF(L517="","",(IF(T516&lt;12,IF(S516&gt;2200,IF(S516&lt;3280,"Pass","Fail"),"Fail"),"Fail")))</f>
        <v>Fail</v>
      </c>
      <c r="W516" s="54">
        <v>1335</v>
      </c>
      <c r="Y516" s="8" t="s">
        <v>182</v>
      </c>
      <c r="Z516" s="37">
        <v>2000</v>
      </c>
      <c r="AA516" s="37">
        <v>3000</v>
      </c>
      <c r="AB516" s="37">
        <v>2200</v>
      </c>
      <c r="AC516" s="37">
        <v>3280</v>
      </c>
      <c r="AD516" s="39">
        <v>12</v>
      </c>
    </row>
    <row r="517" spans="1:30" ht="15.8" customHeight="1" x14ac:dyDescent="0.35">
      <c r="A517" s="206"/>
      <c r="B517" s="48"/>
      <c r="C517" s="51" t="s">
        <v>157</v>
      </c>
      <c r="D517" s="68">
        <v>1260.6400000000001</v>
      </c>
      <c r="E517" s="68">
        <v>1310.6099999999999</v>
      </c>
      <c r="F517" s="68">
        <v>1313.35</v>
      </c>
      <c r="G517" s="68">
        <v>1300.95</v>
      </c>
      <c r="H517" s="68">
        <v>1236.24</v>
      </c>
      <c r="I517" s="68">
        <v>1254.69</v>
      </c>
      <c r="J517" s="68">
        <v>1323.81</v>
      </c>
      <c r="K517" s="68">
        <v>1288.8800000000001</v>
      </c>
      <c r="L517" s="68">
        <v>1221.21</v>
      </c>
      <c r="M517" s="50"/>
      <c r="N517" s="50"/>
      <c r="O517" s="50"/>
      <c r="P517" s="50"/>
      <c r="Q517" s="48"/>
      <c r="R517" s="48"/>
      <c r="S517" s="48"/>
      <c r="T517" s="48"/>
      <c r="U517" s="48"/>
      <c r="V517" s="47"/>
      <c r="W517" s="46"/>
      <c r="X517" s="8"/>
    </row>
    <row r="518" spans="1:30" ht="23.95" customHeight="1" x14ac:dyDescent="0.35">
      <c r="A518" s="206"/>
      <c r="B518" s="61"/>
      <c r="C518" s="51" t="s">
        <v>156</v>
      </c>
      <c r="D518" s="24">
        <f t="shared" ref="D518:L518" si="167">IF(((D516="")*AND(D517="")),"",(D516-D517)*4)</f>
        <v>2696.3999999999996</v>
      </c>
      <c r="E518" s="24">
        <f t="shared" si="167"/>
        <v>2375.0800000000008</v>
      </c>
      <c r="F518" s="24">
        <f t="shared" si="167"/>
        <v>2758.6800000000003</v>
      </c>
      <c r="G518" s="24">
        <f t="shared" si="167"/>
        <v>2199.4399999999996</v>
      </c>
      <c r="H518" s="24">
        <f t="shared" si="167"/>
        <v>2578.2799999999997</v>
      </c>
      <c r="I518" s="24">
        <f t="shared" si="167"/>
        <v>2558.5199999999995</v>
      </c>
      <c r="J518" s="24">
        <f t="shared" si="167"/>
        <v>2478.4400000000005</v>
      </c>
      <c r="K518" s="24">
        <f t="shared" si="167"/>
        <v>2949.9599999999991</v>
      </c>
      <c r="L518" s="24">
        <f t="shared" si="167"/>
        <v>2812.24</v>
      </c>
      <c r="M518" s="24"/>
      <c r="N518" s="24"/>
      <c r="O518" s="24"/>
      <c r="P518" s="24" t="str">
        <f>IF(((P516="")*AND(P517="")),"",(P516-P517)*4)</f>
        <v/>
      </c>
      <c r="Q518" s="61"/>
      <c r="R518" s="61"/>
      <c r="S518" s="61"/>
      <c r="T518" s="61"/>
      <c r="U518" s="61"/>
      <c r="V518" s="60"/>
      <c r="W518" s="59"/>
      <c r="X518" s="8"/>
    </row>
    <row r="519" spans="1:30" x14ac:dyDescent="0.25">
      <c r="A519" s="209">
        <v>43110</v>
      </c>
      <c r="B519" s="57" t="s">
        <v>160</v>
      </c>
      <c r="C519" s="51" t="s">
        <v>158</v>
      </c>
      <c r="D519" s="73">
        <v>1976.47</v>
      </c>
      <c r="E519" s="73">
        <v>1962.16</v>
      </c>
      <c r="F519" s="73">
        <v>1956.92</v>
      </c>
      <c r="G519" s="73">
        <v>1961.62</v>
      </c>
      <c r="H519" s="73">
        <v>1984.46</v>
      </c>
      <c r="I519" s="73">
        <v>1983.75</v>
      </c>
      <c r="J519" s="73">
        <v>1960.38</v>
      </c>
      <c r="K519" s="73">
        <v>1960.43</v>
      </c>
      <c r="L519" s="73">
        <v>1977.64</v>
      </c>
      <c r="M519" s="72"/>
      <c r="N519" s="72"/>
      <c r="O519" s="72"/>
      <c r="P519" s="72"/>
      <c r="Q519" s="57">
        <f>IF((L520=""),"",MAX(D521:L521))</f>
        <v>3409.5200000000004</v>
      </c>
      <c r="R519" s="57">
        <f>IF(L520="","",MIN(D521:L521))</f>
        <v>2897.6800000000003</v>
      </c>
      <c r="S519" s="57">
        <f>IF((L521=""),"",AVERAGE(D521:L521))</f>
        <v>3137.2177777777779</v>
      </c>
      <c r="T519" s="57">
        <f>IF((L520=""),"",((Q519-R519)/(Q519+R519))*100)</f>
        <v>8.1151699644850339</v>
      </c>
      <c r="U519" s="51">
        <f>STDEV(D519:L519)</f>
        <v>11.073958315696228</v>
      </c>
      <c r="V519" s="64" t="str">
        <f>IF(L520="","",(IF(T519&lt;12,IF(S519&gt;2200,IF(S519&lt;3280,"Pass","Fail"),"Fail"),"Fail")))</f>
        <v>Pass</v>
      </c>
      <c r="W519" s="57">
        <v>1159</v>
      </c>
      <c r="Y519" s="66" t="s">
        <v>181</v>
      </c>
      <c r="Z519" s="37">
        <v>2000</v>
      </c>
      <c r="AA519" s="37">
        <v>3000</v>
      </c>
      <c r="AB519" s="37">
        <v>2200</v>
      </c>
      <c r="AC519" s="37">
        <v>3280</v>
      </c>
      <c r="AD519" s="39">
        <v>12</v>
      </c>
    </row>
    <row r="520" spans="1:30" ht="15.8" customHeight="1" x14ac:dyDescent="0.35">
      <c r="A520" s="206"/>
      <c r="B520" s="48"/>
      <c r="C520" s="51" t="s">
        <v>157</v>
      </c>
      <c r="D520" s="68">
        <v>1168.99</v>
      </c>
      <c r="E520" s="68">
        <v>1212.9100000000001</v>
      </c>
      <c r="F520" s="68">
        <v>1232.5</v>
      </c>
      <c r="G520" s="68">
        <v>1205.01</v>
      </c>
      <c r="H520" s="68">
        <v>1138.05</v>
      </c>
      <c r="I520" s="68">
        <v>1169.8399999999999</v>
      </c>
      <c r="J520" s="68">
        <v>1218.31</v>
      </c>
      <c r="K520" s="68">
        <v>1194.22</v>
      </c>
      <c r="L520" s="68">
        <v>1125.26</v>
      </c>
      <c r="M520" s="50"/>
      <c r="N520" s="50"/>
      <c r="O520" s="50"/>
      <c r="P520" s="50"/>
      <c r="Q520" s="48"/>
      <c r="R520" s="48"/>
      <c r="S520" s="48"/>
      <c r="T520" s="48"/>
      <c r="U520" s="48"/>
      <c r="V520" s="47"/>
      <c r="W520" s="48"/>
      <c r="X520" s="8"/>
    </row>
    <row r="521" spans="1:30" ht="23.95" customHeight="1" x14ac:dyDescent="0.35">
      <c r="A521" s="206"/>
      <c r="B521" s="61"/>
      <c r="C521" s="51" t="s">
        <v>156</v>
      </c>
      <c r="D521" s="24">
        <f t="shared" ref="D521:L521" si="168">IF(((D519="")*AND(D520="")),"",(D519-D520)*4)</f>
        <v>3229.92</v>
      </c>
      <c r="E521" s="24">
        <f t="shared" si="168"/>
        <v>2997</v>
      </c>
      <c r="F521" s="24">
        <f t="shared" si="168"/>
        <v>2897.6800000000003</v>
      </c>
      <c r="G521" s="24">
        <f t="shared" si="168"/>
        <v>3026.4399999999996</v>
      </c>
      <c r="H521" s="24">
        <f t="shared" si="168"/>
        <v>3385.6400000000003</v>
      </c>
      <c r="I521" s="24">
        <f t="shared" si="168"/>
        <v>3255.6400000000003</v>
      </c>
      <c r="J521" s="24">
        <f t="shared" si="168"/>
        <v>2968.2800000000007</v>
      </c>
      <c r="K521" s="24">
        <f t="shared" si="168"/>
        <v>3064.84</v>
      </c>
      <c r="L521" s="24">
        <f t="shared" si="168"/>
        <v>3409.5200000000004</v>
      </c>
      <c r="M521" s="24"/>
      <c r="N521" s="24"/>
      <c r="O521" s="24"/>
      <c r="P521" s="24" t="str">
        <f>IF(((P519="")*AND(P520="")),"",(P519-P520)*4)</f>
        <v/>
      </c>
      <c r="Q521" s="61"/>
      <c r="R521" s="61"/>
      <c r="S521" s="61"/>
      <c r="T521" s="61"/>
      <c r="U521" s="61"/>
      <c r="V521" s="60"/>
      <c r="W521" s="61"/>
      <c r="X521" s="8"/>
    </row>
    <row r="522" spans="1:30" x14ac:dyDescent="0.25">
      <c r="A522" s="209">
        <v>43111</v>
      </c>
      <c r="B522" s="57" t="s">
        <v>160</v>
      </c>
      <c r="C522" s="61" t="s">
        <v>158</v>
      </c>
      <c r="D522" s="8">
        <v>1924.96</v>
      </c>
      <c r="E522" s="8">
        <v>1921.97</v>
      </c>
      <c r="F522" s="8">
        <v>1921</v>
      </c>
      <c r="G522" s="8">
        <v>1924.08</v>
      </c>
      <c r="H522" s="8">
        <v>1931.89</v>
      </c>
      <c r="I522" s="8">
        <v>1928.47</v>
      </c>
      <c r="J522" s="8">
        <v>1921.09</v>
      </c>
      <c r="K522" s="8">
        <v>1923.44</v>
      </c>
      <c r="L522" s="8">
        <v>1929.94</v>
      </c>
      <c r="M522" s="50"/>
      <c r="N522" s="50"/>
      <c r="O522" s="50"/>
      <c r="P522" s="50"/>
      <c r="Q522" s="57">
        <f>IF((L523=""),"",MAX(D524:L524))</f>
        <v>3182.4000000000005</v>
      </c>
      <c r="R522" s="57">
        <f>IF(L523="","",MIN(D524:L524))</f>
        <v>2750.5200000000004</v>
      </c>
      <c r="S522" s="48">
        <f>IF((L524=""),"",AVERAGE(D524:L524))</f>
        <v>2932.3999999999996</v>
      </c>
      <c r="T522" s="48">
        <f>IF((L523=""),"",((Q522-R522)/(Q522+R522))*100)</f>
        <v>7.2793835076151376</v>
      </c>
      <c r="U522" s="51">
        <f>STDEV(D522:L522)</f>
        <v>3.9889068399472665</v>
      </c>
      <c r="V522" s="64" t="str">
        <f>IF(L523="","",(IF(T522&lt;12,IF(S522&gt;2200,IF(S522&lt;3280,"Pass","Fail"),"Fail"),"Fail")))</f>
        <v>Pass</v>
      </c>
      <c r="W522" s="57">
        <v>102</v>
      </c>
      <c r="Y522" s="66" t="s">
        <v>283</v>
      </c>
      <c r="Z522" s="37">
        <v>2000</v>
      </c>
      <c r="AA522" s="37">
        <v>3000</v>
      </c>
      <c r="AB522" s="37">
        <v>2200</v>
      </c>
      <c r="AC522" s="37">
        <v>3280</v>
      </c>
      <c r="AD522" s="39">
        <v>12</v>
      </c>
    </row>
    <row r="523" spans="1:30" ht="16.5" customHeight="1" x14ac:dyDescent="0.35">
      <c r="A523" s="206"/>
      <c r="B523" s="48"/>
      <c r="C523" s="51" t="s">
        <v>157</v>
      </c>
      <c r="D523" s="8">
        <v>1188.01</v>
      </c>
      <c r="E523" s="8">
        <v>1216.26</v>
      </c>
      <c r="F523" s="8">
        <v>1233.3699999999999</v>
      </c>
      <c r="G523" s="8">
        <v>1205.33</v>
      </c>
      <c r="H523" s="8">
        <v>1149.44</v>
      </c>
      <c r="I523" s="8">
        <v>1182.6300000000001</v>
      </c>
      <c r="J523" s="8">
        <v>1222.8599999999999</v>
      </c>
      <c r="K523" s="8">
        <v>1196.7</v>
      </c>
      <c r="L523" s="8">
        <v>1134.3399999999999</v>
      </c>
      <c r="M523" s="50"/>
      <c r="N523" s="50"/>
      <c r="O523" s="50"/>
      <c r="P523" s="50"/>
      <c r="Q523" s="48"/>
      <c r="R523" s="48"/>
      <c r="S523" s="48"/>
      <c r="T523" s="48"/>
      <c r="U523" s="48"/>
      <c r="V523" s="47"/>
      <c r="W523" s="48"/>
      <c r="X523" s="8"/>
    </row>
    <row r="524" spans="1:30" ht="24.8" customHeight="1" thickBot="1" x14ac:dyDescent="0.4">
      <c r="A524" s="206"/>
      <c r="B524" s="42"/>
      <c r="C524" s="57" t="s">
        <v>156</v>
      </c>
      <c r="D524" s="71">
        <f t="shared" ref="D524:L524" si="169">IF(((D522="")*AND(D523="")),"",(D522-D523)*4)</f>
        <v>2947.8</v>
      </c>
      <c r="E524" s="71">
        <f t="shared" si="169"/>
        <v>2822.84</v>
      </c>
      <c r="F524" s="71">
        <f t="shared" si="169"/>
        <v>2750.5200000000004</v>
      </c>
      <c r="G524" s="71">
        <f t="shared" si="169"/>
        <v>2875</v>
      </c>
      <c r="H524" s="71">
        <f t="shared" si="169"/>
        <v>3129.8</v>
      </c>
      <c r="I524" s="71">
        <f t="shared" si="169"/>
        <v>2983.3599999999997</v>
      </c>
      <c r="J524" s="71">
        <f t="shared" si="169"/>
        <v>2792.92</v>
      </c>
      <c r="K524" s="71">
        <f t="shared" si="169"/>
        <v>2906.96</v>
      </c>
      <c r="L524" s="71">
        <f t="shared" si="169"/>
        <v>3182.4000000000005</v>
      </c>
      <c r="M524" s="71"/>
      <c r="N524" s="71"/>
      <c r="O524" s="71"/>
      <c r="P524" s="71" t="str">
        <f>IF(((P522="")*AND(P523="")),"",(P522-P523)*4)</f>
        <v/>
      </c>
      <c r="Q524" s="42"/>
      <c r="R524" s="42"/>
      <c r="S524" s="48"/>
      <c r="T524" s="48"/>
      <c r="U524" s="48"/>
      <c r="V524" s="41"/>
      <c r="W524" s="42"/>
      <c r="X524" s="8"/>
    </row>
    <row r="525" spans="1:30" x14ac:dyDescent="0.25">
      <c r="A525" s="208">
        <v>43117</v>
      </c>
      <c r="B525" s="63" t="s">
        <v>160</v>
      </c>
      <c r="C525" s="56" t="s">
        <v>158</v>
      </c>
      <c r="D525" s="69">
        <v>1170.78</v>
      </c>
      <c r="E525" s="69">
        <v>1214.8499999999999</v>
      </c>
      <c r="F525" s="69">
        <v>1231.04</v>
      </c>
      <c r="G525" s="69">
        <v>1208.71</v>
      </c>
      <c r="H525" s="69">
        <v>1142.56</v>
      </c>
      <c r="I525" s="69">
        <v>1173.6199999999999</v>
      </c>
      <c r="J525" s="69">
        <v>1222.3699999999999</v>
      </c>
      <c r="K525" s="69">
        <v>1198.53</v>
      </c>
      <c r="L525" s="69">
        <v>1128.27</v>
      </c>
      <c r="M525" s="62"/>
      <c r="N525" s="62"/>
      <c r="O525" s="62"/>
      <c r="P525" s="62"/>
      <c r="Q525" s="63">
        <f>IF((L526=""),"",MAX(D527:L527))</f>
        <v>3104.84</v>
      </c>
      <c r="R525" s="63">
        <f>IF(L526="","",MIN(D527:L527))</f>
        <v>2748.7999999999997</v>
      </c>
      <c r="S525" s="63">
        <f>IF((L527=""),"",AVERAGE(D527:L527))</f>
        <v>2906.5422222222219</v>
      </c>
      <c r="T525" s="63">
        <f>IF((L526=""),"",((Q525-R525)/(Q525+R525))*100)</f>
        <v>6.0823692608360007</v>
      </c>
      <c r="U525" s="51">
        <f>STDEV(D525:L525)</f>
        <v>36.107558226929591</v>
      </c>
      <c r="V525" s="64" t="str">
        <f>IF(L526="","",(IF(T525&lt;12,IF(S525&gt;2200,IF(S525&lt;3280,"Pass","Fail"),"Fail"),"Fail")))</f>
        <v>Pass</v>
      </c>
      <c r="W525" s="67">
        <v>121</v>
      </c>
      <c r="Z525" s="37">
        <v>2000</v>
      </c>
      <c r="AA525" s="37">
        <v>3000</v>
      </c>
      <c r="AB525" s="37">
        <v>2200</v>
      </c>
      <c r="AC525" s="37">
        <v>3280</v>
      </c>
      <c r="AD525" s="39">
        <v>12</v>
      </c>
    </row>
    <row r="526" spans="1:30" ht="16.5" customHeight="1" x14ac:dyDescent="0.35">
      <c r="A526" s="206"/>
      <c r="B526" s="48"/>
      <c r="C526" s="51" t="s">
        <v>157</v>
      </c>
      <c r="D526" s="68">
        <v>431.19</v>
      </c>
      <c r="E526" s="68">
        <v>512.15</v>
      </c>
      <c r="F526" s="68">
        <v>543.84</v>
      </c>
      <c r="G526" s="68">
        <v>501.2</v>
      </c>
      <c r="H526" s="68">
        <v>377.27</v>
      </c>
      <c r="I526" s="68">
        <v>425.49</v>
      </c>
      <c r="J526" s="68">
        <v>524.35</v>
      </c>
      <c r="K526" s="68">
        <v>483.46</v>
      </c>
      <c r="L526" s="68">
        <v>352.06</v>
      </c>
      <c r="M526" s="50"/>
      <c r="N526" s="50"/>
      <c r="O526" s="50"/>
      <c r="P526" s="50"/>
      <c r="Q526" s="48"/>
      <c r="R526" s="48"/>
      <c r="S526" s="48"/>
      <c r="T526" s="48"/>
      <c r="U526" s="48"/>
      <c r="V526" s="47"/>
      <c r="W526" s="46"/>
      <c r="X526" s="8"/>
    </row>
    <row r="527" spans="1:30" ht="24.8" customHeight="1" thickBot="1" x14ac:dyDescent="0.4">
      <c r="A527" s="206"/>
      <c r="B527" s="61"/>
      <c r="C527" s="51" t="s">
        <v>156</v>
      </c>
      <c r="D527" s="24">
        <f t="shared" ref="D527:L527" si="170">IF(((D525="")*AND(D526="")),"",(D525-D526)*4)</f>
        <v>2958.3599999999997</v>
      </c>
      <c r="E527" s="24">
        <f t="shared" si="170"/>
        <v>2810.7999999999997</v>
      </c>
      <c r="F527" s="24">
        <f t="shared" si="170"/>
        <v>2748.7999999999997</v>
      </c>
      <c r="G527" s="24">
        <f t="shared" si="170"/>
        <v>2830.04</v>
      </c>
      <c r="H527" s="24">
        <f t="shared" si="170"/>
        <v>3061.16</v>
      </c>
      <c r="I527" s="24">
        <f t="shared" si="170"/>
        <v>2992.5199999999995</v>
      </c>
      <c r="J527" s="24">
        <f t="shared" si="170"/>
        <v>2792.0799999999995</v>
      </c>
      <c r="K527" s="24">
        <f t="shared" si="170"/>
        <v>2860.2799999999997</v>
      </c>
      <c r="L527" s="24">
        <f t="shared" si="170"/>
        <v>3104.84</v>
      </c>
      <c r="M527" s="24"/>
      <c r="N527" s="24"/>
      <c r="O527" s="24"/>
      <c r="P527" s="24" t="str">
        <f>IF(((P525="")*AND(P526="")),"",(P525-P526)*4)</f>
        <v/>
      </c>
      <c r="Q527" s="61"/>
      <c r="R527" s="61"/>
      <c r="S527" s="61"/>
      <c r="T527" s="61"/>
      <c r="U527" s="61"/>
      <c r="V527" s="60"/>
      <c r="W527" s="59"/>
      <c r="X527" s="8"/>
    </row>
    <row r="528" spans="1:30" x14ac:dyDescent="0.25">
      <c r="A528" s="209">
        <v>43117</v>
      </c>
      <c r="B528" s="57" t="s">
        <v>159</v>
      </c>
      <c r="C528" s="51" t="s">
        <v>158</v>
      </c>
      <c r="D528" s="68">
        <v>5174.12</v>
      </c>
      <c r="E528" s="68">
        <v>5137.79</v>
      </c>
      <c r="F528" s="68">
        <v>5156.25</v>
      </c>
      <c r="G528" s="68">
        <v>5136.5200000000004</v>
      </c>
      <c r="H528" s="68">
        <v>5200.47</v>
      </c>
      <c r="I528" s="68">
        <v>5192.87</v>
      </c>
      <c r="J528" s="68">
        <v>5178.37</v>
      </c>
      <c r="K528" s="68">
        <v>5144.88</v>
      </c>
      <c r="L528" s="68">
        <v>5164.3900000000003</v>
      </c>
      <c r="M528" s="50"/>
      <c r="N528" s="50"/>
      <c r="O528" s="50"/>
      <c r="P528" s="50"/>
      <c r="Q528" s="57">
        <f>IF((L529=""),"",MAX(D530:L530))</f>
        <v>3524.8999999999996</v>
      </c>
      <c r="R528" s="57">
        <f>IF(L529="","",MIN(D530:L530))</f>
        <v>3445.3600000000006</v>
      </c>
      <c r="S528" s="58">
        <f>IF((L530=""),"",AVERAGE(D530:L530))</f>
        <v>3499.4222222222229</v>
      </c>
      <c r="T528" s="57">
        <f>IF((L529=""),"",((Q528-R528)/(Q528+R528))*100)</f>
        <v>1.1411339031829379</v>
      </c>
      <c r="U528" s="56">
        <f>STDEV(D528:L528)</f>
        <v>23.264737802090043</v>
      </c>
      <c r="V528" s="55" t="str">
        <f>IF(L529="","",(IF(T528&lt;7,IF(S528&gt;2800,IF(S528&lt;3800,"Pass","Fail"),"Fail"),"Fail")))</f>
        <v>Pass</v>
      </c>
      <c r="W528" s="54">
        <v>121</v>
      </c>
      <c r="Z528" s="53">
        <v>2800</v>
      </c>
      <c r="AA528" s="53">
        <v>3800</v>
      </c>
      <c r="AB528" s="53">
        <v>3100</v>
      </c>
      <c r="AC528" s="53">
        <v>3760</v>
      </c>
      <c r="AD528" s="52">
        <v>6</v>
      </c>
    </row>
    <row r="529" spans="1:30" ht="16.5" customHeight="1" x14ac:dyDescent="0.35">
      <c r="A529" s="206"/>
      <c r="B529" s="48"/>
      <c r="C529" s="51" t="s">
        <v>157</v>
      </c>
      <c r="D529" s="68">
        <v>3417.6</v>
      </c>
      <c r="E529" s="68">
        <v>3375.34</v>
      </c>
      <c r="F529" s="68">
        <v>3400.36</v>
      </c>
      <c r="G529" s="68">
        <v>3387.86</v>
      </c>
      <c r="H529" s="68">
        <v>3477.79</v>
      </c>
      <c r="I529" s="68">
        <v>3435.35</v>
      </c>
      <c r="J529" s="68">
        <v>3425.42</v>
      </c>
      <c r="K529" s="68">
        <v>3391.43</v>
      </c>
      <c r="L529" s="68">
        <v>3427.11</v>
      </c>
      <c r="M529" s="50"/>
      <c r="N529" s="50"/>
      <c r="O529" s="50"/>
      <c r="P529" s="50"/>
      <c r="Q529" s="48"/>
      <c r="R529" s="48"/>
      <c r="S529" s="49"/>
      <c r="T529" s="48"/>
      <c r="U529" s="48"/>
      <c r="V529" s="47"/>
      <c r="W529" s="46"/>
      <c r="X529" s="8"/>
    </row>
    <row r="530" spans="1:30" ht="24.8" customHeight="1" thickBot="1" x14ac:dyDescent="0.4">
      <c r="A530" s="206"/>
      <c r="B530" s="42"/>
      <c r="C530" s="45" t="s">
        <v>156</v>
      </c>
      <c r="D530" s="44">
        <f t="shared" ref="D530:L530" si="171">IF(((D528="")*AND(D529="")),"",(D528-D529)*2)</f>
        <v>3513.04</v>
      </c>
      <c r="E530" s="44">
        <f t="shared" si="171"/>
        <v>3524.8999999999996</v>
      </c>
      <c r="F530" s="44">
        <f t="shared" si="171"/>
        <v>3511.7799999999997</v>
      </c>
      <c r="G530" s="44">
        <f t="shared" si="171"/>
        <v>3497.3200000000006</v>
      </c>
      <c r="H530" s="44">
        <f t="shared" si="171"/>
        <v>3445.3600000000006</v>
      </c>
      <c r="I530" s="44">
        <f t="shared" si="171"/>
        <v>3515.04</v>
      </c>
      <c r="J530" s="44">
        <f t="shared" si="171"/>
        <v>3505.8999999999996</v>
      </c>
      <c r="K530" s="44">
        <f t="shared" si="171"/>
        <v>3506.9000000000005</v>
      </c>
      <c r="L530" s="44">
        <f t="shared" si="171"/>
        <v>3474.5600000000004</v>
      </c>
      <c r="M530" s="44"/>
      <c r="N530" s="44"/>
      <c r="O530" s="44"/>
      <c r="P530" s="44"/>
      <c r="Q530" s="42"/>
      <c r="R530" s="42"/>
      <c r="S530" s="43"/>
      <c r="T530" s="42"/>
      <c r="U530" s="42"/>
      <c r="V530" s="41"/>
      <c r="W530" s="40"/>
      <c r="X530" s="8"/>
    </row>
    <row r="531" spans="1:30" x14ac:dyDescent="0.25">
      <c r="A531" s="208">
        <v>43122</v>
      </c>
      <c r="B531" s="63" t="s">
        <v>160</v>
      </c>
      <c r="C531" s="56" t="s">
        <v>158</v>
      </c>
      <c r="D531" s="69">
        <v>1918.34</v>
      </c>
      <c r="E531" s="69">
        <v>1908.68</v>
      </c>
      <c r="F531" s="69">
        <v>1907.46</v>
      </c>
      <c r="G531" s="69">
        <v>1908.03</v>
      </c>
      <c r="H531" s="69">
        <v>1917.44</v>
      </c>
      <c r="I531" s="69">
        <v>1916.47</v>
      </c>
      <c r="J531" s="69">
        <v>1912.81</v>
      </c>
      <c r="K531" s="69">
        <v>1907.78</v>
      </c>
      <c r="L531" s="69">
        <v>1917.61</v>
      </c>
      <c r="M531" s="62"/>
      <c r="N531" s="62"/>
      <c r="O531" s="62"/>
      <c r="P531" s="62"/>
      <c r="Q531" s="63">
        <f>IF((L532=""),"",MAX(D533:L533))</f>
        <v>3128.8399999999992</v>
      </c>
      <c r="R531" s="63">
        <f>IF(L532="","",MIN(D533:L533))</f>
        <v>2739</v>
      </c>
      <c r="S531" s="63">
        <f>IF((L533=""),"",AVERAGE(D533:L533))</f>
        <v>2896.902222222222</v>
      </c>
      <c r="T531" s="63">
        <f>IF((L532=""),"",((Q531-R531)/(Q531+R531))*100)</f>
        <v>6.6436712657468382</v>
      </c>
      <c r="U531" s="51">
        <f>STDEV(D531:L531)</f>
        <v>4.7727379749759553</v>
      </c>
      <c r="V531" s="64" t="str">
        <f>IF(L532="","",(IF(T531&lt;12,IF(S531&gt;2200,IF(S531&lt;3280,"Pass","Fail"),"Fail"),"Fail")))</f>
        <v>Pass</v>
      </c>
      <c r="W531" s="67">
        <v>121</v>
      </c>
      <c r="Z531" s="37">
        <v>2000</v>
      </c>
      <c r="AA531" s="37">
        <v>3000</v>
      </c>
      <c r="AB531" s="37">
        <v>2200</v>
      </c>
      <c r="AC531" s="37">
        <v>3280</v>
      </c>
      <c r="AD531" s="39">
        <v>12</v>
      </c>
    </row>
    <row r="532" spans="1:30" ht="16.5" customHeight="1" x14ac:dyDescent="0.35">
      <c r="A532" s="206"/>
      <c r="B532" s="48"/>
      <c r="C532" s="51" t="s">
        <v>157</v>
      </c>
      <c r="D532" s="68">
        <v>1179.76</v>
      </c>
      <c r="E532" s="68">
        <v>1206.82</v>
      </c>
      <c r="F532" s="68">
        <v>1222.71</v>
      </c>
      <c r="G532" s="68">
        <v>1202.49</v>
      </c>
      <c r="H532" s="68">
        <v>1155.95</v>
      </c>
      <c r="I532" s="68">
        <v>1183.5999999999999</v>
      </c>
      <c r="J532" s="68">
        <v>1219</v>
      </c>
      <c r="K532" s="68">
        <v>1190.8599999999999</v>
      </c>
      <c r="L532" s="68">
        <v>1135.4000000000001</v>
      </c>
      <c r="M532" s="50"/>
      <c r="N532" s="50"/>
      <c r="O532" s="50"/>
      <c r="P532" s="50"/>
      <c r="Q532" s="48"/>
      <c r="R532" s="48"/>
      <c r="S532" s="48"/>
      <c r="T532" s="48"/>
      <c r="U532" s="48"/>
      <c r="V532" s="47"/>
      <c r="W532" s="46"/>
      <c r="X532" s="8"/>
    </row>
    <row r="533" spans="1:30" ht="24.8" customHeight="1" thickBot="1" x14ac:dyDescent="0.4">
      <c r="A533" s="206"/>
      <c r="B533" s="61"/>
      <c r="C533" s="51" t="s">
        <v>156</v>
      </c>
      <c r="D533" s="24">
        <f t="shared" ref="D533:L533" si="172">IF(((D531="")*AND(D532="")),"",(D531-D532)*4)</f>
        <v>2954.3199999999997</v>
      </c>
      <c r="E533" s="24">
        <f t="shared" si="172"/>
        <v>2807.4400000000005</v>
      </c>
      <c r="F533" s="24">
        <f t="shared" si="172"/>
        <v>2739</v>
      </c>
      <c r="G533" s="24">
        <f t="shared" si="172"/>
        <v>2822.16</v>
      </c>
      <c r="H533" s="24">
        <f t="shared" si="172"/>
        <v>3045.96</v>
      </c>
      <c r="I533" s="24">
        <f t="shared" si="172"/>
        <v>2931.4800000000005</v>
      </c>
      <c r="J533" s="24">
        <f t="shared" si="172"/>
        <v>2775.24</v>
      </c>
      <c r="K533" s="24">
        <f t="shared" si="172"/>
        <v>2867.6800000000003</v>
      </c>
      <c r="L533" s="24">
        <f t="shared" si="172"/>
        <v>3128.8399999999992</v>
      </c>
      <c r="M533" s="24"/>
      <c r="N533" s="24"/>
      <c r="O533" s="24"/>
      <c r="P533" s="24" t="str">
        <f>IF(((P531="")*AND(P532="")),"",(P531-P532)*4)</f>
        <v/>
      </c>
      <c r="Q533" s="61"/>
      <c r="R533" s="61"/>
      <c r="S533" s="61"/>
      <c r="T533" s="61"/>
      <c r="U533" s="61"/>
      <c r="V533" s="60"/>
      <c r="W533" s="59"/>
      <c r="X533" s="8"/>
    </row>
    <row r="534" spans="1:30" x14ac:dyDescent="0.25">
      <c r="A534" s="209">
        <v>43122</v>
      </c>
      <c r="B534" s="57" t="s">
        <v>159</v>
      </c>
      <c r="C534" s="51" t="s">
        <v>158</v>
      </c>
      <c r="D534" s="68">
        <v>3417.6</v>
      </c>
      <c r="E534" s="68">
        <v>3375.34</v>
      </c>
      <c r="F534" s="68">
        <v>3400.36</v>
      </c>
      <c r="G534" s="68">
        <v>3387.86</v>
      </c>
      <c r="H534" s="68">
        <v>3477.79</v>
      </c>
      <c r="I534" s="68">
        <v>3435.35</v>
      </c>
      <c r="J534" s="68">
        <v>3425.42</v>
      </c>
      <c r="K534" s="68">
        <v>3391.43</v>
      </c>
      <c r="L534" s="68">
        <v>3427.11</v>
      </c>
      <c r="M534" s="50"/>
      <c r="N534" s="50"/>
      <c r="O534" s="50"/>
      <c r="P534" s="50"/>
      <c r="Q534" s="57">
        <f>IF((L535=""),"",MAX(D536:L536))</f>
        <v>3740.72</v>
      </c>
      <c r="R534" s="57">
        <f>IF(L535="","",MIN(D536:L536))</f>
        <v>3650.94</v>
      </c>
      <c r="S534" s="58">
        <f>IF((L536=""),"",AVERAGE(D536:L536))</f>
        <v>3680.0755555555556</v>
      </c>
      <c r="T534" s="57">
        <f>IF((L535=""),"",((Q534-R534)/(Q534+R534))*100)</f>
        <v>1.2146121439568345</v>
      </c>
      <c r="U534" s="56">
        <f>STDEV(D534:L534)</f>
        <v>31.017906029331542</v>
      </c>
      <c r="V534" s="55" t="str">
        <f>IF(L535="","",(IF(T534&lt;7,IF(S534&gt;2800,IF(S534&lt;3800,"Pass","Fail"),"Fail"),"Fail")))</f>
        <v>Pass</v>
      </c>
      <c r="W534" s="54">
        <v>121</v>
      </c>
      <c r="Z534" s="53">
        <v>2800</v>
      </c>
      <c r="AA534" s="53">
        <v>3800</v>
      </c>
      <c r="AB534" s="53">
        <v>3100</v>
      </c>
      <c r="AC534" s="53">
        <v>3760</v>
      </c>
      <c r="AD534" s="52">
        <v>6</v>
      </c>
    </row>
    <row r="535" spans="1:30" ht="16.5" customHeight="1" x14ac:dyDescent="0.35">
      <c r="A535" s="206"/>
      <c r="B535" s="48"/>
      <c r="C535" s="51" t="s">
        <v>157</v>
      </c>
      <c r="D535" s="68">
        <v>1558.48</v>
      </c>
      <c r="E535" s="68">
        <v>1532.67</v>
      </c>
      <c r="F535" s="68">
        <v>1564.8</v>
      </c>
      <c r="G535" s="68">
        <v>1556.52</v>
      </c>
      <c r="H535" s="68">
        <v>1652.32</v>
      </c>
      <c r="I535" s="68">
        <v>1564.99</v>
      </c>
      <c r="J535" s="68">
        <v>1587.11</v>
      </c>
      <c r="K535" s="68">
        <v>1559.89</v>
      </c>
      <c r="L535" s="68">
        <v>1601.14</v>
      </c>
      <c r="M535" s="50"/>
      <c r="N535" s="50"/>
      <c r="O535" s="50"/>
      <c r="P535" s="50"/>
      <c r="Q535" s="48"/>
      <c r="R535" s="48"/>
      <c r="S535" s="49"/>
      <c r="T535" s="48"/>
      <c r="U535" s="48"/>
      <c r="V535" s="47"/>
      <c r="W535" s="46"/>
      <c r="X535" s="8"/>
    </row>
    <row r="536" spans="1:30" ht="24.8" customHeight="1" thickBot="1" x14ac:dyDescent="0.4">
      <c r="A536" s="206"/>
      <c r="B536" s="42"/>
      <c r="C536" s="45" t="s">
        <v>156</v>
      </c>
      <c r="D536" s="44">
        <f t="shared" ref="D536:L536" si="173">IF(((D534="")*AND(D535="")),"",(D534-D535)*2)</f>
        <v>3718.24</v>
      </c>
      <c r="E536" s="44">
        <f t="shared" si="173"/>
        <v>3685.34</v>
      </c>
      <c r="F536" s="44">
        <f t="shared" si="173"/>
        <v>3671.1200000000003</v>
      </c>
      <c r="G536" s="44">
        <f t="shared" si="173"/>
        <v>3662.6800000000003</v>
      </c>
      <c r="H536" s="44">
        <f t="shared" si="173"/>
        <v>3650.94</v>
      </c>
      <c r="I536" s="44">
        <f t="shared" si="173"/>
        <v>3740.72</v>
      </c>
      <c r="J536" s="44">
        <f t="shared" si="173"/>
        <v>3676.6200000000003</v>
      </c>
      <c r="K536" s="44">
        <f t="shared" si="173"/>
        <v>3663.0799999999995</v>
      </c>
      <c r="L536" s="44">
        <f t="shared" si="173"/>
        <v>3651.94</v>
      </c>
      <c r="M536" s="44"/>
      <c r="N536" s="44"/>
      <c r="O536" s="44"/>
      <c r="P536" s="44"/>
      <c r="Q536" s="42"/>
      <c r="R536" s="42"/>
      <c r="S536" s="43"/>
      <c r="T536" s="42"/>
      <c r="U536" s="42"/>
      <c r="V536" s="41"/>
      <c r="W536" s="40"/>
      <c r="X536" s="8"/>
    </row>
    <row r="537" spans="1:30" x14ac:dyDescent="0.25">
      <c r="A537" s="208">
        <v>43125</v>
      </c>
      <c r="B537" s="63" t="s">
        <v>160</v>
      </c>
      <c r="C537" s="56" t="s">
        <v>158</v>
      </c>
      <c r="D537" s="69">
        <v>2166.08</v>
      </c>
      <c r="E537" s="69">
        <v>2138.8200000000002</v>
      </c>
      <c r="F537" s="69">
        <v>2128.2399999999998</v>
      </c>
      <c r="G537" s="69">
        <v>2133.44</v>
      </c>
      <c r="H537" s="69">
        <v>2165.1999999999998</v>
      </c>
      <c r="I537" s="69">
        <v>2176.09</v>
      </c>
      <c r="J537" s="69">
        <v>2138.59</v>
      </c>
      <c r="K537" s="69">
        <v>2132.2600000000002</v>
      </c>
      <c r="L537" s="69">
        <v>2160.59</v>
      </c>
      <c r="M537" s="62"/>
      <c r="N537" s="62"/>
      <c r="O537" s="62"/>
      <c r="P537" s="62"/>
      <c r="Q537" s="63">
        <f>IF((L538=""),"",MAX(D539:L539))</f>
        <v>3409.2800000000007</v>
      </c>
      <c r="R537" s="63">
        <f>IF(L538="","",MIN(D539:L539))</f>
        <v>2962.9599999999991</v>
      </c>
      <c r="S537" s="63">
        <f>IF((L539=""),"",AVERAGE(D539:L539))</f>
        <v>3176.4755555555553</v>
      </c>
      <c r="T537" s="63">
        <f>IF((L538=""),"",((Q537-R537)/(Q537+R537))*100)</f>
        <v>7.004130415678028</v>
      </c>
      <c r="U537" s="51">
        <f>STDEV(D537:L537)</f>
        <v>17.983897504279881</v>
      </c>
      <c r="V537" s="64" t="str">
        <f>IF(L538="","",(IF(T537&lt;12,IF(S537&gt;2200,IF(S537&lt;3280,"Pass","Fail"),"Fail"),"Fail")))</f>
        <v>Pass</v>
      </c>
      <c r="W537" s="67">
        <v>1428</v>
      </c>
      <c r="Z537" s="37">
        <v>2000</v>
      </c>
      <c r="AA537" s="37">
        <v>3000</v>
      </c>
      <c r="AB537" s="37">
        <v>2200</v>
      </c>
      <c r="AC537" s="37">
        <v>3280</v>
      </c>
      <c r="AD537" s="39">
        <v>12</v>
      </c>
    </row>
    <row r="538" spans="1:30" ht="16.5" customHeight="1" x14ac:dyDescent="0.35">
      <c r="A538" s="206"/>
      <c r="B538" s="48"/>
      <c r="C538" s="51" t="s">
        <v>157</v>
      </c>
      <c r="D538" s="68">
        <v>1344.44</v>
      </c>
      <c r="E538" s="68">
        <v>1373.99</v>
      </c>
      <c r="F538" s="68">
        <v>1387.5</v>
      </c>
      <c r="G538" s="68">
        <v>1372.59</v>
      </c>
      <c r="H538" s="68">
        <v>1318.61</v>
      </c>
      <c r="I538" s="68">
        <v>1343.4</v>
      </c>
      <c r="J538" s="68">
        <v>1380.89</v>
      </c>
      <c r="K538" s="68">
        <v>1362.55</v>
      </c>
      <c r="L538" s="68">
        <v>1308.27</v>
      </c>
      <c r="M538" s="50"/>
      <c r="N538" s="50"/>
      <c r="O538" s="50"/>
      <c r="P538" s="50"/>
      <c r="Q538" s="48"/>
      <c r="R538" s="48"/>
      <c r="S538" s="48"/>
      <c r="T538" s="48"/>
      <c r="U538" s="48"/>
      <c r="V538" s="47"/>
      <c r="W538" s="46"/>
      <c r="X538" s="8"/>
    </row>
    <row r="539" spans="1:30" ht="24.8" customHeight="1" thickBot="1" x14ac:dyDescent="0.4">
      <c r="A539" s="206"/>
      <c r="B539" s="61"/>
      <c r="C539" s="51" t="s">
        <v>156</v>
      </c>
      <c r="D539" s="24">
        <f t="shared" ref="D539:L539" si="174">IF(((D537="")*AND(D538="")),"",(D537-D538)*4)</f>
        <v>3286.5599999999995</v>
      </c>
      <c r="E539" s="24">
        <f t="shared" si="174"/>
        <v>3059.3200000000006</v>
      </c>
      <c r="F539" s="24">
        <f t="shared" si="174"/>
        <v>2962.9599999999991</v>
      </c>
      <c r="G539" s="24">
        <f t="shared" si="174"/>
        <v>3043.4000000000005</v>
      </c>
      <c r="H539" s="24">
        <f t="shared" si="174"/>
        <v>3386.3599999999997</v>
      </c>
      <c r="I539" s="24">
        <f t="shared" si="174"/>
        <v>3330.76</v>
      </c>
      <c r="J539" s="24">
        <f t="shared" si="174"/>
        <v>3030.8</v>
      </c>
      <c r="K539" s="24">
        <f t="shared" si="174"/>
        <v>3078.8400000000011</v>
      </c>
      <c r="L539" s="24">
        <f t="shared" si="174"/>
        <v>3409.2800000000007</v>
      </c>
      <c r="M539" s="24"/>
      <c r="N539" s="24"/>
      <c r="O539" s="24"/>
      <c r="P539" s="24" t="str">
        <f>IF(((P537="")*AND(P538="")),"",(P537-P538)*4)</f>
        <v/>
      </c>
      <c r="Q539" s="61"/>
      <c r="R539" s="61"/>
      <c r="S539" s="61"/>
      <c r="T539" s="61"/>
      <c r="U539" s="61"/>
      <c r="V539" s="60"/>
      <c r="W539" s="59"/>
      <c r="X539" s="8"/>
    </row>
    <row r="540" spans="1:30" x14ac:dyDescent="0.25">
      <c r="A540" s="209">
        <v>43125</v>
      </c>
      <c r="B540" s="57" t="s">
        <v>159</v>
      </c>
      <c r="C540" s="51" t="s">
        <v>158</v>
      </c>
      <c r="D540" s="68">
        <v>6904.53</v>
      </c>
      <c r="E540" s="68">
        <v>6879.3</v>
      </c>
      <c r="F540" s="68">
        <v>6892.88</v>
      </c>
      <c r="G540" s="68">
        <v>6865.89</v>
      </c>
      <c r="H540" s="68">
        <v>6892.66</v>
      </c>
      <c r="I540" s="68">
        <v>6910.2</v>
      </c>
      <c r="J540" s="68">
        <v>6912.38</v>
      </c>
      <c r="K540" s="68">
        <v>6879.66</v>
      </c>
      <c r="L540" s="68">
        <v>6875.38</v>
      </c>
      <c r="M540" s="50"/>
      <c r="N540" s="50"/>
      <c r="O540" s="50"/>
      <c r="P540" s="50"/>
      <c r="Q540" s="57">
        <f>IF((L541=""),"",MAX(D542:L542))</f>
        <v>3487.9600000000009</v>
      </c>
      <c r="R540" s="57">
        <f>IF(L541="","",MIN(D542:L542))</f>
        <v>3416.24</v>
      </c>
      <c r="S540" s="58">
        <f>IF((L542=""),"",AVERAGE(D542:L542))</f>
        <v>3463.4466666666672</v>
      </c>
      <c r="T540" s="57">
        <f>IF((L541=""),"",((Q540-R540)/(Q540+R540))*100)</f>
        <v>1.0387879841256216</v>
      </c>
      <c r="U540" s="56">
        <f>STDEV(D540:L540)</f>
        <v>16.397087393802483</v>
      </c>
      <c r="V540" s="55" t="str">
        <f>IF(L541="","",(IF(T540&lt;7,IF(S540&gt;2800,IF(S540&lt;3800,"Pass","Fail"),"Fail"),"Fail")))</f>
        <v>Pass</v>
      </c>
      <c r="W540" s="54">
        <v>1428</v>
      </c>
      <c r="Z540" s="53">
        <v>2800</v>
      </c>
      <c r="AA540" s="53">
        <v>3800</v>
      </c>
      <c r="AB540" s="53">
        <v>3100</v>
      </c>
      <c r="AC540" s="53">
        <v>3760</v>
      </c>
      <c r="AD540" s="52">
        <v>6</v>
      </c>
    </row>
    <row r="541" spans="1:30" ht="15.8" customHeight="1" x14ac:dyDescent="0.35">
      <c r="A541" s="206"/>
      <c r="B541" s="48"/>
      <c r="C541" s="51" t="s">
        <v>157</v>
      </c>
      <c r="D541" s="68">
        <v>5164.92</v>
      </c>
      <c r="E541" s="68">
        <v>5135.32</v>
      </c>
      <c r="F541" s="68">
        <v>5155.57</v>
      </c>
      <c r="G541" s="68">
        <v>5134.33</v>
      </c>
      <c r="H541" s="68">
        <v>5184.54</v>
      </c>
      <c r="I541" s="68">
        <v>5172.3500000000004</v>
      </c>
      <c r="J541" s="68">
        <v>5175.9799999999996</v>
      </c>
      <c r="K541" s="68">
        <v>5146.04</v>
      </c>
      <c r="L541" s="68">
        <v>5158.32</v>
      </c>
      <c r="M541" s="50"/>
      <c r="N541" s="50"/>
      <c r="O541" s="50"/>
      <c r="P541" s="50"/>
      <c r="Q541" s="48"/>
      <c r="R541" s="48"/>
      <c r="S541" s="49"/>
      <c r="T541" s="48"/>
      <c r="U541" s="48"/>
      <c r="V541" s="47"/>
      <c r="W541" s="46"/>
      <c r="X541" s="8"/>
    </row>
    <row r="542" spans="1:30" ht="23.95" customHeight="1" x14ac:dyDescent="0.35">
      <c r="A542" s="206"/>
      <c r="B542" s="61"/>
      <c r="C542" s="57" t="s">
        <v>156</v>
      </c>
      <c r="D542" s="71">
        <f t="shared" ref="D542:L542" si="175">IF(((D540="")*AND(D541="")),"",(D540-D541)*2)</f>
        <v>3479.2199999999993</v>
      </c>
      <c r="E542" s="71">
        <f t="shared" si="175"/>
        <v>3487.9600000000009</v>
      </c>
      <c r="F542" s="71">
        <f t="shared" si="175"/>
        <v>3474.6200000000008</v>
      </c>
      <c r="G542" s="71">
        <f t="shared" si="175"/>
        <v>3463.1200000000008</v>
      </c>
      <c r="H542" s="71">
        <f t="shared" si="175"/>
        <v>3416.24</v>
      </c>
      <c r="I542" s="71">
        <f t="shared" si="175"/>
        <v>3475.6999999999989</v>
      </c>
      <c r="J542" s="71">
        <f t="shared" si="175"/>
        <v>3472.8000000000011</v>
      </c>
      <c r="K542" s="71">
        <f t="shared" si="175"/>
        <v>3467.24</v>
      </c>
      <c r="L542" s="71">
        <f t="shared" si="175"/>
        <v>3434.1200000000008</v>
      </c>
      <c r="M542" s="71"/>
      <c r="N542" s="71"/>
      <c r="O542" s="71"/>
      <c r="P542" s="71"/>
      <c r="Q542" s="61"/>
      <c r="R542" s="61"/>
      <c r="S542" s="49"/>
      <c r="T542" s="48"/>
      <c r="U542" s="48"/>
      <c r="V542" s="60"/>
      <c r="W542" s="59"/>
      <c r="X542" s="8"/>
    </row>
    <row r="543" spans="1:30" x14ac:dyDescent="0.25">
      <c r="A543" s="209">
        <v>43125</v>
      </c>
      <c r="B543" s="57" t="s">
        <v>160</v>
      </c>
      <c r="C543" s="51" t="s">
        <v>158</v>
      </c>
      <c r="D543" s="73">
        <v>1910.05</v>
      </c>
      <c r="E543" s="73">
        <v>1901.47</v>
      </c>
      <c r="F543" s="73">
        <v>1900.18</v>
      </c>
      <c r="G543" s="73">
        <v>1905.83</v>
      </c>
      <c r="H543" s="73">
        <v>1917.14</v>
      </c>
      <c r="I543" s="73">
        <v>1910.02</v>
      </c>
      <c r="J543" s="73">
        <v>1902.23</v>
      </c>
      <c r="K543" s="73">
        <v>1905.17</v>
      </c>
      <c r="L543" s="73">
        <v>1912.83</v>
      </c>
      <c r="M543" s="72"/>
      <c r="N543" s="72"/>
      <c r="O543" s="72"/>
      <c r="P543" s="72"/>
      <c r="Q543" s="57">
        <f>IF((L544=""),"",MAX(D545:L545))</f>
        <v>3211.16</v>
      </c>
      <c r="R543" s="57">
        <f>IF(L544="","",MIN(D545:L545))</f>
        <v>2752</v>
      </c>
      <c r="S543" s="57">
        <f>IF((L545=""),"",AVERAGE(D545:L545))</f>
        <v>2966.6133333333328</v>
      </c>
      <c r="T543" s="57">
        <f>IF((L544=""),"",((Q543-R543)/(Q543+R543))*100)</f>
        <v>7.6999443248210664</v>
      </c>
      <c r="U543" s="51">
        <f>STDEV(D543:L543)</f>
        <v>5.6941395311319791</v>
      </c>
      <c r="V543" s="64" t="str">
        <f>IF(L544="","",(IF(T543&lt;12,IF(S543&gt;2200,IF(S543&lt;3280,"Pass","Fail"),"Fail"),"Fail")))</f>
        <v>Pass</v>
      </c>
      <c r="W543" s="54">
        <v>1519</v>
      </c>
      <c r="Z543" s="37">
        <v>2000</v>
      </c>
      <c r="AA543" s="37">
        <v>3000</v>
      </c>
      <c r="AB543" s="37">
        <v>2200</v>
      </c>
      <c r="AC543" s="37">
        <v>3280</v>
      </c>
      <c r="AD543" s="39">
        <v>12</v>
      </c>
    </row>
    <row r="544" spans="1:30" ht="15.8" customHeight="1" x14ac:dyDescent="0.35">
      <c r="A544" s="206"/>
      <c r="B544" s="48"/>
      <c r="C544" s="51" t="s">
        <v>157</v>
      </c>
      <c r="D544" s="68">
        <v>1152.1600000000001</v>
      </c>
      <c r="E544" s="68">
        <v>1196.17</v>
      </c>
      <c r="F544" s="68">
        <v>1212.18</v>
      </c>
      <c r="G544" s="68">
        <v>1186.68</v>
      </c>
      <c r="H544" s="68">
        <v>1117.2</v>
      </c>
      <c r="I544" s="68">
        <v>1138.8900000000001</v>
      </c>
      <c r="J544" s="68">
        <v>1197.7</v>
      </c>
      <c r="K544" s="68">
        <v>1179.02</v>
      </c>
      <c r="L544" s="68">
        <v>1110.04</v>
      </c>
      <c r="M544" s="50"/>
      <c r="N544" s="50"/>
      <c r="O544" s="50"/>
      <c r="P544" s="50"/>
      <c r="Q544" s="48"/>
      <c r="R544" s="48"/>
      <c r="S544" s="48"/>
      <c r="T544" s="48"/>
      <c r="U544" s="48"/>
      <c r="V544" s="47"/>
      <c r="W544" s="46"/>
      <c r="X544" s="8"/>
    </row>
    <row r="545" spans="1:30" ht="23.95" customHeight="1" x14ac:dyDescent="0.35">
      <c r="A545" s="206"/>
      <c r="B545" s="61"/>
      <c r="C545" s="51" t="s">
        <v>156</v>
      </c>
      <c r="D545" s="24">
        <f t="shared" ref="D545:L545" si="176">IF(((D543="")*AND(D544="")),"",(D543-D544)*4)</f>
        <v>3031.5599999999995</v>
      </c>
      <c r="E545" s="24">
        <f t="shared" si="176"/>
        <v>2821.2</v>
      </c>
      <c r="F545" s="24">
        <f t="shared" si="176"/>
        <v>2752</v>
      </c>
      <c r="G545" s="24">
        <f t="shared" si="176"/>
        <v>2876.5999999999995</v>
      </c>
      <c r="H545" s="24">
        <f t="shared" si="176"/>
        <v>3199.76</v>
      </c>
      <c r="I545" s="24">
        <f t="shared" si="176"/>
        <v>3084.5199999999995</v>
      </c>
      <c r="J545" s="24">
        <f t="shared" si="176"/>
        <v>2818.12</v>
      </c>
      <c r="K545" s="24">
        <f t="shared" si="176"/>
        <v>2904.6000000000004</v>
      </c>
      <c r="L545" s="24">
        <f t="shared" si="176"/>
        <v>3211.16</v>
      </c>
      <c r="M545" s="24"/>
      <c r="N545" s="24"/>
      <c r="O545" s="24"/>
      <c r="P545" s="24" t="str">
        <f>IF(((P543="")*AND(P544="")),"",(P543-P544)*4)</f>
        <v/>
      </c>
      <c r="Q545" s="61"/>
      <c r="R545" s="61"/>
      <c r="S545" s="61"/>
      <c r="T545" s="61"/>
      <c r="U545" s="61"/>
      <c r="V545" s="60"/>
      <c r="W545" s="59"/>
      <c r="X545" s="8"/>
    </row>
    <row r="546" spans="1:30" x14ac:dyDescent="0.25">
      <c r="A546" s="209">
        <v>43128</v>
      </c>
      <c r="B546" s="57" t="s">
        <v>160</v>
      </c>
      <c r="C546" s="51" t="s">
        <v>158</v>
      </c>
      <c r="D546" s="73">
        <v>1298.81</v>
      </c>
      <c r="E546" s="73">
        <v>1314.95</v>
      </c>
      <c r="F546" s="73">
        <v>1326.82</v>
      </c>
      <c r="G546" s="73">
        <v>1319.96</v>
      </c>
      <c r="H546" s="73">
        <v>1302.77</v>
      </c>
      <c r="I546" s="73">
        <v>1291.53</v>
      </c>
      <c r="J546" s="73">
        <v>1315.94</v>
      </c>
      <c r="K546" s="73">
        <v>1320.62</v>
      </c>
      <c r="L546" s="73">
        <v>1305.4000000000001</v>
      </c>
      <c r="M546" s="72"/>
      <c r="N546" s="72"/>
      <c r="O546" s="72"/>
      <c r="P546" s="72"/>
      <c r="Q546" s="57">
        <f>IF((L547=""),"",MAX(D548:L548))</f>
        <v>3249.6</v>
      </c>
      <c r="R546" s="57">
        <f>IF(L547="","",MIN(D548:L548))</f>
        <v>2797.5199999999995</v>
      </c>
      <c r="S546" s="57">
        <f>IF((L548=""),"",AVERAGE(D548:L548))</f>
        <v>2998.942222222222</v>
      </c>
      <c r="T546" s="57">
        <f>IF((L547=""),"",((Q546-R546)/(Q546+R546))*100)</f>
        <v>7.4759554961700854</v>
      </c>
      <c r="U546" s="51">
        <f>STDEV(D546:L546)</f>
        <v>11.669064991582559</v>
      </c>
      <c r="V546" s="64" t="str">
        <f>IF(L547="","",(IF(T546&lt;12,IF(S546&gt;2200,IF(S546&lt;3280,"Pass","Fail"),"Fail"),"Fail")))</f>
        <v>Pass</v>
      </c>
      <c r="W546" s="54">
        <v>1519</v>
      </c>
      <c r="Z546" s="37">
        <v>2000</v>
      </c>
      <c r="AA546" s="37">
        <v>3000</v>
      </c>
      <c r="AB546" s="37">
        <v>2200</v>
      </c>
      <c r="AC546" s="37">
        <v>3280</v>
      </c>
      <c r="AD546" s="39">
        <v>12</v>
      </c>
    </row>
    <row r="547" spans="1:30" ht="15.8" customHeight="1" x14ac:dyDescent="0.35">
      <c r="A547" s="206"/>
      <c r="B547" s="48"/>
      <c r="C547" s="51" t="s">
        <v>157</v>
      </c>
      <c r="D547" s="68">
        <v>540.99</v>
      </c>
      <c r="E547" s="68">
        <v>605.78</v>
      </c>
      <c r="F547" s="68">
        <v>627.44000000000005</v>
      </c>
      <c r="G547" s="68">
        <v>589.58000000000004</v>
      </c>
      <c r="H547" s="68">
        <v>490.37</v>
      </c>
      <c r="I547" s="68">
        <v>502.13</v>
      </c>
      <c r="J547" s="68">
        <v>595.83000000000004</v>
      </c>
      <c r="K547" s="68">
        <v>594.09</v>
      </c>
      <c r="L547" s="68">
        <v>502.97</v>
      </c>
      <c r="M547" s="50"/>
      <c r="N547" s="50"/>
      <c r="O547" s="50"/>
      <c r="P547" s="50"/>
      <c r="Q547" s="48"/>
      <c r="R547" s="48"/>
      <c r="S547" s="48"/>
      <c r="T547" s="48"/>
      <c r="U547" s="48"/>
      <c r="V547" s="47"/>
      <c r="W547" s="46"/>
      <c r="X547" s="8"/>
    </row>
    <row r="548" spans="1:30" ht="23.95" customHeight="1" x14ac:dyDescent="0.35">
      <c r="A548" s="206"/>
      <c r="B548" s="61"/>
      <c r="C548" s="51" t="s">
        <v>156</v>
      </c>
      <c r="D548" s="24">
        <f t="shared" ref="D548:L548" si="177">IF(((D546="")*AND(D547="")),"",(D546-D547)*4)</f>
        <v>3031.2799999999997</v>
      </c>
      <c r="E548" s="24">
        <f t="shared" si="177"/>
        <v>2836.6800000000003</v>
      </c>
      <c r="F548" s="24">
        <f t="shared" si="177"/>
        <v>2797.5199999999995</v>
      </c>
      <c r="G548" s="24">
        <f t="shared" si="177"/>
        <v>2921.52</v>
      </c>
      <c r="H548" s="24">
        <f t="shared" si="177"/>
        <v>3249.6</v>
      </c>
      <c r="I548" s="24">
        <f t="shared" si="177"/>
        <v>3157.6</v>
      </c>
      <c r="J548" s="24">
        <f t="shared" si="177"/>
        <v>2880.44</v>
      </c>
      <c r="K548" s="24">
        <f t="shared" si="177"/>
        <v>2906.1199999999994</v>
      </c>
      <c r="L548" s="24">
        <f t="shared" si="177"/>
        <v>3209.7200000000003</v>
      </c>
      <c r="M548" s="24"/>
      <c r="N548" s="24"/>
      <c r="O548" s="24"/>
      <c r="P548" s="24" t="str">
        <f>IF(((P546="")*AND(P547="")),"",(P546-P547)*4)</f>
        <v/>
      </c>
      <c r="Q548" s="61"/>
      <c r="R548" s="61"/>
      <c r="S548" s="61"/>
      <c r="T548" s="61"/>
      <c r="U548" s="61"/>
      <c r="V548" s="60"/>
      <c r="W548" s="59"/>
      <c r="X548" s="8"/>
    </row>
    <row r="549" spans="1:30" x14ac:dyDescent="0.25">
      <c r="A549" s="209">
        <v>43128</v>
      </c>
      <c r="B549" s="57" t="s">
        <v>160</v>
      </c>
      <c r="C549" s="51" t="s">
        <v>158</v>
      </c>
      <c r="D549" s="73">
        <v>1346.51</v>
      </c>
      <c r="E549" s="73">
        <v>1376.23</v>
      </c>
      <c r="F549" s="73">
        <v>1392.46</v>
      </c>
      <c r="G549" s="73">
        <v>1374.77</v>
      </c>
      <c r="H549" s="73">
        <v>1321.1</v>
      </c>
      <c r="I549" s="73">
        <v>1344.6</v>
      </c>
      <c r="J549" s="73">
        <v>1383.62</v>
      </c>
      <c r="K549" s="73">
        <v>1365.03</v>
      </c>
      <c r="L549" s="73">
        <v>1313.13</v>
      </c>
      <c r="M549" s="72"/>
      <c r="N549" s="72"/>
      <c r="O549" s="72"/>
      <c r="P549" s="72"/>
      <c r="Q549" s="57">
        <f>IF((L550=""),"",MAX(D551:L551))</f>
        <v>3281.5600000000004</v>
      </c>
      <c r="R549" s="57">
        <f>IF(L550="","",MIN(D551:L551))</f>
        <v>2771.32</v>
      </c>
      <c r="S549" s="57">
        <f>IF((L551=""),"",AVERAGE(D551:L551))</f>
        <v>2995.8577777777773</v>
      </c>
      <c r="T549" s="57">
        <f>IF((L550=""),"",((Q549-R549)/(Q549+R549))*100)</f>
        <v>8.4297061894503127</v>
      </c>
      <c r="U549" s="51">
        <f>STDEV(D549:L549)</f>
        <v>27.818764849967319</v>
      </c>
      <c r="V549" s="64" t="str">
        <f>IF(L550="","",(IF(T549&lt;12,IF(S549&gt;2200,IF(S549&lt;3280,"Pass","Fail"),"Fail"),"Fail")))</f>
        <v>Pass</v>
      </c>
      <c r="W549" s="54">
        <v>1519</v>
      </c>
      <c r="Z549" s="37">
        <v>2000</v>
      </c>
      <c r="AA549" s="37">
        <v>3000</v>
      </c>
      <c r="AB549" s="37">
        <v>2200</v>
      </c>
      <c r="AC549" s="37">
        <v>3280</v>
      </c>
      <c r="AD549" s="39">
        <v>12</v>
      </c>
    </row>
    <row r="550" spans="1:30" ht="16.5" customHeight="1" x14ac:dyDescent="0.35">
      <c r="A550" s="206"/>
      <c r="B550" s="48"/>
      <c r="C550" s="51" t="s">
        <v>157</v>
      </c>
      <c r="D550" s="68">
        <v>571.26</v>
      </c>
      <c r="E550" s="68">
        <v>664.39</v>
      </c>
      <c r="F550" s="68">
        <v>699.63</v>
      </c>
      <c r="G550" s="68">
        <v>658.02</v>
      </c>
      <c r="H550" s="68">
        <v>514.52</v>
      </c>
      <c r="I550" s="68">
        <v>564.24</v>
      </c>
      <c r="J550" s="68">
        <v>674.19</v>
      </c>
      <c r="K550" s="68">
        <v>637.78</v>
      </c>
      <c r="L550" s="68">
        <v>492.74</v>
      </c>
      <c r="M550" s="50"/>
      <c r="N550" s="50"/>
      <c r="O550" s="50"/>
      <c r="P550" s="50"/>
      <c r="Q550" s="48"/>
      <c r="R550" s="48"/>
      <c r="S550" s="48"/>
      <c r="T550" s="48"/>
      <c r="U550" s="48"/>
      <c r="V550" s="47"/>
      <c r="W550" s="46"/>
      <c r="X550" s="8"/>
    </row>
    <row r="551" spans="1:30" ht="24.8" customHeight="1" thickBot="1" x14ac:dyDescent="0.4">
      <c r="A551" s="206"/>
      <c r="B551" s="42"/>
      <c r="C551" s="57" t="s">
        <v>156</v>
      </c>
      <c r="D551" s="71">
        <f t="shared" ref="D551:L551" si="178">IF(((D549="")*AND(D550="")),"",(D549-D550)*4)</f>
        <v>3101</v>
      </c>
      <c r="E551" s="71">
        <f t="shared" si="178"/>
        <v>2847.36</v>
      </c>
      <c r="F551" s="71">
        <f t="shared" si="178"/>
        <v>2771.32</v>
      </c>
      <c r="G551" s="71">
        <f t="shared" si="178"/>
        <v>2867</v>
      </c>
      <c r="H551" s="71">
        <f t="shared" si="178"/>
        <v>3226.3199999999997</v>
      </c>
      <c r="I551" s="71">
        <f t="shared" si="178"/>
        <v>3121.4399999999996</v>
      </c>
      <c r="J551" s="71">
        <f t="shared" si="178"/>
        <v>2837.7199999999993</v>
      </c>
      <c r="K551" s="71">
        <f t="shared" si="178"/>
        <v>2909</v>
      </c>
      <c r="L551" s="71">
        <f t="shared" si="178"/>
        <v>3281.5600000000004</v>
      </c>
      <c r="M551" s="71"/>
      <c r="N551" s="71"/>
      <c r="O551" s="71"/>
      <c r="P551" s="71" t="str">
        <f>IF(((P549="")*AND(P550="")),"",(P549-P550)*4)</f>
        <v/>
      </c>
      <c r="Q551" s="42"/>
      <c r="R551" s="42"/>
      <c r="S551" s="48"/>
      <c r="T551" s="48"/>
      <c r="U551" s="48"/>
      <c r="V551" s="41"/>
      <c r="W551" s="40"/>
      <c r="X551" s="8"/>
    </row>
    <row r="552" spans="1:30" x14ac:dyDescent="0.25">
      <c r="A552" s="208">
        <v>43129</v>
      </c>
      <c r="B552" s="63" t="s">
        <v>160</v>
      </c>
      <c r="C552" s="56" t="s">
        <v>158</v>
      </c>
      <c r="D552" s="69">
        <v>1922.47</v>
      </c>
      <c r="E552" s="69">
        <v>1914.56</v>
      </c>
      <c r="F552" s="69">
        <v>1909.46</v>
      </c>
      <c r="G552" s="69">
        <v>1917.38</v>
      </c>
      <c r="H552" s="69">
        <v>1925.07</v>
      </c>
      <c r="I552" s="69">
        <v>1924.44</v>
      </c>
      <c r="J552" s="69">
        <v>1919.72</v>
      </c>
      <c r="K552" s="69">
        <v>1914.75</v>
      </c>
      <c r="L552" s="69">
        <v>1923.37</v>
      </c>
      <c r="M552" s="62"/>
      <c r="N552" s="62"/>
      <c r="O552" s="62"/>
      <c r="P552" s="62"/>
      <c r="Q552" s="63">
        <f>IF((L553=""),"",MAX(D554:L554))</f>
        <v>3168.7999999999993</v>
      </c>
      <c r="R552" s="63">
        <f>IF(L553="","",MIN(D554:L554))</f>
        <v>2753.3199999999997</v>
      </c>
      <c r="S552" s="63">
        <f>IF((L554=""),"",AVERAGE(D554:L554))</f>
        <v>2934.5377777777776</v>
      </c>
      <c r="T552" s="63">
        <f>IF((L553=""),"",((Q552-R552)/(Q552+R552))*100)</f>
        <v>7.0157308531404228</v>
      </c>
      <c r="U552" s="51">
        <f>STDEV(D552:L552)</f>
        <v>5.3560879172935163</v>
      </c>
      <c r="V552" s="64" t="str">
        <f>IF(L553="","",(IF(T552&lt;12,IF(S552&gt;2200,IF(S552&lt;3280,"Pass","Fail"),"Fail"),"Fail")))</f>
        <v>Pass</v>
      </c>
      <c r="W552" s="67">
        <v>1335</v>
      </c>
      <c r="Y552" s="8" t="s">
        <v>180</v>
      </c>
      <c r="Z552" s="37">
        <v>2000</v>
      </c>
      <c r="AA552" s="37">
        <v>3000</v>
      </c>
      <c r="AB552" s="37">
        <v>2200</v>
      </c>
      <c r="AC552" s="37">
        <v>3280</v>
      </c>
      <c r="AD552" s="39">
        <v>12</v>
      </c>
    </row>
    <row r="553" spans="1:30" ht="16.5" customHeight="1" x14ac:dyDescent="0.35">
      <c r="A553" s="206"/>
      <c r="B553" s="48"/>
      <c r="C553" s="51" t="s">
        <v>157</v>
      </c>
      <c r="D553" s="68">
        <v>1175.57</v>
      </c>
      <c r="E553" s="68">
        <v>1207.31</v>
      </c>
      <c r="F553" s="68">
        <v>1221.1300000000001</v>
      </c>
      <c r="G553" s="68">
        <v>1202</v>
      </c>
      <c r="H553" s="68">
        <v>1145.49</v>
      </c>
      <c r="I553" s="68">
        <v>1176.74</v>
      </c>
      <c r="J553" s="68">
        <v>1217.19</v>
      </c>
      <c r="K553" s="68">
        <v>1191.9100000000001</v>
      </c>
      <c r="L553" s="68">
        <v>1131.17</v>
      </c>
      <c r="M553" s="50"/>
      <c r="N553" s="50"/>
      <c r="O553" s="50"/>
      <c r="P553" s="50"/>
      <c r="Q553" s="48"/>
      <c r="R553" s="48"/>
      <c r="S553" s="48"/>
      <c r="T553" s="48"/>
      <c r="U553" s="48"/>
      <c r="V553" s="47"/>
      <c r="W553" s="46"/>
      <c r="X553" s="8"/>
      <c r="Y553" s="8"/>
    </row>
    <row r="554" spans="1:30" ht="24.8" customHeight="1" thickBot="1" x14ac:dyDescent="0.4">
      <c r="A554" s="206"/>
      <c r="B554" s="61"/>
      <c r="C554" s="51" t="s">
        <v>156</v>
      </c>
      <c r="D554" s="24">
        <f t="shared" ref="D554:L554" si="179">IF(((D552="")*AND(D553="")),"",(D552-D553)*4)</f>
        <v>2987.6000000000004</v>
      </c>
      <c r="E554" s="24">
        <f t="shared" si="179"/>
        <v>2829</v>
      </c>
      <c r="F554" s="24">
        <f t="shared" si="179"/>
        <v>2753.3199999999997</v>
      </c>
      <c r="G554" s="24">
        <f t="shared" si="179"/>
        <v>2861.5200000000004</v>
      </c>
      <c r="H554" s="24">
        <f t="shared" si="179"/>
        <v>3118.3199999999997</v>
      </c>
      <c r="I554" s="24">
        <f t="shared" si="179"/>
        <v>2990.8</v>
      </c>
      <c r="J554" s="24">
        <f t="shared" si="179"/>
        <v>2810.12</v>
      </c>
      <c r="K554" s="24">
        <f t="shared" si="179"/>
        <v>2891.3599999999997</v>
      </c>
      <c r="L554" s="24">
        <f t="shared" si="179"/>
        <v>3168.7999999999993</v>
      </c>
      <c r="M554" s="24"/>
      <c r="N554" s="24"/>
      <c r="O554" s="24"/>
      <c r="P554" s="24" t="str">
        <f>IF(((P552="")*AND(P553="")),"",(P552-P553)*4)</f>
        <v/>
      </c>
      <c r="Q554" s="61"/>
      <c r="R554" s="61"/>
      <c r="S554" s="61"/>
      <c r="T554" s="61"/>
      <c r="U554" s="61"/>
      <c r="V554" s="60"/>
      <c r="W554" s="59"/>
      <c r="X554" s="8"/>
      <c r="Y554" s="8"/>
    </row>
    <row r="555" spans="1:30" x14ac:dyDescent="0.25">
      <c r="A555" s="209">
        <v>43129</v>
      </c>
      <c r="B555" s="57" t="s">
        <v>159</v>
      </c>
      <c r="C555" s="51" t="s">
        <v>158</v>
      </c>
      <c r="D555" s="68">
        <v>5171.01</v>
      </c>
      <c r="E555" s="68">
        <v>5141.6400000000003</v>
      </c>
      <c r="F555" s="68">
        <v>5161.83</v>
      </c>
      <c r="G555" s="68">
        <v>5140.8599999999997</v>
      </c>
      <c r="H555" s="68">
        <v>5191.3</v>
      </c>
      <c r="I555" s="68">
        <v>5179.13</v>
      </c>
      <c r="J555" s="68">
        <v>5182.3100000000004</v>
      </c>
      <c r="K555" s="68">
        <v>5151.99</v>
      </c>
      <c r="L555" s="68">
        <v>5164.3900000000003</v>
      </c>
      <c r="M555" s="50"/>
      <c r="N555" s="50"/>
      <c r="O555" s="50"/>
      <c r="P555" s="50"/>
      <c r="Q555" s="57">
        <f>IF((L556=""),"",MAX(D557:L557))</f>
        <v>3489.1000000000004</v>
      </c>
      <c r="R555" s="57">
        <f>IF(L556="","",MIN(D557:L557))</f>
        <v>3397.9800000000005</v>
      </c>
      <c r="S555" s="58">
        <f>IF((L557=""),"",AVERAGE(D557:L557))</f>
        <v>3457.3555555555558</v>
      </c>
      <c r="T555" s="57">
        <f>IF((L556=""),"",((Q555-R555)/(Q555+R555))*100)</f>
        <v>1.3230570866027385</v>
      </c>
      <c r="U555" s="56">
        <f>STDEV(D555:L555)</f>
        <v>17.801618606183101</v>
      </c>
      <c r="V555" s="55" t="str">
        <f>IF(L556="","",(IF(T555&lt;7,IF(S555&gt;2800,IF(S555&lt;3800,"Pass","Fail"),"Fail"),"Fail")))</f>
        <v>Pass</v>
      </c>
      <c r="W555" s="54">
        <v>1335</v>
      </c>
      <c r="Y555" s="8"/>
      <c r="Z555" s="53">
        <v>2800</v>
      </c>
      <c r="AA555" s="53">
        <v>3800</v>
      </c>
      <c r="AB555" s="53">
        <v>3100</v>
      </c>
      <c r="AC555" s="53">
        <v>3760</v>
      </c>
      <c r="AD555" s="52">
        <v>6</v>
      </c>
    </row>
    <row r="556" spans="1:30" ht="16.5" customHeight="1" x14ac:dyDescent="0.35">
      <c r="A556" s="206"/>
      <c r="B556" s="48"/>
      <c r="C556" s="51" t="s">
        <v>157</v>
      </c>
      <c r="D556" s="68">
        <v>3436.17</v>
      </c>
      <c r="E556" s="68">
        <v>3397.09</v>
      </c>
      <c r="F556" s="68">
        <v>3424.48</v>
      </c>
      <c r="G556" s="68">
        <v>3411.2</v>
      </c>
      <c r="H556" s="68">
        <v>3492.31</v>
      </c>
      <c r="I556" s="68">
        <v>3447.7</v>
      </c>
      <c r="J556" s="68">
        <v>3448.86</v>
      </c>
      <c r="K556" s="68">
        <v>3418.27</v>
      </c>
      <c r="L556" s="68">
        <v>3450.28</v>
      </c>
      <c r="M556" s="50"/>
      <c r="N556" s="50"/>
      <c r="O556" s="50"/>
      <c r="P556" s="50"/>
      <c r="Q556" s="48"/>
      <c r="R556" s="48"/>
      <c r="S556" s="49"/>
      <c r="T556" s="48"/>
      <c r="U556" s="48"/>
      <c r="V556" s="47"/>
      <c r="W556" s="46"/>
      <c r="X556" s="8"/>
      <c r="Y556" s="8"/>
    </row>
    <row r="557" spans="1:30" ht="24.8" customHeight="1" thickBot="1" x14ac:dyDescent="0.4">
      <c r="A557" s="206"/>
      <c r="B557" s="42"/>
      <c r="C557" s="45" t="s">
        <v>156</v>
      </c>
      <c r="D557" s="44">
        <f t="shared" ref="D557:L557" si="180">IF(((D555="")*AND(D556="")),"",(D555-D556)*2)</f>
        <v>3469.6800000000003</v>
      </c>
      <c r="E557" s="44">
        <f t="shared" si="180"/>
        <v>3489.1000000000004</v>
      </c>
      <c r="F557" s="44">
        <f t="shared" si="180"/>
        <v>3474.7</v>
      </c>
      <c r="G557" s="44">
        <f t="shared" si="180"/>
        <v>3459.3199999999997</v>
      </c>
      <c r="H557" s="44">
        <f t="shared" si="180"/>
        <v>3397.9800000000005</v>
      </c>
      <c r="I557" s="44">
        <f t="shared" si="180"/>
        <v>3462.8600000000006</v>
      </c>
      <c r="J557" s="44">
        <f t="shared" si="180"/>
        <v>3466.9000000000005</v>
      </c>
      <c r="K557" s="44">
        <f t="shared" si="180"/>
        <v>3467.4399999999996</v>
      </c>
      <c r="L557" s="44">
        <f t="shared" si="180"/>
        <v>3428.2200000000003</v>
      </c>
      <c r="M557" s="44"/>
      <c r="N557" s="44"/>
      <c r="O557" s="44"/>
      <c r="P557" s="44"/>
      <c r="Q557" s="42"/>
      <c r="R557" s="42"/>
      <c r="S557" s="43"/>
      <c r="T557" s="42"/>
      <c r="U557" s="42"/>
      <c r="V557" s="41"/>
      <c r="W557" s="40"/>
      <c r="X557" s="8"/>
      <c r="Y557" s="8"/>
    </row>
    <row r="558" spans="1:30" x14ac:dyDescent="0.25">
      <c r="A558" s="208">
        <v>43133</v>
      </c>
      <c r="B558" s="63" t="s">
        <v>160</v>
      </c>
      <c r="C558" s="56" t="s">
        <v>158</v>
      </c>
      <c r="D558" s="69">
        <v>1928.74</v>
      </c>
      <c r="E558" s="69">
        <v>1930.9</v>
      </c>
      <c r="F558" s="69">
        <v>1927.95</v>
      </c>
      <c r="G558" s="69">
        <v>1933.18</v>
      </c>
      <c r="H558" s="69">
        <v>1931.34</v>
      </c>
      <c r="I558" s="69">
        <v>1932.9</v>
      </c>
      <c r="J558" s="69">
        <v>1933.12</v>
      </c>
      <c r="K558" s="69">
        <v>1932.31</v>
      </c>
      <c r="L558" s="69">
        <v>1932.59</v>
      </c>
      <c r="M558" s="62"/>
      <c r="N558" s="62"/>
      <c r="O558" s="62"/>
      <c r="P558" s="62"/>
      <c r="Q558" s="63">
        <f>IF((L559=""),"",MAX(D560:L560))</f>
        <v>3167.4399999999996</v>
      </c>
      <c r="R558" s="63">
        <f>IF(L559="","",MIN(D560:L560))</f>
        <v>2721.2799999999997</v>
      </c>
      <c r="S558" s="63">
        <f>IF((L560=""),"",AVERAGE(D560:L560))</f>
        <v>2925.5511111111114</v>
      </c>
      <c r="T558" s="63">
        <f>IF((L559=""),"",((Q558-R558)/(Q558+R558))*100)</f>
        <v>7.5765191756442807</v>
      </c>
      <c r="U558" s="51">
        <f>STDEV(D558:L558)</f>
        <v>1.9310669186862395</v>
      </c>
      <c r="V558" s="64" t="str">
        <f>IF(L559="","",(IF(T558&lt;12,IF(S558&gt;2200,IF(S558&lt;3280,"Pass","Fail"),"Fail"),"Fail")))</f>
        <v>Pass</v>
      </c>
      <c r="W558" s="67">
        <v>1335</v>
      </c>
      <c r="Y558" s="8" t="s">
        <v>180</v>
      </c>
      <c r="Z558" s="37">
        <v>2000</v>
      </c>
      <c r="AA558" s="37">
        <v>3000</v>
      </c>
      <c r="AB558" s="37">
        <v>2200</v>
      </c>
      <c r="AC558" s="37">
        <v>3280</v>
      </c>
      <c r="AD558" s="39">
        <v>12</v>
      </c>
    </row>
    <row r="559" spans="1:30" ht="16.5" customHeight="1" x14ac:dyDescent="0.35">
      <c r="A559" s="206"/>
      <c r="B559" s="48"/>
      <c r="C559" s="51" t="s">
        <v>157</v>
      </c>
      <c r="D559" s="68">
        <v>1184.08</v>
      </c>
      <c r="E559" s="68">
        <v>1228.3800000000001</v>
      </c>
      <c r="F559" s="68">
        <v>1247.6300000000001</v>
      </c>
      <c r="G559" s="68">
        <v>1221.04</v>
      </c>
      <c r="H559" s="68">
        <v>1150.1099999999999</v>
      </c>
      <c r="I559" s="68">
        <v>1181.45</v>
      </c>
      <c r="J559" s="68">
        <v>1234.23</v>
      </c>
      <c r="K559" s="68">
        <v>1212.8900000000001</v>
      </c>
      <c r="L559" s="68">
        <v>1140.73</v>
      </c>
      <c r="M559" s="50"/>
      <c r="N559" s="50"/>
      <c r="O559" s="50"/>
      <c r="P559" s="50"/>
      <c r="Q559" s="48"/>
      <c r="R559" s="48"/>
      <c r="S559" s="48"/>
      <c r="T559" s="48"/>
      <c r="U559" s="48"/>
      <c r="V559" s="47"/>
      <c r="W559" s="46"/>
      <c r="X559" s="8"/>
    </row>
    <row r="560" spans="1:30" ht="24.8" customHeight="1" thickBot="1" x14ac:dyDescent="0.4">
      <c r="A560" s="206"/>
      <c r="B560" s="61"/>
      <c r="C560" s="51" t="s">
        <v>156</v>
      </c>
      <c r="D560" s="24">
        <f t="shared" ref="D560:L560" si="181">IF(((D558="")*AND(D559="")),"",(D558-D559)*4)</f>
        <v>2978.6400000000003</v>
      </c>
      <c r="E560" s="24">
        <f t="shared" si="181"/>
        <v>2810.08</v>
      </c>
      <c r="F560" s="24">
        <f t="shared" si="181"/>
        <v>2721.2799999999997</v>
      </c>
      <c r="G560" s="24">
        <f t="shared" si="181"/>
        <v>2848.5600000000004</v>
      </c>
      <c r="H560" s="24">
        <f t="shared" si="181"/>
        <v>3124.92</v>
      </c>
      <c r="I560" s="24">
        <f t="shared" si="181"/>
        <v>3005.8</v>
      </c>
      <c r="J560" s="24">
        <f t="shared" si="181"/>
        <v>2795.5599999999995</v>
      </c>
      <c r="K560" s="24">
        <f t="shared" si="181"/>
        <v>2877.6799999999994</v>
      </c>
      <c r="L560" s="24">
        <f t="shared" si="181"/>
        <v>3167.4399999999996</v>
      </c>
      <c r="M560" s="24"/>
      <c r="N560" s="24"/>
      <c r="O560" s="24"/>
      <c r="P560" s="24" t="str">
        <f>IF(((P558="")*AND(P559="")),"",(P558-P559)*4)</f>
        <v/>
      </c>
      <c r="Q560" s="61"/>
      <c r="R560" s="61"/>
      <c r="S560" s="61"/>
      <c r="T560" s="61"/>
      <c r="U560" s="61"/>
      <c r="V560" s="60"/>
      <c r="W560" s="59"/>
      <c r="X560" s="8"/>
    </row>
    <row r="561" spans="1:30" x14ac:dyDescent="0.25">
      <c r="A561" s="209">
        <v>43133</v>
      </c>
      <c r="B561" s="57" t="s">
        <v>159</v>
      </c>
      <c r="C561" s="51" t="s">
        <v>158</v>
      </c>
      <c r="D561" s="68">
        <v>3449.22</v>
      </c>
      <c r="E561" s="68">
        <v>3410.38</v>
      </c>
      <c r="F561" s="68">
        <v>3437.77</v>
      </c>
      <c r="G561" s="68">
        <v>3424.3</v>
      </c>
      <c r="H561" s="68">
        <v>3505.06</v>
      </c>
      <c r="I561" s="68">
        <v>3461.17</v>
      </c>
      <c r="J561" s="68">
        <v>3462.06</v>
      </c>
      <c r="K561" s="68">
        <v>3431.31</v>
      </c>
      <c r="L561" s="68">
        <v>3462.84</v>
      </c>
      <c r="M561" s="50"/>
      <c r="N561" s="50"/>
      <c r="O561" s="50"/>
      <c r="P561" s="50"/>
      <c r="Q561" s="57">
        <f>IF((L562=""),"",MAX(D563:L563))</f>
        <v>3478.38</v>
      </c>
      <c r="R561" s="57">
        <f>IF(L562="","",MIN(D563:L563))</f>
        <v>3363.7</v>
      </c>
      <c r="S561" s="58">
        <f>IF((L563=""),"",AVERAGE(D563:L563))</f>
        <v>3440.557777777778</v>
      </c>
      <c r="T561" s="57">
        <f>IF((L562=""),"",((Q561-R561)/(Q561+R561))*100)</f>
        <v>1.6760984963636834</v>
      </c>
      <c r="U561" s="56">
        <f>STDEV(D561:L561)</f>
        <v>27.82211086128757</v>
      </c>
      <c r="V561" s="55" t="str">
        <f>IF(L562="","",(IF(T561&lt;7,IF(S561&gt;2800,IF(S561&lt;3800,"Pass","Fail"),"Fail"),"Fail")))</f>
        <v>Pass</v>
      </c>
      <c r="W561" s="54">
        <v>1335</v>
      </c>
      <c r="Z561" s="53">
        <v>2800</v>
      </c>
      <c r="AA561" s="53">
        <v>3800</v>
      </c>
      <c r="AB561" s="53">
        <v>3100</v>
      </c>
      <c r="AC561" s="53">
        <v>3760</v>
      </c>
      <c r="AD561" s="52">
        <v>6</v>
      </c>
    </row>
    <row r="562" spans="1:30" ht="16.5" customHeight="1" x14ac:dyDescent="0.35">
      <c r="A562" s="206"/>
      <c r="B562" s="48"/>
      <c r="C562" s="51" t="s">
        <v>157</v>
      </c>
      <c r="D562" s="68">
        <v>1721.91</v>
      </c>
      <c r="E562" s="68">
        <v>1671.19</v>
      </c>
      <c r="F562" s="68">
        <v>1704.8</v>
      </c>
      <c r="G562" s="68">
        <v>1701.84</v>
      </c>
      <c r="H562" s="68">
        <v>1823.21</v>
      </c>
      <c r="I562" s="68">
        <v>1745.37</v>
      </c>
      <c r="J562" s="68">
        <v>1734.6</v>
      </c>
      <c r="K562" s="68">
        <v>1701.85</v>
      </c>
      <c r="L562" s="68">
        <v>1756.83</v>
      </c>
      <c r="M562" s="50"/>
      <c r="N562" s="50"/>
      <c r="O562" s="50"/>
      <c r="P562" s="50"/>
      <c r="Q562" s="48"/>
      <c r="R562" s="48"/>
      <c r="S562" s="49"/>
      <c r="T562" s="48"/>
      <c r="U562" s="48"/>
      <c r="V562" s="47"/>
      <c r="W562" s="46"/>
      <c r="X562" s="8"/>
    </row>
    <row r="563" spans="1:30" ht="24.8" customHeight="1" thickBot="1" x14ac:dyDescent="0.4">
      <c r="A563" s="206"/>
      <c r="B563" s="42"/>
      <c r="C563" s="45" t="s">
        <v>156</v>
      </c>
      <c r="D563" s="44">
        <f t="shared" ref="D563:L563" si="182">IF(((D561="")*AND(D562="")),"",(D561-D562)*2)</f>
        <v>3454.6199999999994</v>
      </c>
      <c r="E563" s="44">
        <f t="shared" si="182"/>
        <v>3478.38</v>
      </c>
      <c r="F563" s="44">
        <f t="shared" si="182"/>
        <v>3465.94</v>
      </c>
      <c r="G563" s="44">
        <f t="shared" si="182"/>
        <v>3444.9200000000005</v>
      </c>
      <c r="H563" s="44">
        <f t="shared" si="182"/>
        <v>3363.7</v>
      </c>
      <c r="I563" s="44">
        <f t="shared" si="182"/>
        <v>3431.6000000000004</v>
      </c>
      <c r="J563" s="44">
        <f t="shared" si="182"/>
        <v>3454.92</v>
      </c>
      <c r="K563" s="44">
        <f t="shared" si="182"/>
        <v>3458.92</v>
      </c>
      <c r="L563" s="44">
        <f t="shared" si="182"/>
        <v>3412.0200000000004</v>
      </c>
      <c r="M563" s="44"/>
      <c r="N563" s="44"/>
      <c r="O563" s="44"/>
      <c r="P563" s="44"/>
      <c r="Q563" s="42"/>
      <c r="R563" s="42"/>
      <c r="S563" s="43"/>
      <c r="T563" s="42"/>
      <c r="U563" s="42"/>
      <c r="V563" s="41"/>
      <c r="W563" s="40"/>
      <c r="X563" s="8"/>
    </row>
    <row r="564" spans="1:30" x14ac:dyDescent="0.25">
      <c r="A564" s="208">
        <v>43144</v>
      </c>
      <c r="B564" s="63" t="s">
        <v>160</v>
      </c>
      <c r="C564" s="56" t="s">
        <v>158</v>
      </c>
      <c r="D564" s="8">
        <v>1936.88</v>
      </c>
      <c r="E564" s="8">
        <v>1930.44</v>
      </c>
      <c r="F564" s="8">
        <v>1922.5</v>
      </c>
      <c r="G564" s="8">
        <v>1928.77</v>
      </c>
      <c r="H564" s="8">
        <v>1933.66</v>
      </c>
      <c r="I564" s="8">
        <v>1937.45</v>
      </c>
      <c r="J564" s="8">
        <v>1926.98</v>
      </c>
      <c r="K564" s="8">
        <v>1928.49</v>
      </c>
      <c r="L564" s="8">
        <v>1935.08</v>
      </c>
      <c r="M564" s="62"/>
      <c r="N564" s="62"/>
      <c r="O564" s="62"/>
      <c r="P564" s="62"/>
      <c r="Q564" s="63">
        <f>IF((L565=""),"",MAX(D566:L566))</f>
        <v>3171.4799999999996</v>
      </c>
      <c r="R564" s="63">
        <f>IF(L565="","",MIN(D566:L566))</f>
        <v>2774.76</v>
      </c>
      <c r="S564" s="63">
        <f>IF((L566=""),"",AVERAGE(D566:L566))</f>
        <v>2947.2977777777783</v>
      </c>
      <c r="T564" s="63">
        <f>IF((L565=""),"",((Q564-R564)/(Q564+R564))*100)</f>
        <v>6.6717791411042837</v>
      </c>
      <c r="U564" s="51">
        <f>STDEV(D564:L564)</f>
        <v>4.9965274052196795</v>
      </c>
      <c r="V564" s="64" t="str">
        <f>IF(L565="","",(IF(T564&lt;12,IF(S564&gt;2200,IF(S564&lt;3280,"Pass","Fail"),"Fail"),"Fail")))</f>
        <v>Pass</v>
      </c>
      <c r="W564" s="63">
        <v>1428</v>
      </c>
      <c r="Z564" s="37">
        <v>2000</v>
      </c>
      <c r="AA564" s="37">
        <v>3000</v>
      </c>
      <c r="AB564" s="37">
        <v>2200</v>
      </c>
      <c r="AC564" s="37">
        <v>3280</v>
      </c>
      <c r="AD564" s="39">
        <v>12</v>
      </c>
    </row>
    <row r="565" spans="1:30" ht="16.5" customHeight="1" x14ac:dyDescent="0.35">
      <c r="A565" s="206"/>
      <c r="B565" s="48"/>
      <c r="C565" s="51" t="s">
        <v>157</v>
      </c>
      <c r="D565" s="8">
        <v>1187.18</v>
      </c>
      <c r="E565" s="8">
        <v>1220.94</v>
      </c>
      <c r="F565" s="8">
        <v>1228.81</v>
      </c>
      <c r="G565" s="8">
        <v>1210.96</v>
      </c>
      <c r="H565" s="8">
        <v>1151.33</v>
      </c>
      <c r="I565" s="8">
        <v>1182.1400000000001</v>
      </c>
      <c r="J565" s="8">
        <v>1223.29</v>
      </c>
      <c r="K565" s="8">
        <v>1201.97</v>
      </c>
      <c r="L565" s="8">
        <v>1142.21</v>
      </c>
      <c r="M565" s="50"/>
      <c r="N565" s="50"/>
      <c r="O565" s="50"/>
      <c r="P565" s="50"/>
      <c r="Q565" s="48"/>
      <c r="R565" s="48"/>
      <c r="S565" s="48"/>
      <c r="T565" s="48"/>
      <c r="U565" s="48"/>
      <c r="V565" s="47"/>
      <c r="W565" s="48"/>
      <c r="X565" s="8"/>
    </row>
    <row r="566" spans="1:30" ht="24.8" customHeight="1" thickBot="1" x14ac:dyDescent="0.4">
      <c r="A566" s="206"/>
      <c r="B566" s="61"/>
      <c r="C566" s="51" t="s">
        <v>156</v>
      </c>
      <c r="D566" s="24">
        <f t="shared" ref="D566:L566" si="183">IF(((D564="")*AND(D565="")),"",(D564-D565)*4)</f>
        <v>2998.8</v>
      </c>
      <c r="E566" s="24">
        <f t="shared" si="183"/>
        <v>2838</v>
      </c>
      <c r="F566" s="24">
        <f t="shared" si="183"/>
        <v>2774.76</v>
      </c>
      <c r="G566" s="24">
        <f t="shared" si="183"/>
        <v>2871.24</v>
      </c>
      <c r="H566" s="24">
        <f t="shared" si="183"/>
        <v>3129.3200000000006</v>
      </c>
      <c r="I566" s="24">
        <f t="shared" si="183"/>
        <v>3021.24</v>
      </c>
      <c r="J566" s="24">
        <f t="shared" si="183"/>
        <v>2814.76</v>
      </c>
      <c r="K566" s="24">
        <f t="shared" si="183"/>
        <v>2906.08</v>
      </c>
      <c r="L566" s="24">
        <f t="shared" si="183"/>
        <v>3171.4799999999996</v>
      </c>
      <c r="M566" s="24"/>
      <c r="N566" s="24"/>
      <c r="O566" s="24"/>
      <c r="P566" s="24" t="str">
        <f>IF(((P564="")*AND(P565="")),"",(P564-P565)*4)</f>
        <v/>
      </c>
      <c r="Q566" s="61"/>
      <c r="R566" s="61"/>
      <c r="S566" s="61"/>
      <c r="T566" s="61"/>
      <c r="U566" s="61"/>
      <c r="V566" s="60"/>
      <c r="W566" s="61"/>
      <c r="X566" s="8"/>
    </row>
    <row r="567" spans="1:30" x14ac:dyDescent="0.25">
      <c r="A567" s="209">
        <v>43144</v>
      </c>
      <c r="B567" s="57" t="s">
        <v>159</v>
      </c>
      <c r="C567" s="51" t="s">
        <v>158</v>
      </c>
      <c r="D567" s="8">
        <v>6630.11</v>
      </c>
      <c r="E567" s="8">
        <v>6573.48</v>
      </c>
      <c r="F567" s="8">
        <v>6675.72</v>
      </c>
      <c r="G567" s="8">
        <v>6683.62</v>
      </c>
      <c r="H567" s="8">
        <v>6817.2</v>
      </c>
      <c r="I567" s="8">
        <v>6680.1</v>
      </c>
      <c r="J567" s="8">
        <v>6649.4</v>
      </c>
      <c r="K567" s="8">
        <v>6666.54</v>
      </c>
      <c r="L567" s="8">
        <v>6739.22</v>
      </c>
      <c r="M567" s="50"/>
      <c r="N567" s="50"/>
      <c r="O567" s="50"/>
      <c r="P567" s="50"/>
      <c r="Q567" s="57">
        <f>IF((L568=""),"",MAX(D569:L569))</f>
        <v>3415.5</v>
      </c>
      <c r="R567" s="57">
        <f>IF(L568="","",MIN(D569:L569))</f>
        <v>3360.0200000000004</v>
      </c>
      <c r="S567" s="58">
        <f>IF((L569=""),"",AVERAGE(D569:L569))</f>
        <v>3400.7955555555559</v>
      </c>
      <c r="T567" s="57">
        <f>IF((L568=""),"",((Q567-R567)/(Q567+R567))*100)</f>
        <v>0.81883014145039146</v>
      </c>
      <c r="U567" s="56">
        <f>STDEV(D567:L567)</f>
        <v>68.294375642833586</v>
      </c>
      <c r="V567" s="55" t="str">
        <f>IF(L568="","",(IF(T567&lt;7,IF(S567&gt;2800,IF(S567&lt;3800,"Pass","Fail"),"Fail"),"Fail")))</f>
        <v>Pass</v>
      </c>
      <c r="W567" s="57">
        <v>1428</v>
      </c>
      <c r="Z567" s="53">
        <v>2800</v>
      </c>
      <c r="AA567" s="53">
        <v>3800</v>
      </c>
      <c r="AB567" s="53">
        <v>3100</v>
      </c>
      <c r="AC567" s="53">
        <v>3760</v>
      </c>
      <c r="AD567" s="52">
        <v>6</v>
      </c>
    </row>
    <row r="568" spans="1:30" ht="16.5" customHeight="1" x14ac:dyDescent="0.35">
      <c r="A568" s="206"/>
      <c r="B568" s="48"/>
      <c r="C568" s="51" t="s">
        <v>157</v>
      </c>
      <c r="D568" s="8">
        <v>4922.3599999999997</v>
      </c>
      <c r="E568" s="8">
        <v>4866.83</v>
      </c>
      <c r="F568" s="8">
        <v>4970.71</v>
      </c>
      <c r="G568" s="8">
        <v>4980.41</v>
      </c>
      <c r="H568" s="8">
        <v>5137.1899999999996</v>
      </c>
      <c r="I568" s="8">
        <v>4978.18</v>
      </c>
      <c r="J568" s="8">
        <v>4943.66</v>
      </c>
      <c r="K568" s="8">
        <v>4963.2</v>
      </c>
      <c r="L568" s="8">
        <v>5049.2700000000004</v>
      </c>
      <c r="M568" s="50"/>
      <c r="N568" s="50"/>
      <c r="O568" s="50"/>
      <c r="P568" s="50"/>
      <c r="Q568" s="48"/>
      <c r="R568" s="48"/>
      <c r="S568" s="49"/>
      <c r="T568" s="48"/>
      <c r="U568" s="48"/>
      <c r="V568" s="47"/>
      <c r="W568" s="48"/>
      <c r="X568" s="8"/>
    </row>
    <row r="569" spans="1:30" ht="24.8" customHeight="1" thickBot="1" x14ac:dyDescent="0.4">
      <c r="A569" s="206"/>
      <c r="B569" s="42"/>
      <c r="C569" s="45" t="s">
        <v>156</v>
      </c>
      <c r="D569" s="44">
        <f t="shared" ref="D569:L569" si="184">IF(((D567="")*AND(D568="")),"",(D567-D568)*2)</f>
        <v>3415.5</v>
      </c>
      <c r="E569" s="44">
        <f t="shared" si="184"/>
        <v>3413.2999999999993</v>
      </c>
      <c r="F569" s="44">
        <f t="shared" si="184"/>
        <v>3410.0200000000004</v>
      </c>
      <c r="G569" s="44">
        <f t="shared" si="184"/>
        <v>3406.42</v>
      </c>
      <c r="H569" s="44">
        <f t="shared" si="184"/>
        <v>3360.0200000000004</v>
      </c>
      <c r="I569" s="44">
        <f t="shared" si="184"/>
        <v>3403.84</v>
      </c>
      <c r="J569" s="44">
        <f t="shared" si="184"/>
        <v>3411.4799999999996</v>
      </c>
      <c r="K569" s="44">
        <f t="shared" si="184"/>
        <v>3406.6800000000003</v>
      </c>
      <c r="L569" s="44">
        <f t="shared" si="184"/>
        <v>3379.8999999999996</v>
      </c>
      <c r="M569" s="44"/>
      <c r="N569" s="44"/>
      <c r="O569" s="44"/>
      <c r="P569" s="44"/>
      <c r="Q569" s="42"/>
      <c r="R569" s="42"/>
      <c r="S569" s="43"/>
      <c r="T569" s="42"/>
      <c r="U569" s="42"/>
      <c r="V569" s="41"/>
      <c r="W569" s="42"/>
      <c r="X569" s="8"/>
    </row>
    <row r="570" spans="1:30" x14ac:dyDescent="0.25">
      <c r="A570" s="209">
        <v>43160</v>
      </c>
      <c r="B570" s="63" t="s">
        <v>160</v>
      </c>
      <c r="C570" s="56" t="s">
        <v>158</v>
      </c>
      <c r="D570" s="8">
        <v>1910.98</v>
      </c>
      <c r="E570" s="8">
        <v>1906.39</v>
      </c>
      <c r="F570" s="8">
        <v>1905.69</v>
      </c>
      <c r="G570" s="8">
        <v>1905.19</v>
      </c>
      <c r="H570" s="8">
        <v>1915.48</v>
      </c>
      <c r="I570" s="8">
        <v>1912.63</v>
      </c>
      <c r="J570" s="8">
        <v>1903.69</v>
      </c>
      <c r="K570" s="8">
        <v>1909.71</v>
      </c>
      <c r="L570" s="8">
        <v>1915.49</v>
      </c>
      <c r="M570" s="62"/>
      <c r="N570" s="62"/>
      <c r="O570" s="62"/>
      <c r="P570" s="62"/>
      <c r="Q570" s="63">
        <f>IF((L571=""),"",MAX(D572:L572))</f>
        <v>3165.6400000000003</v>
      </c>
      <c r="R570" s="63">
        <f>IF(L571="","",MIN(D572:L572))</f>
        <v>2742.84</v>
      </c>
      <c r="S570" s="63">
        <f>IF((L572=""),"",AVERAGE(D572:L572))</f>
        <v>2910.5733333333337</v>
      </c>
      <c r="T570" s="63">
        <f>IF((L571=""),"",((Q570-R570)/(Q570+R570))*100)</f>
        <v>7.155816724436745</v>
      </c>
      <c r="U570" s="51">
        <f>STDEV(D570:L570)</f>
        <v>4.4747256278395797</v>
      </c>
      <c r="V570" s="64" t="str">
        <f>IF(L571="","",(IF(T570&lt;12,IF(S570&gt;2200,IF(S570&lt;3280,"Pass","Fail"),"Fail"),"Fail")))</f>
        <v>Pass</v>
      </c>
      <c r="W570" s="63">
        <v>1159</v>
      </c>
      <c r="Y570" s="8" t="s">
        <v>179</v>
      </c>
      <c r="Z570" s="37">
        <v>2000</v>
      </c>
      <c r="AA570" s="37">
        <v>3000</v>
      </c>
      <c r="AB570" s="37">
        <v>2200</v>
      </c>
      <c r="AC570" s="37">
        <v>3280</v>
      </c>
      <c r="AD570" s="39">
        <v>12</v>
      </c>
    </row>
    <row r="571" spans="1:30" ht="16.5" customHeight="1" x14ac:dyDescent="0.35">
      <c r="A571" s="206"/>
      <c r="B571" s="48"/>
      <c r="C571" s="51" t="s">
        <v>157</v>
      </c>
      <c r="D571" s="8">
        <v>1173.4100000000001</v>
      </c>
      <c r="E571" s="8">
        <v>1201.3800000000001</v>
      </c>
      <c r="F571" s="8">
        <v>1219.98</v>
      </c>
      <c r="G571" s="8">
        <v>1196.98</v>
      </c>
      <c r="H571" s="8">
        <v>1145</v>
      </c>
      <c r="I571" s="8">
        <v>1179</v>
      </c>
      <c r="J571" s="8">
        <v>1212.27</v>
      </c>
      <c r="K571" s="8">
        <v>1184.3599999999999</v>
      </c>
      <c r="L571" s="8">
        <v>1124.08</v>
      </c>
      <c r="M571" s="50"/>
      <c r="N571" s="50"/>
      <c r="O571" s="50"/>
      <c r="P571" s="50"/>
      <c r="Q571" s="48"/>
      <c r="R571" s="48"/>
      <c r="S571" s="48"/>
      <c r="T571" s="48"/>
      <c r="U571" s="48"/>
      <c r="V571" s="47"/>
      <c r="W571" s="48"/>
      <c r="X571" s="8"/>
    </row>
    <row r="572" spans="1:30" ht="24.8" customHeight="1" thickBot="1" x14ac:dyDescent="0.4">
      <c r="A572" s="206"/>
      <c r="B572" s="61"/>
      <c r="C572" s="51" t="s">
        <v>156</v>
      </c>
      <c r="D572" s="24">
        <f t="shared" ref="D572:L572" si="185">IF(((D570="")*AND(D571="")),"",(D570-D571)*4)</f>
        <v>2950.2799999999997</v>
      </c>
      <c r="E572" s="24">
        <f t="shared" si="185"/>
        <v>2820.04</v>
      </c>
      <c r="F572" s="24">
        <f t="shared" si="185"/>
        <v>2742.84</v>
      </c>
      <c r="G572" s="24">
        <f t="shared" si="185"/>
        <v>2832.84</v>
      </c>
      <c r="H572" s="24">
        <f t="shared" si="185"/>
        <v>3081.92</v>
      </c>
      <c r="I572" s="24">
        <f t="shared" si="185"/>
        <v>2934.5200000000004</v>
      </c>
      <c r="J572" s="24">
        <f t="shared" si="185"/>
        <v>2765.6800000000003</v>
      </c>
      <c r="K572" s="24">
        <f t="shared" si="185"/>
        <v>2901.4000000000005</v>
      </c>
      <c r="L572" s="24">
        <f t="shared" si="185"/>
        <v>3165.6400000000003</v>
      </c>
      <c r="M572" s="24"/>
      <c r="N572" s="24"/>
      <c r="O572" s="24"/>
      <c r="P572" s="24" t="str">
        <f>IF(((P570="")*AND(P571="")),"",(P570-P571)*4)</f>
        <v/>
      </c>
      <c r="Q572" s="61"/>
      <c r="R572" s="61"/>
      <c r="S572" s="61"/>
      <c r="T572" s="61"/>
      <c r="U572" s="61"/>
      <c r="V572" s="60"/>
      <c r="W572" s="61"/>
      <c r="X572" s="8"/>
    </row>
    <row r="573" spans="1:30" x14ac:dyDescent="0.25">
      <c r="A573" s="209">
        <v>43160</v>
      </c>
      <c r="B573" s="57" t="s">
        <v>159</v>
      </c>
      <c r="C573" s="51" t="s">
        <v>158</v>
      </c>
      <c r="D573" s="8">
        <v>6887.88</v>
      </c>
      <c r="E573" s="8">
        <v>6808.06</v>
      </c>
      <c r="F573" s="8">
        <v>6916.37</v>
      </c>
      <c r="G573" s="8">
        <v>6908.59</v>
      </c>
      <c r="H573" s="8">
        <v>7000</v>
      </c>
      <c r="I573" s="8">
        <v>6981.67</v>
      </c>
      <c r="J573" s="8">
        <v>6879.29</v>
      </c>
      <c r="K573" s="8">
        <v>6897.86</v>
      </c>
      <c r="L573" s="8">
        <v>6999.96</v>
      </c>
      <c r="M573" s="50"/>
      <c r="N573" s="50"/>
      <c r="O573" s="50"/>
      <c r="P573" s="50"/>
      <c r="Q573" s="57">
        <f>IF((L574=""),"",MAX(D575:L575))</f>
        <v>3649.3999999999996</v>
      </c>
      <c r="R573" s="57">
        <f>IF(L574="","",MIN(D575:L575))</f>
        <v>3350.6200000000008</v>
      </c>
      <c r="S573" s="58">
        <f>IF((L575=""),"",AVERAGE(D575:L575))</f>
        <v>3587.9733333333334</v>
      </c>
      <c r="T573" s="57">
        <f>IF((L574=""),"",((Q573-R573)/(Q573+R573))*100)</f>
        <v>4.2682735192185</v>
      </c>
      <c r="U573" s="56">
        <f>STDEV(D573:L573)</f>
        <v>63.688583967440891</v>
      </c>
      <c r="V573" s="55" t="str">
        <f>IF(L574="","",(IF(T573&lt;7,IF(S573&gt;2800,IF(S573&lt;3800,"Pass","Fail"),"Fail"),"Fail")))</f>
        <v>Pass</v>
      </c>
      <c r="W573" s="57">
        <v>1159</v>
      </c>
      <c r="Z573" s="53">
        <v>2800</v>
      </c>
      <c r="AA573" s="53">
        <v>3800</v>
      </c>
      <c r="AB573" s="53">
        <v>3100</v>
      </c>
      <c r="AC573" s="53">
        <v>3760</v>
      </c>
      <c r="AD573" s="52">
        <v>6</v>
      </c>
    </row>
    <row r="574" spans="1:30" ht="16.5" customHeight="1" x14ac:dyDescent="0.35">
      <c r="A574" s="206"/>
      <c r="B574" s="48"/>
      <c r="C574" s="51" t="s">
        <v>157</v>
      </c>
      <c r="D574" s="8">
        <v>5065.92</v>
      </c>
      <c r="E574" s="8">
        <v>4998.16</v>
      </c>
      <c r="F574" s="8">
        <v>5115.71</v>
      </c>
      <c r="G574" s="8">
        <v>5108.09</v>
      </c>
      <c r="H574" s="8">
        <v>5324.69</v>
      </c>
      <c r="I574" s="8">
        <v>5156.97</v>
      </c>
      <c r="J574" s="8">
        <v>5073.25</v>
      </c>
      <c r="K574" s="8">
        <v>5096.24</v>
      </c>
      <c r="L574" s="8">
        <v>5194.7700000000004</v>
      </c>
      <c r="M574" s="50"/>
      <c r="N574" s="50"/>
      <c r="O574" s="50"/>
      <c r="P574" s="50"/>
      <c r="Q574" s="48"/>
      <c r="R574" s="48"/>
      <c r="S574" s="49"/>
      <c r="T574" s="48"/>
      <c r="U574" s="48"/>
      <c r="V574" s="47"/>
      <c r="W574" s="48"/>
      <c r="X574" s="8"/>
    </row>
    <row r="575" spans="1:30" ht="24.8" customHeight="1" thickBot="1" x14ac:dyDescent="0.4">
      <c r="A575" s="206"/>
      <c r="B575" s="42"/>
      <c r="C575" s="57" t="s">
        <v>156</v>
      </c>
      <c r="D575" s="71">
        <f t="shared" ref="D575:L575" si="186">IF(((D573="")*AND(D574="")),"",(D573-D574)*2)</f>
        <v>3643.92</v>
      </c>
      <c r="E575" s="71">
        <f t="shared" si="186"/>
        <v>3619.8000000000011</v>
      </c>
      <c r="F575" s="71">
        <f t="shared" si="186"/>
        <v>3601.3199999999997</v>
      </c>
      <c r="G575" s="71">
        <f t="shared" si="186"/>
        <v>3601</v>
      </c>
      <c r="H575" s="71">
        <f t="shared" si="186"/>
        <v>3350.6200000000008</v>
      </c>
      <c r="I575" s="71">
        <f t="shared" si="186"/>
        <v>3649.3999999999996</v>
      </c>
      <c r="J575" s="71">
        <f t="shared" si="186"/>
        <v>3612.08</v>
      </c>
      <c r="K575" s="71">
        <f t="shared" si="186"/>
        <v>3603.24</v>
      </c>
      <c r="L575" s="71">
        <f t="shared" si="186"/>
        <v>3610.3799999999992</v>
      </c>
      <c r="M575" s="71"/>
      <c r="N575" s="71"/>
      <c r="O575" s="71"/>
      <c r="P575" s="71"/>
      <c r="Q575" s="42"/>
      <c r="R575" s="42"/>
      <c r="S575" s="49"/>
      <c r="T575" s="48"/>
      <c r="U575" s="48"/>
      <c r="V575" s="41"/>
      <c r="W575" s="42"/>
      <c r="X575" s="8"/>
    </row>
    <row r="576" spans="1:30" x14ac:dyDescent="0.25">
      <c r="A576" s="208">
        <v>43169</v>
      </c>
      <c r="B576" s="63" t="s">
        <v>160</v>
      </c>
      <c r="C576" s="56" t="s">
        <v>158</v>
      </c>
      <c r="D576" s="69">
        <v>1174.8499999999999</v>
      </c>
      <c r="E576" s="69">
        <v>1203.23</v>
      </c>
      <c r="F576" s="69">
        <v>1224.76</v>
      </c>
      <c r="G576" s="69">
        <v>1199.1099999999999</v>
      </c>
      <c r="H576" s="69">
        <v>1147.83</v>
      </c>
      <c r="I576" s="69">
        <v>1180.33</v>
      </c>
      <c r="J576" s="69">
        <v>1212.92</v>
      </c>
      <c r="K576" s="69">
        <v>1184.72</v>
      </c>
      <c r="L576" s="69">
        <v>1125.76</v>
      </c>
      <c r="M576" s="62"/>
      <c r="N576" s="62" t="s">
        <v>178</v>
      </c>
      <c r="O576" s="62"/>
      <c r="P576" s="62"/>
      <c r="Q576" s="63">
        <f>IF((L577=""),"",MAX(D578:L578))</f>
        <v>3165</v>
      </c>
      <c r="R576" s="63">
        <f>IF(L577="","",MIN(D578:L578))</f>
        <v>2771.96</v>
      </c>
      <c r="S576" s="63">
        <f>IF((L578=""),"",AVERAGE(D578:L578))</f>
        <v>2944.8888888888887</v>
      </c>
      <c r="T576" s="63">
        <f>IF((L577=""),"",((Q576-R576)/(Q576+R576))*100)</f>
        <v>6.6202231445049318</v>
      </c>
      <c r="U576" s="51">
        <f>STDEV(D576:L576)</f>
        <v>31.410659814782644</v>
      </c>
      <c r="V576" s="64" t="str">
        <f>IF(L577="","",(IF(T576&lt;12,IF(S576&gt;2200,IF(S576&lt;3280,"Pass","Fail"),"Fail"),"Fail")))</f>
        <v>Pass</v>
      </c>
      <c r="W576" s="67">
        <v>102</v>
      </c>
      <c r="X576" s="258" t="s">
        <v>177</v>
      </c>
      <c r="Z576" s="37">
        <v>2000</v>
      </c>
      <c r="AA576" s="37">
        <v>3000</v>
      </c>
      <c r="AB576" s="37">
        <v>2200</v>
      </c>
      <c r="AC576" s="37">
        <v>3280</v>
      </c>
      <c r="AD576" s="39">
        <v>12</v>
      </c>
    </row>
    <row r="577" spans="1:30" ht="16.5" customHeight="1" x14ac:dyDescent="0.35">
      <c r="A577" s="206"/>
      <c r="B577" s="48"/>
      <c r="C577" s="51" t="s">
        <v>157</v>
      </c>
      <c r="D577" s="68">
        <v>420.17</v>
      </c>
      <c r="E577" s="68">
        <v>497.37</v>
      </c>
      <c r="F577" s="68">
        <v>531.77</v>
      </c>
      <c r="G577" s="68">
        <v>487.21</v>
      </c>
      <c r="H577" s="68">
        <v>361.98</v>
      </c>
      <c r="I577" s="68">
        <v>418.7</v>
      </c>
      <c r="J577" s="68">
        <v>511.63</v>
      </c>
      <c r="K577" s="68">
        <v>464.17</v>
      </c>
      <c r="L577" s="68">
        <v>334.51</v>
      </c>
      <c r="M577" s="50"/>
      <c r="N577" s="50"/>
      <c r="O577" s="50"/>
      <c r="P577" s="50"/>
      <c r="Q577" s="48"/>
      <c r="R577" s="48"/>
      <c r="S577" s="48"/>
      <c r="T577" s="48"/>
      <c r="U577" s="48"/>
      <c r="V577" s="47"/>
      <c r="W577" s="46"/>
      <c r="X577" s="70"/>
    </row>
    <row r="578" spans="1:30" ht="24.8" customHeight="1" thickBot="1" x14ac:dyDescent="0.4">
      <c r="A578" s="206"/>
      <c r="B578" s="61"/>
      <c r="C578" s="51" t="s">
        <v>156</v>
      </c>
      <c r="D578" s="24">
        <f t="shared" ref="D578:L578" si="187">IF(((D576="")*AND(D577="")),"",(D576-D577)*4)</f>
        <v>3018.7199999999993</v>
      </c>
      <c r="E578" s="24">
        <f t="shared" si="187"/>
        <v>2823.44</v>
      </c>
      <c r="F578" s="24">
        <f t="shared" si="187"/>
        <v>2771.96</v>
      </c>
      <c r="G578" s="24">
        <f t="shared" si="187"/>
        <v>2847.5999999999995</v>
      </c>
      <c r="H578" s="24">
        <f t="shared" si="187"/>
        <v>3143.3999999999996</v>
      </c>
      <c r="I578" s="24">
        <f t="shared" si="187"/>
        <v>3046.5199999999995</v>
      </c>
      <c r="J578" s="24">
        <f t="shared" si="187"/>
        <v>2805.1600000000003</v>
      </c>
      <c r="K578" s="24">
        <f t="shared" si="187"/>
        <v>2882.2</v>
      </c>
      <c r="L578" s="24">
        <f t="shared" si="187"/>
        <v>3165</v>
      </c>
      <c r="M578" s="24"/>
      <c r="N578" s="24"/>
      <c r="O578" s="24"/>
      <c r="P578" s="24" t="str">
        <f>IF(((P576="")*AND(P577="")),"",(P576-P577)*4)</f>
        <v/>
      </c>
      <c r="Q578" s="61"/>
      <c r="R578" s="61"/>
      <c r="S578" s="61"/>
      <c r="T578" s="61"/>
      <c r="U578" s="61"/>
      <c r="V578" s="60"/>
      <c r="W578" s="59"/>
      <c r="X578" s="70"/>
    </row>
    <row r="579" spans="1:30" x14ac:dyDescent="0.25">
      <c r="A579" s="209">
        <v>43169</v>
      </c>
      <c r="B579" s="57" t="s">
        <v>159</v>
      </c>
      <c r="C579" s="51" t="s">
        <v>158</v>
      </c>
      <c r="D579" s="68">
        <v>5086.96</v>
      </c>
      <c r="E579" s="68">
        <v>5020.99</v>
      </c>
      <c r="F579" s="68">
        <v>5139.12</v>
      </c>
      <c r="G579" s="68">
        <v>5131.03</v>
      </c>
      <c r="H579" s="68">
        <v>5343.67</v>
      </c>
      <c r="I579" s="68">
        <v>5172.74</v>
      </c>
      <c r="J579" s="68">
        <v>5096.25</v>
      </c>
      <c r="K579" s="68">
        <v>5119.04</v>
      </c>
      <c r="L579" s="68">
        <v>5216.93</v>
      </c>
      <c r="M579" s="50"/>
      <c r="N579" s="50"/>
      <c r="O579" s="50"/>
      <c r="P579" s="50"/>
      <c r="Q579" s="57">
        <f>IF((L580=""),"",MAX(D581:L581))</f>
        <v>3497.3999999999996</v>
      </c>
      <c r="R579" s="57">
        <f>IF(L580="","",MIN(D581:L581))</f>
        <v>3421.9000000000005</v>
      </c>
      <c r="S579" s="58">
        <f>IF((L581=""),"",AVERAGE(D581:L581))</f>
        <v>3465.06</v>
      </c>
      <c r="T579" s="57">
        <f>IF((L580=""),"",((Q579-R579)/(Q579+R579))*100)</f>
        <v>1.0911508389576849</v>
      </c>
      <c r="U579" s="56">
        <f>STDEV(D579:L579)</f>
        <v>91.77967954715136</v>
      </c>
      <c r="V579" s="55" t="str">
        <f>IF(L580="","",(IF(T579&lt;7,IF(S579&gt;2800,IF(S579&lt;3800,"Pass","Fail"),"Fail"),"Fail")))</f>
        <v>Pass</v>
      </c>
      <c r="W579" s="54">
        <v>102</v>
      </c>
      <c r="X579" s="258" t="s">
        <v>177</v>
      </c>
      <c r="Z579" s="53">
        <v>2800</v>
      </c>
      <c r="AA579" s="53">
        <v>3800</v>
      </c>
      <c r="AB579" s="53">
        <v>3100</v>
      </c>
      <c r="AC579" s="53">
        <v>3760</v>
      </c>
      <c r="AD579" s="52">
        <v>6</v>
      </c>
    </row>
    <row r="580" spans="1:30" ht="16.5" customHeight="1" x14ac:dyDescent="0.35">
      <c r="A580" s="206"/>
      <c r="B580" s="48"/>
      <c r="C580" s="51" t="s">
        <v>157</v>
      </c>
      <c r="D580" s="68">
        <v>3344.96</v>
      </c>
      <c r="E580" s="68">
        <v>3272.29</v>
      </c>
      <c r="F580" s="68">
        <v>3404.01</v>
      </c>
      <c r="G580" s="68">
        <v>3399.98</v>
      </c>
      <c r="H580" s="68">
        <v>3632.72</v>
      </c>
      <c r="I580" s="68">
        <v>3436.16</v>
      </c>
      <c r="J580" s="68">
        <v>3359.23</v>
      </c>
      <c r="K580" s="68">
        <v>3385.43</v>
      </c>
      <c r="L580" s="68">
        <v>3499.18</v>
      </c>
      <c r="M580" s="50"/>
      <c r="N580" s="50"/>
      <c r="O580" s="50"/>
      <c r="P580" s="50"/>
      <c r="Q580" s="48"/>
      <c r="R580" s="48"/>
      <c r="S580" s="49"/>
      <c r="T580" s="48"/>
      <c r="U580" s="48"/>
      <c r="V580" s="47"/>
      <c r="W580" s="46"/>
      <c r="X580" s="70"/>
    </row>
    <row r="581" spans="1:30" ht="24.8" customHeight="1" thickBot="1" x14ac:dyDescent="0.4">
      <c r="A581" s="206"/>
      <c r="B581" s="42"/>
      <c r="C581" s="45" t="s">
        <v>156</v>
      </c>
      <c r="D581" s="44">
        <f t="shared" ref="D581:L581" si="188">IF(((D579="")*AND(D580="")),"",(D579-D580)*2)</f>
        <v>3484</v>
      </c>
      <c r="E581" s="44">
        <f t="shared" si="188"/>
        <v>3497.3999999999996</v>
      </c>
      <c r="F581" s="44">
        <f t="shared" si="188"/>
        <v>3470.2199999999993</v>
      </c>
      <c r="G581" s="44">
        <f t="shared" si="188"/>
        <v>3462.0999999999995</v>
      </c>
      <c r="H581" s="44">
        <f t="shared" si="188"/>
        <v>3421.9000000000005</v>
      </c>
      <c r="I581" s="44">
        <f t="shared" si="188"/>
        <v>3473.16</v>
      </c>
      <c r="J581" s="44">
        <f t="shared" si="188"/>
        <v>3474.04</v>
      </c>
      <c r="K581" s="44">
        <f t="shared" si="188"/>
        <v>3467.2200000000003</v>
      </c>
      <c r="L581" s="44">
        <f t="shared" si="188"/>
        <v>3435.5000000000009</v>
      </c>
      <c r="M581" s="44"/>
      <c r="N581" s="44"/>
      <c r="O581" s="44"/>
      <c r="P581" s="44"/>
      <c r="Q581" s="42"/>
      <c r="R581" s="42"/>
      <c r="S581" s="43"/>
      <c r="T581" s="42"/>
      <c r="U581" s="42"/>
      <c r="V581" s="41"/>
      <c r="W581" s="40"/>
      <c r="X581" s="70"/>
    </row>
    <row r="582" spans="1:30" x14ac:dyDescent="0.25">
      <c r="A582" s="208">
        <v>43179</v>
      </c>
      <c r="B582" s="63" t="s">
        <v>160</v>
      </c>
      <c r="C582" s="56" t="s">
        <v>158</v>
      </c>
      <c r="D582" s="8">
        <v>1916.73</v>
      </c>
      <c r="E582" s="8">
        <v>1908.84</v>
      </c>
      <c r="F582" s="8">
        <v>1915.25</v>
      </c>
      <c r="G582" s="8">
        <v>1909.53</v>
      </c>
      <c r="H582" s="8">
        <v>1919.46</v>
      </c>
      <c r="I582" s="8">
        <v>1920.14</v>
      </c>
      <c r="J582" s="8">
        <v>1910.22</v>
      </c>
      <c r="K582" s="8">
        <v>1907.7</v>
      </c>
      <c r="L582" s="8">
        <v>1916.38</v>
      </c>
      <c r="M582" s="62"/>
      <c r="N582" s="62"/>
      <c r="O582" s="62"/>
      <c r="P582" s="62"/>
      <c r="Q582" s="63">
        <f>IF((L583=""),"",MAX(D584:L584))</f>
        <v>3085.1200000000008</v>
      </c>
      <c r="R582" s="63">
        <f>IF(L583="","",MIN(D584:L584))</f>
        <v>2725.08</v>
      </c>
      <c r="S582" s="63">
        <f>IF((L584=""),"",AVERAGE(D584:L584))</f>
        <v>2878.8799999999997</v>
      </c>
      <c r="T582" s="63">
        <f>IF((L583=""),"",((Q582-R582)/(Q582+R582))*100)</f>
        <v>6.1966885821486493</v>
      </c>
      <c r="U582" s="51">
        <f>STDEV(D582:L582)</f>
        <v>4.7754007976062187</v>
      </c>
      <c r="V582" s="64" t="str">
        <f>IF(L583="","",(IF(T582&lt;12,IF(S582&gt;2200,IF(S582&lt;3280,"Pass","Fail"),"Fail"),"Fail")))</f>
        <v>Pass</v>
      </c>
      <c r="W582" s="63">
        <v>121</v>
      </c>
      <c r="Z582" s="37">
        <v>2000</v>
      </c>
      <c r="AA582" s="37">
        <v>3000</v>
      </c>
      <c r="AB582" s="37">
        <v>2200</v>
      </c>
      <c r="AC582" s="37">
        <v>3280</v>
      </c>
      <c r="AD582" s="39">
        <v>12</v>
      </c>
    </row>
    <row r="583" spans="1:30" ht="16.5" customHeight="1" x14ac:dyDescent="0.35">
      <c r="A583" s="206"/>
      <c r="B583" s="48"/>
      <c r="C583" s="51" t="s">
        <v>157</v>
      </c>
      <c r="D583" s="8">
        <v>1185.8</v>
      </c>
      <c r="E583" s="8">
        <v>1214.4000000000001</v>
      </c>
      <c r="F583" s="8">
        <v>1233.98</v>
      </c>
      <c r="G583" s="8">
        <v>1206.1300000000001</v>
      </c>
      <c r="H583" s="8">
        <v>1157.3699999999999</v>
      </c>
      <c r="I583" s="8">
        <v>1187.77</v>
      </c>
      <c r="J583" s="8">
        <v>1220.19</v>
      </c>
      <c r="K583" s="8">
        <v>1196.03</v>
      </c>
      <c r="L583" s="8">
        <v>1145.0999999999999</v>
      </c>
      <c r="M583" s="50"/>
      <c r="N583" s="50"/>
      <c r="O583" s="50"/>
      <c r="P583" s="50"/>
      <c r="Q583" s="48"/>
      <c r="R583" s="48"/>
      <c r="S583" s="48"/>
      <c r="T583" s="48"/>
      <c r="U583" s="48"/>
      <c r="V583" s="47"/>
      <c r="W583" s="48"/>
      <c r="X583" s="8"/>
    </row>
    <row r="584" spans="1:30" ht="24.8" customHeight="1" thickBot="1" x14ac:dyDescent="0.4">
      <c r="A584" s="206"/>
      <c r="B584" s="61"/>
      <c r="C584" s="51" t="s">
        <v>156</v>
      </c>
      <c r="D584" s="24">
        <f t="shared" ref="D584:L584" si="189">IF(((D582="")*AND(D583="")),"",(D582-D583)*4)</f>
        <v>2923.7200000000003</v>
      </c>
      <c r="E584" s="24">
        <f t="shared" si="189"/>
        <v>2777.7599999999993</v>
      </c>
      <c r="F584" s="24">
        <f t="shared" si="189"/>
        <v>2725.08</v>
      </c>
      <c r="G584" s="24">
        <f t="shared" si="189"/>
        <v>2813.5999999999995</v>
      </c>
      <c r="H584" s="24">
        <f t="shared" si="189"/>
        <v>3048.3600000000006</v>
      </c>
      <c r="I584" s="24">
        <f t="shared" si="189"/>
        <v>2929.4800000000005</v>
      </c>
      <c r="J584" s="24">
        <f t="shared" si="189"/>
        <v>2760.12</v>
      </c>
      <c r="K584" s="24">
        <f t="shared" si="189"/>
        <v>2846.6800000000003</v>
      </c>
      <c r="L584" s="24">
        <f t="shared" si="189"/>
        <v>3085.1200000000008</v>
      </c>
      <c r="M584" s="24"/>
      <c r="N584" s="24"/>
      <c r="O584" s="24"/>
      <c r="P584" s="24" t="str">
        <f>IF(((P582="")*AND(P583="")),"",(P582-P583)*4)</f>
        <v/>
      </c>
      <c r="Q584" s="61"/>
      <c r="R584" s="61"/>
      <c r="S584" s="61"/>
      <c r="T584" s="61"/>
      <c r="U584" s="61"/>
      <c r="V584" s="60"/>
      <c r="W584" s="61"/>
      <c r="X584" s="8"/>
    </row>
    <row r="585" spans="1:30" x14ac:dyDescent="0.25">
      <c r="A585" s="209">
        <v>43179</v>
      </c>
      <c r="B585" s="57" t="s">
        <v>159</v>
      </c>
      <c r="C585" s="51" t="s">
        <v>158</v>
      </c>
      <c r="D585" s="8">
        <v>6801.6</v>
      </c>
      <c r="E585" s="8">
        <v>6718.8</v>
      </c>
      <c r="F585" s="8">
        <v>6828.9</v>
      </c>
      <c r="G585" s="8">
        <v>6827.29</v>
      </c>
      <c r="H585" s="8">
        <v>6997.17</v>
      </c>
      <c r="I585" s="8">
        <v>6869.74</v>
      </c>
      <c r="J585" s="8">
        <v>6790.11</v>
      </c>
      <c r="K585" s="8">
        <v>6819.02</v>
      </c>
      <c r="L585" s="8">
        <v>6902.89</v>
      </c>
      <c r="M585" s="50"/>
      <c r="N585" s="50"/>
      <c r="O585" s="50"/>
      <c r="P585" s="50"/>
      <c r="Q585" s="57">
        <f>IF((L586=""),"",MAX(D587:L587))</f>
        <v>3566.5599999999995</v>
      </c>
      <c r="R585" s="57">
        <f>IF(L586="","",MIN(D587:L587))</f>
        <v>3519.42</v>
      </c>
      <c r="S585" s="58">
        <f>IF((L587=""),"",AVERAGE(D587:L587))</f>
        <v>3544.2666666666669</v>
      </c>
      <c r="T585" s="57">
        <f>IF((L586=""),"",((Q585-R585)/(Q585+R585))*100)</f>
        <v>0.66525731091534857</v>
      </c>
      <c r="U585" s="56">
        <f>STDEV(D585:L585)</f>
        <v>78.196647271123112</v>
      </c>
      <c r="V585" s="55" t="str">
        <f>IF(L586="","",(IF(T585&lt;7,IF(S585&gt;2800,IF(S585&lt;3800,"Pass","Fail"),"Fail"),"Fail")))</f>
        <v>Pass</v>
      </c>
      <c r="W585" s="57">
        <v>121</v>
      </c>
      <c r="Z585" s="53">
        <v>2800</v>
      </c>
      <c r="AA585" s="53">
        <v>3800</v>
      </c>
      <c r="AB585" s="53">
        <v>3100</v>
      </c>
      <c r="AC585" s="53">
        <v>3760</v>
      </c>
      <c r="AD585" s="52">
        <v>6</v>
      </c>
    </row>
    <row r="586" spans="1:30" ht="16.5" customHeight="1" x14ac:dyDescent="0.35">
      <c r="A586" s="206"/>
      <c r="B586" s="48"/>
      <c r="C586" s="51" t="s">
        <v>157</v>
      </c>
      <c r="D586" s="8">
        <v>5020.6899999999996</v>
      </c>
      <c r="E586" s="8">
        <v>4943.24</v>
      </c>
      <c r="F586" s="8">
        <v>5059.9799999999996</v>
      </c>
      <c r="G586" s="8">
        <v>5057.4399999999996</v>
      </c>
      <c r="H586" s="8">
        <v>5237.46</v>
      </c>
      <c r="I586" s="8">
        <v>5086.46</v>
      </c>
      <c r="J586" s="8">
        <v>5016.1899999999996</v>
      </c>
      <c r="K586" s="8">
        <v>5049.78</v>
      </c>
      <c r="L586" s="8">
        <v>5135.08</v>
      </c>
      <c r="M586" s="50"/>
      <c r="N586" s="50"/>
      <c r="O586" s="50"/>
      <c r="P586" s="50"/>
      <c r="Q586" s="48"/>
      <c r="R586" s="48"/>
      <c r="S586" s="49"/>
      <c r="T586" s="48"/>
      <c r="U586" s="48"/>
      <c r="V586" s="47"/>
      <c r="W586" s="48"/>
      <c r="X586" s="8"/>
    </row>
    <row r="587" spans="1:30" ht="24.8" customHeight="1" thickBot="1" x14ac:dyDescent="0.4">
      <c r="A587" s="206"/>
      <c r="B587" s="42"/>
      <c r="C587" s="45" t="s">
        <v>156</v>
      </c>
      <c r="D587" s="44">
        <f t="shared" ref="D587:L587" si="190">IF(((D585="")*AND(D586="")),"",(D585-D586)*2)</f>
        <v>3561.8200000000015</v>
      </c>
      <c r="E587" s="44">
        <f t="shared" si="190"/>
        <v>3551.1200000000008</v>
      </c>
      <c r="F587" s="44">
        <f t="shared" si="190"/>
        <v>3537.84</v>
      </c>
      <c r="G587" s="44">
        <f t="shared" si="190"/>
        <v>3539.7000000000007</v>
      </c>
      <c r="H587" s="44">
        <f t="shared" si="190"/>
        <v>3519.42</v>
      </c>
      <c r="I587" s="44">
        <f t="shared" si="190"/>
        <v>3566.5599999999995</v>
      </c>
      <c r="J587" s="44">
        <f t="shared" si="190"/>
        <v>3547.84</v>
      </c>
      <c r="K587" s="44">
        <f t="shared" si="190"/>
        <v>3538.4800000000014</v>
      </c>
      <c r="L587" s="44">
        <f t="shared" si="190"/>
        <v>3535.6200000000008</v>
      </c>
      <c r="M587" s="44"/>
      <c r="N587" s="44"/>
      <c r="O587" s="44"/>
      <c r="P587" s="44"/>
      <c r="Q587" s="42"/>
      <c r="R587" s="42"/>
      <c r="S587" s="43"/>
      <c r="T587" s="42"/>
      <c r="U587" s="42"/>
      <c r="V587" s="41"/>
      <c r="W587" s="42"/>
      <c r="X587" s="8"/>
    </row>
    <row r="588" spans="1:30" x14ac:dyDescent="0.25">
      <c r="A588" s="208">
        <v>43187</v>
      </c>
      <c r="B588" s="63" t="s">
        <v>160</v>
      </c>
      <c r="C588" s="56" t="s">
        <v>158</v>
      </c>
      <c r="D588" s="8">
        <v>1919.77</v>
      </c>
      <c r="E588" s="8">
        <v>1913.72</v>
      </c>
      <c r="F588" s="8">
        <v>1930.53</v>
      </c>
      <c r="G588" s="8">
        <v>1912.4</v>
      </c>
      <c r="H588" s="8">
        <v>1920.63</v>
      </c>
      <c r="I588" s="8">
        <v>1917.67</v>
      </c>
      <c r="J588" s="8">
        <v>1910.78</v>
      </c>
      <c r="K588" s="8">
        <v>1909.96</v>
      </c>
      <c r="L588" s="8">
        <v>1922.67</v>
      </c>
      <c r="M588" s="62"/>
      <c r="N588" s="62"/>
      <c r="O588" s="62"/>
      <c r="P588" s="62"/>
      <c r="Q588" s="63">
        <f>IF((L589=""),"",MAX(D590:L590))</f>
        <v>3208.2000000000007</v>
      </c>
      <c r="R588" s="63">
        <f>IF(L589="","",MIN(D590:L590))</f>
        <v>2808.4399999999996</v>
      </c>
      <c r="S588" s="63">
        <f>IF((L590=""),"",AVERAGE(D590:L590))</f>
        <v>2969.08</v>
      </c>
      <c r="T588" s="63">
        <f>IF((L589=""),"",((Q588-R588)/(Q588+R588))*100)</f>
        <v>6.6442399744708194</v>
      </c>
      <c r="U588" s="51">
        <f>STDEV(D588:L588)</f>
        <v>6.6497443559884246</v>
      </c>
      <c r="V588" s="64" t="str">
        <f>IF(L589="","",(IF(T588&lt;12,IF(S588&gt;2200,IF(S588&lt;3280,"Pass","Fail"),"Fail"),"Fail")))</f>
        <v>Pass</v>
      </c>
      <c r="W588" s="67">
        <v>1335</v>
      </c>
      <c r="Z588" s="37">
        <v>2000</v>
      </c>
      <c r="AA588" s="37">
        <v>3000</v>
      </c>
      <c r="AB588" s="37">
        <v>2200</v>
      </c>
      <c r="AC588" s="37">
        <v>3280</v>
      </c>
      <c r="AD588" s="39">
        <v>12</v>
      </c>
    </row>
    <row r="589" spans="1:30" ht="16.5" customHeight="1" x14ac:dyDescent="0.35">
      <c r="A589" s="206"/>
      <c r="B589" s="48"/>
      <c r="C589" s="51" t="s">
        <v>157</v>
      </c>
      <c r="D589" s="8">
        <v>1158.54</v>
      </c>
      <c r="E589" s="8">
        <v>1200.94</v>
      </c>
      <c r="F589" s="8">
        <v>1214.3900000000001</v>
      </c>
      <c r="G589" s="8">
        <v>1196.27</v>
      </c>
      <c r="H589" s="8">
        <v>1132.0899999999999</v>
      </c>
      <c r="I589" s="8">
        <v>1159.94</v>
      </c>
      <c r="J589" s="8">
        <v>1208.67</v>
      </c>
      <c r="K589" s="8">
        <v>1186.24</v>
      </c>
      <c r="L589" s="8">
        <v>1120.6199999999999</v>
      </c>
      <c r="M589" s="50"/>
      <c r="N589" s="50"/>
      <c r="O589" s="50"/>
      <c r="P589" s="50"/>
      <c r="Q589" s="48"/>
      <c r="R589" s="48"/>
      <c r="S589" s="48"/>
      <c r="T589" s="48"/>
      <c r="U589" s="48"/>
      <c r="V589" s="47"/>
      <c r="W589" s="46"/>
      <c r="X589" s="8"/>
    </row>
    <row r="590" spans="1:30" ht="24.8" customHeight="1" thickBot="1" x14ac:dyDescent="0.4">
      <c r="A590" s="206"/>
      <c r="B590" s="61"/>
      <c r="C590" s="51" t="s">
        <v>156</v>
      </c>
      <c r="D590" s="24">
        <f t="shared" ref="D590:L590" si="191">IF(((D588="")*AND(D589="")),"",(D588-D589)*4)</f>
        <v>3044.92</v>
      </c>
      <c r="E590" s="24">
        <f t="shared" si="191"/>
        <v>2851.12</v>
      </c>
      <c r="F590" s="24">
        <f t="shared" si="191"/>
        <v>2864.5599999999995</v>
      </c>
      <c r="G590" s="24">
        <f t="shared" si="191"/>
        <v>2864.5200000000004</v>
      </c>
      <c r="H590" s="24">
        <f t="shared" si="191"/>
        <v>3154.1600000000008</v>
      </c>
      <c r="I590" s="24">
        <f t="shared" si="191"/>
        <v>3030.92</v>
      </c>
      <c r="J590" s="24">
        <f t="shared" si="191"/>
        <v>2808.4399999999996</v>
      </c>
      <c r="K590" s="24">
        <f t="shared" si="191"/>
        <v>2894.88</v>
      </c>
      <c r="L590" s="24">
        <f t="shared" si="191"/>
        <v>3208.2000000000007</v>
      </c>
      <c r="M590" s="24"/>
      <c r="N590" s="24"/>
      <c r="O590" s="24"/>
      <c r="P590" s="24" t="str">
        <f>IF(((P588="")*AND(P589="")),"",(P588-P589)*4)</f>
        <v/>
      </c>
      <c r="Q590" s="61"/>
      <c r="R590" s="61"/>
      <c r="S590" s="61"/>
      <c r="T590" s="61"/>
      <c r="U590" s="61"/>
      <c r="V590" s="60"/>
      <c r="W590" s="59"/>
      <c r="X590" s="8"/>
    </row>
    <row r="591" spans="1:30" x14ac:dyDescent="0.25">
      <c r="A591" s="209">
        <v>43187</v>
      </c>
      <c r="B591" s="57" t="s">
        <v>159</v>
      </c>
      <c r="C591" s="51" t="s">
        <v>158</v>
      </c>
      <c r="D591" s="8">
        <v>5020.6899999999996</v>
      </c>
      <c r="E591" s="8">
        <v>4943.24</v>
      </c>
      <c r="F591" s="8">
        <v>5059.9799999999996</v>
      </c>
      <c r="G591" s="8">
        <v>5057.4399999999996</v>
      </c>
      <c r="H591" s="8">
        <v>5237.46</v>
      </c>
      <c r="I591" s="8">
        <v>5086.46</v>
      </c>
      <c r="J591" s="8">
        <v>5016.1899999999996</v>
      </c>
      <c r="K591" s="8">
        <v>5049.78</v>
      </c>
      <c r="L591" s="8">
        <v>5135.08</v>
      </c>
      <c r="M591" s="50"/>
      <c r="N591" s="50"/>
      <c r="O591" s="50"/>
      <c r="P591" s="50"/>
      <c r="Q591" s="57">
        <f>IF((L592=""),"",MAX(D593:L593))</f>
        <v>3387.62</v>
      </c>
      <c r="R591" s="57">
        <f>IF(L592="","",MIN(D593:L593))</f>
        <v>3293.96</v>
      </c>
      <c r="S591" s="58">
        <f>IF((L593=""),"",AVERAGE(D593:L593))</f>
        <v>3348.8777777777773</v>
      </c>
      <c r="T591" s="57">
        <f>IF((L592=""),"",((Q591-R591)/(Q591+R591))*100)</f>
        <v>1.4017642533652199</v>
      </c>
      <c r="U591" s="56">
        <f>STDEV(D591:L591)</f>
        <v>82.574948598900932</v>
      </c>
      <c r="V591" s="55" t="str">
        <f>IF(L592="","",(IF(T591&lt;7,IF(S591&gt;2800,IF(S591&lt;3800,"Pass","Fail"),"Fail"),"Fail")))</f>
        <v>Pass</v>
      </c>
      <c r="W591" s="54">
        <v>1335</v>
      </c>
      <c r="Z591" s="53">
        <v>2800</v>
      </c>
      <c r="AA591" s="53">
        <v>3800</v>
      </c>
      <c r="AB591" s="53">
        <v>3100</v>
      </c>
      <c r="AC591" s="53">
        <v>3760</v>
      </c>
      <c r="AD591" s="52">
        <v>6</v>
      </c>
    </row>
    <row r="592" spans="1:30" ht="16.5" customHeight="1" x14ac:dyDescent="0.35">
      <c r="A592" s="206"/>
      <c r="B592" s="48"/>
      <c r="C592" s="51" t="s">
        <v>157</v>
      </c>
      <c r="D592" s="8">
        <v>3342.35</v>
      </c>
      <c r="E592" s="8">
        <v>3249.43</v>
      </c>
      <c r="F592" s="8">
        <v>3376.99</v>
      </c>
      <c r="G592" s="8">
        <v>3378.52</v>
      </c>
      <c r="H592" s="8">
        <v>3590.48</v>
      </c>
      <c r="I592" s="8">
        <v>3424.57</v>
      </c>
      <c r="J592" s="8">
        <v>3333.92</v>
      </c>
      <c r="K592" s="8">
        <v>3365.52</v>
      </c>
      <c r="L592" s="8">
        <v>3474.59</v>
      </c>
      <c r="M592" s="50"/>
      <c r="N592" s="50"/>
      <c r="O592" s="50"/>
      <c r="P592" s="50"/>
      <c r="Q592" s="48"/>
      <c r="R592" s="48"/>
      <c r="S592" s="49"/>
      <c r="T592" s="48"/>
      <c r="U592" s="48"/>
      <c r="V592" s="47"/>
      <c r="W592" s="46"/>
      <c r="X592" s="8"/>
    </row>
    <row r="593" spans="1:30" ht="24.8" customHeight="1" thickBot="1" x14ac:dyDescent="0.4">
      <c r="A593" s="206"/>
      <c r="B593" s="42"/>
      <c r="C593" s="45" t="s">
        <v>156</v>
      </c>
      <c r="D593" s="44">
        <f t="shared" ref="D593:L593" si="192">IF(((D591="")*AND(D592="")),"",(D591-D592)*2)</f>
        <v>3356.6799999999994</v>
      </c>
      <c r="E593" s="44">
        <f t="shared" si="192"/>
        <v>3387.62</v>
      </c>
      <c r="F593" s="44">
        <f t="shared" si="192"/>
        <v>3365.9799999999996</v>
      </c>
      <c r="G593" s="44">
        <f t="shared" si="192"/>
        <v>3357.8399999999992</v>
      </c>
      <c r="H593" s="44">
        <f t="shared" si="192"/>
        <v>3293.96</v>
      </c>
      <c r="I593" s="44">
        <f t="shared" si="192"/>
        <v>3323.7799999999997</v>
      </c>
      <c r="J593" s="44">
        <f t="shared" si="192"/>
        <v>3364.5399999999991</v>
      </c>
      <c r="K593" s="44">
        <f t="shared" si="192"/>
        <v>3368.5199999999995</v>
      </c>
      <c r="L593" s="44">
        <f t="shared" si="192"/>
        <v>3320.9799999999996</v>
      </c>
      <c r="M593" s="44"/>
      <c r="N593" s="44"/>
      <c r="O593" s="44"/>
      <c r="P593" s="44"/>
      <c r="Q593" s="42"/>
      <c r="R593" s="42"/>
      <c r="S593" s="43"/>
      <c r="T593" s="42"/>
      <c r="U593" s="42"/>
      <c r="V593" s="41"/>
      <c r="W593" s="40"/>
      <c r="X593" s="8"/>
    </row>
    <row r="594" spans="1:30" x14ac:dyDescent="0.25">
      <c r="A594" s="208">
        <v>43216</v>
      </c>
      <c r="B594" s="63" t="s">
        <v>160</v>
      </c>
      <c r="C594" s="56" t="s">
        <v>158</v>
      </c>
      <c r="D594" s="8">
        <v>1946.96</v>
      </c>
      <c r="E594" s="8">
        <v>1944.77</v>
      </c>
      <c r="F594" s="8">
        <v>1941.34</v>
      </c>
      <c r="G594" s="8">
        <v>1946.79</v>
      </c>
      <c r="H594" s="8">
        <v>1955.17</v>
      </c>
      <c r="I594" s="8">
        <v>1948.73</v>
      </c>
      <c r="J594" s="8">
        <v>1946.17</v>
      </c>
      <c r="K594" s="8">
        <v>1944.56</v>
      </c>
      <c r="L594" s="8">
        <v>1949.37</v>
      </c>
      <c r="M594" s="62"/>
      <c r="N594" s="62"/>
      <c r="O594" s="62"/>
      <c r="P594" s="62"/>
      <c r="Q594" s="63">
        <f>IF((L595=""),"",MAX(D596:L596))</f>
        <v>3145.4399999999996</v>
      </c>
      <c r="R594" s="63">
        <f>IF(L595="","",MIN(D596:L596))</f>
        <v>2709.96</v>
      </c>
      <c r="S594" s="63">
        <f>IF((L596=""),"",AVERAGE(D596:L596))</f>
        <v>2910.471111111111</v>
      </c>
      <c r="T594" s="63">
        <f>IF((L595=""),"",((Q594-R594)/(Q594+R594))*100)</f>
        <v>7.4372374218669881</v>
      </c>
      <c r="U594" s="51">
        <f>STDEV(D594:L594)</f>
        <v>3.8563781943396083</v>
      </c>
      <c r="V594" s="64" t="str">
        <f>IF(L595="","",(IF(T594&lt;12,IF(S594&gt;2200,IF(S594&lt;3280,"Pass","Fail"),"Fail"),"Fail")))</f>
        <v>Pass</v>
      </c>
      <c r="W594" s="67">
        <v>121</v>
      </c>
      <c r="X594" s="26" t="s">
        <v>176</v>
      </c>
      <c r="Z594" s="37">
        <v>2000</v>
      </c>
      <c r="AA594" s="37">
        <v>3000</v>
      </c>
      <c r="AB594" s="37">
        <v>2200</v>
      </c>
      <c r="AC594" s="37">
        <v>3280</v>
      </c>
      <c r="AD594" s="39">
        <v>12</v>
      </c>
    </row>
    <row r="595" spans="1:30" ht="16.5" customHeight="1" x14ac:dyDescent="0.35">
      <c r="A595" s="206"/>
      <c r="B595" s="48"/>
      <c r="C595" s="51" t="s">
        <v>157</v>
      </c>
      <c r="D595" s="8">
        <v>1204.5999999999999</v>
      </c>
      <c r="E595" s="8">
        <v>1245.1400000000001</v>
      </c>
      <c r="F595" s="8">
        <v>1263.8499999999999</v>
      </c>
      <c r="G595" s="8">
        <v>1240.4100000000001</v>
      </c>
      <c r="H595" s="8">
        <v>1173.08</v>
      </c>
      <c r="I595" s="8">
        <v>1204.74</v>
      </c>
      <c r="J595" s="8">
        <v>1250.82</v>
      </c>
      <c r="K595" s="8">
        <v>1229.6500000000001</v>
      </c>
      <c r="L595" s="8">
        <v>1163.01</v>
      </c>
      <c r="M595" s="50"/>
      <c r="N595" s="50"/>
      <c r="O595" s="50"/>
      <c r="P595" s="50"/>
      <c r="Q595" s="48"/>
      <c r="R595" s="48"/>
      <c r="S595" s="48"/>
      <c r="T595" s="48"/>
      <c r="U595" s="48"/>
      <c r="V595" s="47"/>
      <c r="W595" s="46"/>
      <c r="X595" s="8"/>
    </row>
    <row r="596" spans="1:30" ht="24.8" customHeight="1" thickBot="1" x14ac:dyDescent="0.4">
      <c r="A596" s="206"/>
      <c r="B596" s="61"/>
      <c r="C596" s="51" t="s">
        <v>156</v>
      </c>
      <c r="D596" s="24">
        <f t="shared" ref="D596:L596" si="193">IF(((D594="")*AND(D595="")),"",(D594-D595)*4)</f>
        <v>2969.4400000000005</v>
      </c>
      <c r="E596" s="24">
        <f t="shared" si="193"/>
        <v>2798.5199999999995</v>
      </c>
      <c r="F596" s="24">
        <f t="shared" si="193"/>
        <v>2709.96</v>
      </c>
      <c r="G596" s="24">
        <f t="shared" si="193"/>
        <v>2825.5199999999995</v>
      </c>
      <c r="H596" s="24">
        <f t="shared" si="193"/>
        <v>3128.3600000000006</v>
      </c>
      <c r="I596" s="24">
        <f t="shared" si="193"/>
        <v>2975.96</v>
      </c>
      <c r="J596" s="24">
        <f t="shared" si="193"/>
        <v>2781.4000000000005</v>
      </c>
      <c r="K596" s="24">
        <f t="shared" si="193"/>
        <v>2859.6399999999994</v>
      </c>
      <c r="L596" s="24">
        <f t="shared" si="193"/>
        <v>3145.4399999999996</v>
      </c>
      <c r="M596" s="24"/>
      <c r="N596" s="24"/>
      <c r="O596" s="24"/>
      <c r="P596" s="24" t="str">
        <f>IF(((P594="")*AND(P595="")),"",(P594-P595)*4)</f>
        <v/>
      </c>
      <c r="Q596" s="61"/>
      <c r="R596" s="61"/>
      <c r="S596" s="61"/>
      <c r="T596" s="61"/>
      <c r="U596" s="61"/>
      <c r="V596" s="60"/>
      <c r="W596" s="59"/>
      <c r="X596" s="8"/>
    </row>
    <row r="597" spans="1:30" x14ac:dyDescent="0.25">
      <c r="A597" s="209">
        <v>43216</v>
      </c>
      <c r="B597" s="57" t="s">
        <v>159</v>
      </c>
      <c r="C597" s="51" t="s">
        <v>158</v>
      </c>
      <c r="D597" s="8">
        <v>3342.35</v>
      </c>
      <c r="E597" s="8">
        <v>3249.43</v>
      </c>
      <c r="F597" s="8">
        <v>3376.99</v>
      </c>
      <c r="G597" s="8">
        <v>3378.52</v>
      </c>
      <c r="H597" s="8">
        <v>3590.48</v>
      </c>
      <c r="I597" s="8">
        <v>3424.57</v>
      </c>
      <c r="J597" s="8">
        <v>3333.92</v>
      </c>
      <c r="K597" s="8">
        <v>3365.52</v>
      </c>
      <c r="L597" s="8">
        <v>3474.59</v>
      </c>
      <c r="M597" s="50"/>
      <c r="N597" s="50"/>
      <c r="O597" s="50"/>
      <c r="P597" s="50"/>
      <c r="Q597" s="57">
        <f>IF((L598=""),"",MAX(D599:L599))</f>
        <v>3366.7599999999998</v>
      </c>
      <c r="R597" s="57">
        <f>IF(L598="","",MIN(D599:L599))</f>
        <v>3245.1</v>
      </c>
      <c r="S597" s="58">
        <f>IF((L599=""),"",AVERAGE(D599:L599))</f>
        <v>3320.4822222222219</v>
      </c>
      <c r="T597" s="57">
        <f>IF((L598=""),"",((Q597-R597)/(Q597+R597))*100)</f>
        <v>1.8400268608228223</v>
      </c>
      <c r="U597" s="56">
        <f>STDEV(D597:L597)</f>
        <v>96.528010183573215</v>
      </c>
      <c r="V597" s="55" t="str">
        <f>IF(L598="","",(IF(T597&lt;7,IF(S597&gt;2800,IF(S597&lt;3800,"Pass","Fail"),"Fail"),"Fail")))</f>
        <v>Pass</v>
      </c>
      <c r="W597" s="54">
        <v>121</v>
      </c>
      <c r="X597" s="26" t="s">
        <v>176</v>
      </c>
      <c r="Z597" s="53">
        <v>2800</v>
      </c>
      <c r="AA597" s="53">
        <v>3800</v>
      </c>
      <c r="AB597" s="53">
        <v>3100</v>
      </c>
      <c r="AC597" s="53">
        <v>3760</v>
      </c>
      <c r="AD597" s="52">
        <v>6</v>
      </c>
    </row>
    <row r="598" spans="1:30" ht="16.5" customHeight="1" x14ac:dyDescent="0.35">
      <c r="A598" s="206"/>
      <c r="B598" s="48"/>
      <c r="C598" s="51" t="s">
        <v>157</v>
      </c>
      <c r="D598" s="8">
        <v>1680.08</v>
      </c>
      <c r="E598" s="8">
        <v>1566.05</v>
      </c>
      <c r="F598" s="8">
        <v>1700.61</v>
      </c>
      <c r="G598" s="8">
        <v>1706.05</v>
      </c>
      <c r="H598" s="8">
        <v>1967.93</v>
      </c>
      <c r="I598" s="8">
        <v>1789.02</v>
      </c>
      <c r="J598" s="8">
        <v>1660.28</v>
      </c>
      <c r="K598" s="8">
        <v>1689.57</v>
      </c>
      <c r="L598" s="8">
        <v>1834.61</v>
      </c>
      <c r="M598" s="50"/>
      <c r="N598" s="50"/>
      <c r="O598" s="50"/>
      <c r="P598" s="50"/>
      <c r="Q598" s="48"/>
      <c r="R598" s="48"/>
      <c r="S598" s="49"/>
      <c r="T598" s="48"/>
      <c r="U598" s="48"/>
      <c r="V598" s="47"/>
      <c r="W598" s="46"/>
      <c r="X598" s="8"/>
    </row>
    <row r="599" spans="1:30" ht="24.8" customHeight="1" thickBot="1" x14ac:dyDescent="0.4">
      <c r="A599" s="206"/>
      <c r="B599" s="42"/>
      <c r="C599" s="45" t="s">
        <v>156</v>
      </c>
      <c r="D599" s="44">
        <f t="shared" ref="D599:L599" si="194">IF(((D597="")*AND(D598="")),"",(D597-D598)*2)</f>
        <v>3324.54</v>
      </c>
      <c r="E599" s="44">
        <f t="shared" si="194"/>
        <v>3366.7599999999998</v>
      </c>
      <c r="F599" s="44">
        <f t="shared" si="194"/>
        <v>3352.7599999999998</v>
      </c>
      <c r="G599" s="44">
        <f t="shared" si="194"/>
        <v>3344.94</v>
      </c>
      <c r="H599" s="44">
        <f t="shared" si="194"/>
        <v>3245.1</v>
      </c>
      <c r="I599" s="44">
        <f t="shared" si="194"/>
        <v>3271.1000000000004</v>
      </c>
      <c r="J599" s="44">
        <f t="shared" si="194"/>
        <v>3347.28</v>
      </c>
      <c r="K599" s="44">
        <f t="shared" si="194"/>
        <v>3351.9</v>
      </c>
      <c r="L599" s="44">
        <f t="shared" si="194"/>
        <v>3279.9600000000005</v>
      </c>
      <c r="M599" s="44"/>
      <c r="N599" s="44"/>
      <c r="O599" s="44"/>
      <c r="P599" s="44"/>
      <c r="Q599" s="42"/>
      <c r="R599" s="42"/>
      <c r="S599" s="43"/>
      <c r="T599" s="42"/>
      <c r="U599" s="42"/>
      <c r="V599" s="41"/>
      <c r="W599" s="40"/>
      <c r="X599" s="8"/>
    </row>
    <row r="600" spans="1:30" x14ac:dyDescent="0.25">
      <c r="A600" s="208">
        <v>43229</v>
      </c>
      <c r="B600" s="63" t="s">
        <v>160</v>
      </c>
      <c r="C600" s="56" t="s">
        <v>158</v>
      </c>
      <c r="D600" s="8">
        <v>1205.72</v>
      </c>
      <c r="E600" s="8">
        <v>1249.2</v>
      </c>
      <c r="F600" s="8">
        <v>1266.96</v>
      </c>
      <c r="G600" s="8">
        <v>1242.9000000000001</v>
      </c>
      <c r="H600" s="8">
        <v>1175.8399999999999</v>
      </c>
      <c r="I600" s="8">
        <v>1208.54</v>
      </c>
      <c r="J600" s="8">
        <v>1255.96</v>
      </c>
      <c r="K600" s="8">
        <v>1232.1600000000001</v>
      </c>
      <c r="L600" s="8">
        <v>1166.3</v>
      </c>
      <c r="M600" s="62"/>
      <c r="N600" s="62"/>
      <c r="O600" s="62"/>
      <c r="P600" s="62"/>
      <c r="Q600" s="63">
        <f>IF((L601=""),"",MAX(D602:L602))</f>
        <v>3148.3999999999996</v>
      </c>
      <c r="R600" s="63">
        <f>IF(L601="","",MIN(D602:L602))</f>
        <v>2723.32</v>
      </c>
      <c r="S600" s="63">
        <f>IF((L602=""),"",AVERAGE(D602:L602))</f>
        <v>2928.8088888888888</v>
      </c>
      <c r="T600" s="63">
        <f>IF((L601=""),"",((Q600-R600)/(Q600+R600))*100)</f>
        <v>7.2394460226304984</v>
      </c>
      <c r="U600" s="51">
        <f>STDEV(D600:L600)</f>
        <v>35.585363564252134</v>
      </c>
      <c r="V600" s="64" t="str">
        <f>IF(L601="","",(IF(T600&lt;12,IF(S600&gt;2200,IF(S600&lt;3280,"Pass","Fail"),"Fail"),"Fail")))</f>
        <v>Pass</v>
      </c>
      <c r="W600" s="67">
        <v>121</v>
      </c>
      <c r="X600" s="26" t="s">
        <v>175</v>
      </c>
      <c r="Z600" s="37">
        <v>2000</v>
      </c>
      <c r="AA600" s="37">
        <v>3000</v>
      </c>
      <c r="AB600" s="37">
        <v>2200</v>
      </c>
      <c r="AC600" s="37">
        <v>3280</v>
      </c>
      <c r="AD600" s="39">
        <v>12</v>
      </c>
    </row>
    <row r="601" spans="1:30" ht="16.5" customHeight="1" x14ac:dyDescent="0.35">
      <c r="A601" s="206"/>
      <c r="B601" s="48"/>
      <c r="C601" s="51" t="s">
        <v>157</v>
      </c>
      <c r="D601" s="8">
        <v>453.66</v>
      </c>
      <c r="E601" s="8">
        <v>546.89</v>
      </c>
      <c r="F601" s="8">
        <v>586.13</v>
      </c>
      <c r="G601" s="8">
        <v>535.42999999999995</v>
      </c>
      <c r="H601" s="8">
        <v>389.07</v>
      </c>
      <c r="I601" s="8">
        <v>447.96</v>
      </c>
      <c r="J601" s="8">
        <v>556.73</v>
      </c>
      <c r="K601" s="8">
        <v>518.69000000000005</v>
      </c>
      <c r="L601" s="8">
        <v>379.2</v>
      </c>
      <c r="M601" s="50"/>
      <c r="N601" s="50"/>
      <c r="O601" s="50"/>
      <c r="P601" s="50"/>
      <c r="Q601" s="48"/>
      <c r="R601" s="48"/>
      <c r="S601" s="48"/>
      <c r="T601" s="48"/>
      <c r="U601" s="48"/>
      <c r="V601" s="47"/>
      <c r="W601" s="46"/>
      <c r="X601" s="8"/>
    </row>
    <row r="602" spans="1:30" ht="24.8" customHeight="1" thickBot="1" x14ac:dyDescent="0.4">
      <c r="A602" s="206"/>
      <c r="B602" s="61"/>
      <c r="C602" s="51" t="s">
        <v>156</v>
      </c>
      <c r="D602" s="24">
        <f t="shared" ref="D602:L602" si="195">IF(((D600="")*AND(D601="")),"",(D600-D601)*4)</f>
        <v>3008.24</v>
      </c>
      <c r="E602" s="24">
        <f t="shared" si="195"/>
        <v>2809.2400000000002</v>
      </c>
      <c r="F602" s="24">
        <f t="shared" si="195"/>
        <v>2723.32</v>
      </c>
      <c r="G602" s="24">
        <f t="shared" si="195"/>
        <v>2829.8800000000006</v>
      </c>
      <c r="H602" s="24">
        <f t="shared" si="195"/>
        <v>3147.08</v>
      </c>
      <c r="I602" s="24">
        <f t="shared" si="195"/>
        <v>3042.3199999999997</v>
      </c>
      <c r="J602" s="24">
        <f t="shared" si="195"/>
        <v>2796.92</v>
      </c>
      <c r="K602" s="24">
        <f t="shared" si="195"/>
        <v>2853.88</v>
      </c>
      <c r="L602" s="24">
        <f t="shared" si="195"/>
        <v>3148.3999999999996</v>
      </c>
      <c r="M602" s="24"/>
      <c r="N602" s="24"/>
      <c r="O602" s="24"/>
      <c r="P602" s="24" t="str">
        <f>IF(((P600="")*AND(P601="")),"",(P600-P601)*4)</f>
        <v/>
      </c>
      <c r="Q602" s="61"/>
      <c r="R602" s="61"/>
      <c r="S602" s="61"/>
      <c r="T602" s="61"/>
      <c r="U602" s="61"/>
      <c r="V602" s="60"/>
      <c r="W602" s="59"/>
      <c r="X602" s="8"/>
    </row>
    <row r="603" spans="1:30" x14ac:dyDescent="0.25">
      <c r="A603" s="209">
        <v>43229</v>
      </c>
      <c r="B603" s="57" t="s">
        <v>159</v>
      </c>
      <c r="C603" s="51" t="s">
        <v>158</v>
      </c>
      <c r="D603" s="8">
        <v>6825.84</v>
      </c>
      <c r="E603" s="8">
        <v>6815.8</v>
      </c>
      <c r="F603" s="8">
        <v>6884.75</v>
      </c>
      <c r="G603" s="8">
        <v>6861.54</v>
      </c>
      <c r="H603" s="8">
        <v>7000</v>
      </c>
      <c r="I603" s="8">
        <v>6913.43</v>
      </c>
      <c r="J603" s="8">
        <v>6866.37</v>
      </c>
      <c r="K603" s="8">
        <v>6854.84</v>
      </c>
      <c r="L603" s="8">
        <v>6946.61</v>
      </c>
      <c r="M603" s="50"/>
      <c r="N603" s="50"/>
      <c r="O603" s="50"/>
      <c r="P603" s="50"/>
      <c r="Q603" s="57">
        <f>IF((L604=""),"",MAX(D605:L605))</f>
        <v>3425.6200000000008</v>
      </c>
      <c r="R603" s="57">
        <f>IF(L604="","",MIN(D605:L605))</f>
        <v>3322.5599999999995</v>
      </c>
      <c r="S603" s="58">
        <f>IF((L605=""),"",AVERAGE(D605:L605))</f>
        <v>3394.1111111111113</v>
      </c>
      <c r="T603" s="57">
        <f>IF((L604=""),"",((Q603-R603)/(Q603+R603))*100)</f>
        <v>1.5272266003574491</v>
      </c>
      <c r="U603" s="56">
        <f>STDEV(D603:L603)</f>
        <v>59.07918184756597</v>
      </c>
      <c r="V603" s="55" t="str">
        <f>IF(L604="","",(IF(T603&lt;7,IF(S603&gt;2800,IF(S603&lt;3800,"Pass","Fail"),"Fail"),"Fail")))</f>
        <v>Pass</v>
      </c>
      <c r="W603" s="54">
        <v>121</v>
      </c>
      <c r="X603" s="26" t="s">
        <v>175</v>
      </c>
      <c r="Z603" s="53">
        <v>2800</v>
      </c>
      <c r="AA603" s="53">
        <v>3800</v>
      </c>
      <c r="AB603" s="53">
        <v>3100</v>
      </c>
      <c r="AC603" s="53">
        <v>3760</v>
      </c>
      <c r="AD603" s="52">
        <v>6</v>
      </c>
    </row>
    <row r="604" spans="1:30" ht="16.5" customHeight="1" x14ac:dyDescent="0.35">
      <c r="A604" s="206"/>
      <c r="B604" s="48"/>
      <c r="C604" s="51" t="s">
        <v>157</v>
      </c>
      <c r="D604" s="8">
        <v>5142.9399999999996</v>
      </c>
      <c r="E604" s="8">
        <v>5104.2</v>
      </c>
      <c r="F604" s="8">
        <v>5171.9399999999996</v>
      </c>
      <c r="G604" s="8">
        <v>5155.5600000000004</v>
      </c>
      <c r="H604" s="8">
        <v>5338.72</v>
      </c>
      <c r="I604" s="8">
        <v>5227.12</v>
      </c>
      <c r="J604" s="8">
        <v>5158.6400000000003</v>
      </c>
      <c r="K604" s="8">
        <v>5143.04</v>
      </c>
      <c r="L604" s="8">
        <v>5253.52</v>
      </c>
      <c r="M604" s="50"/>
      <c r="N604" s="50"/>
      <c r="O604" s="50"/>
      <c r="P604" s="50"/>
      <c r="Q604" s="48"/>
      <c r="R604" s="48"/>
      <c r="S604" s="49"/>
      <c r="T604" s="48"/>
      <c r="U604" s="48"/>
      <c r="V604" s="47"/>
      <c r="W604" s="46"/>
      <c r="X604" s="8"/>
    </row>
    <row r="605" spans="1:30" ht="24.8" customHeight="1" thickBot="1" x14ac:dyDescent="0.4">
      <c r="A605" s="206"/>
      <c r="B605" s="42"/>
      <c r="C605" s="45" t="s">
        <v>156</v>
      </c>
      <c r="D605" s="44">
        <f t="shared" ref="D605:L605" si="196">IF(((D603="")*AND(D604="")),"",(D603-D604)*2)</f>
        <v>3365.8000000000011</v>
      </c>
      <c r="E605" s="44">
        <f t="shared" si="196"/>
        <v>3423.2000000000007</v>
      </c>
      <c r="F605" s="44">
        <f t="shared" si="196"/>
        <v>3425.6200000000008</v>
      </c>
      <c r="G605" s="44">
        <f t="shared" si="196"/>
        <v>3411.9599999999991</v>
      </c>
      <c r="H605" s="44">
        <f t="shared" si="196"/>
        <v>3322.5599999999995</v>
      </c>
      <c r="I605" s="44">
        <f t="shared" si="196"/>
        <v>3372.6200000000008</v>
      </c>
      <c r="J605" s="44">
        <f t="shared" si="196"/>
        <v>3415.4599999999991</v>
      </c>
      <c r="K605" s="44">
        <f t="shared" si="196"/>
        <v>3423.6000000000004</v>
      </c>
      <c r="L605" s="44">
        <f t="shared" si="196"/>
        <v>3386.1799999999985</v>
      </c>
      <c r="M605" s="44"/>
      <c r="N605" s="44"/>
      <c r="O605" s="44"/>
      <c r="P605" s="44"/>
      <c r="Q605" s="42"/>
      <c r="R605" s="42"/>
      <c r="S605" s="43"/>
      <c r="T605" s="42"/>
      <c r="U605" s="42"/>
      <c r="V605" s="41"/>
      <c r="W605" s="40"/>
      <c r="X605" s="8"/>
    </row>
    <row r="606" spans="1:30" x14ac:dyDescent="0.25">
      <c r="A606" s="208">
        <v>43235</v>
      </c>
      <c r="B606" s="63" t="s">
        <v>160</v>
      </c>
      <c r="C606" s="56" t="s">
        <v>158</v>
      </c>
      <c r="D606" s="69">
        <v>1962.54</v>
      </c>
      <c r="E606" s="69">
        <v>1951.6</v>
      </c>
      <c r="F606" s="69">
        <v>1949.04</v>
      </c>
      <c r="G606" s="69">
        <v>1949.69</v>
      </c>
      <c r="H606" s="69">
        <v>1959.49</v>
      </c>
      <c r="I606" s="69">
        <v>1963.84</v>
      </c>
      <c r="J606" s="69">
        <v>1951.61</v>
      </c>
      <c r="K606" s="69">
        <v>1952.44</v>
      </c>
      <c r="L606" s="69">
        <v>1964.21</v>
      </c>
      <c r="M606" s="62"/>
      <c r="N606" s="62"/>
      <c r="O606" s="62"/>
      <c r="P606" s="62"/>
      <c r="Q606" s="63">
        <f>IF((L607=""),"",MAX(D608:L608))</f>
        <v>3255.12</v>
      </c>
      <c r="R606" s="63">
        <f>IF(L607="","",MIN(D608:L608))</f>
        <v>2879.12</v>
      </c>
      <c r="S606" s="63">
        <f>IF((L608=""),"",AVERAGE(D608:L608))</f>
        <v>3042.0222222222219</v>
      </c>
      <c r="T606" s="63">
        <f>IF((L607=""),"",((Q606-R606)/(Q606+R606))*100)</f>
        <v>6.1295286783692848</v>
      </c>
      <c r="U606" s="51">
        <f>STDEV(D606:L606)</f>
        <v>6.3576852006930249</v>
      </c>
      <c r="V606" s="64" t="str">
        <f>IF(L607="","",(IF(T606&lt;12,IF(S606&gt;2200,IF(S606&lt;3280,"Pass","Fail"),"Fail"),"Fail")))</f>
        <v>Pass</v>
      </c>
      <c r="W606" s="67">
        <v>102</v>
      </c>
      <c r="Z606" s="37">
        <v>2000</v>
      </c>
      <c r="AA606" s="37">
        <v>3000</v>
      </c>
      <c r="AB606" s="37">
        <v>2200</v>
      </c>
      <c r="AC606" s="37">
        <v>3280</v>
      </c>
      <c r="AD606" s="39">
        <v>12</v>
      </c>
    </row>
    <row r="607" spans="1:30" ht="16.5" customHeight="1" x14ac:dyDescent="0.35">
      <c r="A607" s="206"/>
      <c r="B607" s="48"/>
      <c r="C607" s="51" t="s">
        <v>157</v>
      </c>
      <c r="D607" s="65">
        <v>1164</v>
      </c>
      <c r="E607" s="65">
        <v>1209.19</v>
      </c>
      <c r="F607" s="65">
        <v>1229.26</v>
      </c>
      <c r="G607" s="65">
        <v>1210.3599999999999</v>
      </c>
      <c r="H607" s="65">
        <v>1186.04</v>
      </c>
      <c r="I607" s="65">
        <v>1150.06</v>
      </c>
      <c r="J607" s="65">
        <v>1194.18</v>
      </c>
      <c r="K607" s="65">
        <v>1221.96</v>
      </c>
      <c r="L607" s="8">
        <v>1194.8599999999999</v>
      </c>
      <c r="M607" s="50"/>
      <c r="N607" s="50"/>
      <c r="O607" s="50"/>
      <c r="P607" s="50"/>
      <c r="Q607" s="48"/>
      <c r="R607" s="48"/>
      <c r="S607" s="48"/>
      <c r="T607" s="48"/>
      <c r="U607" s="48"/>
      <c r="V607" s="47"/>
      <c r="W607" s="46"/>
      <c r="X607" s="8"/>
    </row>
    <row r="608" spans="1:30" ht="24.8" customHeight="1" thickBot="1" x14ac:dyDescent="0.4">
      <c r="A608" s="206"/>
      <c r="B608" s="61"/>
      <c r="C608" s="51" t="s">
        <v>156</v>
      </c>
      <c r="D608" s="24">
        <f t="shared" ref="D608:L608" si="197">IF(((D606="")*AND(D607="")),"",(D606-D607)*4)</f>
        <v>3194.16</v>
      </c>
      <c r="E608" s="24">
        <f t="shared" si="197"/>
        <v>2969.6399999999994</v>
      </c>
      <c r="F608" s="24">
        <f t="shared" si="197"/>
        <v>2879.12</v>
      </c>
      <c r="G608" s="24">
        <f t="shared" si="197"/>
        <v>2957.3200000000006</v>
      </c>
      <c r="H608" s="24">
        <f t="shared" si="197"/>
        <v>3093.8</v>
      </c>
      <c r="I608" s="24">
        <f t="shared" si="197"/>
        <v>3255.12</v>
      </c>
      <c r="J608" s="24">
        <f t="shared" si="197"/>
        <v>3029.7199999999993</v>
      </c>
      <c r="K608" s="24">
        <f t="shared" si="197"/>
        <v>2921.92</v>
      </c>
      <c r="L608" s="24">
        <f t="shared" si="197"/>
        <v>3077.4000000000005</v>
      </c>
      <c r="M608" s="24"/>
      <c r="N608" s="24"/>
      <c r="O608" s="24"/>
      <c r="P608" s="24" t="str">
        <f>IF(((P606="")*AND(P607="")),"",(P606-P607)*4)</f>
        <v/>
      </c>
      <c r="Q608" s="61"/>
      <c r="R608" s="61"/>
      <c r="S608" s="61"/>
      <c r="T608" s="61"/>
      <c r="U608" s="61"/>
      <c r="V608" s="60"/>
      <c r="W608" s="59"/>
      <c r="X608" s="8"/>
    </row>
    <row r="609" spans="1:30" x14ac:dyDescent="0.25">
      <c r="A609" s="209">
        <v>43235</v>
      </c>
      <c r="B609" s="57" t="s">
        <v>159</v>
      </c>
      <c r="C609" s="51" t="s">
        <v>158</v>
      </c>
      <c r="D609" s="65">
        <v>5147.24</v>
      </c>
      <c r="E609" s="65">
        <v>5166.0200000000004</v>
      </c>
      <c r="F609" s="65">
        <v>5253.14</v>
      </c>
      <c r="G609" s="65">
        <v>5248.6</v>
      </c>
      <c r="H609" s="65">
        <v>5524.12</v>
      </c>
      <c r="I609" s="65">
        <v>5387.77</v>
      </c>
      <c r="J609" s="65">
        <v>5273.63</v>
      </c>
      <c r="K609" s="65">
        <v>5227.57</v>
      </c>
      <c r="L609" s="65">
        <v>5486.92</v>
      </c>
      <c r="M609" s="50"/>
      <c r="N609" s="50"/>
      <c r="O609" s="50"/>
      <c r="P609" s="50"/>
      <c r="Q609" s="57">
        <f>IF((L610=""),"",MAX(D611:L611))</f>
        <v>3756.5600000000013</v>
      </c>
      <c r="R609" s="57">
        <f>IF(L610="","",MIN(D611:L611))</f>
        <v>3659.9399999999996</v>
      </c>
      <c r="S609" s="58">
        <f>IF((L611=""),"",AVERAGE(D611:L611))</f>
        <v>3713.9377777777781</v>
      </c>
      <c r="T609" s="57">
        <f>IF((L610=""),"",((Q609-R609)/(Q609+R609))*100)</f>
        <v>1.3027708487831418</v>
      </c>
      <c r="U609" s="56">
        <f>STDEV(D609:L609)</f>
        <v>134.58870669355747</v>
      </c>
      <c r="V609" s="55" t="str">
        <f>IF(L610="","",(IF(T609&lt;7,IF(S609&gt;2800,IF(S609&lt;3800,"Pass","Fail"),"Fail"),"Fail")))</f>
        <v>Pass</v>
      </c>
      <c r="W609" s="54">
        <v>102</v>
      </c>
      <c r="Z609" s="53">
        <v>2800</v>
      </c>
      <c r="AA609" s="53">
        <v>3800</v>
      </c>
      <c r="AB609" s="53">
        <v>3100</v>
      </c>
      <c r="AC609" s="53">
        <v>3760</v>
      </c>
      <c r="AD609" s="52">
        <v>6</v>
      </c>
    </row>
    <row r="610" spans="1:30" ht="16.5" customHeight="1" x14ac:dyDescent="0.35">
      <c r="A610" s="206"/>
      <c r="B610" s="48"/>
      <c r="C610" s="51" t="s">
        <v>157</v>
      </c>
      <c r="D610" s="65">
        <v>3317.27</v>
      </c>
      <c r="E610" s="65">
        <v>3320.03</v>
      </c>
      <c r="F610" s="65">
        <v>3397.88</v>
      </c>
      <c r="G610" s="65">
        <v>3396.59</v>
      </c>
      <c r="H610" s="65">
        <v>3654.83</v>
      </c>
      <c r="I610" s="65">
        <v>3509.49</v>
      </c>
      <c r="J610" s="65">
        <v>3409.54</v>
      </c>
      <c r="K610" s="65">
        <v>3383.13</v>
      </c>
      <c r="L610" s="65">
        <v>3613.53</v>
      </c>
      <c r="M610" s="50"/>
      <c r="N610" s="50"/>
      <c r="O610" s="50"/>
      <c r="P610" s="50"/>
      <c r="Q610" s="48"/>
      <c r="R610" s="48"/>
      <c r="S610" s="49"/>
      <c r="T610" s="48"/>
      <c r="U610" s="48"/>
      <c r="V610" s="47"/>
      <c r="W610" s="46"/>
      <c r="X610" s="8"/>
    </row>
    <row r="611" spans="1:30" ht="24.8" customHeight="1" thickBot="1" x14ac:dyDescent="0.4">
      <c r="A611" s="206"/>
      <c r="B611" s="42"/>
      <c r="C611" s="45" t="s">
        <v>156</v>
      </c>
      <c r="D611" s="44">
        <f t="shared" ref="D611:L611" si="198">IF(((D609="")*AND(D610="")),"",(D609-D610)*2)</f>
        <v>3659.9399999999996</v>
      </c>
      <c r="E611" s="44">
        <f t="shared" si="198"/>
        <v>3691.9800000000005</v>
      </c>
      <c r="F611" s="44">
        <f t="shared" si="198"/>
        <v>3710.5200000000004</v>
      </c>
      <c r="G611" s="44">
        <f t="shared" si="198"/>
        <v>3704.0200000000004</v>
      </c>
      <c r="H611" s="44">
        <f t="shared" si="198"/>
        <v>3738.58</v>
      </c>
      <c r="I611" s="44">
        <f t="shared" si="198"/>
        <v>3756.5600000000013</v>
      </c>
      <c r="J611" s="44">
        <f t="shared" si="198"/>
        <v>3728.1800000000003</v>
      </c>
      <c r="K611" s="44">
        <f t="shared" si="198"/>
        <v>3688.8799999999992</v>
      </c>
      <c r="L611" s="44">
        <f t="shared" si="198"/>
        <v>3746.7799999999997</v>
      </c>
      <c r="M611" s="44"/>
      <c r="N611" s="44"/>
      <c r="O611" s="44"/>
      <c r="P611" s="44"/>
      <c r="Q611" s="42"/>
      <c r="R611" s="42"/>
      <c r="S611" s="43"/>
      <c r="T611" s="42"/>
      <c r="U611" s="42"/>
      <c r="V611" s="41"/>
      <c r="W611" s="40"/>
      <c r="X611" s="8"/>
    </row>
    <row r="612" spans="1:30" x14ac:dyDescent="0.25">
      <c r="A612" s="202">
        <v>43241</v>
      </c>
      <c r="B612" s="63" t="s">
        <v>160</v>
      </c>
      <c r="C612" s="56" t="s">
        <v>158</v>
      </c>
      <c r="D612" s="69">
        <v>1190</v>
      </c>
      <c r="E612" s="69">
        <v>1213</v>
      </c>
      <c r="F612" s="69">
        <v>1231</v>
      </c>
      <c r="G612" s="69">
        <v>1211</v>
      </c>
      <c r="H612" s="69">
        <v>1167</v>
      </c>
      <c r="I612" s="69">
        <v>1198</v>
      </c>
      <c r="J612" s="69">
        <v>1224</v>
      </c>
      <c r="K612" s="69">
        <v>1198</v>
      </c>
      <c r="L612" s="69">
        <v>1150</v>
      </c>
      <c r="M612" s="62"/>
      <c r="N612" s="62"/>
      <c r="O612" s="62"/>
      <c r="P612" s="62"/>
      <c r="Q612" s="63">
        <f>IF((L613=""),"",MAX(D614:L614))</f>
        <v>3052</v>
      </c>
      <c r="R612" s="63">
        <f>IF(L613="","",MIN(D614:L614))</f>
        <v>2688</v>
      </c>
      <c r="S612" s="63">
        <f>IF((L614=""),"",AVERAGE(D614:L614))</f>
        <v>2855.5555555555557</v>
      </c>
      <c r="T612" s="63">
        <f>IF((L613=""),"",((Q612-R612)/(Q612+R612))*100)</f>
        <v>6.3414634146341466</v>
      </c>
      <c r="U612" s="51">
        <f>STDEV(D612:L612)</f>
        <v>26.19160170741759</v>
      </c>
      <c r="V612" s="64" t="str">
        <f>IF(L613="","",(IF(T612&lt;12,IF(S612&gt;2200,IF(S612&lt;3280,"Pass","Fail"),"Fail"),"Fail")))</f>
        <v>Pass</v>
      </c>
      <c r="W612" s="67">
        <v>1335</v>
      </c>
      <c r="Z612" s="37">
        <v>2000</v>
      </c>
      <c r="AA612" s="37">
        <v>3000</v>
      </c>
      <c r="AB612" s="37">
        <v>2200</v>
      </c>
      <c r="AC612" s="37">
        <v>3280</v>
      </c>
      <c r="AD612" s="39">
        <v>12</v>
      </c>
    </row>
    <row r="613" spans="1:30" ht="16.5" customHeight="1" x14ac:dyDescent="0.35">
      <c r="A613" s="206"/>
      <c r="B613" s="48"/>
      <c r="C613" s="51" t="s">
        <v>157</v>
      </c>
      <c r="D613" s="65">
        <v>460</v>
      </c>
      <c r="E613" s="65">
        <v>523</v>
      </c>
      <c r="F613" s="65">
        <v>559</v>
      </c>
      <c r="G613" s="65">
        <v>516</v>
      </c>
      <c r="H613" s="65">
        <v>414</v>
      </c>
      <c r="I613" s="65">
        <v>465</v>
      </c>
      <c r="J613" s="65">
        <v>538</v>
      </c>
      <c r="K613" s="65">
        <v>495</v>
      </c>
      <c r="L613" s="65">
        <v>387</v>
      </c>
      <c r="M613" s="50"/>
      <c r="N613" s="50"/>
      <c r="O613" s="50"/>
      <c r="P613" s="50"/>
      <c r="Q613" s="48"/>
      <c r="R613" s="48"/>
      <c r="S613" s="48"/>
      <c r="T613" s="48"/>
      <c r="U613" s="48"/>
      <c r="V613" s="47"/>
      <c r="W613" s="46"/>
      <c r="X613" s="8"/>
    </row>
    <row r="614" spans="1:30" ht="24.8" customHeight="1" thickBot="1" x14ac:dyDescent="0.4">
      <c r="A614" s="206"/>
      <c r="B614" s="61"/>
      <c r="C614" s="51" t="s">
        <v>156</v>
      </c>
      <c r="D614" s="24">
        <f t="shared" ref="D614:L614" si="199">IF(((D612="")*AND(D613="")),"",(D612-D613)*4)</f>
        <v>2920</v>
      </c>
      <c r="E614" s="24">
        <f t="shared" si="199"/>
        <v>2760</v>
      </c>
      <c r="F614" s="24">
        <f t="shared" si="199"/>
        <v>2688</v>
      </c>
      <c r="G614" s="24">
        <f t="shared" si="199"/>
        <v>2780</v>
      </c>
      <c r="H614" s="24">
        <f t="shared" si="199"/>
        <v>3012</v>
      </c>
      <c r="I614" s="24">
        <f t="shared" si="199"/>
        <v>2932</v>
      </c>
      <c r="J614" s="24">
        <f t="shared" si="199"/>
        <v>2744</v>
      </c>
      <c r="K614" s="24">
        <f t="shared" si="199"/>
        <v>2812</v>
      </c>
      <c r="L614" s="24">
        <f t="shared" si="199"/>
        <v>3052</v>
      </c>
      <c r="M614" s="24"/>
      <c r="N614" s="24"/>
      <c r="O614" s="24"/>
      <c r="P614" s="24" t="str">
        <f>IF(((P612="")*AND(P613="")),"",(P612-P613)*4)</f>
        <v/>
      </c>
      <c r="Q614" s="61"/>
      <c r="R614" s="61"/>
      <c r="S614" s="61"/>
      <c r="T614" s="61"/>
      <c r="U614" s="61"/>
      <c r="V614" s="60"/>
      <c r="W614" s="59"/>
      <c r="X614" s="8"/>
    </row>
    <row r="615" spans="1:30" x14ac:dyDescent="0.25">
      <c r="A615" s="202">
        <v>43241</v>
      </c>
      <c r="B615" s="57" t="s">
        <v>159</v>
      </c>
      <c r="C615" s="51" t="s">
        <v>158</v>
      </c>
      <c r="D615" s="65">
        <v>3416</v>
      </c>
      <c r="E615" s="65">
        <v>3360</v>
      </c>
      <c r="F615" s="65">
        <v>3430</v>
      </c>
      <c r="G615" s="65">
        <v>3418</v>
      </c>
      <c r="H615" s="65">
        <v>3610</v>
      </c>
      <c r="I615" s="65">
        <v>3467</v>
      </c>
      <c r="J615" s="65">
        <v>3416</v>
      </c>
      <c r="K615" s="65">
        <v>3405</v>
      </c>
      <c r="L615" s="65">
        <v>3520</v>
      </c>
      <c r="M615" s="50"/>
      <c r="N615" s="50"/>
      <c r="O615" s="50"/>
      <c r="P615" s="50"/>
      <c r="Q615" s="57">
        <f>IF((L616=""),"",MAX(D617:L617))</f>
        <v>3446</v>
      </c>
      <c r="R615" s="57">
        <f>IF(L616="","",MIN(D617:L617))</f>
        <v>3320</v>
      </c>
      <c r="S615" s="58">
        <f>IF((L617=""),"",AVERAGE(D617:L617))</f>
        <v>3402.4444444444443</v>
      </c>
      <c r="T615" s="57">
        <f>IF((L616=""),"",((Q615-R615)/(Q615+R615))*100)</f>
        <v>1.8622524386639077</v>
      </c>
      <c r="U615" s="56">
        <f>STDEV(D615:L615)</f>
        <v>74.701814644030634</v>
      </c>
      <c r="V615" s="55" t="str">
        <f>IF(L616="","",(IF(T615&lt;7,IF(S615&gt;2800,IF(S615&lt;3800,"Pass","Fail"),"Fail"),"Fail")))</f>
        <v>Pass</v>
      </c>
      <c r="W615" s="54">
        <v>1335</v>
      </c>
      <c r="Z615" s="53">
        <v>2800</v>
      </c>
      <c r="AA615" s="53">
        <v>3800</v>
      </c>
      <c r="AB615" s="53">
        <v>3100</v>
      </c>
      <c r="AC615" s="53">
        <v>3760</v>
      </c>
      <c r="AD615" s="52">
        <v>6</v>
      </c>
    </row>
    <row r="616" spans="1:30" ht="16.5" customHeight="1" x14ac:dyDescent="0.35">
      <c r="A616" s="206"/>
      <c r="B616" s="48"/>
      <c r="C616" s="51" t="s">
        <v>157</v>
      </c>
      <c r="D616" s="65">
        <v>1726</v>
      </c>
      <c r="E616" s="65">
        <v>1637</v>
      </c>
      <c r="F616" s="65">
        <v>1710</v>
      </c>
      <c r="G616" s="65">
        <v>1706</v>
      </c>
      <c r="H616" s="65">
        <v>1950</v>
      </c>
      <c r="I616" s="65">
        <v>1781</v>
      </c>
      <c r="J616" s="65">
        <v>1701</v>
      </c>
      <c r="K616" s="65">
        <v>1687</v>
      </c>
      <c r="L616" s="65">
        <v>1833</v>
      </c>
      <c r="M616" s="50"/>
      <c r="N616" s="50"/>
      <c r="O616" s="50"/>
      <c r="P616" s="50"/>
      <c r="Q616" s="48"/>
      <c r="R616" s="48"/>
      <c r="S616" s="49"/>
      <c r="T616" s="48"/>
      <c r="U616" s="48"/>
      <c r="V616" s="47"/>
      <c r="W616" s="46"/>
      <c r="X616" s="8"/>
    </row>
    <row r="617" spans="1:30" ht="24.8" customHeight="1" thickBot="1" x14ac:dyDescent="0.4">
      <c r="A617" s="206"/>
      <c r="B617" s="42"/>
      <c r="C617" s="45" t="s">
        <v>156</v>
      </c>
      <c r="D617" s="44">
        <f t="shared" ref="D617:L617" si="200">IF(((D615="")*AND(D616="")),"",(D615-D616)*2)</f>
        <v>3380</v>
      </c>
      <c r="E617" s="44">
        <f t="shared" si="200"/>
        <v>3446</v>
      </c>
      <c r="F617" s="44">
        <f t="shared" si="200"/>
        <v>3440</v>
      </c>
      <c r="G617" s="44">
        <f t="shared" si="200"/>
        <v>3424</v>
      </c>
      <c r="H617" s="44">
        <f t="shared" si="200"/>
        <v>3320</v>
      </c>
      <c r="I617" s="44">
        <f t="shared" si="200"/>
        <v>3372</v>
      </c>
      <c r="J617" s="44">
        <f t="shared" si="200"/>
        <v>3430</v>
      </c>
      <c r="K617" s="44">
        <f t="shared" si="200"/>
        <v>3436</v>
      </c>
      <c r="L617" s="44">
        <f t="shared" si="200"/>
        <v>3374</v>
      </c>
      <c r="M617" s="44"/>
      <c r="N617" s="44"/>
      <c r="O617" s="44"/>
      <c r="P617" s="44"/>
      <c r="Q617" s="42"/>
      <c r="R617" s="42"/>
      <c r="S617" s="43"/>
      <c r="T617" s="42"/>
      <c r="U617" s="42"/>
      <c r="V617" s="41"/>
      <c r="W617" s="40"/>
      <c r="X617" s="8"/>
    </row>
    <row r="618" spans="1:30" x14ac:dyDescent="0.25">
      <c r="A618" s="208">
        <v>43251</v>
      </c>
      <c r="B618" s="63" t="s">
        <v>160</v>
      </c>
      <c r="C618" s="56" t="s">
        <v>158</v>
      </c>
      <c r="D618" s="68"/>
      <c r="E618" s="68"/>
      <c r="F618" s="68"/>
      <c r="G618" s="68"/>
      <c r="H618" s="68"/>
      <c r="I618" s="68"/>
      <c r="J618" s="68"/>
      <c r="K618" s="68"/>
      <c r="L618" s="68"/>
      <c r="M618" s="50"/>
      <c r="N618" s="50"/>
      <c r="O618" s="50"/>
      <c r="P618" s="50"/>
      <c r="Q618" s="57" t="str">
        <f>IF((L619=""),"",MAX(D620:L620))</f>
        <v/>
      </c>
      <c r="R618" s="57" t="str">
        <f>IF(L619="","",MIN(D620:L620))</f>
        <v/>
      </c>
      <c r="S618" s="58" t="str">
        <f>IF((L620=""),"",AVERAGE(D620:L620))</f>
        <v/>
      </c>
      <c r="T618" s="57" t="str">
        <f>IF((L619=""),"",((Q618-R618)/(Q618+R618))*100)</f>
        <v/>
      </c>
      <c r="U618" s="56"/>
      <c r="V618" s="55" t="str">
        <f>IF(L619="","",(IF(T618&lt;7,IF(S618&gt;2800,IF(S618&lt;3800,"Pass","Fail"),"Fail"),"Fail")))</f>
        <v/>
      </c>
      <c r="W618" s="54"/>
      <c r="Y618" s="8" t="s">
        <v>174</v>
      </c>
      <c r="Z618" s="37">
        <v>2000</v>
      </c>
      <c r="AA618" s="37">
        <v>3000</v>
      </c>
      <c r="AB618" s="37">
        <v>2200</v>
      </c>
      <c r="AC618" s="37">
        <v>3280</v>
      </c>
      <c r="AD618" s="39">
        <v>12</v>
      </c>
    </row>
    <row r="619" spans="1:30" ht="16.5" customHeight="1" x14ac:dyDescent="0.35">
      <c r="A619" s="206"/>
      <c r="B619" s="48"/>
      <c r="C619" s="51" t="s">
        <v>157</v>
      </c>
      <c r="D619" s="68"/>
      <c r="E619" s="68"/>
      <c r="F619" s="68"/>
      <c r="G619" s="68"/>
      <c r="H619" s="68"/>
      <c r="I619" s="68"/>
      <c r="J619" s="68"/>
      <c r="K619" s="68"/>
      <c r="L619" s="68"/>
      <c r="M619" s="50"/>
      <c r="N619" s="50"/>
      <c r="O619" s="50"/>
      <c r="P619" s="50"/>
      <c r="Q619" s="48"/>
      <c r="R619" s="48"/>
      <c r="S619" s="49"/>
      <c r="T619" s="48"/>
      <c r="U619" s="48"/>
      <c r="V619" s="47"/>
      <c r="W619" s="46"/>
      <c r="X619" s="8"/>
      <c r="Y619" s="8"/>
    </row>
    <row r="620" spans="1:30" ht="24.8" customHeight="1" thickBot="1" x14ac:dyDescent="0.4">
      <c r="A620" s="206"/>
      <c r="B620" s="61"/>
      <c r="C620" s="51" t="s">
        <v>156</v>
      </c>
      <c r="D620" s="44" t="str">
        <f t="shared" ref="D620:L620" si="201">IF(((D618="")*AND(D619="")),"",(D618-D619)*2)</f>
        <v/>
      </c>
      <c r="E620" s="44" t="str">
        <f t="shared" si="201"/>
        <v/>
      </c>
      <c r="F620" s="44" t="str">
        <f t="shared" si="201"/>
        <v/>
      </c>
      <c r="G620" s="44" t="str">
        <f t="shared" si="201"/>
        <v/>
      </c>
      <c r="H620" s="44" t="str">
        <f t="shared" si="201"/>
        <v/>
      </c>
      <c r="I620" s="44" t="str">
        <f t="shared" si="201"/>
        <v/>
      </c>
      <c r="J620" s="44" t="str">
        <f t="shared" si="201"/>
        <v/>
      </c>
      <c r="K620" s="44" t="str">
        <f t="shared" si="201"/>
        <v/>
      </c>
      <c r="L620" s="44" t="str">
        <f t="shared" si="201"/>
        <v/>
      </c>
      <c r="M620" s="44"/>
      <c r="N620" s="44"/>
      <c r="O620" s="44"/>
      <c r="P620" s="44"/>
      <c r="Q620" s="42"/>
      <c r="R620" s="42"/>
      <c r="S620" s="43"/>
      <c r="T620" s="42"/>
      <c r="U620" s="42"/>
      <c r="V620" s="41"/>
      <c r="W620" s="40"/>
      <c r="X620" s="8"/>
      <c r="Y620" s="8"/>
    </row>
    <row r="621" spans="1:30" x14ac:dyDescent="0.25">
      <c r="A621" s="209">
        <v>43251</v>
      </c>
      <c r="B621" s="57" t="s">
        <v>159</v>
      </c>
      <c r="C621" s="51" t="s">
        <v>158</v>
      </c>
      <c r="D621" s="69"/>
      <c r="E621" s="69"/>
      <c r="F621" s="69"/>
      <c r="G621" s="69"/>
      <c r="H621" s="69"/>
      <c r="I621" s="69"/>
      <c r="J621" s="69"/>
      <c r="K621" s="69"/>
      <c r="L621" s="69"/>
      <c r="M621" s="62"/>
      <c r="N621" s="62"/>
      <c r="O621" s="62"/>
      <c r="P621" s="62"/>
      <c r="Q621" s="63" t="str">
        <f>IF((L622=""),"",MAX(D623:L623))</f>
        <v/>
      </c>
      <c r="R621" s="63" t="str">
        <f>IF(L622="","",MIN(D623:L623))</f>
        <v/>
      </c>
      <c r="S621" s="63" t="str">
        <f>IF((L623=""),"",AVERAGE(D623:L623))</f>
        <v/>
      </c>
      <c r="T621" s="63" t="str">
        <f>IF((L622=""),"",((Q621-R621)/(Q621+R621))*100)</f>
        <v/>
      </c>
      <c r="U621" s="63"/>
      <c r="V621" s="55" t="str">
        <f>IF(L622="","",(IF(T621&lt;7,IF(S621&gt;2000,IF(S621&lt;3000,"Pass","Fail"),"Fail"),"Fail")))</f>
        <v/>
      </c>
      <c r="W621" s="67"/>
      <c r="Y621" s="8" t="s">
        <v>174</v>
      </c>
      <c r="Z621" s="53">
        <v>2800</v>
      </c>
      <c r="AA621" s="53">
        <v>3800</v>
      </c>
      <c r="AB621" s="53">
        <v>3100</v>
      </c>
      <c r="AC621" s="53">
        <v>3760</v>
      </c>
      <c r="AD621" s="52">
        <v>6</v>
      </c>
    </row>
    <row r="622" spans="1:30" ht="16.5" customHeight="1" x14ac:dyDescent="0.35">
      <c r="A622" s="206"/>
      <c r="B622" s="48"/>
      <c r="C622" s="51" t="s">
        <v>157</v>
      </c>
      <c r="D622" s="68"/>
      <c r="E622" s="68"/>
      <c r="F622" s="68"/>
      <c r="G622" s="68"/>
      <c r="H622" s="68"/>
      <c r="I622" s="68"/>
      <c r="J622" s="68"/>
      <c r="K622" s="68"/>
      <c r="L622" s="68"/>
      <c r="M622" s="50"/>
      <c r="N622" s="50"/>
      <c r="O622" s="50"/>
      <c r="P622" s="50"/>
      <c r="Q622" s="48"/>
      <c r="R622" s="48"/>
      <c r="S622" s="48"/>
      <c r="T622" s="48"/>
      <c r="U622" s="48"/>
      <c r="V622" s="47"/>
      <c r="W622" s="46"/>
      <c r="X622" s="8"/>
    </row>
    <row r="623" spans="1:30" ht="24.8" customHeight="1" thickBot="1" x14ac:dyDescent="0.4">
      <c r="A623" s="206"/>
      <c r="B623" s="42"/>
      <c r="C623" s="45" t="s">
        <v>156</v>
      </c>
      <c r="D623" s="24" t="str">
        <f t="shared" ref="D623:L623" si="202">IF(((D621="")*AND(D622="")),"",(D621-D622)*4)</f>
        <v/>
      </c>
      <c r="E623" s="24" t="str">
        <f t="shared" si="202"/>
        <v/>
      </c>
      <c r="F623" s="24" t="str">
        <f t="shared" si="202"/>
        <v/>
      </c>
      <c r="G623" s="24" t="str">
        <f t="shared" si="202"/>
        <v/>
      </c>
      <c r="H623" s="24" t="str">
        <f t="shared" si="202"/>
        <v/>
      </c>
      <c r="I623" s="24" t="str">
        <f t="shared" si="202"/>
        <v/>
      </c>
      <c r="J623" s="24" t="str">
        <f t="shared" si="202"/>
        <v/>
      </c>
      <c r="K623" s="24" t="str">
        <f t="shared" si="202"/>
        <v/>
      </c>
      <c r="L623" s="24" t="str">
        <f t="shared" si="202"/>
        <v/>
      </c>
      <c r="M623" s="24"/>
      <c r="N623" s="24"/>
      <c r="O623" s="24"/>
      <c r="P623" s="24" t="str">
        <f>IF(((P621="")*AND(P622="")),"",(P621-P622)*4)</f>
        <v/>
      </c>
      <c r="Q623" s="61"/>
      <c r="R623" s="61"/>
      <c r="S623" s="61"/>
      <c r="T623" s="61"/>
      <c r="U623" s="61"/>
      <c r="V623" s="60"/>
      <c r="W623" s="59"/>
      <c r="X623" s="8"/>
    </row>
    <row r="624" spans="1:30" x14ac:dyDescent="0.25">
      <c r="A624" s="202">
        <v>43255</v>
      </c>
      <c r="B624" s="63" t="s">
        <v>160</v>
      </c>
      <c r="C624" s="56" t="s">
        <v>158</v>
      </c>
      <c r="D624" s="8">
        <v>1911.41</v>
      </c>
      <c r="E624" s="8">
        <v>1904.31</v>
      </c>
      <c r="F624" s="8">
        <v>1899.18</v>
      </c>
      <c r="G624" s="8">
        <v>1907.02</v>
      </c>
      <c r="H624" s="8">
        <v>1913.61</v>
      </c>
      <c r="I624" s="8">
        <v>1916.39</v>
      </c>
      <c r="J624" s="8">
        <v>1908.22</v>
      </c>
      <c r="K624" s="8">
        <v>1902.9</v>
      </c>
      <c r="L624" s="8">
        <v>1911.26</v>
      </c>
      <c r="M624" s="62"/>
      <c r="N624" s="62"/>
      <c r="O624" s="62"/>
      <c r="P624" s="62"/>
      <c r="Q624" s="63">
        <f>IF((L625=""),"",MAX(D626:L626))</f>
        <v>3158.8</v>
      </c>
      <c r="R624" s="63">
        <f>IF(L625="","",MIN(D626:L626))</f>
        <v>2728.76</v>
      </c>
      <c r="S624" s="63">
        <f>IF((L626=""),"",AVERAGE(D626:L626))</f>
        <v>2921.9466666666663</v>
      </c>
      <c r="T624" s="63">
        <f>IF((L625=""),"",((Q624-R624)/(Q624+R624))*100)</f>
        <v>7.3042143094932355</v>
      </c>
      <c r="U624" s="51">
        <f>STDEV(D624:L624)</f>
        <v>5.4995388695578553</v>
      </c>
      <c r="V624" s="64" t="str">
        <f>IF(L625="","",(IF(T624&lt;12,IF(S624&gt;2200,IF(S624&lt;3280,"Pass","Fail"),"Fail"),"Fail")))</f>
        <v>Pass</v>
      </c>
      <c r="W624" s="67"/>
      <c r="Z624" s="37">
        <v>2000</v>
      </c>
      <c r="AA624" s="37">
        <v>3000</v>
      </c>
      <c r="AB624" s="37">
        <v>2200</v>
      </c>
      <c r="AC624" s="37">
        <v>3280</v>
      </c>
      <c r="AD624" s="39">
        <v>12</v>
      </c>
    </row>
    <row r="625" spans="1:30" ht="16.5" customHeight="1" x14ac:dyDescent="0.35">
      <c r="A625" s="206"/>
      <c r="B625" s="48"/>
      <c r="C625" s="51" t="s">
        <v>157</v>
      </c>
      <c r="D625" s="8">
        <v>1161.57</v>
      </c>
      <c r="E625" s="8">
        <v>1202.3</v>
      </c>
      <c r="F625" s="8">
        <v>1216.99</v>
      </c>
      <c r="G625" s="8">
        <v>1198.1600000000001</v>
      </c>
      <c r="H625" s="8">
        <v>1135.93</v>
      </c>
      <c r="I625" s="8">
        <v>1167.6600000000001</v>
      </c>
      <c r="J625" s="8">
        <v>1211.81</v>
      </c>
      <c r="K625" s="8">
        <v>1183.94</v>
      </c>
      <c r="L625" s="8">
        <v>1121.56</v>
      </c>
      <c r="M625" s="50"/>
      <c r="N625" s="50"/>
      <c r="O625" s="50"/>
      <c r="P625" s="50"/>
      <c r="Q625" s="48"/>
      <c r="R625" s="48"/>
      <c r="S625" s="48"/>
      <c r="T625" s="48"/>
      <c r="U625" s="48"/>
      <c r="V625" s="47"/>
      <c r="W625" s="46"/>
      <c r="X625" s="8"/>
    </row>
    <row r="626" spans="1:30" ht="24.8" customHeight="1" thickBot="1" x14ac:dyDescent="0.4">
      <c r="A626" s="206"/>
      <c r="B626" s="61"/>
      <c r="C626" s="51" t="s">
        <v>156</v>
      </c>
      <c r="D626" s="24">
        <f t="shared" ref="D626:L626" si="203">IF(((D624="")*AND(D625="")),"",(D624-D625)*4)</f>
        <v>2999.3600000000006</v>
      </c>
      <c r="E626" s="24">
        <f t="shared" si="203"/>
        <v>2808.04</v>
      </c>
      <c r="F626" s="24">
        <f t="shared" si="203"/>
        <v>2728.76</v>
      </c>
      <c r="G626" s="24">
        <f t="shared" si="203"/>
        <v>2835.4399999999996</v>
      </c>
      <c r="H626" s="24">
        <f t="shared" si="203"/>
        <v>3110.7199999999993</v>
      </c>
      <c r="I626" s="24">
        <f t="shared" si="203"/>
        <v>2994.92</v>
      </c>
      <c r="J626" s="24">
        <f t="shared" si="203"/>
        <v>2785.6400000000003</v>
      </c>
      <c r="K626" s="24">
        <f t="shared" si="203"/>
        <v>2875.84</v>
      </c>
      <c r="L626" s="24">
        <f t="shared" si="203"/>
        <v>3158.8</v>
      </c>
      <c r="M626" s="24"/>
      <c r="N626" s="24"/>
      <c r="O626" s="24"/>
      <c r="P626" s="24" t="str">
        <f>IF(((P624="")*AND(P625="")),"",(P624-P625)*4)</f>
        <v/>
      </c>
      <c r="Q626" s="61"/>
      <c r="R626" s="61"/>
      <c r="S626" s="61"/>
      <c r="T626" s="61"/>
      <c r="U626" s="61"/>
      <c r="V626" s="60"/>
      <c r="W626" s="59"/>
      <c r="X626" s="8"/>
    </row>
    <row r="627" spans="1:30" x14ac:dyDescent="0.25">
      <c r="A627" s="202">
        <v>43255</v>
      </c>
      <c r="B627" s="57" t="s">
        <v>159</v>
      </c>
      <c r="C627" s="51" t="s">
        <v>158</v>
      </c>
      <c r="D627" s="8">
        <v>5320.07</v>
      </c>
      <c r="E627" s="8">
        <v>5287.98</v>
      </c>
      <c r="F627" s="8">
        <v>5368.57</v>
      </c>
      <c r="G627" s="8">
        <v>5345.42</v>
      </c>
      <c r="H627" s="8">
        <v>5500.83</v>
      </c>
      <c r="I627" s="8">
        <v>5399.88</v>
      </c>
      <c r="J627" s="8">
        <v>5346.84</v>
      </c>
      <c r="K627" s="8">
        <v>5337.33</v>
      </c>
      <c r="L627" s="8">
        <v>5436.02</v>
      </c>
      <c r="M627" s="50"/>
      <c r="N627" s="50"/>
      <c r="O627" s="50"/>
      <c r="P627" s="50"/>
      <c r="Q627" s="57">
        <f>IF((L628=""),"",MAX(D629:L629))</f>
        <v>3528.7200000000003</v>
      </c>
      <c r="R627" s="57">
        <f>IF(L628="","",MIN(D629:L629))</f>
        <v>3480.2</v>
      </c>
      <c r="S627" s="58">
        <f>IF((L629=""),"",AVERAGE(D629:L629))</f>
        <v>3499.9555555555553</v>
      </c>
      <c r="T627" s="57">
        <f>IF((L628=""),"",((Q627-R627)/(Q627+R627))*100)</f>
        <v>0.69226071919782839</v>
      </c>
      <c r="U627" s="56">
        <f>STDEV(D627:L627)</f>
        <v>64.980343138863631</v>
      </c>
      <c r="V627" s="55" t="str">
        <f>IF(L628="","",(IF(T627&lt;7,IF(S627&gt;2800,IF(S627&lt;3800,"Pass","Fail"),"Fail"),"Fail")))</f>
        <v>Pass</v>
      </c>
      <c r="W627" s="54"/>
      <c r="Z627" s="53">
        <v>2800</v>
      </c>
      <c r="AA627" s="53">
        <v>3800</v>
      </c>
      <c r="AB627" s="53">
        <v>3100</v>
      </c>
      <c r="AC627" s="53">
        <v>3760</v>
      </c>
      <c r="AD627" s="52">
        <v>6</v>
      </c>
    </row>
    <row r="628" spans="1:30" ht="16.5" customHeight="1" x14ac:dyDescent="0.35">
      <c r="A628" s="206"/>
      <c r="B628" s="48"/>
      <c r="C628" s="51" t="s">
        <v>157</v>
      </c>
      <c r="D628" s="8">
        <v>3576.06</v>
      </c>
      <c r="E628" s="8">
        <v>3532.92</v>
      </c>
      <c r="F628" s="8">
        <v>3617.15</v>
      </c>
      <c r="G628" s="8">
        <v>3597.42</v>
      </c>
      <c r="H628" s="8">
        <v>3760.73</v>
      </c>
      <c r="I628" s="8">
        <v>3635.52</v>
      </c>
      <c r="J628" s="8">
        <v>3595.06</v>
      </c>
      <c r="K628" s="8">
        <v>3588.74</v>
      </c>
      <c r="L628" s="8">
        <v>3689.54</v>
      </c>
      <c r="M628" s="50"/>
      <c r="N628" s="50"/>
      <c r="O628" s="50"/>
      <c r="P628" s="50"/>
      <c r="Q628" s="48"/>
      <c r="R628" s="48"/>
      <c r="S628" s="49"/>
      <c r="T628" s="48"/>
      <c r="U628" s="48"/>
      <c r="V628" s="47"/>
      <c r="W628" s="46"/>
      <c r="X628" s="8"/>
    </row>
    <row r="629" spans="1:30" ht="24.8" customHeight="1" thickBot="1" x14ac:dyDescent="0.4">
      <c r="A629" s="206"/>
      <c r="B629" s="42"/>
      <c r="C629" s="45" t="s">
        <v>156</v>
      </c>
      <c r="D629" s="44">
        <f t="shared" ref="D629:L629" si="204">IF(((D627="")*AND(D628="")),"",(D627-D628)*2)</f>
        <v>3488.0199999999995</v>
      </c>
      <c r="E629" s="44">
        <f t="shared" si="204"/>
        <v>3510.119999999999</v>
      </c>
      <c r="F629" s="44">
        <f t="shared" si="204"/>
        <v>3502.8399999999992</v>
      </c>
      <c r="G629" s="44">
        <f t="shared" si="204"/>
        <v>3496</v>
      </c>
      <c r="H629" s="44">
        <f t="shared" si="204"/>
        <v>3480.2</v>
      </c>
      <c r="I629" s="44">
        <f t="shared" si="204"/>
        <v>3528.7200000000003</v>
      </c>
      <c r="J629" s="44">
        <f t="shared" si="204"/>
        <v>3503.5600000000004</v>
      </c>
      <c r="K629" s="44">
        <f t="shared" si="204"/>
        <v>3497.1800000000003</v>
      </c>
      <c r="L629" s="44">
        <f t="shared" si="204"/>
        <v>3492.9600000000009</v>
      </c>
      <c r="M629" s="44"/>
      <c r="N629" s="44"/>
      <c r="O629" s="44"/>
      <c r="P629" s="44"/>
      <c r="Q629" s="42"/>
      <c r="R629" s="42"/>
      <c r="S629" s="43"/>
      <c r="T629" s="42"/>
      <c r="U629" s="42"/>
      <c r="V629" s="41"/>
      <c r="W629" s="40"/>
      <c r="X629" s="8"/>
    </row>
    <row r="630" spans="1:30" x14ac:dyDescent="0.25">
      <c r="A630" s="202">
        <v>43258</v>
      </c>
      <c r="B630" s="63" t="s">
        <v>160</v>
      </c>
      <c r="C630" s="56" t="s">
        <v>158</v>
      </c>
      <c r="D630" s="8">
        <v>1164.1600000000001</v>
      </c>
      <c r="E630" s="8">
        <v>1201.69</v>
      </c>
      <c r="F630" s="8">
        <v>1219.9100000000001</v>
      </c>
      <c r="G630" s="8">
        <v>1199.02</v>
      </c>
      <c r="H630" s="8">
        <v>1136.1300000000001</v>
      </c>
      <c r="I630" s="8">
        <v>1171.0999999999999</v>
      </c>
      <c r="J630" s="8">
        <v>1212.1500000000001</v>
      </c>
      <c r="K630" s="8">
        <v>1183.44</v>
      </c>
      <c r="L630" s="8">
        <v>1123.0899999999999</v>
      </c>
      <c r="M630" s="62"/>
      <c r="N630" s="62"/>
      <c r="O630" s="62"/>
      <c r="P630" s="62"/>
      <c r="Q630" s="63">
        <f>IF((L631=""),"",MAX(D632:L632))</f>
        <v>3128.6399999999994</v>
      </c>
      <c r="R630" s="63">
        <f>IF(L631="","",MIN(D632:L632))</f>
        <v>2722.1600000000003</v>
      </c>
      <c r="S630" s="63">
        <f>IF((L632=""),"",AVERAGE(D632:L632))</f>
        <v>2906.266666666666</v>
      </c>
      <c r="T630" s="63">
        <f>IF((L631=""),"",((Q630-R630)/(Q630+R630))*100)</f>
        <v>6.9474259930265809</v>
      </c>
      <c r="U630" s="51">
        <f>STDEV(D630:L630)</f>
        <v>33.455736844041851</v>
      </c>
      <c r="V630" s="64" t="str">
        <f>IF(L631="","",(IF(T630&lt;12,IF(S630&gt;2200,IF(S630&lt;3280,"Pass","Fail"),"Fail"),"Fail")))</f>
        <v>Pass</v>
      </c>
      <c r="W630" s="67">
        <v>1428</v>
      </c>
      <c r="X630" s="26" t="s">
        <v>173</v>
      </c>
      <c r="Z630" s="37">
        <v>2000</v>
      </c>
      <c r="AA630" s="37">
        <v>3000</v>
      </c>
      <c r="AB630" s="37">
        <v>2200</v>
      </c>
      <c r="AC630" s="37">
        <v>3280</v>
      </c>
      <c r="AD630" s="39">
        <v>12</v>
      </c>
    </row>
    <row r="631" spans="1:30" ht="16.5" customHeight="1" x14ac:dyDescent="0.35">
      <c r="A631" s="206"/>
      <c r="B631" s="48"/>
      <c r="C631" s="51" t="s">
        <v>157</v>
      </c>
      <c r="D631" s="8">
        <v>416.95</v>
      </c>
      <c r="E631" s="8">
        <v>500.66</v>
      </c>
      <c r="F631" s="8">
        <v>539.37</v>
      </c>
      <c r="G631" s="8">
        <v>496.88</v>
      </c>
      <c r="H631" s="8">
        <v>364.93</v>
      </c>
      <c r="I631" s="8">
        <v>418.42</v>
      </c>
      <c r="J631" s="8">
        <v>519.49</v>
      </c>
      <c r="K631" s="8">
        <v>473.96</v>
      </c>
      <c r="L631" s="8">
        <v>340.93</v>
      </c>
      <c r="M631" s="50"/>
      <c r="N631" s="50"/>
      <c r="O631" s="50"/>
      <c r="P631" s="50"/>
      <c r="Q631" s="48"/>
      <c r="R631" s="48"/>
      <c r="S631" s="48"/>
      <c r="T631" s="48"/>
      <c r="U631" s="48"/>
      <c r="V631" s="47"/>
      <c r="W631" s="46"/>
      <c r="X631" s="8"/>
    </row>
    <row r="632" spans="1:30" ht="24.8" customHeight="1" thickBot="1" x14ac:dyDescent="0.4">
      <c r="A632" s="206"/>
      <c r="B632" s="61"/>
      <c r="C632" s="51" t="s">
        <v>156</v>
      </c>
      <c r="D632" s="24">
        <f t="shared" ref="D632:L632" si="205">IF(((D630="")*AND(D631="")),"",(D630-D631)*4)</f>
        <v>2988.84</v>
      </c>
      <c r="E632" s="24">
        <f t="shared" si="205"/>
        <v>2804.12</v>
      </c>
      <c r="F632" s="24">
        <f t="shared" si="205"/>
        <v>2722.1600000000003</v>
      </c>
      <c r="G632" s="24">
        <f t="shared" si="205"/>
        <v>2808.56</v>
      </c>
      <c r="H632" s="24">
        <f t="shared" si="205"/>
        <v>3084.8</v>
      </c>
      <c r="I632" s="24">
        <f t="shared" si="205"/>
        <v>3010.7199999999993</v>
      </c>
      <c r="J632" s="24">
        <f t="shared" si="205"/>
        <v>2770.6400000000003</v>
      </c>
      <c r="K632" s="24">
        <f t="shared" si="205"/>
        <v>2837.92</v>
      </c>
      <c r="L632" s="24">
        <f t="shared" si="205"/>
        <v>3128.6399999999994</v>
      </c>
      <c r="M632" s="24"/>
      <c r="N632" s="24"/>
      <c r="O632" s="24"/>
      <c r="P632" s="24" t="str">
        <f>IF(((P630="")*AND(P631="")),"",(P630-P631)*4)</f>
        <v/>
      </c>
      <c r="Q632" s="61"/>
      <c r="R632" s="61"/>
      <c r="S632" s="61"/>
      <c r="T632" s="61"/>
      <c r="U632" s="61"/>
      <c r="V632" s="60"/>
      <c r="W632" s="59"/>
      <c r="X632" s="8"/>
    </row>
    <row r="633" spans="1:30" x14ac:dyDescent="0.25">
      <c r="A633" s="202">
        <v>43258</v>
      </c>
      <c r="B633" s="57" t="s">
        <v>159</v>
      </c>
      <c r="C633" s="51" t="s">
        <v>158</v>
      </c>
      <c r="D633" s="8">
        <v>3589.45</v>
      </c>
      <c r="E633" s="8">
        <v>3547.09</v>
      </c>
      <c r="F633" s="8">
        <v>3629.76</v>
      </c>
      <c r="G633" s="8">
        <v>3610.11</v>
      </c>
      <c r="H633" s="8">
        <v>3773.29</v>
      </c>
      <c r="I633" s="8">
        <v>3649.41</v>
      </c>
      <c r="J633" s="8">
        <v>3607.84</v>
      </c>
      <c r="K633" s="8">
        <v>3601.59</v>
      </c>
      <c r="L633" s="8">
        <v>3701.02</v>
      </c>
      <c r="M633" s="50"/>
      <c r="N633" s="50"/>
      <c r="O633" s="50"/>
      <c r="P633" s="50"/>
      <c r="Q633" s="57">
        <f>IF((L634=""),"",MAX(D635:L635))</f>
        <v>3486.7000000000003</v>
      </c>
      <c r="R633" s="57">
        <f>IF(L634="","",MIN(D635:L635))</f>
        <v>3392.0599999999995</v>
      </c>
      <c r="S633" s="58">
        <f>IF((L635=""),"",AVERAGE(D635:L635))</f>
        <v>3449.3466666666668</v>
      </c>
      <c r="T633" s="57">
        <f>IF((L634=""),"",((Q633-R633)/(Q633+R633))*100)</f>
        <v>1.375829364594793</v>
      </c>
      <c r="U633" s="56">
        <f>STDEV(D633:L633)</f>
        <v>67.073614803272477</v>
      </c>
      <c r="V633" s="55" t="str">
        <f>IF(L634="","",(IF(T633&lt;7,IF(S633&gt;2800,IF(S633&lt;3800,"Pass","Fail"),"Fail"),"Fail")))</f>
        <v>Pass</v>
      </c>
      <c r="W633" s="54">
        <v>1428</v>
      </c>
      <c r="X633" s="26" t="s">
        <v>173</v>
      </c>
      <c r="Z633" s="53">
        <v>2800</v>
      </c>
      <c r="AA633" s="53">
        <v>3800</v>
      </c>
      <c r="AB633" s="53">
        <v>3100</v>
      </c>
      <c r="AC633" s="53">
        <v>3760</v>
      </c>
      <c r="AD633" s="52">
        <v>6</v>
      </c>
    </row>
    <row r="634" spans="1:30" ht="16.5" customHeight="1" x14ac:dyDescent="0.35">
      <c r="A634" s="206"/>
      <c r="B634" s="48"/>
      <c r="C634" s="51" t="s">
        <v>157</v>
      </c>
      <c r="D634" s="8">
        <v>1865.04</v>
      </c>
      <c r="E634" s="8">
        <v>1803.74</v>
      </c>
      <c r="F634" s="8">
        <v>1899.17</v>
      </c>
      <c r="G634" s="8">
        <v>1883.25</v>
      </c>
      <c r="H634" s="8">
        <v>2077.2600000000002</v>
      </c>
      <c r="I634" s="8">
        <v>1927.92</v>
      </c>
      <c r="J634" s="8">
        <v>1878.4</v>
      </c>
      <c r="K634" s="8">
        <v>1867.63</v>
      </c>
      <c r="L634" s="8">
        <v>1985.09</v>
      </c>
      <c r="M634" s="50"/>
      <c r="N634" s="50"/>
      <c r="O634" s="50"/>
      <c r="P634" s="50"/>
      <c r="Q634" s="48"/>
      <c r="R634" s="48"/>
      <c r="S634" s="49"/>
      <c r="T634" s="48"/>
      <c r="U634" s="48"/>
      <c r="V634" s="47"/>
      <c r="W634" s="46"/>
      <c r="X634" s="8"/>
    </row>
    <row r="635" spans="1:30" ht="24.8" customHeight="1" thickBot="1" x14ac:dyDescent="0.4">
      <c r="A635" s="206"/>
      <c r="B635" s="42"/>
      <c r="C635" s="45" t="s">
        <v>156</v>
      </c>
      <c r="D635" s="44">
        <f t="shared" ref="D635:L635" si="206">IF(((D633="")*AND(D634="")),"",(D633-D634)*2)</f>
        <v>3448.8199999999997</v>
      </c>
      <c r="E635" s="44">
        <f t="shared" si="206"/>
        <v>3486.7000000000003</v>
      </c>
      <c r="F635" s="44">
        <f t="shared" si="206"/>
        <v>3461.1800000000003</v>
      </c>
      <c r="G635" s="44">
        <f t="shared" si="206"/>
        <v>3453.7200000000003</v>
      </c>
      <c r="H635" s="44">
        <f t="shared" si="206"/>
        <v>3392.0599999999995</v>
      </c>
      <c r="I635" s="44">
        <f t="shared" si="206"/>
        <v>3442.9799999999996</v>
      </c>
      <c r="J635" s="44">
        <f t="shared" si="206"/>
        <v>3458.88</v>
      </c>
      <c r="K635" s="44">
        <f t="shared" si="206"/>
        <v>3467.92</v>
      </c>
      <c r="L635" s="44">
        <f t="shared" si="206"/>
        <v>3431.86</v>
      </c>
      <c r="M635" s="44"/>
      <c r="N635" s="44"/>
      <c r="O635" s="44"/>
      <c r="P635" s="44"/>
      <c r="Q635" s="42"/>
      <c r="R635" s="42"/>
      <c r="S635" s="43"/>
      <c r="T635" s="42"/>
      <c r="U635" s="42"/>
      <c r="V635" s="41"/>
      <c r="W635" s="40"/>
      <c r="X635" s="8"/>
    </row>
    <row r="636" spans="1:30" x14ac:dyDescent="0.25">
      <c r="A636" s="202">
        <v>43271</v>
      </c>
      <c r="B636" s="63" t="s">
        <v>160</v>
      </c>
      <c r="C636" s="56" t="s">
        <v>158</v>
      </c>
      <c r="D636" s="8">
        <v>1910.57</v>
      </c>
      <c r="E636" s="8">
        <v>1901.6</v>
      </c>
      <c r="F636" s="8">
        <v>1900.34</v>
      </c>
      <c r="G636" s="8">
        <v>1903.66</v>
      </c>
      <c r="H636" s="8">
        <v>1910.09</v>
      </c>
      <c r="I636" s="8">
        <v>1911.24</v>
      </c>
      <c r="J636" s="8">
        <v>1900.94</v>
      </c>
      <c r="K636" s="8">
        <v>1903.4</v>
      </c>
      <c r="L636" s="8">
        <v>1906.07</v>
      </c>
      <c r="M636" s="62"/>
      <c r="N636" s="62"/>
      <c r="O636" s="62"/>
      <c r="P636" s="62"/>
      <c r="Q636" s="63">
        <f>IF((L637=""),"",MAX(D638:L638))</f>
        <v>3133.04</v>
      </c>
      <c r="R636" s="63">
        <f>IF(L637="","",MIN(D638:L638))</f>
        <v>2761.5599999999995</v>
      </c>
      <c r="S636" s="63">
        <f>IF((L638=""),"",AVERAGE(D638:L638))</f>
        <v>2919.7955555555554</v>
      </c>
      <c r="T636" s="63">
        <f>IF((L637=""),"",((Q636-R636)/(Q636+R636))*100)</f>
        <v>6.3020391544803811</v>
      </c>
      <c r="U636" s="51">
        <f>STDEV(D636:L636)</f>
        <v>4.3328599100363112</v>
      </c>
      <c r="V636" s="64" t="str">
        <f>IF(L637="","",(IF(T636&lt;12,IF(S636&gt;2200,IF(S636&lt;3280,"Pass","Fail"),"Fail"),"Fail")))</f>
        <v>Pass</v>
      </c>
      <c r="W636" s="67">
        <v>1159</v>
      </c>
      <c r="X636" s="26" t="s">
        <v>172</v>
      </c>
      <c r="Z636" s="37">
        <v>2000</v>
      </c>
      <c r="AA636" s="37">
        <v>3000</v>
      </c>
      <c r="AB636" s="37">
        <v>2200</v>
      </c>
      <c r="AC636" s="37">
        <v>3280</v>
      </c>
      <c r="AD636" s="39">
        <v>12</v>
      </c>
    </row>
    <row r="637" spans="1:30" ht="16.5" customHeight="1" x14ac:dyDescent="0.35">
      <c r="A637" s="206"/>
      <c r="B637" s="48"/>
      <c r="C637" s="51" t="s">
        <v>157</v>
      </c>
      <c r="D637" s="8">
        <v>1165.31</v>
      </c>
      <c r="E637" s="8">
        <v>1195.19</v>
      </c>
      <c r="F637" s="8">
        <v>1209.95</v>
      </c>
      <c r="G637" s="8">
        <v>1192.33</v>
      </c>
      <c r="H637" s="8">
        <v>1138.26</v>
      </c>
      <c r="I637" s="8">
        <v>1170.1099999999999</v>
      </c>
      <c r="J637" s="8">
        <v>1204.55</v>
      </c>
      <c r="K637" s="8">
        <v>1179.8599999999999</v>
      </c>
      <c r="L637" s="8">
        <v>1122.81</v>
      </c>
      <c r="M637" s="50"/>
      <c r="N637" s="50"/>
      <c r="O637" s="50"/>
      <c r="P637" s="50"/>
      <c r="Q637" s="48"/>
      <c r="R637" s="48"/>
      <c r="S637" s="48"/>
      <c r="T637" s="48"/>
      <c r="U637" s="48"/>
      <c r="V637" s="47"/>
      <c r="W637" s="46"/>
      <c r="X637" s="8"/>
    </row>
    <row r="638" spans="1:30" ht="24.8" customHeight="1" thickBot="1" x14ac:dyDescent="0.4">
      <c r="A638" s="206"/>
      <c r="B638" s="61"/>
      <c r="C638" s="51" t="s">
        <v>156</v>
      </c>
      <c r="D638" s="24">
        <f t="shared" ref="D638:L638" si="207">IF(((D636="")*AND(D637="")),"",(D636-D637)*4)</f>
        <v>2981.04</v>
      </c>
      <c r="E638" s="24">
        <f t="shared" si="207"/>
        <v>2825.6399999999994</v>
      </c>
      <c r="F638" s="24">
        <f t="shared" si="207"/>
        <v>2761.5599999999995</v>
      </c>
      <c r="G638" s="24">
        <f t="shared" si="207"/>
        <v>2845.3200000000006</v>
      </c>
      <c r="H638" s="24">
        <f t="shared" si="207"/>
        <v>3087.3199999999997</v>
      </c>
      <c r="I638" s="24">
        <f t="shared" si="207"/>
        <v>2964.5200000000004</v>
      </c>
      <c r="J638" s="24">
        <f t="shared" si="207"/>
        <v>2785.5600000000004</v>
      </c>
      <c r="K638" s="24">
        <f t="shared" si="207"/>
        <v>2894.1600000000008</v>
      </c>
      <c r="L638" s="24">
        <f t="shared" si="207"/>
        <v>3133.04</v>
      </c>
      <c r="M638" s="24"/>
      <c r="N638" s="24"/>
      <c r="O638" s="24"/>
      <c r="P638" s="24" t="str">
        <f>IF(((P636="")*AND(P637="")),"",(P636-P637)*4)</f>
        <v/>
      </c>
      <c r="Q638" s="61"/>
      <c r="R638" s="61"/>
      <c r="S638" s="61"/>
      <c r="T638" s="61"/>
      <c r="U638" s="61"/>
      <c r="V638" s="60"/>
      <c r="W638" s="59"/>
      <c r="X638" s="8"/>
    </row>
    <row r="639" spans="1:30" x14ac:dyDescent="0.25">
      <c r="A639" s="202">
        <v>43271</v>
      </c>
      <c r="B639" s="57" t="s">
        <v>159</v>
      </c>
      <c r="C639" s="51" t="s">
        <v>158</v>
      </c>
      <c r="D639" s="8">
        <v>3517.04</v>
      </c>
      <c r="E639" s="8">
        <v>3479.14</v>
      </c>
      <c r="F639" s="8">
        <v>3507.05</v>
      </c>
      <c r="G639" s="8">
        <v>3493.5</v>
      </c>
      <c r="H639" s="8">
        <v>3574.53</v>
      </c>
      <c r="I639" s="8">
        <v>3526.49</v>
      </c>
      <c r="J639" s="8">
        <v>3530.12</v>
      </c>
      <c r="K639" s="8">
        <v>3498.5</v>
      </c>
      <c r="L639" s="8">
        <v>3511.89</v>
      </c>
      <c r="M639" s="50"/>
      <c r="N639" s="50"/>
      <c r="O639" s="50"/>
      <c r="P639" s="50"/>
      <c r="Q639" s="57">
        <f>IF((L640=""),"",MAX(D641:L641))</f>
        <v>3495.8999999999996</v>
      </c>
      <c r="R639" s="57">
        <f>IF(L640="","",MIN(D641:L641))</f>
        <v>3389.26</v>
      </c>
      <c r="S639" s="58">
        <f>IF((L641=""),"",AVERAGE(D641:L641))</f>
        <v>3460.3911111111106</v>
      </c>
      <c r="T639" s="57">
        <f>IF((L640=""),"",((Q639-R639)/(Q639+R639))*100)</f>
        <v>1.5488383712215752</v>
      </c>
      <c r="U639" s="56">
        <f>STDEV(D639:L639)</f>
        <v>27.387840266155479</v>
      </c>
      <c r="V639" s="55" t="str">
        <f>IF(L640="","",(IF(T639&lt;7,IF(S639&gt;2800,IF(S639&lt;3800,"Pass","Fail"),"Fail"),"Fail")))</f>
        <v>Pass</v>
      </c>
      <c r="W639" s="54">
        <v>1159</v>
      </c>
      <c r="X639" s="26" t="s">
        <v>172</v>
      </c>
      <c r="Z639" s="53">
        <v>2800</v>
      </c>
      <c r="AA639" s="53">
        <v>3800</v>
      </c>
      <c r="AB639" s="53">
        <v>3100</v>
      </c>
      <c r="AC639" s="53">
        <v>3760</v>
      </c>
      <c r="AD639" s="52">
        <v>6</v>
      </c>
    </row>
    <row r="640" spans="1:30" ht="16.5" customHeight="1" x14ac:dyDescent="0.35">
      <c r="A640" s="206"/>
      <c r="B640" s="48"/>
      <c r="C640" s="51" t="s">
        <v>157</v>
      </c>
      <c r="D640" s="8">
        <v>1786.32</v>
      </c>
      <c r="E640" s="8">
        <v>1731.19</v>
      </c>
      <c r="F640" s="8">
        <v>1764.83</v>
      </c>
      <c r="G640" s="8">
        <v>1760.06</v>
      </c>
      <c r="H640" s="8">
        <v>1879.9</v>
      </c>
      <c r="I640" s="8">
        <v>1798.21</v>
      </c>
      <c r="J640" s="8">
        <v>1794.01</v>
      </c>
      <c r="K640" s="8">
        <v>1757.64</v>
      </c>
      <c r="L640" s="8">
        <v>1794.34</v>
      </c>
      <c r="M640" s="50"/>
      <c r="N640" s="50"/>
      <c r="O640" s="50"/>
      <c r="P640" s="50"/>
      <c r="Q640" s="48"/>
      <c r="R640" s="48"/>
      <c r="S640" s="49"/>
      <c r="T640" s="48"/>
      <c r="U640" s="48"/>
      <c r="V640" s="47"/>
      <c r="W640" s="46"/>
      <c r="X640" s="8"/>
    </row>
    <row r="641" spans="1:30" ht="24.8" customHeight="1" thickBot="1" x14ac:dyDescent="0.4">
      <c r="A641" s="206"/>
      <c r="B641" s="42"/>
      <c r="C641" s="45" t="s">
        <v>156</v>
      </c>
      <c r="D641" s="44">
        <f t="shared" ref="D641:L641" si="208">IF(((D639="")*AND(D640="")),"",(D639-D640)*2)</f>
        <v>3461.44</v>
      </c>
      <c r="E641" s="44">
        <f t="shared" si="208"/>
        <v>3495.8999999999996</v>
      </c>
      <c r="F641" s="44">
        <f t="shared" si="208"/>
        <v>3484.4400000000005</v>
      </c>
      <c r="G641" s="44">
        <f t="shared" si="208"/>
        <v>3466.88</v>
      </c>
      <c r="H641" s="44">
        <f t="shared" si="208"/>
        <v>3389.26</v>
      </c>
      <c r="I641" s="44">
        <f t="shared" si="208"/>
        <v>3456.5599999999995</v>
      </c>
      <c r="J641" s="44">
        <f t="shared" si="208"/>
        <v>3472.22</v>
      </c>
      <c r="K641" s="44">
        <f t="shared" si="208"/>
        <v>3481.72</v>
      </c>
      <c r="L641" s="44">
        <f t="shared" si="208"/>
        <v>3435.1</v>
      </c>
      <c r="M641" s="44"/>
      <c r="N641" s="44"/>
      <c r="O641" s="44"/>
      <c r="P641" s="44"/>
      <c r="Q641" s="42"/>
      <c r="R641" s="42"/>
      <c r="S641" s="43"/>
      <c r="T641" s="42"/>
      <c r="U641" s="42"/>
      <c r="V641" s="41"/>
      <c r="W641" s="40"/>
      <c r="X641" s="8"/>
    </row>
    <row r="642" spans="1:30" x14ac:dyDescent="0.25">
      <c r="A642" s="202">
        <v>43285</v>
      </c>
      <c r="B642" s="63" t="s">
        <v>160</v>
      </c>
      <c r="C642" s="56" t="s">
        <v>158</v>
      </c>
      <c r="D642" s="8">
        <v>1112</v>
      </c>
      <c r="E642" s="8">
        <v>1192</v>
      </c>
      <c r="F642" s="8">
        <v>1213</v>
      </c>
      <c r="G642" s="8">
        <v>1211</v>
      </c>
      <c r="H642" s="8">
        <v>1138</v>
      </c>
      <c r="I642" s="8">
        <v>1139</v>
      </c>
      <c r="J642" s="8">
        <v>1205</v>
      </c>
      <c r="K642" s="8">
        <v>1195</v>
      </c>
      <c r="L642" s="8">
        <v>1112</v>
      </c>
      <c r="M642" s="62"/>
      <c r="N642" s="62"/>
      <c r="O642" s="62"/>
      <c r="P642" s="62"/>
      <c r="Q642" s="63">
        <f>IF((L643=""),"",MAX(D644:L644))</f>
        <v>3092</v>
      </c>
      <c r="R642" s="63">
        <f>IF(L643="","",MIN(D644:L644))</f>
        <v>2720</v>
      </c>
      <c r="S642" s="63">
        <f>IF((L644=""),"",AVERAGE(D644:L644))</f>
        <v>2870.6666666666665</v>
      </c>
      <c r="T642" s="63">
        <f>IF((L643=""),"",((Q642-R642)/(Q642+R642))*100)</f>
        <v>6.4005505849965587</v>
      </c>
      <c r="U642" s="51">
        <f>STDEV(D642:L642)</f>
        <v>42.658853451279931</v>
      </c>
      <c r="V642" s="64" t="str">
        <f>IF(L643="","",(IF(T642&lt;12,IF(S642&gt;2200,IF(S642&lt;3280,"Pass","Fail"),"Fail"),"Fail")))</f>
        <v>Pass</v>
      </c>
      <c r="W642" s="67">
        <v>1159</v>
      </c>
      <c r="X642" s="26" t="s">
        <v>171</v>
      </c>
      <c r="Z642" s="37">
        <v>2000</v>
      </c>
      <c r="AA642" s="37">
        <v>3000</v>
      </c>
      <c r="AB642" s="37">
        <v>2200</v>
      </c>
      <c r="AC642" s="37">
        <v>3280</v>
      </c>
      <c r="AD642" s="39">
        <v>12</v>
      </c>
    </row>
    <row r="643" spans="1:30" ht="16.5" customHeight="1" x14ac:dyDescent="0.35">
      <c r="A643" s="206"/>
      <c r="B643" s="48"/>
      <c r="C643" s="51" t="s">
        <v>157</v>
      </c>
      <c r="D643" s="8">
        <v>415</v>
      </c>
      <c r="E643" s="8">
        <v>497</v>
      </c>
      <c r="F643" s="8">
        <v>533</v>
      </c>
      <c r="G643" s="8">
        <v>493</v>
      </c>
      <c r="H643" s="8">
        <v>369</v>
      </c>
      <c r="I643" s="8">
        <v>422</v>
      </c>
      <c r="J643" s="8">
        <v>516</v>
      </c>
      <c r="K643" s="8">
        <v>474</v>
      </c>
      <c r="L643" s="8">
        <v>339</v>
      </c>
      <c r="M643" s="50"/>
      <c r="N643" s="50"/>
      <c r="O643" s="50"/>
      <c r="P643" s="50"/>
      <c r="Q643" s="48"/>
      <c r="R643" s="48"/>
      <c r="S643" s="48"/>
      <c r="T643" s="48"/>
      <c r="U643" s="48"/>
      <c r="V643" s="47"/>
      <c r="W643" s="46"/>
      <c r="X643" s="8"/>
    </row>
    <row r="644" spans="1:30" ht="24.8" customHeight="1" thickBot="1" x14ac:dyDescent="0.4">
      <c r="A644" s="206"/>
      <c r="B644" s="61"/>
      <c r="C644" s="51" t="s">
        <v>156</v>
      </c>
      <c r="D644" s="24">
        <f t="shared" ref="D644:L644" si="209">IF(((D642="")*AND(D643="")),"",(D642-D643)*4)</f>
        <v>2788</v>
      </c>
      <c r="E644" s="24">
        <f t="shared" si="209"/>
        <v>2780</v>
      </c>
      <c r="F644" s="24">
        <f t="shared" si="209"/>
        <v>2720</v>
      </c>
      <c r="G644" s="24">
        <f t="shared" si="209"/>
        <v>2872</v>
      </c>
      <c r="H644" s="24">
        <f t="shared" si="209"/>
        <v>3076</v>
      </c>
      <c r="I644" s="24">
        <f t="shared" si="209"/>
        <v>2868</v>
      </c>
      <c r="J644" s="24">
        <f t="shared" si="209"/>
        <v>2756</v>
      </c>
      <c r="K644" s="24">
        <f t="shared" si="209"/>
        <v>2884</v>
      </c>
      <c r="L644" s="24">
        <f t="shared" si="209"/>
        <v>3092</v>
      </c>
      <c r="M644" s="24"/>
      <c r="N644" s="24"/>
      <c r="O644" s="24"/>
      <c r="P644" s="24" t="str">
        <f>IF(((P642="")*AND(P643="")),"",(P642-P643)*4)</f>
        <v/>
      </c>
      <c r="Q644" s="61"/>
      <c r="R644" s="61"/>
      <c r="S644" s="61"/>
      <c r="T644" s="61"/>
      <c r="U644" s="61"/>
      <c r="V644" s="60"/>
      <c r="W644" s="59"/>
      <c r="X644" s="8"/>
    </row>
    <row r="645" spans="1:30" x14ac:dyDescent="0.25">
      <c r="A645" s="202">
        <v>43285</v>
      </c>
      <c r="B645" s="57" t="s">
        <v>159</v>
      </c>
      <c r="C645" s="51" t="s">
        <v>158</v>
      </c>
      <c r="D645" s="8">
        <v>6661</v>
      </c>
      <c r="E645" s="8">
        <v>6688</v>
      </c>
      <c r="F645" s="8">
        <v>6733</v>
      </c>
      <c r="G645" s="8">
        <v>6705</v>
      </c>
      <c r="H645" s="8">
        <v>6697</v>
      </c>
      <c r="I645" s="8">
        <v>6650</v>
      </c>
      <c r="J645" s="8">
        <v>6723</v>
      </c>
      <c r="K645" s="8">
        <v>6724</v>
      </c>
      <c r="L645" s="8">
        <v>6762</v>
      </c>
      <c r="M645" s="50"/>
      <c r="N645" s="50"/>
      <c r="O645" s="50"/>
      <c r="P645" s="50"/>
      <c r="Q645" s="57">
        <f>IF((L646=""),"",MAX(D647:L647))</f>
        <v>3512</v>
      </c>
      <c r="R645" s="57">
        <f>IF(L646="","",MIN(D647:L647))</f>
        <v>3456</v>
      </c>
      <c r="S645" s="58">
        <f>IF((L647=""),"",AVERAGE(D647:L647))</f>
        <v>3491.3333333333335</v>
      </c>
      <c r="T645" s="57">
        <f>IF((L646=""),"",((Q645-R645)/(Q645+R645))*100)</f>
        <v>0.80367393800229625</v>
      </c>
      <c r="U645" s="56">
        <f>STDEV(D645:L645)</f>
        <v>35.411077990431814</v>
      </c>
      <c r="V645" s="55" t="str">
        <f>IF(L646="","",(IF(T645&lt;7,IF(S645&gt;2800,IF(S645&lt;3800,"Pass","Fail"),"Fail"),"Fail")))</f>
        <v>Pass</v>
      </c>
      <c r="W645" s="54">
        <v>1159</v>
      </c>
      <c r="X645" s="26" t="s">
        <v>171</v>
      </c>
      <c r="Z645" s="53">
        <v>2800</v>
      </c>
      <c r="AA645" s="53">
        <v>3800</v>
      </c>
      <c r="AB645" s="53">
        <v>3100</v>
      </c>
      <c r="AC645" s="53">
        <v>3760</v>
      </c>
      <c r="AD645" s="52">
        <v>6</v>
      </c>
    </row>
    <row r="646" spans="1:30" ht="16.5" customHeight="1" x14ac:dyDescent="0.35">
      <c r="A646" s="206"/>
      <c r="B646" s="48"/>
      <c r="C646" s="51" t="s">
        <v>157</v>
      </c>
      <c r="D646" s="8">
        <v>4912</v>
      </c>
      <c r="E646" s="8">
        <v>4936</v>
      </c>
      <c r="F646" s="8">
        <v>4986</v>
      </c>
      <c r="G646" s="8">
        <v>4962</v>
      </c>
      <c r="H646" s="8">
        <v>4969</v>
      </c>
      <c r="I646" s="8">
        <v>4894</v>
      </c>
      <c r="J646" s="8">
        <v>4974</v>
      </c>
      <c r="K646" s="8">
        <v>4979</v>
      </c>
      <c r="L646" s="8">
        <v>5020</v>
      </c>
      <c r="M646" s="50"/>
      <c r="N646" s="50"/>
      <c r="O646" s="50"/>
      <c r="P646" s="50"/>
      <c r="Q646" s="48"/>
      <c r="R646" s="48"/>
      <c r="S646" s="49"/>
      <c r="T646" s="48"/>
      <c r="U646" s="48"/>
      <c r="V646" s="47"/>
      <c r="W646" s="46"/>
      <c r="X646" s="8"/>
    </row>
    <row r="647" spans="1:30" ht="24.8" customHeight="1" thickBot="1" x14ac:dyDescent="0.4">
      <c r="A647" s="206"/>
      <c r="B647" s="42"/>
      <c r="C647" s="45" t="s">
        <v>156</v>
      </c>
      <c r="D647" s="44">
        <f t="shared" ref="D647:L647" si="210">IF(((D645="")*AND(D646="")),"",(D645-D646)*2)</f>
        <v>3498</v>
      </c>
      <c r="E647" s="44">
        <f t="shared" si="210"/>
        <v>3504</v>
      </c>
      <c r="F647" s="44">
        <f t="shared" si="210"/>
        <v>3494</v>
      </c>
      <c r="G647" s="44">
        <f t="shared" si="210"/>
        <v>3486</v>
      </c>
      <c r="H647" s="44">
        <f t="shared" si="210"/>
        <v>3456</v>
      </c>
      <c r="I647" s="44">
        <f t="shared" si="210"/>
        <v>3512</v>
      </c>
      <c r="J647" s="44">
        <f t="shared" si="210"/>
        <v>3498</v>
      </c>
      <c r="K647" s="44">
        <f t="shared" si="210"/>
        <v>3490</v>
      </c>
      <c r="L647" s="44">
        <f t="shared" si="210"/>
        <v>3484</v>
      </c>
      <c r="M647" s="44"/>
      <c r="N647" s="44"/>
      <c r="O647" s="44"/>
      <c r="P647" s="44"/>
      <c r="Q647" s="42"/>
      <c r="R647" s="42"/>
      <c r="S647" s="43"/>
      <c r="T647" s="42"/>
      <c r="U647" s="42"/>
      <c r="V647" s="41"/>
      <c r="W647" s="40"/>
      <c r="X647" s="8"/>
    </row>
    <row r="648" spans="1:30" x14ac:dyDescent="0.25">
      <c r="A648" s="202">
        <v>43294</v>
      </c>
      <c r="B648" s="63" t="s">
        <v>160</v>
      </c>
      <c r="C648" s="56" t="s">
        <v>158</v>
      </c>
      <c r="D648" s="8">
        <v>1140.98</v>
      </c>
      <c r="E648" s="8">
        <v>1194.58</v>
      </c>
      <c r="F648" s="8">
        <v>1227.71</v>
      </c>
      <c r="G648" s="8">
        <v>1220.53</v>
      </c>
      <c r="H648" s="8">
        <v>1187.26</v>
      </c>
      <c r="I648" s="8">
        <v>1178.8900000000001</v>
      </c>
      <c r="J648" s="8">
        <v>1209.6500000000001</v>
      </c>
      <c r="K648" s="8">
        <v>1208.3399999999999</v>
      </c>
      <c r="L648" s="8">
        <v>1163.21</v>
      </c>
      <c r="M648" s="62"/>
      <c r="N648" s="62"/>
      <c r="O648" s="62"/>
      <c r="P648" s="62"/>
      <c r="Q648" s="63">
        <f>IF((L649=""),"",MAX(D650:L650))</f>
        <v>3248.2</v>
      </c>
      <c r="R648" s="63">
        <f>IF(L649="","",MIN(D650:L650))</f>
        <v>2749.7200000000003</v>
      </c>
      <c r="S648" s="63">
        <f>IF((L650=""),"",AVERAGE(D650:L650))</f>
        <v>2931.2577777777783</v>
      </c>
      <c r="T648" s="63">
        <f>IF((L649=""),"",((Q648-R648)/(Q648+R648))*100)</f>
        <v>8.3108811054498819</v>
      </c>
      <c r="U648" s="51">
        <f>STDEV(D648:L648)</f>
        <v>28.061274917579908</v>
      </c>
      <c r="V648" s="64" t="str">
        <f>IF(L649="","",(IF(T648&lt;12,IF(S648&gt;2200,IF(S648&lt;3280,"Pass","Fail"),"Fail"),"Fail")))</f>
        <v>Pass</v>
      </c>
      <c r="W648" s="67">
        <v>1335</v>
      </c>
      <c r="Z648" s="37">
        <v>2000</v>
      </c>
      <c r="AA648" s="37">
        <v>3000</v>
      </c>
      <c r="AB648" s="37">
        <v>2200</v>
      </c>
      <c r="AC648" s="37">
        <v>3280</v>
      </c>
      <c r="AD648" s="39">
        <v>12</v>
      </c>
    </row>
    <row r="649" spans="1:30" ht="16.5" customHeight="1" x14ac:dyDescent="0.35">
      <c r="A649" s="206"/>
      <c r="B649" s="48"/>
      <c r="C649" s="51" t="s">
        <v>157</v>
      </c>
      <c r="D649" s="8">
        <v>424.23</v>
      </c>
      <c r="E649" s="8">
        <v>503.05</v>
      </c>
      <c r="F649" s="8">
        <v>536.84</v>
      </c>
      <c r="G649" s="8">
        <v>498.28</v>
      </c>
      <c r="H649" s="8">
        <v>390.12</v>
      </c>
      <c r="I649" s="8">
        <v>434.21</v>
      </c>
      <c r="J649" s="8">
        <v>522.22</v>
      </c>
      <c r="K649" s="8">
        <v>475.71</v>
      </c>
      <c r="L649" s="8">
        <v>351.16</v>
      </c>
      <c r="M649" s="50"/>
      <c r="N649" s="50"/>
      <c r="O649" s="50"/>
      <c r="P649" s="50"/>
      <c r="Q649" s="48"/>
      <c r="R649" s="48"/>
      <c r="S649" s="48"/>
      <c r="T649" s="48"/>
      <c r="U649" s="48"/>
      <c r="V649" s="47"/>
      <c r="W649" s="46"/>
      <c r="X649" s="8"/>
    </row>
    <row r="650" spans="1:30" ht="24.8" customHeight="1" thickBot="1" x14ac:dyDescent="0.4">
      <c r="A650" s="206"/>
      <c r="B650" s="61"/>
      <c r="C650" s="51" t="s">
        <v>156</v>
      </c>
      <c r="D650" s="24">
        <f t="shared" ref="D650:L650" si="211">IF(((D648="")*AND(D649="")),"",(D648-D649)*4)</f>
        <v>2867</v>
      </c>
      <c r="E650" s="24">
        <f t="shared" si="211"/>
        <v>2766.12</v>
      </c>
      <c r="F650" s="24">
        <f t="shared" si="211"/>
        <v>2763.48</v>
      </c>
      <c r="G650" s="24">
        <f t="shared" si="211"/>
        <v>2889</v>
      </c>
      <c r="H650" s="24">
        <f t="shared" si="211"/>
        <v>3188.56</v>
      </c>
      <c r="I650" s="24">
        <f t="shared" si="211"/>
        <v>2978.7200000000003</v>
      </c>
      <c r="J650" s="24">
        <f t="shared" si="211"/>
        <v>2749.7200000000003</v>
      </c>
      <c r="K650" s="24">
        <f t="shared" si="211"/>
        <v>2930.5199999999995</v>
      </c>
      <c r="L650" s="24">
        <f t="shared" si="211"/>
        <v>3248.2</v>
      </c>
      <c r="M650" s="24"/>
      <c r="N650" s="24"/>
      <c r="O650" s="24"/>
      <c r="P650" s="24" t="str">
        <f>IF(((P648="")*AND(P649="")),"",(P648-P649)*4)</f>
        <v/>
      </c>
      <c r="Q650" s="61"/>
      <c r="R650" s="61"/>
      <c r="S650" s="61"/>
      <c r="T650" s="61"/>
      <c r="U650" s="61"/>
      <c r="V650" s="60"/>
      <c r="W650" s="59"/>
      <c r="X650" s="8"/>
    </row>
    <row r="651" spans="1:30" x14ac:dyDescent="0.25">
      <c r="A651" s="202">
        <v>43294</v>
      </c>
      <c r="B651" s="57" t="s">
        <v>159</v>
      </c>
      <c r="C651" s="51" t="s">
        <v>158</v>
      </c>
      <c r="D651" s="8">
        <v>4933.4799999999996</v>
      </c>
      <c r="E651" s="8">
        <v>4957.4799999999996</v>
      </c>
      <c r="F651" s="8">
        <v>5005.17</v>
      </c>
      <c r="G651" s="8">
        <v>4980.42</v>
      </c>
      <c r="H651" s="8">
        <v>4987.51</v>
      </c>
      <c r="I651" s="8">
        <v>4912.4399999999996</v>
      </c>
      <c r="J651" s="8">
        <v>4993.3500000000004</v>
      </c>
      <c r="K651" s="8">
        <v>4998.3900000000003</v>
      </c>
      <c r="L651" s="8">
        <v>5038.75</v>
      </c>
      <c r="M651" s="50"/>
      <c r="N651" s="50"/>
      <c r="O651" s="50"/>
      <c r="P651" s="50"/>
      <c r="Q651" s="57">
        <f>IF((L652=""),"",MAX(D653:L653))</f>
        <v>3252.8199999999988</v>
      </c>
      <c r="R651" s="57">
        <f>IF(L652="","",MIN(D653:L653))</f>
        <v>3167.5600000000004</v>
      </c>
      <c r="S651" s="58">
        <f>IF((L653=""),"",AVERAGE(D653:L653))</f>
        <v>3215.8911111111106</v>
      </c>
      <c r="T651" s="57">
        <f>IF((L652=""),"",((Q651-R651)/(Q651+R651))*100)</f>
        <v>1.3279587812559133</v>
      </c>
      <c r="U651" s="56">
        <f>STDEV(D651:L651)</f>
        <v>38.527409435073558</v>
      </c>
      <c r="V651" s="55" t="str">
        <f>IF(L652="","",(IF(T651&lt;7,IF(S651&gt;2800,IF(S651&lt;3800,"Pass","Fail"),"Fail"),"Fail")))</f>
        <v>Pass</v>
      </c>
      <c r="W651" s="54">
        <v>1335</v>
      </c>
      <c r="Z651" s="53">
        <v>2800</v>
      </c>
      <c r="AA651" s="53">
        <v>3800</v>
      </c>
      <c r="AB651" s="53">
        <v>3100</v>
      </c>
      <c r="AC651" s="53">
        <v>3760</v>
      </c>
      <c r="AD651" s="52">
        <v>6</v>
      </c>
    </row>
    <row r="652" spans="1:30" ht="16.5" customHeight="1" x14ac:dyDescent="0.35">
      <c r="A652" s="206"/>
      <c r="B652" s="48"/>
      <c r="C652" s="51" t="s">
        <v>157</v>
      </c>
      <c r="D652" s="8">
        <v>3337.04</v>
      </c>
      <c r="E652" s="8">
        <v>3331.07</v>
      </c>
      <c r="F652" s="8">
        <v>3380.52</v>
      </c>
      <c r="G652" s="8">
        <v>3360.9</v>
      </c>
      <c r="H652" s="8">
        <v>3403.73</v>
      </c>
      <c r="I652" s="8">
        <v>3326.95</v>
      </c>
      <c r="J652" s="8">
        <v>3378.04</v>
      </c>
      <c r="K652" s="8">
        <v>3373.22</v>
      </c>
      <c r="L652" s="8">
        <v>3444.01</v>
      </c>
      <c r="M652" s="50"/>
      <c r="N652" s="50"/>
      <c r="O652" s="50"/>
      <c r="P652" s="50"/>
      <c r="Q652" s="48"/>
      <c r="R652" s="48"/>
      <c r="S652" s="49"/>
      <c r="T652" s="48"/>
      <c r="U652" s="48"/>
      <c r="V652" s="47"/>
      <c r="W652" s="46"/>
      <c r="X652" s="8"/>
    </row>
    <row r="653" spans="1:30" ht="24.8" customHeight="1" thickBot="1" x14ac:dyDescent="0.4">
      <c r="A653" s="206"/>
      <c r="B653" s="42"/>
      <c r="C653" s="45" t="s">
        <v>156</v>
      </c>
      <c r="D653" s="44">
        <f t="shared" ref="D653:L653" si="212">IF(((D651="")*AND(D652="")),"",(D651-D652)*2)</f>
        <v>3192.8799999999992</v>
      </c>
      <c r="E653" s="44">
        <f t="shared" si="212"/>
        <v>3252.8199999999988</v>
      </c>
      <c r="F653" s="44">
        <f t="shared" si="212"/>
        <v>3249.3</v>
      </c>
      <c r="G653" s="44">
        <f t="shared" si="212"/>
        <v>3239.04</v>
      </c>
      <c r="H653" s="44">
        <f t="shared" si="212"/>
        <v>3167.5600000000004</v>
      </c>
      <c r="I653" s="44">
        <f t="shared" si="212"/>
        <v>3170.9799999999996</v>
      </c>
      <c r="J653" s="44">
        <f t="shared" si="212"/>
        <v>3230.6200000000008</v>
      </c>
      <c r="K653" s="44">
        <f t="shared" si="212"/>
        <v>3250.3400000000011</v>
      </c>
      <c r="L653" s="44">
        <f t="shared" si="212"/>
        <v>3189.4799999999996</v>
      </c>
      <c r="M653" s="44"/>
      <c r="N653" s="44"/>
      <c r="O653" s="44"/>
      <c r="P653" s="44"/>
      <c r="Q653" s="42"/>
      <c r="R653" s="42"/>
      <c r="S653" s="43"/>
      <c r="T653" s="42"/>
      <c r="U653" s="42"/>
      <c r="V653" s="41"/>
      <c r="W653" s="40"/>
      <c r="X653" s="8"/>
    </row>
    <row r="654" spans="1:30" x14ac:dyDescent="0.25">
      <c r="A654" s="202">
        <v>43296</v>
      </c>
      <c r="B654" s="63" t="s">
        <v>160</v>
      </c>
      <c r="C654" s="56" t="s">
        <v>158</v>
      </c>
      <c r="D654" s="8">
        <v>1149.3399999999999</v>
      </c>
      <c r="E654" s="8">
        <v>1205.7</v>
      </c>
      <c r="F654" s="8">
        <v>1232.25</v>
      </c>
      <c r="G654" s="8">
        <v>1226.05</v>
      </c>
      <c r="H654" s="8">
        <v>1184.94</v>
      </c>
      <c r="I654" s="8">
        <v>1187.25</v>
      </c>
      <c r="J654" s="8">
        <v>1223.8599999999999</v>
      </c>
      <c r="K654" s="8">
        <v>1213.28</v>
      </c>
      <c r="L654" s="8">
        <v>1152.23</v>
      </c>
      <c r="M654" s="62"/>
      <c r="N654" s="62"/>
      <c r="O654" s="62"/>
      <c r="P654" s="62"/>
      <c r="Q654" s="63">
        <f>IF((L655=""),"",MAX(D656:L656))</f>
        <v>3219.2400000000002</v>
      </c>
      <c r="R654" s="63">
        <f>IF(L655="","",MIN(D656:L656))</f>
        <v>2759.56</v>
      </c>
      <c r="S654" s="63">
        <f>IF((L656=""),"",AVERAGE(D656:L656))</f>
        <v>2944.9644444444439</v>
      </c>
      <c r="T654" s="63">
        <f>IF((L655=""),"",((Q654-R654)/(Q654+R654))*100)</f>
        <v>7.6884993644209585</v>
      </c>
      <c r="U654" s="51">
        <f>STDEV(D654:L654)</f>
        <v>30.952759345672412</v>
      </c>
      <c r="V654" s="64" t="str">
        <f>IF(L655="","",(IF(T654&lt;12,IF(S654&gt;2200,IF(S654&lt;3280,"Pass","Fail"),"Fail"),"Fail")))</f>
        <v>Pass</v>
      </c>
      <c r="W654" s="67">
        <v>74</v>
      </c>
      <c r="X654" s="256"/>
      <c r="Y654" s="66" t="s">
        <v>147</v>
      </c>
      <c r="Z654" s="37">
        <v>2000</v>
      </c>
      <c r="AA654" s="37">
        <v>3000</v>
      </c>
      <c r="AB654" s="37">
        <v>2200</v>
      </c>
      <c r="AC654" s="37">
        <v>3280</v>
      </c>
      <c r="AD654" s="39">
        <v>12</v>
      </c>
    </row>
    <row r="655" spans="1:30" ht="16.5" customHeight="1" x14ac:dyDescent="0.35">
      <c r="A655" s="206"/>
      <c r="B655" s="48"/>
      <c r="C655" s="51" t="s">
        <v>157</v>
      </c>
      <c r="D655" s="8">
        <v>423.4</v>
      </c>
      <c r="E655" s="8">
        <v>510.34</v>
      </c>
      <c r="F655" s="8">
        <v>542.36</v>
      </c>
      <c r="G655" s="8">
        <v>501.79</v>
      </c>
      <c r="H655" s="8">
        <v>380.13</v>
      </c>
      <c r="I655" s="8">
        <v>427.12</v>
      </c>
      <c r="J655" s="8">
        <v>524.66999999999996</v>
      </c>
      <c r="K655" s="8">
        <v>482.06</v>
      </c>
      <c r="L655" s="8">
        <v>356.86</v>
      </c>
      <c r="M655" s="50"/>
      <c r="N655" s="50"/>
      <c r="O655" s="50"/>
      <c r="P655" s="50"/>
      <c r="Q655" s="48"/>
      <c r="R655" s="48"/>
      <c r="S655" s="48"/>
      <c r="T655" s="48"/>
      <c r="U655" s="48"/>
      <c r="V655" s="47"/>
      <c r="W655" s="46"/>
      <c r="X655" s="8"/>
      <c r="Y655" s="8"/>
    </row>
    <row r="656" spans="1:30" ht="24.8" customHeight="1" thickBot="1" x14ac:dyDescent="0.4">
      <c r="A656" s="206"/>
      <c r="B656" s="61"/>
      <c r="C656" s="51" t="s">
        <v>156</v>
      </c>
      <c r="D656" s="24">
        <f t="shared" ref="D656:L656" si="213">IF(((D654="")*AND(D655="")),"",(D654-D655)*4)</f>
        <v>2903.7599999999998</v>
      </c>
      <c r="E656" s="24">
        <f t="shared" si="213"/>
        <v>2781.4400000000005</v>
      </c>
      <c r="F656" s="24">
        <f t="shared" si="213"/>
        <v>2759.56</v>
      </c>
      <c r="G656" s="24">
        <f t="shared" si="213"/>
        <v>2897.04</v>
      </c>
      <c r="H656" s="24">
        <f t="shared" si="213"/>
        <v>3219.2400000000002</v>
      </c>
      <c r="I656" s="24">
        <f t="shared" si="213"/>
        <v>3040.52</v>
      </c>
      <c r="J656" s="24">
        <f t="shared" si="213"/>
        <v>2796.7599999999998</v>
      </c>
      <c r="K656" s="24">
        <f t="shared" si="213"/>
        <v>2924.88</v>
      </c>
      <c r="L656" s="24">
        <f t="shared" si="213"/>
        <v>3181.48</v>
      </c>
      <c r="M656" s="24"/>
      <c r="N656" s="24"/>
      <c r="O656" s="24"/>
      <c r="P656" s="24" t="str">
        <f>IF(((P654="")*AND(P655="")),"",(P654-P655)*4)</f>
        <v/>
      </c>
      <c r="Q656" s="61"/>
      <c r="R656" s="61"/>
      <c r="S656" s="61"/>
      <c r="T656" s="61"/>
      <c r="U656" s="61"/>
      <c r="V656" s="60"/>
      <c r="W656" s="59"/>
      <c r="X656" s="8"/>
      <c r="Y656" s="8"/>
    </row>
    <row r="657" spans="1:30" x14ac:dyDescent="0.25">
      <c r="A657" s="202">
        <v>43296</v>
      </c>
      <c r="B657" s="57" t="s">
        <v>159</v>
      </c>
      <c r="C657" s="51" t="s">
        <v>158</v>
      </c>
      <c r="D657" s="8">
        <v>6808.86</v>
      </c>
      <c r="E657" s="8">
        <v>6799.41</v>
      </c>
      <c r="F657" s="8">
        <v>6844.25</v>
      </c>
      <c r="G657" s="8">
        <v>6810.53</v>
      </c>
      <c r="H657" s="8">
        <v>6862.47</v>
      </c>
      <c r="I657" s="8">
        <v>6826.03</v>
      </c>
      <c r="J657" s="8">
        <v>6834.5</v>
      </c>
      <c r="K657" s="8">
        <v>6837.46</v>
      </c>
      <c r="L657" s="8">
        <v>6923.26</v>
      </c>
      <c r="M657" s="50"/>
      <c r="N657" s="50"/>
      <c r="O657" s="50"/>
      <c r="P657" s="50"/>
      <c r="Q657" s="57">
        <f>IF((L658=""),"",MAX(D659:L659))</f>
        <v>3333</v>
      </c>
      <c r="R657" s="57">
        <f>IF(L658="","",MIN(D659:L659))</f>
        <v>3257.1000000000004</v>
      </c>
      <c r="S657" s="58">
        <f>IF((L659=""),"",AVERAGE(D659:L659))</f>
        <v>3300.0244444444438</v>
      </c>
      <c r="T657" s="57">
        <f>IF((L658=""),"",((Q657-R657)/(Q657+R657))*100)</f>
        <v>1.151727591387075</v>
      </c>
      <c r="U657" s="56">
        <f>STDEV(D657:L657)</f>
        <v>37.338542419328753</v>
      </c>
      <c r="V657" s="55" t="str">
        <f>IF(L658="","",(IF(T657&lt;7,IF(S657&gt;2800,IF(S657&lt;3800,"Pass","Fail"),"Fail"),"Fail")))</f>
        <v>Pass</v>
      </c>
      <c r="W657" s="54">
        <v>74</v>
      </c>
      <c r="X657" s="256"/>
      <c r="Y657" s="66" t="s">
        <v>147</v>
      </c>
      <c r="Z657" s="53">
        <v>2800</v>
      </c>
      <c r="AA657" s="53">
        <v>3800</v>
      </c>
      <c r="AB657" s="53">
        <v>3100</v>
      </c>
      <c r="AC657" s="53">
        <v>3760</v>
      </c>
      <c r="AD657" s="52">
        <v>6</v>
      </c>
    </row>
    <row r="658" spans="1:30" ht="16.5" customHeight="1" x14ac:dyDescent="0.35">
      <c r="A658" s="206"/>
      <c r="B658" s="48"/>
      <c r="C658" s="51" t="s">
        <v>157</v>
      </c>
      <c r="D658" s="8">
        <v>5163.42</v>
      </c>
      <c r="E658" s="8">
        <v>5133.54</v>
      </c>
      <c r="F658" s="8">
        <v>5177.75</v>
      </c>
      <c r="G658" s="8">
        <v>5149.82</v>
      </c>
      <c r="H658" s="8">
        <v>5232.37</v>
      </c>
      <c r="I658" s="8">
        <v>5197.4799999999996</v>
      </c>
      <c r="J658" s="8">
        <v>5174.47</v>
      </c>
      <c r="K658" s="8">
        <v>5175.3</v>
      </c>
      <c r="L658" s="8">
        <v>5292.51</v>
      </c>
      <c r="M658" s="50"/>
      <c r="N658" s="50"/>
      <c r="O658" s="50"/>
      <c r="P658" s="50"/>
      <c r="Q658" s="48"/>
      <c r="R658" s="48"/>
      <c r="S658" s="49"/>
      <c r="T658" s="48"/>
      <c r="U658" s="48"/>
      <c r="V658" s="47"/>
      <c r="W658" s="46"/>
      <c r="X658" s="8"/>
    </row>
    <row r="659" spans="1:30" ht="24.8" customHeight="1" thickBot="1" x14ac:dyDescent="0.4">
      <c r="A659" s="206"/>
      <c r="B659" s="42"/>
      <c r="C659" s="45" t="s">
        <v>156</v>
      </c>
      <c r="D659" s="44">
        <f t="shared" ref="D659:L659" si="214">IF(((D657="")*AND(D658="")),"",(D657-D658)*2)</f>
        <v>3290.8799999999992</v>
      </c>
      <c r="E659" s="44">
        <f t="shared" si="214"/>
        <v>3331.74</v>
      </c>
      <c r="F659" s="44">
        <f t="shared" si="214"/>
        <v>3333</v>
      </c>
      <c r="G659" s="44">
        <f t="shared" si="214"/>
        <v>3321.42</v>
      </c>
      <c r="H659" s="44">
        <f t="shared" si="214"/>
        <v>3260.2000000000007</v>
      </c>
      <c r="I659" s="44">
        <f t="shared" si="214"/>
        <v>3257.1000000000004</v>
      </c>
      <c r="J659" s="44">
        <f t="shared" si="214"/>
        <v>3320.0599999999995</v>
      </c>
      <c r="K659" s="44">
        <f t="shared" si="214"/>
        <v>3324.3199999999997</v>
      </c>
      <c r="L659" s="44">
        <f t="shared" si="214"/>
        <v>3261.5</v>
      </c>
      <c r="M659" s="44"/>
      <c r="N659" s="44"/>
      <c r="O659" s="44"/>
      <c r="P659" s="44"/>
      <c r="Q659" s="42"/>
      <c r="R659" s="42"/>
      <c r="S659" s="43"/>
      <c r="T659" s="42"/>
      <c r="U659" s="42"/>
      <c r="V659" s="41"/>
      <c r="W659" s="40"/>
      <c r="X659" s="8"/>
    </row>
    <row r="660" spans="1:30" x14ac:dyDescent="0.25">
      <c r="A660" s="202">
        <v>43306</v>
      </c>
      <c r="B660" s="63" t="s">
        <v>160</v>
      </c>
      <c r="C660" s="56" t="s">
        <v>158</v>
      </c>
      <c r="D660" s="8">
        <v>1908</v>
      </c>
      <c r="E660" s="8">
        <v>1904</v>
      </c>
      <c r="F660" s="8">
        <v>1903</v>
      </c>
      <c r="G660" s="8">
        <v>1906</v>
      </c>
      <c r="H660" s="8">
        <v>1909</v>
      </c>
      <c r="I660" s="65">
        <v>1911</v>
      </c>
      <c r="J660" s="65">
        <v>1905</v>
      </c>
      <c r="K660" s="65">
        <v>1903</v>
      </c>
      <c r="L660" s="65">
        <v>1908</v>
      </c>
      <c r="M660" s="62"/>
      <c r="N660" s="62"/>
      <c r="O660" s="62"/>
      <c r="P660" s="62"/>
      <c r="Q660" s="57">
        <f>IF((L661=""),"",MAX(D662:L662))</f>
        <v>3092</v>
      </c>
      <c r="R660" s="57">
        <f>IF(L661="","",MIN(D662:L662))</f>
        <v>2704</v>
      </c>
      <c r="S660" s="58">
        <f>IF((L662=""),"",AVERAGE(D662:L662))</f>
        <v>2882.2222222222222</v>
      </c>
      <c r="T660" s="57">
        <f>IF((L661=""),"",((Q660-R660)/(Q660+R660))*100)</f>
        <v>6.6942719116632157</v>
      </c>
      <c r="U660" s="56">
        <f>STDEV(D660:L660)</f>
        <v>2.8284271247461903</v>
      </c>
      <c r="V660" s="55" t="str">
        <f>IF(L661="","",(IF(T660&lt;12,IF(S660&gt;2200,IF(S660&lt;3280,"Pass","Fail"),"Fail"),"Fail")))</f>
        <v>Pass</v>
      </c>
      <c r="W660" s="54">
        <v>121</v>
      </c>
      <c r="Z660" s="37">
        <v>2000</v>
      </c>
      <c r="AA660" s="37">
        <v>3000</v>
      </c>
      <c r="AB660" s="37">
        <v>2200</v>
      </c>
      <c r="AC660" s="37">
        <v>3280</v>
      </c>
      <c r="AD660" s="39">
        <v>12</v>
      </c>
    </row>
    <row r="661" spans="1:30" ht="16.5" customHeight="1" x14ac:dyDescent="0.35">
      <c r="A661" s="206"/>
      <c r="B661" s="48"/>
      <c r="C661" s="51" t="s">
        <v>157</v>
      </c>
      <c r="D661" s="8">
        <v>1168</v>
      </c>
      <c r="E661" s="8">
        <v>1205</v>
      </c>
      <c r="F661" s="8">
        <v>1227</v>
      </c>
      <c r="G661" s="8">
        <v>1202</v>
      </c>
      <c r="H661" s="8">
        <v>1154</v>
      </c>
      <c r="I661" s="8">
        <v>1176</v>
      </c>
      <c r="J661" s="8">
        <v>1214</v>
      </c>
      <c r="K661" s="8">
        <v>1191</v>
      </c>
      <c r="L661" s="8">
        <v>1135</v>
      </c>
      <c r="M661" s="50"/>
      <c r="N661" s="50"/>
      <c r="O661" s="50"/>
      <c r="P661" s="50"/>
      <c r="Q661" s="48"/>
      <c r="R661" s="48"/>
      <c r="S661" s="48"/>
      <c r="T661" s="48"/>
      <c r="U661" s="48"/>
      <c r="V661" s="47"/>
      <c r="W661" s="46"/>
      <c r="X661" s="8"/>
    </row>
    <row r="662" spans="1:30" ht="24.8" customHeight="1" thickBot="1" x14ac:dyDescent="0.4">
      <c r="A662" s="206"/>
      <c r="B662" s="61"/>
      <c r="C662" s="51" t="s">
        <v>156</v>
      </c>
      <c r="D662" s="24">
        <f t="shared" ref="D662:L662" si="215">IF(((D660="")*AND(D661="")),"",(D660-D661)*4)</f>
        <v>2960</v>
      </c>
      <c r="E662" s="24">
        <f t="shared" si="215"/>
        <v>2796</v>
      </c>
      <c r="F662" s="24">
        <f t="shared" si="215"/>
        <v>2704</v>
      </c>
      <c r="G662" s="24">
        <f t="shared" si="215"/>
        <v>2816</v>
      </c>
      <c r="H662" s="24">
        <f t="shared" si="215"/>
        <v>3020</v>
      </c>
      <c r="I662" s="24">
        <f t="shared" si="215"/>
        <v>2940</v>
      </c>
      <c r="J662" s="24">
        <f t="shared" si="215"/>
        <v>2764</v>
      </c>
      <c r="K662" s="24">
        <f t="shared" si="215"/>
        <v>2848</v>
      </c>
      <c r="L662" s="24">
        <f t="shared" si="215"/>
        <v>3092</v>
      </c>
      <c r="M662" s="24"/>
      <c r="N662" s="24"/>
      <c r="O662" s="24"/>
      <c r="P662" s="24" t="str">
        <f>IF(((P660="")*AND(P661="")),"",(P660-P661)*4)</f>
        <v/>
      </c>
      <c r="Q662" s="61"/>
      <c r="R662" s="61"/>
      <c r="S662" s="61"/>
      <c r="T662" s="61"/>
      <c r="U662" s="61"/>
      <c r="V662" s="60"/>
      <c r="W662" s="59"/>
      <c r="X662" s="8"/>
    </row>
    <row r="663" spans="1:30" x14ac:dyDescent="0.25">
      <c r="A663" s="202">
        <v>43306</v>
      </c>
      <c r="B663" s="57" t="s">
        <v>159</v>
      </c>
      <c r="C663" s="51" t="s">
        <v>158</v>
      </c>
      <c r="D663" s="8">
        <v>6934</v>
      </c>
      <c r="E663" s="8">
        <v>6931</v>
      </c>
      <c r="F663" s="8">
        <v>6981</v>
      </c>
      <c r="G663" s="8">
        <v>6942</v>
      </c>
      <c r="H663" s="8">
        <v>6981</v>
      </c>
      <c r="I663" s="8">
        <v>6943</v>
      </c>
      <c r="J663" s="8">
        <v>6962</v>
      </c>
      <c r="K663" s="8">
        <v>6974</v>
      </c>
      <c r="L663" s="8">
        <v>7044</v>
      </c>
      <c r="M663" s="50"/>
      <c r="N663" s="50"/>
      <c r="O663" s="50"/>
      <c r="P663" s="50"/>
      <c r="Q663" s="57">
        <f>IF((L664=""),"",MAX(D665:L665))</f>
        <v>3382</v>
      </c>
      <c r="R663" s="57">
        <f>IF(L664="","",MIN(D665:L665))</f>
        <v>3310</v>
      </c>
      <c r="S663" s="58">
        <f>IF((L665=""),"",AVERAGE(D665:L665))</f>
        <v>3353.1111111111113</v>
      </c>
      <c r="T663" s="57">
        <f>IF((L664=""),"",((Q663-R663)/(Q663+R663))*100)</f>
        <v>1.0759115361625822</v>
      </c>
      <c r="U663" s="56">
        <f>STDEV(D663:L663)</f>
        <v>35.297938246368503</v>
      </c>
      <c r="V663" s="55" t="str">
        <f>IF(L664="","",(IF(T663&lt;7,IF(S663&gt;2800,IF(S663&lt;3800,"Pass","Fail"),"Fail"),"Fail")))</f>
        <v>Pass</v>
      </c>
      <c r="W663" s="54">
        <v>121</v>
      </c>
      <c r="Z663" s="53">
        <v>2800</v>
      </c>
      <c r="AA663" s="53">
        <v>3800</v>
      </c>
      <c r="AB663" s="53">
        <v>3100</v>
      </c>
      <c r="AC663" s="53">
        <v>3760</v>
      </c>
      <c r="AD663" s="52">
        <v>6</v>
      </c>
    </row>
    <row r="664" spans="1:30" ht="16.5" customHeight="1" x14ac:dyDescent="0.35">
      <c r="A664" s="206"/>
      <c r="B664" s="48"/>
      <c r="C664" s="51" t="s">
        <v>157</v>
      </c>
      <c r="D664" s="8">
        <v>5256</v>
      </c>
      <c r="E664" s="8">
        <v>5240</v>
      </c>
      <c r="F664" s="8">
        <v>5292</v>
      </c>
      <c r="G664" s="8">
        <v>5256</v>
      </c>
      <c r="H664" s="8">
        <v>5320</v>
      </c>
      <c r="I664" s="8">
        <v>5282</v>
      </c>
      <c r="J664" s="8">
        <v>5278</v>
      </c>
      <c r="K664" s="8">
        <v>5290</v>
      </c>
      <c r="L664" s="8">
        <v>5389</v>
      </c>
      <c r="M664" s="50"/>
      <c r="N664" s="50"/>
      <c r="O664" s="50"/>
      <c r="P664" s="50"/>
      <c r="Q664" s="48"/>
      <c r="R664" s="48"/>
      <c r="S664" s="49"/>
      <c r="T664" s="48"/>
      <c r="U664" s="48"/>
      <c r="V664" s="47"/>
      <c r="W664" s="46"/>
      <c r="X664" s="8"/>
    </row>
    <row r="665" spans="1:30" ht="24.8" customHeight="1" thickBot="1" x14ac:dyDescent="0.4">
      <c r="A665" s="206"/>
      <c r="B665" s="42"/>
      <c r="C665" s="45" t="s">
        <v>156</v>
      </c>
      <c r="D665" s="44">
        <f t="shared" ref="D665:L665" si="216">IF(((D663="")*AND(D664="")),"",(D663-D664)*2)</f>
        <v>3356</v>
      </c>
      <c r="E665" s="44">
        <f t="shared" si="216"/>
        <v>3382</v>
      </c>
      <c r="F665" s="44">
        <f t="shared" si="216"/>
        <v>3378</v>
      </c>
      <c r="G665" s="44">
        <f t="shared" si="216"/>
        <v>3372</v>
      </c>
      <c r="H665" s="44">
        <f t="shared" si="216"/>
        <v>3322</v>
      </c>
      <c r="I665" s="44">
        <f t="shared" si="216"/>
        <v>3322</v>
      </c>
      <c r="J665" s="44">
        <f t="shared" si="216"/>
        <v>3368</v>
      </c>
      <c r="K665" s="44">
        <f t="shared" si="216"/>
        <v>3368</v>
      </c>
      <c r="L665" s="44">
        <f t="shared" si="216"/>
        <v>3310</v>
      </c>
      <c r="M665" s="44"/>
      <c r="N665" s="44"/>
      <c r="O665" s="44"/>
      <c r="P665" s="44"/>
      <c r="Q665" s="42"/>
      <c r="R665" s="42"/>
      <c r="S665" s="43"/>
      <c r="T665" s="42"/>
      <c r="U665" s="42"/>
      <c r="V665" s="41"/>
      <c r="W665" s="40"/>
      <c r="X665" s="8"/>
    </row>
    <row r="666" spans="1:30" x14ac:dyDescent="0.25">
      <c r="A666" s="202">
        <v>43311</v>
      </c>
      <c r="B666" s="63" t="s">
        <v>160</v>
      </c>
      <c r="C666" s="56" t="s">
        <v>158</v>
      </c>
      <c r="D666" s="8">
        <v>1169.6199999999999</v>
      </c>
      <c r="E666" s="8">
        <v>1206.01</v>
      </c>
      <c r="F666" s="8">
        <v>1229.58</v>
      </c>
      <c r="G666" s="8">
        <v>1206.02</v>
      </c>
      <c r="H666" s="8">
        <v>1157.44</v>
      </c>
      <c r="I666" s="8">
        <v>1177.81</v>
      </c>
      <c r="J666" s="8">
        <v>1217.07</v>
      </c>
      <c r="K666" s="8">
        <v>1193.1500000000001</v>
      </c>
      <c r="L666" s="8">
        <v>1138.18</v>
      </c>
      <c r="M666" s="62"/>
      <c r="N666" s="62"/>
      <c r="O666" s="62"/>
      <c r="P666" s="62"/>
      <c r="Q666" s="57">
        <f>IF((L667=""),"",MAX(D668:L668))</f>
        <v>3143.2400000000002</v>
      </c>
      <c r="R666" s="57">
        <f>IF(L667="","",MIN(D668:L668))</f>
        <v>2781.16</v>
      </c>
      <c r="S666" s="58">
        <f>IF((L668=""),"",AVERAGE(D668:L668))</f>
        <v>2930.0800000000004</v>
      </c>
      <c r="T666" s="57">
        <f>IF((L667=""),"",((Q666-R666)/(Q666+R666))*100)</f>
        <v>6.1116737559921743</v>
      </c>
      <c r="U666" s="56">
        <f>STDEV(D666:L666)</f>
        <v>29.804045866291347</v>
      </c>
      <c r="V666" s="64" t="str">
        <f>IF(L667="","",(IF(T666&lt;12,IF(S666&gt;2200,IF(S666&lt;3280,"Pass","Fail"),"Fail"),"Fail")))</f>
        <v>Pass</v>
      </c>
      <c r="W666" s="54">
        <v>1428</v>
      </c>
      <c r="Z666" s="37">
        <v>2000</v>
      </c>
      <c r="AA666" s="37">
        <v>3000</v>
      </c>
      <c r="AB666" s="37">
        <v>2200</v>
      </c>
      <c r="AC666" s="37">
        <v>3280</v>
      </c>
      <c r="AD666" s="39">
        <v>12</v>
      </c>
    </row>
    <row r="667" spans="1:30" ht="16.5" customHeight="1" x14ac:dyDescent="0.35">
      <c r="A667" s="206"/>
      <c r="B667" s="48"/>
      <c r="C667" s="51" t="s">
        <v>157</v>
      </c>
      <c r="D667" s="8">
        <v>411.37</v>
      </c>
      <c r="E667" s="8">
        <v>505.33</v>
      </c>
      <c r="F667" s="8">
        <v>505.33</v>
      </c>
      <c r="G667" s="8">
        <v>503.12</v>
      </c>
      <c r="H667" s="8">
        <v>392.06</v>
      </c>
      <c r="I667" s="8">
        <v>427.76</v>
      </c>
      <c r="J667" s="8">
        <v>521.78</v>
      </c>
      <c r="K667" s="8">
        <v>483.08</v>
      </c>
      <c r="L667" s="8">
        <v>352.37</v>
      </c>
      <c r="M667" s="50"/>
      <c r="N667" s="50"/>
      <c r="O667" s="50"/>
      <c r="P667" s="50"/>
      <c r="Q667" s="48"/>
      <c r="R667" s="48"/>
      <c r="S667" s="48"/>
      <c r="T667" s="48"/>
      <c r="U667" s="48"/>
      <c r="V667" s="47"/>
      <c r="W667" s="46"/>
      <c r="X667" s="8"/>
    </row>
    <row r="668" spans="1:30" ht="24.8" customHeight="1" thickBot="1" x14ac:dyDescent="0.4">
      <c r="A668" s="206"/>
      <c r="B668" s="61"/>
      <c r="C668" s="51" t="s">
        <v>156</v>
      </c>
      <c r="D668" s="24">
        <f t="shared" ref="D668:L668" si="217">IF(((D666="")*AND(D667="")),"",(D666-D667)*4)</f>
        <v>3032.9999999999995</v>
      </c>
      <c r="E668" s="24">
        <f t="shared" si="217"/>
        <v>2802.7200000000003</v>
      </c>
      <c r="F668" s="24">
        <f t="shared" si="217"/>
        <v>2897</v>
      </c>
      <c r="G668" s="24">
        <f t="shared" si="217"/>
        <v>2811.6</v>
      </c>
      <c r="H668" s="24">
        <f t="shared" si="217"/>
        <v>3061.5200000000004</v>
      </c>
      <c r="I668" s="24">
        <f t="shared" si="217"/>
        <v>3000.2</v>
      </c>
      <c r="J668" s="24">
        <f t="shared" si="217"/>
        <v>2781.16</v>
      </c>
      <c r="K668" s="24">
        <f t="shared" si="217"/>
        <v>2840.2800000000007</v>
      </c>
      <c r="L668" s="24">
        <f t="shared" si="217"/>
        <v>3143.2400000000002</v>
      </c>
      <c r="M668" s="24"/>
      <c r="N668" s="24"/>
      <c r="O668" s="24"/>
      <c r="P668" s="24" t="str">
        <f>IF(((P666="")*AND(P667="")),"",(P666-P667)*4)</f>
        <v/>
      </c>
      <c r="Q668" s="61"/>
      <c r="R668" s="61"/>
      <c r="S668" s="61"/>
      <c r="T668" s="61"/>
      <c r="U668" s="61"/>
      <c r="V668" s="60"/>
      <c r="W668" s="59"/>
      <c r="X668" s="8"/>
    </row>
    <row r="669" spans="1:30" x14ac:dyDescent="0.25">
      <c r="A669" s="202">
        <v>43311</v>
      </c>
      <c r="B669" s="57" t="s">
        <v>159</v>
      </c>
      <c r="C669" s="51" t="s">
        <v>158</v>
      </c>
      <c r="D669" s="8">
        <v>6934</v>
      </c>
      <c r="E669" s="8">
        <v>6931</v>
      </c>
      <c r="F669" s="8">
        <v>6981</v>
      </c>
      <c r="G669" s="8">
        <v>6942</v>
      </c>
      <c r="H669" s="8">
        <v>6981</v>
      </c>
      <c r="I669" s="8">
        <v>6943</v>
      </c>
      <c r="J669" s="8">
        <v>6962</v>
      </c>
      <c r="K669" s="8">
        <v>6974</v>
      </c>
      <c r="L669" s="8">
        <v>7044</v>
      </c>
      <c r="M669" s="50"/>
      <c r="N669" s="50"/>
      <c r="O669" s="50"/>
      <c r="P669" s="50"/>
      <c r="Q669" s="57">
        <f>IF((L670=""),"",MAX(D671:L671))</f>
        <v>3382</v>
      </c>
      <c r="R669" s="57">
        <f>IF(L670="","",MIN(D671:L671))</f>
        <v>3310</v>
      </c>
      <c r="S669" s="58">
        <f>IF((L671=""),"",AVERAGE(D671:L671))</f>
        <v>3353.1111111111113</v>
      </c>
      <c r="T669" s="57">
        <f>IF((L670=""),"",((Q669-R669)/(Q669+R669))*100)</f>
        <v>1.0759115361625822</v>
      </c>
      <c r="U669" s="56">
        <f>STDEV(D669:L669)</f>
        <v>35.297938246368503</v>
      </c>
      <c r="V669" s="55" t="str">
        <f>IF(L670="","",(IF(T669&lt;7,IF(S669&gt;2800,IF(S669&lt;3800,"Pass","Fail"),"Fail"),"Fail")))</f>
        <v>Pass</v>
      </c>
      <c r="W669" s="54">
        <v>1428</v>
      </c>
      <c r="Z669" s="53">
        <v>2800</v>
      </c>
      <c r="AA669" s="53">
        <v>3800</v>
      </c>
      <c r="AB669" s="53">
        <v>3100</v>
      </c>
      <c r="AC669" s="53">
        <v>3760</v>
      </c>
      <c r="AD669" s="52">
        <v>6</v>
      </c>
    </row>
    <row r="670" spans="1:30" ht="16.5" customHeight="1" x14ac:dyDescent="0.35">
      <c r="A670" s="206"/>
      <c r="B670" s="48"/>
      <c r="C670" s="51" t="s">
        <v>157</v>
      </c>
      <c r="D670" s="8">
        <v>5256</v>
      </c>
      <c r="E670" s="8">
        <v>5240</v>
      </c>
      <c r="F670" s="8">
        <v>5292</v>
      </c>
      <c r="G670" s="8">
        <v>5256</v>
      </c>
      <c r="H670" s="8">
        <v>5320</v>
      </c>
      <c r="I670" s="8">
        <v>5282</v>
      </c>
      <c r="J670" s="8">
        <v>5278</v>
      </c>
      <c r="K670" s="8">
        <v>5290</v>
      </c>
      <c r="L670" s="8">
        <v>5389</v>
      </c>
      <c r="M670" s="50"/>
      <c r="N670" s="50"/>
      <c r="O670" s="50"/>
      <c r="P670" s="50"/>
      <c r="Q670" s="48"/>
      <c r="R670" s="48"/>
      <c r="S670" s="49"/>
      <c r="T670" s="48"/>
      <c r="U670" s="48"/>
      <c r="V670" s="47"/>
      <c r="W670" s="46"/>
      <c r="X670" s="8"/>
    </row>
    <row r="671" spans="1:30" ht="24.8" customHeight="1" thickBot="1" x14ac:dyDescent="0.4">
      <c r="A671" s="206"/>
      <c r="B671" s="42"/>
      <c r="C671" s="45" t="s">
        <v>156</v>
      </c>
      <c r="D671" s="44">
        <f t="shared" ref="D671:L671" si="218">IF(((D669="")*AND(D670="")),"",(D669-D670)*2)</f>
        <v>3356</v>
      </c>
      <c r="E671" s="44">
        <f t="shared" si="218"/>
        <v>3382</v>
      </c>
      <c r="F671" s="44">
        <f t="shared" si="218"/>
        <v>3378</v>
      </c>
      <c r="G671" s="44">
        <f t="shared" si="218"/>
        <v>3372</v>
      </c>
      <c r="H671" s="44">
        <f t="shared" si="218"/>
        <v>3322</v>
      </c>
      <c r="I671" s="44">
        <f t="shared" si="218"/>
        <v>3322</v>
      </c>
      <c r="J671" s="44">
        <f t="shared" si="218"/>
        <v>3368</v>
      </c>
      <c r="K671" s="44">
        <f t="shared" si="218"/>
        <v>3368</v>
      </c>
      <c r="L671" s="44">
        <f t="shared" si="218"/>
        <v>3310</v>
      </c>
      <c r="M671" s="44"/>
      <c r="N671" s="44"/>
      <c r="O671" s="44"/>
      <c r="P671" s="44"/>
      <c r="Q671" s="42"/>
      <c r="R671" s="42"/>
      <c r="S671" s="43"/>
      <c r="T671" s="42"/>
      <c r="U671" s="42"/>
      <c r="V671" s="41"/>
      <c r="W671" s="40"/>
      <c r="X671" s="8"/>
    </row>
    <row r="672" spans="1:30" x14ac:dyDescent="0.25">
      <c r="A672" s="202">
        <v>43319</v>
      </c>
      <c r="B672" s="63" t="s">
        <v>160</v>
      </c>
      <c r="C672" s="56" t="s">
        <v>158</v>
      </c>
      <c r="D672" s="8">
        <v>1975.06</v>
      </c>
      <c r="E672" s="8">
        <v>1960.83</v>
      </c>
      <c r="F672" s="8">
        <v>1951.79</v>
      </c>
      <c r="G672" s="8">
        <v>1954.17</v>
      </c>
      <c r="H672" s="8">
        <v>1970.43</v>
      </c>
      <c r="I672" s="8">
        <v>1975.5</v>
      </c>
      <c r="J672" s="8">
        <v>1956.68</v>
      </c>
      <c r="K672" s="8">
        <v>1957.76</v>
      </c>
      <c r="L672" s="8">
        <v>1973.33</v>
      </c>
      <c r="M672" s="62"/>
      <c r="N672" s="62"/>
      <c r="O672" s="62"/>
      <c r="P672" s="62"/>
      <c r="Q672" s="57">
        <f>IF((L673=""),"",MAX(D674:L674))</f>
        <v>3307</v>
      </c>
      <c r="R672" s="57">
        <f>IF(L673="","",MIN(D674:L674))</f>
        <v>2921.5999999999995</v>
      </c>
      <c r="S672" s="58">
        <f>IF((L674=""),"",AVERAGE(D674:L674))</f>
        <v>3122.9955555555553</v>
      </c>
      <c r="T672" s="57">
        <f>IF((L673=""),"",((Q672-R672)/(Q672+R672))*100)</f>
        <v>6.1875862954757181</v>
      </c>
      <c r="U672" s="56">
        <f>STDEV(D672:L672)</f>
        <v>9.5605099236389943</v>
      </c>
      <c r="V672" s="55" t="str">
        <f>IF(L673="","",(IF(T672&lt;12,IF(S672&gt;2200,IF(S672&lt;3280,"Pass","Fail"),"Fail"),"Fail")))</f>
        <v>Pass</v>
      </c>
      <c r="W672" s="54">
        <v>1340</v>
      </c>
      <c r="Z672" s="37">
        <v>2000</v>
      </c>
      <c r="AA672" s="37">
        <v>3000</v>
      </c>
      <c r="AB672" s="37">
        <v>2200</v>
      </c>
      <c r="AC672" s="37">
        <v>3280</v>
      </c>
      <c r="AD672" s="39">
        <v>12</v>
      </c>
    </row>
    <row r="673" spans="1:30" ht="16.5" customHeight="1" x14ac:dyDescent="0.35">
      <c r="A673" s="206"/>
      <c r="B673" s="48"/>
      <c r="C673" s="51" t="s">
        <v>157</v>
      </c>
      <c r="D673" s="8">
        <v>1155.1400000000001</v>
      </c>
      <c r="E673" s="8">
        <v>1203.9100000000001</v>
      </c>
      <c r="F673" s="8">
        <v>1221.3900000000001</v>
      </c>
      <c r="G673" s="8">
        <v>1202.49</v>
      </c>
      <c r="H673" s="8">
        <v>1148.3499999999999</v>
      </c>
      <c r="I673" s="8">
        <v>1166.95</v>
      </c>
      <c r="J673" s="8">
        <v>1213.57</v>
      </c>
      <c r="K673" s="8">
        <v>1190.43</v>
      </c>
      <c r="L673" s="8">
        <v>1146.58</v>
      </c>
      <c r="M673" s="50"/>
      <c r="N673" s="50"/>
      <c r="O673" s="50"/>
      <c r="P673" s="50"/>
      <c r="Q673" s="48"/>
      <c r="R673" s="48"/>
      <c r="S673" s="48"/>
      <c r="T673" s="48"/>
      <c r="U673" s="48"/>
      <c r="V673" s="47"/>
      <c r="W673" s="46"/>
      <c r="X673" s="8"/>
    </row>
    <row r="674" spans="1:30" ht="24.8" customHeight="1" thickBot="1" x14ac:dyDescent="0.4">
      <c r="A674" s="206"/>
      <c r="B674" s="61"/>
      <c r="C674" s="51" t="s">
        <v>156</v>
      </c>
      <c r="D674" s="24">
        <f t="shared" ref="D674:L674" si="219">IF(((D672="")*AND(D673="")),"",(D672-D673)*4)</f>
        <v>3279.6799999999994</v>
      </c>
      <c r="E674" s="24">
        <f t="shared" si="219"/>
        <v>3027.6799999999994</v>
      </c>
      <c r="F674" s="24">
        <f t="shared" si="219"/>
        <v>2921.5999999999995</v>
      </c>
      <c r="G674" s="24">
        <f t="shared" si="219"/>
        <v>3006.7200000000003</v>
      </c>
      <c r="H674" s="24">
        <f t="shared" si="219"/>
        <v>3288.3200000000006</v>
      </c>
      <c r="I674" s="24">
        <f t="shared" si="219"/>
        <v>3234.2</v>
      </c>
      <c r="J674" s="24">
        <f t="shared" si="219"/>
        <v>2972.4400000000005</v>
      </c>
      <c r="K674" s="24">
        <f t="shared" si="219"/>
        <v>3069.3199999999997</v>
      </c>
      <c r="L674" s="24">
        <f t="shared" si="219"/>
        <v>3307</v>
      </c>
      <c r="M674" s="24"/>
      <c r="N674" s="24"/>
      <c r="O674" s="24"/>
      <c r="P674" s="24" t="str">
        <f>IF(((P672="")*AND(P673="")),"",(P672-P673)*4)</f>
        <v/>
      </c>
      <c r="Q674" s="61"/>
      <c r="R674" s="61"/>
      <c r="S674" s="61"/>
      <c r="T674" s="61"/>
      <c r="U674" s="61"/>
      <c r="V674" s="60"/>
      <c r="W674" s="59"/>
      <c r="X674" s="8"/>
    </row>
    <row r="675" spans="1:30" x14ac:dyDescent="0.25">
      <c r="A675" s="202">
        <v>43319</v>
      </c>
      <c r="B675" s="57" t="s">
        <v>159</v>
      </c>
      <c r="C675" s="51" t="s">
        <v>158</v>
      </c>
      <c r="D675" s="8">
        <v>6842</v>
      </c>
      <c r="E675" s="8">
        <v>6852</v>
      </c>
      <c r="F675" s="8">
        <v>6903</v>
      </c>
      <c r="G675" s="8">
        <v>6857</v>
      </c>
      <c r="H675" s="8">
        <v>6880</v>
      </c>
      <c r="I675" s="8">
        <v>6844</v>
      </c>
      <c r="J675" s="8">
        <v>6878</v>
      </c>
      <c r="K675" s="8">
        <v>6895</v>
      </c>
      <c r="L675" s="8">
        <v>6951</v>
      </c>
      <c r="M675" s="50"/>
      <c r="N675" s="50"/>
      <c r="O675" s="50"/>
      <c r="P675" s="50"/>
      <c r="Q675" s="57">
        <f>IF((L676=""),"",MAX(D677:L677))</f>
        <v>3224</v>
      </c>
      <c r="R675" s="57">
        <f>IF(L676="","",MIN(D677:L677))</f>
        <v>3120</v>
      </c>
      <c r="S675" s="58">
        <f>IF((L677=""),"",AVERAGE(D677:L677))</f>
        <v>3177.5555555555557</v>
      </c>
      <c r="T675" s="57">
        <f>IF((L676=""),"",((Q675-R675)/(Q675+R675))*100)</f>
        <v>1.639344262295082</v>
      </c>
      <c r="U675" s="56">
        <f>STDEV(D675:L675)</f>
        <v>35.028559776273987</v>
      </c>
      <c r="V675" s="55" t="str">
        <f>IF(L676="","",(IF(T675&lt;7,IF(S675&gt;2800,IF(S675&lt;3800,"Pass","Fail"),"Fail"),"Fail")))</f>
        <v>Pass</v>
      </c>
      <c r="W675" s="54">
        <v>1340</v>
      </c>
      <c r="Z675" s="53">
        <v>2800</v>
      </c>
      <c r="AA675" s="53">
        <v>3800</v>
      </c>
      <c r="AB675" s="53">
        <v>3100</v>
      </c>
      <c r="AC675" s="53">
        <v>3760</v>
      </c>
      <c r="AD675" s="52">
        <v>6</v>
      </c>
    </row>
    <row r="676" spans="1:30" ht="16.5" customHeight="1" x14ac:dyDescent="0.35">
      <c r="A676" s="206"/>
      <c r="B676" s="48"/>
      <c r="C676" s="51" t="s">
        <v>157</v>
      </c>
      <c r="D676" s="8">
        <v>5256</v>
      </c>
      <c r="E676" s="8">
        <v>5240</v>
      </c>
      <c r="F676" s="8">
        <v>5292</v>
      </c>
      <c r="G676" s="8">
        <v>5256</v>
      </c>
      <c r="H676" s="8">
        <v>5320</v>
      </c>
      <c r="I676" s="8">
        <v>5282</v>
      </c>
      <c r="J676" s="8">
        <v>5278</v>
      </c>
      <c r="K676" s="8">
        <v>5290</v>
      </c>
      <c r="L676" s="8">
        <v>5389</v>
      </c>
      <c r="M676" s="50"/>
      <c r="N676" s="50"/>
      <c r="O676" s="50"/>
      <c r="P676" s="50"/>
      <c r="Q676" s="48"/>
      <c r="R676" s="48"/>
      <c r="S676" s="49"/>
      <c r="T676" s="48"/>
      <c r="U676" s="48"/>
      <c r="V676" s="47"/>
      <c r="W676" s="46"/>
      <c r="X676" s="8"/>
    </row>
    <row r="677" spans="1:30" ht="24.8" customHeight="1" thickBot="1" x14ac:dyDescent="0.4">
      <c r="A677" s="206"/>
      <c r="B677" s="42"/>
      <c r="C677" s="45" t="s">
        <v>156</v>
      </c>
      <c r="D677" s="44">
        <f t="shared" ref="D677:L677" si="220">IF(((D675="")*AND(D676="")),"",(D675-D676)*2)</f>
        <v>3172</v>
      </c>
      <c r="E677" s="44">
        <f t="shared" si="220"/>
        <v>3224</v>
      </c>
      <c r="F677" s="44">
        <f t="shared" si="220"/>
        <v>3222</v>
      </c>
      <c r="G677" s="44">
        <f t="shared" si="220"/>
        <v>3202</v>
      </c>
      <c r="H677" s="44">
        <f t="shared" si="220"/>
        <v>3120</v>
      </c>
      <c r="I677" s="44">
        <f t="shared" si="220"/>
        <v>3124</v>
      </c>
      <c r="J677" s="44">
        <f t="shared" si="220"/>
        <v>3200</v>
      </c>
      <c r="K677" s="44">
        <f t="shared" si="220"/>
        <v>3210</v>
      </c>
      <c r="L677" s="44">
        <f t="shared" si="220"/>
        <v>3124</v>
      </c>
      <c r="M677" s="44"/>
      <c r="N677" s="44"/>
      <c r="O677" s="44"/>
      <c r="P677" s="44"/>
      <c r="Q677" s="42"/>
      <c r="R677" s="42"/>
      <c r="S677" s="43"/>
      <c r="T677" s="42"/>
      <c r="U677" s="42"/>
      <c r="V677" s="41"/>
      <c r="W677" s="40"/>
      <c r="X677" s="8"/>
    </row>
    <row r="678" spans="1:30" x14ac:dyDescent="0.25">
      <c r="A678" s="202">
        <v>43328</v>
      </c>
      <c r="B678" s="63" t="s">
        <v>160</v>
      </c>
      <c r="C678" s="56" t="s">
        <v>158</v>
      </c>
      <c r="D678" s="8">
        <v>1156.4100000000001</v>
      </c>
      <c r="E678" s="8">
        <v>1203.6600000000001</v>
      </c>
      <c r="F678" s="8">
        <v>1219.28</v>
      </c>
      <c r="G678" s="8">
        <v>1205.1500000000001</v>
      </c>
      <c r="H678" s="8">
        <v>1150.33</v>
      </c>
      <c r="I678" s="8">
        <v>1168.81</v>
      </c>
      <c r="J678" s="8">
        <v>1212.79</v>
      </c>
      <c r="K678" s="8">
        <v>1192.26</v>
      </c>
      <c r="L678" s="8">
        <v>1129.6199999999999</v>
      </c>
      <c r="M678" s="62"/>
      <c r="N678" s="62"/>
      <c r="O678" s="62"/>
      <c r="P678" s="62"/>
      <c r="Q678" s="57">
        <f>IF((L679=""),"",MAX(D680:L680))</f>
        <v>3082.2</v>
      </c>
      <c r="R678" s="57">
        <f>IF(L679="","",MIN(D680:L680))</f>
        <v>2690.4</v>
      </c>
      <c r="S678" s="58">
        <f>IF((L680=""),"",AVERAGE(D680:L680))</f>
        <v>2860.5555555555557</v>
      </c>
      <c r="T678" s="57">
        <f>IF((L679=""),"",((Q678-R678)/(Q678+R678))*100)</f>
        <v>6.7872362540276425</v>
      </c>
      <c r="U678" s="56">
        <f>STDEV(D678:L678)</f>
        <v>31.669454964962373</v>
      </c>
      <c r="V678" s="55" t="str">
        <f>IF(L679="","",(IF(T678&lt;12,IF(S678&gt;2200,IF(S678&lt;3280,"Pass","Fail"),"Fail"),"Fail")))</f>
        <v>Pass</v>
      </c>
      <c r="W678" s="54">
        <v>1159</v>
      </c>
      <c r="X678" s="26" t="s">
        <v>170</v>
      </c>
      <c r="Z678" s="37">
        <v>2000</v>
      </c>
      <c r="AA678" s="37">
        <v>3000</v>
      </c>
      <c r="AB678" s="37">
        <v>2200</v>
      </c>
      <c r="AC678" s="37">
        <v>3280</v>
      </c>
      <c r="AD678" s="39">
        <v>12</v>
      </c>
    </row>
    <row r="679" spans="1:30" ht="16.5" customHeight="1" x14ac:dyDescent="0.35">
      <c r="A679" s="206"/>
      <c r="B679" s="48"/>
      <c r="C679" s="51" t="s">
        <v>157</v>
      </c>
      <c r="D679" s="8">
        <v>417.69</v>
      </c>
      <c r="E679" s="8">
        <v>507.93</v>
      </c>
      <c r="F679" s="8">
        <v>546.67999999999995</v>
      </c>
      <c r="G679" s="8">
        <v>508.98</v>
      </c>
      <c r="H679" s="8">
        <v>408.42</v>
      </c>
      <c r="I679" s="8">
        <v>440.1</v>
      </c>
      <c r="J679" s="8">
        <v>526.79</v>
      </c>
      <c r="K679" s="8">
        <v>486.4</v>
      </c>
      <c r="L679" s="8">
        <v>359.07</v>
      </c>
      <c r="M679" s="50"/>
      <c r="N679" s="50"/>
      <c r="O679" s="50"/>
      <c r="P679" s="50"/>
      <c r="Q679" s="48"/>
      <c r="R679" s="48"/>
      <c r="S679" s="48"/>
      <c r="T679" s="48"/>
      <c r="U679" s="48"/>
      <c r="V679" s="47"/>
      <c r="W679" s="46"/>
      <c r="X679" s="8"/>
    </row>
    <row r="680" spans="1:30" ht="24.8" customHeight="1" thickBot="1" x14ac:dyDescent="0.4">
      <c r="A680" s="206"/>
      <c r="B680" s="61"/>
      <c r="C680" s="51" t="s">
        <v>156</v>
      </c>
      <c r="D680" s="24">
        <f t="shared" ref="D680:L680" si="221">IF(((D678="")*AND(D679="")),"",(D678-D679)*4)</f>
        <v>2954.88</v>
      </c>
      <c r="E680" s="24">
        <f t="shared" si="221"/>
        <v>2782.92</v>
      </c>
      <c r="F680" s="24">
        <f t="shared" si="221"/>
        <v>2690.4</v>
      </c>
      <c r="G680" s="24">
        <f t="shared" si="221"/>
        <v>2784.6800000000003</v>
      </c>
      <c r="H680" s="24">
        <f t="shared" si="221"/>
        <v>2967.6399999999994</v>
      </c>
      <c r="I680" s="24">
        <f t="shared" si="221"/>
        <v>2914.8399999999997</v>
      </c>
      <c r="J680" s="24">
        <f t="shared" si="221"/>
        <v>2744</v>
      </c>
      <c r="K680" s="24">
        <f t="shared" si="221"/>
        <v>2823.44</v>
      </c>
      <c r="L680" s="24">
        <f t="shared" si="221"/>
        <v>3082.2</v>
      </c>
      <c r="M680" s="24"/>
      <c r="N680" s="24"/>
      <c r="O680" s="24"/>
      <c r="P680" s="24" t="str">
        <f>IF(((P678="")*AND(P679="")),"",(P678-P679)*4)</f>
        <v/>
      </c>
      <c r="Q680" s="61"/>
      <c r="R680" s="61"/>
      <c r="S680" s="61"/>
      <c r="T680" s="61"/>
      <c r="U680" s="61"/>
      <c r="V680" s="60"/>
      <c r="W680" s="59"/>
      <c r="X680" s="8"/>
    </row>
    <row r="681" spans="1:30" x14ac:dyDescent="0.25">
      <c r="A681" s="202">
        <v>43328</v>
      </c>
      <c r="B681" s="57" t="s">
        <v>159</v>
      </c>
      <c r="C681" s="51" t="s">
        <v>158</v>
      </c>
      <c r="D681" s="8">
        <v>5183.6000000000004</v>
      </c>
      <c r="E681" s="8">
        <v>5183.5</v>
      </c>
      <c r="F681" s="8">
        <v>5234.24</v>
      </c>
      <c r="G681" s="8">
        <v>5193.0600000000004</v>
      </c>
      <c r="H681" s="8">
        <v>5239.51</v>
      </c>
      <c r="I681" s="8">
        <v>5189.46</v>
      </c>
      <c r="J681" s="8">
        <v>5213.32</v>
      </c>
      <c r="K681" s="8">
        <v>5230.67</v>
      </c>
      <c r="L681" s="8">
        <v>5316.19</v>
      </c>
      <c r="M681" s="50"/>
      <c r="N681" s="50"/>
      <c r="O681" s="50"/>
      <c r="P681" s="50"/>
      <c r="Q681" s="57">
        <f>IF((L682=""),"",MAX(D683:L683))</f>
        <v>3381.6399999999994</v>
      </c>
      <c r="R681" s="57">
        <f>IF(L682="","",MIN(D683:L683))</f>
        <v>3308.8</v>
      </c>
      <c r="S681" s="58">
        <f>IF((L683=""),"",AVERAGE(D683:L683))</f>
        <v>3350.704444444445</v>
      </c>
      <c r="T681" s="57">
        <f>IF((L682=""),"",((Q681-R681)/(Q681+R681))*100)</f>
        <v>1.0887176329209924</v>
      </c>
      <c r="U681" s="56">
        <f>STDEV(D681:L681)</f>
        <v>42.291651100161161</v>
      </c>
      <c r="V681" s="55" t="str">
        <f>IF(L682="","",(IF(T681&lt;7,IF(S681&gt;2800,IF(S681&lt;3800,"Pass","Fail"),"Fail"),"Fail")))</f>
        <v>Pass</v>
      </c>
      <c r="W681" s="54">
        <v>1159</v>
      </c>
      <c r="X681" s="26" t="s">
        <v>170</v>
      </c>
      <c r="Z681" s="53">
        <v>2800</v>
      </c>
      <c r="AA681" s="53">
        <v>3800</v>
      </c>
      <c r="AB681" s="53">
        <v>3100</v>
      </c>
      <c r="AC681" s="53">
        <v>3760</v>
      </c>
      <c r="AD681" s="52">
        <v>6</v>
      </c>
    </row>
    <row r="682" spans="1:30" ht="16.5" customHeight="1" x14ac:dyDescent="0.35">
      <c r="A682" s="206"/>
      <c r="B682" s="48"/>
      <c r="C682" s="51" t="s">
        <v>157</v>
      </c>
      <c r="D682" s="8">
        <v>3522.05</v>
      </c>
      <c r="E682" s="8">
        <v>3495.74</v>
      </c>
      <c r="F682" s="8">
        <v>3543.42</v>
      </c>
      <c r="G682" s="8">
        <v>3507.85</v>
      </c>
      <c r="H682" s="8">
        <v>3584.64</v>
      </c>
      <c r="I682" s="8">
        <v>3535.06</v>
      </c>
      <c r="J682" s="8">
        <v>3529.87</v>
      </c>
      <c r="K682" s="8">
        <v>3540.32</v>
      </c>
      <c r="L682" s="8">
        <v>3646.43</v>
      </c>
      <c r="M682" s="50"/>
      <c r="N682" s="50"/>
      <c r="O682" s="50"/>
      <c r="P682" s="50"/>
      <c r="Q682" s="48"/>
      <c r="R682" s="48"/>
      <c r="S682" s="49"/>
      <c r="T682" s="48"/>
      <c r="U682" s="48"/>
      <c r="V682" s="47"/>
      <c r="W682" s="46"/>
      <c r="X682" s="8"/>
    </row>
    <row r="683" spans="1:30" ht="24.8" customHeight="1" thickBot="1" x14ac:dyDescent="0.4">
      <c r="A683" s="206"/>
      <c r="B683" s="42"/>
      <c r="C683" s="45" t="s">
        <v>156</v>
      </c>
      <c r="D683" s="44">
        <f t="shared" ref="D683:L683" si="222">IF(((D681="")*AND(D682="")),"",(D681-D682)*2)</f>
        <v>3323.1000000000004</v>
      </c>
      <c r="E683" s="44">
        <f t="shared" si="222"/>
        <v>3375.5200000000004</v>
      </c>
      <c r="F683" s="44">
        <f t="shared" si="222"/>
        <v>3381.6399999999994</v>
      </c>
      <c r="G683" s="44">
        <f t="shared" si="222"/>
        <v>3370.420000000001</v>
      </c>
      <c r="H683" s="44">
        <f t="shared" si="222"/>
        <v>3309.7400000000007</v>
      </c>
      <c r="I683" s="44">
        <f t="shared" si="222"/>
        <v>3308.8</v>
      </c>
      <c r="J683" s="44">
        <f t="shared" si="222"/>
        <v>3366.8999999999996</v>
      </c>
      <c r="K683" s="44">
        <f t="shared" si="222"/>
        <v>3380.7</v>
      </c>
      <c r="L683" s="44">
        <f t="shared" si="222"/>
        <v>3339.5199999999995</v>
      </c>
      <c r="M683" s="44"/>
      <c r="N683" s="44"/>
      <c r="O683" s="44"/>
      <c r="P683" s="44"/>
      <c r="Q683" s="42"/>
      <c r="R683" s="42"/>
      <c r="S683" s="43"/>
      <c r="T683" s="42"/>
      <c r="U683" s="42"/>
      <c r="V683" s="41"/>
      <c r="W683" s="40"/>
      <c r="X683" s="8"/>
    </row>
    <row r="684" spans="1:30" x14ac:dyDescent="0.25">
      <c r="A684" s="202">
        <v>43336</v>
      </c>
      <c r="B684" s="63" t="s">
        <v>160</v>
      </c>
      <c r="C684" s="56" t="s">
        <v>158</v>
      </c>
      <c r="D684" s="8">
        <v>1936</v>
      </c>
      <c r="E684" s="8">
        <v>1929</v>
      </c>
      <c r="F684" s="8">
        <v>1933</v>
      </c>
      <c r="G684" s="8">
        <v>1933</v>
      </c>
      <c r="H684" s="8">
        <v>1931</v>
      </c>
      <c r="I684" s="8">
        <v>1935</v>
      </c>
      <c r="J684" s="8">
        <v>1932</v>
      </c>
      <c r="K684" s="8">
        <v>1931</v>
      </c>
      <c r="L684" s="8">
        <v>1934</v>
      </c>
      <c r="M684" s="62"/>
      <c r="N684" s="62"/>
      <c r="O684" s="62"/>
      <c r="P684" s="62"/>
      <c r="Q684" s="57">
        <f>IF((L685=""),"",MAX(D686:L686))</f>
        <v>3160</v>
      </c>
      <c r="R684" s="57">
        <f>IF(L685="","",MIN(D686:L686))</f>
        <v>2708</v>
      </c>
      <c r="S684" s="58">
        <f>IF((L686=""),"",AVERAGE(D686:L686))</f>
        <v>2923.1111111111113</v>
      </c>
      <c r="T684" s="57">
        <f>IF((L685=""),"",((Q684-R684)/(Q684+R684))*100)</f>
        <v>7.7027948193592364</v>
      </c>
      <c r="U684" s="56">
        <f>STDEV(D684:L684)</f>
        <v>2.1794494717703365</v>
      </c>
      <c r="V684" s="55" t="str">
        <f>IF(L685="","",(IF(T684&lt;12,IF(S684&gt;2200,IF(S684&lt;3280,"Pass","Fail"),"Fail"),"Fail")))</f>
        <v>Pass</v>
      </c>
      <c r="W684" s="54">
        <v>1159</v>
      </c>
      <c r="X684" s="26" t="s">
        <v>169</v>
      </c>
      <c r="Z684" s="37">
        <v>2000</v>
      </c>
      <c r="AA684" s="37">
        <v>3000</v>
      </c>
      <c r="AB684" s="37">
        <v>2200</v>
      </c>
      <c r="AC684" s="37">
        <v>3280</v>
      </c>
      <c r="AD684" s="39">
        <v>12</v>
      </c>
    </row>
    <row r="685" spans="1:30" ht="16.5" customHeight="1" x14ac:dyDescent="0.35">
      <c r="A685" s="206"/>
      <c r="B685" s="48"/>
      <c r="C685" s="51" t="s">
        <v>157</v>
      </c>
      <c r="D685" s="8">
        <v>1175</v>
      </c>
      <c r="E685" s="8">
        <v>1224</v>
      </c>
      <c r="F685" s="8">
        <v>1256</v>
      </c>
      <c r="G685" s="8">
        <v>1223</v>
      </c>
      <c r="H685" s="8">
        <v>1164</v>
      </c>
      <c r="I685" s="8">
        <v>1185</v>
      </c>
      <c r="J685" s="8">
        <v>1235</v>
      </c>
      <c r="K685" s="8">
        <v>1211</v>
      </c>
      <c r="L685" s="8">
        <v>1144</v>
      </c>
      <c r="M685" s="50"/>
      <c r="N685" s="50"/>
      <c r="O685" s="50"/>
      <c r="P685" s="50"/>
      <c r="Q685" s="48"/>
      <c r="R685" s="48"/>
      <c r="S685" s="48"/>
      <c r="T685" s="48"/>
      <c r="U685" s="48"/>
      <c r="V685" s="47"/>
      <c r="W685" s="46"/>
      <c r="X685" s="8"/>
    </row>
    <row r="686" spans="1:30" ht="24.8" customHeight="1" thickBot="1" x14ac:dyDescent="0.4">
      <c r="A686" s="206"/>
      <c r="B686" s="61"/>
      <c r="C686" s="51" t="s">
        <v>156</v>
      </c>
      <c r="D686" s="24">
        <f t="shared" ref="D686:L686" si="223">IF(((D684="")*AND(D685="")),"",(D684-D685)*4)</f>
        <v>3044</v>
      </c>
      <c r="E686" s="24">
        <f t="shared" si="223"/>
        <v>2820</v>
      </c>
      <c r="F686" s="24">
        <f t="shared" si="223"/>
        <v>2708</v>
      </c>
      <c r="G686" s="24">
        <f t="shared" si="223"/>
        <v>2840</v>
      </c>
      <c r="H686" s="24">
        <f t="shared" si="223"/>
        <v>3068</v>
      </c>
      <c r="I686" s="24">
        <f t="shared" si="223"/>
        <v>3000</v>
      </c>
      <c r="J686" s="24">
        <f t="shared" si="223"/>
        <v>2788</v>
      </c>
      <c r="K686" s="24">
        <f t="shared" si="223"/>
        <v>2880</v>
      </c>
      <c r="L686" s="24">
        <f t="shared" si="223"/>
        <v>3160</v>
      </c>
      <c r="M686" s="24"/>
      <c r="N686" s="24"/>
      <c r="O686" s="24"/>
      <c r="P686" s="24" t="str">
        <f>IF(((P684="")*AND(P685="")),"",(P684-P685)*4)</f>
        <v/>
      </c>
      <c r="Q686" s="61"/>
      <c r="R686" s="61"/>
      <c r="S686" s="61"/>
      <c r="T686" s="61"/>
      <c r="U686" s="61"/>
      <c r="V686" s="60"/>
      <c r="W686" s="59"/>
      <c r="X686" s="8"/>
    </row>
    <row r="687" spans="1:30" x14ac:dyDescent="0.25">
      <c r="A687" s="202">
        <v>43336</v>
      </c>
      <c r="B687" s="57" t="s">
        <v>159</v>
      </c>
      <c r="C687" s="51" t="s">
        <v>158</v>
      </c>
      <c r="D687" s="8">
        <v>3544</v>
      </c>
      <c r="E687" s="8">
        <v>3516</v>
      </c>
      <c r="F687" s="8">
        <v>3564</v>
      </c>
      <c r="G687" s="8">
        <v>3531</v>
      </c>
      <c r="H687" s="8">
        <v>3606</v>
      </c>
      <c r="I687" s="8">
        <v>3558</v>
      </c>
      <c r="J687" s="8">
        <v>3551</v>
      </c>
      <c r="K687" s="8">
        <v>3561</v>
      </c>
      <c r="L687" s="8">
        <v>3665</v>
      </c>
      <c r="M687" s="50"/>
      <c r="N687" s="50"/>
      <c r="O687" s="50"/>
      <c r="P687" s="50"/>
      <c r="Q687" s="57">
        <f>IF((L688=""),"",MAX(D689:L689))</f>
        <v>3394</v>
      </c>
      <c r="R687" s="57">
        <f>IF(L688="","",MIN(D689:L689))</f>
        <v>3310</v>
      </c>
      <c r="S687" s="58">
        <f>IF((L689=""),"",AVERAGE(D689:L689))</f>
        <v>3358.8888888888887</v>
      </c>
      <c r="T687" s="57">
        <f>IF((L688=""),"",((Q687-R687)/(Q687+R687))*100)</f>
        <v>1.2529832935560858</v>
      </c>
      <c r="U687" s="56">
        <f>STDEV(D687:L687)</f>
        <v>44.620000498032766</v>
      </c>
      <c r="V687" s="55" t="str">
        <f>IF(L688="","",(IF(T687&lt;7,IF(S687&gt;2800,IF(S687&lt;3800,"Pass","Fail"),"Fail"),"Fail")))</f>
        <v>Pass</v>
      </c>
      <c r="W687" s="54">
        <v>1159</v>
      </c>
      <c r="X687" s="26" t="s">
        <v>169</v>
      </c>
      <c r="Z687" s="53">
        <v>2800</v>
      </c>
      <c r="AA687" s="53">
        <v>3800</v>
      </c>
      <c r="AB687" s="53">
        <v>3100</v>
      </c>
      <c r="AC687" s="53">
        <v>3760</v>
      </c>
      <c r="AD687" s="52">
        <v>6</v>
      </c>
    </row>
    <row r="688" spans="1:30" ht="16.5" customHeight="1" x14ac:dyDescent="0.35">
      <c r="A688" s="206"/>
      <c r="B688" s="48"/>
      <c r="C688" s="51" t="s">
        <v>157</v>
      </c>
      <c r="D688" s="8">
        <v>1877</v>
      </c>
      <c r="E688" s="8">
        <v>1819</v>
      </c>
      <c r="F688" s="8">
        <v>1867</v>
      </c>
      <c r="G688" s="8">
        <v>1837</v>
      </c>
      <c r="H688" s="8">
        <v>1951</v>
      </c>
      <c r="I688" s="8">
        <v>1903</v>
      </c>
      <c r="J688" s="8">
        <v>1862</v>
      </c>
      <c r="K688" s="8">
        <v>1864</v>
      </c>
      <c r="L688" s="8">
        <v>2001</v>
      </c>
      <c r="M688" s="50"/>
      <c r="N688" s="50"/>
      <c r="O688" s="50"/>
      <c r="P688" s="50"/>
      <c r="Q688" s="48"/>
      <c r="R688" s="48"/>
      <c r="S688" s="49"/>
      <c r="T688" s="48"/>
      <c r="U688" s="48"/>
      <c r="V688" s="47"/>
      <c r="W688" s="46"/>
      <c r="X688" s="8"/>
    </row>
    <row r="689" spans="1:30" ht="24.8" customHeight="1" thickBot="1" x14ac:dyDescent="0.4">
      <c r="A689" s="206"/>
      <c r="B689" s="42"/>
      <c r="C689" s="45" t="s">
        <v>156</v>
      </c>
      <c r="D689" s="44">
        <f t="shared" ref="D689:L689" si="224">IF(((D687="")*AND(D688="")),"",(D687-D688)*2)</f>
        <v>3334</v>
      </c>
      <c r="E689" s="44">
        <f t="shared" si="224"/>
        <v>3394</v>
      </c>
      <c r="F689" s="44">
        <f t="shared" si="224"/>
        <v>3394</v>
      </c>
      <c r="G689" s="44">
        <f t="shared" si="224"/>
        <v>3388</v>
      </c>
      <c r="H689" s="44">
        <f t="shared" si="224"/>
        <v>3310</v>
      </c>
      <c r="I689" s="44">
        <f t="shared" si="224"/>
        <v>3310</v>
      </c>
      <c r="J689" s="44">
        <f t="shared" si="224"/>
        <v>3378</v>
      </c>
      <c r="K689" s="44">
        <f t="shared" si="224"/>
        <v>3394</v>
      </c>
      <c r="L689" s="44">
        <f t="shared" si="224"/>
        <v>3328</v>
      </c>
      <c r="M689" s="44"/>
      <c r="N689" s="44"/>
      <c r="O689" s="44"/>
      <c r="P689" s="44"/>
      <c r="Q689" s="42"/>
      <c r="R689" s="42"/>
      <c r="S689" s="43"/>
      <c r="T689" s="42"/>
      <c r="U689" s="42"/>
      <c r="V689" s="41"/>
      <c r="W689" s="40"/>
      <c r="X689" s="8"/>
    </row>
    <row r="690" spans="1:30" x14ac:dyDescent="0.25">
      <c r="A690" s="202">
        <v>43342</v>
      </c>
      <c r="B690" s="63" t="s">
        <v>160</v>
      </c>
      <c r="C690" s="56" t="s">
        <v>158</v>
      </c>
      <c r="D690" s="8">
        <v>1916.2</v>
      </c>
      <c r="E690" s="8">
        <v>1909.37</v>
      </c>
      <c r="F690" s="8">
        <v>1910.1</v>
      </c>
      <c r="G690" s="8">
        <v>1910.05</v>
      </c>
      <c r="H690" s="8">
        <v>1914.9</v>
      </c>
      <c r="I690" s="8">
        <v>1914.34</v>
      </c>
      <c r="J690" s="8">
        <v>1908.14</v>
      </c>
      <c r="K690" s="8">
        <v>1911.54</v>
      </c>
      <c r="L690" s="8">
        <v>1914.98</v>
      </c>
      <c r="M690" s="62"/>
      <c r="N690" s="62"/>
      <c r="O690" s="62"/>
      <c r="P690" s="62"/>
      <c r="Q690" s="57">
        <f>IF((L691=""),"",MAX(D692:L692))</f>
        <v>3121.16</v>
      </c>
      <c r="R690" s="57">
        <f>IF(L691="","",MIN(D692:L692))</f>
        <v>2730.2</v>
      </c>
      <c r="S690" s="58">
        <f>IF((L692=""),"",AVERAGE(D692:L692))</f>
        <v>2906.6977777777774</v>
      </c>
      <c r="T690" s="57">
        <f>IF((L691=""),"",((Q690-R690)/(Q690+R690))*100)</f>
        <v>6.681523611604824</v>
      </c>
      <c r="U690" s="56">
        <f>STDEV(D690:L690)</f>
        <v>2.9486225597726352</v>
      </c>
      <c r="V690" s="55" t="str">
        <f>IF(L691="","",(IF(T690&lt;12,IF(S690&gt;2200,IF(S690&lt;3280,"Pass","Fail"),"Fail"),"Fail")))</f>
        <v>Pass</v>
      </c>
      <c r="W690" s="54">
        <v>1335</v>
      </c>
      <c r="Z690" s="37">
        <v>2000</v>
      </c>
      <c r="AA690" s="37">
        <v>3000</v>
      </c>
      <c r="AB690" s="37">
        <v>2200</v>
      </c>
      <c r="AC690" s="37">
        <v>3280</v>
      </c>
      <c r="AD690" s="39">
        <v>12</v>
      </c>
    </row>
    <row r="691" spans="1:30" ht="16.5" customHeight="1" x14ac:dyDescent="0.35">
      <c r="A691" s="206"/>
      <c r="B691" s="48"/>
      <c r="C691" s="51" t="s">
        <v>157</v>
      </c>
      <c r="D691" s="8">
        <v>1166.43</v>
      </c>
      <c r="E691" s="8">
        <v>1202.8900000000001</v>
      </c>
      <c r="F691" s="8">
        <v>1227.55</v>
      </c>
      <c r="G691" s="8">
        <v>1201.83</v>
      </c>
      <c r="H691" s="8">
        <v>1153.0899999999999</v>
      </c>
      <c r="I691" s="8">
        <v>1179.92</v>
      </c>
      <c r="J691" s="8">
        <v>1212.49</v>
      </c>
      <c r="K691" s="8">
        <v>1190.6600000000001</v>
      </c>
      <c r="L691" s="8">
        <v>1134.69</v>
      </c>
      <c r="M691" s="50"/>
      <c r="N691" s="50"/>
      <c r="O691" s="50"/>
      <c r="P691" s="50"/>
      <c r="Q691" s="48"/>
      <c r="R691" s="48"/>
      <c r="S691" s="48"/>
      <c r="T691" s="48"/>
      <c r="U691" s="48"/>
      <c r="V691" s="47"/>
      <c r="W691" s="46"/>
      <c r="X691" s="8"/>
    </row>
    <row r="692" spans="1:30" ht="24.8" customHeight="1" thickBot="1" x14ac:dyDescent="0.4">
      <c r="A692" s="206"/>
      <c r="B692" s="61"/>
      <c r="C692" s="51" t="s">
        <v>156</v>
      </c>
      <c r="D692" s="24">
        <f t="shared" ref="D692:L692" si="225">IF(((D690="")*AND(D691="")),"",(D690-D691)*4)</f>
        <v>2999.08</v>
      </c>
      <c r="E692" s="24">
        <f t="shared" si="225"/>
        <v>2825.9199999999992</v>
      </c>
      <c r="F692" s="24">
        <f t="shared" si="225"/>
        <v>2730.2</v>
      </c>
      <c r="G692" s="24">
        <f t="shared" si="225"/>
        <v>2832.88</v>
      </c>
      <c r="H692" s="24">
        <f t="shared" si="225"/>
        <v>3047.2400000000007</v>
      </c>
      <c r="I692" s="24">
        <f t="shared" si="225"/>
        <v>2937.6799999999994</v>
      </c>
      <c r="J692" s="24">
        <f t="shared" si="225"/>
        <v>2782.6000000000004</v>
      </c>
      <c r="K692" s="24">
        <f t="shared" si="225"/>
        <v>2883.5199999999995</v>
      </c>
      <c r="L692" s="24">
        <f t="shared" si="225"/>
        <v>3121.16</v>
      </c>
      <c r="M692" s="24"/>
      <c r="N692" s="24"/>
      <c r="O692" s="24"/>
      <c r="P692" s="24" t="str">
        <f>IF(((P690="")*AND(P691="")),"",(P690-P691)*4)</f>
        <v/>
      </c>
      <c r="Q692" s="61"/>
      <c r="R692" s="61"/>
      <c r="S692" s="61"/>
      <c r="T692" s="61"/>
      <c r="U692" s="61"/>
      <c r="V692" s="60"/>
      <c r="W692" s="59"/>
      <c r="X692" s="8"/>
    </row>
    <row r="693" spans="1:30" x14ac:dyDescent="0.25">
      <c r="A693" s="202">
        <v>43342</v>
      </c>
      <c r="B693" s="57" t="s">
        <v>159</v>
      </c>
      <c r="C693" s="51" t="s">
        <v>158</v>
      </c>
      <c r="D693" s="8">
        <v>6860.22</v>
      </c>
      <c r="E693" s="8">
        <v>6848.41</v>
      </c>
      <c r="F693" s="8">
        <v>6887</v>
      </c>
      <c r="G693" s="8">
        <v>6846.02</v>
      </c>
      <c r="H693" s="8">
        <v>6900.68</v>
      </c>
      <c r="I693" s="8">
        <v>6873.78</v>
      </c>
      <c r="J693" s="8">
        <v>6873.62</v>
      </c>
      <c r="K693" s="8">
        <v>6877.82</v>
      </c>
      <c r="L693" s="8">
        <v>6962.99</v>
      </c>
      <c r="M693" s="50"/>
      <c r="N693" s="50"/>
      <c r="O693" s="50"/>
      <c r="P693" s="50"/>
      <c r="Q693" s="57">
        <f>IF((L694=""),"",MAX(D695:L695))</f>
        <v>3387.92</v>
      </c>
      <c r="R693" s="57">
        <f>IF(L694="","",MIN(D695:L695))</f>
        <v>3324.6000000000004</v>
      </c>
      <c r="S693" s="58">
        <f>IF((L695=""),"",AVERAGE(D695:L695))</f>
        <v>3360.8577777777778</v>
      </c>
      <c r="T693" s="57">
        <f>IF((L694=""),"",((Q693-R693)/(Q693+R693))*100)</f>
        <v>0.94331190074666005</v>
      </c>
      <c r="U693" s="56">
        <f>STDEV(D693:L693)</f>
        <v>35.319295521161024</v>
      </c>
      <c r="V693" s="55" t="str">
        <f>IF(L694="","",(IF(T693&lt;7,IF(S693&gt;2800,IF(S693&lt;3800,"Pass","Fail"),"Fail"),"Fail")))</f>
        <v>Pass</v>
      </c>
      <c r="W693" s="54">
        <v>1335</v>
      </c>
      <c r="Z693" s="53">
        <v>2800</v>
      </c>
      <c r="AA693" s="53">
        <v>3800</v>
      </c>
      <c r="AB693" s="53">
        <v>3100</v>
      </c>
      <c r="AC693" s="53">
        <v>3760</v>
      </c>
      <c r="AD693" s="52">
        <v>6</v>
      </c>
    </row>
    <row r="694" spans="1:30" ht="16.5" customHeight="1" x14ac:dyDescent="0.35">
      <c r="A694" s="206"/>
      <c r="B694" s="48"/>
      <c r="C694" s="51" t="s">
        <v>157</v>
      </c>
      <c r="D694" s="8">
        <v>5193.43</v>
      </c>
      <c r="E694" s="8">
        <v>5157.16</v>
      </c>
      <c r="F694" s="8">
        <v>5193.04</v>
      </c>
      <c r="G694" s="8">
        <v>5155.29</v>
      </c>
      <c r="H694" s="8">
        <v>5237.6000000000004</v>
      </c>
      <c r="I694" s="8">
        <v>5211.4799999999996</v>
      </c>
      <c r="J694" s="8">
        <v>5185.08</v>
      </c>
      <c r="K694" s="8">
        <v>5183.92</v>
      </c>
      <c r="L694" s="8">
        <v>5289.68</v>
      </c>
      <c r="M694" s="50"/>
      <c r="N694" s="50"/>
      <c r="O694" s="50"/>
      <c r="P694" s="50"/>
      <c r="Q694" s="48"/>
      <c r="R694" s="48"/>
      <c r="S694" s="49"/>
      <c r="T694" s="48"/>
      <c r="U694" s="48"/>
      <c r="V694" s="47"/>
      <c r="W694" s="46"/>
      <c r="X694" s="8"/>
    </row>
    <row r="695" spans="1:30" ht="24.8" customHeight="1" thickBot="1" x14ac:dyDescent="0.4">
      <c r="A695" s="206"/>
      <c r="B695" s="42"/>
      <c r="C695" s="45" t="s">
        <v>156</v>
      </c>
      <c r="D695" s="44">
        <f t="shared" ref="D695:L695" si="226">IF(((D693="")*AND(D694="")),"",(D693-D694)*2)</f>
        <v>3333.58</v>
      </c>
      <c r="E695" s="44">
        <f t="shared" si="226"/>
        <v>3382.5</v>
      </c>
      <c r="F695" s="44">
        <f t="shared" si="226"/>
        <v>3387.92</v>
      </c>
      <c r="G695" s="44">
        <f t="shared" si="226"/>
        <v>3381.4600000000009</v>
      </c>
      <c r="H695" s="44">
        <f t="shared" si="226"/>
        <v>3326.16</v>
      </c>
      <c r="I695" s="44">
        <f t="shared" si="226"/>
        <v>3324.6000000000004</v>
      </c>
      <c r="J695" s="44">
        <f t="shared" si="226"/>
        <v>3377.08</v>
      </c>
      <c r="K695" s="44">
        <f t="shared" si="226"/>
        <v>3387.7999999999993</v>
      </c>
      <c r="L695" s="44">
        <f t="shared" si="226"/>
        <v>3346.619999999999</v>
      </c>
      <c r="M695" s="44"/>
      <c r="N695" s="44"/>
      <c r="O695" s="44"/>
      <c r="P695" s="44"/>
      <c r="Q695" s="42"/>
      <c r="R695" s="42"/>
      <c r="S695" s="43"/>
      <c r="T695" s="42"/>
      <c r="U695" s="42"/>
      <c r="V695" s="41"/>
      <c r="W695" s="40"/>
      <c r="X695" s="8"/>
    </row>
    <row r="696" spans="1:30" x14ac:dyDescent="0.25">
      <c r="A696" s="202">
        <v>43347</v>
      </c>
      <c r="B696" s="63" t="s">
        <v>160</v>
      </c>
      <c r="C696" s="56" t="s">
        <v>158</v>
      </c>
      <c r="D696" s="8">
        <v>1168.8800000000001</v>
      </c>
      <c r="E696" s="8">
        <v>1207.72</v>
      </c>
      <c r="F696" s="8">
        <v>1224.57</v>
      </c>
      <c r="G696" s="8">
        <v>1204.77</v>
      </c>
      <c r="H696" s="8">
        <v>1156.3499999999999</v>
      </c>
      <c r="I696" s="8">
        <v>1182.73</v>
      </c>
      <c r="J696" s="8">
        <v>1214.72</v>
      </c>
      <c r="K696" s="8">
        <v>1192.23</v>
      </c>
      <c r="L696" s="8">
        <v>1137.01</v>
      </c>
      <c r="M696" s="62"/>
      <c r="N696" s="62"/>
      <c r="O696" s="62"/>
      <c r="P696" s="62"/>
      <c r="Q696" s="57">
        <f>IF((L697=""),"",MAX(D698:L698))</f>
        <v>3149.6800000000003</v>
      </c>
      <c r="R696" s="57">
        <f>IF(L697="","",MIN(D698:L698))</f>
        <v>2719.72</v>
      </c>
      <c r="S696" s="58">
        <f>IF((L698=""),"",AVERAGE(D698:L698))</f>
        <v>2922.9511111111115</v>
      </c>
      <c r="T696" s="57">
        <f>IF((L697=""),"",((Q696-R696)/(Q696+R696))*100)</f>
        <v>7.3254506423143848</v>
      </c>
      <c r="U696" s="56">
        <f>STDEV(D696:L696)</f>
        <v>29.01155808945424</v>
      </c>
      <c r="V696" s="55" t="str">
        <f>IF(L697="","",(IF(T696&lt;12,IF(S696&gt;2200,IF(S696&lt;3280,"Pass","Fail"),"Fail"),"Fail")))</f>
        <v>Pass</v>
      </c>
      <c r="W696" s="54">
        <v>1335</v>
      </c>
      <c r="Z696" s="37">
        <v>2000</v>
      </c>
      <c r="AA696" s="37">
        <v>3000</v>
      </c>
      <c r="AB696" s="37">
        <v>2200</v>
      </c>
      <c r="AC696" s="37">
        <v>3280</v>
      </c>
      <c r="AD696" s="39">
        <v>12</v>
      </c>
    </row>
    <row r="697" spans="1:30" ht="16.5" customHeight="1" x14ac:dyDescent="0.35">
      <c r="A697" s="206"/>
      <c r="B697" s="48"/>
      <c r="C697" s="51" t="s">
        <v>157</v>
      </c>
      <c r="D697" s="8">
        <v>407.74</v>
      </c>
      <c r="E697" s="8">
        <v>499.1</v>
      </c>
      <c r="F697" s="8">
        <v>544.64</v>
      </c>
      <c r="G697" s="8">
        <v>498.65</v>
      </c>
      <c r="H697" s="8">
        <v>388.06</v>
      </c>
      <c r="I697" s="8">
        <v>429.76</v>
      </c>
      <c r="J697" s="8">
        <v>517.16999999999996</v>
      </c>
      <c r="K697" s="8">
        <v>477.63</v>
      </c>
      <c r="L697" s="8">
        <v>349.59</v>
      </c>
      <c r="M697" s="50"/>
      <c r="N697" s="50"/>
      <c r="O697" s="50"/>
      <c r="P697" s="50"/>
      <c r="Q697" s="48"/>
      <c r="R697" s="48"/>
      <c r="S697" s="48"/>
      <c r="T697" s="48"/>
      <c r="U697" s="48"/>
      <c r="V697" s="47"/>
      <c r="W697" s="46"/>
      <c r="X697" s="8"/>
    </row>
    <row r="698" spans="1:30" ht="24.8" customHeight="1" thickBot="1" x14ac:dyDescent="0.4">
      <c r="A698" s="206"/>
      <c r="B698" s="61"/>
      <c r="C698" s="51" t="s">
        <v>156</v>
      </c>
      <c r="D698" s="24">
        <f t="shared" ref="D698:L698" si="227">IF(((D696="")*AND(D697="")),"",(D696-D697)*4)</f>
        <v>3044.5600000000004</v>
      </c>
      <c r="E698" s="24">
        <f t="shared" si="227"/>
        <v>2834.48</v>
      </c>
      <c r="F698" s="24">
        <f t="shared" si="227"/>
        <v>2719.72</v>
      </c>
      <c r="G698" s="24">
        <f t="shared" si="227"/>
        <v>2824.48</v>
      </c>
      <c r="H698" s="24">
        <f t="shared" si="227"/>
        <v>3073.16</v>
      </c>
      <c r="I698" s="24">
        <f t="shared" si="227"/>
        <v>3011.88</v>
      </c>
      <c r="J698" s="24">
        <f t="shared" si="227"/>
        <v>2790.2000000000003</v>
      </c>
      <c r="K698" s="24">
        <f t="shared" si="227"/>
        <v>2858.4</v>
      </c>
      <c r="L698" s="24">
        <f t="shared" si="227"/>
        <v>3149.6800000000003</v>
      </c>
      <c r="M698" s="24"/>
      <c r="N698" s="24"/>
      <c r="O698" s="24"/>
      <c r="P698" s="24" t="str">
        <f>IF(((P696="")*AND(P697="")),"",(P696-P697)*4)</f>
        <v/>
      </c>
      <c r="Q698" s="61"/>
      <c r="R698" s="61"/>
      <c r="S698" s="61"/>
      <c r="T698" s="61"/>
      <c r="U698" s="61"/>
      <c r="V698" s="60"/>
      <c r="W698" s="59"/>
      <c r="X698" s="8"/>
    </row>
    <row r="699" spans="1:30" x14ac:dyDescent="0.25">
      <c r="A699" s="202">
        <v>43347</v>
      </c>
      <c r="B699" s="57" t="s">
        <v>159</v>
      </c>
      <c r="C699" s="51" t="s">
        <v>158</v>
      </c>
      <c r="D699" s="8">
        <v>5202.01</v>
      </c>
      <c r="E699" s="8">
        <v>5165.4799999999996</v>
      </c>
      <c r="F699" s="8">
        <v>5201.93</v>
      </c>
      <c r="G699" s="8">
        <v>5164.09</v>
      </c>
      <c r="H699" s="8">
        <v>5246.69</v>
      </c>
      <c r="I699" s="8">
        <v>5220.63</v>
      </c>
      <c r="J699" s="8">
        <v>5193.8999999999996</v>
      </c>
      <c r="K699" s="8">
        <v>5192.59</v>
      </c>
      <c r="L699" s="8">
        <v>5299.04</v>
      </c>
      <c r="M699" s="50"/>
      <c r="N699" s="50"/>
      <c r="O699" s="50"/>
      <c r="P699" s="50"/>
      <c r="Q699" s="57">
        <f>IF((L700=""),"",MAX(D701:L701))</f>
        <v>3500.7200000000003</v>
      </c>
      <c r="R699" s="57">
        <f>IF(L700="","",MIN(D701:L701))</f>
        <v>3230.8200000000006</v>
      </c>
      <c r="S699" s="58">
        <f>IF((L701=""),"",AVERAGE(D701:L701))</f>
        <v>3321.8311111111116</v>
      </c>
      <c r="T699" s="57">
        <f>IF((L700=""),"",((Q699-R699)/(Q699+R699))*100)</f>
        <v>4.0094837139792618</v>
      </c>
      <c r="U699" s="56">
        <f>STDEV(D699:L699)</f>
        <v>42.081533987935572</v>
      </c>
      <c r="V699" s="55" t="str">
        <f>IF(L700="","",(IF(T699&lt;7,IF(S699&gt;2800,IF(S699&lt;3800,"Pass","Fail"),"Fail"),"Fail")))</f>
        <v>Pass</v>
      </c>
      <c r="W699" s="54">
        <v>1335</v>
      </c>
      <c r="Z699" s="53">
        <v>2800</v>
      </c>
      <c r="AA699" s="53">
        <v>3800</v>
      </c>
      <c r="AB699" s="53">
        <v>3100</v>
      </c>
      <c r="AC699" s="53">
        <v>3760</v>
      </c>
      <c r="AD699" s="52">
        <v>6</v>
      </c>
    </row>
    <row r="700" spans="1:30" ht="16.5" customHeight="1" x14ac:dyDescent="0.35">
      <c r="A700" s="206"/>
      <c r="B700" s="48"/>
      <c r="C700" s="51" t="s">
        <v>157</v>
      </c>
      <c r="D700" s="8">
        <v>3548.68</v>
      </c>
      <c r="E700" s="8">
        <v>3548.68</v>
      </c>
      <c r="F700" s="8">
        <v>3548.68</v>
      </c>
      <c r="G700" s="8">
        <v>3548.68</v>
      </c>
      <c r="H700" s="8">
        <v>3548.68</v>
      </c>
      <c r="I700" s="8">
        <v>3548.68</v>
      </c>
      <c r="J700" s="8">
        <v>3548.68</v>
      </c>
      <c r="K700" s="8">
        <v>3548.68</v>
      </c>
      <c r="L700" s="8">
        <v>3548.68</v>
      </c>
      <c r="M700" s="50"/>
      <c r="N700" s="50"/>
      <c r="O700" s="50"/>
      <c r="P700" s="50"/>
      <c r="Q700" s="48"/>
      <c r="R700" s="48"/>
      <c r="S700" s="49"/>
      <c r="T700" s="48"/>
      <c r="U700" s="48"/>
      <c r="V700" s="47"/>
      <c r="W700" s="46"/>
      <c r="X700" s="8"/>
    </row>
    <row r="701" spans="1:30" ht="24.8" customHeight="1" thickBot="1" x14ac:dyDescent="0.4">
      <c r="A701" s="206"/>
      <c r="B701" s="42"/>
      <c r="C701" s="45" t="s">
        <v>156</v>
      </c>
      <c r="D701" s="44">
        <f t="shared" ref="D701:L701" si="228">IF(((D699="")*AND(D700="")),"",(D699-D700)*2)</f>
        <v>3306.6600000000008</v>
      </c>
      <c r="E701" s="44">
        <f t="shared" si="228"/>
        <v>3233.5999999999995</v>
      </c>
      <c r="F701" s="44">
        <f t="shared" si="228"/>
        <v>3306.5000000000009</v>
      </c>
      <c r="G701" s="44">
        <f t="shared" si="228"/>
        <v>3230.8200000000006</v>
      </c>
      <c r="H701" s="44">
        <f t="shared" si="228"/>
        <v>3396.0199999999995</v>
      </c>
      <c r="I701" s="44">
        <f t="shared" si="228"/>
        <v>3343.9000000000005</v>
      </c>
      <c r="J701" s="44">
        <f t="shared" si="228"/>
        <v>3290.4399999999996</v>
      </c>
      <c r="K701" s="44">
        <f t="shared" si="228"/>
        <v>3287.8200000000006</v>
      </c>
      <c r="L701" s="44">
        <f t="shared" si="228"/>
        <v>3500.7200000000003</v>
      </c>
      <c r="M701" s="44"/>
      <c r="N701" s="44"/>
      <c r="O701" s="44"/>
      <c r="P701" s="44"/>
      <c r="Q701" s="42"/>
      <c r="R701" s="42"/>
      <c r="S701" s="43"/>
      <c r="T701" s="42"/>
      <c r="U701" s="42"/>
      <c r="V701" s="41"/>
      <c r="W701" s="40"/>
      <c r="X701" s="8"/>
    </row>
    <row r="702" spans="1:30" x14ac:dyDescent="0.25">
      <c r="A702" s="202">
        <v>43354</v>
      </c>
      <c r="B702" s="63" t="s">
        <v>160</v>
      </c>
      <c r="C702" s="56" t="s">
        <v>158</v>
      </c>
      <c r="D702" s="8">
        <v>1911</v>
      </c>
      <c r="E702" s="8">
        <v>1907</v>
      </c>
      <c r="F702" s="8">
        <v>1906</v>
      </c>
      <c r="G702" s="8">
        <v>1908</v>
      </c>
      <c r="H702" s="8">
        <v>1913</v>
      </c>
      <c r="I702" s="8">
        <v>1911</v>
      </c>
      <c r="J702" s="8">
        <v>1906</v>
      </c>
      <c r="K702" s="8">
        <v>1908</v>
      </c>
      <c r="L702" s="8">
        <v>1909</v>
      </c>
      <c r="M702" s="62"/>
      <c r="N702" s="62"/>
      <c r="O702" s="62"/>
      <c r="P702" s="62"/>
      <c r="Q702" s="57">
        <f>IF((L703=""),"",MAX(D704:L704))</f>
        <v>3148</v>
      </c>
      <c r="R702" s="57">
        <f>IF(L703="","",MIN(D704:L704))</f>
        <v>2732</v>
      </c>
      <c r="S702" s="58">
        <f>IF((L704=""),"",AVERAGE(D704:L704))</f>
        <v>2924.8888888888887</v>
      </c>
      <c r="T702" s="57">
        <f>IF((L703=""),"",((Q702-R702)/(Q702+R702))*100)</f>
        <v>7.0748299319727899</v>
      </c>
      <c r="U702" s="56">
        <f>STDEV(D702:L702)</f>
        <v>2.4381231397212986</v>
      </c>
      <c r="V702" s="55" t="str">
        <f>IF(L703="","",(IF(T702&lt;12,IF(S702&gt;2200,IF(S702&lt;3280,"Pass","Fail"),"Fail"),"Fail")))</f>
        <v>Pass</v>
      </c>
      <c r="W702" s="54">
        <v>1340</v>
      </c>
      <c r="Z702" s="37">
        <v>2000</v>
      </c>
      <c r="AA702" s="37">
        <v>3000</v>
      </c>
      <c r="AB702" s="37">
        <v>2200</v>
      </c>
      <c r="AC702" s="37">
        <v>3280</v>
      </c>
      <c r="AD702" s="39">
        <v>12</v>
      </c>
    </row>
    <row r="703" spans="1:30" ht="16.5" customHeight="1" x14ac:dyDescent="0.35">
      <c r="A703" s="206"/>
      <c r="B703" s="48"/>
      <c r="C703" s="51" t="s">
        <v>157</v>
      </c>
      <c r="D703" s="8">
        <v>1153</v>
      </c>
      <c r="E703" s="8">
        <v>1199</v>
      </c>
      <c r="F703" s="8">
        <v>1223</v>
      </c>
      <c r="G703" s="8">
        <v>1199</v>
      </c>
      <c r="H703" s="8">
        <v>1143</v>
      </c>
      <c r="I703" s="8">
        <v>1163</v>
      </c>
      <c r="J703" s="8">
        <v>1209</v>
      </c>
      <c r="K703" s="8">
        <v>1187</v>
      </c>
      <c r="L703" s="8">
        <v>1122</v>
      </c>
      <c r="M703" s="50"/>
      <c r="N703" s="50"/>
      <c r="O703" s="50"/>
      <c r="P703" s="50"/>
      <c r="Q703" s="48"/>
      <c r="R703" s="48"/>
      <c r="S703" s="48"/>
      <c r="T703" s="48"/>
      <c r="U703" s="48"/>
      <c r="V703" s="47"/>
      <c r="W703" s="46"/>
      <c r="X703" s="8"/>
    </row>
    <row r="704" spans="1:30" ht="24.8" customHeight="1" thickBot="1" x14ac:dyDescent="0.4">
      <c r="A704" s="206"/>
      <c r="B704" s="61"/>
      <c r="C704" s="51" t="s">
        <v>156</v>
      </c>
      <c r="D704" s="24">
        <f t="shared" ref="D704:L704" si="229">IF(((D702="")*AND(D703="")),"",(D702-D703)*4)</f>
        <v>3032</v>
      </c>
      <c r="E704" s="24">
        <f t="shared" si="229"/>
        <v>2832</v>
      </c>
      <c r="F704" s="24">
        <f t="shared" si="229"/>
        <v>2732</v>
      </c>
      <c r="G704" s="24">
        <f t="shared" si="229"/>
        <v>2836</v>
      </c>
      <c r="H704" s="24">
        <f t="shared" si="229"/>
        <v>3080</v>
      </c>
      <c r="I704" s="24">
        <f t="shared" si="229"/>
        <v>2992</v>
      </c>
      <c r="J704" s="24">
        <f t="shared" si="229"/>
        <v>2788</v>
      </c>
      <c r="K704" s="24">
        <f t="shared" si="229"/>
        <v>2884</v>
      </c>
      <c r="L704" s="24">
        <f t="shared" si="229"/>
        <v>3148</v>
      </c>
      <c r="M704" s="24"/>
      <c r="N704" s="24"/>
      <c r="O704" s="24"/>
      <c r="P704" s="24" t="str">
        <f>IF(((P702="")*AND(P703="")),"",(P702-P703)*4)</f>
        <v/>
      </c>
      <c r="Q704" s="61"/>
      <c r="R704" s="61"/>
      <c r="S704" s="61"/>
      <c r="T704" s="61"/>
      <c r="U704" s="61"/>
      <c r="V704" s="60"/>
      <c r="W704" s="59"/>
      <c r="X704" s="8"/>
    </row>
    <row r="705" spans="1:30" x14ac:dyDescent="0.25">
      <c r="A705" s="202">
        <v>43354</v>
      </c>
      <c r="B705" s="57" t="s">
        <v>159</v>
      </c>
      <c r="C705" s="51" t="s">
        <v>158</v>
      </c>
      <c r="D705" s="8">
        <v>6848</v>
      </c>
      <c r="E705" s="8">
        <v>6858</v>
      </c>
      <c r="F705" s="8">
        <v>6907</v>
      </c>
      <c r="G705" s="8">
        <v>6855</v>
      </c>
      <c r="H705" s="8">
        <v>6859</v>
      </c>
      <c r="I705" s="8">
        <v>6865</v>
      </c>
      <c r="J705" s="8">
        <v>6885</v>
      </c>
      <c r="K705" s="8">
        <v>6899</v>
      </c>
      <c r="L705" s="8">
        <v>6963</v>
      </c>
      <c r="M705" s="50"/>
      <c r="N705" s="50"/>
      <c r="O705" s="50"/>
      <c r="P705" s="50"/>
      <c r="Q705" s="57">
        <f>IF((L706=""),"",MAX(D707:L707))</f>
        <v>3374</v>
      </c>
      <c r="R705" s="57">
        <f>IF(L706="","",MIN(D707:L707))</f>
        <v>3328</v>
      </c>
      <c r="S705" s="58">
        <f>IF((L707=""),"",AVERAGE(D707:L707))</f>
        <v>3355.1111111111113</v>
      </c>
      <c r="T705" s="57">
        <f>IF((L706=""),"",((Q705-R705)/(Q705+R705))*100)</f>
        <v>0.68636227991644283</v>
      </c>
      <c r="U705" s="56">
        <f>STDEV(D705:L705)</f>
        <v>36.679164536710914</v>
      </c>
      <c r="V705" s="55" t="str">
        <f>IF(L706="","",(IF(T705&lt;7,IF(S705&gt;2800,IF(S705&lt;3800,"Pass","Fail"),"Fail"),"Fail")))</f>
        <v>Pass</v>
      </c>
      <c r="W705" s="54">
        <v>1340</v>
      </c>
      <c r="Z705" s="53">
        <v>2800</v>
      </c>
      <c r="AA705" s="53">
        <v>3800</v>
      </c>
      <c r="AB705" s="53">
        <v>3100</v>
      </c>
      <c r="AC705" s="53">
        <v>3760</v>
      </c>
      <c r="AD705" s="52">
        <v>6</v>
      </c>
    </row>
    <row r="706" spans="1:30" ht="16.5" customHeight="1" x14ac:dyDescent="0.35">
      <c r="A706" s="206"/>
      <c r="B706" s="48"/>
      <c r="C706" s="51" t="s">
        <v>157</v>
      </c>
      <c r="D706" s="8">
        <v>5177</v>
      </c>
      <c r="E706" s="8">
        <v>5173</v>
      </c>
      <c r="F706" s="8">
        <v>5221</v>
      </c>
      <c r="G706" s="8">
        <v>5172</v>
      </c>
      <c r="H706" s="8">
        <v>5195</v>
      </c>
      <c r="I706" s="8">
        <v>5196</v>
      </c>
      <c r="J706" s="8">
        <v>5203</v>
      </c>
      <c r="K706" s="8">
        <v>5212</v>
      </c>
      <c r="L706" s="8">
        <v>5292</v>
      </c>
      <c r="M706" s="50"/>
      <c r="N706" s="50"/>
      <c r="O706" s="50"/>
      <c r="P706" s="50"/>
      <c r="Q706" s="48"/>
      <c r="R706" s="48"/>
      <c r="S706" s="49"/>
      <c r="T706" s="48"/>
      <c r="U706" s="48"/>
      <c r="V706" s="47"/>
      <c r="W706" s="46"/>
      <c r="X706" s="8"/>
    </row>
    <row r="707" spans="1:30" ht="24.8" customHeight="1" thickBot="1" x14ac:dyDescent="0.4">
      <c r="A707" s="206"/>
      <c r="B707" s="42"/>
      <c r="C707" s="45" t="s">
        <v>156</v>
      </c>
      <c r="D707" s="44">
        <f t="shared" ref="D707:L707" si="230">IF(((D705="")*AND(D706="")),"",(D705-D706)*2)</f>
        <v>3342</v>
      </c>
      <c r="E707" s="44">
        <f t="shared" si="230"/>
        <v>3370</v>
      </c>
      <c r="F707" s="44">
        <f t="shared" si="230"/>
        <v>3372</v>
      </c>
      <c r="G707" s="44">
        <f t="shared" si="230"/>
        <v>3366</v>
      </c>
      <c r="H707" s="44">
        <f t="shared" si="230"/>
        <v>3328</v>
      </c>
      <c r="I707" s="44">
        <f t="shared" si="230"/>
        <v>3338</v>
      </c>
      <c r="J707" s="44">
        <f t="shared" si="230"/>
        <v>3364</v>
      </c>
      <c r="K707" s="44">
        <f t="shared" si="230"/>
        <v>3374</v>
      </c>
      <c r="L707" s="44">
        <f t="shared" si="230"/>
        <v>3342</v>
      </c>
      <c r="M707" s="44"/>
      <c r="N707" s="44"/>
      <c r="O707" s="44"/>
      <c r="P707" s="44"/>
      <c r="Q707" s="42"/>
      <c r="R707" s="42"/>
      <c r="S707" s="43"/>
      <c r="T707" s="42"/>
      <c r="U707" s="42"/>
      <c r="V707" s="41"/>
      <c r="W707" s="40"/>
      <c r="X707" s="8"/>
    </row>
    <row r="708" spans="1:30" x14ac:dyDescent="0.25">
      <c r="A708" s="202">
        <v>43361</v>
      </c>
      <c r="B708" s="63" t="s">
        <v>160</v>
      </c>
      <c r="C708" s="56" t="s">
        <v>158</v>
      </c>
      <c r="D708" s="8">
        <v>1906.01</v>
      </c>
      <c r="E708" s="8">
        <v>1899.17</v>
      </c>
      <c r="F708" s="8">
        <v>1898.13</v>
      </c>
      <c r="G708" s="8">
        <v>1904.47</v>
      </c>
      <c r="H708" s="8">
        <v>1908.76</v>
      </c>
      <c r="I708" s="8">
        <v>1909.24</v>
      </c>
      <c r="J708" s="8">
        <v>1905.53</v>
      </c>
      <c r="K708" s="8">
        <v>1900.45</v>
      </c>
      <c r="L708" s="8">
        <v>1907.63</v>
      </c>
      <c r="M708" s="62"/>
      <c r="N708" s="62"/>
      <c r="O708" s="62"/>
      <c r="P708" s="62"/>
      <c r="Q708" s="57">
        <f>IF((L709=""),"",MAX(D710:L710))</f>
        <v>3120.7200000000003</v>
      </c>
      <c r="R708" s="57">
        <f>IF(L709="","",MIN(D710:L710))</f>
        <v>2686.6000000000004</v>
      </c>
      <c r="S708" s="58">
        <f>IF((L710=""),"",AVERAGE(D710:L710))</f>
        <v>2899.1688888888889</v>
      </c>
      <c r="T708" s="57">
        <f>IF((L709=""),"",((Q708-R708)/(Q708+R708))*100)</f>
        <v>7.4753931245393712</v>
      </c>
      <c r="U708" s="56">
        <f>STDEV(D708:L708)</f>
        <v>4.1684139669663054</v>
      </c>
      <c r="V708" s="55" t="str">
        <f>IF(L709="","",(IF(T708&lt;12,IF(S708&gt;2200,IF(S708&lt;3280,"Pass","Fail"),"Fail"),"Fail")))</f>
        <v>Pass</v>
      </c>
      <c r="W708" s="54">
        <v>1340</v>
      </c>
      <c r="X708" s="26" t="s">
        <v>168</v>
      </c>
      <c r="Z708" s="37">
        <v>2000</v>
      </c>
      <c r="AA708" s="37">
        <v>3000</v>
      </c>
      <c r="AB708" s="37">
        <v>2200</v>
      </c>
      <c r="AC708" s="37">
        <v>3280</v>
      </c>
      <c r="AD708" s="39">
        <v>12</v>
      </c>
    </row>
    <row r="709" spans="1:30" ht="16.5" customHeight="1" x14ac:dyDescent="0.35">
      <c r="A709" s="206"/>
      <c r="B709" s="48"/>
      <c r="C709" s="51" t="s">
        <v>157</v>
      </c>
      <c r="D709" s="8">
        <v>1157.94</v>
      </c>
      <c r="E709" s="8">
        <v>1197.52</v>
      </c>
      <c r="F709" s="8">
        <v>1226.48</v>
      </c>
      <c r="G709" s="8">
        <v>1196.44</v>
      </c>
      <c r="H709" s="8">
        <v>1146.8</v>
      </c>
      <c r="I709" s="8">
        <v>1170.6600000000001</v>
      </c>
      <c r="J709" s="8">
        <v>1209.5999999999999</v>
      </c>
      <c r="K709" s="8">
        <v>1183.3699999999999</v>
      </c>
      <c r="L709" s="8">
        <v>1127.45</v>
      </c>
      <c r="M709" s="50"/>
      <c r="N709" s="50"/>
      <c r="O709" s="50"/>
      <c r="P709" s="50"/>
      <c r="Q709" s="48"/>
      <c r="R709" s="48"/>
      <c r="S709" s="48"/>
      <c r="T709" s="48"/>
      <c r="U709" s="48"/>
      <c r="V709" s="47"/>
      <c r="W709" s="46"/>
      <c r="X709" s="8"/>
    </row>
    <row r="710" spans="1:30" ht="24.8" customHeight="1" thickBot="1" x14ac:dyDescent="0.4">
      <c r="A710" s="206"/>
      <c r="B710" s="61"/>
      <c r="C710" s="51" t="s">
        <v>156</v>
      </c>
      <c r="D710" s="24">
        <f t="shared" ref="D710:L710" si="231">IF(((D708="")*AND(D709="")),"",(D708-D709)*4)</f>
        <v>2992.2799999999997</v>
      </c>
      <c r="E710" s="24">
        <f t="shared" si="231"/>
        <v>2806.6000000000004</v>
      </c>
      <c r="F710" s="24">
        <f t="shared" si="231"/>
        <v>2686.6000000000004</v>
      </c>
      <c r="G710" s="24">
        <f t="shared" si="231"/>
        <v>2832.12</v>
      </c>
      <c r="H710" s="24">
        <f t="shared" si="231"/>
        <v>3047.84</v>
      </c>
      <c r="I710" s="24">
        <f t="shared" si="231"/>
        <v>2954.3199999999997</v>
      </c>
      <c r="J710" s="24">
        <f t="shared" si="231"/>
        <v>2783.7200000000003</v>
      </c>
      <c r="K710" s="24">
        <f t="shared" si="231"/>
        <v>2868.3200000000006</v>
      </c>
      <c r="L710" s="24">
        <f t="shared" si="231"/>
        <v>3120.7200000000003</v>
      </c>
      <c r="M710" s="24"/>
      <c r="N710" s="24"/>
      <c r="O710" s="24"/>
      <c r="P710" s="24" t="str">
        <f>IF(((P708="")*AND(P709="")),"",(P708-P709)*4)</f>
        <v/>
      </c>
      <c r="Q710" s="61"/>
      <c r="R710" s="61"/>
      <c r="S710" s="61"/>
      <c r="T710" s="61"/>
      <c r="U710" s="61"/>
      <c r="V710" s="60"/>
      <c r="W710" s="59"/>
      <c r="X710" s="8"/>
    </row>
    <row r="711" spans="1:30" x14ac:dyDescent="0.25">
      <c r="A711" s="202">
        <v>43361</v>
      </c>
      <c r="B711" s="57" t="s">
        <v>159</v>
      </c>
      <c r="C711" s="51" t="s">
        <v>158</v>
      </c>
      <c r="D711" s="8">
        <v>5177.1099999999997</v>
      </c>
      <c r="E711" s="8">
        <v>5173.83</v>
      </c>
      <c r="F711" s="8">
        <v>5221.3599999999997</v>
      </c>
      <c r="G711" s="8">
        <v>5172.67</v>
      </c>
      <c r="H711" s="8">
        <v>5195.08</v>
      </c>
      <c r="I711" s="8">
        <v>5196.74</v>
      </c>
      <c r="J711" s="8">
        <v>5203.8500000000004</v>
      </c>
      <c r="K711" s="8">
        <v>5212.57</v>
      </c>
      <c r="L711" s="8">
        <v>5292.47</v>
      </c>
      <c r="M711" s="50"/>
      <c r="N711" s="50"/>
      <c r="O711" s="50"/>
      <c r="P711" s="50"/>
      <c r="Q711" s="57">
        <f>IF((L712=""),"",MAX(D713:L713))</f>
        <v>3344.3599999999997</v>
      </c>
      <c r="R711" s="57">
        <f>IF(L712="","",MIN(D713:L713))</f>
        <v>3285.9199999999992</v>
      </c>
      <c r="S711" s="58">
        <f>IF((L713=""),"",AVERAGE(D713:L713))</f>
        <v>3319.657777777777</v>
      </c>
      <c r="T711" s="57">
        <f>IF((L712=""),"",((Q711-R711)/(Q711+R711))*100)</f>
        <v>0.88141073981793405</v>
      </c>
      <c r="U711" s="56">
        <f>STDEV(D711:L711)</f>
        <v>36.977206530209713</v>
      </c>
      <c r="V711" s="55" t="str">
        <f>IF(L712="","",(IF(T711&lt;7,IF(S711&gt;2800,IF(S711&lt;3800,"Pass","Fail"),"Fail"),"Fail")))</f>
        <v>Pass</v>
      </c>
      <c r="W711" s="54">
        <v>1340</v>
      </c>
      <c r="X711" s="26" t="s">
        <v>168</v>
      </c>
      <c r="Z711" s="53">
        <v>2800</v>
      </c>
      <c r="AA711" s="53">
        <v>3800</v>
      </c>
      <c r="AB711" s="53">
        <v>3100</v>
      </c>
      <c r="AC711" s="53">
        <v>3760</v>
      </c>
      <c r="AD711" s="52">
        <v>6</v>
      </c>
    </row>
    <row r="712" spans="1:30" ht="16.5" customHeight="1" x14ac:dyDescent="0.35">
      <c r="A712" s="206"/>
      <c r="B712" s="48"/>
      <c r="C712" s="51" t="s">
        <v>157</v>
      </c>
      <c r="D712" s="8">
        <v>3528.03</v>
      </c>
      <c r="E712" s="8">
        <v>3504.4</v>
      </c>
      <c r="F712" s="8">
        <v>3549.18</v>
      </c>
      <c r="G712" s="8">
        <v>3506.15</v>
      </c>
      <c r="H712" s="8">
        <v>3550.98</v>
      </c>
      <c r="I712" s="8">
        <v>3553.78</v>
      </c>
      <c r="J712" s="8">
        <v>3538.54</v>
      </c>
      <c r="K712" s="8">
        <v>3540.68</v>
      </c>
      <c r="L712" s="8">
        <v>3635.48</v>
      </c>
      <c r="M712" s="50"/>
      <c r="N712" s="50"/>
      <c r="O712" s="50"/>
      <c r="P712" s="50"/>
      <c r="Q712" s="48"/>
      <c r="R712" s="48"/>
      <c r="S712" s="49"/>
      <c r="T712" s="48"/>
      <c r="U712" s="48"/>
      <c r="V712" s="47"/>
      <c r="W712" s="46"/>
      <c r="X712" s="8"/>
    </row>
    <row r="713" spans="1:30" ht="24.8" customHeight="1" thickBot="1" x14ac:dyDescent="0.4">
      <c r="A713" s="206"/>
      <c r="B713" s="42"/>
      <c r="C713" s="45" t="s">
        <v>156</v>
      </c>
      <c r="D713" s="44">
        <f t="shared" ref="D713:L713" si="232">IF(((D711="")*AND(D712="")),"",(D711-D712)*2)</f>
        <v>3298.1599999999989</v>
      </c>
      <c r="E713" s="44">
        <f t="shared" si="232"/>
        <v>3338.8599999999997</v>
      </c>
      <c r="F713" s="44">
        <f t="shared" si="232"/>
        <v>3344.3599999999997</v>
      </c>
      <c r="G713" s="44">
        <f t="shared" si="232"/>
        <v>3333.04</v>
      </c>
      <c r="H713" s="44">
        <f t="shared" si="232"/>
        <v>3288.2</v>
      </c>
      <c r="I713" s="44">
        <f t="shared" si="232"/>
        <v>3285.9199999999992</v>
      </c>
      <c r="J713" s="44">
        <f t="shared" si="232"/>
        <v>3330.6200000000008</v>
      </c>
      <c r="K713" s="44">
        <f t="shared" si="232"/>
        <v>3343.7799999999997</v>
      </c>
      <c r="L713" s="44">
        <f t="shared" si="232"/>
        <v>3313.9800000000005</v>
      </c>
      <c r="M713" s="44"/>
      <c r="N713" s="44"/>
      <c r="O713" s="44"/>
      <c r="P713" s="44"/>
      <c r="Q713" s="42"/>
      <c r="R713" s="42"/>
      <c r="S713" s="43"/>
      <c r="T713" s="42"/>
      <c r="U713" s="42"/>
      <c r="V713" s="41"/>
      <c r="W713" s="40"/>
      <c r="X713" s="8"/>
    </row>
    <row r="714" spans="1:30" x14ac:dyDescent="0.25">
      <c r="A714" s="202">
        <v>43368</v>
      </c>
      <c r="B714" s="63" t="s">
        <v>160</v>
      </c>
      <c r="C714" s="56" t="s">
        <v>158</v>
      </c>
      <c r="D714" s="8">
        <v>1963.69</v>
      </c>
      <c r="E714" s="8">
        <v>1948.35</v>
      </c>
      <c r="F714" s="8">
        <v>1949.25</v>
      </c>
      <c r="G714" s="8">
        <v>1947.73</v>
      </c>
      <c r="H714" s="8">
        <v>1963.86</v>
      </c>
      <c r="I714" s="8">
        <v>1963.42</v>
      </c>
      <c r="J714" s="8">
        <v>1947.98</v>
      </c>
      <c r="K714" s="8">
        <v>1950.95</v>
      </c>
      <c r="L714" s="8">
        <v>1959.85</v>
      </c>
      <c r="M714" s="62"/>
      <c r="N714" s="62"/>
      <c r="O714" s="62"/>
      <c r="P714" s="62"/>
      <c r="Q714" s="57">
        <f>IF((L715=""),"",MAX(D716:L716))</f>
        <v>3360.16</v>
      </c>
      <c r="R714" s="57">
        <f>IF(L715="","",MIN(D716:L716))</f>
        <v>2898.3199999999997</v>
      </c>
      <c r="S714" s="58">
        <f>IF((L716=""),"",AVERAGE(D716:L716))</f>
        <v>3102.8977777777777</v>
      </c>
      <c r="T714" s="57">
        <f>IF((L715=""),"",((Q714-R714)/(Q714+R714))*100)</f>
        <v>7.3794275926423056</v>
      </c>
      <c r="U714" s="56">
        <f>STDEV(D714:L714)</f>
        <v>7.4519686064228079</v>
      </c>
      <c r="V714" s="55" t="str">
        <f>IF(L715="","",(IF(T714&lt;12,IF(S714&gt;2200,IF(S714&lt;3280,"Pass","Fail"),"Fail"),"Fail")))</f>
        <v>Pass</v>
      </c>
      <c r="W714" s="54">
        <v>1340</v>
      </c>
      <c r="Z714" s="37">
        <v>2000</v>
      </c>
      <c r="AA714" s="37">
        <v>3000</v>
      </c>
      <c r="AB714" s="37">
        <v>2200</v>
      </c>
      <c r="AC714" s="37">
        <v>3280</v>
      </c>
      <c r="AD714" s="39">
        <v>12</v>
      </c>
    </row>
    <row r="715" spans="1:30" ht="16.5" customHeight="1" x14ac:dyDescent="0.35">
      <c r="A715" s="206"/>
      <c r="B715" s="48"/>
      <c r="C715" s="51" t="s">
        <v>157</v>
      </c>
      <c r="D715" s="8">
        <v>1149.93</v>
      </c>
      <c r="E715" s="8">
        <v>1201.93</v>
      </c>
      <c r="F715" s="8">
        <v>1224.67</v>
      </c>
      <c r="G715" s="8">
        <v>1206.01</v>
      </c>
      <c r="H715" s="8">
        <v>1141.18</v>
      </c>
      <c r="I715" s="8">
        <v>1163.57</v>
      </c>
      <c r="J715" s="8">
        <v>1213.82</v>
      </c>
      <c r="K715" s="8">
        <v>1192.6400000000001</v>
      </c>
      <c r="L715" s="8">
        <v>1119.81</v>
      </c>
      <c r="M715" s="50"/>
      <c r="N715" s="50"/>
      <c r="O715" s="50"/>
      <c r="P715" s="50"/>
      <c r="Q715" s="48"/>
      <c r="R715" s="48"/>
      <c r="S715" s="48"/>
      <c r="T715" s="48"/>
      <c r="U715" s="48"/>
      <c r="V715" s="47"/>
      <c r="W715" s="46"/>
      <c r="X715" s="8"/>
    </row>
    <row r="716" spans="1:30" ht="24.8" customHeight="1" thickBot="1" x14ac:dyDescent="0.4">
      <c r="A716" s="206"/>
      <c r="B716" s="61"/>
      <c r="C716" s="51" t="s">
        <v>156</v>
      </c>
      <c r="D716" s="24">
        <f t="shared" ref="D716:L716" si="233">IF(((D714="")*AND(D715="")),"",(D714-D715)*4)</f>
        <v>3255.04</v>
      </c>
      <c r="E716" s="24">
        <f t="shared" si="233"/>
        <v>2985.6799999999994</v>
      </c>
      <c r="F716" s="24">
        <f t="shared" si="233"/>
        <v>2898.3199999999997</v>
      </c>
      <c r="G716" s="24">
        <f t="shared" si="233"/>
        <v>2966.88</v>
      </c>
      <c r="H716" s="24">
        <f t="shared" si="233"/>
        <v>3290.7199999999993</v>
      </c>
      <c r="I716" s="24">
        <f t="shared" si="233"/>
        <v>3199.4000000000005</v>
      </c>
      <c r="J716" s="24">
        <f t="shared" si="233"/>
        <v>2936.6400000000003</v>
      </c>
      <c r="K716" s="24">
        <f t="shared" si="233"/>
        <v>3033.24</v>
      </c>
      <c r="L716" s="24">
        <f t="shared" si="233"/>
        <v>3360.16</v>
      </c>
      <c r="M716" s="24"/>
      <c r="N716" s="24"/>
      <c r="O716" s="24"/>
      <c r="P716" s="24" t="str">
        <f>IF(((P714="")*AND(P715="")),"",(P714-P715)*4)</f>
        <v/>
      </c>
      <c r="Q716" s="61"/>
      <c r="R716" s="61"/>
      <c r="S716" s="61"/>
      <c r="T716" s="61"/>
      <c r="U716" s="61"/>
      <c r="V716" s="60"/>
      <c r="W716" s="59"/>
      <c r="X716" s="8"/>
    </row>
    <row r="717" spans="1:30" x14ac:dyDescent="0.25">
      <c r="A717" s="202">
        <v>43361</v>
      </c>
      <c r="B717" s="57" t="s">
        <v>159</v>
      </c>
      <c r="C717" s="51" t="s">
        <v>158</v>
      </c>
      <c r="D717" s="8">
        <v>6854.9</v>
      </c>
      <c r="E717" s="8">
        <v>6839.26</v>
      </c>
      <c r="F717" s="8">
        <v>6888.43</v>
      </c>
      <c r="G717" s="8">
        <v>6850.46</v>
      </c>
      <c r="H717" s="8">
        <v>6914.58</v>
      </c>
      <c r="I717" s="8">
        <v>6878.85</v>
      </c>
      <c r="J717" s="8">
        <v>6875.31</v>
      </c>
      <c r="K717" s="8">
        <v>6879.72</v>
      </c>
      <c r="L717" s="8">
        <v>6964.13</v>
      </c>
      <c r="M717" s="50"/>
      <c r="N717" s="50"/>
      <c r="O717" s="50"/>
      <c r="P717" s="50"/>
      <c r="Q717" s="57">
        <f>IF((L718=""),"",MAX(D719:L719))</f>
        <v>3422.4399999999987</v>
      </c>
      <c r="R717" s="57">
        <f>IF(L718="","",MIN(D719:L719))</f>
        <v>3377.119999999999</v>
      </c>
      <c r="S717" s="58">
        <f>IF((L719=""),"",AVERAGE(D719:L719))</f>
        <v>3404.5111111111109</v>
      </c>
      <c r="T717" s="57">
        <f>IF((L718=""),"",((Q717-R717)/(Q717+R717))*100)</f>
        <v>0.66651371559335781</v>
      </c>
      <c r="U717" s="56">
        <f>STDEV(D717:L717)</f>
        <v>37.84411924078973</v>
      </c>
      <c r="V717" s="55" t="str">
        <f>IF(L718="","",(IF(T717&lt;7,IF(S717&gt;2800,IF(S717&lt;3800,"Pass","Fail"),"Fail"),"Fail")))</f>
        <v>Pass</v>
      </c>
      <c r="W717" s="54">
        <v>1340</v>
      </c>
      <c r="Z717" s="53">
        <v>2800</v>
      </c>
      <c r="AA717" s="53">
        <v>3800</v>
      </c>
      <c r="AB717" s="53">
        <v>3100</v>
      </c>
      <c r="AC717" s="53">
        <v>3760</v>
      </c>
      <c r="AD717" s="52">
        <v>6</v>
      </c>
    </row>
    <row r="718" spans="1:30" ht="16.5" customHeight="1" x14ac:dyDescent="0.35">
      <c r="A718" s="206"/>
      <c r="B718" s="48"/>
      <c r="C718" s="51" t="s">
        <v>157</v>
      </c>
      <c r="D718" s="8">
        <v>5143.68</v>
      </c>
      <c r="E718" s="8">
        <v>5129.3500000000004</v>
      </c>
      <c r="F718" s="8">
        <v>5184.6000000000004</v>
      </c>
      <c r="G718" s="8">
        <v>5149.3</v>
      </c>
      <c r="H718" s="8">
        <v>5226.0200000000004</v>
      </c>
      <c r="I718" s="8">
        <v>5171.55</v>
      </c>
      <c r="J718" s="8">
        <v>5172.4799999999996</v>
      </c>
      <c r="K718" s="8">
        <v>5177.1000000000004</v>
      </c>
      <c r="L718" s="8">
        <v>5271.26</v>
      </c>
      <c r="M718" s="50"/>
      <c r="N718" s="50"/>
      <c r="O718" s="50"/>
      <c r="P718" s="50"/>
      <c r="Q718" s="48"/>
      <c r="R718" s="48"/>
      <c r="S718" s="49"/>
      <c r="T718" s="48"/>
      <c r="U718" s="48"/>
      <c r="V718" s="47"/>
      <c r="W718" s="46"/>
      <c r="X718" s="8"/>
    </row>
    <row r="719" spans="1:30" ht="24.8" customHeight="1" thickBot="1" x14ac:dyDescent="0.4">
      <c r="A719" s="206"/>
      <c r="B719" s="42"/>
      <c r="C719" s="45" t="s">
        <v>156</v>
      </c>
      <c r="D719" s="44">
        <f t="shared" ref="D719:L719" si="234">IF(((D717="")*AND(D718="")),"",(D717-D718)*2)</f>
        <v>3422.4399999999987</v>
      </c>
      <c r="E719" s="44">
        <f t="shared" si="234"/>
        <v>3419.8199999999997</v>
      </c>
      <c r="F719" s="44">
        <f t="shared" si="234"/>
        <v>3407.66</v>
      </c>
      <c r="G719" s="44">
        <f t="shared" si="234"/>
        <v>3402.3199999999997</v>
      </c>
      <c r="H719" s="44">
        <f t="shared" si="234"/>
        <v>3377.119999999999</v>
      </c>
      <c r="I719" s="44">
        <f t="shared" si="234"/>
        <v>3414.6000000000004</v>
      </c>
      <c r="J719" s="44">
        <f t="shared" si="234"/>
        <v>3405.6600000000017</v>
      </c>
      <c r="K719" s="44">
        <f t="shared" si="234"/>
        <v>3405.24</v>
      </c>
      <c r="L719" s="44">
        <f t="shared" si="234"/>
        <v>3385.74</v>
      </c>
      <c r="M719" s="44"/>
      <c r="N719" s="44"/>
      <c r="O719" s="44"/>
      <c r="P719" s="44"/>
      <c r="Q719" s="42"/>
      <c r="R719" s="42"/>
      <c r="S719" s="43"/>
      <c r="T719" s="42"/>
      <c r="U719" s="42"/>
      <c r="V719" s="41"/>
      <c r="W719" s="40"/>
      <c r="X719" s="8"/>
    </row>
    <row r="720" spans="1:30" x14ac:dyDescent="0.25">
      <c r="A720" s="202">
        <v>43371</v>
      </c>
      <c r="B720" s="63" t="s">
        <v>160</v>
      </c>
      <c r="C720" s="56" t="s">
        <v>158</v>
      </c>
      <c r="D720" s="8">
        <v>2145.7399999999998</v>
      </c>
      <c r="E720" s="8">
        <v>2115.46</v>
      </c>
      <c r="F720" s="8">
        <v>2109.67</v>
      </c>
      <c r="G720" s="8">
        <v>2119.59</v>
      </c>
      <c r="H720" s="8">
        <v>2146.5300000000002</v>
      </c>
      <c r="I720" s="8">
        <v>2135.56</v>
      </c>
      <c r="J720" s="8">
        <v>2111.9899999999998</v>
      </c>
      <c r="K720" s="8">
        <v>2124.2199999999998</v>
      </c>
      <c r="L720" s="8">
        <v>2151.44</v>
      </c>
      <c r="M720" s="62"/>
      <c r="N720" s="62"/>
      <c r="O720" s="62"/>
      <c r="P720" s="62"/>
      <c r="Q720" s="57">
        <f>IF((L721=""),"",MAX(D722:L722))</f>
        <v>3426.8</v>
      </c>
      <c r="R720" s="57">
        <f>IF(L721="","",MIN(D722:L722))</f>
        <v>2917.3600000000006</v>
      </c>
      <c r="S720" s="58">
        <f>IF((L722=""),"",AVERAGE(D722:L722))</f>
        <v>3135.5288888888886</v>
      </c>
      <c r="T720" s="57">
        <f>IF((L721=""),"",((Q720-R720)/(Q720+R720))*100)</f>
        <v>8.0300622935108752</v>
      </c>
      <c r="U720" s="56">
        <f>STDEV(D720:L720)</f>
        <v>16.170040541418306</v>
      </c>
      <c r="V720" s="55" t="str">
        <f>IF(L721="","",(IF(T720&lt;12,IF(S720&gt;2200,IF(S720&lt;3280,"Pass","Fail"),"Fail"),"Fail")))</f>
        <v>Pass</v>
      </c>
      <c r="W720" s="54">
        <v>1340</v>
      </c>
      <c r="Z720" s="37">
        <v>2000</v>
      </c>
      <c r="AA720" s="37">
        <v>3000</v>
      </c>
      <c r="AB720" s="37">
        <v>2200</v>
      </c>
      <c r="AC720" s="37">
        <v>3280</v>
      </c>
      <c r="AD720" s="39">
        <v>12</v>
      </c>
    </row>
    <row r="721" spans="1:30" ht="16.5" customHeight="1" x14ac:dyDescent="0.35">
      <c r="A721" s="206"/>
      <c r="B721" s="48"/>
      <c r="C721" s="51" t="s">
        <v>157</v>
      </c>
      <c r="D721" s="8">
        <v>1321.4</v>
      </c>
      <c r="E721" s="8">
        <v>1364.61</v>
      </c>
      <c r="F721" s="8">
        <v>1380.33</v>
      </c>
      <c r="G721" s="8">
        <v>1368.83</v>
      </c>
      <c r="H721" s="8">
        <v>1314.38</v>
      </c>
      <c r="I721" s="8">
        <v>1332.15</v>
      </c>
      <c r="J721" s="8">
        <v>1372.72</v>
      </c>
      <c r="K721" s="8">
        <v>1356.1</v>
      </c>
      <c r="L721" s="8">
        <v>1294.74</v>
      </c>
      <c r="M721" s="50"/>
      <c r="N721" s="50"/>
      <c r="O721" s="50"/>
      <c r="P721" s="50"/>
      <c r="Q721" s="48"/>
      <c r="R721" s="48"/>
      <c r="S721" s="48"/>
      <c r="T721" s="48"/>
      <c r="U721" s="48"/>
      <c r="V721" s="47"/>
      <c r="W721" s="46"/>
      <c r="X721" s="8"/>
    </row>
    <row r="722" spans="1:30" ht="24.8" customHeight="1" thickBot="1" x14ac:dyDescent="0.4">
      <c r="A722" s="206"/>
      <c r="B722" s="61"/>
      <c r="C722" s="51" t="s">
        <v>156</v>
      </c>
      <c r="D722" s="24">
        <f t="shared" ref="D722:L722" si="235">IF(((D720="")*AND(D721="")),"",(D720-D721)*4)</f>
        <v>3297.3599999999988</v>
      </c>
      <c r="E722" s="24">
        <f t="shared" si="235"/>
        <v>3003.4000000000005</v>
      </c>
      <c r="F722" s="24">
        <f t="shared" si="235"/>
        <v>2917.3600000000006</v>
      </c>
      <c r="G722" s="24">
        <f t="shared" si="235"/>
        <v>3003.0400000000009</v>
      </c>
      <c r="H722" s="24">
        <f t="shared" si="235"/>
        <v>3328.6000000000004</v>
      </c>
      <c r="I722" s="24">
        <f t="shared" si="235"/>
        <v>3213.6399999999994</v>
      </c>
      <c r="J722" s="24">
        <f t="shared" si="235"/>
        <v>2957.079999999999</v>
      </c>
      <c r="K722" s="24">
        <f t="shared" si="235"/>
        <v>3072.4799999999996</v>
      </c>
      <c r="L722" s="24">
        <f t="shared" si="235"/>
        <v>3426.8</v>
      </c>
      <c r="M722" s="24"/>
      <c r="N722" s="24"/>
      <c r="O722" s="24"/>
      <c r="P722" s="24" t="str">
        <f>IF(((P720="")*AND(P721="")),"",(P720-P721)*4)</f>
        <v/>
      </c>
      <c r="Q722" s="61"/>
      <c r="R722" s="61"/>
      <c r="S722" s="61"/>
      <c r="T722" s="61"/>
      <c r="U722" s="61"/>
      <c r="V722" s="60"/>
      <c r="W722" s="59"/>
      <c r="X722" s="8"/>
    </row>
    <row r="723" spans="1:30" x14ac:dyDescent="0.25">
      <c r="A723" s="202">
        <v>43371</v>
      </c>
      <c r="B723" s="57" t="s">
        <v>159</v>
      </c>
      <c r="C723" s="51" t="s">
        <v>158</v>
      </c>
      <c r="D723" s="8">
        <v>5143.68</v>
      </c>
      <c r="E723" s="8">
        <v>5129.3500000000004</v>
      </c>
      <c r="F723" s="8">
        <v>5184.6000000000004</v>
      </c>
      <c r="G723" s="8">
        <v>5149.3</v>
      </c>
      <c r="H723" s="8">
        <v>5226.0200000000004</v>
      </c>
      <c r="I723" s="8">
        <v>5171.55</v>
      </c>
      <c r="J723" s="8">
        <v>5172.4799999999996</v>
      </c>
      <c r="K723" s="8">
        <v>5177.1000000000004</v>
      </c>
      <c r="L723" s="8">
        <v>5271.26</v>
      </c>
      <c r="M723" s="50"/>
      <c r="N723" s="50"/>
      <c r="O723" s="50"/>
      <c r="P723" s="50"/>
      <c r="Q723" s="57">
        <f>IF((L724=""),"",MAX(D725:L725))</f>
        <v>3427.0200000000004</v>
      </c>
      <c r="R723" s="57">
        <f>IF(L724="","",MIN(D725:L725))</f>
        <v>3375.3</v>
      </c>
      <c r="S723" s="58">
        <f>IF((L725=""),"",AVERAGE(D725:L725))</f>
        <v>3404.3866666666672</v>
      </c>
      <c r="T723" s="57">
        <f>IF((L724=""),"",((Q723-R723)/(Q723+R723))*100)</f>
        <v>0.76032882898776077</v>
      </c>
      <c r="U723" s="56">
        <f>STDEV(D723:L723)</f>
        <v>43.914173964677985</v>
      </c>
      <c r="V723" s="55" t="str">
        <f>IF(L724="","",(IF(T723&lt;7,IF(S723&gt;2800,IF(S723&lt;3800,"Pass","Fail"),"Fail"),"Fail")))</f>
        <v>Pass</v>
      </c>
      <c r="W723" s="54">
        <v>1340</v>
      </c>
      <c r="Z723" s="53">
        <v>2800</v>
      </c>
      <c r="AA723" s="53">
        <v>3800</v>
      </c>
      <c r="AB723" s="53">
        <v>3100</v>
      </c>
      <c r="AC723" s="53">
        <v>3760</v>
      </c>
      <c r="AD723" s="52">
        <v>6</v>
      </c>
    </row>
    <row r="724" spans="1:30" ht="16.5" customHeight="1" x14ac:dyDescent="0.35">
      <c r="A724" s="206"/>
      <c r="B724" s="48"/>
      <c r="C724" s="51" t="s">
        <v>157</v>
      </c>
      <c r="D724" s="8">
        <v>3437.39</v>
      </c>
      <c r="E724" s="8">
        <v>3420.68</v>
      </c>
      <c r="F724" s="8">
        <v>3481.22</v>
      </c>
      <c r="G724" s="8">
        <v>3446.99</v>
      </c>
      <c r="H724" s="8">
        <v>3529.07</v>
      </c>
      <c r="I724" s="8">
        <v>3458.04</v>
      </c>
      <c r="J724" s="8">
        <v>3469.96</v>
      </c>
      <c r="K724" s="8">
        <v>3478.64</v>
      </c>
      <c r="L724" s="8">
        <v>3583.61</v>
      </c>
      <c r="M724" s="50"/>
      <c r="N724" s="50"/>
      <c r="O724" s="50"/>
      <c r="P724" s="50"/>
      <c r="Q724" s="48"/>
      <c r="R724" s="48"/>
      <c r="S724" s="49"/>
      <c r="T724" s="48"/>
      <c r="U724" s="48"/>
      <c r="V724" s="47"/>
      <c r="W724" s="46"/>
      <c r="X724" s="8"/>
    </row>
    <row r="725" spans="1:30" ht="24.8" customHeight="1" thickBot="1" x14ac:dyDescent="0.4">
      <c r="A725" s="206"/>
      <c r="B725" s="42"/>
      <c r="C725" s="45" t="s">
        <v>156</v>
      </c>
      <c r="D725" s="44">
        <f t="shared" ref="D725:L725" si="236">IF(((D723="")*AND(D724="")),"",(D723-D724)*2)</f>
        <v>3412.5800000000008</v>
      </c>
      <c r="E725" s="44">
        <f t="shared" si="236"/>
        <v>3417.3400000000011</v>
      </c>
      <c r="F725" s="44">
        <f t="shared" si="236"/>
        <v>3406.7600000000011</v>
      </c>
      <c r="G725" s="44">
        <f t="shared" si="236"/>
        <v>3404.6200000000008</v>
      </c>
      <c r="H725" s="44">
        <f t="shared" si="236"/>
        <v>3393.9000000000005</v>
      </c>
      <c r="I725" s="44">
        <f t="shared" si="236"/>
        <v>3427.0200000000004</v>
      </c>
      <c r="J725" s="44">
        <f t="shared" si="236"/>
        <v>3405.0399999999991</v>
      </c>
      <c r="K725" s="44">
        <f t="shared" si="236"/>
        <v>3396.920000000001</v>
      </c>
      <c r="L725" s="44">
        <f t="shared" si="236"/>
        <v>3375.3</v>
      </c>
      <c r="M725" s="44"/>
      <c r="N725" s="44"/>
      <c r="O725" s="44"/>
      <c r="P725" s="44"/>
      <c r="Q725" s="42"/>
      <c r="R725" s="42"/>
      <c r="S725" s="43"/>
      <c r="T725" s="42"/>
      <c r="U725" s="42"/>
      <c r="V725" s="41"/>
      <c r="W725" s="40"/>
      <c r="X725" s="8"/>
    </row>
    <row r="726" spans="1:30" x14ac:dyDescent="0.25">
      <c r="A726" s="202">
        <v>43378</v>
      </c>
      <c r="B726" s="63" t="s">
        <v>160</v>
      </c>
      <c r="C726" s="56" t="s">
        <v>158</v>
      </c>
      <c r="D726" s="8">
        <v>1909.82</v>
      </c>
      <c r="E726" s="8">
        <v>1904.03</v>
      </c>
      <c r="F726" s="8">
        <v>1906.65</v>
      </c>
      <c r="G726" s="8">
        <v>1904.13</v>
      </c>
      <c r="H726" s="8">
        <v>1909.6</v>
      </c>
      <c r="I726" s="8">
        <v>1906.32</v>
      </c>
      <c r="J726" s="8">
        <v>1903.44</v>
      </c>
      <c r="K726" s="8">
        <v>1904.68</v>
      </c>
      <c r="L726" s="8">
        <v>1913.37</v>
      </c>
      <c r="M726" s="62"/>
      <c r="N726" s="62"/>
      <c r="O726" s="62"/>
      <c r="P726" s="62"/>
      <c r="Q726" s="57">
        <f>IF((L727=""),"",MAX(D728:L728))</f>
        <v>3205.3199999999997</v>
      </c>
      <c r="R726" s="57">
        <f>IF(L727="","",MIN(D728:L728))</f>
        <v>2750.3200000000006</v>
      </c>
      <c r="S726" s="58">
        <f>IF((L728=""),"",AVERAGE(D728:L728))</f>
        <v>2931.2666666666669</v>
      </c>
      <c r="T726" s="57">
        <f>IF((L727=""),"",((Q726-R726)/(Q726+R726))*100)</f>
        <v>7.6398170473702081</v>
      </c>
      <c r="U726" s="56">
        <f>STDEV(D726:L726)</f>
        <v>3.3705637510659221</v>
      </c>
      <c r="V726" s="55" t="str">
        <f>IF(L727="","",(IF(T726&lt;12,IF(S726&gt;2200,IF(S726&lt;3280,"Pass","Fail"),"Fail"),"Fail")))</f>
        <v>Pass</v>
      </c>
      <c r="W726" s="54">
        <v>1340</v>
      </c>
      <c r="X726" s="26" t="s">
        <v>167</v>
      </c>
      <c r="Z726" s="37">
        <v>2000</v>
      </c>
      <c r="AA726" s="37">
        <v>3000</v>
      </c>
      <c r="AB726" s="37">
        <v>2200</v>
      </c>
      <c r="AC726" s="37">
        <v>3280</v>
      </c>
      <c r="AD726" s="39">
        <v>12</v>
      </c>
    </row>
    <row r="727" spans="1:30" ht="16.5" customHeight="1" x14ac:dyDescent="0.35">
      <c r="A727" s="206"/>
      <c r="B727" s="48"/>
      <c r="C727" s="51" t="s">
        <v>157</v>
      </c>
      <c r="D727" s="8">
        <v>1151</v>
      </c>
      <c r="E727" s="8">
        <v>1198.8599999999999</v>
      </c>
      <c r="F727" s="8">
        <v>1219.07</v>
      </c>
      <c r="G727" s="8">
        <v>1196.28</v>
      </c>
      <c r="H727" s="8">
        <v>1135.52</v>
      </c>
      <c r="I727" s="8">
        <v>1162.1500000000001</v>
      </c>
      <c r="J727" s="8">
        <v>1210.3499999999999</v>
      </c>
      <c r="K727" s="8">
        <v>1181.42</v>
      </c>
      <c r="L727" s="8">
        <v>1112.04</v>
      </c>
      <c r="M727" s="50"/>
      <c r="N727" s="50"/>
      <c r="O727" s="50"/>
      <c r="P727" s="50"/>
      <c r="Q727" s="48"/>
      <c r="R727" s="48"/>
      <c r="S727" s="48"/>
      <c r="T727" s="48"/>
      <c r="U727" s="48"/>
      <c r="V727" s="47"/>
      <c r="W727" s="46"/>
      <c r="X727" s="8"/>
    </row>
    <row r="728" spans="1:30" ht="24.8" customHeight="1" thickBot="1" x14ac:dyDescent="0.4">
      <c r="A728" s="206"/>
      <c r="B728" s="61"/>
      <c r="C728" s="51" t="s">
        <v>156</v>
      </c>
      <c r="D728" s="24">
        <f t="shared" ref="D728:L728" si="237">IF(((D726="")*AND(D727="")),"",(D726-D727)*4)</f>
        <v>3035.2799999999997</v>
      </c>
      <c r="E728" s="24">
        <f t="shared" si="237"/>
        <v>2820.6800000000003</v>
      </c>
      <c r="F728" s="24">
        <f t="shared" si="237"/>
        <v>2750.3200000000006</v>
      </c>
      <c r="G728" s="24">
        <f t="shared" si="237"/>
        <v>2831.4000000000005</v>
      </c>
      <c r="H728" s="24">
        <f t="shared" si="237"/>
        <v>3096.3199999999997</v>
      </c>
      <c r="I728" s="24">
        <f t="shared" si="237"/>
        <v>2976.6799999999994</v>
      </c>
      <c r="J728" s="24">
        <f t="shared" si="237"/>
        <v>2772.3600000000006</v>
      </c>
      <c r="K728" s="24">
        <f t="shared" si="237"/>
        <v>2893.04</v>
      </c>
      <c r="L728" s="24">
        <f t="shared" si="237"/>
        <v>3205.3199999999997</v>
      </c>
      <c r="M728" s="24"/>
      <c r="N728" s="24"/>
      <c r="O728" s="24"/>
      <c r="P728" s="24" t="str">
        <f>IF(((P726="")*AND(P727="")),"",(P726-P727)*4)</f>
        <v/>
      </c>
      <c r="Q728" s="61"/>
      <c r="R728" s="61"/>
      <c r="S728" s="61"/>
      <c r="T728" s="61"/>
      <c r="U728" s="61"/>
      <c r="V728" s="60"/>
      <c r="W728" s="59"/>
      <c r="X728" s="8"/>
    </row>
    <row r="729" spans="1:30" x14ac:dyDescent="0.25">
      <c r="A729" s="202">
        <v>43378</v>
      </c>
      <c r="B729" s="57" t="s">
        <v>159</v>
      </c>
      <c r="C729" s="51" t="s">
        <v>158</v>
      </c>
      <c r="D729" s="8">
        <v>3437.39</v>
      </c>
      <c r="E729" s="8">
        <v>3420.68</v>
      </c>
      <c r="F729" s="8">
        <v>3481.22</v>
      </c>
      <c r="G729" s="8">
        <v>3446.99</v>
      </c>
      <c r="H729" s="8">
        <v>3529.07</v>
      </c>
      <c r="I729" s="8">
        <v>3458.04</v>
      </c>
      <c r="J729" s="8">
        <v>3469.96</v>
      </c>
      <c r="K729" s="8">
        <v>3478.64</v>
      </c>
      <c r="L729" s="8">
        <v>3583.61</v>
      </c>
      <c r="M729" s="50"/>
      <c r="N729" s="50"/>
      <c r="O729" s="50"/>
      <c r="P729" s="50"/>
      <c r="Q729" s="57">
        <f>IF((L730=""),"",MAX(D731:L731))</f>
        <v>3425.12</v>
      </c>
      <c r="R729" s="57">
        <f>IF(L730="","",MIN(D731:L731))</f>
        <v>3389.5800000000004</v>
      </c>
      <c r="S729" s="58">
        <f>IF((L731=""),"",AVERAGE(D731:L731))</f>
        <v>3409.333333333333</v>
      </c>
      <c r="T729" s="57">
        <f>IF((L730=""),"",((Q729-R729)/(Q729+R729))*100)</f>
        <v>0.52151965603767603</v>
      </c>
      <c r="U729" s="56">
        <f>STDEV(D729:L729)</f>
        <v>50.162701282925454</v>
      </c>
      <c r="V729" s="55" t="str">
        <f>IF(L730="","",(IF(T729&lt;7,IF(S729&gt;2800,IF(S729&lt;3800,"Pass","Fail"),"Fail"),"Fail")))</f>
        <v>Pass</v>
      </c>
      <c r="W729" s="54">
        <v>1340</v>
      </c>
      <c r="X729" s="26" t="s">
        <v>167</v>
      </c>
      <c r="Z729" s="53">
        <v>2800</v>
      </c>
      <c r="AA729" s="53">
        <v>3800</v>
      </c>
      <c r="AB729" s="53">
        <v>3100</v>
      </c>
      <c r="AC729" s="53">
        <v>3760</v>
      </c>
      <c r="AD729" s="52">
        <v>6</v>
      </c>
    </row>
    <row r="730" spans="1:30" ht="16.5" customHeight="1" x14ac:dyDescent="0.35">
      <c r="A730" s="206"/>
      <c r="B730" s="48"/>
      <c r="C730" s="51" t="s">
        <v>157</v>
      </c>
      <c r="D730" s="8">
        <v>1735.83</v>
      </c>
      <c r="E730" s="8">
        <v>1708.12</v>
      </c>
      <c r="F730" s="8">
        <v>1773.13</v>
      </c>
      <c r="G730" s="8">
        <v>1739.83</v>
      </c>
      <c r="H730" s="8">
        <v>1834.28</v>
      </c>
      <c r="I730" s="8">
        <v>1752.1</v>
      </c>
      <c r="J730" s="8">
        <v>1765.42</v>
      </c>
      <c r="K730" s="8">
        <v>1769.27</v>
      </c>
      <c r="L730" s="8">
        <v>1885.62</v>
      </c>
      <c r="M730" s="50"/>
      <c r="N730" s="50"/>
      <c r="O730" s="50"/>
      <c r="P730" s="50"/>
      <c r="Q730" s="48"/>
      <c r="R730" s="48"/>
      <c r="S730" s="49"/>
      <c r="T730" s="48"/>
      <c r="U730" s="48"/>
      <c r="V730" s="47"/>
      <c r="W730" s="46"/>
      <c r="X730" s="8"/>
    </row>
    <row r="731" spans="1:30" ht="24.8" customHeight="1" thickBot="1" x14ac:dyDescent="0.4">
      <c r="A731" s="206"/>
      <c r="B731" s="42"/>
      <c r="C731" s="45" t="s">
        <v>156</v>
      </c>
      <c r="D731" s="44">
        <f t="shared" ref="D731:L731" si="238">IF(((D729="")*AND(D730="")),"",(D729-D730)*2)</f>
        <v>3403.12</v>
      </c>
      <c r="E731" s="44">
        <f t="shared" si="238"/>
        <v>3425.12</v>
      </c>
      <c r="F731" s="44">
        <f t="shared" si="238"/>
        <v>3416.1799999999994</v>
      </c>
      <c r="G731" s="44">
        <f t="shared" si="238"/>
        <v>3414.3199999999997</v>
      </c>
      <c r="H731" s="44">
        <f t="shared" si="238"/>
        <v>3389.5800000000004</v>
      </c>
      <c r="I731" s="44">
        <f t="shared" si="238"/>
        <v>3411.88</v>
      </c>
      <c r="J731" s="44">
        <f t="shared" si="238"/>
        <v>3409.08</v>
      </c>
      <c r="K731" s="44">
        <f t="shared" si="238"/>
        <v>3418.74</v>
      </c>
      <c r="L731" s="44">
        <f t="shared" si="238"/>
        <v>3395.9800000000005</v>
      </c>
      <c r="M731" s="44"/>
      <c r="N731" s="44"/>
      <c r="O731" s="44"/>
      <c r="P731" s="44"/>
      <c r="Q731" s="42"/>
      <c r="R731" s="42"/>
      <c r="S731" s="43"/>
      <c r="T731" s="42"/>
      <c r="U731" s="42"/>
      <c r="V731" s="41"/>
      <c r="W731" s="40"/>
      <c r="X731" s="8"/>
    </row>
    <row r="732" spans="1:30" x14ac:dyDescent="0.25">
      <c r="A732" s="202">
        <v>43389</v>
      </c>
      <c r="B732" s="63" t="s">
        <v>160</v>
      </c>
      <c r="C732" s="56" t="s">
        <v>158</v>
      </c>
      <c r="D732" s="8">
        <v>1152.7</v>
      </c>
      <c r="E732" s="8">
        <v>1201.82</v>
      </c>
      <c r="F732" s="8">
        <v>1225.23</v>
      </c>
      <c r="G732" s="8">
        <v>1200.01</v>
      </c>
      <c r="H732" s="8">
        <v>1139.68</v>
      </c>
      <c r="I732" s="8">
        <v>1163.8</v>
      </c>
      <c r="J732" s="8">
        <v>1211.57</v>
      </c>
      <c r="K732" s="8">
        <v>1186.3699999999999</v>
      </c>
      <c r="L732" s="8">
        <v>1117.46</v>
      </c>
      <c r="M732" s="62"/>
      <c r="N732" s="62"/>
      <c r="O732" s="62"/>
      <c r="P732" s="62"/>
      <c r="Q732" s="57">
        <f>IF((L733=""),"",MAX(D734:L734))</f>
        <v>3159.16</v>
      </c>
      <c r="R732" s="57">
        <f>IF(L733="","",MIN(D734:L734))</f>
        <v>2743.36</v>
      </c>
      <c r="S732" s="58">
        <f>IF((L734=""),"",AVERAGE(D734:L734))</f>
        <v>2918.2222222222222</v>
      </c>
      <c r="T732" s="57">
        <f>IF((L733=""),"",((Q732-R732)/(Q732+R732))*100)</f>
        <v>7.0444488116939832</v>
      </c>
      <c r="U732" s="56">
        <f>STDEV(D732:L732)</f>
        <v>36.148127199067972</v>
      </c>
      <c r="V732" s="55" t="str">
        <f>IF(L733="","",(IF(T732&lt;12,IF(S732&gt;2200,IF(S732&lt;3280,"Pass","Fail"),"Fail"),"Fail")))</f>
        <v>Pass</v>
      </c>
      <c r="W732" s="54">
        <v>121</v>
      </c>
      <c r="X732" s="26" t="s">
        <v>166</v>
      </c>
      <c r="Z732" s="37">
        <v>2000</v>
      </c>
      <c r="AA732" s="37">
        <v>3000</v>
      </c>
      <c r="AB732" s="37">
        <v>2200</v>
      </c>
      <c r="AC732" s="37">
        <v>3280</v>
      </c>
      <c r="AD732" s="39">
        <v>12</v>
      </c>
    </row>
    <row r="733" spans="1:30" ht="16.5" customHeight="1" x14ac:dyDescent="0.35">
      <c r="A733" s="206"/>
      <c r="B733" s="48"/>
      <c r="C733" s="51" t="s">
        <v>157</v>
      </c>
      <c r="D733" s="8">
        <v>393.56</v>
      </c>
      <c r="E733" s="8">
        <v>496.38</v>
      </c>
      <c r="F733" s="8">
        <v>539.39</v>
      </c>
      <c r="G733" s="8">
        <v>496.58</v>
      </c>
      <c r="H733" s="8">
        <v>375.98</v>
      </c>
      <c r="I733" s="8">
        <v>417.18</v>
      </c>
      <c r="J733" s="8">
        <v>515.86</v>
      </c>
      <c r="K733" s="8">
        <v>470.04</v>
      </c>
      <c r="L733" s="8">
        <v>327.67</v>
      </c>
      <c r="M733" s="50"/>
      <c r="N733" s="50"/>
      <c r="O733" s="50"/>
      <c r="P733" s="50"/>
      <c r="Q733" s="48"/>
      <c r="R733" s="48"/>
      <c r="S733" s="48"/>
      <c r="T733" s="48"/>
      <c r="U733" s="48"/>
      <c r="V733" s="47"/>
      <c r="W733" s="46"/>
      <c r="X733" s="8"/>
    </row>
    <row r="734" spans="1:30" ht="24.8" customHeight="1" thickBot="1" x14ac:dyDescent="0.4">
      <c r="A734" s="206"/>
      <c r="B734" s="61"/>
      <c r="C734" s="51" t="s">
        <v>156</v>
      </c>
      <c r="D734" s="24">
        <f t="shared" ref="D734:L734" si="239">IF(((D732="")*AND(D733="")),"",(D732-D733)*4)</f>
        <v>3036.5600000000004</v>
      </c>
      <c r="E734" s="24">
        <f t="shared" si="239"/>
        <v>2821.7599999999998</v>
      </c>
      <c r="F734" s="24">
        <f t="shared" si="239"/>
        <v>2743.36</v>
      </c>
      <c r="G734" s="24">
        <f t="shared" si="239"/>
        <v>2813.7200000000003</v>
      </c>
      <c r="H734" s="24">
        <f t="shared" si="239"/>
        <v>3054.8</v>
      </c>
      <c r="I734" s="24">
        <f t="shared" si="239"/>
        <v>2986.4799999999996</v>
      </c>
      <c r="J734" s="24">
        <f t="shared" si="239"/>
        <v>2782.8399999999997</v>
      </c>
      <c r="K734" s="24">
        <f t="shared" si="239"/>
        <v>2865.3199999999997</v>
      </c>
      <c r="L734" s="24">
        <f t="shared" si="239"/>
        <v>3159.16</v>
      </c>
      <c r="M734" s="24"/>
      <c r="N734" s="24"/>
      <c r="O734" s="24"/>
      <c r="P734" s="24" t="str">
        <f>IF(((P732="")*AND(P733="")),"",(P732-P733)*4)</f>
        <v/>
      </c>
      <c r="Q734" s="61"/>
      <c r="R734" s="61"/>
      <c r="S734" s="61"/>
      <c r="T734" s="61"/>
      <c r="U734" s="61"/>
      <c r="V734" s="60"/>
      <c r="W734" s="59"/>
      <c r="X734" s="8"/>
    </row>
    <row r="735" spans="1:30" x14ac:dyDescent="0.25">
      <c r="A735" s="202">
        <v>43389</v>
      </c>
      <c r="B735" s="57" t="s">
        <v>159</v>
      </c>
      <c r="C735" s="51" t="s">
        <v>158</v>
      </c>
      <c r="D735" s="8">
        <v>6847.64</v>
      </c>
      <c r="E735" s="8">
        <v>6832.8</v>
      </c>
      <c r="F735" s="8">
        <v>6880.21</v>
      </c>
      <c r="G735" s="8">
        <v>6842.53</v>
      </c>
      <c r="H735" s="8">
        <v>6902.43</v>
      </c>
      <c r="I735" s="8">
        <v>6870.64</v>
      </c>
      <c r="J735" s="8">
        <v>6868.64</v>
      </c>
      <c r="K735" s="8">
        <v>6869.79</v>
      </c>
      <c r="L735" s="8">
        <v>6952.04</v>
      </c>
      <c r="M735" s="50"/>
      <c r="N735" s="50"/>
      <c r="O735" s="50"/>
      <c r="P735" s="50"/>
      <c r="Q735" s="57">
        <f>IF((L736=""),"",MAX(D737:L737))</f>
        <v>3433.4400000000005</v>
      </c>
      <c r="R735" s="57">
        <f>IF(L736="","",MIN(D737:L737))</f>
        <v>3373.76</v>
      </c>
      <c r="S735" s="58">
        <f>IF((L737=""),"",AVERAGE(D737:L737))</f>
        <v>3412.3755555555563</v>
      </c>
      <c r="T735" s="57">
        <f>IF((L736=""),"",((Q735-R735)/(Q735+R735))*100)</f>
        <v>0.87671876836291407</v>
      </c>
      <c r="U735" s="56">
        <f>STDEV(D735:L735)</f>
        <v>36.016327547377713</v>
      </c>
      <c r="V735" s="55" t="str">
        <f>IF(L736="","",(IF(T735&lt;7,IF(S735&gt;2800,IF(S735&lt;3800,"Pass","Fail"),"Fail"),"Fail")))</f>
        <v>Pass</v>
      </c>
      <c r="W735" s="54">
        <v>121</v>
      </c>
      <c r="X735" s="26" t="s">
        <v>166</v>
      </c>
      <c r="Z735" s="53">
        <v>2800</v>
      </c>
      <c r="AA735" s="53">
        <v>3800</v>
      </c>
      <c r="AB735" s="53">
        <v>3100</v>
      </c>
      <c r="AC735" s="53">
        <v>3760</v>
      </c>
      <c r="AD735" s="52">
        <v>6</v>
      </c>
    </row>
    <row r="736" spans="1:30" ht="16.5" customHeight="1" x14ac:dyDescent="0.35">
      <c r="A736" s="206"/>
      <c r="B736" s="48"/>
      <c r="C736" s="51" t="s">
        <v>157</v>
      </c>
      <c r="D736" s="8">
        <v>5145.71</v>
      </c>
      <c r="E736" s="8">
        <v>5116.08</v>
      </c>
      <c r="F736" s="8">
        <v>5165.6499999999996</v>
      </c>
      <c r="G736" s="8">
        <v>5131.32</v>
      </c>
      <c r="H736" s="8">
        <v>5215.55</v>
      </c>
      <c r="I736" s="8">
        <v>5174.95</v>
      </c>
      <c r="J736" s="8">
        <v>5158.1099999999997</v>
      </c>
      <c r="K736" s="8">
        <v>5154.7</v>
      </c>
      <c r="L736" s="8">
        <v>5248.96</v>
      </c>
      <c r="M736" s="50"/>
      <c r="N736" s="50"/>
      <c r="O736" s="50"/>
      <c r="P736" s="50"/>
      <c r="Q736" s="48"/>
      <c r="R736" s="48"/>
      <c r="S736" s="49"/>
      <c r="T736" s="48"/>
      <c r="U736" s="48"/>
      <c r="V736" s="47"/>
      <c r="W736" s="46"/>
      <c r="X736" s="8"/>
    </row>
    <row r="737" spans="1:30" ht="24.8" customHeight="1" thickBot="1" x14ac:dyDescent="0.4">
      <c r="A737" s="206"/>
      <c r="B737" s="42"/>
      <c r="C737" s="45" t="s">
        <v>156</v>
      </c>
      <c r="D737" s="44">
        <f t="shared" ref="D737:L737" si="240">IF(((D735="")*AND(D736="")),"",(D735-D736)*2)</f>
        <v>3403.8600000000006</v>
      </c>
      <c r="E737" s="44">
        <f t="shared" si="240"/>
        <v>3433.4400000000005</v>
      </c>
      <c r="F737" s="44">
        <f t="shared" si="240"/>
        <v>3429.1200000000008</v>
      </c>
      <c r="G737" s="44">
        <f t="shared" si="240"/>
        <v>3422.42</v>
      </c>
      <c r="H737" s="44">
        <f t="shared" si="240"/>
        <v>3373.76</v>
      </c>
      <c r="I737" s="44">
        <f t="shared" si="240"/>
        <v>3391.380000000001</v>
      </c>
      <c r="J737" s="44">
        <f t="shared" si="240"/>
        <v>3421.0600000000013</v>
      </c>
      <c r="K737" s="44">
        <f t="shared" si="240"/>
        <v>3430.1800000000003</v>
      </c>
      <c r="L737" s="44">
        <f t="shared" si="240"/>
        <v>3406.16</v>
      </c>
      <c r="M737" s="44"/>
      <c r="N737" s="44"/>
      <c r="O737" s="44"/>
      <c r="P737" s="44"/>
      <c r="Q737" s="42"/>
      <c r="R737" s="42"/>
      <c r="S737" s="43"/>
      <c r="T737" s="42"/>
      <c r="U737" s="42"/>
      <c r="V737" s="41"/>
      <c r="W737" s="40"/>
      <c r="X737" s="8"/>
    </row>
    <row r="738" spans="1:30" x14ac:dyDescent="0.25">
      <c r="A738" s="202">
        <v>43391</v>
      </c>
      <c r="B738" s="63" t="s">
        <v>160</v>
      </c>
      <c r="C738" s="56" t="s">
        <v>158</v>
      </c>
      <c r="D738" s="8">
        <v>1921.61</v>
      </c>
      <c r="E738" s="8">
        <v>1921.14</v>
      </c>
      <c r="F738" s="8">
        <v>1917.99</v>
      </c>
      <c r="G738" s="8">
        <v>1918.7</v>
      </c>
      <c r="H738" s="8">
        <v>1924.22</v>
      </c>
      <c r="I738" s="8">
        <v>1925.47</v>
      </c>
      <c r="J738" s="8">
        <v>1919.08</v>
      </c>
      <c r="K738" s="8">
        <v>1923.05</v>
      </c>
      <c r="L738" s="8">
        <v>1926.05</v>
      </c>
      <c r="M738" s="62"/>
      <c r="N738" s="62"/>
      <c r="O738" s="62"/>
      <c r="P738" s="62"/>
      <c r="Q738" s="57">
        <f>IF((L739=""),"",MAX(D740:L740))</f>
        <v>3126.4799999999996</v>
      </c>
      <c r="R738" s="57">
        <f>IF(L739="","",MIN(D740:L740))</f>
        <v>2718.8</v>
      </c>
      <c r="S738" s="58">
        <f>IF((L740=""),"",AVERAGE(D740:L740))</f>
        <v>2902.008888888889</v>
      </c>
      <c r="T738" s="57">
        <f>IF((L739=""),"",((Q738-R738)/(Q738+R738))*100)</f>
        <v>6.9745161908411468</v>
      </c>
      <c r="U738" s="56">
        <f>STDEV(D738:L738)</f>
        <v>2.9750966370859242</v>
      </c>
      <c r="V738" s="55" t="str">
        <f>IF(L739="","",(IF(T738&lt;12,IF(S738&gt;2200,IF(S738&lt;3280,"Pass","Fail"),"Fail"),"Fail")))</f>
        <v>Pass</v>
      </c>
      <c r="W738" s="54">
        <v>1159</v>
      </c>
      <c r="X738" s="26" t="s">
        <v>165</v>
      </c>
      <c r="Z738" s="37">
        <v>2000</v>
      </c>
      <c r="AA738" s="37">
        <v>3000</v>
      </c>
      <c r="AB738" s="37">
        <v>2200</v>
      </c>
      <c r="AC738" s="37">
        <v>3280</v>
      </c>
      <c r="AD738" s="39">
        <v>12</v>
      </c>
    </row>
    <row r="739" spans="1:30" ht="16.5" customHeight="1" x14ac:dyDescent="0.35">
      <c r="A739" s="206"/>
      <c r="B739" s="48"/>
      <c r="C739" s="51" t="s">
        <v>157</v>
      </c>
      <c r="D739" s="8">
        <v>1174.3699999999999</v>
      </c>
      <c r="E739" s="8">
        <v>1215.44</v>
      </c>
      <c r="F739" s="8">
        <v>1238.29</v>
      </c>
      <c r="G739" s="8">
        <v>1216.23</v>
      </c>
      <c r="H739" s="8">
        <v>1162.06</v>
      </c>
      <c r="I739" s="8">
        <v>1187.82</v>
      </c>
      <c r="J739" s="8">
        <v>1225.48</v>
      </c>
      <c r="K739" s="8">
        <v>1203.67</v>
      </c>
      <c r="L739" s="8">
        <v>1144.43</v>
      </c>
      <c r="M739" s="50"/>
      <c r="N739" s="50"/>
      <c r="O739" s="50"/>
      <c r="P739" s="50"/>
      <c r="Q739" s="48"/>
      <c r="R739" s="48"/>
      <c r="S739" s="48"/>
      <c r="T739" s="48"/>
      <c r="U739" s="48"/>
      <c r="V739" s="47"/>
      <c r="W739" s="46"/>
      <c r="X739" s="8"/>
    </row>
    <row r="740" spans="1:30" ht="24.8" customHeight="1" thickBot="1" x14ac:dyDescent="0.4">
      <c r="A740" s="206"/>
      <c r="B740" s="61"/>
      <c r="C740" s="51" t="s">
        <v>156</v>
      </c>
      <c r="D740" s="24">
        <f t="shared" ref="D740:L740" si="241">IF(((D738="")*AND(D739="")),"",(D738-D739)*4)</f>
        <v>2988.96</v>
      </c>
      <c r="E740" s="24">
        <f t="shared" si="241"/>
        <v>2822.8</v>
      </c>
      <c r="F740" s="24">
        <f t="shared" si="241"/>
        <v>2718.8</v>
      </c>
      <c r="G740" s="24">
        <f t="shared" si="241"/>
        <v>2809.88</v>
      </c>
      <c r="H740" s="24">
        <f t="shared" si="241"/>
        <v>3048.6400000000003</v>
      </c>
      <c r="I740" s="24">
        <f t="shared" si="241"/>
        <v>2950.6000000000004</v>
      </c>
      <c r="J740" s="24">
        <f t="shared" si="241"/>
        <v>2774.3999999999996</v>
      </c>
      <c r="K740" s="24">
        <f t="shared" si="241"/>
        <v>2877.5199999999995</v>
      </c>
      <c r="L740" s="24">
        <f t="shared" si="241"/>
        <v>3126.4799999999996</v>
      </c>
      <c r="M740" s="24"/>
      <c r="N740" s="24"/>
      <c r="O740" s="24"/>
      <c r="P740" s="24" t="str">
        <f>IF(((P738="")*AND(P739="")),"",(P738-P739)*4)</f>
        <v/>
      </c>
      <c r="Q740" s="61"/>
      <c r="R740" s="61"/>
      <c r="S740" s="61"/>
      <c r="T740" s="61"/>
      <c r="U740" s="61"/>
      <c r="V740" s="60"/>
      <c r="W740" s="59"/>
      <c r="X740" s="8"/>
    </row>
    <row r="741" spans="1:30" x14ac:dyDescent="0.25">
      <c r="A741" s="202">
        <v>43391</v>
      </c>
      <c r="B741" s="57" t="s">
        <v>159</v>
      </c>
      <c r="C741" s="51" t="s">
        <v>158</v>
      </c>
      <c r="D741" s="8">
        <v>5150.08</v>
      </c>
      <c r="E741" s="8">
        <v>5120.1499999999996</v>
      </c>
      <c r="F741" s="8">
        <v>5169.58</v>
      </c>
      <c r="G741" s="8">
        <v>5135.33</v>
      </c>
      <c r="H741" s="8">
        <v>5220.3</v>
      </c>
      <c r="I741" s="8">
        <v>5179.0200000000004</v>
      </c>
      <c r="J741" s="8">
        <v>5161.95</v>
      </c>
      <c r="K741" s="8">
        <v>5158.53</v>
      </c>
      <c r="L741" s="8">
        <v>5253.32</v>
      </c>
      <c r="M741" s="50"/>
      <c r="N741" s="50"/>
      <c r="O741" s="50"/>
      <c r="P741" s="50"/>
      <c r="Q741" s="57">
        <f>IF((L742=""),"",MAX(D743:L743))</f>
        <v>3368.619999999999</v>
      </c>
      <c r="R741" s="57">
        <f>IF(L742="","",MIN(D743:L743))</f>
        <v>3291.8600000000006</v>
      </c>
      <c r="S741" s="58">
        <f>IF((L743=""),"",AVERAGE(D743:L743))</f>
        <v>3336.3577777777773</v>
      </c>
      <c r="T741" s="57">
        <f>IF((L742=""),"",((Q741-R741)/(Q741+R741))*100)</f>
        <v>1.1524694916882627</v>
      </c>
      <c r="U741" s="56">
        <f>STDEV(D741:L741)</f>
        <v>41.528608947460732</v>
      </c>
      <c r="V741" s="55" t="str">
        <f>IF(L742="","",(IF(T741&lt;7,IF(S741&gt;2800,IF(S741&lt;3800,"Pass","Fail"),"Fail"),"Fail")))</f>
        <v>Pass</v>
      </c>
      <c r="W741" s="54">
        <v>1159</v>
      </c>
      <c r="X741" s="26" t="s">
        <v>165</v>
      </c>
      <c r="Z741" s="53">
        <v>2800</v>
      </c>
      <c r="AA741" s="53">
        <v>3800</v>
      </c>
      <c r="AB741" s="53">
        <v>3100</v>
      </c>
      <c r="AC741" s="53">
        <v>3760</v>
      </c>
      <c r="AD741" s="52">
        <v>6</v>
      </c>
    </row>
    <row r="742" spans="1:30" ht="16.5" customHeight="1" x14ac:dyDescent="0.35">
      <c r="A742" s="206"/>
      <c r="B742" s="48"/>
      <c r="C742" s="51" t="s">
        <v>157</v>
      </c>
      <c r="D742" s="8">
        <v>3484.37</v>
      </c>
      <c r="E742" s="8">
        <v>3435.84</v>
      </c>
      <c r="F742" s="8">
        <v>3488.91</v>
      </c>
      <c r="G742" s="8">
        <v>3460.14</v>
      </c>
      <c r="H742" s="8">
        <v>3574.37</v>
      </c>
      <c r="I742" s="8">
        <v>3527.58</v>
      </c>
      <c r="J742" s="8">
        <v>3488.47</v>
      </c>
      <c r="K742" s="8">
        <v>3478.66</v>
      </c>
      <c r="L742" s="8">
        <v>3596.31</v>
      </c>
      <c r="M742" s="50"/>
      <c r="N742" s="50"/>
      <c r="O742" s="50"/>
      <c r="P742" s="50"/>
      <c r="Q742" s="48"/>
      <c r="R742" s="48"/>
      <c r="S742" s="49"/>
      <c r="T742" s="48"/>
      <c r="U742" s="48"/>
      <c r="V742" s="47"/>
      <c r="W742" s="46"/>
      <c r="X742" s="8"/>
    </row>
    <row r="743" spans="1:30" ht="24.8" customHeight="1" thickBot="1" x14ac:dyDescent="0.4">
      <c r="A743" s="206"/>
      <c r="B743" s="42"/>
      <c r="C743" s="45" t="s">
        <v>156</v>
      </c>
      <c r="D743" s="44">
        <f t="shared" ref="D743:L743" si="242">IF(((D741="")*AND(D742="")),"",(D741-D742)*2)</f>
        <v>3331.42</v>
      </c>
      <c r="E743" s="44">
        <f t="shared" si="242"/>
        <v>3368.619999999999</v>
      </c>
      <c r="F743" s="44">
        <f t="shared" si="242"/>
        <v>3361.34</v>
      </c>
      <c r="G743" s="44">
        <f t="shared" si="242"/>
        <v>3350.38</v>
      </c>
      <c r="H743" s="44">
        <f t="shared" si="242"/>
        <v>3291.8600000000006</v>
      </c>
      <c r="I743" s="44">
        <f t="shared" si="242"/>
        <v>3302.880000000001</v>
      </c>
      <c r="J743" s="44">
        <f t="shared" si="242"/>
        <v>3346.96</v>
      </c>
      <c r="K743" s="44">
        <f t="shared" si="242"/>
        <v>3359.74</v>
      </c>
      <c r="L743" s="44">
        <f t="shared" si="242"/>
        <v>3314.0199999999995</v>
      </c>
      <c r="M743" s="44"/>
      <c r="N743" s="44"/>
      <c r="O743" s="44"/>
      <c r="P743" s="44"/>
      <c r="Q743" s="42"/>
      <c r="R743" s="42"/>
      <c r="S743" s="43"/>
      <c r="T743" s="42"/>
      <c r="U743" s="42"/>
      <c r="V743" s="41"/>
      <c r="W743" s="40"/>
      <c r="X743" s="8"/>
    </row>
    <row r="744" spans="1:30" x14ac:dyDescent="0.25">
      <c r="A744" s="202">
        <v>43396</v>
      </c>
      <c r="B744" s="63" t="s">
        <v>160</v>
      </c>
      <c r="C744" s="56" t="s">
        <v>158</v>
      </c>
      <c r="D744" s="8">
        <v>1175.1300000000001</v>
      </c>
      <c r="E744" s="8">
        <v>1218.07</v>
      </c>
      <c r="F744" s="8">
        <v>1236.8</v>
      </c>
      <c r="G744" s="8">
        <v>1217.6099999999999</v>
      </c>
      <c r="H744" s="8">
        <v>1166.77</v>
      </c>
      <c r="I744" s="8">
        <v>1188.82</v>
      </c>
      <c r="J744" s="8">
        <v>1227.79</v>
      </c>
      <c r="K744" s="8">
        <v>1204.8599999999999</v>
      </c>
      <c r="L744" s="8">
        <v>1145.71</v>
      </c>
      <c r="M744" s="62"/>
      <c r="N744" s="62"/>
      <c r="O744" s="62"/>
      <c r="P744" s="62"/>
      <c r="Q744" s="57">
        <f>IF((L745=""),"",MAX(D746:L746))</f>
        <v>3140.44</v>
      </c>
      <c r="R744" s="57">
        <f>IF(L745="","",MIN(D746:L746))</f>
        <v>2731.2799999999997</v>
      </c>
      <c r="S744" s="58">
        <f>IF((L746=""),"",AVERAGE(D746:L746))</f>
        <v>2922.942222222222</v>
      </c>
      <c r="T744" s="57">
        <f>IF((L745=""),"",((Q744-R744)/(Q744+R744))*100)</f>
        <v>6.9683159278712257</v>
      </c>
      <c r="U744" s="56">
        <f>STDEV(D744:L744)</f>
        <v>30.708601174770376</v>
      </c>
      <c r="V744" s="55" t="str">
        <f>IF(L745="","",(IF(T744&lt;12,IF(S744&gt;2200,IF(S744&lt;3280,"Pass","Fail"),"Fail"),"Fail")))</f>
        <v>Pass</v>
      </c>
      <c r="W744" s="54">
        <v>1159</v>
      </c>
      <c r="X744" s="26" t="s">
        <v>164</v>
      </c>
      <c r="Z744" s="37">
        <v>2000</v>
      </c>
      <c r="AA744" s="37">
        <v>3000</v>
      </c>
      <c r="AB744" s="37">
        <v>2200</v>
      </c>
      <c r="AC744" s="37">
        <v>3280</v>
      </c>
      <c r="AD744" s="39">
        <v>12</v>
      </c>
    </row>
    <row r="745" spans="1:30" ht="16.5" customHeight="1" x14ac:dyDescent="0.35">
      <c r="A745" s="206"/>
      <c r="B745" s="48"/>
      <c r="C745" s="51" t="s">
        <v>157</v>
      </c>
      <c r="D745" s="8">
        <v>417.2</v>
      </c>
      <c r="E745" s="8">
        <v>510.62</v>
      </c>
      <c r="F745" s="8">
        <v>553.98</v>
      </c>
      <c r="G745" s="8">
        <v>509.91</v>
      </c>
      <c r="H745" s="8">
        <v>396.6</v>
      </c>
      <c r="I745" s="8">
        <v>438.23</v>
      </c>
      <c r="J745" s="8">
        <v>529.14</v>
      </c>
      <c r="K745" s="8">
        <v>488.66</v>
      </c>
      <c r="L745" s="8">
        <v>360.6</v>
      </c>
      <c r="M745" s="50"/>
      <c r="N745" s="50"/>
      <c r="O745" s="50"/>
      <c r="P745" s="50"/>
      <c r="Q745" s="48"/>
      <c r="R745" s="48"/>
      <c r="S745" s="48"/>
      <c r="T745" s="48"/>
      <c r="U745" s="48"/>
      <c r="V745" s="47"/>
      <c r="W745" s="46"/>
      <c r="X745" s="8"/>
    </row>
    <row r="746" spans="1:30" ht="24.8" customHeight="1" thickBot="1" x14ac:dyDescent="0.4">
      <c r="A746" s="206"/>
      <c r="B746" s="61"/>
      <c r="C746" s="51" t="s">
        <v>156</v>
      </c>
      <c r="D746" s="24">
        <f t="shared" ref="D746:L746" si="243">IF(((D744="")*AND(D745="")),"",(D744-D745)*4)</f>
        <v>3031.7200000000003</v>
      </c>
      <c r="E746" s="24">
        <f t="shared" si="243"/>
        <v>2829.7999999999997</v>
      </c>
      <c r="F746" s="24">
        <f t="shared" si="243"/>
        <v>2731.2799999999997</v>
      </c>
      <c r="G746" s="24">
        <f t="shared" si="243"/>
        <v>2830.7999999999993</v>
      </c>
      <c r="H746" s="24">
        <f t="shared" si="243"/>
        <v>3080.68</v>
      </c>
      <c r="I746" s="24">
        <f t="shared" si="243"/>
        <v>3002.3599999999997</v>
      </c>
      <c r="J746" s="24">
        <f t="shared" si="243"/>
        <v>2794.6</v>
      </c>
      <c r="K746" s="24">
        <f t="shared" si="243"/>
        <v>2864.7999999999993</v>
      </c>
      <c r="L746" s="24">
        <f t="shared" si="243"/>
        <v>3140.44</v>
      </c>
      <c r="M746" s="24"/>
      <c r="N746" s="24"/>
      <c r="O746" s="24"/>
      <c r="P746" s="24" t="str">
        <f>IF(((P744="")*AND(P745="")),"",(P744-P745)*4)</f>
        <v/>
      </c>
      <c r="Q746" s="61"/>
      <c r="R746" s="61"/>
      <c r="S746" s="61"/>
      <c r="T746" s="61"/>
      <c r="U746" s="61"/>
      <c r="V746" s="60"/>
      <c r="W746" s="59"/>
      <c r="X746" s="8"/>
    </row>
    <row r="747" spans="1:30" x14ac:dyDescent="0.25">
      <c r="A747" s="202">
        <v>43396</v>
      </c>
      <c r="B747" s="57" t="s">
        <v>159</v>
      </c>
      <c r="C747" s="51" t="s">
        <v>158</v>
      </c>
      <c r="D747" s="8">
        <v>3494.36</v>
      </c>
      <c r="E747" s="8">
        <v>3445.22</v>
      </c>
      <c r="F747" s="8">
        <v>3498.89</v>
      </c>
      <c r="G747" s="8">
        <v>3470.23</v>
      </c>
      <c r="H747" s="8">
        <v>3583.47</v>
      </c>
      <c r="I747" s="8">
        <v>3537.47</v>
      </c>
      <c r="J747" s="8">
        <v>3498.24</v>
      </c>
      <c r="K747" s="8">
        <v>3488.7</v>
      </c>
      <c r="L747" s="8">
        <v>3604.77</v>
      </c>
      <c r="M747" s="50"/>
      <c r="N747" s="50"/>
      <c r="O747" s="50"/>
      <c r="P747" s="50"/>
      <c r="Q747" s="57">
        <f>IF((L748=""),"",MAX(D749:L749))</f>
        <v>3404.6599999999994</v>
      </c>
      <c r="R747" s="57">
        <f>IF(L748="","",MIN(D749:L749))</f>
        <v>3318.2</v>
      </c>
      <c r="S747" s="58">
        <f>IF((L749=""),"",AVERAGE(D749:L749))</f>
        <v>3369.3444444444444</v>
      </c>
      <c r="T747" s="57">
        <f>IF((L748=""),"",((Q747-R747)/(Q747+R747))*100)</f>
        <v>1.28605980192953</v>
      </c>
      <c r="U747" s="56">
        <f>STDEV(D747:L747)</f>
        <v>52.156882096229637</v>
      </c>
      <c r="V747" s="55" t="str">
        <f>IF(L748="","",(IF(T747&lt;7,IF(S747&gt;2800,IF(S747&lt;3800,"Pass","Fail"),"Fail"),"Fail")))</f>
        <v>Pass</v>
      </c>
      <c r="W747" s="54">
        <v>1159</v>
      </c>
      <c r="X747" s="26" t="s">
        <v>164</v>
      </c>
      <c r="Z747" s="53">
        <v>2800</v>
      </c>
      <c r="AA747" s="53">
        <v>3800</v>
      </c>
      <c r="AB747" s="53">
        <v>3100</v>
      </c>
      <c r="AC747" s="53">
        <v>3760</v>
      </c>
      <c r="AD747" s="52">
        <v>6</v>
      </c>
    </row>
    <row r="748" spans="1:30" ht="16.5" customHeight="1" x14ac:dyDescent="0.35">
      <c r="A748" s="206"/>
      <c r="B748" s="48"/>
      <c r="C748" s="51" t="s">
        <v>157</v>
      </c>
      <c r="D748" s="8">
        <v>1817.93</v>
      </c>
      <c r="E748" s="8">
        <v>1742.89</v>
      </c>
      <c r="F748" s="8">
        <v>1798.49</v>
      </c>
      <c r="G748" s="8">
        <v>1773.87</v>
      </c>
      <c r="H748" s="8">
        <v>1924.37</v>
      </c>
      <c r="I748" s="8">
        <v>1872.17</v>
      </c>
      <c r="J748" s="8">
        <v>1806.27</v>
      </c>
      <c r="K748" s="8">
        <v>1787.13</v>
      </c>
      <c r="L748" s="8">
        <v>1936.18</v>
      </c>
      <c r="M748" s="50"/>
      <c r="N748" s="50"/>
      <c r="O748" s="50"/>
      <c r="P748" s="50"/>
      <c r="Q748" s="48"/>
      <c r="R748" s="48"/>
      <c r="S748" s="49"/>
      <c r="T748" s="48"/>
      <c r="U748" s="48"/>
      <c r="V748" s="47"/>
      <c r="W748" s="46"/>
      <c r="X748" s="8"/>
    </row>
    <row r="749" spans="1:30" ht="24.8" customHeight="1" thickBot="1" x14ac:dyDescent="0.4">
      <c r="A749" s="206"/>
      <c r="B749" s="42"/>
      <c r="C749" s="45" t="s">
        <v>156</v>
      </c>
      <c r="D749" s="44">
        <f t="shared" ref="D749:L749" si="244">IF(((D747="")*AND(D748="")),"",(D747-D748)*2)</f>
        <v>3352.86</v>
      </c>
      <c r="E749" s="44">
        <f t="shared" si="244"/>
        <v>3404.6599999999994</v>
      </c>
      <c r="F749" s="44">
        <f t="shared" si="244"/>
        <v>3400.7999999999997</v>
      </c>
      <c r="G749" s="44">
        <f t="shared" si="244"/>
        <v>3392.7200000000003</v>
      </c>
      <c r="H749" s="44">
        <f t="shared" si="244"/>
        <v>3318.2</v>
      </c>
      <c r="I749" s="44">
        <f t="shared" si="244"/>
        <v>3330.5999999999995</v>
      </c>
      <c r="J749" s="44">
        <f t="shared" si="244"/>
        <v>3383.9399999999996</v>
      </c>
      <c r="K749" s="44">
        <f t="shared" si="244"/>
        <v>3403.1399999999994</v>
      </c>
      <c r="L749" s="44">
        <f t="shared" si="244"/>
        <v>3337.18</v>
      </c>
      <c r="M749" s="44"/>
      <c r="N749" s="44"/>
      <c r="O749" s="44"/>
      <c r="P749" s="44"/>
      <c r="Q749" s="42"/>
      <c r="R749" s="42"/>
      <c r="S749" s="43"/>
      <c r="T749" s="42"/>
      <c r="U749" s="42"/>
      <c r="V749" s="41"/>
      <c r="W749" s="40"/>
      <c r="X749" s="8"/>
    </row>
    <row r="750" spans="1:30" x14ac:dyDescent="0.25">
      <c r="A750" s="202">
        <v>43399</v>
      </c>
      <c r="B750" s="63" t="s">
        <v>160</v>
      </c>
      <c r="C750" s="56" t="s">
        <v>158</v>
      </c>
      <c r="D750" s="8">
        <v>1921.47</v>
      </c>
      <c r="E750" s="8">
        <v>1914.3</v>
      </c>
      <c r="F750" s="8">
        <v>1916.99</v>
      </c>
      <c r="G750" s="8">
        <v>1918.13</v>
      </c>
      <c r="H750" s="8">
        <v>1921.64</v>
      </c>
      <c r="I750" s="8">
        <v>1919.17</v>
      </c>
      <c r="J750" s="8">
        <v>1917</v>
      </c>
      <c r="K750" s="8">
        <v>1916.23</v>
      </c>
      <c r="L750" s="8">
        <v>1920.63</v>
      </c>
      <c r="M750" s="62"/>
      <c r="N750" s="62"/>
      <c r="O750" s="62"/>
      <c r="P750" s="62"/>
      <c r="Q750" s="57">
        <f>IF((L751=""),"",MAX(D752:L752))</f>
        <v>3148.92</v>
      </c>
      <c r="R750" s="57">
        <f>IF(L751="","",MIN(D752:L752))</f>
        <v>2764.5200000000004</v>
      </c>
      <c r="S750" s="58">
        <f>IF((L752=""),"",AVERAGE(D752:L752))</f>
        <v>2934.9955555555553</v>
      </c>
      <c r="T750" s="57">
        <f>IF((L751=""),"",((Q750-R750)/(Q750+R750))*100)</f>
        <v>6.5004464406504443</v>
      </c>
      <c r="U750" s="56">
        <f>STDEV(D750:L750)</f>
        <v>2.5255697926958942</v>
      </c>
      <c r="V750" s="55" t="str">
        <f>IF(L751="","",(IF(T750&lt;12,IF(S750&gt;2200,IF(S750&lt;3280,"Pass","Fail"),"Fail"),"Fail")))</f>
        <v>Pass</v>
      </c>
      <c r="W750" s="54">
        <v>1159</v>
      </c>
      <c r="X750" s="26" t="s">
        <v>163</v>
      </c>
      <c r="Z750" s="37">
        <v>2000</v>
      </c>
      <c r="AA750" s="37">
        <v>3000</v>
      </c>
      <c r="AB750" s="37">
        <v>2200</v>
      </c>
      <c r="AC750" s="37">
        <v>3280</v>
      </c>
      <c r="AD750" s="39">
        <v>12</v>
      </c>
    </row>
    <row r="751" spans="1:30" ht="16.5" customHeight="1" x14ac:dyDescent="0.35">
      <c r="A751" s="206"/>
      <c r="B751" s="48"/>
      <c r="C751" s="51" t="s">
        <v>157</v>
      </c>
      <c r="D751" s="8">
        <v>1163.81</v>
      </c>
      <c r="E751" s="8">
        <v>1202.51</v>
      </c>
      <c r="F751" s="8">
        <v>1225.8599999999999</v>
      </c>
      <c r="G751" s="8">
        <v>1204.3399999999999</v>
      </c>
      <c r="H751" s="8">
        <v>1154.72</v>
      </c>
      <c r="I751" s="8">
        <v>1174.5899999999999</v>
      </c>
      <c r="J751" s="8">
        <v>1212.1199999999999</v>
      </c>
      <c r="K751" s="8">
        <v>1190.47</v>
      </c>
      <c r="L751" s="8">
        <v>1133.4000000000001</v>
      </c>
      <c r="M751" s="50"/>
      <c r="N751" s="50"/>
      <c r="O751" s="50"/>
      <c r="P751" s="50"/>
      <c r="Q751" s="48"/>
      <c r="R751" s="48"/>
      <c r="S751" s="48"/>
      <c r="T751" s="48"/>
      <c r="U751" s="48"/>
      <c r="V751" s="47"/>
      <c r="W751" s="46"/>
      <c r="X751" s="8"/>
    </row>
    <row r="752" spans="1:30" ht="24.8" customHeight="1" thickBot="1" x14ac:dyDescent="0.4">
      <c r="A752" s="206"/>
      <c r="B752" s="61"/>
      <c r="C752" s="51" t="s">
        <v>156</v>
      </c>
      <c r="D752" s="24">
        <f t="shared" ref="D752:L752" si="245">IF(((D750="")*AND(D751="")),"",(D750-D751)*4)</f>
        <v>3030.6400000000003</v>
      </c>
      <c r="E752" s="24">
        <f t="shared" si="245"/>
        <v>2847.16</v>
      </c>
      <c r="F752" s="24">
        <f t="shared" si="245"/>
        <v>2764.5200000000004</v>
      </c>
      <c r="G752" s="24">
        <f t="shared" si="245"/>
        <v>2855.1600000000008</v>
      </c>
      <c r="H752" s="24">
        <f t="shared" si="245"/>
        <v>3067.6800000000003</v>
      </c>
      <c r="I752" s="24">
        <f t="shared" si="245"/>
        <v>2978.3200000000006</v>
      </c>
      <c r="J752" s="24">
        <f t="shared" si="245"/>
        <v>2819.5200000000004</v>
      </c>
      <c r="K752" s="24">
        <f t="shared" si="245"/>
        <v>2903.04</v>
      </c>
      <c r="L752" s="24">
        <f t="shared" si="245"/>
        <v>3148.92</v>
      </c>
      <c r="M752" s="24"/>
      <c r="N752" s="24"/>
      <c r="O752" s="24"/>
      <c r="P752" s="24" t="str">
        <f>IF(((P750="")*AND(P751="")),"",(P750-P751)*4)</f>
        <v/>
      </c>
      <c r="Q752" s="61"/>
      <c r="R752" s="61"/>
      <c r="S752" s="61"/>
      <c r="T752" s="61"/>
      <c r="U752" s="61"/>
      <c r="V752" s="60"/>
      <c r="W752" s="59"/>
      <c r="X752" s="8"/>
    </row>
    <row r="753" spans="1:30" x14ac:dyDescent="0.25">
      <c r="A753" s="202">
        <v>43399</v>
      </c>
      <c r="B753" s="57" t="s">
        <v>159</v>
      </c>
      <c r="C753" s="51" t="s">
        <v>158</v>
      </c>
      <c r="D753" s="8">
        <v>6848.29</v>
      </c>
      <c r="E753" s="8">
        <v>6836</v>
      </c>
      <c r="F753" s="8">
        <v>6879.14</v>
      </c>
      <c r="G753" s="8">
        <v>6839.28</v>
      </c>
      <c r="H753" s="8">
        <v>6888.3</v>
      </c>
      <c r="I753" s="8">
        <v>6866.28</v>
      </c>
      <c r="J753" s="8">
        <v>6867.01</v>
      </c>
      <c r="K753" s="8">
        <v>6868.83</v>
      </c>
      <c r="L753" s="8">
        <v>6949.41</v>
      </c>
      <c r="M753" s="50"/>
      <c r="N753" s="50"/>
      <c r="O753" s="50"/>
      <c r="P753" s="50"/>
      <c r="Q753" s="57">
        <f>IF((L754=""),"",MAX(D755:L755))</f>
        <v>3497.6800000000003</v>
      </c>
      <c r="R753" s="57">
        <f>IF(L754="","",MIN(D755:L755))</f>
        <v>3477.3199999999997</v>
      </c>
      <c r="S753" s="58">
        <f>IF((L755=""),"",AVERAGE(D755:L755))</f>
        <v>3490.7088888888893</v>
      </c>
      <c r="T753" s="57">
        <f>IF((L754=""),"",((Q753-R753)/(Q753+R753))*100)</f>
        <v>0.29189964157706927</v>
      </c>
      <c r="U753" s="56">
        <f>STDEV(D753:L753)</f>
        <v>34.099294714113967</v>
      </c>
      <c r="V753" s="55" t="str">
        <f>IF(L754="","",(IF(T753&lt;7,IF(S753&gt;2800,IF(S753&lt;3800,"Pass","Fail"),"Fail"),"Fail")))</f>
        <v>Pass</v>
      </c>
      <c r="W753" s="54">
        <v>1159</v>
      </c>
      <c r="X753" s="26" t="s">
        <v>163</v>
      </c>
      <c r="Z753" s="53">
        <v>2800</v>
      </c>
      <c r="AA753" s="53">
        <v>3800</v>
      </c>
      <c r="AB753" s="53">
        <v>3100</v>
      </c>
      <c r="AC753" s="53">
        <v>3760</v>
      </c>
      <c r="AD753" s="52">
        <v>6</v>
      </c>
    </row>
    <row r="754" spans="1:30" ht="16.5" customHeight="1" x14ac:dyDescent="0.35">
      <c r="A754" s="206"/>
      <c r="B754" s="48"/>
      <c r="C754" s="51" t="s">
        <v>157</v>
      </c>
      <c r="D754" s="8">
        <v>5106.1000000000004</v>
      </c>
      <c r="E754" s="8">
        <v>5088.12</v>
      </c>
      <c r="F754" s="8">
        <v>5133.5</v>
      </c>
      <c r="G754" s="8">
        <v>5094.21</v>
      </c>
      <c r="H754" s="8">
        <v>5149.6400000000003</v>
      </c>
      <c r="I754" s="8">
        <v>5117.4399999999996</v>
      </c>
      <c r="J754" s="8">
        <v>5120.1099999999997</v>
      </c>
      <c r="K754" s="8">
        <v>5122.1099999999997</v>
      </c>
      <c r="L754" s="8">
        <v>5203.12</v>
      </c>
      <c r="M754" s="50"/>
      <c r="N754" s="50"/>
      <c r="O754" s="50"/>
      <c r="P754" s="50"/>
      <c r="Q754" s="48"/>
      <c r="R754" s="48"/>
      <c r="S754" s="49"/>
      <c r="T754" s="48"/>
      <c r="U754" s="48"/>
      <c r="V754" s="47"/>
      <c r="W754" s="46"/>
      <c r="X754" s="8"/>
    </row>
    <row r="755" spans="1:30" ht="24.8" customHeight="1" thickBot="1" x14ac:dyDescent="0.4">
      <c r="A755" s="206"/>
      <c r="B755" s="42"/>
      <c r="C755" s="45" t="s">
        <v>156</v>
      </c>
      <c r="D755" s="44">
        <f t="shared" ref="D755:L755" si="246">IF(((D753="")*AND(D754="")),"",(D753-D754)*2)</f>
        <v>3484.3799999999992</v>
      </c>
      <c r="E755" s="44">
        <f t="shared" si="246"/>
        <v>3495.76</v>
      </c>
      <c r="F755" s="44">
        <f t="shared" si="246"/>
        <v>3491.2800000000007</v>
      </c>
      <c r="G755" s="44">
        <f t="shared" si="246"/>
        <v>3490.1399999999994</v>
      </c>
      <c r="H755" s="44">
        <f t="shared" si="246"/>
        <v>3477.3199999999997</v>
      </c>
      <c r="I755" s="44">
        <f t="shared" si="246"/>
        <v>3497.6800000000003</v>
      </c>
      <c r="J755" s="44">
        <f t="shared" si="246"/>
        <v>3493.8000000000011</v>
      </c>
      <c r="K755" s="44">
        <f t="shared" si="246"/>
        <v>3493.4400000000005</v>
      </c>
      <c r="L755" s="44">
        <f t="shared" si="246"/>
        <v>3492.58</v>
      </c>
      <c r="M755" s="44"/>
      <c r="N755" s="44"/>
      <c r="O755" s="44"/>
      <c r="P755" s="44"/>
      <c r="Q755" s="42"/>
      <c r="R755" s="42"/>
      <c r="S755" s="43"/>
      <c r="T755" s="42"/>
      <c r="U755" s="42"/>
      <c r="V755" s="41"/>
      <c r="W755" s="40"/>
      <c r="X755" s="8"/>
    </row>
    <row r="756" spans="1:30" x14ac:dyDescent="0.25">
      <c r="A756" s="202">
        <v>43404</v>
      </c>
      <c r="B756" s="63" t="s">
        <v>160</v>
      </c>
      <c r="C756" s="56" t="s">
        <v>158</v>
      </c>
      <c r="D756" s="8">
        <v>1165.94</v>
      </c>
      <c r="E756" s="8">
        <v>1203.98</v>
      </c>
      <c r="F756" s="8">
        <v>1229.31</v>
      </c>
      <c r="G756" s="8">
        <v>1208.3900000000001</v>
      </c>
      <c r="H756" s="8">
        <v>1159.49</v>
      </c>
      <c r="I756" s="8">
        <v>1176.48</v>
      </c>
      <c r="J756" s="8">
        <v>1216.3499999999999</v>
      </c>
      <c r="K756" s="8">
        <v>1193.6500000000001</v>
      </c>
      <c r="L756" s="8">
        <v>1135.48</v>
      </c>
      <c r="M756" s="62"/>
      <c r="N756" s="62"/>
      <c r="O756" s="62"/>
      <c r="P756" s="62"/>
      <c r="Q756" s="57">
        <f>IF((L757=""),"",MAX(D758:L758))</f>
        <v>3127.08</v>
      </c>
      <c r="R756" s="57">
        <f>IF(L757="","",MIN(D758:L758))</f>
        <v>2721.64</v>
      </c>
      <c r="S756" s="58">
        <f>IF((L758=""),"",AVERAGE(D758:L758))</f>
        <v>2891.4888888888891</v>
      </c>
      <c r="T756" s="57">
        <f>IF((L757=""),"",((Q756-R756)/(Q756+R756))*100)</f>
        <v>6.9321150610731932</v>
      </c>
      <c r="U756" s="56">
        <f>STDEV(D756:L756)</f>
        <v>30.419656930639054</v>
      </c>
      <c r="V756" s="55" t="str">
        <f>IF(L757="","",(IF(T756&lt;12,IF(S756&gt;2200,IF(S756&lt;3280,"Pass","Fail"),"Fail"),"Fail")))</f>
        <v>Pass</v>
      </c>
      <c r="W756" s="54">
        <v>64</v>
      </c>
      <c r="Z756" s="37">
        <v>2000</v>
      </c>
      <c r="AA756" s="37">
        <v>3000</v>
      </c>
      <c r="AB756" s="37">
        <v>2200</v>
      </c>
      <c r="AC756" s="37">
        <v>3280</v>
      </c>
      <c r="AD756" s="39">
        <v>12</v>
      </c>
    </row>
    <row r="757" spans="1:30" ht="16.5" customHeight="1" x14ac:dyDescent="0.35">
      <c r="A757" s="206"/>
      <c r="B757" s="48"/>
      <c r="C757" s="51" t="s">
        <v>157</v>
      </c>
      <c r="D757" s="8">
        <v>416.77</v>
      </c>
      <c r="E757" s="8">
        <v>502.24</v>
      </c>
      <c r="F757" s="8">
        <v>548.9</v>
      </c>
      <c r="G757" s="8">
        <v>507.82</v>
      </c>
      <c r="H757" s="8">
        <v>404.05</v>
      </c>
      <c r="I757" s="8">
        <v>444.56</v>
      </c>
      <c r="J757" s="8">
        <v>525.87</v>
      </c>
      <c r="K757" s="8">
        <v>479.3</v>
      </c>
      <c r="L757" s="8">
        <v>353.71</v>
      </c>
      <c r="M757" s="50"/>
      <c r="N757" s="50"/>
      <c r="O757" s="50"/>
      <c r="P757" s="50"/>
      <c r="Q757" s="48"/>
      <c r="R757" s="48"/>
      <c r="S757" s="48"/>
      <c r="T757" s="48"/>
      <c r="U757" s="48"/>
      <c r="V757" s="47"/>
      <c r="W757" s="46"/>
      <c r="X757" s="8"/>
    </row>
    <row r="758" spans="1:30" ht="24.8" customHeight="1" thickBot="1" x14ac:dyDescent="0.4">
      <c r="A758" s="206"/>
      <c r="B758" s="61"/>
      <c r="C758" s="51" t="s">
        <v>156</v>
      </c>
      <c r="D758" s="24">
        <f t="shared" ref="D758:L758" si="247">IF(((D756="")*AND(D757="")),"",(D756-D757)*4)</f>
        <v>2996.6800000000003</v>
      </c>
      <c r="E758" s="24">
        <f t="shared" si="247"/>
        <v>2806.96</v>
      </c>
      <c r="F758" s="24">
        <f t="shared" si="247"/>
        <v>2721.64</v>
      </c>
      <c r="G758" s="24">
        <f t="shared" si="247"/>
        <v>2802.2800000000007</v>
      </c>
      <c r="H758" s="24">
        <f t="shared" si="247"/>
        <v>3021.76</v>
      </c>
      <c r="I758" s="24">
        <f t="shared" si="247"/>
        <v>2927.6800000000003</v>
      </c>
      <c r="J758" s="24">
        <f t="shared" si="247"/>
        <v>2761.9199999999996</v>
      </c>
      <c r="K758" s="24">
        <f t="shared" si="247"/>
        <v>2857.4000000000005</v>
      </c>
      <c r="L758" s="24">
        <f t="shared" si="247"/>
        <v>3127.08</v>
      </c>
      <c r="M758" s="24"/>
      <c r="N758" s="24"/>
      <c r="O758" s="24"/>
      <c r="P758" s="24" t="str">
        <f>IF(((P756="")*AND(P757="")),"",(P756-P757)*4)</f>
        <v/>
      </c>
      <c r="Q758" s="61"/>
      <c r="R758" s="61"/>
      <c r="S758" s="61"/>
      <c r="T758" s="61"/>
      <c r="U758" s="61"/>
      <c r="V758" s="60"/>
      <c r="W758" s="59"/>
      <c r="X758" s="8"/>
    </row>
    <row r="759" spans="1:30" x14ac:dyDescent="0.25">
      <c r="A759" s="202">
        <v>43404</v>
      </c>
      <c r="B759" s="57" t="s">
        <v>159</v>
      </c>
      <c r="C759" s="51" t="s">
        <v>158</v>
      </c>
      <c r="D759" s="8">
        <v>5113.37</v>
      </c>
      <c r="E759" s="8">
        <v>5094.83</v>
      </c>
      <c r="F759" s="8">
        <v>5140.24</v>
      </c>
      <c r="G759" s="8">
        <v>5100.93</v>
      </c>
      <c r="H759" s="8">
        <v>5156.88</v>
      </c>
      <c r="I759" s="8">
        <v>5124.74</v>
      </c>
      <c r="J759" s="8">
        <v>5126.9399999999996</v>
      </c>
      <c r="K759" s="8">
        <v>5128.71</v>
      </c>
      <c r="L759" s="8">
        <v>5210.0200000000004</v>
      </c>
      <c r="M759" s="50"/>
      <c r="N759" s="50"/>
      <c r="O759" s="50"/>
      <c r="P759" s="50"/>
      <c r="Q759" s="57">
        <f>IF((L760=""),"",MAX(D761:L761))</f>
        <v>3491.3199999999997</v>
      </c>
      <c r="R759" s="57">
        <f>IF(L760="","",MIN(D761:L761))</f>
        <v>3449.6000000000004</v>
      </c>
      <c r="S759" s="58">
        <f>IF((L761=""),"",AVERAGE(D761:L761))</f>
        <v>3475.1044444444437</v>
      </c>
      <c r="T759" s="57">
        <f>IF((L760=""),"",((Q759-R759)/(Q759+R759))*100)</f>
        <v>0.60107305659767507</v>
      </c>
      <c r="U759" s="56">
        <f>STDEV(D759:L759)</f>
        <v>34.548635203788486</v>
      </c>
      <c r="V759" s="55" t="str">
        <f>IF(L760="","",(IF(T759&lt;7,IF(S759&gt;2800,IF(S759&lt;3800,"Pass","Fail"),"Fail"),"Fail")))</f>
        <v>Pass</v>
      </c>
      <c r="W759" s="54">
        <v>64</v>
      </c>
      <c r="Z759" s="53">
        <v>2800</v>
      </c>
      <c r="AA759" s="53">
        <v>3800</v>
      </c>
      <c r="AB759" s="53">
        <v>3100</v>
      </c>
      <c r="AC759" s="53">
        <v>3760</v>
      </c>
      <c r="AD759" s="52">
        <v>6</v>
      </c>
    </row>
    <row r="760" spans="1:30" ht="16.5" customHeight="1" x14ac:dyDescent="0.35">
      <c r="A760" s="206"/>
      <c r="B760" s="48"/>
      <c r="C760" s="51" t="s">
        <v>157</v>
      </c>
      <c r="D760" s="8">
        <v>3378.26</v>
      </c>
      <c r="E760" s="8">
        <v>3349.17</v>
      </c>
      <c r="F760" s="8">
        <v>3398.72</v>
      </c>
      <c r="G760" s="8">
        <v>3360.19</v>
      </c>
      <c r="H760" s="8">
        <v>3432.08</v>
      </c>
      <c r="I760" s="8">
        <v>3388.53</v>
      </c>
      <c r="J760" s="8">
        <v>3386.19</v>
      </c>
      <c r="K760" s="8">
        <v>3387.35</v>
      </c>
      <c r="L760" s="8">
        <v>3478.2</v>
      </c>
      <c r="M760" s="50"/>
      <c r="N760" s="50"/>
      <c r="O760" s="50"/>
      <c r="P760" s="50"/>
      <c r="Q760" s="48"/>
      <c r="R760" s="48"/>
      <c r="S760" s="49"/>
      <c r="T760" s="48"/>
      <c r="U760" s="48"/>
      <c r="V760" s="47"/>
      <c r="W760" s="46"/>
      <c r="X760" s="8"/>
    </row>
    <row r="761" spans="1:30" ht="24.8" customHeight="1" thickBot="1" x14ac:dyDescent="0.4">
      <c r="A761" s="206"/>
      <c r="B761" s="42"/>
      <c r="C761" s="45" t="s">
        <v>156</v>
      </c>
      <c r="D761" s="44">
        <f t="shared" ref="D761:L761" si="248">IF(((D759="")*AND(D760="")),"",(D759-D760)*2)</f>
        <v>3470.2199999999993</v>
      </c>
      <c r="E761" s="44">
        <f t="shared" si="248"/>
        <v>3491.3199999999997</v>
      </c>
      <c r="F761" s="44">
        <f t="shared" si="248"/>
        <v>3483.04</v>
      </c>
      <c r="G761" s="44">
        <f t="shared" si="248"/>
        <v>3481.4800000000005</v>
      </c>
      <c r="H761" s="44">
        <f t="shared" si="248"/>
        <v>3449.6000000000004</v>
      </c>
      <c r="I761" s="44">
        <f t="shared" si="248"/>
        <v>3472.4199999999992</v>
      </c>
      <c r="J761" s="44">
        <f t="shared" si="248"/>
        <v>3481.4999999999991</v>
      </c>
      <c r="K761" s="44">
        <f t="shared" si="248"/>
        <v>3482.7200000000003</v>
      </c>
      <c r="L761" s="44">
        <f t="shared" si="248"/>
        <v>3463.6400000000012</v>
      </c>
      <c r="M761" s="44"/>
      <c r="N761" s="44"/>
      <c r="O761" s="44"/>
      <c r="P761" s="44"/>
      <c r="Q761" s="42"/>
      <c r="R761" s="42"/>
      <c r="S761" s="43"/>
      <c r="T761" s="42"/>
      <c r="U761" s="42"/>
      <c r="V761" s="41"/>
      <c r="W761" s="40"/>
      <c r="X761" s="8"/>
    </row>
    <row r="762" spans="1:30" x14ac:dyDescent="0.25">
      <c r="A762" s="202">
        <v>43420</v>
      </c>
      <c r="B762" s="63" t="s">
        <v>160</v>
      </c>
      <c r="C762" s="56" t="s">
        <v>158</v>
      </c>
      <c r="D762" s="8">
        <v>1907.42</v>
      </c>
      <c r="E762" s="8">
        <v>1902.63</v>
      </c>
      <c r="F762" s="8">
        <v>1902.63</v>
      </c>
      <c r="G762" s="8">
        <v>1902.36</v>
      </c>
      <c r="H762" s="8">
        <v>1906.95</v>
      </c>
      <c r="I762" s="8">
        <v>1907.94</v>
      </c>
      <c r="J762" s="8">
        <v>1902.66</v>
      </c>
      <c r="K762" s="8">
        <v>1904.05</v>
      </c>
      <c r="L762" s="8">
        <v>1906.98</v>
      </c>
      <c r="M762" s="62"/>
      <c r="N762" s="62"/>
      <c r="O762" s="62"/>
      <c r="P762" s="62"/>
      <c r="Q762" s="57">
        <f>IF((L763=""),"",MAX(D764:L764))</f>
        <v>3032.12</v>
      </c>
      <c r="R762" s="57">
        <f>IF(L763="","",MIN(D764:L764))</f>
        <v>2697.4000000000005</v>
      </c>
      <c r="S762" s="58">
        <f>IF((L764=""),"",AVERAGE(D764:L764))</f>
        <v>2821.8266666666673</v>
      </c>
      <c r="T762" s="57">
        <f>IF((L763=""),"",((Q762-R762)/(Q762+R762))*100)</f>
        <v>5.842025160920973</v>
      </c>
      <c r="U762" s="56">
        <f>STDEV(D762:L762)</f>
        <v>2.4133172190990617</v>
      </c>
      <c r="V762" s="55" t="str">
        <f>IF(L763="","",(IF(T762&lt;12,IF(S762&gt;2200,IF(S762&lt;3280,"Pass","Fail"),"Fail"),"Fail")))</f>
        <v>Pass</v>
      </c>
      <c r="W762" s="54">
        <v>74</v>
      </c>
      <c r="Z762" s="37">
        <v>2000</v>
      </c>
      <c r="AA762" s="37">
        <v>3000</v>
      </c>
      <c r="AB762" s="37">
        <v>2200</v>
      </c>
      <c r="AC762" s="37">
        <v>3280</v>
      </c>
      <c r="AD762" s="39">
        <v>12</v>
      </c>
    </row>
    <row r="763" spans="1:30" ht="16.5" customHeight="1" x14ac:dyDescent="0.35">
      <c r="A763" s="206"/>
      <c r="B763" s="48"/>
      <c r="C763" s="51" t="s">
        <v>157</v>
      </c>
      <c r="D763" s="8">
        <v>1184.42</v>
      </c>
      <c r="E763" s="8">
        <v>1210.57</v>
      </c>
      <c r="F763" s="8">
        <v>1228.28</v>
      </c>
      <c r="G763" s="8">
        <v>1214.5</v>
      </c>
      <c r="H763" s="8">
        <v>1181.23</v>
      </c>
      <c r="I763" s="8">
        <v>1204.97</v>
      </c>
      <c r="J763" s="8">
        <v>1223.8499999999999</v>
      </c>
      <c r="K763" s="8">
        <v>1197.74</v>
      </c>
      <c r="L763" s="8">
        <v>1148.95</v>
      </c>
      <c r="M763" s="50"/>
      <c r="N763" s="50"/>
      <c r="O763" s="50"/>
      <c r="P763" s="50"/>
      <c r="Q763" s="48"/>
      <c r="R763" s="48"/>
      <c r="S763" s="48"/>
      <c r="T763" s="48"/>
      <c r="U763" s="48"/>
      <c r="V763" s="47"/>
      <c r="W763" s="46"/>
      <c r="X763" s="8"/>
    </row>
    <row r="764" spans="1:30" ht="24.8" customHeight="1" thickBot="1" x14ac:dyDescent="0.4">
      <c r="A764" s="206"/>
      <c r="B764" s="61"/>
      <c r="C764" s="51" t="s">
        <v>156</v>
      </c>
      <c r="D764" s="24">
        <f t="shared" ref="D764:L764" si="249">IF(((D762="")*AND(D763="")),"",(D762-D763)*4)</f>
        <v>2892</v>
      </c>
      <c r="E764" s="24">
        <f t="shared" si="249"/>
        <v>2768.2400000000007</v>
      </c>
      <c r="F764" s="24">
        <f t="shared" si="249"/>
        <v>2697.4000000000005</v>
      </c>
      <c r="G764" s="24">
        <f t="shared" si="249"/>
        <v>2751.4399999999996</v>
      </c>
      <c r="H764" s="24">
        <f t="shared" si="249"/>
        <v>2902.88</v>
      </c>
      <c r="I764" s="24">
        <f t="shared" si="249"/>
        <v>2811.88</v>
      </c>
      <c r="J764" s="24">
        <f t="shared" si="249"/>
        <v>2715.2400000000007</v>
      </c>
      <c r="K764" s="24">
        <f t="shared" si="249"/>
        <v>2825.24</v>
      </c>
      <c r="L764" s="24">
        <f t="shared" si="249"/>
        <v>3032.12</v>
      </c>
      <c r="M764" s="24"/>
      <c r="N764" s="24"/>
      <c r="O764" s="24"/>
      <c r="P764" s="24" t="str">
        <f>IF(((P762="")*AND(P763="")),"",(P762-P763)*4)</f>
        <v/>
      </c>
      <c r="Q764" s="61"/>
      <c r="R764" s="61"/>
      <c r="S764" s="61"/>
      <c r="T764" s="61"/>
      <c r="U764" s="61"/>
      <c r="V764" s="60"/>
      <c r="W764" s="59"/>
      <c r="X764" s="8"/>
    </row>
    <row r="765" spans="1:30" x14ac:dyDescent="0.25">
      <c r="A765" s="202">
        <v>43420</v>
      </c>
      <c r="B765" s="57" t="s">
        <v>159</v>
      </c>
      <c r="C765" s="51" t="s">
        <v>158</v>
      </c>
      <c r="D765" s="8">
        <v>6844.94</v>
      </c>
      <c r="E765" s="8">
        <v>6825.29</v>
      </c>
      <c r="F765" s="8">
        <v>6872.46</v>
      </c>
      <c r="G765" s="8">
        <v>6836.16</v>
      </c>
      <c r="H765" s="8">
        <v>6900.07</v>
      </c>
      <c r="I765" s="8">
        <v>6871.97</v>
      </c>
      <c r="J765" s="8">
        <v>6861.26</v>
      </c>
      <c r="K765" s="8">
        <v>6864.91</v>
      </c>
      <c r="L765" s="8">
        <v>6952.37</v>
      </c>
      <c r="M765" s="50"/>
      <c r="N765" s="50"/>
      <c r="O765" s="50"/>
      <c r="P765" s="50"/>
      <c r="Q765" s="57">
        <f>IF((L766=""),"",MAX(D767:L767))</f>
        <v>3710.9800000000014</v>
      </c>
      <c r="R765" s="57">
        <f>IF(L766="","",MIN(D767:L767))</f>
        <v>3657</v>
      </c>
      <c r="S765" s="58">
        <f>IF((L767=""),"",AVERAGE(D767:L767))</f>
        <v>3674.9244444444444</v>
      </c>
      <c r="T765" s="57">
        <f>IF((L766=""),"",((Q765-R765)/(Q765+R765))*100)</f>
        <v>0.73262956739841001</v>
      </c>
      <c r="U765" s="56">
        <f>STDEV(D765:L765)</f>
        <v>38.035094320903156</v>
      </c>
      <c r="V765" s="55" t="str">
        <f>IF(L766="","",(IF(T765&lt;7,IF(S765&gt;2800,IF(S765&lt;3800,"Pass","Fail"),"Fail"),"Fail")))</f>
        <v>Pass</v>
      </c>
      <c r="W765" s="54">
        <v>74</v>
      </c>
      <c r="Z765" s="53">
        <v>2800</v>
      </c>
      <c r="AA765" s="53">
        <v>3800</v>
      </c>
      <c r="AB765" s="53">
        <v>3100</v>
      </c>
      <c r="AC765" s="53">
        <v>3760</v>
      </c>
      <c r="AD765" s="52">
        <v>6</v>
      </c>
    </row>
    <row r="766" spans="1:30" ht="16.5" customHeight="1" x14ac:dyDescent="0.35">
      <c r="A766" s="206"/>
      <c r="B766" s="48"/>
      <c r="C766" s="51" t="s">
        <v>157</v>
      </c>
      <c r="D766" s="8">
        <v>4996.37</v>
      </c>
      <c r="E766" s="8">
        <v>4985.3500000000004</v>
      </c>
      <c r="F766" s="8">
        <v>5039.88</v>
      </c>
      <c r="G766" s="8">
        <v>5003.5</v>
      </c>
      <c r="H766" s="8">
        <v>5069.1499999999996</v>
      </c>
      <c r="I766" s="8">
        <v>5016.4799999999996</v>
      </c>
      <c r="J766" s="8">
        <v>5022.97</v>
      </c>
      <c r="K766" s="8">
        <v>5036.41</v>
      </c>
      <c r="L766" s="8">
        <v>5122.16</v>
      </c>
      <c r="M766" s="50"/>
      <c r="N766" s="50"/>
      <c r="O766" s="50"/>
      <c r="P766" s="50"/>
      <c r="Q766" s="48"/>
      <c r="R766" s="48"/>
      <c r="S766" s="49"/>
      <c r="T766" s="48"/>
      <c r="U766" s="48"/>
      <c r="V766" s="47"/>
      <c r="W766" s="46"/>
      <c r="X766" s="8"/>
    </row>
    <row r="767" spans="1:30" ht="24.8" customHeight="1" thickBot="1" x14ac:dyDescent="0.4">
      <c r="A767" s="206"/>
      <c r="B767" s="42"/>
      <c r="C767" s="45" t="s">
        <v>156</v>
      </c>
      <c r="D767" s="44">
        <f t="shared" ref="D767:L767" si="250">IF(((D765="")*AND(D766="")),"",(D765-D766)*2)</f>
        <v>3697.1399999999994</v>
      </c>
      <c r="E767" s="44">
        <f t="shared" si="250"/>
        <v>3679.8799999999992</v>
      </c>
      <c r="F767" s="44">
        <f t="shared" si="250"/>
        <v>3665.16</v>
      </c>
      <c r="G767" s="44">
        <f t="shared" si="250"/>
        <v>3665.3199999999997</v>
      </c>
      <c r="H767" s="44">
        <f t="shared" si="250"/>
        <v>3661.84</v>
      </c>
      <c r="I767" s="44">
        <f t="shared" si="250"/>
        <v>3710.9800000000014</v>
      </c>
      <c r="J767" s="44">
        <f t="shared" si="250"/>
        <v>3676.58</v>
      </c>
      <c r="K767" s="44">
        <f t="shared" si="250"/>
        <v>3657</v>
      </c>
      <c r="L767" s="44">
        <f t="shared" si="250"/>
        <v>3660.42</v>
      </c>
      <c r="M767" s="44"/>
      <c r="N767" s="44"/>
      <c r="O767" s="44"/>
      <c r="P767" s="44"/>
      <c r="Q767" s="42"/>
      <c r="R767" s="42"/>
      <c r="S767" s="43"/>
      <c r="T767" s="42"/>
      <c r="U767" s="42"/>
      <c r="V767" s="41"/>
      <c r="W767" s="40"/>
      <c r="X767" s="8"/>
    </row>
    <row r="768" spans="1:30" x14ac:dyDescent="0.25">
      <c r="A768" s="202">
        <v>43441</v>
      </c>
      <c r="B768" s="63" t="s">
        <v>160</v>
      </c>
      <c r="C768" s="56" t="s">
        <v>158</v>
      </c>
      <c r="D768" s="8">
        <v>1907.06</v>
      </c>
      <c r="E768" s="8">
        <v>1905.18</v>
      </c>
      <c r="F768" s="8">
        <v>1895.52</v>
      </c>
      <c r="G768" s="8">
        <v>1903.6</v>
      </c>
      <c r="H768" s="8">
        <v>1910.87</v>
      </c>
      <c r="I768" s="8">
        <v>1909.13</v>
      </c>
      <c r="J768" s="8">
        <v>1902.64</v>
      </c>
      <c r="K768" s="8">
        <v>1903.36</v>
      </c>
      <c r="L768" s="8">
        <v>1904</v>
      </c>
      <c r="M768" s="62"/>
      <c r="N768" s="62"/>
      <c r="O768" s="62"/>
      <c r="P768" s="62"/>
      <c r="Q768" s="57">
        <f>IF((L769=""),"",MAX(D770:L770))</f>
        <v>2940.5999999999995</v>
      </c>
      <c r="R768" s="57">
        <f>IF(L769="","",MIN(D770:L770))</f>
        <v>2625.96</v>
      </c>
      <c r="S768" s="58">
        <f>IF((L770=""),"",AVERAGE(D770:L770))</f>
        <v>2783.2577777777778</v>
      </c>
      <c r="T768" s="57">
        <f>IF((L769=""),"",((Q768-R768)/(Q768+R768))*100)</f>
        <v>5.6523238768646964</v>
      </c>
      <c r="U768" s="56">
        <f>STDEV(D768:L768)</f>
        <v>4.4074825896170875</v>
      </c>
      <c r="V768" s="55" t="str">
        <f>IF(L769="","",(IF(T768&lt;12,IF(S768&gt;2200,IF(S768&lt;3280,"Pass","Fail"),"Fail"),"Fail")))</f>
        <v>Pass</v>
      </c>
      <c r="W768" s="54">
        <v>1159</v>
      </c>
      <c r="Y768" s="8" t="s">
        <v>162</v>
      </c>
      <c r="Z768" s="37">
        <v>2000</v>
      </c>
      <c r="AA768" s="37">
        <v>3000</v>
      </c>
      <c r="AB768" s="37">
        <v>2200</v>
      </c>
      <c r="AC768" s="37">
        <v>3280</v>
      </c>
      <c r="AD768" s="39">
        <v>12</v>
      </c>
    </row>
    <row r="769" spans="1:30" ht="16.5" customHeight="1" x14ac:dyDescent="0.35">
      <c r="A769" s="206"/>
      <c r="B769" s="48"/>
      <c r="C769" s="51" t="s">
        <v>157</v>
      </c>
      <c r="D769" s="8">
        <v>1185.98</v>
      </c>
      <c r="E769" s="8">
        <v>1217.97</v>
      </c>
      <c r="F769" s="8">
        <v>1239.03</v>
      </c>
      <c r="G769" s="8">
        <v>1219.3800000000001</v>
      </c>
      <c r="H769" s="8">
        <v>1175.72</v>
      </c>
      <c r="I769" s="8">
        <v>1203.72</v>
      </c>
      <c r="J769" s="8">
        <v>1226.68</v>
      </c>
      <c r="K769" s="8">
        <v>1202.55</v>
      </c>
      <c r="L769" s="8">
        <v>1208</v>
      </c>
      <c r="M769" s="50"/>
      <c r="N769" s="50"/>
      <c r="O769" s="50"/>
      <c r="P769" s="50"/>
      <c r="Q769" s="48"/>
      <c r="R769" s="48"/>
      <c r="S769" s="48"/>
      <c r="T769" s="48"/>
      <c r="U769" s="48"/>
      <c r="V769" s="47"/>
      <c r="W769" s="46"/>
      <c r="X769" s="8"/>
    </row>
    <row r="770" spans="1:30" ht="24.8" customHeight="1" thickBot="1" x14ac:dyDescent="0.4">
      <c r="A770" s="206"/>
      <c r="B770" s="61"/>
      <c r="C770" s="51" t="s">
        <v>156</v>
      </c>
      <c r="D770" s="24">
        <f t="shared" ref="D770:L770" si="251">IF(((D768="")*AND(D769="")),"",(D768-D769)*4)</f>
        <v>2884.3199999999997</v>
      </c>
      <c r="E770" s="24">
        <f t="shared" si="251"/>
        <v>2748.84</v>
      </c>
      <c r="F770" s="24">
        <f t="shared" si="251"/>
        <v>2625.96</v>
      </c>
      <c r="G770" s="24">
        <f t="shared" si="251"/>
        <v>2736.8799999999992</v>
      </c>
      <c r="H770" s="24">
        <f t="shared" si="251"/>
        <v>2940.5999999999995</v>
      </c>
      <c r="I770" s="24">
        <f t="shared" si="251"/>
        <v>2821.6400000000003</v>
      </c>
      <c r="J770" s="24">
        <f t="shared" si="251"/>
        <v>2703.84</v>
      </c>
      <c r="K770" s="24">
        <f t="shared" si="251"/>
        <v>2803.24</v>
      </c>
      <c r="L770" s="24">
        <f t="shared" si="251"/>
        <v>2784</v>
      </c>
      <c r="M770" s="24"/>
      <c r="N770" s="24"/>
      <c r="O770" s="24"/>
      <c r="P770" s="24" t="str">
        <f>IF(((P768="")*AND(P769="")),"",(P768-P769)*4)</f>
        <v/>
      </c>
      <c r="Q770" s="61"/>
      <c r="R770" s="61"/>
      <c r="S770" s="61"/>
      <c r="T770" s="61"/>
      <c r="U770" s="61"/>
      <c r="V770" s="60"/>
      <c r="W770" s="59"/>
      <c r="X770" s="8"/>
    </row>
    <row r="771" spans="1:30" x14ac:dyDescent="0.25">
      <c r="A771" s="202">
        <v>43441</v>
      </c>
      <c r="B771" s="57" t="s">
        <v>159</v>
      </c>
      <c r="C771" s="51" t="s">
        <v>158</v>
      </c>
      <c r="D771" s="8">
        <v>6860.4</v>
      </c>
      <c r="E771" s="8">
        <v>6849.22</v>
      </c>
      <c r="F771" s="8">
        <v>6897.09</v>
      </c>
      <c r="G771" s="8">
        <v>6858.18</v>
      </c>
      <c r="H771" s="8">
        <v>6902.4</v>
      </c>
      <c r="I771" s="8">
        <v>6876.15</v>
      </c>
      <c r="J771" s="8">
        <v>6881</v>
      </c>
      <c r="K771" s="8">
        <v>6889.42</v>
      </c>
      <c r="L771" s="8">
        <v>6962.74</v>
      </c>
      <c r="M771" s="50"/>
      <c r="N771" s="50"/>
      <c r="O771" s="50"/>
      <c r="P771" s="50"/>
      <c r="Q771" s="57">
        <f>IF((L772=""),"",MAX(D773:L773))</f>
        <v>3661.9599999999991</v>
      </c>
      <c r="R771" s="57">
        <f>IF(L772="","",MIN(D773:L773))</f>
        <v>3619.0599999999995</v>
      </c>
      <c r="S771" s="58">
        <f>IF((L773=""),"",AVERAGE(D773:L773))</f>
        <v>3638.3444444444444</v>
      </c>
      <c r="T771" s="57">
        <f>IF((L772=""),"",((Q771-R771)/(Q771+R771))*100)</f>
        <v>0.58920316109555593</v>
      </c>
      <c r="U771" s="56">
        <f>STDEV(D771:L771)</f>
        <v>33.904321791050542</v>
      </c>
      <c r="V771" s="55" t="str">
        <f>IF(L772="","",(IF(T771&lt;7,IF(S771&gt;2800,IF(S771&lt;3800,"Pass","Fail"),"Fail"),"Fail")))</f>
        <v>Pass</v>
      </c>
      <c r="W771" s="54">
        <v>1159</v>
      </c>
      <c r="Z771" s="53">
        <v>2800</v>
      </c>
      <c r="AA771" s="53">
        <v>3800</v>
      </c>
      <c r="AB771" s="53">
        <v>3100</v>
      </c>
      <c r="AC771" s="53">
        <v>3760</v>
      </c>
      <c r="AD771" s="52">
        <v>6</v>
      </c>
    </row>
    <row r="772" spans="1:30" ht="16.5" customHeight="1" x14ac:dyDescent="0.35">
      <c r="A772" s="206"/>
      <c r="B772" s="48"/>
      <c r="C772" s="51" t="s">
        <v>157</v>
      </c>
      <c r="D772" s="8">
        <v>5032.8</v>
      </c>
      <c r="E772" s="8">
        <v>5027.03</v>
      </c>
      <c r="F772" s="8">
        <v>5081.71</v>
      </c>
      <c r="G772" s="8">
        <v>5042.4399999999996</v>
      </c>
      <c r="H772" s="8">
        <v>5092.87</v>
      </c>
      <c r="I772" s="8">
        <v>5045.17</v>
      </c>
      <c r="J772" s="8">
        <v>5060.67</v>
      </c>
      <c r="K772" s="8">
        <v>5075.47</v>
      </c>
      <c r="L772" s="8">
        <v>5145.8900000000003</v>
      </c>
      <c r="M772" s="50"/>
      <c r="N772" s="50"/>
      <c r="O772" s="50"/>
      <c r="P772" s="50"/>
      <c r="Q772" s="48"/>
      <c r="R772" s="48"/>
      <c r="S772" s="49"/>
      <c r="T772" s="48"/>
      <c r="U772" s="48"/>
      <c r="V772" s="47"/>
      <c r="W772" s="46"/>
      <c r="X772" s="8"/>
    </row>
    <row r="773" spans="1:30" ht="24.8" customHeight="1" thickBot="1" x14ac:dyDescent="0.4">
      <c r="A773" s="206"/>
      <c r="B773" s="42"/>
      <c r="C773" s="45" t="s">
        <v>156</v>
      </c>
      <c r="D773" s="44">
        <f t="shared" ref="D773:L773" si="252">IF(((D771="")*AND(D772="")),"",(D771-D772)*2)</f>
        <v>3655.1999999999989</v>
      </c>
      <c r="E773" s="44">
        <f t="shared" si="252"/>
        <v>3644.380000000001</v>
      </c>
      <c r="F773" s="44">
        <f t="shared" si="252"/>
        <v>3630.76</v>
      </c>
      <c r="G773" s="44">
        <f t="shared" si="252"/>
        <v>3631.4800000000014</v>
      </c>
      <c r="H773" s="44">
        <f t="shared" si="252"/>
        <v>3619.0599999999995</v>
      </c>
      <c r="I773" s="44">
        <f t="shared" si="252"/>
        <v>3661.9599999999991</v>
      </c>
      <c r="J773" s="44">
        <f t="shared" si="252"/>
        <v>3640.66</v>
      </c>
      <c r="K773" s="44">
        <f t="shared" si="252"/>
        <v>3627.8999999999996</v>
      </c>
      <c r="L773" s="44">
        <f t="shared" si="252"/>
        <v>3633.6999999999989</v>
      </c>
      <c r="M773" s="44"/>
      <c r="N773" s="44"/>
      <c r="O773" s="44"/>
      <c r="P773" s="44"/>
      <c r="Q773" s="42"/>
      <c r="R773" s="42"/>
      <c r="S773" s="43"/>
      <c r="T773" s="42"/>
      <c r="U773" s="42"/>
      <c r="V773" s="41"/>
      <c r="W773" s="40"/>
      <c r="X773" s="8"/>
    </row>
    <row r="774" spans="1:30" x14ac:dyDescent="0.25">
      <c r="A774" s="202">
        <v>43451</v>
      </c>
      <c r="B774" s="63" t="s">
        <v>160</v>
      </c>
      <c r="C774" s="56" t="s">
        <v>158</v>
      </c>
      <c r="D774" s="8">
        <v>1926.4</v>
      </c>
      <c r="E774" s="8">
        <v>1919.28</v>
      </c>
      <c r="F774" s="8">
        <v>1904.47</v>
      </c>
      <c r="G774" s="8">
        <v>1918.3</v>
      </c>
      <c r="H774" s="8">
        <v>1923.23</v>
      </c>
      <c r="I774" s="8">
        <v>1924.72</v>
      </c>
      <c r="J774" s="8">
        <v>1917.42</v>
      </c>
      <c r="K774" s="8">
        <v>1921.37</v>
      </c>
      <c r="L774" s="8">
        <v>1929.99</v>
      </c>
      <c r="M774" s="62"/>
      <c r="N774" s="62"/>
      <c r="O774" s="62"/>
      <c r="P774" s="62"/>
      <c r="Q774" s="57">
        <f>IF((L775=""),"",MAX(D776:L776))</f>
        <v>3089.3199999999997</v>
      </c>
      <c r="R774" s="57">
        <f>IF(L775="","",MIN(D776:L776))</f>
        <v>2679.92</v>
      </c>
      <c r="S774" s="58">
        <f>IF((L776=""),"",AVERAGE(D776:L776))</f>
        <v>2843.2533333333331</v>
      </c>
      <c r="T774" s="57">
        <f>IF((L775=""),"",((Q774-R774)/(Q774+R774))*100)</f>
        <v>7.09625531265816</v>
      </c>
      <c r="U774" s="56">
        <f>STDEV(D774:L774)</f>
        <v>7.2767834774560809</v>
      </c>
      <c r="V774" s="55" t="str">
        <f>IF(L775="","",(IF(T774&lt;12,IF(S774&gt;2200,IF(S774&lt;3280,"Pass","Fail"),"Fail"),"Fail")))</f>
        <v>Pass</v>
      </c>
      <c r="W774" s="54">
        <v>1159</v>
      </c>
      <c r="X774" s="26" t="s">
        <v>161</v>
      </c>
      <c r="Z774" s="37">
        <v>2000</v>
      </c>
      <c r="AA774" s="37">
        <v>3000</v>
      </c>
      <c r="AB774" s="37">
        <v>2200</v>
      </c>
      <c r="AC774" s="37">
        <v>3280</v>
      </c>
      <c r="AD774" s="39">
        <v>12</v>
      </c>
    </row>
    <row r="775" spans="1:30" ht="16.5" customHeight="1" x14ac:dyDescent="0.35">
      <c r="A775" s="206"/>
      <c r="B775" s="48"/>
      <c r="C775" s="51" t="s">
        <v>157</v>
      </c>
      <c r="D775" s="8">
        <v>1193.43</v>
      </c>
      <c r="E775" s="8">
        <v>1223.73</v>
      </c>
      <c r="F775" s="8">
        <v>1234.49</v>
      </c>
      <c r="G775" s="8">
        <v>1226.5899999999999</v>
      </c>
      <c r="H775" s="8">
        <v>1188.8499999999999</v>
      </c>
      <c r="I775" s="8">
        <v>1216.24</v>
      </c>
      <c r="J775" s="8">
        <v>1238.97</v>
      </c>
      <c r="K775" s="8">
        <v>1207.9000000000001</v>
      </c>
      <c r="L775" s="8">
        <v>1157.6600000000001</v>
      </c>
      <c r="M775" s="50"/>
      <c r="N775" s="50"/>
      <c r="O775" s="50"/>
      <c r="P775" s="50"/>
      <c r="Q775" s="48"/>
      <c r="R775" s="48"/>
      <c r="S775" s="48"/>
      <c r="T775" s="48"/>
      <c r="U775" s="48"/>
      <c r="V775" s="47"/>
      <c r="W775" s="46"/>
      <c r="X775" s="8"/>
    </row>
    <row r="776" spans="1:30" ht="24.8" customHeight="1" thickBot="1" x14ac:dyDescent="0.4">
      <c r="A776" s="206"/>
      <c r="B776" s="61"/>
      <c r="C776" s="51" t="s">
        <v>156</v>
      </c>
      <c r="D776" s="24">
        <f t="shared" ref="D776:L776" si="253">IF(((D774="")*AND(D775="")),"",(D774-D775)*4)</f>
        <v>2931.88</v>
      </c>
      <c r="E776" s="24">
        <f t="shared" si="253"/>
        <v>2782.2</v>
      </c>
      <c r="F776" s="24">
        <f t="shared" si="253"/>
        <v>2679.92</v>
      </c>
      <c r="G776" s="24">
        <f t="shared" si="253"/>
        <v>2766.84</v>
      </c>
      <c r="H776" s="24">
        <f t="shared" si="253"/>
        <v>2937.5200000000004</v>
      </c>
      <c r="I776" s="24">
        <f t="shared" si="253"/>
        <v>2833.92</v>
      </c>
      <c r="J776" s="24">
        <f t="shared" si="253"/>
        <v>2713.8</v>
      </c>
      <c r="K776" s="24">
        <f t="shared" si="253"/>
        <v>2853.8799999999992</v>
      </c>
      <c r="L776" s="24">
        <f t="shared" si="253"/>
        <v>3089.3199999999997</v>
      </c>
      <c r="M776" s="24"/>
      <c r="N776" s="24"/>
      <c r="O776" s="24"/>
      <c r="P776" s="24" t="str">
        <f>IF(((P774="")*AND(P775="")),"",(P774-P775)*4)</f>
        <v/>
      </c>
      <c r="Q776" s="61"/>
      <c r="R776" s="61"/>
      <c r="S776" s="61"/>
      <c r="T776" s="61"/>
      <c r="U776" s="61"/>
      <c r="V776" s="60"/>
      <c r="W776" s="59"/>
      <c r="X776" s="8"/>
      <c r="Y776" s="8"/>
    </row>
    <row r="777" spans="1:30" x14ac:dyDescent="0.25">
      <c r="A777" s="202">
        <v>43451</v>
      </c>
      <c r="B777" s="57" t="s">
        <v>159</v>
      </c>
      <c r="C777" s="51" t="s">
        <v>158</v>
      </c>
      <c r="D777" s="8">
        <v>5012.54</v>
      </c>
      <c r="E777" s="8">
        <v>5000.32</v>
      </c>
      <c r="F777" s="8">
        <v>5054.62</v>
      </c>
      <c r="G777" s="8">
        <v>5018.3900000000003</v>
      </c>
      <c r="H777" s="8">
        <v>5084.95</v>
      </c>
      <c r="I777" s="8">
        <v>5033.93</v>
      </c>
      <c r="J777" s="8">
        <v>5037.59</v>
      </c>
      <c r="K777" s="8">
        <v>5050.79</v>
      </c>
      <c r="L777" s="8">
        <v>5136.96</v>
      </c>
      <c r="M777" s="50"/>
      <c r="N777" s="50"/>
      <c r="O777" s="50"/>
      <c r="P777" s="50"/>
      <c r="Q777" s="57">
        <f>IF((L778=""),"",MAX(D779:L779))</f>
        <v>3610.9199999999992</v>
      </c>
      <c r="R777" s="57">
        <f>IF(L778="","",MIN(D779:L779))</f>
        <v>3562.2599999999993</v>
      </c>
      <c r="S777" s="58">
        <f>IF((L779=""),"",AVERAGE(D779:L779))</f>
        <v>3593.7400000000002</v>
      </c>
      <c r="T777" s="57">
        <f>IF((L778=""),"",((Q777-R777)/(Q777+R777))*100)</f>
        <v>0.67836022517209749</v>
      </c>
      <c r="U777" s="56">
        <f>STDEV(D777:L777)</f>
        <v>41.899084649243157</v>
      </c>
      <c r="V777" s="55" t="str">
        <f>IF(L778="","",(IF(T777&lt;7,IF(S777&gt;2800,IF(S777&lt;3800,"Pass","Fail"),"Fail"),"Fail")))</f>
        <v>Pass</v>
      </c>
      <c r="W777" s="54">
        <v>1159</v>
      </c>
      <c r="X777" s="26" t="s">
        <v>161</v>
      </c>
      <c r="Z777" s="53">
        <v>2800</v>
      </c>
      <c r="AA777" s="53">
        <v>3800</v>
      </c>
      <c r="AB777" s="53">
        <v>3100</v>
      </c>
      <c r="AC777" s="53">
        <v>3760</v>
      </c>
      <c r="AD777" s="52">
        <v>6</v>
      </c>
    </row>
    <row r="778" spans="1:30" ht="16.5" customHeight="1" x14ac:dyDescent="0.35">
      <c r="A778" s="206"/>
      <c r="B778" s="48"/>
      <c r="C778" s="51" t="s">
        <v>157</v>
      </c>
      <c r="D778" s="8">
        <v>3218.25</v>
      </c>
      <c r="E778" s="8">
        <v>3194.86</v>
      </c>
      <c r="F778" s="8">
        <v>3256.48</v>
      </c>
      <c r="G778" s="8">
        <v>3219.32</v>
      </c>
      <c r="H778" s="8">
        <v>3303.82</v>
      </c>
      <c r="I778" s="8">
        <v>3234.79</v>
      </c>
      <c r="J778" s="8">
        <v>3239.31</v>
      </c>
      <c r="K778" s="8">
        <v>3250.43</v>
      </c>
      <c r="L778" s="8">
        <v>3341</v>
      </c>
      <c r="M778" s="50"/>
      <c r="N778" s="50"/>
      <c r="O778" s="50"/>
      <c r="P778" s="50"/>
      <c r="Q778" s="48"/>
      <c r="R778" s="48"/>
      <c r="S778" s="49"/>
      <c r="T778" s="48"/>
      <c r="U778" s="48"/>
      <c r="V778" s="47"/>
      <c r="W778" s="46"/>
      <c r="X778" s="8"/>
    </row>
    <row r="779" spans="1:30" ht="24.8" customHeight="1" thickBot="1" x14ac:dyDescent="0.4">
      <c r="A779" s="206"/>
      <c r="B779" s="42"/>
      <c r="C779" s="45" t="s">
        <v>156</v>
      </c>
      <c r="D779" s="44">
        <f t="shared" ref="D779:L779" si="254">IF(((D777="")*AND(D778="")),"",(D777-D778)*2)</f>
        <v>3588.58</v>
      </c>
      <c r="E779" s="44">
        <f t="shared" si="254"/>
        <v>3610.9199999999992</v>
      </c>
      <c r="F779" s="44">
        <f t="shared" si="254"/>
        <v>3596.2799999999997</v>
      </c>
      <c r="G779" s="44">
        <f t="shared" si="254"/>
        <v>3598.1400000000003</v>
      </c>
      <c r="H779" s="44">
        <f t="shared" si="254"/>
        <v>3562.2599999999993</v>
      </c>
      <c r="I779" s="44">
        <f t="shared" si="254"/>
        <v>3598.2800000000007</v>
      </c>
      <c r="J779" s="44">
        <f t="shared" si="254"/>
        <v>3596.5600000000004</v>
      </c>
      <c r="K779" s="44">
        <f t="shared" si="254"/>
        <v>3600.7200000000003</v>
      </c>
      <c r="L779" s="44">
        <f t="shared" si="254"/>
        <v>3591.92</v>
      </c>
      <c r="M779" s="44"/>
      <c r="N779" s="44"/>
      <c r="O779" s="44"/>
      <c r="P779" s="44"/>
      <c r="Q779" s="42"/>
      <c r="R779" s="42"/>
      <c r="S779" s="43"/>
      <c r="T779" s="42"/>
      <c r="U779" s="42"/>
      <c r="V779" s="41"/>
      <c r="W779" s="40"/>
      <c r="X779" s="8"/>
    </row>
    <row r="780" spans="1:30" x14ac:dyDescent="0.25">
      <c r="A780" s="202">
        <v>43460</v>
      </c>
      <c r="B780" s="63" t="s">
        <v>160</v>
      </c>
      <c r="C780" s="56" t="s">
        <v>158</v>
      </c>
      <c r="D780" s="8">
        <v>1190</v>
      </c>
      <c r="E780" s="8">
        <v>1216</v>
      </c>
      <c r="F780" s="8">
        <v>1241</v>
      </c>
      <c r="G780" s="8">
        <v>1214</v>
      </c>
      <c r="H780" s="8">
        <v>1173</v>
      </c>
      <c r="I780" s="8">
        <v>1205</v>
      </c>
      <c r="J780" s="8">
        <v>1227</v>
      </c>
      <c r="K780" s="8">
        <v>1201</v>
      </c>
      <c r="L780" s="8">
        <v>1147</v>
      </c>
      <c r="M780" s="62"/>
      <c r="N780" s="62"/>
      <c r="O780" s="62"/>
      <c r="P780" s="62"/>
      <c r="Q780" s="57">
        <f>IF((L781=""),"",MAX(D782:L782))</f>
        <v>3044</v>
      </c>
      <c r="R780" s="57">
        <f>IF(L781="","",MIN(D782:L782))</f>
        <v>2748</v>
      </c>
      <c r="S780" s="58">
        <f>IF((L782=""),"",AVERAGE(D782:L782))</f>
        <v>2854.2222222222222</v>
      </c>
      <c r="T780" s="57">
        <f>IF((L781=""),"",((Q780-R780)/(Q780+R780))*100)</f>
        <v>5.1104972375690609</v>
      </c>
      <c r="U780" s="56">
        <f>STDEV(D780:L780)</f>
        <v>28.513641959205732</v>
      </c>
      <c r="V780" s="55" t="str">
        <f>IF(L781="","",(IF(T780&lt;12,IF(S780&gt;2200,IF(S780&lt;3280,"Pass","Fail"),"Fail"),"Fail")))</f>
        <v>Pass</v>
      </c>
      <c r="W780" s="54">
        <v>1340</v>
      </c>
      <c r="Z780" s="37">
        <v>2000</v>
      </c>
      <c r="AA780" s="37">
        <v>3000</v>
      </c>
      <c r="AB780" s="37">
        <v>2200</v>
      </c>
      <c r="AC780" s="37">
        <v>3280</v>
      </c>
      <c r="AD780" s="39">
        <v>12</v>
      </c>
    </row>
    <row r="781" spans="1:30" ht="16.5" customHeight="1" x14ac:dyDescent="0.35">
      <c r="A781" s="206"/>
      <c r="B781" s="48"/>
      <c r="C781" s="51" t="s">
        <v>157</v>
      </c>
      <c r="D781" s="8">
        <v>448</v>
      </c>
      <c r="E781" s="8">
        <v>516</v>
      </c>
      <c r="F781" s="8">
        <v>552</v>
      </c>
      <c r="G781" s="8">
        <v>526</v>
      </c>
      <c r="H781" s="8">
        <v>445</v>
      </c>
      <c r="I781" s="8">
        <v>488</v>
      </c>
      <c r="J781" s="8">
        <v>540</v>
      </c>
      <c r="K781" s="8">
        <v>491</v>
      </c>
      <c r="L781" s="8">
        <v>386</v>
      </c>
      <c r="M781" s="50"/>
      <c r="N781" s="50"/>
      <c r="O781" s="50"/>
      <c r="P781" s="50"/>
      <c r="Q781" s="48"/>
      <c r="R781" s="48"/>
      <c r="S781" s="48"/>
      <c r="T781" s="48"/>
      <c r="U781" s="48"/>
      <c r="V781" s="47"/>
      <c r="W781" s="46"/>
      <c r="X781" s="8"/>
    </row>
    <row r="782" spans="1:30" ht="24.8" customHeight="1" thickBot="1" x14ac:dyDescent="0.4">
      <c r="A782" s="206"/>
      <c r="B782" s="61"/>
      <c r="C782" s="51" t="s">
        <v>156</v>
      </c>
      <c r="D782" s="24">
        <f t="shared" ref="D782:L782" si="255">IF(((D780="")*AND(D781="")),"",(D780-D781)*4)</f>
        <v>2968</v>
      </c>
      <c r="E782" s="24">
        <f t="shared" si="255"/>
        <v>2800</v>
      </c>
      <c r="F782" s="24">
        <f t="shared" si="255"/>
        <v>2756</v>
      </c>
      <c r="G782" s="24">
        <f t="shared" si="255"/>
        <v>2752</v>
      </c>
      <c r="H782" s="24">
        <f t="shared" si="255"/>
        <v>2912</v>
      </c>
      <c r="I782" s="24">
        <f t="shared" si="255"/>
        <v>2868</v>
      </c>
      <c r="J782" s="24">
        <f t="shared" si="255"/>
        <v>2748</v>
      </c>
      <c r="K782" s="24">
        <f t="shared" si="255"/>
        <v>2840</v>
      </c>
      <c r="L782" s="24">
        <f t="shared" si="255"/>
        <v>3044</v>
      </c>
      <c r="M782" s="24"/>
      <c r="N782" s="24"/>
      <c r="O782" s="24"/>
      <c r="P782" s="24" t="str">
        <f>IF(((P780="")*AND(P781="")),"",(P780-P781)*4)</f>
        <v/>
      </c>
      <c r="Q782" s="61"/>
      <c r="R782" s="61"/>
      <c r="S782" s="61"/>
      <c r="T782" s="61"/>
      <c r="U782" s="61"/>
      <c r="V782" s="60"/>
      <c r="W782" s="59"/>
      <c r="X782" s="8"/>
    </row>
    <row r="783" spans="1:30" x14ac:dyDescent="0.25">
      <c r="A783" s="202">
        <v>43460</v>
      </c>
      <c r="B783" s="57" t="s">
        <v>159</v>
      </c>
      <c r="C783" s="51" t="s">
        <v>158</v>
      </c>
      <c r="D783" s="8">
        <v>5046</v>
      </c>
      <c r="E783" s="8">
        <v>5039</v>
      </c>
      <c r="F783" s="8">
        <v>5093</v>
      </c>
      <c r="G783" s="8">
        <v>5054</v>
      </c>
      <c r="H783" s="8">
        <v>5107</v>
      </c>
      <c r="I783" s="8">
        <v>5058</v>
      </c>
      <c r="J783" s="8">
        <v>5071</v>
      </c>
      <c r="K783" s="8">
        <v>5087</v>
      </c>
      <c r="L783" s="8">
        <v>5158</v>
      </c>
      <c r="M783" s="50"/>
      <c r="N783" s="50"/>
      <c r="O783" s="50"/>
      <c r="P783" s="50"/>
      <c r="Q783" s="57">
        <f>IF((L784=""),"",MAX(D785:L785))</f>
        <v>3650</v>
      </c>
      <c r="R783" s="57">
        <f>IF(L784="","",MIN(D785:L785))</f>
        <v>3618</v>
      </c>
      <c r="S783" s="58">
        <f>IF((L785=""),"",AVERAGE(D785:L785))</f>
        <v>3636.8888888888887</v>
      </c>
      <c r="T783" s="57">
        <f>IF((L784=""),"",((Q783-R783)/(Q783+R783))*100)</f>
        <v>0.44028618602091357</v>
      </c>
      <c r="U783" s="56">
        <f>STDEV(D783:L783)</f>
        <v>37.255126418312479</v>
      </c>
      <c r="V783" s="55" t="str">
        <f>IF(L784="","",(IF(T783&lt;7,IF(S783&gt;2800,IF(S783&lt;3800,"Pass","Fail"),"Fail"),"Fail")))</f>
        <v>Pass</v>
      </c>
      <c r="W783" s="54">
        <v>1340</v>
      </c>
      <c r="Z783" s="53">
        <v>2800</v>
      </c>
      <c r="AA783" s="53">
        <v>3800</v>
      </c>
      <c r="AB783" s="53">
        <v>3100</v>
      </c>
      <c r="AC783" s="53">
        <v>3760</v>
      </c>
      <c r="AD783" s="52">
        <v>6</v>
      </c>
    </row>
    <row r="784" spans="1:30" ht="16.5" customHeight="1" x14ac:dyDescent="0.35">
      <c r="A784" s="206"/>
      <c r="B784" s="48"/>
      <c r="C784" s="51" t="s">
        <v>157</v>
      </c>
      <c r="D784" s="8">
        <v>3232</v>
      </c>
      <c r="E784" s="8">
        <v>3215</v>
      </c>
      <c r="F784" s="8">
        <v>3276</v>
      </c>
      <c r="G784" s="8">
        <v>3235</v>
      </c>
      <c r="H784" s="8">
        <v>3298</v>
      </c>
      <c r="I784" s="8">
        <v>3233</v>
      </c>
      <c r="J784" s="8">
        <v>3253</v>
      </c>
      <c r="K784" s="8">
        <v>3268</v>
      </c>
      <c r="L784" s="8">
        <v>3337</v>
      </c>
      <c r="M784" s="50"/>
      <c r="N784" s="50"/>
      <c r="O784" s="50"/>
      <c r="P784" s="50"/>
      <c r="Q784" s="48"/>
      <c r="R784" s="48"/>
      <c r="S784" s="49"/>
      <c r="T784" s="48"/>
      <c r="U784" s="48"/>
      <c r="V784" s="47"/>
      <c r="W784" s="46"/>
      <c r="X784" s="8"/>
    </row>
    <row r="785" spans="1:30" ht="24.8" customHeight="1" thickBot="1" x14ac:dyDescent="0.4">
      <c r="A785" s="206"/>
      <c r="B785" s="42"/>
      <c r="C785" s="45" t="s">
        <v>156</v>
      </c>
      <c r="D785" s="44">
        <f t="shared" ref="D785:L785" si="256">IF(((D783="")*AND(D784="")),"",(D783-D784)*2)</f>
        <v>3628</v>
      </c>
      <c r="E785" s="44">
        <f t="shared" si="256"/>
        <v>3648</v>
      </c>
      <c r="F785" s="44">
        <f t="shared" si="256"/>
        <v>3634</v>
      </c>
      <c r="G785" s="44">
        <f t="shared" si="256"/>
        <v>3638</v>
      </c>
      <c r="H785" s="44">
        <f t="shared" si="256"/>
        <v>3618</v>
      </c>
      <c r="I785" s="44">
        <f t="shared" si="256"/>
        <v>3650</v>
      </c>
      <c r="J785" s="44">
        <f t="shared" si="256"/>
        <v>3636</v>
      </c>
      <c r="K785" s="44">
        <f t="shared" si="256"/>
        <v>3638</v>
      </c>
      <c r="L785" s="44">
        <f t="shared" si="256"/>
        <v>3642</v>
      </c>
      <c r="M785" s="44"/>
      <c r="N785" s="44"/>
      <c r="O785" s="44"/>
      <c r="P785" s="44"/>
      <c r="Q785" s="42"/>
      <c r="R785" s="42"/>
      <c r="S785" s="43"/>
      <c r="T785" s="42"/>
      <c r="U785" s="42"/>
      <c r="V785" s="41"/>
      <c r="W785" s="40"/>
      <c r="X785" s="8"/>
    </row>
    <row r="786" spans="1:30" customFormat="1" ht="16.100000000000001" x14ac:dyDescent="0.35">
      <c r="A786" s="262">
        <v>43476</v>
      </c>
      <c r="B786" s="212" t="s">
        <v>160</v>
      </c>
      <c r="C786" s="213" t="s">
        <v>158</v>
      </c>
      <c r="D786">
        <v>1912</v>
      </c>
      <c r="E786">
        <v>1910</v>
      </c>
      <c r="F786">
        <v>1843.76</v>
      </c>
      <c r="G786">
        <v>1941.52</v>
      </c>
      <c r="H786">
        <v>1950.23</v>
      </c>
      <c r="I786">
        <v>1952.11</v>
      </c>
      <c r="J786">
        <v>1942.81</v>
      </c>
      <c r="K786">
        <v>1831.76</v>
      </c>
      <c r="L786">
        <v>1952.08</v>
      </c>
      <c r="M786" s="214"/>
      <c r="N786" s="214"/>
      <c r="O786" s="214"/>
      <c r="P786" s="214"/>
      <c r="Q786" s="215">
        <f>IF((L787=""),"",MAX(D788:L788))</f>
        <v>2877.3999999999996</v>
      </c>
      <c r="R786" s="215">
        <f>IF(L787="","",MIN(D788:L788))</f>
        <v>2367.88</v>
      </c>
      <c r="S786" s="216">
        <f>IF((L788=""),"",AVERAGE(D788:L788))</f>
        <v>2675.5511111111109</v>
      </c>
      <c r="T786" s="215">
        <f>IF((L787=""),"",((Q786-R786)/(Q786+R786))*100)</f>
        <v>9.7138760943171683</v>
      </c>
      <c r="U786" s="215">
        <f>STDEV(D786:L786)</f>
        <v>46.781131197429481</v>
      </c>
      <c r="V786" s="217" t="str">
        <f>IF(L787="","",(IF(T786&lt;12,IF(S786&gt;2200,IF(S786&lt;3280,"Pass","Fail"),"Fail"),"Fail")))</f>
        <v>Pass</v>
      </c>
      <c r="W786" s="215">
        <v>1335</v>
      </c>
      <c r="X786" s="206"/>
      <c r="Y786" s="218"/>
      <c r="Z786" s="218">
        <v>2000</v>
      </c>
      <c r="AA786" s="218">
        <v>3000</v>
      </c>
      <c r="AB786" s="218">
        <v>2200</v>
      </c>
      <c r="AC786" s="218">
        <v>3280</v>
      </c>
      <c r="AD786" s="219">
        <v>12</v>
      </c>
    </row>
    <row r="787" spans="1:30" customFormat="1" ht="15.8" customHeight="1" x14ac:dyDescent="0.35">
      <c r="A787" s="263"/>
      <c r="B787" s="220"/>
      <c r="C787" s="215" t="s">
        <v>157</v>
      </c>
      <c r="D787">
        <v>1249</v>
      </c>
      <c r="E787">
        <v>1247.83</v>
      </c>
      <c r="F787">
        <v>1251.79</v>
      </c>
      <c r="G787">
        <v>1248.94</v>
      </c>
      <c r="H787">
        <v>1250</v>
      </c>
      <c r="I787">
        <v>1232.76</v>
      </c>
      <c r="J787">
        <v>1261.1600000000001</v>
      </c>
      <c r="K787">
        <v>1229.8</v>
      </c>
      <c r="L787">
        <v>1245</v>
      </c>
      <c r="M787" s="221"/>
      <c r="N787" s="221"/>
      <c r="O787" s="221"/>
      <c r="P787" s="221"/>
      <c r="Q787" s="215"/>
      <c r="R787" s="215"/>
      <c r="S787" s="215"/>
      <c r="T787" s="215"/>
      <c r="U787" s="215"/>
      <c r="V787" s="217"/>
      <c r="W787" s="215"/>
      <c r="Y787" s="218"/>
      <c r="Z787" s="218"/>
      <c r="AA787" s="218"/>
      <c r="AB787" s="218"/>
      <c r="AC787" s="218"/>
      <c r="AD787" s="219"/>
    </row>
    <row r="788" spans="1:30" customFormat="1" ht="23.95" customHeight="1" x14ac:dyDescent="0.35">
      <c r="A788" s="264"/>
      <c r="B788" s="222"/>
      <c r="C788" s="215" t="s">
        <v>156</v>
      </c>
      <c r="D788" s="223">
        <f t="shared" ref="D788:L788" si="257">IF(((D786="")*AND(D787="")),"",(D786-D787)*4)</f>
        <v>2652</v>
      </c>
      <c r="E788" s="223">
        <f t="shared" si="257"/>
        <v>2648.6800000000003</v>
      </c>
      <c r="F788" s="223">
        <f t="shared" si="257"/>
        <v>2367.88</v>
      </c>
      <c r="G788" s="223">
        <f t="shared" si="257"/>
        <v>2770.3199999999997</v>
      </c>
      <c r="H788" s="223">
        <f t="shared" si="257"/>
        <v>2800.92</v>
      </c>
      <c r="I788" s="223">
        <f t="shared" si="257"/>
        <v>2877.3999999999996</v>
      </c>
      <c r="J788" s="223">
        <f t="shared" si="257"/>
        <v>2726.5999999999995</v>
      </c>
      <c r="K788" s="223">
        <f t="shared" si="257"/>
        <v>2407.84</v>
      </c>
      <c r="L788" s="223">
        <f t="shared" si="257"/>
        <v>2828.3199999999997</v>
      </c>
      <c r="M788" s="223"/>
      <c r="N788" s="223"/>
      <c r="O788" s="223"/>
      <c r="P788" s="223" t="str">
        <f>IF(((P786="")*AND(P787="")),"",(P786-P787)*4)</f>
        <v/>
      </c>
      <c r="Q788" s="215"/>
      <c r="R788" s="215"/>
      <c r="S788" s="215"/>
      <c r="T788" s="215"/>
      <c r="U788" s="215"/>
      <c r="V788" s="217"/>
      <c r="W788" s="215"/>
      <c r="X788" t="s">
        <v>288</v>
      </c>
      <c r="Y788" s="218"/>
      <c r="Z788" s="218"/>
      <c r="AA788" s="218"/>
      <c r="AB788" s="218"/>
      <c r="AC788" s="218"/>
      <c r="AD788" s="206"/>
    </row>
    <row r="789" spans="1:30" customFormat="1" ht="16.100000000000001" x14ac:dyDescent="0.35">
      <c r="A789" s="262">
        <v>43476</v>
      </c>
      <c r="B789" s="224" t="s">
        <v>159</v>
      </c>
      <c r="C789" s="215" t="s">
        <v>158</v>
      </c>
      <c r="D789" s="225">
        <v>6921.42</v>
      </c>
      <c r="E789" s="225">
        <v>6916.95</v>
      </c>
      <c r="F789" s="225">
        <v>6936.13</v>
      </c>
      <c r="G789" s="225">
        <v>6885.79</v>
      </c>
      <c r="H789" s="225">
        <v>6940.43</v>
      </c>
      <c r="I789" s="225">
        <v>6886.35</v>
      </c>
      <c r="J789" s="225">
        <v>6891.55</v>
      </c>
      <c r="K789" s="225">
        <v>6922.24</v>
      </c>
      <c r="L789" s="225">
        <v>7010.64</v>
      </c>
      <c r="M789" s="221"/>
      <c r="N789" s="221"/>
      <c r="O789" s="221"/>
      <c r="P789" s="221"/>
      <c r="Q789" s="215">
        <f>IF((L790=""),"",MAX(D791:L791))</f>
        <v>3637.5600000000013</v>
      </c>
      <c r="R789" s="215">
        <f>IF(L790="","",MIN(D791:L791))</f>
        <v>3593.1000000000004</v>
      </c>
      <c r="S789" s="216">
        <f>IF((L791=""),"",AVERAGE(D791:L791))</f>
        <v>3615.5955555555556</v>
      </c>
      <c r="T789" s="215">
        <f>IF((L790=""),"",((Q789-R789)/(Q789+R789))*100)</f>
        <v>0.6148816290629201</v>
      </c>
      <c r="U789" s="215">
        <f>STDEV(D789:L789)</f>
        <v>38.586440299670102</v>
      </c>
      <c r="V789" s="217" t="str">
        <f>IF(L790="","",(IF(T789&lt;7,IF(S789&gt;2800,IF(S789&lt;3800,"Pass","Fail"),"Fail"),"Fail")))</f>
        <v>Pass</v>
      </c>
      <c r="W789" s="215">
        <v>1335</v>
      </c>
      <c r="X789" s="206"/>
      <c r="Y789" s="218"/>
      <c r="Z789" s="226">
        <v>2800</v>
      </c>
      <c r="AA789" s="226">
        <v>3800</v>
      </c>
      <c r="AB789" s="226">
        <v>3100</v>
      </c>
      <c r="AC789" s="226">
        <v>3760</v>
      </c>
      <c r="AD789" s="227">
        <v>6</v>
      </c>
    </row>
    <row r="790" spans="1:30" customFormat="1" ht="16.5" customHeight="1" x14ac:dyDescent="0.35">
      <c r="A790" s="263"/>
      <c r="B790" s="220"/>
      <c r="C790" s="215" t="s">
        <v>157</v>
      </c>
      <c r="D790" s="225">
        <v>5112.87</v>
      </c>
      <c r="E790" s="225">
        <v>5107.3999999999996</v>
      </c>
      <c r="F790" s="225">
        <v>5129.3599999999997</v>
      </c>
      <c r="G790" s="225">
        <v>5080.4399999999996</v>
      </c>
      <c r="H790" s="225">
        <v>5143.88</v>
      </c>
      <c r="I790" s="225">
        <v>5067.57</v>
      </c>
      <c r="J790" s="225">
        <v>5083.18</v>
      </c>
      <c r="K790" s="225">
        <v>5114.46</v>
      </c>
      <c r="L790" s="225">
        <v>5202.16</v>
      </c>
      <c r="M790" s="221"/>
      <c r="N790" s="221"/>
      <c r="O790" s="221"/>
      <c r="P790" s="221"/>
      <c r="Q790" s="215"/>
      <c r="R790" s="215"/>
      <c r="S790" s="216"/>
      <c r="T790" s="215"/>
      <c r="U790" s="215"/>
      <c r="V790" s="217"/>
      <c r="W790" s="215"/>
      <c r="Y790" s="218"/>
      <c r="Z790" s="218"/>
      <c r="AA790" s="218"/>
      <c r="AB790" s="218"/>
      <c r="AC790" s="218"/>
      <c r="AD790" s="206"/>
    </row>
    <row r="791" spans="1:30" customFormat="1" ht="24.8" customHeight="1" thickBot="1" x14ac:dyDescent="0.4">
      <c r="A791" s="265"/>
      <c r="B791" s="228"/>
      <c r="C791" s="229" t="s">
        <v>156</v>
      </c>
      <c r="D791" s="230">
        <f t="shared" ref="D791:L791" si="258">IF(((D789="")*AND(D790="")),"",(D789-D790)*2)</f>
        <v>3617.1000000000004</v>
      </c>
      <c r="E791" s="230">
        <f t="shared" si="258"/>
        <v>3619.1000000000004</v>
      </c>
      <c r="F791" s="230">
        <f t="shared" si="258"/>
        <v>3613.5400000000009</v>
      </c>
      <c r="G791" s="230">
        <f t="shared" si="258"/>
        <v>3610.7000000000007</v>
      </c>
      <c r="H791" s="230">
        <f t="shared" si="258"/>
        <v>3593.1000000000004</v>
      </c>
      <c r="I791" s="230">
        <f t="shared" si="258"/>
        <v>3637.5600000000013</v>
      </c>
      <c r="J791" s="230">
        <f t="shared" si="258"/>
        <v>3616.74</v>
      </c>
      <c r="K791" s="230">
        <f t="shared" si="258"/>
        <v>3615.5599999999995</v>
      </c>
      <c r="L791" s="230">
        <f t="shared" si="258"/>
        <v>3616.9600000000009</v>
      </c>
      <c r="M791" s="231"/>
      <c r="N791" s="230"/>
      <c r="O791" s="230"/>
      <c r="P791" s="230"/>
      <c r="Q791" s="215"/>
      <c r="R791" s="215"/>
      <c r="S791" s="216"/>
      <c r="T791" s="215"/>
      <c r="U791" s="215"/>
      <c r="V791" s="217"/>
      <c r="W791" s="215"/>
      <c r="Y791" s="218"/>
      <c r="Z791" s="218"/>
      <c r="AA791" s="218"/>
      <c r="AB791" s="218"/>
      <c r="AC791" s="218"/>
      <c r="AD791" s="206"/>
    </row>
    <row r="792" spans="1:30" customFormat="1" ht="16.100000000000001" x14ac:dyDescent="0.35">
      <c r="A792" s="262">
        <v>43480</v>
      </c>
      <c r="B792" s="212" t="s">
        <v>160</v>
      </c>
      <c r="C792" s="213" t="s">
        <v>158</v>
      </c>
      <c r="D792" s="225">
        <v>1219.69</v>
      </c>
      <c r="E792" s="225">
        <v>1248.67</v>
      </c>
      <c r="F792" s="225">
        <v>1250.5</v>
      </c>
      <c r="G792" s="225">
        <v>1249.6199999999999</v>
      </c>
      <c r="H792" s="225">
        <v>1212.19</v>
      </c>
      <c r="I792" s="225">
        <v>1234.42</v>
      </c>
      <c r="J792" s="225">
        <v>1261.96</v>
      </c>
      <c r="K792" s="225">
        <v>1228.01</v>
      </c>
      <c r="L792" s="225">
        <v>1185.58</v>
      </c>
      <c r="M792" s="214"/>
      <c r="N792" s="214"/>
      <c r="O792" s="214"/>
      <c r="P792" s="214"/>
      <c r="Q792" s="215">
        <f>IF((L793=""),"",MAX(D794:L794))</f>
        <v>3225.08</v>
      </c>
      <c r="R792" s="215">
        <f>IF(L793="","",MIN(D794:L794))</f>
        <v>2734.92</v>
      </c>
      <c r="S792" s="216">
        <f>IF((L794=""),"",AVERAGE(D794:L794))</f>
        <v>2946.2755555555559</v>
      </c>
      <c r="T792" s="215">
        <f>IF((L793=""),"",((Q792-R792)/(Q792+R792))*100)</f>
        <v>8.2241610738255009</v>
      </c>
      <c r="U792" s="215">
        <f>STDEV(D792:L792)</f>
        <v>23.843226501461594</v>
      </c>
      <c r="V792" s="217" t="str">
        <f>IF(L793="","",(IF(T792&lt;12,IF(S792&gt;2200,IF(S792&lt;3280,"Pass","Fail"),"Fail"),"Fail")))</f>
        <v>Pass</v>
      </c>
      <c r="W792" s="215">
        <v>74</v>
      </c>
      <c r="X792" s="206"/>
      <c r="Y792" s="218"/>
      <c r="Z792" s="218">
        <v>2000</v>
      </c>
      <c r="AA792" s="218">
        <v>3000</v>
      </c>
      <c r="AB792" s="218">
        <v>2200</v>
      </c>
      <c r="AC792" s="218">
        <v>3280</v>
      </c>
      <c r="AD792" s="219">
        <v>12</v>
      </c>
    </row>
    <row r="793" spans="1:30" customFormat="1" ht="15.8" customHeight="1" x14ac:dyDescent="0.35">
      <c r="A793" s="263"/>
      <c r="B793" s="220"/>
      <c r="C793" s="215" t="s">
        <v>157</v>
      </c>
      <c r="D793" s="225">
        <v>441.37</v>
      </c>
      <c r="E793" s="225">
        <v>536.58000000000004</v>
      </c>
      <c r="F793" s="225">
        <v>566.77</v>
      </c>
      <c r="G793" s="225">
        <v>546.20000000000005</v>
      </c>
      <c r="H793" s="225">
        <v>440.77</v>
      </c>
      <c r="I793" s="225">
        <v>477.4</v>
      </c>
      <c r="J793" s="225">
        <v>564.27</v>
      </c>
      <c r="K793" s="225">
        <v>508.85</v>
      </c>
      <c r="L793" s="225">
        <v>379.31</v>
      </c>
      <c r="M793" s="221"/>
      <c r="N793" s="221"/>
      <c r="O793" s="221"/>
      <c r="P793" s="221"/>
      <c r="Q793" s="215"/>
      <c r="R793" s="215"/>
      <c r="S793" s="215"/>
      <c r="T793" s="215"/>
      <c r="U793" s="215"/>
      <c r="V793" s="217"/>
      <c r="W793" s="215"/>
      <c r="Y793" s="218"/>
      <c r="Z793" s="218"/>
      <c r="AA793" s="218"/>
      <c r="AB793" s="218"/>
      <c r="AC793" s="218"/>
      <c r="AD793" s="206"/>
    </row>
    <row r="794" spans="1:30" customFormat="1" ht="23.95" customHeight="1" x14ac:dyDescent="0.35">
      <c r="A794" s="264"/>
      <c r="B794" s="222"/>
      <c r="C794" s="215" t="s">
        <v>156</v>
      </c>
      <c r="D794" s="223">
        <f t="shared" ref="D794:L794" si="259">IF(((D792="")*AND(D793="")),"",(D792-D793)*4)</f>
        <v>3113.28</v>
      </c>
      <c r="E794" s="223">
        <f t="shared" si="259"/>
        <v>2848.36</v>
      </c>
      <c r="F794" s="223">
        <f t="shared" si="259"/>
        <v>2734.92</v>
      </c>
      <c r="G794" s="223">
        <f t="shared" si="259"/>
        <v>2813.6799999999994</v>
      </c>
      <c r="H794" s="223">
        <f t="shared" si="259"/>
        <v>3085.6800000000003</v>
      </c>
      <c r="I794" s="223">
        <f t="shared" si="259"/>
        <v>3028.0800000000004</v>
      </c>
      <c r="J794" s="223">
        <f t="shared" si="259"/>
        <v>2790.76</v>
      </c>
      <c r="K794" s="223">
        <f t="shared" si="259"/>
        <v>2876.64</v>
      </c>
      <c r="L794" s="223">
        <f t="shared" si="259"/>
        <v>3225.08</v>
      </c>
      <c r="M794" s="232"/>
      <c r="N794" s="223"/>
      <c r="O794" s="223"/>
      <c r="P794" s="223" t="str">
        <f>IF(((P792="")*AND(P793="")),"",(P792-P793)*4)</f>
        <v/>
      </c>
      <c r="Q794" s="215"/>
      <c r="R794" s="215"/>
      <c r="S794" s="215"/>
      <c r="T794" s="215"/>
      <c r="U794" s="215"/>
      <c r="V794" s="217"/>
      <c r="W794" s="215"/>
      <c r="Y794" s="218"/>
      <c r="Z794" s="218"/>
      <c r="AA794" s="218"/>
      <c r="AB794" s="218"/>
      <c r="AC794" s="218"/>
      <c r="AD794" s="206"/>
    </row>
    <row r="795" spans="1:30" customFormat="1" ht="16.100000000000001" x14ac:dyDescent="0.35">
      <c r="A795" s="262">
        <v>43480</v>
      </c>
      <c r="B795" s="224" t="s">
        <v>159</v>
      </c>
      <c r="C795" s="215" t="s">
        <v>158</v>
      </c>
      <c r="D795" s="225">
        <v>5116.53</v>
      </c>
      <c r="E795" s="225">
        <v>5111.0200000000004</v>
      </c>
      <c r="F795" s="225">
        <v>5133.0200000000004</v>
      </c>
      <c r="G795" s="225">
        <v>5084.53</v>
      </c>
      <c r="H795" s="225">
        <v>5148.09</v>
      </c>
      <c r="I795" s="225">
        <v>5071.09</v>
      </c>
      <c r="J795" s="225">
        <v>5087.5</v>
      </c>
      <c r="K795" s="225">
        <v>5118.54</v>
      </c>
      <c r="L795" s="225">
        <v>5205.76</v>
      </c>
      <c r="M795" s="221"/>
      <c r="N795" s="221"/>
      <c r="O795" s="221"/>
      <c r="P795" s="221"/>
      <c r="Q795" s="215">
        <f>IF((L796=""),"",MAX(D797:L797))</f>
        <v>3503.58</v>
      </c>
      <c r="R795" s="215">
        <f>IF(L796="","",MIN(D797:L797))</f>
        <v>3458.5</v>
      </c>
      <c r="S795" s="216">
        <f>IF((L797=""),"",AVERAGE(D797:L797))</f>
        <v>3488.5911111111109</v>
      </c>
      <c r="T795" s="215">
        <f>IF((L796=""),"",((Q795-R795)/(Q795+R795))*100)</f>
        <v>0.64750764139452477</v>
      </c>
      <c r="U795" s="215">
        <f>STDEV(D795:L795)</f>
        <v>40.486125126736752</v>
      </c>
      <c r="V795" s="217" t="str">
        <f>IF(L796="","",(IF(T795&lt;7,IF(S795&gt;2800,IF(S795&lt;3800,"Pass","Fail"),"Fail"),"Fail")))</f>
        <v>Pass</v>
      </c>
      <c r="W795" s="215">
        <v>74</v>
      </c>
      <c r="X795" s="206"/>
      <c r="Y795" s="218"/>
      <c r="Z795" s="226">
        <v>2800</v>
      </c>
      <c r="AA795" s="226">
        <v>3800</v>
      </c>
      <c r="AB795" s="226">
        <v>3100</v>
      </c>
      <c r="AC795" s="226">
        <v>3760</v>
      </c>
      <c r="AD795" s="227">
        <v>6</v>
      </c>
    </row>
    <row r="796" spans="1:30" customFormat="1" ht="16.5" customHeight="1" x14ac:dyDescent="0.35">
      <c r="A796" s="263"/>
      <c r="B796" s="220"/>
      <c r="C796" s="215" t="s">
        <v>157</v>
      </c>
      <c r="D796" s="225">
        <v>3369.83</v>
      </c>
      <c r="E796" s="225">
        <v>3360.27</v>
      </c>
      <c r="F796" s="225">
        <v>3385.68</v>
      </c>
      <c r="G796" s="225">
        <v>3339.25</v>
      </c>
      <c r="H796" s="225">
        <v>3418.84</v>
      </c>
      <c r="I796" s="225">
        <v>3319.3</v>
      </c>
      <c r="J796" s="225">
        <v>3341.03</v>
      </c>
      <c r="K796" s="225">
        <v>3372.17</v>
      </c>
      <c r="L796" s="225">
        <v>3471.05</v>
      </c>
      <c r="M796" s="221"/>
      <c r="N796" s="221"/>
      <c r="O796" s="221"/>
      <c r="P796" s="221"/>
      <c r="Q796" s="215"/>
      <c r="R796" s="215"/>
      <c r="S796" s="216"/>
      <c r="T796" s="215"/>
      <c r="U796" s="215"/>
      <c r="V796" s="217"/>
      <c r="W796" s="215"/>
      <c r="Y796" s="218"/>
      <c r="Z796" s="218"/>
      <c r="AA796" s="218"/>
      <c r="AB796" s="218"/>
      <c r="AC796" s="218"/>
      <c r="AD796" s="206"/>
    </row>
    <row r="797" spans="1:30" customFormat="1" ht="24.8" customHeight="1" thickBot="1" x14ac:dyDescent="0.4">
      <c r="A797" s="265"/>
      <c r="B797" s="228"/>
      <c r="C797" s="229" t="s">
        <v>156</v>
      </c>
      <c r="D797" s="230">
        <f t="shared" ref="D797:L797" si="260">IF(((D795="")*AND(D796="")),"",(D795-D796)*2)</f>
        <v>3493.3999999999996</v>
      </c>
      <c r="E797" s="230">
        <f t="shared" si="260"/>
        <v>3501.5000000000009</v>
      </c>
      <c r="F797" s="230">
        <f t="shared" si="260"/>
        <v>3494.6800000000012</v>
      </c>
      <c r="G797" s="230">
        <f t="shared" si="260"/>
        <v>3490.5599999999995</v>
      </c>
      <c r="H797" s="230">
        <f t="shared" si="260"/>
        <v>3458.5</v>
      </c>
      <c r="I797" s="230">
        <f t="shared" si="260"/>
        <v>3503.58</v>
      </c>
      <c r="J797" s="230">
        <f t="shared" si="260"/>
        <v>3492.9399999999996</v>
      </c>
      <c r="K797" s="230">
        <f t="shared" si="260"/>
        <v>3492.74</v>
      </c>
      <c r="L797" s="230">
        <f t="shared" si="260"/>
        <v>3469.42</v>
      </c>
      <c r="M797" s="231"/>
      <c r="N797" s="230"/>
      <c r="O797" s="230"/>
      <c r="P797" s="230"/>
      <c r="Q797" s="215"/>
      <c r="R797" s="215"/>
      <c r="S797" s="216"/>
      <c r="T797" s="215"/>
      <c r="U797" s="215"/>
      <c r="V797" s="217"/>
      <c r="W797" s="215"/>
      <c r="Y797" s="218"/>
      <c r="Z797" s="218"/>
      <c r="AA797" s="218"/>
      <c r="AB797" s="218"/>
      <c r="AC797" s="218"/>
      <c r="AD797" s="206"/>
    </row>
    <row r="798" spans="1:30" customFormat="1" ht="16.100000000000001" x14ac:dyDescent="0.35">
      <c r="A798" s="262">
        <v>43488</v>
      </c>
      <c r="B798" s="212" t="s">
        <v>160</v>
      </c>
      <c r="C798" s="213" t="s">
        <v>158</v>
      </c>
      <c r="D798">
        <v>1919.12</v>
      </c>
      <c r="E798">
        <v>1916.01</v>
      </c>
      <c r="F798">
        <v>1912.85</v>
      </c>
      <c r="G798">
        <v>1913.02</v>
      </c>
      <c r="H798">
        <v>1922.8</v>
      </c>
      <c r="I798">
        <v>1922.05</v>
      </c>
      <c r="J798">
        <v>1915.01</v>
      </c>
      <c r="K798">
        <v>1914.15</v>
      </c>
      <c r="L798">
        <v>1918.59</v>
      </c>
      <c r="M798" s="214"/>
      <c r="N798" s="214"/>
      <c r="O798" s="214"/>
      <c r="P798" s="214"/>
      <c r="Q798" s="215">
        <f>IF((L799=""),"",MAX(D800:L800))</f>
        <v>3152.7599999999993</v>
      </c>
      <c r="R798" s="215">
        <f>IF(L799="","",MIN(D800:L800))</f>
        <v>2726.5199999999995</v>
      </c>
      <c r="S798" s="216">
        <f>IF((L800=""),"",AVERAGE(D800:L800))</f>
        <v>2904.8533333333335</v>
      </c>
      <c r="T798" s="215">
        <f>IF((L799=""),"",((Q798-R798)/(Q798+R798))*100)</f>
        <v>7.2498673306935517</v>
      </c>
      <c r="U798" s="215">
        <f>STDEV(D798:L798)</f>
        <v>3.7458410270591895</v>
      </c>
      <c r="V798" s="217" t="str">
        <f>IF(L799="","",(IF(T798&lt;12,IF(S798&gt;2200,IF(S798&lt;3280,"Pass","Fail"),"Fail"),"Fail")))</f>
        <v>Pass</v>
      </c>
      <c r="W798" s="215">
        <v>1159</v>
      </c>
      <c r="X798" s="206" t="s">
        <v>289</v>
      </c>
      <c r="Y798" s="218"/>
      <c r="Z798" s="218">
        <v>2000</v>
      </c>
      <c r="AA798" s="218">
        <v>3000</v>
      </c>
      <c r="AB798" s="218">
        <v>2200</v>
      </c>
      <c r="AC798" s="218">
        <v>3280</v>
      </c>
      <c r="AD798" s="219">
        <v>12</v>
      </c>
    </row>
    <row r="799" spans="1:30" customFormat="1" ht="15.8" customHeight="1" x14ac:dyDescent="0.35">
      <c r="A799" s="263"/>
      <c r="B799" s="220"/>
      <c r="C799" s="215" t="s">
        <v>157</v>
      </c>
      <c r="D799">
        <v>1167.25</v>
      </c>
      <c r="E799">
        <v>1210.57</v>
      </c>
      <c r="F799">
        <v>1231.22</v>
      </c>
      <c r="G799">
        <v>1210.51</v>
      </c>
      <c r="H799">
        <v>1161.21</v>
      </c>
      <c r="I799">
        <v>1188.21</v>
      </c>
      <c r="J799">
        <v>1222.17</v>
      </c>
      <c r="K799">
        <v>1196.1400000000001</v>
      </c>
      <c r="L799">
        <v>1130.4000000000001</v>
      </c>
      <c r="M799" s="221"/>
      <c r="N799" s="221"/>
      <c r="O799" s="221"/>
      <c r="P799" s="221"/>
      <c r="Q799" s="215"/>
      <c r="R799" s="215"/>
      <c r="S799" s="215"/>
      <c r="T799" s="215"/>
      <c r="U799" s="215"/>
      <c r="V799" s="217"/>
      <c r="W799" s="215"/>
      <c r="Y799" s="218"/>
      <c r="Z799" s="218"/>
      <c r="AA799" s="218"/>
      <c r="AB799" s="218"/>
      <c r="AC799" s="218"/>
      <c r="AD799" s="206"/>
    </row>
    <row r="800" spans="1:30" customFormat="1" ht="23.95" customHeight="1" x14ac:dyDescent="0.35">
      <c r="A800" s="264"/>
      <c r="B800" s="222"/>
      <c r="C800" s="215" t="s">
        <v>156</v>
      </c>
      <c r="D800" s="223">
        <f t="shared" ref="D800:L800" si="261">IF(((D798="")*AND(D799="")),"",(D798-D799)*4)</f>
        <v>3007.4799999999996</v>
      </c>
      <c r="E800" s="223">
        <f t="shared" si="261"/>
        <v>2821.76</v>
      </c>
      <c r="F800" s="223">
        <f t="shared" si="261"/>
        <v>2726.5199999999995</v>
      </c>
      <c r="G800" s="223">
        <f t="shared" si="261"/>
        <v>2810.04</v>
      </c>
      <c r="H800" s="223">
        <f t="shared" si="261"/>
        <v>3046.3599999999997</v>
      </c>
      <c r="I800" s="223">
        <f t="shared" si="261"/>
        <v>2935.3599999999997</v>
      </c>
      <c r="J800" s="223">
        <f t="shared" si="261"/>
        <v>2771.3599999999997</v>
      </c>
      <c r="K800" s="223">
        <f t="shared" si="261"/>
        <v>2872.04</v>
      </c>
      <c r="L800" s="223">
        <f t="shared" si="261"/>
        <v>3152.7599999999993</v>
      </c>
      <c r="M800" s="232"/>
      <c r="N800" s="223"/>
      <c r="O800" s="223"/>
      <c r="P800" s="223" t="str">
        <f>IF(((P798="")*AND(P799="")),"",(P798-P799)*4)</f>
        <v/>
      </c>
      <c r="Q800" s="215"/>
      <c r="R800" s="215"/>
      <c r="S800" s="215"/>
      <c r="T800" s="215"/>
      <c r="U800" s="215"/>
      <c r="V800" s="217"/>
      <c r="W800" s="215"/>
      <c r="Y800" s="218"/>
      <c r="Z800" s="218"/>
      <c r="AA800" s="218"/>
      <c r="AB800" s="218"/>
      <c r="AC800" s="218"/>
      <c r="AD800" s="206"/>
    </row>
    <row r="801" spans="1:30" customFormat="1" ht="16.100000000000001" x14ac:dyDescent="0.35">
      <c r="A801" s="262">
        <v>43488</v>
      </c>
      <c r="B801" s="224" t="s">
        <v>159</v>
      </c>
      <c r="C801" s="215" t="s">
        <v>158</v>
      </c>
      <c r="D801">
        <v>6960.2</v>
      </c>
      <c r="E801">
        <v>6945.76</v>
      </c>
      <c r="F801">
        <v>6998.28</v>
      </c>
      <c r="G801">
        <v>6961.13</v>
      </c>
      <c r="H801">
        <v>7015.87</v>
      </c>
      <c r="I801">
        <v>6979.75</v>
      </c>
      <c r="J801">
        <v>6981.58</v>
      </c>
      <c r="K801">
        <v>6991.39</v>
      </c>
      <c r="L801">
        <v>7069.15</v>
      </c>
      <c r="M801" s="221"/>
      <c r="N801" s="221"/>
      <c r="O801" s="221"/>
      <c r="P801" s="221"/>
      <c r="Q801" s="215">
        <f>IF((L802=""),"",MAX(D803:L803))</f>
        <v>3519.4400000000005</v>
      </c>
      <c r="R801" s="215">
        <f>IF(L802="","",MIN(D803:L803))</f>
        <v>3492.42</v>
      </c>
      <c r="S801" s="216">
        <f>IF((L803=""),"",AVERAGE(D803:L803))</f>
        <v>3511.0399999999995</v>
      </c>
      <c r="T801" s="215">
        <f>IF((L802=""),"",((Q801-R801)/(Q801+R801))*100)</f>
        <v>0.38534711189328419</v>
      </c>
      <c r="U801" s="215">
        <f>STDEV(D801:L801)</f>
        <v>36.833830615044199</v>
      </c>
      <c r="V801" s="217" t="str">
        <f>IF(L802="","",(IF(T801&lt;7,IF(S801&gt;2800,IF(S801&lt;3800,"Pass","Fail"),"Fail"),"Fail")))</f>
        <v>Pass</v>
      </c>
      <c r="W801" s="215">
        <v>1159</v>
      </c>
      <c r="X801" s="206" t="s">
        <v>289</v>
      </c>
      <c r="Y801" s="218"/>
      <c r="Z801" s="226">
        <v>2800</v>
      </c>
      <c r="AA801" s="226">
        <v>3800</v>
      </c>
      <c r="AB801" s="226">
        <v>3100</v>
      </c>
      <c r="AC801" s="226">
        <v>3760</v>
      </c>
      <c r="AD801" s="227">
        <v>6</v>
      </c>
    </row>
    <row r="802" spans="1:30" customFormat="1" ht="16.5" customHeight="1" x14ac:dyDescent="0.35">
      <c r="A802" s="263"/>
      <c r="B802" s="220"/>
      <c r="C802" s="215" t="s">
        <v>157</v>
      </c>
      <c r="D802">
        <v>5212.47</v>
      </c>
      <c r="E802">
        <v>5186.04</v>
      </c>
      <c r="F802">
        <v>5239.1400000000003</v>
      </c>
      <c r="G802">
        <v>5203.38</v>
      </c>
      <c r="H802">
        <v>5269.66</v>
      </c>
      <c r="I802">
        <v>5220.3500000000004</v>
      </c>
      <c r="J802">
        <v>5224.6000000000004</v>
      </c>
      <c r="K802">
        <v>5232.04</v>
      </c>
      <c r="L802">
        <v>5315.75</v>
      </c>
      <c r="M802" s="221"/>
      <c r="N802" s="221"/>
      <c r="O802" s="221"/>
      <c r="P802" s="221"/>
      <c r="Q802" s="215"/>
      <c r="R802" s="215"/>
      <c r="S802" s="216"/>
      <c r="T802" s="215"/>
      <c r="U802" s="215"/>
      <c r="V802" s="217"/>
      <c r="W802" s="215"/>
      <c r="Y802" s="218"/>
      <c r="Z802" s="218"/>
      <c r="AA802" s="218"/>
      <c r="AB802" s="218"/>
      <c r="AC802" s="218"/>
      <c r="AD802" s="206"/>
    </row>
    <row r="803" spans="1:30" customFormat="1" ht="24.8" customHeight="1" thickBot="1" x14ac:dyDescent="0.4">
      <c r="A803" s="265"/>
      <c r="B803" s="228"/>
      <c r="C803" s="229" t="s">
        <v>156</v>
      </c>
      <c r="D803" s="230">
        <f t="shared" ref="D803:L803" si="262">IF(((D801="")*AND(D802="")),"",(D801-D802)*2)</f>
        <v>3495.4599999999991</v>
      </c>
      <c r="E803" s="230">
        <f t="shared" si="262"/>
        <v>3519.4400000000005</v>
      </c>
      <c r="F803" s="230">
        <f t="shared" si="262"/>
        <v>3518.2799999999988</v>
      </c>
      <c r="G803" s="230">
        <f t="shared" si="262"/>
        <v>3515.5</v>
      </c>
      <c r="H803" s="230">
        <f t="shared" si="262"/>
        <v>3492.42</v>
      </c>
      <c r="I803" s="230">
        <f t="shared" si="262"/>
        <v>3518.7999999999993</v>
      </c>
      <c r="J803" s="230">
        <f t="shared" si="262"/>
        <v>3513.9599999999991</v>
      </c>
      <c r="K803" s="230">
        <f t="shared" si="262"/>
        <v>3518.7000000000007</v>
      </c>
      <c r="L803" s="230">
        <f t="shared" si="262"/>
        <v>3506.7999999999993</v>
      </c>
      <c r="M803" s="231"/>
      <c r="N803" s="230"/>
      <c r="O803" s="230"/>
      <c r="P803" s="230"/>
      <c r="Q803" s="215"/>
      <c r="R803" s="215"/>
      <c r="S803" s="216"/>
      <c r="T803" s="215"/>
      <c r="U803" s="215"/>
      <c r="V803" s="217"/>
      <c r="W803" s="215"/>
      <c r="Y803" s="218"/>
      <c r="Z803" s="218"/>
      <c r="AA803" s="218"/>
      <c r="AB803" s="218"/>
      <c r="AC803" s="218"/>
      <c r="AD803" s="206"/>
    </row>
    <row r="804" spans="1:30" customFormat="1" ht="16.100000000000001" x14ac:dyDescent="0.35">
      <c r="A804" s="292">
        <v>43493</v>
      </c>
      <c r="B804" s="212" t="s">
        <v>160</v>
      </c>
      <c r="C804" s="213" t="s">
        <v>158</v>
      </c>
      <c r="D804">
        <v>1167.25</v>
      </c>
      <c r="E804">
        <v>1210.57</v>
      </c>
      <c r="F804">
        <v>1231.22</v>
      </c>
      <c r="G804">
        <v>1210.51</v>
      </c>
      <c r="H804">
        <v>1161.21</v>
      </c>
      <c r="I804">
        <v>1188.21</v>
      </c>
      <c r="J804">
        <v>1222.17</v>
      </c>
      <c r="K804">
        <v>1196.1400000000001</v>
      </c>
      <c r="L804">
        <v>1130.4000000000001</v>
      </c>
      <c r="M804" s="214"/>
      <c r="N804" s="214"/>
      <c r="O804" s="214"/>
      <c r="P804" s="214"/>
      <c r="Q804" s="215">
        <f>IF((L805=""),"",MAX(D806:L806))</f>
        <v>3237.84</v>
      </c>
      <c r="R804" s="215">
        <f>IF(L805="","",MIN(D806:L806))</f>
        <v>2748.96</v>
      </c>
      <c r="S804" s="216">
        <f>IF((L806=""),"",AVERAGE(D806:L806))</f>
        <v>2959.6044444444442</v>
      </c>
      <c r="T804" s="215">
        <f>IF((L805=""),"",((Q804-R804)/(Q804+R804))*100)</f>
        <v>8.1659651232711994</v>
      </c>
      <c r="U804" s="215">
        <f>STDEV(D804:L804)</f>
        <v>32.616558294829318</v>
      </c>
      <c r="V804" s="217" t="str">
        <f>IF(L805="","",(IF(T804&lt;12,IF(S804&gt;2200,IF(S804&lt;3280,"Pass","Fail"),"Fail"),"Fail")))</f>
        <v>Pass</v>
      </c>
      <c r="W804" s="215">
        <v>121</v>
      </c>
      <c r="X804" s="289" t="s">
        <v>290</v>
      </c>
      <c r="Y804" s="218"/>
      <c r="Z804" s="218">
        <v>2000</v>
      </c>
      <c r="AA804" s="218">
        <v>3000</v>
      </c>
      <c r="AB804" s="218">
        <v>2200</v>
      </c>
      <c r="AC804" s="218">
        <v>3280</v>
      </c>
      <c r="AD804" s="219">
        <v>12</v>
      </c>
    </row>
    <row r="805" spans="1:30" customFormat="1" ht="15.8" customHeight="1" x14ac:dyDescent="0.35">
      <c r="A805" s="293"/>
      <c r="B805" s="220"/>
      <c r="C805" s="215" t="s">
        <v>157</v>
      </c>
      <c r="D805">
        <v>390.56</v>
      </c>
      <c r="E805">
        <v>496.46</v>
      </c>
      <c r="F805">
        <v>543.98</v>
      </c>
      <c r="G805">
        <v>500.52</v>
      </c>
      <c r="H805">
        <v>382.97</v>
      </c>
      <c r="I805">
        <v>429.87</v>
      </c>
      <c r="J805">
        <v>523.1</v>
      </c>
      <c r="K805">
        <v>470.17</v>
      </c>
      <c r="L805">
        <v>320.94</v>
      </c>
      <c r="M805" s="221"/>
      <c r="N805" s="221"/>
      <c r="O805" s="221"/>
      <c r="P805" s="221"/>
      <c r="Q805" s="215"/>
      <c r="R805" s="215"/>
      <c r="S805" s="215"/>
      <c r="T805" s="215"/>
      <c r="U805" s="215"/>
      <c r="V805" s="217"/>
      <c r="W805" s="215"/>
      <c r="X805" s="295"/>
      <c r="Y805" s="218"/>
      <c r="Z805" s="218"/>
      <c r="AA805" s="218"/>
      <c r="AB805" s="218"/>
      <c r="AC805" s="218"/>
      <c r="AD805" s="206"/>
    </row>
    <row r="806" spans="1:30" customFormat="1" ht="23.95" customHeight="1" x14ac:dyDescent="0.35">
      <c r="A806" s="294"/>
      <c r="B806" s="222"/>
      <c r="C806" s="215" t="s">
        <v>156</v>
      </c>
      <c r="D806" s="223">
        <f t="shared" ref="D806:L806" si="263">IF(((D804="")*AND(D805="")),"",(D804-D805)*4)</f>
        <v>3106.76</v>
      </c>
      <c r="E806" s="223">
        <f t="shared" si="263"/>
        <v>2856.4399999999996</v>
      </c>
      <c r="F806" s="223">
        <f t="shared" si="263"/>
        <v>2748.96</v>
      </c>
      <c r="G806" s="223">
        <f t="shared" si="263"/>
        <v>2839.96</v>
      </c>
      <c r="H806" s="223">
        <f t="shared" si="263"/>
        <v>3112.96</v>
      </c>
      <c r="I806" s="223">
        <f t="shared" si="263"/>
        <v>3033.36</v>
      </c>
      <c r="J806" s="223">
        <f t="shared" si="263"/>
        <v>2796.28</v>
      </c>
      <c r="K806" s="223">
        <f t="shared" si="263"/>
        <v>2903.88</v>
      </c>
      <c r="L806" s="223">
        <f t="shared" si="263"/>
        <v>3237.84</v>
      </c>
      <c r="M806" s="232"/>
      <c r="N806" s="223"/>
      <c r="O806" s="223"/>
      <c r="P806" s="223" t="str">
        <f>IF(((P804="")*AND(P805="")),"",(P804-P805)*4)</f>
        <v/>
      </c>
      <c r="Q806" s="215"/>
      <c r="R806" s="215"/>
      <c r="S806" s="215"/>
      <c r="T806" s="215"/>
      <c r="U806" s="215"/>
      <c r="V806" s="217"/>
      <c r="W806" s="215"/>
      <c r="X806" s="295"/>
      <c r="Y806" s="218"/>
      <c r="Z806" s="218"/>
      <c r="AA806" s="218"/>
      <c r="AB806" s="218"/>
      <c r="AC806" s="218"/>
      <c r="AD806" s="206"/>
    </row>
    <row r="807" spans="1:30" customFormat="1" ht="16.100000000000001" x14ac:dyDescent="0.35">
      <c r="A807" s="296">
        <v>43493</v>
      </c>
      <c r="B807" s="224" t="s">
        <v>159</v>
      </c>
      <c r="C807" s="215" t="s">
        <v>158</v>
      </c>
      <c r="D807">
        <v>5212.47</v>
      </c>
      <c r="E807">
        <v>5186.04</v>
      </c>
      <c r="F807">
        <v>5239.1400000000003</v>
      </c>
      <c r="G807">
        <v>5203.38</v>
      </c>
      <c r="H807">
        <v>5269.66</v>
      </c>
      <c r="I807">
        <v>5220.3500000000004</v>
      </c>
      <c r="J807">
        <v>5224.6000000000004</v>
      </c>
      <c r="K807">
        <v>5232.04</v>
      </c>
      <c r="L807">
        <v>5315.75</v>
      </c>
      <c r="M807" s="221"/>
      <c r="N807" s="221"/>
      <c r="O807" s="221"/>
      <c r="P807" s="221"/>
      <c r="Q807" s="215">
        <f>IF((L808=""),"",MAX(D809:L809))</f>
        <v>3454.3400000000011</v>
      </c>
      <c r="R807" s="215">
        <f>IF(L808="","",MIN(D809:L809))</f>
        <v>3426.7200000000003</v>
      </c>
      <c r="S807" s="216">
        <f>IF((L809=""),"",AVERAGE(D809:L809))</f>
        <v>3446.1444444444446</v>
      </c>
      <c r="T807" s="215">
        <f>IF((L808=""),"",((Q807-R807)/(Q807+R807))*100)</f>
        <v>0.40139164605454386</v>
      </c>
      <c r="U807" s="215">
        <f>STDEV(D807:L807)</f>
        <v>38.665544775391091</v>
      </c>
      <c r="V807" s="217" t="str">
        <f>IF(L808="","",(IF(T807&lt;7,IF(S807&gt;2800,IF(S807&lt;3800,"Pass","Fail"),"Fail"),"Fail")))</f>
        <v>Pass</v>
      </c>
      <c r="W807" s="215">
        <v>121</v>
      </c>
      <c r="X807" s="289"/>
      <c r="Y807" s="218"/>
      <c r="Z807" s="226">
        <v>2800</v>
      </c>
      <c r="AA807" s="226">
        <v>3800</v>
      </c>
      <c r="AB807" s="226">
        <v>3100</v>
      </c>
      <c r="AC807" s="226">
        <v>3760</v>
      </c>
      <c r="AD807" s="227">
        <v>6</v>
      </c>
    </row>
    <row r="808" spans="1:30" customFormat="1" ht="16.5" customHeight="1" x14ac:dyDescent="0.35">
      <c r="A808" s="293"/>
      <c r="B808" s="220"/>
      <c r="C808" s="215" t="s">
        <v>157</v>
      </c>
      <c r="D808">
        <v>3499.11</v>
      </c>
      <c r="E808">
        <v>3459.63</v>
      </c>
      <c r="F808">
        <v>3511.97</v>
      </c>
      <c r="G808">
        <v>3479.96</v>
      </c>
      <c r="H808">
        <v>3553</v>
      </c>
      <c r="I808">
        <v>3493.24</v>
      </c>
      <c r="J808">
        <v>3502.31</v>
      </c>
      <c r="K808">
        <v>3505.23</v>
      </c>
      <c r="L808">
        <v>3591.33</v>
      </c>
      <c r="M808" s="221"/>
      <c r="N808" s="221"/>
      <c r="O808" s="221"/>
      <c r="P808" s="221"/>
      <c r="Q808" s="215"/>
      <c r="R808" s="215"/>
      <c r="S808" s="216"/>
      <c r="T808" s="215"/>
      <c r="U808" s="215"/>
      <c r="V808" s="217"/>
      <c r="W808" s="215"/>
      <c r="X808" s="295"/>
      <c r="Y808" s="218"/>
      <c r="Z808" s="218"/>
      <c r="AA808" s="218"/>
      <c r="AB808" s="218"/>
      <c r="AC808" s="218"/>
      <c r="AD808" s="206"/>
    </row>
    <row r="809" spans="1:30" customFormat="1" ht="24.8" customHeight="1" thickBot="1" x14ac:dyDescent="0.4">
      <c r="A809" s="297"/>
      <c r="B809" s="228"/>
      <c r="C809" s="229" t="s">
        <v>156</v>
      </c>
      <c r="D809" s="230">
        <f t="shared" ref="D809:L809" si="264">IF(((D807="")*AND(D808="")),"",(D807-D808)*2)</f>
        <v>3426.7200000000003</v>
      </c>
      <c r="E809" s="230">
        <f t="shared" si="264"/>
        <v>3452.8199999999997</v>
      </c>
      <c r="F809" s="230">
        <f t="shared" si="264"/>
        <v>3454.3400000000011</v>
      </c>
      <c r="G809" s="230">
        <f t="shared" si="264"/>
        <v>3446.84</v>
      </c>
      <c r="H809" s="230">
        <f t="shared" si="264"/>
        <v>3433.3199999999997</v>
      </c>
      <c r="I809" s="230">
        <f t="shared" si="264"/>
        <v>3454.2200000000012</v>
      </c>
      <c r="J809" s="230">
        <f t="shared" si="264"/>
        <v>3444.5800000000008</v>
      </c>
      <c r="K809" s="230">
        <f t="shared" si="264"/>
        <v>3453.62</v>
      </c>
      <c r="L809" s="230">
        <f t="shared" si="264"/>
        <v>3448.84</v>
      </c>
      <c r="M809" s="231"/>
      <c r="N809" s="230"/>
      <c r="O809" s="230"/>
      <c r="P809" s="230"/>
      <c r="Q809" s="215"/>
      <c r="R809" s="215"/>
      <c r="S809" s="216"/>
      <c r="T809" s="215"/>
      <c r="U809" s="215"/>
      <c r="V809" s="217"/>
      <c r="W809" s="215"/>
      <c r="X809" s="295"/>
      <c r="Y809" s="218"/>
      <c r="Z809" s="218"/>
      <c r="AA809" s="218"/>
      <c r="AB809" s="218"/>
      <c r="AC809" s="218"/>
      <c r="AD809" s="206"/>
    </row>
    <row r="810" spans="1:30" customFormat="1" ht="16.100000000000001" x14ac:dyDescent="0.35">
      <c r="A810" s="292">
        <v>43497</v>
      </c>
      <c r="B810" s="212" t="s">
        <v>160</v>
      </c>
      <c r="C810" s="213" t="s">
        <v>158</v>
      </c>
      <c r="D810">
        <v>1916.11</v>
      </c>
      <c r="E810">
        <v>1912.63</v>
      </c>
      <c r="F810">
        <v>1913.02</v>
      </c>
      <c r="G810">
        <v>1915.7</v>
      </c>
      <c r="H810">
        <v>1918.82</v>
      </c>
      <c r="I810">
        <v>1919.16</v>
      </c>
      <c r="J810">
        <v>1912.23</v>
      </c>
      <c r="K810">
        <v>1914.41</v>
      </c>
      <c r="L810">
        <v>1921.23</v>
      </c>
      <c r="M810" s="214"/>
      <c r="N810" s="214"/>
      <c r="O810" s="214"/>
      <c r="P810" s="214"/>
      <c r="Q810" s="215">
        <f>IF((L811=""),"",MAX(D812:L812))</f>
        <v>3098.3999999999996</v>
      </c>
      <c r="R810" s="215">
        <f>IF(L811="","",MIN(D812:L812))</f>
        <v>2679.8</v>
      </c>
      <c r="S810" s="216">
        <f>IF((L812=""),"",AVERAGE(D812:L812))</f>
        <v>2849.4622222222224</v>
      </c>
      <c r="T810" s="215">
        <f>IF((L811=""),"",((Q810-R810)/(Q810+R810))*100)</f>
        <v>7.244470596379486</v>
      </c>
      <c r="U810" s="215">
        <f>STDEV(D810:L810)</f>
        <v>3.2077718123332768</v>
      </c>
      <c r="V810" s="217" t="str">
        <f>IF(L811="","",(IF(T810&lt;12,IF(S810&gt;2200,IF(S810&lt;3280,"Pass","Fail"),"Fail"),"Fail")))</f>
        <v>Pass</v>
      </c>
      <c r="W810" s="215">
        <v>121</v>
      </c>
      <c r="X810" s="289" t="s">
        <v>291</v>
      </c>
      <c r="Y810" s="218"/>
      <c r="Z810" s="218">
        <v>2000</v>
      </c>
      <c r="AA810" s="218">
        <v>3000</v>
      </c>
      <c r="AB810" s="218">
        <v>2200</v>
      </c>
      <c r="AC810" s="218">
        <v>3280</v>
      </c>
      <c r="AD810" s="219">
        <v>12</v>
      </c>
    </row>
    <row r="811" spans="1:30" customFormat="1" ht="15.8" customHeight="1" x14ac:dyDescent="0.35">
      <c r="A811" s="293"/>
      <c r="B811" s="220"/>
      <c r="C811" s="215" t="s">
        <v>157</v>
      </c>
      <c r="D811">
        <v>1178.23</v>
      </c>
      <c r="E811">
        <v>1213.6400000000001</v>
      </c>
      <c r="F811">
        <v>1243.07</v>
      </c>
      <c r="G811">
        <v>1223.76</v>
      </c>
      <c r="H811">
        <v>1186.5899999999999</v>
      </c>
      <c r="I811">
        <v>1205.42</v>
      </c>
      <c r="J811">
        <v>1232.96</v>
      </c>
      <c r="K811">
        <v>1201.72</v>
      </c>
      <c r="L811">
        <v>1146.6300000000001</v>
      </c>
      <c r="M811" s="221"/>
      <c r="N811" s="221"/>
      <c r="O811" s="221"/>
      <c r="P811" s="221"/>
      <c r="Q811" s="215"/>
      <c r="R811" s="215"/>
      <c r="S811" s="215"/>
      <c r="T811" s="215"/>
      <c r="U811" s="215"/>
      <c r="V811" s="217"/>
      <c r="W811" s="215"/>
      <c r="X811" s="295"/>
      <c r="Y811" s="218"/>
      <c r="Z811" s="218"/>
      <c r="AA811" s="218"/>
      <c r="AB811" s="218"/>
      <c r="AC811" s="218"/>
      <c r="AD811" s="206"/>
    </row>
    <row r="812" spans="1:30" customFormat="1" ht="23.95" customHeight="1" x14ac:dyDescent="0.35">
      <c r="A812" s="294"/>
      <c r="B812" s="222"/>
      <c r="C812" s="215" t="s">
        <v>156</v>
      </c>
      <c r="D812" s="223">
        <f t="shared" ref="D812:L812" si="265">IF(((D810="")*AND(D811="")),"",(D810-D811)*4)</f>
        <v>2951.5199999999995</v>
      </c>
      <c r="E812" s="223">
        <f t="shared" si="265"/>
        <v>2795.96</v>
      </c>
      <c r="F812" s="223">
        <f t="shared" si="265"/>
        <v>2679.8</v>
      </c>
      <c r="G812" s="223">
        <f t="shared" si="265"/>
        <v>2767.76</v>
      </c>
      <c r="H812" s="223">
        <f t="shared" si="265"/>
        <v>2928.92</v>
      </c>
      <c r="I812" s="223">
        <f t="shared" si="265"/>
        <v>2854.96</v>
      </c>
      <c r="J812" s="223">
        <f t="shared" si="265"/>
        <v>2717.08</v>
      </c>
      <c r="K812" s="223">
        <f t="shared" si="265"/>
        <v>2850.76</v>
      </c>
      <c r="L812" s="223">
        <f t="shared" si="265"/>
        <v>3098.3999999999996</v>
      </c>
      <c r="M812" s="232"/>
      <c r="N812" s="223"/>
      <c r="O812" s="223"/>
      <c r="P812" s="223" t="str">
        <f>IF(((P810="")*AND(P811="")),"",(P810-P811)*4)</f>
        <v/>
      </c>
      <c r="Q812" s="215"/>
      <c r="R812" s="215"/>
      <c r="S812" s="215"/>
      <c r="T812" s="215"/>
      <c r="U812" s="215"/>
      <c r="V812" s="217"/>
      <c r="W812" s="215"/>
      <c r="X812" s="295"/>
      <c r="Y812" s="218"/>
      <c r="Z812" s="218"/>
      <c r="AA812" s="218"/>
      <c r="AB812" s="218"/>
      <c r="AC812" s="218"/>
      <c r="AD812" s="206"/>
    </row>
    <row r="813" spans="1:30" customFormat="1" ht="16.100000000000001" x14ac:dyDescent="0.35">
      <c r="A813" s="296">
        <v>43497</v>
      </c>
      <c r="B813" s="224" t="s">
        <v>159</v>
      </c>
      <c r="C813" s="215" t="s">
        <v>158</v>
      </c>
      <c r="D813">
        <v>3499.11</v>
      </c>
      <c r="E813">
        <v>3459.63</v>
      </c>
      <c r="F813">
        <v>3511.97</v>
      </c>
      <c r="G813">
        <v>3479.96</v>
      </c>
      <c r="H813">
        <v>3553</v>
      </c>
      <c r="I813">
        <v>3493.24</v>
      </c>
      <c r="J813">
        <v>3502.31</v>
      </c>
      <c r="K813">
        <v>3505.23</v>
      </c>
      <c r="L813">
        <v>3591.33</v>
      </c>
      <c r="M813" s="221"/>
      <c r="N813" s="221"/>
      <c r="O813" s="221"/>
      <c r="P813" s="221"/>
      <c r="Q813" s="215">
        <f>IF((L814=""),"",MAX(D815:L815))</f>
        <v>3571.96</v>
      </c>
      <c r="R813" s="215">
        <f>IF(L814="","",MIN(D815:L815))</f>
        <v>3524.3599999999997</v>
      </c>
      <c r="S813" s="216">
        <f>IF((L815=""),"",AVERAGE(D815:L815))</f>
        <v>3554.7822222222221</v>
      </c>
      <c r="T813" s="215">
        <f>IF((L814=""),"",((Q813-R813)/(Q813+R813))*100)</f>
        <v>0.67077020202020721</v>
      </c>
      <c r="U813" s="215">
        <f>STDEV(D813:L813)</f>
        <v>39.345671546492149</v>
      </c>
      <c r="V813" s="217" t="str">
        <f>IF(L814="","",(IF(T813&lt;7,IF(S813&gt;2800,IF(S813&lt;3800,"Pass","Fail"),"Fail"),"Fail")))</f>
        <v>Pass</v>
      </c>
      <c r="W813" s="215">
        <v>121</v>
      </c>
      <c r="X813" s="289"/>
      <c r="Y813" s="218"/>
      <c r="Z813" s="226">
        <v>2800</v>
      </c>
      <c r="AA813" s="226">
        <v>3800</v>
      </c>
      <c r="AB813" s="226">
        <v>3100</v>
      </c>
      <c r="AC813" s="226">
        <v>3760</v>
      </c>
      <c r="AD813" s="227">
        <v>6</v>
      </c>
    </row>
    <row r="814" spans="1:30" customFormat="1" ht="16.5" customHeight="1" x14ac:dyDescent="0.35">
      <c r="A814" s="293"/>
      <c r="B814" s="220"/>
      <c r="C814" s="215" t="s">
        <v>157</v>
      </c>
      <c r="D814">
        <v>1719.93</v>
      </c>
      <c r="E814">
        <v>1673.65</v>
      </c>
      <c r="F814">
        <v>1729.32</v>
      </c>
      <c r="G814">
        <v>1700.21</v>
      </c>
      <c r="H814">
        <v>1789.58</v>
      </c>
      <c r="I814">
        <v>1710.5</v>
      </c>
      <c r="J814">
        <v>1720.73</v>
      </c>
      <c r="K814">
        <v>1726.19</v>
      </c>
      <c r="L814">
        <v>1829.15</v>
      </c>
      <c r="M814" s="221"/>
      <c r="N814" s="221"/>
      <c r="O814" s="221"/>
      <c r="P814" s="221"/>
      <c r="Q814" s="215"/>
      <c r="R814" s="215"/>
      <c r="S814" s="216"/>
      <c r="T814" s="215"/>
      <c r="U814" s="215"/>
      <c r="V814" s="217"/>
      <c r="W814" s="215"/>
      <c r="X814" s="295"/>
      <c r="Y814" s="218"/>
      <c r="Z814" s="218"/>
      <c r="AA814" s="218"/>
      <c r="AB814" s="218"/>
      <c r="AC814" s="218"/>
      <c r="AD814" s="206"/>
    </row>
    <row r="815" spans="1:30" customFormat="1" ht="24.8" customHeight="1" thickBot="1" x14ac:dyDescent="0.4">
      <c r="A815" s="297"/>
      <c r="B815" s="228"/>
      <c r="C815" s="229" t="s">
        <v>156</v>
      </c>
      <c r="D815" s="230">
        <f t="shared" ref="D815:L815" si="266">IF(((D813="")*AND(D814="")),"",(D813-D814)*2)</f>
        <v>3558.36</v>
      </c>
      <c r="E815" s="230">
        <f t="shared" si="266"/>
        <v>3571.96</v>
      </c>
      <c r="F815" s="230">
        <f t="shared" si="266"/>
        <v>3565.2999999999997</v>
      </c>
      <c r="G815" s="230">
        <f t="shared" si="266"/>
        <v>3559.5</v>
      </c>
      <c r="H815" s="230">
        <f t="shared" si="266"/>
        <v>3526.84</v>
      </c>
      <c r="I815" s="230">
        <f t="shared" si="266"/>
        <v>3565.4799999999996</v>
      </c>
      <c r="J815" s="230">
        <f t="shared" si="266"/>
        <v>3563.16</v>
      </c>
      <c r="K815" s="230">
        <f t="shared" si="266"/>
        <v>3558.08</v>
      </c>
      <c r="L815" s="230">
        <f t="shared" si="266"/>
        <v>3524.3599999999997</v>
      </c>
      <c r="M815" s="231"/>
      <c r="N815" s="230"/>
      <c r="O815" s="230"/>
      <c r="P815" s="230"/>
      <c r="Q815" s="215"/>
      <c r="R815" s="215"/>
      <c r="S815" s="216"/>
      <c r="T815" s="215"/>
      <c r="U815" s="215"/>
      <c r="V815" s="217"/>
      <c r="W815" s="215"/>
      <c r="X815" s="295"/>
      <c r="Y815" s="218"/>
      <c r="Z815" s="218"/>
      <c r="AA815" s="218"/>
      <c r="AB815" s="218"/>
      <c r="AC815" s="218"/>
      <c r="AD815" s="206"/>
    </row>
    <row r="816" spans="1:30" customFormat="1" ht="16.100000000000001" x14ac:dyDescent="0.35">
      <c r="A816" s="233">
        <v>43502</v>
      </c>
      <c r="B816" s="212" t="s">
        <v>160</v>
      </c>
      <c r="C816" s="213" t="s">
        <v>158</v>
      </c>
      <c r="D816">
        <v>1922.67</v>
      </c>
      <c r="E816">
        <v>1918.47</v>
      </c>
      <c r="F816">
        <v>1910.06</v>
      </c>
      <c r="G816">
        <v>1915.89</v>
      </c>
      <c r="H816">
        <v>1924.97</v>
      </c>
      <c r="I816">
        <v>1924.58</v>
      </c>
      <c r="J816">
        <v>1914.85</v>
      </c>
      <c r="K816">
        <v>1916.38</v>
      </c>
      <c r="L816">
        <v>1923.97</v>
      </c>
      <c r="M816" s="214"/>
      <c r="N816" s="214"/>
      <c r="O816" s="214"/>
      <c r="P816" s="214"/>
      <c r="Q816" s="215">
        <f>IF((L817=""),"",MAX(D818:L818))</f>
        <v>3080.4400000000005</v>
      </c>
      <c r="R816" s="215">
        <f>IF(L817="","",MIN(D818:L818))</f>
        <v>2686.2799999999997</v>
      </c>
      <c r="S816" s="216">
        <f>IF((L818=""),"",AVERAGE(D818:L818))</f>
        <v>2845.3599999999997</v>
      </c>
      <c r="T816" s="215">
        <f>IF((L817=""),"",((Q816-R816)/(Q816+R816))*100)</f>
        <v>6.8350812940458487</v>
      </c>
      <c r="U816" s="215">
        <f>STDEV(D816:L816)</f>
        <v>5.2301075514754087</v>
      </c>
      <c r="V816" s="217" t="str">
        <f>IF(L817="","",(IF(T816&lt;12,IF(S816&gt;2200,IF(S816&lt;3280,"Pass","Fail"),"Fail"),"Fail")))</f>
        <v>Pass</v>
      </c>
      <c r="W816" s="215">
        <v>1340</v>
      </c>
      <c r="X816" s="206"/>
      <c r="Y816" s="218"/>
      <c r="Z816" s="218">
        <v>2000</v>
      </c>
      <c r="AA816" s="218">
        <v>3000</v>
      </c>
      <c r="AB816" s="218">
        <v>2200</v>
      </c>
      <c r="AC816" s="218">
        <v>3280</v>
      </c>
      <c r="AD816" s="219">
        <v>12</v>
      </c>
    </row>
    <row r="817" spans="1:30" customFormat="1" ht="15.8" customHeight="1" x14ac:dyDescent="0.35">
      <c r="A817" s="234"/>
      <c r="B817" s="220"/>
      <c r="C817" s="215" t="s">
        <v>157</v>
      </c>
      <c r="D817">
        <v>1189.25</v>
      </c>
      <c r="E817">
        <v>1221.1500000000001</v>
      </c>
      <c r="F817">
        <v>1238.49</v>
      </c>
      <c r="G817">
        <v>1223.79</v>
      </c>
      <c r="H817">
        <v>1190.33</v>
      </c>
      <c r="I817">
        <v>1210.18</v>
      </c>
      <c r="J817">
        <v>1236.24</v>
      </c>
      <c r="K817">
        <v>1206.49</v>
      </c>
      <c r="L817">
        <v>1153.8599999999999</v>
      </c>
      <c r="M817" s="221"/>
      <c r="N817" s="221"/>
      <c r="O817" s="221"/>
      <c r="P817" s="221"/>
      <c r="Q817" s="215"/>
      <c r="R817" s="215"/>
      <c r="S817" s="215"/>
      <c r="T817" s="215"/>
      <c r="U817" s="215"/>
      <c r="V817" s="217"/>
      <c r="W817" s="215"/>
      <c r="Y817" s="218"/>
      <c r="Z817" s="218"/>
      <c r="AA817" s="218"/>
      <c r="AB817" s="218"/>
      <c r="AC817" s="218"/>
      <c r="AD817" s="206"/>
    </row>
    <row r="818" spans="1:30" customFormat="1" ht="23.95" customHeight="1" x14ac:dyDescent="0.35">
      <c r="A818" s="235"/>
      <c r="B818" s="222"/>
      <c r="C818" s="215" t="s">
        <v>156</v>
      </c>
      <c r="D818" s="223">
        <f t="shared" ref="D818:L818" si="267">IF(((D816="")*AND(D817="")),"",(D816-D817)*4)</f>
        <v>2933.6800000000003</v>
      </c>
      <c r="E818" s="223">
        <f t="shared" si="267"/>
        <v>2789.2799999999997</v>
      </c>
      <c r="F818" s="223">
        <f t="shared" si="267"/>
        <v>2686.2799999999997</v>
      </c>
      <c r="G818" s="223">
        <f t="shared" si="267"/>
        <v>2768.4000000000005</v>
      </c>
      <c r="H818" s="223">
        <f t="shared" si="267"/>
        <v>2938.5600000000004</v>
      </c>
      <c r="I818" s="223">
        <f t="shared" si="267"/>
        <v>2857.5999999999995</v>
      </c>
      <c r="J818" s="223">
        <f t="shared" si="267"/>
        <v>2714.4399999999996</v>
      </c>
      <c r="K818" s="223">
        <f t="shared" si="267"/>
        <v>2839.5600000000004</v>
      </c>
      <c r="L818" s="223">
        <f t="shared" si="267"/>
        <v>3080.4400000000005</v>
      </c>
      <c r="M818" s="232"/>
      <c r="N818" s="223"/>
      <c r="O818" s="223"/>
      <c r="P818" s="223" t="str">
        <f>IF(((P816="")*AND(P817="")),"",(P816-P817)*4)</f>
        <v/>
      </c>
      <c r="Q818" s="215"/>
      <c r="R818" s="215"/>
      <c r="S818" s="215"/>
      <c r="T818" s="215"/>
      <c r="U818" s="215"/>
      <c r="V818" s="217"/>
      <c r="W818" s="215"/>
      <c r="Y818" s="218"/>
      <c r="Z818" s="218"/>
      <c r="AA818" s="218"/>
      <c r="AB818" s="218"/>
      <c r="AC818" s="218"/>
      <c r="AD818" s="206"/>
    </row>
    <row r="819" spans="1:30" customFormat="1" ht="16.100000000000001" x14ac:dyDescent="0.35">
      <c r="A819" s="236">
        <v>43502</v>
      </c>
      <c r="B819" s="224" t="s">
        <v>159</v>
      </c>
      <c r="C819" s="215" t="s">
        <v>158</v>
      </c>
      <c r="D819">
        <v>6852.7</v>
      </c>
      <c r="E819">
        <v>6839.8</v>
      </c>
      <c r="F819">
        <v>6888.52</v>
      </c>
      <c r="G819">
        <v>6849.53</v>
      </c>
      <c r="H819">
        <v>6896.73</v>
      </c>
      <c r="I819">
        <v>6873.14</v>
      </c>
      <c r="J819">
        <v>6874.12</v>
      </c>
      <c r="K819">
        <v>6880.53</v>
      </c>
      <c r="L819">
        <v>6958.09</v>
      </c>
      <c r="M819" s="221"/>
      <c r="N819" s="221"/>
      <c r="O819" s="221"/>
      <c r="P819" s="221"/>
      <c r="Q819" s="215">
        <f>IF((L820=""),"",MAX(D821:L821))</f>
        <v>3539.16</v>
      </c>
      <c r="R819" s="215">
        <f>IF(L820="","",MIN(D821:L821))</f>
        <v>3517.7199999999993</v>
      </c>
      <c r="S819" s="216">
        <f>IF((L821=""),"",AVERAGE(D821:L821))</f>
        <v>3529.9377777777781</v>
      </c>
      <c r="T819" s="215">
        <f>IF((L820=""),"",((Q819-R819)/(Q819+R819))*100)</f>
        <v>0.30381698427634468</v>
      </c>
      <c r="U819" s="215">
        <f>STDEV(D819:L819)</f>
        <v>35.030341848175034</v>
      </c>
      <c r="V819" s="217" t="str">
        <f>IF(L820="","",(IF(T819&lt;7,IF(S819&gt;2800,IF(S819&lt;3800,"Pass","Fail"),"Fail"),"Fail")))</f>
        <v>Pass</v>
      </c>
      <c r="W819" s="215">
        <v>1340</v>
      </c>
      <c r="X819" s="206"/>
      <c r="Y819" s="218"/>
      <c r="Z819" s="226">
        <v>2800</v>
      </c>
      <c r="AA819" s="226">
        <v>3800</v>
      </c>
      <c r="AB819" s="226">
        <v>3100</v>
      </c>
      <c r="AC819" s="226">
        <v>3760</v>
      </c>
      <c r="AD819" s="227">
        <v>6</v>
      </c>
    </row>
    <row r="820" spans="1:30" customFormat="1" ht="16.5" customHeight="1" x14ac:dyDescent="0.35">
      <c r="A820" s="234"/>
      <c r="B820" s="220"/>
      <c r="C820" s="215" t="s">
        <v>157</v>
      </c>
      <c r="D820">
        <v>5092.4399999999996</v>
      </c>
      <c r="E820">
        <v>5073.8999999999996</v>
      </c>
      <c r="F820">
        <v>5122.59</v>
      </c>
      <c r="G820">
        <v>5084.4799999999996</v>
      </c>
      <c r="H820">
        <v>5137.87</v>
      </c>
      <c r="I820">
        <v>5103.5600000000004</v>
      </c>
      <c r="J820">
        <v>5107.67</v>
      </c>
      <c r="K820">
        <v>5114.99</v>
      </c>
      <c r="L820">
        <v>5190.9399999999996</v>
      </c>
      <c r="M820" s="221"/>
      <c r="N820" s="221"/>
      <c r="O820" s="221"/>
      <c r="P820" s="221"/>
      <c r="Q820" s="215"/>
      <c r="R820" s="215"/>
      <c r="S820" s="216"/>
      <c r="T820" s="215"/>
      <c r="U820" s="215"/>
      <c r="V820" s="217"/>
      <c r="W820" s="215"/>
      <c r="Y820" s="218"/>
      <c r="Z820" s="218"/>
      <c r="AA820" s="218"/>
      <c r="AB820" s="218"/>
      <c r="AC820" s="218"/>
      <c r="AD820" s="206"/>
    </row>
    <row r="821" spans="1:30" customFormat="1" ht="24.8" customHeight="1" thickBot="1" x14ac:dyDescent="0.4">
      <c r="A821" s="237"/>
      <c r="B821" s="228"/>
      <c r="C821" s="229" t="s">
        <v>156</v>
      </c>
      <c r="D821" s="230">
        <f t="shared" ref="D821:L821" si="268">IF(((D819="")*AND(D820="")),"",(D819-D820)*2)</f>
        <v>3520.5200000000004</v>
      </c>
      <c r="E821" s="230">
        <f t="shared" si="268"/>
        <v>3531.8000000000011</v>
      </c>
      <c r="F821" s="230">
        <f t="shared" si="268"/>
        <v>3531.8600000000006</v>
      </c>
      <c r="G821" s="230">
        <f t="shared" si="268"/>
        <v>3530.1000000000004</v>
      </c>
      <c r="H821" s="230">
        <f t="shared" si="268"/>
        <v>3517.7199999999993</v>
      </c>
      <c r="I821" s="230">
        <f t="shared" si="268"/>
        <v>3539.16</v>
      </c>
      <c r="J821" s="230">
        <f t="shared" si="268"/>
        <v>3532.8999999999996</v>
      </c>
      <c r="K821" s="230">
        <f t="shared" si="268"/>
        <v>3531.08</v>
      </c>
      <c r="L821" s="230">
        <f t="shared" si="268"/>
        <v>3534.3000000000011</v>
      </c>
      <c r="M821" s="231"/>
      <c r="N821" s="230"/>
      <c r="O821" s="230"/>
      <c r="P821" s="230"/>
      <c r="Q821" s="215"/>
      <c r="R821" s="215"/>
      <c r="S821" s="216"/>
      <c r="T821" s="215"/>
      <c r="U821" s="215"/>
      <c r="V821" s="217"/>
      <c r="W821" s="215"/>
      <c r="Y821" s="218"/>
      <c r="Z821" s="218"/>
      <c r="AA821" s="218"/>
      <c r="AB821" s="218"/>
      <c r="AC821" s="218"/>
      <c r="AD821" s="206"/>
    </row>
    <row r="822" spans="1:30" customFormat="1" ht="16.100000000000001" x14ac:dyDescent="0.35">
      <c r="A822" s="233">
        <v>43505</v>
      </c>
      <c r="B822" s="212" t="s">
        <v>160</v>
      </c>
      <c r="C822" s="213" t="s">
        <v>158</v>
      </c>
      <c r="D822">
        <v>1189.25</v>
      </c>
      <c r="E822">
        <v>1221.1500000000001</v>
      </c>
      <c r="F822">
        <v>1238.49</v>
      </c>
      <c r="G822">
        <v>1223.79</v>
      </c>
      <c r="H822">
        <v>1190.33</v>
      </c>
      <c r="I822">
        <v>1210.18</v>
      </c>
      <c r="J822">
        <v>1236.24</v>
      </c>
      <c r="K822">
        <v>1206.49</v>
      </c>
      <c r="L822">
        <v>1153.8599999999999</v>
      </c>
      <c r="M822" s="214"/>
      <c r="N822" s="214"/>
      <c r="O822" s="214"/>
      <c r="P822" s="214"/>
      <c r="Q822" s="215">
        <f>IF((L823=""),"",MAX(D824:L824))</f>
        <v>3014.4799999999996</v>
      </c>
      <c r="R822" s="215">
        <f>IF(L823="","",MIN(D824:L824))</f>
        <v>2612.2399999999998</v>
      </c>
      <c r="S822" s="216">
        <f>IF((L824=""),"",AVERAGE(D824:L824))</f>
        <v>2829.1333333333332</v>
      </c>
      <c r="T822" s="215">
        <f>IF((L823=""),"",((Q822-R822)/(Q822+R822))*100)</f>
        <v>7.1487474052378621</v>
      </c>
      <c r="U822" s="215">
        <f>STDEV(D822:L822)</f>
        <v>26.811378647880119</v>
      </c>
      <c r="V822" s="217" t="str">
        <f>IF(L823="","",(IF(T822&lt;12,IF(S822&gt;2200,IF(S822&lt;3280,"Pass","Fail"),"Fail"),"Fail")))</f>
        <v>Pass</v>
      </c>
      <c r="W822" s="215">
        <v>64</v>
      </c>
      <c r="X822" s="206" t="s">
        <v>292</v>
      </c>
      <c r="Y822" s="218"/>
      <c r="Z822" s="218">
        <v>2000</v>
      </c>
      <c r="AA822" s="218">
        <v>3000</v>
      </c>
      <c r="AB822" s="218">
        <v>2200</v>
      </c>
      <c r="AC822" s="218">
        <v>3280</v>
      </c>
      <c r="AD822" s="219">
        <v>12</v>
      </c>
    </row>
    <row r="823" spans="1:30" customFormat="1" ht="15.8" customHeight="1" x14ac:dyDescent="0.35">
      <c r="A823" s="234"/>
      <c r="B823" s="220"/>
      <c r="C823" s="215" t="s">
        <v>157</v>
      </c>
      <c r="D823">
        <v>438.17</v>
      </c>
      <c r="E823">
        <v>519.66</v>
      </c>
      <c r="F823">
        <v>560.09</v>
      </c>
      <c r="G823">
        <v>529.48</v>
      </c>
      <c r="H823">
        <v>436.71</v>
      </c>
      <c r="I823">
        <v>475.95</v>
      </c>
      <c r="J823">
        <v>548.21</v>
      </c>
      <c r="K823">
        <v>495.16</v>
      </c>
      <c r="L823">
        <v>500.8</v>
      </c>
      <c r="M823" s="221"/>
      <c r="N823" s="221"/>
      <c r="O823" s="221"/>
      <c r="P823" s="221"/>
      <c r="Q823" s="215"/>
      <c r="R823" s="215"/>
      <c r="S823" s="215"/>
      <c r="T823" s="215"/>
      <c r="U823" s="215"/>
      <c r="V823" s="217"/>
      <c r="W823" s="215"/>
      <c r="Y823" s="218"/>
      <c r="Z823" s="218"/>
      <c r="AA823" s="218"/>
      <c r="AB823" s="218"/>
      <c r="AC823" s="218"/>
      <c r="AD823" s="206"/>
    </row>
    <row r="824" spans="1:30" customFormat="1" ht="23.95" customHeight="1" x14ac:dyDescent="0.35">
      <c r="A824" s="235"/>
      <c r="B824" s="222"/>
      <c r="C824" s="215" t="s">
        <v>156</v>
      </c>
      <c r="D824" s="223">
        <f t="shared" ref="D824:L824" si="269">IF(((D822="")*AND(D823="")),"",(D822-D823)*4)</f>
        <v>3004.3199999999997</v>
      </c>
      <c r="E824" s="223">
        <f t="shared" si="269"/>
        <v>2805.9600000000005</v>
      </c>
      <c r="F824" s="223">
        <f t="shared" si="269"/>
        <v>2713.6</v>
      </c>
      <c r="G824" s="223">
        <f t="shared" si="269"/>
        <v>2777.24</v>
      </c>
      <c r="H824" s="223">
        <f t="shared" si="269"/>
        <v>3014.4799999999996</v>
      </c>
      <c r="I824" s="223">
        <f t="shared" si="269"/>
        <v>2936.92</v>
      </c>
      <c r="J824" s="223">
        <f t="shared" si="269"/>
        <v>2752.12</v>
      </c>
      <c r="K824" s="223">
        <f t="shared" si="269"/>
        <v>2845.3199999999997</v>
      </c>
      <c r="L824" s="223">
        <f t="shared" si="269"/>
        <v>2612.2399999999998</v>
      </c>
      <c r="M824" s="232"/>
      <c r="N824" s="223"/>
      <c r="O824" s="223"/>
      <c r="P824" s="223" t="str">
        <f>IF(((P822="")*AND(P823="")),"",(P822-P823)*4)</f>
        <v/>
      </c>
      <c r="Q824" s="215"/>
      <c r="R824" s="215"/>
      <c r="S824" s="215"/>
      <c r="T824" s="215"/>
      <c r="U824" s="215"/>
      <c r="V824" s="217"/>
      <c r="W824" s="215"/>
      <c r="Y824" s="218"/>
      <c r="Z824" s="218"/>
      <c r="AA824" s="218"/>
      <c r="AB824" s="218"/>
      <c r="AC824" s="218"/>
      <c r="AD824" s="206"/>
    </row>
    <row r="825" spans="1:30" customFormat="1" ht="16.100000000000001" x14ac:dyDescent="0.35">
      <c r="A825" s="236">
        <v>43505</v>
      </c>
      <c r="B825" s="224" t="s">
        <v>159</v>
      </c>
      <c r="C825" s="215" t="s">
        <v>158</v>
      </c>
      <c r="D825">
        <v>5092.4399999999996</v>
      </c>
      <c r="E825">
        <v>5073.8999999999996</v>
      </c>
      <c r="F825">
        <v>5122.59</v>
      </c>
      <c r="G825">
        <v>5084.4799999999996</v>
      </c>
      <c r="H825">
        <v>5137.87</v>
      </c>
      <c r="I825">
        <v>5103.5600000000004</v>
      </c>
      <c r="J825">
        <v>5107.67</v>
      </c>
      <c r="K825">
        <v>5114.99</v>
      </c>
      <c r="L825">
        <v>5190.9399999999996</v>
      </c>
      <c r="M825" s="221"/>
      <c r="N825" s="221"/>
      <c r="O825" s="221"/>
      <c r="P825" s="221"/>
      <c r="Q825" s="215">
        <f>IF((L826=""),"",MAX(D827:L827))</f>
        <v>3508.5200000000004</v>
      </c>
      <c r="R825" s="215">
        <f>IF(L826="","",MIN(D827:L827))</f>
        <v>3472.54</v>
      </c>
      <c r="S825" s="216">
        <f>IF((L827=""),"",AVERAGE(D827:L827))</f>
        <v>3494.9044444444444</v>
      </c>
      <c r="T825" s="215">
        <f>IF((L826=""),"",((Q825-R825)/(Q825+R825))*100)</f>
        <v>0.51539451028927519</v>
      </c>
      <c r="U825" s="215">
        <f>STDEV(D825:L825)</f>
        <v>34.743675123842486</v>
      </c>
      <c r="V825" s="217" t="str">
        <f>IF(L826="","",(IF(T825&lt;7,IF(S825&gt;2800,IF(S825&lt;3800,"Pass","Fail"),"Fail"),"Fail")))</f>
        <v>Pass</v>
      </c>
      <c r="W825" s="215">
        <v>64</v>
      </c>
      <c r="X825" s="206" t="s">
        <v>292</v>
      </c>
      <c r="Y825" s="218"/>
      <c r="Z825" s="226">
        <v>2800</v>
      </c>
      <c r="AA825" s="226">
        <v>3800</v>
      </c>
      <c r="AB825" s="226">
        <v>3100</v>
      </c>
      <c r="AC825" s="226">
        <v>3760</v>
      </c>
      <c r="AD825" s="227">
        <v>6</v>
      </c>
    </row>
    <row r="826" spans="1:30" customFormat="1" ht="16.5" customHeight="1" x14ac:dyDescent="0.35">
      <c r="A826" s="234"/>
      <c r="B826" s="220"/>
      <c r="C826" s="215" t="s">
        <v>157</v>
      </c>
      <c r="D826">
        <v>3348.25</v>
      </c>
      <c r="E826">
        <v>3321.25</v>
      </c>
      <c r="F826">
        <v>3373.47</v>
      </c>
      <c r="G826">
        <v>3335.9</v>
      </c>
      <c r="H826">
        <v>3401.6</v>
      </c>
      <c r="I826">
        <v>3349.3</v>
      </c>
      <c r="J826">
        <v>3357.91</v>
      </c>
      <c r="K826">
        <v>3365.4</v>
      </c>
      <c r="L826">
        <v>3448.29</v>
      </c>
      <c r="M826" s="221"/>
      <c r="N826" s="221"/>
      <c r="O826" s="221"/>
      <c r="P826" s="221"/>
      <c r="Q826" s="215"/>
      <c r="R826" s="215"/>
      <c r="S826" s="216"/>
      <c r="T826" s="215"/>
      <c r="U826" s="215"/>
      <c r="V826" s="217"/>
      <c r="W826" s="215"/>
      <c r="Y826" s="218"/>
      <c r="Z826" s="218"/>
      <c r="AA826" s="218"/>
      <c r="AB826" s="218"/>
      <c r="AC826" s="218"/>
      <c r="AD826" s="206"/>
    </row>
    <row r="827" spans="1:30" customFormat="1" ht="24.8" customHeight="1" thickBot="1" x14ac:dyDescent="0.4">
      <c r="A827" s="237"/>
      <c r="B827" s="228"/>
      <c r="C827" s="229" t="s">
        <v>156</v>
      </c>
      <c r="D827" s="230">
        <f t="shared" ref="D827:L827" si="270">IF(((D825="")*AND(D826="")),"",(D825-D826)*2)</f>
        <v>3488.3799999999992</v>
      </c>
      <c r="E827" s="230">
        <f t="shared" si="270"/>
        <v>3505.2999999999993</v>
      </c>
      <c r="F827" s="230">
        <f t="shared" si="270"/>
        <v>3498.2400000000007</v>
      </c>
      <c r="G827" s="230">
        <f t="shared" si="270"/>
        <v>3497.1599999999989</v>
      </c>
      <c r="H827" s="230">
        <f t="shared" si="270"/>
        <v>3472.54</v>
      </c>
      <c r="I827" s="230">
        <f t="shared" si="270"/>
        <v>3508.5200000000004</v>
      </c>
      <c r="J827" s="230">
        <f t="shared" si="270"/>
        <v>3499.5200000000004</v>
      </c>
      <c r="K827" s="230">
        <f t="shared" si="270"/>
        <v>3499.1799999999994</v>
      </c>
      <c r="L827" s="230">
        <f t="shared" si="270"/>
        <v>3485.2999999999993</v>
      </c>
      <c r="M827" s="231"/>
      <c r="N827" s="230"/>
      <c r="O827" s="230"/>
      <c r="P827" s="230"/>
      <c r="Q827" s="215"/>
      <c r="R827" s="215"/>
      <c r="S827" s="216"/>
      <c r="T827" s="215"/>
      <c r="U827" s="215"/>
      <c r="V827" s="217"/>
      <c r="W827" s="215"/>
      <c r="Y827" s="218"/>
      <c r="Z827" s="218"/>
      <c r="AA827" s="218"/>
      <c r="AB827" s="218"/>
      <c r="AC827" s="218"/>
      <c r="AD827" s="206"/>
    </row>
    <row r="828" spans="1:30" customFormat="1" ht="16.100000000000001" x14ac:dyDescent="0.35">
      <c r="A828" s="233">
        <v>43508</v>
      </c>
      <c r="B828" s="212" t="s">
        <v>160</v>
      </c>
      <c r="C828" s="213" t="s">
        <v>158</v>
      </c>
      <c r="D828">
        <v>1924.05</v>
      </c>
      <c r="E828">
        <v>1916.44</v>
      </c>
      <c r="F828">
        <v>1913.08</v>
      </c>
      <c r="G828">
        <v>1923.55</v>
      </c>
      <c r="H828">
        <v>1923.72</v>
      </c>
      <c r="I828">
        <v>1923.39</v>
      </c>
      <c r="J828">
        <v>1915.43</v>
      </c>
      <c r="K828">
        <v>1918.83</v>
      </c>
      <c r="L828">
        <v>1923.08</v>
      </c>
      <c r="M828" s="214"/>
      <c r="N828" s="214"/>
      <c r="O828" s="214"/>
      <c r="P828" s="214"/>
      <c r="Q828" s="215">
        <f>IF((L829=""),"",MAX(D830:L830))</f>
        <v>3151.92</v>
      </c>
      <c r="R828" s="215">
        <f>IF(L829="","",MIN(D830:L830))</f>
        <v>2729.24</v>
      </c>
      <c r="S828" s="216">
        <f>IF((L830=""),"",AVERAGE(D830:L830))</f>
        <v>2897.8666666666668</v>
      </c>
      <c r="T828" s="215">
        <f>IF((L829=""),"",((Q828-R828)/(Q828+R828))*100)</f>
        <v>7.1870175271545111</v>
      </c>
      <c r="U828" s="215">
        <f>STDEV(D828:L828)</f>
        <v>4.2772921080723227</v>
      </c>
      <c r="V828" s="217" t="str">
        <f>IF(L829="","",(IF(T828&lt;12,IF(S828&gt;2200,IF(S828&lt;3280,"Pass","Fail"),"Fail"),"Fail")))</f>
        <v>Pass</v>
      </c>
      <c r="W828" s="215">
        <v>1340</v>
      </c>
      <c r="X828" s="206"/>
      <c r="Y828" s="218"/>
      <c r="Z828" s="218">
        <v>2000</v>
      </c>
      <c r="AA828" s="218">
        <v>3000</v>
      </c>
      <c r="AB828" s="218">
        <v>2200</v>
      </c>
      <c r="AC828" s="218">
        <v>3280</v>
      </c>
      <c r="AD828" s="219">
        <v>12</v>
      </c>
    </row>
    <row r="829" spans="1:30" customFormat="1" ht="15.8" customHeight="1" x14ac:dyDescent="0.35">
      <c r="A829" s="234"/>
      <c r="B829" s="220"/>
      <c r="C829" s="215" t="s">
        <v>157</v>
      </c>
      <c r="D829">
        <v>1173.83</v>
      </c>
      <c r="E829">
        <v>1214.44</v>
      </c>
      <c r="F829">
        <v>1230.77</v>
      </c>
      <c r="G829">
        <v>1219.3699999999999</v>
      </c>
      <c r="H829">
        <v>1171.21</v>
      </c>
      <c r="I829">
        <v>1191.0999999999999</v>
      </c>
      <c r="J829">
        <v>1225.79</v>
      </c>
      <c r="K829">
        <v>1199.76</v>
      </c>
      <c r="L829">
        <v>1135.0999999999999</v>
      </c>
      <c r="M829" s="221"/>
      <c r="N829" s="221"/>
      <c r="O829" s="221"/>
      <c r="P829" s="221"/>
      <c r="Q829" s="215"/>
      <c r="R829" s="215"/>
      <c r="S829" s="215"/>
      <c r="T829" s="215"/>
      <c r="U829" s="215"/>
      <c r="V829" s="217"/>
      <c r="W829" s="215"/>
      <c r="Y829" s="218"/>
      <c r="Z829" s="218"/>
      <c r="AA829" s="218"/>
      <c r="AB829" s="218"/>
      <c r="AC829" s="218"/>
      <c r="AD829" s="206"/>
    </row>
    <row r="830" spans="1:30" customFormat="1" ht="23.95" customHeight="1" x14ac:dyDescent="0.35">
      <c r="A830" s="235"/>
      <c r="B830" s="222"/>
      <c r="C830" s="215" t="s">
        <v>156</v>
      </c>
      <c r="D830" s="223">
        <f t="shared" ref="D830:L830" si="271">IF(((D828="")*AND(D829="")),"",(D828-D829)*4)</f>
        <v>3000.88</v>
      </c>
      <c r="E830" s="223">
        <f t="shared" si="271"/>
        <v>2808</v>
      </c>
      <c r="F830" s="223">
        <f t="shared" si="271"/>
        <v>2729.24</v>
      </c>
      <c r="G830" s="223">
        <f t="shared" si="271"/>
        <v>2816.7200000000003</v>
      </c>
      <c r="H830" s="223">
        <f t="shared" si="271"/>
        <v>3010.04</v>
      </c>
      <c r="I830" s="223">
        <f t="shared" si="271"/>
        <v>2929.1600000000008</v>
      </c>
      <c r="J830" s="223">
        <f t="shared" si="271"/>
        <v>2758.5600000000004</v>
      </c>
      <c r="K830" s="223">
        <f t="shared" si="271"/>
        <v>2876.2799999999997</v>
      </c>
      <c r="L830" s="223">
        <f t="shared" si="271"/>
        <v>3151.92</v>
      </c>
      <c r="M830" s="232"/>
      <c r="N830" s="223"/>
      <c r="O830" s="223"/>
      <c r="P830" s="223" t="str">
        <f>IF(((P828="")*AND(P829="")),"",(P828-P829)*4)</f>
        <v/>
      </c>
      <c r="Q830" s="215"/>
      <c r="R830" s="215"/>
      <c r="S830" s="215"/>
      <c r="T830" s="215"/>
      <c r="U830" s="215"/>
      <c r="V830" s="217"/>
      <c r="W830" s="215"/>
      <c r="Y830" s="218"/>
      <c r="Z830" s="218"/>
      <c r="AA830" s="218"/>
      <c r="AB830" s="218"/>
      <c r="AC830" s="218"/>
      <c r="AD830" s="206"/>
    </row>
    <row r="831" spans="1:30" customFormat="1" ht="16.100000000000001" x14ac:dyDescent="0.35">
      <c r="A831" s="236">
        <v>43508</v>
      </c>
      <c r="B831" s="224" t="s">
        <v>159</v>
      </c>
      <c r="C831" s="215" t="s">
        <v>158</v>
      </c>
      <c r="D831">
        <v>3356.66</v>
      </c>
      <c r="E831">
        <v>3328.97</v>
      </c>
      <c r="F831">
        <v>3381.86</v>
      </c>
      <c r="G831">
        <v>3344.02</v>
      </c>
      <c r="H831">
        <v>3410.92</v>
      </c>
      <c r="I831">
        <v>3358.39</v>
      </c>
      <c r="J831">
        <v>3366.35</v>
      </c>
      <c r="K831">
        <v>3373.48</v>
      </c>
      <c r="L831">
        <v>3456.75</v>
      </c>
      <c r="M831" s="221"/>
      <c r="N831" s="221"/>
      <c r="O831" s="221"/>
      <c r="P831" s="221"/>
      <c r="Q831" s="215">
        <f>IF((L832=""),"",MAX(D833:L833))</f>
        <v>3521.58</v>
      </c>
      <c r="R831" s="215">
        <f>IF(L832="","",MIN(D833:L833))</f>
        <v>3491.5599999999995</v>
      </c>
      <c r="S831" s="216">
        <f>IF((L833=""),"",AVERAGE(D833:L833))</f>
        <v>3506.96</v>
      </c>
      <c r="T831" s="215">
        <f>IF((L832=""),"",((Q831-R831)/(Q831+R831))*100)</f>
        <v>0.42805362505240785</v>
      </c>
      <c r="U831" s="215">
        <f>STDEV(D831:L831)</f>
        <v>38.385593651785626</v>
      </c>
      <c r="V831" s="217" t="str">
        <f>IF(L832="","",(IF(T831&lt;7,IF(S831&gt;2800,IF(S831&lt;3800,"Pass","Fail"),"Fail"),"Fail")))</f>
        <v>Pass</v>
      </c>
      <c r="W831" s="215">
        <v>1340</v>
      </c>
      <c r="X831" s="206"/>
      <c r="Y831" s="218"/>
      <c r="Z831" s="226">
        <v>2800</v>
      </c>
      <c r="AA831" s="226">
        <v>3800</v>
      </c>
      <c r="AB831" s="226">
        <v>3100</v>
      </c>
      <c r="AC831" s="226">
        <v>3760</v>
      </c>
      <c r="AD831" s="227">
        <v>6</v>
      </c>
    </row>
    <row r="832" spans="1:30" customFormat="1" ht="16.5" customHeight="1" x14ac:dyDescent="0.35">
      <c r="A832" s="234"/>
      <c r="B832" s="220"/>
      <c r="C832" s="215" t="s">
        <v>157</v>
      </c>
      <c r="D832">
        <v>1610.88</v>
      </c>
      <c r="E832">
        <v>1573.42</v>
      </c>
      <c r="F832">
        <v>1626.32</v>
      </c>
      <c r="G832">
        <v>1589.96</v>
      </c>
      <c r="H832">
        <v>1661.41</v>
      </c>
      <c r="I832">
        <v>1597.6</v>
      </c>
      <c r="J832">
        <v>1613.06</v>
      </c>
      <c r="K832">
        <v>1617.26</v>
      </c>
      <c r="L832">
        <v>1706.17</v>
      </c>
      <c r="M832" s="221"/>
      <c r="N832" s="221"/>
      <c r="O832" s="221"/>
      <c r="P832" s="221"/>
      <c r="Q832" s="215"/>
      <c r="R832" s="215"/>
      <c r="S832" s="216"/>
      <c r="T832" s="215"/>
      <c r="U832" s="215"/>
      <c r="V832" s="217"/>
      <c r="W832" s="215"/>
      <c r="Y832" s="218"/>
      <c r="Z832" s="218"/>
      <c r="AA832" s="218"/>
      <c r="AB832" s="218"/>
      <c r="AC832" s="218"/>
      <c r="AD832" s="206"/>
    </row>
    <row r="833" spans="1:30" customFormat="1" ht="24.8" customHeight="1" thickBot="1" x14ac:dyDescent="0.4">
      <c r="A833" s="237"/>
      <c r="B833" s="228"/>
      <c r="C833" s="229" t="s">
        <v>156</v>
      </c>
      <c r="D833" s="230">
        <f t="shared" ref="D833:L833" si="272">IF(((D831="")*AND(D832="")),"",(D831-D832)*2)</f>
        <v>3491.5599999999995</v>
      </c>
      <c r="E833" s="230">
        <f t="shared" si="272"/>
        <v>3511.0999999999995</v>
      </c>
      <c r="F833" s="230">
        <f t="shared" si="272"/>
        <v>3511.0800000000004</v>
      </c>
      <c r="G833" s="230">
        <f t="shared" si="272"/>
        <v>3508.12</v>
      </c>
      <c r="H833" s="230">
        <f t="shared" si="272"/>
        <v>3499.02</v>
      </c>
      <c r="I833" s="230">
        <f t="shared" si="272"/>
        <v>3521.58</v>
      </c>
      <c r="J833" s="230">
        <f t="shared" si="272"/>
        <v>3506.58</v>
      </c>
      <c r="K833" s="230">
        <f t="shared" si="272"/>
        <v>3512.44</v>
      </c>
      <c r="L833" s="230">
        <f t="shared" si="272"/>
        <v>3501.16</v>
      </c>
      <c r="M833" s="231"/>
      <c r="N833" s="230"/>
      <c r="O833" s="230"/>
      <c r="P833" s="230"/>
      <c r="Q833" s="215"/>
      <c r="R833" s="215"/>
      <c r="S833" s="216"/>
      <c r="T833" s="215"/>
      <c r="U833" s="215"/>
      <c r="V833" s="217"/>
      <c r="W833" s="215"/>
      <c r="Y833" s="218"/>
      <c r="Z833" s="218"/>
      <c r="AA833" s="218"/>
      <c r="AB833" s="218"/>
      <c r="AC833" s="218"/>
      <c r="AD833" s="206"/>
    </row>
    <row r="834" spans="1:30" customFormat="1" ht="16.100000000000001" x14ac:dyDescent="0.35">
      <c r="A834" s="233">
        <v>43514</v>
      </c>
      <c r="B834" s="212" t="s">
        <v>160</v>
      </c>
      <c r="C834" s="213" t="s">
        <v>158</v>
      </c>
      <c r="D834">
        <v>1189.24</v>
      </c>
      <c r="E834">
        <v>1226.6400000000001</v>
      </c>
      <c r="F834">
        <v>1242.1300000000001</v>
      </c>
      <c r="G834">
        <v>1219.81</v>
      </c>
      <c r="H834">
        <v>1185.67</v>
      </c>
      <c r="I834">
        <v>1153.7</v>
      </c>
      <c r="J834">
        <v>1208.4000000000001</v>
      </c>
      <c r="K834">
        <v>1234.24</v>
      </c>
      <c r="L834">
        <v>1208.06</v>
      </c>
      <c r="M834" s="214"/>
      <c r="N834" s="214"/>
      <c r="O834" s="214"/>
      <c r="P834" s="214"/>
      <c r="Q834" s="215">
        <f>IF((L835=""),"",MAX(D836:L836))</f>
        <v>3406.7599999999998</v>
      </c>
      <c r="R834" s="215">
        <f>IF(L835="","",MIN(D836:L836))</f>
        <v>2683.8800000000006</v>
      </c>
      <c r="S834" s="216">
        <f>IF((L836=""),"",AVERAGE(D836:L836))</f>
        <v>2930.4044444444444</v>
      </c>
      <c r="T834" s="215">
        <f>IF((L835=""),"",((Q834-R834)/(Q834+R834))*100)</f>
        <v>11.86870345316747</v>
      </c>
      <c r="U834" s="215">
        <f>STDEV(D834:L834)</f>
        <v>27.698518462184946</v>
      </c>
      <c r="V834" s="217" t="str">
        <f>IF(L835="","",(IF(T834&lt;12,IF(S834&gt;2200,IF(S834&lt;3280,"Pass","Fail"),"Fail"),"Fail")))</f>
        <v>Pass</v>
      </c>
      <c r="W834" s="215">
        <v>1340</v>
      </c>
      <c r="X834" s="206"/>
      <c r="Y834" s="218"/>
      <c r="Z834" s="218">
        <v>2000</v>
      </c>
      <c r="AA834" s="218">
        <v>3000</v>
      </c>
      <c r="AB834" s="218">
        <v>2200</v>
      </c>
      <c r="AC834" s="218">
        <v>3280</v>
      </c>
      <c r="AD834" s="219">
        <v>12</v>
      </c>
    </row>
    <row r="835" spans="1:30" customFormat="1" ht="15.8" customHeight="1" x14ac:dyDescent="0.35">
      <c r="A835" s="234"/>
      <c r="B835" s="220"/>
      <c r="C835" s="215" t="s">
        <v>157</v>
      </c>
      <c r="D835">
        <v>416.03</v>
      </c>
      <c r="E835">
        <v>507.03</v>
      </c>
      <c r="F835">
        <v>558.66</v>
      </c>
      <c r="G835">
        <v>521.65</v>
      </c>
      <c r="H835">
        <v>428.66</v>
      </c>
      <c r="I835">
        <v>461.7</v>
      </c>
      <c r="J835">
        <v>537.42999999999995</v>
      </c>
      <c r="K835">
        <v>486.95</v>
      </c>
      <c r="L835">
        <v>356.37</v>
      </c>
      <c r="M835" s="221"/>
      <c r="N835" s="221"/>
      <c r="O835" s="221"/>
      <c r="P835" s="221"/>
      <c r="Q835" s="215"/>
      <c r="R835" s="215"/>
      <c r="S835" s="215"/>
      <c r="T835" s="215"/>
      <c r="U835" s="215"/>
      <c r="V835" s="217"/>
      <c r="W835" s="215"/>
      <c r="Y835" s="218"/>
      <c r="Z835" s="218"/>
      <c r="AA835" s="218"/>
      <c r="AB835" s="218"/>
      <c r="AC835" s="218"/>
      <c r="AD835" s="206"/>
    </row>
    <row r="836" spans="1:30" customFormat="1" ht="23.95" customHeight="1" x14ac:dyDescent="0.35">
      <c r="A836" s="235"/>
      <c r="B836" s="222"/>
      <c r="C836" s="215" t="s">
        <v>156</v>
      </c>
      <c r="D836" s="223">
        <f t="shared" ref="D836:L836" si="273">IF(((D834="")*AND(D835="")),"",(D834-D835)*4)</f>
        <v>3092.84</v>
      </c>
      <c r="E836" s="223">
        <f t="shared" si="273"/>
        <v>2878.4400000000005</v>
      </c>
      <c r="F836" s="223">
        <f t="shared" si="273"/>
        <v>2733.8800000000006</v>
      </c>
      <c r="G836" s="223">
        <f t="shared" si="273"/>
        <v>2792.64</v>
      </c>
      <c r="H836" s="223">
        <f t="shared" si="273"/>
        <v>3028.04</v>
      </c>
      <c r="I836" s="223">
        <f t="shared" si="273"/>
        <v>2768</v>
      </c>
      <c r="J836" s="223">
        <f t="shared" si="273"/>
        <v>2683.8800000000006</v>
      </c>
      <c r="K836" s="223">
        <f t="shared" si="273"/>
        <v>2989.16</v>
      </c>
      <c r="L836" s="223">
        <f t="shared" si="273"/>
        <v>3406.7599999999998</v>
      </c>
      <c r="M836" s="232"/>
      <c r="N836" s="223"/>
      <c r="O836" s="223"/>
      <c r="P836" s="223" t="str">
        <f>IF(((P834="")*AND(P835="")),"",(P834-P835)*4)</f>
        <v/>
      </c>
      <c r="Q836" s="215"/>
      <c r="R836" s="215"/>
      <c r="S836" s="215"/>
      <c r="T836" s="215"/>
      <c r="U836" s="215"/>
      <c r="V836" s="217"/>
      <c r="W836" s="215"/>
      <c r="Y836" s="218"/>
      <c r="Z836" s="218"/>
      <c r="AA836" s="218"/>
      <c r="AB836" s="218"/>
      <c r="AC836" s="218"/>
      <c r="AD836" s="206"/>
    </row>
    <row r="837" spans="1:30" customFormat="1" ht="16.100000000000001" x14ac:dyDescent="0.35">
      <c r="A837" s="236">
        <v>43514</v>
      </c>
      <c r="B837" s="224" t="s">
        <v>159</v>
      </c>
      <c r="C837" s="215" t="s">
        <v>158</v>
      </c>
      <c r="D837">
        <v>6928.02</v>
      </c>
      <c r="E837">
        <v>6888.77</v>
      </c>
      <c r="F837">
        <v>6906.89</v>
      </c>
      <c r="G837">
        <v>6864.93</v>
      </c>
      <c r="H837">
        <v>6830.28</v>
      </c>
      <c r="I837">
        <v>6900.66</v>
      </c>
      <c r="J837">
        <v>6886.34</v>
      </c>
      <c r="K837">
        <v>6917.14</v>
      </c>
      <c r="L837">
        <v>6961.43</v>
      </c>
      <c r="M837" s="221"/>
      <c r="N837" s="221"/>
      <c r="O837" s="221"/>
      <c r="P837" s="221"/>
      <c r="Q837" s="215">
        <f>IF((L838=""),"",MAX(D839:L839))</f>
        <v>3482.1000000000004</v>
      </c>
      <c r="R837" s="215">
        <f>IF(L838="","",MIN(D839:L839))</f>
        <v>3454.9600000000009</v>
      </c>
      <c r="S837" s="216">
        <f>IF((L839=""),"",AVERAGE(D839:L839))</f>
        <v>3465.0355555555557</v>
      </c>
      <c r="T837" s="215">
        <f>IF((L838=""),"",((Q837-R837)/(Q837+R837))*100)</f>
        <v>0.39123202048129047</v>
      </c>
      <c r="U837" s="215">
        <f>STDEV(D837:L837)</f>
        <v>37.545159474957764</v>
      </c>
      <c r="V837" s="217" t="str">
        <f>IF(L838="","",(IF(T837&lt;7,IF(S837&gt;2800,IF(S837&lt;3800,"Pass","Fail"),"Fail"),"Fail")))</f>
        <v>Pass</v>
      </c>
      <c r="W837" s="215">
        <v>1340</v>
      </c>
      <c r="X837" s="206"/>
      <c r="Y837" s="218"/>
      <c r="Z837" s="226">
        <v>2800</v>
      </c>
      <c r="AA837" s="226">
        <v>3800</v>
      </c>
      <c r="AB837" s="226">
        <v>3100</v>
      </c>
      <c r="AC837" s="226">
        <v>3760</v>
      </c>
      <c r="AD837" s="227">
        <v>6</v>
      </c>
    </row>
    <row r="838" spans="1:30" customFormat="1" ht="16.5" customHeight="1" x14ac:dyDescent="0.35">
      <c r="A838" s="234"/>
      <c r="B838" s="220"/>
      <c r="C838" s="215" t="s">
        <v>157</v>
      </c>
      <c r="D838">
        <v>5194.0200000000004</v>
      </c>
      <c r="E838">
        <v>5154.84</v>
      </c>
      <c r="F838">
        <v>5179.41</v>
      </c>
      <c r="G838">
        <v>5134.9399999999996</v>
      </c>
      <c r="H838">
        <v>5102.75</v>
      </c>
      <c r="I838">
        <v>5159.6099999999997</v>
      </c>
      <c r="J838">
        <v>5154.29</v>
      </c>
      <c r="K838">
        <v>5187.25</v>
      </c>
      <c r="L838">
        <v>5224.6899999999996</v>
      </c>
      <c r="M838" s="221"/>
      <c r="N838" s="221"/>
      <c r="O838" s="221"/>
      <c r="P838" s="221"/>
      <c r="Q838" s="215"/>
      <c r="R838" s="215"/>
      <c r="S838" s="216"/>
      <c r="T838" s="215"/>
      <c r="U838" s="215"/>
      <c r="V838" s="217"/>
      <c r="W838" s="215"/>
      <c r="Y838" s="218"/>
      <c r="Z838" s="218"/>
      <c r="AA838" s="218"/>
      <c r="AB838" s="218"/>
      <c r="AC838" s="218"/>
      <c r="AD838" s="206"/>
    </row>
    <row r="839" spans="1:30" customFormat="1" ht="24.8" customHeight="1" thickBot="1" x14ac:dyDescent="0.4">
      <c r="A839" s="237"/>
      <c r="B839" s="228"/>
      <c r="C839" s="229" t="s">
        <v>156</v>
      </c>
      <c r="D839" s="230">
        <f t="shared" ref="D839:L839" si="274">IF(((D837="")*AND(D838="")),"",(D837-D838)*2)</f>
        <v>3468</v>
      </c>
      <c r="E839" s="230">
        <f t="shared" si="274"/>
        <v>3467.8600000000006</v>
      </c>
      <c r="F839" s="230">
        <f t="shared" si="274"/>
        <v>3454.9600000000009</v>
      </c>
      <c r="G839" s="230">
        <f t="shared" si="274"/>
        <v>3459.9800000000014</v>
      </c>
      <c r="H839" s="230">
        <f t="shared" si="274"/>
        <v>3455.0599999999995</v>
      </c>
      <c r="I839" s="230">
        <f t="shared" si="274"/>
        <v>3482.1000000000004</v>
      </c>
      <c r="J839" s="230">
        <f t="shared" si="274"/>
        <v>3464.1000000000004</v>
      </c>
      <c r="K839" s="230">
        <f t="shared" si="274"/>
        <v>3459.7800000000007</v>
      </c>
      <c r="L839" s="230">
        <f t="shared" si="274"/>
        <v>3473.4800000000014</v>
      </c>
      <c r="M839" s="231"/>
      <c r="N839" s="230"/>
      <c r="O839" s="230"/>
      <c r="P839" s="230"/>
      <c r="Q839" s="215"/>
      <c r="R839" s="215"/>
      <c r="S839" s="216"/>
      <c r="T839" s="215"/>
      <c r="U839" s="215"/>
      <c r="V839" s="217"/>
      <c r="W839" s="215"/>
      <c r="Y839" s="218"/>
      <c r="Z839" s="218"/>
      <c r="AA839" s="218"/>
      <c r="AB839" s="218"/>
      <c r="AC839" s="218"/>
      <c r="AD839" s="206"/>
    </row>
    <row r="840" spans="1:30" customFormat="1" ht="16.100000000000001" x14ac:dyDescent="0.35">
      <c r="A840" s="262">
        <v>43517</v>
      </c>
      <c r="B840" s="212" t="s">
        <v>160</v>
      </c>
      <c r="C840" s="213" t="s">
        <v>158</v>
      </c>
      <c r="D840">
        <v>1178.3900000000001</v>
      </c>
      <c r="E840">
        <v>1218.8499999999999</v>
      </c>
      <c r="F840">
        <v>1232.1199999999999</v>
      </c>
      <c r="G840">
        <v>1218.8699999999999</v>
      </c>
      <c r="H840">
        <v>1174.97</v>
      </c>
      <c r="I840">
        <v>1193.43</v>
      </c>
      <c r="J840">
        <v>1225.82</v>
      </c>
      <c r="K840">
        <v>1203.49</v>
      </c>
      <c r="L840">
        <v>1139.8699999999999</v>
      </c>
      <c r="M840" s="214"/>
      <c r="N840" s="214"/>
      <c r="O840" s="214"/>
      <c r="P840" s="214"/>
      <c r="Q840" s="215">
        <f>IF((L841=""),"",MAX(D842:L842))</f>
        <v>3132.3999999999996</v>
      </c>
      <c r="R840" s="215">
        <f>IF(L841="","",MIN(D842:L842))</f>
        <v>2728.3199999999997</v>
      </c>
      <c r="S840" s="216">
        <f>IF((L842=""),"",AVERAGE(D842:L842))</f>
        <v>2909.8444444444444</v>
      </c>
      <c r="T840" s="215">
        <f>IF((L841=""),"",((Q840-R840)/(Q840+R840))*100)</f>
        <v>6.8947160075895102</v>
      </c>
      <c r="U840" s="215">
        <f>STDEV(D840:L840)</f>
        <v>29.899515464301398</v>
      </c>
      <c r="V840" s="217" t="str">
        <f>IF(L841="","",(IF(T840&lt;12,IF(S840&gt;2200,IF(S840&lt;3280,"Pass","Fail"),"Fail"),"Fail")))</f>
        <v>Pass</v>
      </c>
      <c r="W840" s="215" t="s">
        <v>293</v>
      </c>
      <c r="X840" s="206" t="s">
        <v>294</v>
      </c>
      <c r="Y840" s="218"/>
      <c r="Z840" s="218">
        <v>2000</v>
      </c>
      <c r="AA840" s="218">
        <v>3000</v>
      </c>
      <c r="AB840" s="218">
        <v>2200</v>
      </c>
      <c r="AC840" s="218">
        <v>3280</v>
      </c>
      <c r="AD840" s="219">
        <v>12</v>
      </c>
    </row>
    <row r="841" spans="1:30" customFormat="1" ht="15.8" customHeight="1" x14ac:dyDescent="0.35">
      <c r="A841" s="234"/>
      <c r="B841" s="220"/>
      <c r="C841" s="215" t="s">
        <v>157</v>
      </c>
      <c r="D841">
        <v>424.34</v>
      </c>
      <c r="E841">
        <v>510.07</v>
      </c>
      <c r="F841">
        <v>550.04</v>
      </c>
      <c r="G841">
        <v>515.54999999999995</v>
      </c>
      <c r="H841">
        <v>416.57</v>
      </c>
      <c r="I841">
        <v>451.39</v>
      </c>
      <c r="J841">
        <v>530.47</v>
      </c>
      <c r="K841">
        <v>483.46</v>
      </c>
      <c r="L841">
        <v>356.77</v>
      </c>
      <c r="M841" s="221"/>
      <c r="N841" s="221"/>
      <c r="O841" s="221"/>
      <c r="P841" s="221"/>
      <c r="Q841" s="215"/>
      <c r="R841" s="215"/>
      <c r="S841" s="215"/>
      <c r="T841" s="215"/>
      <c r="U841" s="215"/>
      <c r="V841" s="217"/>
      <c r="W841" s="215"/>
      <c r="X841" s="206"/>
      <c r="Y841" s="218"/>
      <c r="Z841" s="218"/>
      <c r="AA841" s="218"/>
      <c r="AB841" s="218"/>
      <c r="AC841" s="218"/>
      <c r="AD841" s="219"/>
    </row>
    <row r="842" spans="1:30" customFormat="1" ht="23.95" customHeight="1" x14ac:dyDescent="0.35">
      <c r="A842" s="235"/>
      <c r="B842" s="222"/>
      <c r="C842" s="215" t="s">
        <v>156</v>
      </c>
      <c r="D842" s="223">
        <f t="shared" ref="D842:L842" si="275">IF(((D840="")*AND(D841="")),"",(D840-D841)*4)</f>
        <v>3016.2000000000007</v>
      </c>
      <c r="E842" s="223">
        <f t="shared" si="275"/>
        <v>2835.12</v>
      </c>
      <c r="F842" s="223">
        <f t="shared" si="275"/>
        <v>2728.3199999999997</v>
      </c>
      <c r="G842" s="223">
        <f t="shared" si="275"/>
        <v>2813.2799999999997</v>
      </c>
      <c r="H842" s="223">
        <f t="shared" si="275"/>
        <v>3033.6000000000004</v>
      </c>
      <c r="I842" s="223">
        <f t="shared" si="275"/>
        <v>2968.1600000000003</v>
      </c>
      <c r="J842" s="223">
        <f t="shared" si="275"/>
        <v>2781.3999999999996</v>
      </c>
      <c r="K842" s="223">
        <f t="shared" si="275"/>
        <v>2880.12</v>
      </c>
      <c r="L842" s="223">
        <f t="shared" si="275"/>
        <v>3132.3999999999996</v>
      </c>
      <c r="M842" s="232"/>
      <c r="N842" s="223"/>
      <c r="O842" s="223"/>
      <c r="P842" s="223" t="str">
        <f>IF(((P840="")*AND(P841="")),"",(P840-P841)*4)</f>
        <v/>
      </c>
      <c r="Q842" s="215"/>
      <c r="R842" s="215"/>
      <c r="S842" s="215"/>
      <c r="T842" s="215"/>
      <c r="U842" s="215"/>
      <c r="V842" s="217"/>
      <c r="W842" s="215"/>
      <c r="X842" s="206"/>
      <c r="Y842" s="218"/>
      <c r="Z842" s="218"/>
      <c r="AA842" s="218"/>
      <c r="AB842" s="218"/>
      <c r="AC842" s="218"/>
      <c r="AD842" s="219"/>
    </row>
    <row r="843" spans="1:30" customFormat="1" ht="16.100000000000001" x14ac:dyDescent="0.35">
      <c r="A843" s="262">
        <v>43517</v>
      </c>
      <c r="B843" s="224" t="s">
        <v>159</v>
      </c>
      <c r="C843" s="215" t="s">
        <v>158</v>
      </c>
      <c r="D843">
        <v>5203.38</v>
      </c>
      <c r="E843">
        <v>5164.42</v>
      </c>
      <c r="F843">
        <v>5188.3900000000003</v>
      </c>
      <c r="G843">
        <v>5143.3100000000004</v>
      </c>
      <c r="H843">
        <v>5110.53</v>
      </c>
      <c r="I843">
        <v>5167.45</v>
      </c>
      <c r="J843">
        <v>5163.07</v>
      </c>
      <c r="K843">
        <v>5196.03</v>
      </c>
      <c r="L843">
        <v>5234.0200000000004</v>
      </c>
      <c r="M843" s="221"/>
      <c r="N843" s="221"/>
      <c r="O843" s="221"/>
      <c r="P843" s="221"/>
      <c r="Q843" s="215">
        <f>IF((L844=""),"",MAX(D845:L845))</f>
        <v>3487.66</v>
      </c>
      <c r="R843" s="215">
        <f>IF(L844="","",MIN(D845:L845))</f>
        <v>3448.7199999999993</v>
      </c>
      <c r="S843" s="216">
        <f>IF((L845=""),"",AVERAGE(D845:L845))</f>
        <v>3467.2977777777778</v>
      </c>
      <c r="T843" s="215">
        <f>IF((L844=""),"",((Q843-R843)/(Q843+R843))*100)</f>
        <v>0.56138792857370146</v>
      </c>
      <c r="U843" s="215">
        <f>STDEV(D843:L843)</f>
        <v>36.020979110944779</v>
      </c>
      <c r="V843" s="217" t="str">
        <f>IF(L844="","",(IF(T843&lt;7,IF(S843&gt;2800,IF(S843&lt;3800,"Pass","Fail"),"Fail"),"Fail")))</f>
        <v>Pass</v>
      </c>
      <c r="W843" s="215" t="s">
        <v>293</v>
      </c>
      <c r="X843" s="206" t="s">
        <v>294</v>
      </c>
      <c r="Y843" s="218"/>
      <c r="Z843" s="226">
        <v>2800</v>
      </c>
      <c r="AA843" s="226">
        <v>3800</v>
      </c>
      <c r="AB843" s="226">
        <v>3100</v>
      </c>
      <c r="AC843" s="226">
        <v>3760</v>
      </c>
      <c r="AD843" s="227">
        <v>6</v>
      </c>
    </row>
    <row r="844" spans="1:30" customFormat="1" ht="16.5" customHeight="1" x14ac:dyDescent="0.35">
      <c r="A844" s="234"/>
      <c r="B844" s="220"/>
      <c r="C844" s="215" t="s">
        <v>157</v>
      </c>
      <c r="D844">
        <v>3459.93</v>
      </c>
      <c r="E844">
        <v>3426.5</v>
      </c>
      <c r="F844">
        <v>3458.07</v>
      </c>
      <c r="G844">
        <v>3414.39</v>
      </c>
      <c r="H844">
        <v>3386.17</v>
      </c>
      <c r="I844">
        <v>3423.62</v>
      </c>
      <c r="J844">
        <v>3430.37</v>
      </c>
      <c r="K844">
        <v>3466.11</v>
      </c>
      <c r="L844">
        <v>3502.6</v>
      </c>
      <c r="M844" s="221"/>
      <c r="N844" s="221"/>
      <c r="O844" s="221"/>
      <c r="P844" s="221"/>
      <c r="Q844" s="215"/>
      <c r="R844" s="215"/>
      <c r="S844" s="216"/>
      <c r="T844" s="215"/>
      <c r="U844" s="215"/>
      <c r="V844" s="217"/>
      <c r="W844" s="215"/>
      <c r="X844" s="206"/>
      <c r="Y844" s="218"/>
      <c r="Z844" s="218"/>
      <c r="AA844" s="218"/>
      <c r="AB844" s="218"/>
      <c r="AC844" s="218"/>
      <c r="AD844" s="206"/>
    </row>
    <row r="845" spans="1:30" customFormat="1" ht="24.8" customHeight="1" thickBot="1" x14ac:dyDescent="0.4">
      <c r="A845" s="237"/>
      <c r="B845" s="228"/>
      <c r="C845" s="229" t="s">
        <v>156</v>
      </c>
      <c r="D845" s="230">
        <f t="shared" ref="D845:L845" si="276">IF(((D843="")*AND(D844="")),"",(D843-D844)*2)</f>
        <v>3486.9000000000005</v>
      </c>
      <c r="E845" s="230">
        <f t="shared" si="276"/>
        <v>3475.84</v>
      </c>
      <c r="F845" s="230">
        <f t="shared" si="276"/>
        <v>3460.6400000000003</v>
      </c>
      <c r="G845" s="230">
        <f t="shared" si="276"/>
        <v>3457.8400000000011</v>
      </c>
      <c r="H845" s="230">
        <f t="shared" si="276"/>
        <v>3448.7199999999993</v>
      </c>
      <c r="I845" s="230">
        <f t="shared" si="276"/>
        <v>3487.66</v>
      </c>
      <c r="J845" s="230">
        <f t="shared" si="276"/>
        <v>3465.3999999999996</v>
      </c>
      <c r="K845" s="230">
        <f t="shared" si="276"/>
        <v>3459.8399999999992</v>
      </c>
      <c r="L845" s="230">
        <f t="shared" si="276"/>
        <v>3462.8400000000011</v>
      </c>
      <c r="M845" s="231"/>
      <c r="N845" s="230"/>
      <c r="O845" s="230"/>
      <c r="P845" s="230"/>
      <c r="Q845" s="215"/>
      <c r="R845" s="215"/>
      <c r="S845" s="216"/>
      <c r="T845" s="215"/>
      <c r="U845" s="215"/>
      <c r="V845" s="217"/>
      <c r="W845" s="215"/>
      <c r="X845" s="206"/>
      <c r="Y845" s="218"/>
      <c r="Z845" s="218"/>
      <c r="AA845" s="218"/>
      <c r="AB845" s="218"/>
      <c r="AC845" s="218"/>
      <c r="AD845" s="206"/>
    </row>
    <row r="846" spans="1:30" customFormat="1" ht="16.100000000000001" x14ac:dyDescent="0.35">
      <c r="A846" s="262">
        <v>43521</v>
      </c>
      <c r="B846" s="212" t="s">
        <v>160</v>
      </c>
      <c r="C846" s="213" t="s">
        <v>158</v>
      </c>
      <c r="D846">
        <v>1923.86</v>
      </c>
      <c r="E846">
        <v>1916.59</v>
      </c>
      <c r="F846">
        <v>1907.58</v>
      </c>
      <c r="G846">
        <v>1919.23</v>
      </c>
      <c r="H846">
        <v>1927.54</v>
      </c>
      <c r="I846">
        <v>1924.93</v>
      </c>
      <c r="J846">
        <v>1914.89</v>
      </c>
      <c r="K846">
        <v>1916.34</v>
      </c>
      <c r="L846">
        <v>1924.78</v>
      </c>
      <c r="M846" s="214"/>
      <c r="N846" s="214"/>
      <c r="O846" s="214"/>
      <c r="P846" s="214"/>
      <c r="Q846" s="215">
        <f>IF((L847=""),"",MAX(D848:L848))</f>
        <v>2961.6399999999994</v>
      </c>
      <c r="R846" s="215">
        <f>IF(L847="","",MIN(D848:L848))</f>
        <v>2691.5199999999995</v>
      </c>
      <c r="S846" s="216">
        <f>IF((L848=""),"",AVERAGE(D848:L848))</f>
        <v>2819.9022222222225</v>
      </c>
      <c r="T846" s="215">
        <f>IF((L847=""),"",((Q846-R846)/(Q846+R846))*100)</f>
        <v>4.7782125395354091</v>
      </c>
      <c r="U846" s="215">
        <f>STDEV(D846:L846)</f>
        <v>6.3528851713217742</v>
      </c>
      <c r="V846" s="217" t="str">
        <f>IF(L847="","",(IF(T846&lt;12,IF(S846&gt;2200,IF(S846&lt;3280,"Pass","Fail"),"Fail"),"Fail")))</f>
        <v>Pass</v>
      </c>
      <c r="W846" s="215">
        <v>1335</v>
      </c>
      <c r="X846" s="206" t="s">
        <v>295</v>
      </c>
      <c r="Y846" s="218"/>
      <c r="Z846" s="218">
        <v>2000</v>
      </c>
      <c r="AA846" s="218">
        <v>3000</v>
      </c>
      <c r="AB846" s="218">
        <v>2200</v>
      </c>
      <c r="AC846" s="218">
        <v>3280</v>
      </c>
      <c r="AD846" s="219">
        <v>12</v>
      </c>
    </row>
    <row r="847" spans="1:30" customFormat="1" ht="15.8" customHeight="1" x14ac:dyDescent="0.35">
      <c r="A847" s="234"/>
      <c r="B847" s="220"/>
      <c r="C847" s="215" t="s">
        <v>157</v>
      </c>
      <c r="D847">
        <v>1190.28</v>
      </c>
      <c r="E847">
        <v>1221.96</v>
      </c>
      <c r="F847">
        <v>1234.7</v>
      </c>
      <c r="G847">
        <v>1223.46</v>
      </c>
      <c r="H847">
        <v>1187.1300000000001</v>
      </c>
      <c r="I847">
        <v>1205.8</v>
      </c>
      <c r="J847">
        <v>1229.53</v>
      </c>
      <c r="K847">
        <v>1208.57</v>
      </c>
      <c r="L847">
        <v>1229.53</v>
      </c>
      <c r="M847" s="221"/>
      <c r="N847" s="221"/>
      <c r="O847" s="221"/>
      <c r="P847" s="221"/>
      <c r="Q847" s="215"/>
      <c r="R847" s="215"/>
      <c r="S847" s="215"/>
      <c r="T847" s="215"/>
      <c r="U847" s="215"/>
      <c r="V847" s="217"/>
      <c r="W847" s="215"/>
      <c r="X847" s="206"/>
      <c r="Y847" s="218"/>
      <c r="Z847" s="218"/>
      <c r="AA847" s="218"/>
      <c r="AB847" s="218"/>
      <c r="AC847" s="218"/>
      <c r="AD847" s="206"/>
    </row>
    <row r="848" spans="1:30" customFormat="1" ht="23.95" customHeight="1" x14ac:dyDescent="0.35">
      <c r="A848" s="235"/>
      <c r="B848" s="222"/>
      <c r="C848" s="215" t="s">
        <v>156</v>
      </c>
      <c r="D848" s="223">
        <f t="shared" ref="D848:L848" si="277">IF(((D846="")*AND(D847="")),"",(D846-D847)*4)</f>
        <v>2934.3199999999997</v>
      </c>
      <c r="E848" s="223">
        <f t="shared" si="277"/>
        <v>2778.5199999999995</v>
      </c>
      <c r="F848" s="223">
        <f t="shared" si="277"/>
        <v>2691.5199999999995</v>
      </c>
      <c r="G848" s="223">
        <f t="shared" si="277"/>
        <v>2783.08</v>
      </c>
      <c r="H848" s="223">
        <f t="shared" si="277"/>
        <v>2961.6399999999994</v>
      </c>
      <c r="I848" s="223">
        <f t="shared" si="277"/>
        <v>2876.5200000000004</v>
      </c>
      <c r="J848" s="223">
        <f t="shared" si="277"/>
        <v>2741.4400000000005</v>
      </c>
      <c r="K848" s="223">
        <f t="shared" si="277"/>
        <v>2831.08</v>
      </c>
      <c r="L848" s="223">
        <f t="shared" si="277"/>
        <v>2781</v>
      </c>
      <c r="M848" s="232"/>
      <c r="N848" s="223"/>
      <c r="O848" s="223"/>
      <c r="P848" s="223" t="str">
        <f>IF(((P846="")*AND(P847="")),"",(P846-P847)*4)</f>
        <v/>
      </c>
      <c r="Q848" s="215"/>
      <c r="R848" s="215"/>
      <c r="S848" s="215"/>
      <c r="T848" s="215"/>
      <c r="U848" s="215"/>
      <c r="V848" s="217"/>
      <c r="W848" s="215"/>
      <c r="X848" s="206"/>
      <c r="Y848" s="218"/>
      <c r="Z848" s="218"/>
      <c r="AA848" s="218"/>
      <c r="AB848" s="218"/>
      <c r="AC848" s="218"/>
      <c r="AD848" s="206"/>
    </row>
    <row r="849" spans="1:30" customFormat="1" ht="16.100000000000001" x14ac:dyDescent="0.35">
      <c r="A849" s="262">
        <v>43521</v>
      </c>
      <c r="B849" s="224" t="s">
        <v>159</v>
      </c>
      <c r="C849" s="215" t="s">
        <v>158</v>
      </c>
      <c r="D849">
        <v>7039.11</v>
      </c>
      <c r="E849">
        <v>7000.42</v>
      </c>
      <c r="F849">
        <v>7023.73</v>
      </c>
      <c r="G849">
        <v>6980.83</v>
      </c>
      <c r="H849">
        <v>6941.29</v>
      </c>
      <c r="I849">
        <v>6994.25</v>
      </c>
      <c r="J849">
        <v>6992.44</v>
      </c>
      <c r="K849">
        <v>7044.44</v>
      </c>
      <c r="L849">
        <v>7092.31</v>
      </c>
      <c r="M849" s="221"/>
      <c r="N849" s="221"/>
      <c r="O849" s="221"/>
      <c r="P849" s="221"/>
      <c r="Q849" s="215">
        <f>IF((L850=""),"",MAX(D851:L851))</f>
        <v>3493.1000000000004</v>
      </c>
      <c r="R849" s="215">
        <f>IF(L850="","",MIN(D851:L851))</f>
        <v>3461.8799999999992</v>
      </c>
      <c r="S849" s="216">
        <f>IF((L851=""),"",AVERAGE(D851:L851))</f>
        <v>3476.8622222222211</v>
      </c>
      <c r="T849" s="215">
        <f>IF((L850=""),"",((Q849-R849)/(Q849+R849))*100)</f>
        <v>0.44888698457797382</v>
      </c>
      <c r="U849" s="215">
        <f>STDEV(D849:L849)</f>
        <v>43.557068153298786</v>
      </c>
      <c r="V849" s="217" t="str">
        <f>IF(L850="","",(IF(T849&lt;7,IF(S849&gt;2800,IF(S849&lt;3800,"Pass","Fail"),"Fail"),"Fail")))</f>
        <v>Pass</v>
      </c>
      <c r="W849" s="215">
        <v>1335</v>
      </c>
      <c r="X849" s="206" t="s">
        <v>295</v>
      </c>
      <c r="Y849" s="218"/>
      <c r="Z849" s="226">
        <v>2800</v>
      </c>
      <c r="AA849" s="226">
        <v>3800</v>
      </c>
      <c r="AB849" s="226">
        <v>3100</v>
      </c>
      <c r="AC849" s="226">
        <v>3760</v>
      </c>
      <c r="AD849" s="227">
        <v>6</v>
      </c>
    </row>
    <row r="850" spans="1:30" customFormat="1" ht="16.5" customHeight="1" x14ac:dyDescent="0.35">
      <c r="A850" s="234"/>
      <c r="B850" s="220"/>
      <c r="C850" s="215" t="s">
        <v>157</v>
      </c>
      <c r="D850">
        <v>5302.76</v>
      </c>
      <c r="E850">
        <v>5259.63</v>
      </c>
      <c r="F850">
        <v>5286.18</v>
      </c>
      <c r="G850">
        <v>5243.85</v>
      </c>
      <c r="H850">
        <v>5210.3500000000004</v>
      </c>
      <c r="I850">
        <v>5247.7</v>
      </c>
      <c r="J850">
        <v>5253.64</v>
      </c>
      <c r="K850">
        <v>5305.05</v>
      </c>
      <c r="L850">
        <v>5353.78</v>
      </c>
      <c r="M850" s="221"/>
      <c r="N850" s="221"/>
      <c r="O850" s="221"/>
      <c r="P850" s="221"/>
      <c r="Q850" s="215"/>
      <c r="R850" s="215"/>
      <c r="S850" s="216"/>
      <c r="T850" s="215"/>
      <c r="U850" s="215"/>
      <c r="V850" s="217"/>
      <c r="W850" s="215"/>
      <c r="X850" s="206"/>
      <c r="Y850" s="218"/>
      <c r="Z850" s="218"/>
      <c r="AA850" s="218"/>
      <c r="AB850" s="218"/>
      <c r="AC850" s="218"/>
      <c r="AD850" s="206"/>
    </row>
    <row r="851" spans="1:30" customFormat="1" ht="24.8" customHeight="1" thickBot="1" x14ac:dyDescent="0.4">
      <c r="A851" s="237"/>
      <c r="B851" s="228"/>
      <c r="C851" s="229" t="s">
        <v>156</v>
      </c>
      <c r="D851" s="230">
        <f t="shared" ref="D851:L851" si="278">IF(((D849="")*AND(D850="")),"",(D849-D850)*2)</f>
        <v>3472.6999999999989</v>
      </c>
      <c r="E851" s="230">
        <f t="shared" si="278"/>
        <v>3481.58</v>
      </c>
      <c r="F851" s="230">
        <f t="shared" si="278"/>
        <v>3475.0999999999985</v>
      </c>
      <c r="G851" s="230">
        <f t="shared" si="278"/>
        <v>3473.9599999999991</v>
      </c>
      <c r="H851" s="230">
        <f t="shared" si="278"/>
        <v>3461.8799999999992</v>
      </c>
      <c r="I851" s="230">
        <f t="shared" si="278"/>
        <v>3493.1000000000004</v>
      </c>
      <c r="J851" s="230">
        <f t="shared" si="278"/>
        <v>3477.5999999999985</v>
      </c>
      <c r="K851" s="230">
        <f t="shared" si="278"/>
        <v>3478.7799999999988</v>
      </c>
      <c r="L851" s="230">
        <f t="shared" si="278"/>
        <v>3477.0600000000013</v>
      </c>
      <c r="M851" s="231"/>
      <c r="N851" s="230"/>
      <c r="O851" s="230"/>
      <c r="P851" s="230"/>
      <c r="Q851" s="215"/>
      <c r="R851" s="215"/>
      <c r="S851" s="216"/>
      <c r="T851" s="215"/>
      <c r="U851" s="215"/>
      <c r="V851" s="217"/>
      <c r="W851" s="215"/>
      <c r="X851" s="206"/>
      <c r="Y851" s="218"/>
      <c r="Z851" s="218"/>
      <c r="AA851" s="218"/>
      <c r="AB851" s="218"/>
      <c r="AC851" s="218"/>
      <c r="AD851" s="206"/>
    </row>
    <row r="852" spans="1:30" customFormat="1" ht="16.100000000000001" x14ac:dyDescent="0.35">
      <c r="A852" s="262">
        <v>43524</v>
      </c>
      <c r="B852" s="212" t="s">
        <v>160</v>
      </c>
      <c r="C852" s="213" t="s">
        <v>158</v>
      </c>
      <c r="D852">
        <v>1191.55</v>
      </c>
      <c r="E852">
        <v>1220.5899999999999</v>
      </c>
      <c r="F852">
        <v>1236.77</v>
      </c>
      <c r="G852">
        <v>1223.4000000000001</v>
      </c>
      <c r="H852">
        <v>1191.03</v>
      </c>
      <c r="I852">
        <v>1207.68</v>
      </c>
      <c r="J852">
        <v>1231.0999999999999</v>
      </c>
      <c r="K852">
        <v>1210.3499999999999</v>
      </c>
      <c r="L852">
        <v>1214.06</v>
      </c>
      <c r="M852" s="214"/>
      <c r="N852" s="214"/>
      <c r="O852" s="214"/>
      <c r="P852" s="214"/>
      <c r="Q852" s="215">
        <f>IF((L853=""),"",MAX(D854:L854))</f>
        <v>3333.3199999999997</v>
      </c>
      <c r="R852" s="215">
        <f>IF(L853="","",MIN(D854:L854))</f>
        <v>2712.68</v>
      </c>
      <c r="S852" s="216">
        <f>IF((L854=""),"",AVERAGE(D854:L854))</f>
        <v>2909.8266666666664</v>
      </c>
      <c r="T852" s="215">
        <f>IF((L853=""),"",((Q852-R852)/(Q852+R852))*100)</f>
        <v>10.265299371485277</v>
      </c>
      <c r="U852" s="215">
        <f>STDEV(D852:L852)</f>
        <v>15.919844883387247</v>
      </c>
      <c r="V852" s="217" t="str">
        <f>IF(L853="","",(IF(T852&lt;12,IF(S852&gt;2200,IF(S852&lt;3280,"Pass","Fail"),"Fail"),"Fail")))</f>
        <v>Pass</v>
      </c>
      <c r="W852" s="215"/>
      <c r="X852" s="206" t="s">
        <v>296</v>
      </c>
      <c r="Y852" s="218"/>
      <c r="Z852" s="218">
        <v>2000</v>
      </c>
      <c r="AA852" s="218">
        <v>3000</v>
      </c>
      <c r="AB852" s="218">
        <v>2200</v>
      </c>
      <c r="AC852" s="218">
        <v>3280</v>
      </c>
      <c r="AD852" s="219">
        <v>12</v>
      </c>
    </row>
    <row r="853" spans="1:30" customFormat="1" ht="15.8" customHeight="1" x14ac:dyDescent="0.35">
      <c r="A853" s="234"/>
      <c r="B853" s="220"/>
      <c r="C853" s="215" t="s">
        <v>157</v>
      </c>
      <c r="D853">
        <v>447.38</v>
      </c>
      <c r="E853">
        <v>519.76</v>
      </c>
      <c r="F853">
        <v>558.6</v>
      </c>
      <c r="G853">
        <v>525.89</v>
      </c>
      <c r="H853">
        <v>435.75</v>
      </c>
      <c r="I853">
        <v>475.08</v>
      </c>
      <c r="J853">
        <v>542.03</v>
      </c>
      <c r="K853">
        <v>494.2</v>
      </c>
      <c r="L853">
        <v>380.73</v>
      </c>
      <c r="M853" s="221"/>
      <c r="N853" s="221"/>
      <c r="O853" s="221"/>
      <c r="P853" s="221"/>
      <c r="Q853" s="215"/>
      <c r="R853" s="215"/>
      <c r="S853" s="215"/>
      <c r="T853" s="215"/>
      <c r="U853" s="215"/>
      <c r="V853" s="217"/>
      <c r="W853" s="215"/>
      <c r="X853" s="206"/>
      <c r="Y853" s="218"/>
      <c r="Z853" s="218"/>
      <c r="AA853" s="218"/>
      <c r="AB853" s="218"/>
      <c r="AC853" s="218"/>
      <c r="AD853" s="206"/>
    </row>
    <row r="854" spans="1:30" customFormat="1" ht="23.95" customHeight="1" x14ac:dyDescent="0.35">
      <c r="A854" s="235"/>
      <c r="B854" s="222"/>
      <c r="C854" s="215" t="s">
        <v>156</v>
      </c>
      <c r="D854" s="223">
        <f t="shared" ref="D854:L854" si="279">IF(((D852="")*AND(D853="")),"",(D852-D853)*4)</f>
        <v>2976.68</v>
      </c>
      <c r="E854" s="223">
        <f t="shared" si="279"/>
        <v>2803.3199999999997</v>
      </c>
      <c r="F854" s="223">
        <f t="shared" si="279"/>
        <v>2712.68</v>
      </c>
      <c r="G854" s="223">
        <f t="shared" si="279"/>
        <v>2790.0400000000004</v>
      </c>
      <c r="H854" s="223">
        <f t="shared" si="279"/>
        <v>3021.12</v>
      </c>
      <c r="I854" s="223">
        <f t="shared" si="279"/>
        <v>2930.4000000000005</v>
      </c>
      <c r="J854" s="223">
        <f t="shared" si="279"/>
        <v>2756.2799999999997</v>
      </c>
      <c r="K854" s="223">
        <f t="shared" si="279"/>
        <v>2864.5999999999995</v>
      </c>
      <c r="L854" s="223">
        <f t="shared" si="279"/>
        <v>3333.3199999999997</v>
      </c>
      <c r="M854" s="232"/>
      <c r="N854" s="223"/>
      <c r="O854" s="223"/>
      <c r="P854" s="223" t="str">
        <f>IF(((P852="")*AND(P853="")),"",(P852-P853)*4)</f>
        <v/>
      </c>
      <c r="Q854" s="215"/>
      <c r="R854" s="215"/>
      <c r="S854" s="215"/>
      <c r="T854" s="215"/>
      <c r="U854" s="215"/>
      <c r="V854" s="217"/>
      <c r="W854" s="215"/>
      <c r="X854" s="206"/>
      <c r="Y854" s="218"/>
      <c r="Z854" s="218"/>
      <c r="AA854" s="218"/>
      <c r="AB854" s="218"/>
      <c r="AC854" s="218"/>
      <c r="AD854" s="206"/>
    </row>
    <row r="855" spans="1:30" customFormat="1" ht="16.100000000000001" x14ac:dyDescent="0.35">
      <c r="A855" s="262">
        <v>43524</v>
      </c>
      <c r="B855" s="224" t="s">
        <v>159</v>
      </c>
      <c r="C855" s="215" t="s">
        <v>158</v>
      </c>
      <c r="D855">
        <v>5311.86</v>
      </c>
      <c r="E855">
        <v>5268.61</v>
      </c>
      <c r="F855">
        <v>5294.52</v>
      </c>
      <c r="G855">
        <v>5251.26</v>
      </c>
      <c r="H855">
        <v>5217.1000000000004</v>
      </c>
      <c r="I855">
        <v>5255.39</v>
      </c>
      <c r="J855">
        <v>5261.61</v>
      </c>
      <c r="K855">
        <v>5313.41</v>
      </c>
      <c r="L855">
        <v>5362.89</v>
      </c>
      <c r="M855" s="221"/>
      <c r="N855" s="221"/>
      <c r="O855" s="221"/>
      <c r="P855" s="221"/>
      <c r="Q855" s="215">
        <f>IF((L856=""),"",MAX(D857:L857))</f>
        <v>3462.4400000000005</v>
      </c>
      <c r="R855" s="215">
        <f>IF(L856="","",MIN(D857:L857))</f>
        <v>3425.0800000000008</v>
      </c>
      <c r="S855" s="216">
        <f>IF((L857=""),"",AVERAGE(D857:L857))</f>
        <v>3450.1955555555555</v>
      </c>
      <c r="T855" s="215">
        <f>IF((L856=""),"",((Q855-R855)/(Q855+R855))*100)</f>
        <v>0.54243036680836731</v>
      </c>
      <c r="U855" s="215">
        <f>STDEV(D855:L855)</f>
        <v>43.35614373995913</v>
      </c>
      <c r="V855" s="217" t="str">
        <f>IF(L856="","",(IF(T855&lt;7,IF(S855&gt;2800,IF(S855&lt;3800,"Pass","Fail"),"Fail"),"Fail")))</f>
        <v>Pass</v>
      </c>
      <c r="W855" s="215"/>
      <c r="X855" s="206" t="s">
        <v>296</v>
      </c>
      <c r="Y855" s="218"/>
      <c r="Z855" s="226">
        <v>2800</v>
      </c>
      <c r="AA855" s="226">
        <v>3800</v>
      </c>
      <c r="AB855" s="226">
        <v>3100</v>
      </c>
      <c r="AC855" s="226">
        <v>3760</v>
      </c>
      <c r="AD855" s="227">
        <v>6</v>
      </c>
    </row>
    <row r="856" spans="1:30" customFormat="1" ht="16.5" customHeight="1" x14ac:dyDescent="0.35">
      <c r="A856" s="234"/>
      <c r="B856" s="220"/>
      <c r="C856" s="215" t="s">
        <v>157</v>
      </c>
      <c r="D856">
        <v>3587.86</v>
      </c>
      <c r="E856">
        <v>3540.15</v>
      </c>
      <c r="F856">
        <v>3567.87</v>
      </c>
      <c r="G856">
        <v>3527.4</v>
      </c>
      <c r="H856">
        <v>3504.56</v>
      </c>
      <c r="I856">
        <v>3524.17</v>
      </c>
      <c r="J856">
        <v>3537.28</v>
      </c>
      <c r="K856">
        <v>3584.44</v>
      </c>
      <c r="L856">
        <v>3637.04</v>
      </c>
      <c r="M856" s="221"/>
      <c r="N856" s="221"/>
      <c r="O856" s="221"/>
      <c r="P856" s="221"/>
      <c r="Q856" s="215"/>
      <c r="R856" s="215"/>
      <c r="S856" s="216"/>
      <c r="T856" s="215"/>
      <c r="U856" s="215"/>
      <c r="V856" s="217"/>
      <c r="W856" s="215"/>
      <c r="X856" s="261"/>
      <c r="Y856" s="218"/>
      <c r="Z856" s="218"/>
      <c r="AA856" s="218"/>
      <c r="AB856" s="218"/>
      <c r="AC856" s="218"/>
      <c r="AD856" s="206"/>
    </row>
    <row r="857" spans="1:30" customFormat="1" ht="24.8" customHeight="1" thickBot="1" x14ac:dyDescent="0.4">
      <c r="A857" s="237"/>
      <c r="B857" s="228"/>
      <c r="C857" s="229" t="s">
        <v>156</v>
      </c>
      <c r="D857" s="230">
        <f t="shared" ref="D857:L857" si="280">IF(((D855="")*AND(D856="")),"",(D855-D856)*2)</f>
        <v>3447.9999999999991</v>
      </c>
      <c r="E857" s="230">
        <f t="shared" si="280"/>
        <v>3456.9199999999992</v>
      </c>
      <c r="F857" s="230">
        <f t="shared" si="280"/>
        <v>3453.3000000000011</v>
      </c>
      <c r="G857" s="230">
        <f t="shared" si="280"/>
        <v>3447.7200000000003</v>
      </c>
      <c r="H857" s="230">
        <f t="shared" si="280"/>
        <v>3425.0800000000008</v>
      </c>
      <c r="I857" s="230">
        <f t="shared" si="280"/>
        <v>3462.4400000000005</v>
      </c>
      <c r="J857" s="230">
        <f t="shared" si="280"/>
        <v>3448.6599999999989</v>
      </c>
      <c r="K857" s="230">
        <f t="shared" si="280"/>
        <v>3457.9399999999996</v>
      </c>
      <c r="L857" s="230">
        <f t="shared" si="280"/>
        <v>3451.7000000000007</v>
      </c>
      <c r="M857" s="231"/>
      <c r="N857" s="230"/>
      <c r="O857" s="230"/>
      <c r="P857" s="230"/>
      <c r="Q857" s="215"/>
      <c r="R857" s="215"/>
      <c r="S857" s="216"/>
      <c r="T857" s="215"/>
      <c r="U857" s="215"/>
      <c r="V857" s="217"/>
      <c r="W857" s="215"/>
      <c r="X857" s="261"/>
      <c r="Y857" s="218"/>
      <c r="Z857" s="218"/>
      <c r="AA857" s="218"/>
      <c r="AB857" s="218"/>
      <c r="AC857" s="218"/>
      <c r="AD857" s="206"/>
    </row>
    <row r="858" spans="1:30" customFormat="1" ht="16.100000000000001" x14ac:dyDescent="0.35">
      <c r="A858" s="262">
        <v>43528</v>
      </c>
      <c r="B858" s="212" t="s">
        <v>160</v>
      </c>
      <c r="C858" s="213" t="s">
        <v>158</v>
      </c>
      <c r="D858">
        <v>1917.65</v>
      </c>
      <c r="E858">
        <v>1915.49</v>
      </c>
      <c r="F858">
        <v>1914.91</v>
      </c>
      <c r="G858">
        <v>1914.83</v>
      </c>
      <c r="H858">
        <v>1922.16</v>
      </c>
      <c r="I858">
        <v>1924.01</v>
      </c>
      <c r="J858">
        <v>1914.38</v>
      </c>
      <c r="K858">
        <v>1914.67</v>
      </c>
      <c r="L858">
        <v>1915</v>
      </c>
      <c r="M858" s="214"/>
      <c r="N858" s="214"/>
      <c r="O858" s="214"/>
      <c r="P858" s="214"/>
      <c r="Q858" s="215">
        <f>IF((L859=""),"",MAX(D860:L860))</f>
        <v>3038.8</v>
      </c>
      <c r="R858" s="215">
        <f>IF(L859="","",MIN(D860:L860))</f>
        <v>2730.2800000000007</v>
      </c>
      <c r="S858" s="216">
        <f>IF((L860=""),"",AVERAGE(D860:L860))</f>
        <v>2868.64</v>
      </c>
      <c r="T858" s="215">
        <f>IF((L859=""),"",((Q858-R858)/(Q858+R858))*100)</f>
        <v>5.3478197563562899</v>
      </c>
      <c r="U858" s="215">
        <f>STDEV(D858:L858)</f>
        <v>3.6027331445877437</v>
      </c>
      <c r="V858" s="217" t="str">
        <f>IF(L859="","",(IF(T858&lt;12,IF(S858&gt;2200,IF(S858&lt;3280,"Pass","Fail"),"Fail"),"Fail")))</f>
        <v>Pass</v>
      </c>
      <c r="W858" s="215" t="s">
        <v>297</v>
      </c>
      <c r="X858" s="206" t="s">
        <v>298</v>
      </c>
      <c r="Y858" s="218"/>
      <c r="Z858" s="218">
        <v>2000</v>
      </c>
      <c r="AA858" s="218">
        <v>3000</v>
      </c>
      <c r="AB858" s="218">
        <v>2200</v>
      </c>
      <c r="AC858" s="218">
        <v>3280</v>
      </c>
      <c r="AD858" s="219">
        <v>12</v>
      </c>
    </row>
    <row r="859" spans="1:30" customFormat="1" ht="15.8" customHeight="1" x14ac:dyDescent="0.35">
      <c r="A859" s="234"/>
      <c r="B859" s="220"/>
      <c r="C859" s="215" t="s">
        <v>157</v>
      </c>
      <c r="D859">
        <v>1170.3900000000001</v>
      </c>
      <c r="E859">
        <v>1212.24</v>
      </c>
      <c r="F859">
        <v>1232.3399999999999</v>
      </c>
      <c r="G859">
        <v>1212.93</v>
      </c>
      <c r="H859">
        <v>1162.46</v>
      </c>
      <c r="I859">
        <v>1187.55</v>
      </c>
      <c r="J859">
        <v>1224.29</v>
      </c>
      <c r="K859">
        <v>1198.46</v>
      </c>
      <c r="L859">
        <v>1198</v>
      </c>
      <c r="M859" s="221"/>
      <c r="N859" s="221"/>
      <c r="O859" s="221"/>
      <c r="P859" s="221"/>
      <c r="Q859" s="215"/>
      <c r="R859" s="215"/>
      <c r="S859" s="215"/>
      <c r="T859" s="215"/>
      <c r="U859" s="215"/>
      <c r="V859" s="217"/>
      <c r="W859" s="215"/>
      <c r="Y859" s="218"/>
      <c r="Z859" s="218"/>
      <c r="AA859" s="218"/>
      <c r="AB859" s="218"/>
      <c r="AC859" s="218"/>
      <c r="AD859" s="206"/>
    </row>
    <row r="860" spans="1:30" customFormat="1" ht="23.95" customHeight="1" x14ac:dyDescent="0.35">
      <c r="A860" s="235"/>
      <c r="B860" s="222"/>
      <c r="C860" s="215" t="s">
        <v>156</v>
      </c>
      <c r="D860" s="223">
        <f t="shared" ref="D860:L860" si="281">IF(((D858="")*AND(D859="")),"",(D858-D859)*4)</f>
        <v>2989.04</v>
      </c>
      <c r="E860" s="223">
        <f t="shared" si="281"/>
        <v>2813</v>
      </c>
      <c r="F860" s="223">
        <f t="shared" si="281"/>
        <v>2730.2800000000007</v>
      </c>
      <c r="G860" s="223">
        <f t="shared" si="281"/>
        <v>2807.5999999999995</v>
      </c>
      <c r="H860" s="223">
        <f t="shared" si="281"/>
        <v>3038.8</v>
      </c>
      <c r="I860" s="223">
        <f t="shared" si="281"/>
        <v>2945.84</v>
      </c>
      <c r="J860" s="223">
        <f t="shared" si="281"/>
        <v>2760.3600000000006</v>
      </c>
      <c r="K860" s="223">
        <f t="shared" si="281"/>
        <v>2864.84</v>
      </c>
      <c r="L860" s="223">
        <f t="shared" si="281"/>
        <v>2868</v>
      </c>
      <c r="M860" s="232"/>
      <c r="N860" s="223"/>
      <c r="O860" s="223"/>
      <c r="P860" s="223" t="str">
        <f>IF(((P858="")*AND(P859="")),"",(P858-P859)*4)</f>
        <v/>
      </c>
      <c r="Q860" s="215"/>
      <c r="R860" s="215"/>
      <c r="S860" s="215"/>
      <c r="T860" s="215"/>
      <c r="U860" s="215"/>
      <c r="V860" s="217"/>
      <c r="W860" s="215"/>
      <c r="Y860" s="218"/>
      <c r="Z860" s="218"/>
      <c r="AA860" s="218"/>
      <c r="AB860" s="218"/>
      <c r="AC860" s="218"/>
      <c r="AD860" s="206"/>
    </row>
    <row r="861" spans="1:30" customFormat="1" ht="16.100000000000001" x14ac:dyDescent="0.35">
      <c r="A861" s="262">
        <v>43528</v>
      </c>
      <c r="B861" s="224" t="s">
        <v>159</v>
      </c>
      <c r="C861" s="215" t="s">
        <v>158</v>
      </c>
      <c r="D861">
        <v>3503.05</v>
      </c>
      <c r="E861">
        <v>3472.06</v>
      </c>
      <c r="F861">
        <v>3501.15</v>
      </c>
      <c r="G861">
        <v>3453.01</v>
      </c>
      <c r="H861">
        <v>3420.24</v>
      </c>
      <c r="I861">
        <v>3462.1</v>
      </c>
      <c r="J861">
        <v>3472.77</v>
      </c>
      <c r="K861">
        <v>3507.15</v>
      </c>
      <c r="L861">
        <v>3543.34</v>
      </c>
      <c r="M861" s="221"/>
      <c r="N861" s="221"/>
      <c r="O861" s="221"/>
      <c r="P861" s="221"/>
      <c r="Q861" s="215">
        <f>IF((L862=""),"",MAX(D863:L863))</f>
        <v>3457.2599999999998</v>
      </c>
      <c r="R861" s="215">
        <f>IF(L862="","",MIN(D863:L863))</f>
        <v>3412.0999999999995</v>
      </c>
      <c r="S861" s="216">
        <f>IF((L863=""),"",AVERAGE(D863:L863))</f>
        <v>3433.804444444444</v>
      </c>
      <c r="T861" s="215">
        <f>IF((L862=""),"",((Q861-R861)/(Q861+R861))*100)</f>
        <v>0.65741204420790755</v>
      </c>
      <c r="U861" s="215">
        <f>STDEV(D861:L861)</f>
        <v>36.122324737542172</v>
      </c>
      <c r="V861" s="217" t="str">
        <f>IF(L862="","",(IF(T861&lt;7,IF(S861&gt;2800,IF(S861&lt;3800,"Pass","Fail"),"Fail"),"Fail")))</f>
        <v>Pass</v>
      </c>
      <c r="W861" s="215" t="s">
        <v>297</v>
      </c>
      <c r="X861" s="206" t="s">
        <v>298</v>
      </c>
      <c r="Y861" s="218"/>
      <c r="Z861" s="226">
        <v>2800</v>
      </c>
      <c r="AA861" s="226">
        <v>3800</v>
      </c>
      <c r="AB861" s="226">
        <v>3100</v>
      </c>
      <c r="AC861" s="226">
        <v>3760</v>
      </c>
      <c r="AD861" s="227">
        <v>6</v>
      </c>
    </row>
    <row r="862" spans="1:30" customFormat="1" ht="16.5" customHeight="1" x14ac:dyDescent="0.35">
      <c r="A862" s="234"/>
      <c r="B862" s="220"/>
      <c r="C862" s="215" t="s">
        <v>157</v>
      </c>
      <c r="D862">
        <v>1783.49</v>
      </c>
      <c r="E862">
        <v>1751.96</v>
      </c>
      <c r="F862">
        <v>1786.43</v>
      </c>
      <c r="G862">
        <v>1739.62</v>
      </c>
      <c r="H862">
        <v>1714.19</v>
      </c>
      <c r="I862">
        <v>1733.47</v>
      </c>
      <c r="J862">
        <v>1756.8</v>
      </c>
      <c r="K862">
        <v>1790.93</v>
      </c>
      <c r="L862">
        <v>1825.86</v>
      </c>
      <c r="M862" s="221"/>
      <c r="N862" s="221"/>
      <c r="O862" s="221"/>
      <c r="P862" s="221"/>
      <c r="Q862" s="215"/>
      <c r="R862" s="215"/>
      <c r="S862" s="216"/>
      <c r="T862" s="215"/>
      <c r="U862" s="215"/>
      <c r="V862" s="217"/>
      <c r="W862" s="215"/>
      <c r="Y862" s="218"/>
      <c r="Z862" s="218"/>
      <c r="AA862" s="218"/>
      <c r="AB862" s="218"/>
      <c r="AC862" s="218"/>
      <c r="AD862" s="206"/>
    </row>
    <row r="863" spans="1:30" customFormat="1" ht="24.8" customHeight="1" thickBot="1" x14ac:dyDescent="0.4">
      <c r="A863" s="237"/>
      <c r="B863" s="228"/>
      <c r="C863" s="229" t="s">
        <v>156</v>
      </c>
      <c r="D863" s="230">
        <f t="shared" ref="D863:L863" si="282">IF(((D861="")*AND(D862="")),"",(D861-D862)*2)</f>
        <v>3439.1200000000003</v>
      </c>
      <c r="E863" s="230">
        <f t="shared" si="282"/>
        <v>3440.2</v>
      </c>
      <c r="F863" s="230">
        <f t="shared" si="282"/>
        <v>3429.44</v>
      </c>
      <c r="G863" s="230">
        <f t="shared" si="282"/>
        <v>3426.7800000000007</v>
      </c>
      <c r="H863" s="230">
        <f t="shared" si="282"/>
        <v>3412.0999999999995</v>
      </c>
      <c r="I863" s="230">
        <f t="shared" si="282"/>
        <v>3457.2599999999998</v>
      </c>
      <c r="J863" s="230">
        <f t="shared" si="282"/>
        <v>3431.94</v>
      </c>
      <c r="K863" s="230">
        <f t="shared" si="282"/>
        <v>3432.44</v>
      </c>
      <c r="L863" s="230">
        <f t="shared" si="282"/>
        <v>3434.9600000000005</v>
      </c>
      <c r="M863" s="231"/>
      <c r="N863" s="230"/>
      <c r="O863" s="230"/>
      <c r="P863" s="230"/>
      <c r="Q863" s="215"/>
      <c r="R863" s="215"/>
      <c r="S863" s="216"/>
      <c r="T863" s="215"/>
      <c r="U863" s="215"/>
      <c r="V863" s="217"/>
      <c r="W863" s="215"/>
      <c r="Y863" s="218"/>
      <c r="Z863" s="218"/>
      <c r="AA863" s="218"/>
      <c r="AB863" s="218"/>
      <c r="AC863" s="218"/>
      <c r="AD863" s="206"/>
    </row>
    <row r="864" spans="1:30" customFormat="1" ht="16.100000000000001" x14ac:dyDescent="0.35">
      <c r="A864" s="262">
        <v>43531</v>
      </c>
      <c r="B864" s="212" t="s">
        <v>160</v>
      </c>
      <c r="C864" s="213" t="s">
        <v>158</v>
      </c>
      <c r="D864">
        <v>1923.89</v>
      </c>
      <c r="E864">
        <v>1919.64</v>
      </c>
      <c r="F864">
        <v>1908.36</v>
      </c>
      <c r="G864">
        <v>1920.06</v>
      </c>
      <c r="H864">
        <v>1928.4</v>
      </c>
      <c r="I864">
        <v>1926.83</v>
      </c>
      <c r="J864">
        <v>1919.99</v>
      </c>
      <c r="K864">
        <v>1918.7</v>
      </c>
      <c r="L864">
        <v>1920</v>
      </c>
      <c r="M864" s="214"/>
      <c r="N864" s="214"/>
      <c r="O864" s="214"/>
      <c r="P864" s="214"/>
      <c r="Q864" s="215">
        <f>IF((L865=""),"",MAX(D866:L866))</f>
        <v>2960.6800000000003</v>
      </c>
      <c r="R864" s="215">
        <f>IF(L865="","",MIN(D866:L866))</f>
        <v>2691.9199999999992</v>
      </c>
      <c r="S864" s="216">
        <f>IF((L866=""),"",AVERAGE(D866:L866))</f>
        <v>2840.853333333333</v>
      </c>
      <c r="T864" s="215">
        <f>IF((L865=""),"",((Q864-R864)/(Q864+R864))*100)</f>
        <v>4.7546261897180262</v>
      </c>
      <c r="U864" s="215">
        <f>STDEV(D864:L864)</f>
        <v>5.7643880372893754</v>
      </c>
      <c r="V864" s="217" t="str">
        <f>IF(L865="","",(IF(T864&lt;12,IF(S864&gt;2200,IF(S864&lt;3280,"Pass","Fail"),"Fail"),"Fail")))</f>
        <v>Pass</v>
      </c>
      <c r="W864" s="215">
        <v>1340</v>
      </c>
      <c r="X864" s="260" t="s">
        <v>299</v>
      </c>
      <c r="Y864" s="218"/>
      <c r="Z864" s="218">
        <v>2000</v>
      </c>
      <c r="AA864" s="218">
        <v>3000</v>
      </c>
      <c r="AB864" s="218">
        <v>2200</v>
      </c>
      <c r="AC864" s="218">
        <v>3280</v>
      </c>
      <c r="AD864" s="219">
        <v>12</v>
      </c>
    </row>
    <row r="865" spans="1:30" customFormat="1" ht="15.8" customHeight="1" x14ac:dyDescent="0.35">
      <c r="A865" s="234"/>
      <c r="B865" s="220"/>
      <c r="C865" s="215" t="s">
        <v>157</v>
      </c>
      <c r="D865">
        <v>1186.6500000000001</v>
      </c>
      <c r="E865">
        <v>1216.79</v>
      </c>
      <c r="F865">
        <v>1235.3800000000001</v>
      </c>
      <c r="G865">
        <v>1220.1199999999999</v>
      </c>
      <c r="H865">
        <v>1188.23</v>
      </c>
      <c r="I865">
        <v>1202.54</v>
      </c>
      <c r="J865">
        <v>1228.83</v>
      </c>
      <c r="K865">
        <v>1205.4100000000001</v>
      </c>
      <c r="L865">
        <v>1210</v>
      </c>
      <c r="M865" s="221"/>
      <c r="N865" s="221"/>
      <c r="O865" s="221"/>
      <c r="P865" s="221"/>
      <c r="Q865" s="215"/>
      <c r="R865" s="215"/>
      <c r="S865" s="215"/>
      <c r="T865" s="215"/>
      <c r="U865" s="215"/>
      <c r="V865" s="217"/>
      <c r="W865" s="215"/>
      <c r="X865" s="259"/>
      <c r="Y865" s="218"/>
      <c r="Z865" s="218"/>
      <c r="AA865" s="218"/>
      <c r="AB865" s="218"/>
      <c r="AC865" s="218"/>
      <c r="AD865" s="206"/>
    </row>
    <row r="866" spans="1:30" customFormat="1" ht="23.95" customHeight="1" x14ac:dyDescent="0.35">
      <c r="A866" s="235"/>
      <c r="B866" s="222"/>
      <c r="C866" s="215" t="s">
        <v>156</v>
      </c>
      <c r="D866" s="223">
        <f t="shared" ref="D866:L866" si="283">IF(((D864="")*AND(D865="")),"",(D864-D865)*4)</f>
        <v>2948.96</v>
      </c>
      <c r="E866" s="223">
        <f t="shared" si="283"/>
        <v>2811.4000000000005</v>
      </c>
      <c r="F866" s="223">
        <f t="shared" si="283"/>
        <v>2691.9199999999992</v>
      </c>
      <c r="G866" s="223">
        <f t="shared" si="283"/>
        <v>2799.76</v>
      </c>
      <c r="H866" s="223">
        <f t="shared" si="283"/>
        <v>2960.6800000000003</v>
      </c>
      <c r="I866" s="223">
        <f t="shared" si="283"/>
        <v>2897.16</v>
      </c>
      <c r="J866" s="223">
        <f t="shared" si="283"/>
        <v>2764.6400000000003</v>
      </c>
      <c r="K866" s="223">
        <f t="shared" si="283"/>
        <v>2853.16</v>
      </c>
      <c r="L866" s="223">
        <f t="shared" si="283"/>
        <v>2840</v>
      </c>
      <c r="M866" s="232"/>
      <c r="N866" s="223"/>
      <c r="O866" s="223"/>
      <c r="P866" s="223" t="str">
        <f>IF(((P864="")*AND(P865="")),"",(P864-P865)*4)</f>
        <v/>
      </c>
      <c r="Q866" s="215"/>
      <c r="R866" s="215"/>
      <c r="S866" s="215"/>
      <c r="T866" s="215"/>
      <c r="U866" s="215"/>
      <c r="V866" s="217"/>
      <c r="W866" s="215"/>
      <c r="X866" s="259"/>
      <c r="Y866" s="218"/>
      <c r="Z866" s="218"/>
      <c r="AA866" s="218"/>
      <c r="AB866" s="218"/>
      <c r="AC866" s="218"/>
      <c r="AD866" s="206"/>
    </row>
    <row r="867" spans="1:30" customFormat="1" ht="16.100000000000001" x14ac:dyDescent="0.35">
      <c r="A867" s="262">
        <v>43531</v>
      </c>
      <c r="B867" s="224" t="s">
        <v>159</v>
      </c>
      <c r="C867" s="215" t="s">
        <v>158</v>
      </c>
      <c r="D867">
        <v>6954.48</v>
      </c>
      <c r="E867">
        <v>6933.04</v>
      </c>
      <c r="F867">
        <v>6954.03</v>
      </c>
      <c r="G867">
        <v>6901.82</v>
      </c>
      <c r="H867">
        <v>6836</v>
      </c>
      <c r="I867">
        <v>6895.38</v>
      </c>
      <c r="J867">
        <v>6915.28</v>
      </c>
      <c r="K867">
        <v>6972.15</v>
      </c>
      <c r="L867">
        <v>7001.5</v>
      </c>
      <c r="M867" s="221"/>
      <c r="N867" s="221"/>
      <c r="O867" s="221"/>
      <c r="P867" s="221"/>
      <c r="Q867" s="215">
        <f>IF((L868=""),"",MAX(D869:L869))</f>
        <v>3484.3999999999996</v>
      </c>
      <c r="R867" s="215">
        <f>IF(L868="","",MIN(D869:L869))</f>
        <v>3456.5199999999986</v>
      </c>
      <c r="S867" s="216">
        <f>IF((L869=""),"",AVERAGE(D869:L869))</f>
        <v>3462.8177777777778</v>
      </c>
      <c r="T867" s="215">
        <f>IF((L868=""),"",((Q867-R867)/(Q867+R867))*100)</f>
        <v>0.40167585853173682</v>
      </c>
      <c r="U867" s="215">
        <f>STDEV(D867:L867)</f>
        <v>48.88215747534511</v>
      </c>
      <c r="V867" s="217" t="str">
        <f>IF(L868="","",(IF(T867&lt;7,IF(S867&gt;2800,IF(S867&lt;3800,"Pass","Fail"),"Fail"),"Fail")))</f>
        <v>Pass</v>
      </c>
      <c r="W867" s="215">
        <v>1340</v>
      </c>
      <c r="X867" s="260" t="s">
        <v>299</v>
      </c>
      <c r="Y867" s="218"/>
      <c r="Z867" s="226">
        <v>2800</v>
      </c>
      <c r="AA867" s="226">
        <v>3800</v>
      </c>
      <c r="AB867" s="226">
        <v>3100</v>
      </c>
      <c r="AC867" s="226">
        <v>3760</v>
      </c>
      <c r="AD867" s="227">
        <v>6</v>
      </c>
    </row>
    <row r="868" spans="1:30" customFormat="1" ht="16.5" customHeight="1" x14ac:dyDescent="0.35">
      <c r="A868" s="234"/>
      <c r="B868" s="220"/>
      <c r="C868" s="215" t="s">
        <v>157</v>
      </c>
      <c r="D868">
        <v>5224.95</v>
      </c>
      <c r="E868">
        <v>5202.25</v>
      </c>
      <c r="F868">
        <v>5225.7700000000004</v>
      </c>
      <c r="G868">
        <v>5172.5600000000004</v>
      </c>
      <c r="H868">
        <v>5105.8599999999997</v>
      </c>
      <c r="I868">
        <v>5153.18</v>
      </c>
      <c r="J868">
        <v>5185.42</v>
      </c>
      <c r="K868">
        <v>5241.43</v>
      </c>
      <c r="L868">
        <v>5269.58</v>
      </c>
      <c r="M868" s="221"/>
      <c r="N868" s="221"/>
      <c r="O868" s="221"/>
      <c r="P868" s="221"/>
      <c r="Q868" s="215"/>
      <c r="R868" s="215"/>
      <c r="S868" s="216"/>
      <c r="T868" s="215"/>
      <c r="U868" s="215"/>
      <c r="V868" s="217"/>
      <c r="W868" s="215"/>
      <c r="X868" s="259"/>
      <c r="Y868" s="218"/>
      <c r="Z868" s="218"/>
      <c r="AA868" s="218"/>
      <c r="AB868" s="218"/>
      <c r="AC868" s="218"/>
      <c r="AD868" s="206"/>
    </row>
    <row r="869" spans="1:30" customFormat="1" ht="24.8" customHeight="1" thickBot="1" x14ac:dyDescent="0.4">
      <c r="A869" s="237"/>
      <c r="B869" s="228"/>
      <c r="C869" s="229" t="s">
        <v>156</v>
      </c>
      <c r="D869" s="230">
        <f t="shared" ref="D869:L869" si="284">IF(((D867="")*AND(D868="")),"",(D867-D868)*2)</f>
        <v>3459.0599999999995</v>
      </c>
      <c r="E869" s="230">
        <f t="shared" si="284"/>
        <v>3461.58</v>
      </c>
      <c r="F869" s="230">
        <f t="shared" si="284"/>
        <v>3456.5199999999986</v>
      </c>
      <c r="G869" s="230">
        <f t="shared" si="284"/>
        <v>3458.5199999999986</v>
      </c>
      <c r="H869" s="230">
        <f t="shared" si="284"/>
        <v>3460.2800000000007</v>
      </c>
      <c r="I869" s="230">
        <f t="shared" si="284"/>
        <v>3484.3999999999996</v>
      </c>
      <c r="J869" s="230">
        <f t="shared" si="284"/>
        <v>3459.7199999999993</v>
      </c>
      <c r="K869" s="230">
        <f t="shared" si="284"/>
        <v>3461.4399999999987</v>
      </c>
      <c r="L869" s="230">
        <f t="shared" si="284"/>
        <v>3463.84</v>
      </c>
      <c r="M869" s="231"/>
      <c r="N869" s="230"/>
      <c r="O869" s="230"/>
      <c r="P869" s="230"/>
      <c r="Q869" s="215"/>
      <c r="R869" s="215"/>
      <c r="S869" s="216"/>
      <c r="T869" s="215"/>
      <c r="U869" s="215"/>
      <c r="V869" s="217"/>
      <c r="W869" s="215"/>
      <c r="X869" s="259"/>
      <c r="Y869" s="218"/>
      <c r="Z869" s="218"/>
      <c r="AA869" s="218"/>
      <c r="AB869" s="218"/>
      <c r="AC869" s="218"/>
      <c r="AD869" s="206"/>
    </row>
    <row r="870" spans="1:30" customFormat="1" ht="16.100000000000001" x14ac:dyDescent="0.35">
      <c r="A870" s="262">
        <v>43531</v>
      </c>
      <c r="B870" s="212" t="s">
        <v>160</v>
      </c>
      <c r="C870" s="213" t="s">
        <v>158</v>
      </c>
      <c r="D870">
        <v>1262.3499999999999</v>
      </c>
      <c r="E870">
        <v>1255.0999999999999</v>
      </c>
      <c r="F870">
        <v>1262.98</v>
      </c>
      <c r="G870">
        <v>1259.9000000000001</v>
      </c>
      <c r="H870">
        <v>1267.2</v>
      </c>
      <c r="I870">
        <v>1268.96</v>
      </c>
      <c r="J870">
        <v>1261.48</v>
      </c>
      <c r="K870">
        <v>1252.99</v>
      </c>
      <c r="L870">
        <v>1267.8900000000001</v>
      </c>
      <c r="M870" s="214"/>
      <c r="N870" s="214"/>
      <c r="O870" s="214"/>
      <c r="P870" s="214"/>
      <c r="Q870" s="215">
        <f>IF((L871=""),"",MAX(D872:L872))</f>
        <v>3478.88</v>
      </c>
      <c r="R870" s="215">
        <f>IF(L871="","",MIN(D872:L872))</f>
        <v>2869.16</v>
      </c>
      <c r="S870" s="216">
        <f>IF((L872=""),"",AVERAGE(D872:L872))</f>
        <v>3155.0133333333333</v>
      </c>
      <c r="T870" s="215">
        <f>IF((L871=""),"",((Q870-R870)/(Q870+R870))*100)</f>
        <v>9.6048544117554435</v>
      </c>
      <c r="U870" s="215">
        <f>STDEV(D870:L870)</f>
        <v>5.5299957303580385</v>
      </c>
      <c r="V870" s="217" t="str">
        <f>IF(L871="","",(IF(T870&lt;12,IF(S870&gt;2200,IF(S870&lt;3280,"Pass","Fail"),"Fail"),"Fail")))</f>
        <v>Pass</v>
      </c>
      <c r="W870" s="215">
        <v>1340</v>
      </c>
      <c r="X870" s="260" t="s">
        <v>299</v>
      </c>
      <c r="Y870" s="218"/>
      <c r="Z870" s="218">
        <v>2000</v>
      </c>
      <c r="AA870" s="218">
        <v>3000</v>
      </c>
      <c r="AB870" s="218">
        <v>2200</v>
      </c>
      <c r="AC870" s="218">
        <v>3280</v>
      </c>
      <c r="AD870" s="219">
        <v>12</v>
      </c>
    </row>
    <row r="871" spans="1:30" customFormat="1" ht="15.8" customHeight="1" x14ac:dyDescent="0.35">
      <c r="A871" s="234"/>
      <c r="B871" s="220"/>
      <c r="C871" s="215" t="s">
        <v>157</v>
      </c>
      <c r="D871">
        <v>410.6</v>
      </c>
      <c r="E871">
        <v>505.41</v>
      </c>
      <c r="F871">
        <v>545.69000000000005</v>
      </c>
      <c r="G871">
        <v>508.88</v>
      </c>
      <c r="H871">
        <v>397.48</v>
      </c>
      <c r="I871">
        <v>437.65</v>
      </c>
      <c r="J871">
        <v>528.67999999999995</v>
      </c>
      <c r="K871">
        <v>474.28</v>
      </c>
      <c r="L871">
        <v>451.4</v>
      </c>
      <c r="M871" s="221"/>
      <c r="N871" s="221"/>
      <c r="O871" s="221"/>
      <c r="P871" s="221"/>
      <c r="Q871" s="215"/>
      <c r="R871" s="215"/>
      <c r="S871" s="215"/>
      <c r="T871" s="215"/>
      <c r="U871" s="215"/>
      <c r="V871" s="217"/>
      <c r="W871" s="215"/>
      <c r="X871" s="259"/>
      <c r="Y871" s="218"/>
      <c r="Z871" s="218"/>
      <c r="AA871" s="218"/>
      <c r="AB871" s="218"/>
      <c r="AC871" s="218"/>
      <c r="AD871" s="206"/>
    </row>
    <row r="872" spans="1:30" customFormat="1" ht="23.95" customHeight="1" x14ac:dyDescent="0.35">
      <c r="A872" s="235"/>
      <c r="B872" s="222"/>
      <c r="C872" s="215" t="s">
        <v>156</v>
      </c>
      <c r="D872" s="223">
        <f t="shared" ref="D872:L872" si="285">IF(((D870="")*AND(D871="")),"",(D870-D871)*4)</f>
        <v>3406.9999999999995</v>
      </c>
      <c r="E872" s="223">
        <f t="shared" si="285"/>
        <v>2998.7599999999993</v>
      </c>
      <c r="F872" s="223">
        <f t="shared" si="285"/>
        <v>2869.16</v>
      </c>
      <c r="G872" s="223">
        <f t="shared" si="285"/>
        <v>3004.0800000000004</v>
      </c>
      <c r="H872" s="223">
        <f t="shared" si="285"/>
        <v>3478.88</v>
      </c>
      <c r="I872" s="223">
        <f t="shared" si="285"/>
        <v>3325.2400000000002</v>
      </c>
      <c r="J872" s="223">
        <f t="shared" si="285"/>
        <v>2931.2000000000003</v>
      </c>
      <c r="K872" s="223">
        <f t="shared" si="285"/>
        <v>3114.84</v>
      </c>
      <c r="L872" s="223">
        <f t="shared" si="285"/>
        <v>3265.9600000000005</v>
      </c>
      <c r="M872" s="232"/>
      <c r="N872" s="223"/>
      <c r="O872" s="223"/>
      <c r="P872" s="223" t="str">
        <f>IF(((P870="")*AND(P871="")),"",(P870-P871)*4)</f>
        <v/>
      </c>
      <c r="Q872" s="215"/>
      <c r="R872" s="215"/>
      <c r="S872" s="215"/>
      <c r="T872" s="215"/>
      <c r="U872" s="215"/>
      <c r="V872" s="217"/>
      <c r="W872" s="215"/>
      <c r="X872" s="259"/>
      <c r="Y872" s="218"/>
      <c r="Z872" s="218"/>
      <c r="AA872" s="218"/>
      <c r="AB872" s="218"/>
      <c r="AC872" s="218"/>
      <c r="AD872" s="206"/>
    </row>
    <row r="873" spans="1:30" customFormat="1" ht="16.100000000000001" x14ac:dyDescent="0.35">
      <c r="A873" s="262">
        <v>43531</v>
      </c>
      <c r="B873" s="224" t="s">
        <v>159</v>
      </c>
      <c r="C873" s="215" t="s">
        <v>158</v>
      </c>
      <c r="D873">
        <v>7022.93</v>
      </c>
      <c r="E873">
        <v>6998.08</v>
      </c>
      <c r="F873">
        <v>7016.06</v>
      </c>
      <c r="G873">
        <v>6966.91</v>
      </c>
      <c r="H873">
        <v>6910.37</v>
      </c>
      <c r="I873">
        <v>6972.93</v>
      </c>
      <c r="J873">
        <v>6986.32</v>
      </c>
      <c r="K873">
        <v>7034.22</v>
      </c>
      <c r="L873">
        <v>7067.45</v>
      </c>
      <c r="M873" s="221"/>
      <c r="N873" s="221"/>
      <c r="O873" s="221"/>
      <c r="P873" s="221"/>
      <c r="Q873" s="215">
        <f>IF((L874=""),"",MAX(D875:L875))</f>
        <v>3632.7200000000012</v>
      </c>
      <c r="R873" s="215">
        <f>IF(L874="","",MIN(D875:L875))</f>
        <v>3531.7200000000012</v>
      </c>
      <c r="S873" s="216">
        <f>IF((L875=""),"",AVERAGE(D875:L875))</f>
        <v>3558.3999999999996</v>
      </c>
      <c r="T873" s="215">
        <f>IF((L874=""),"",((Q873-R873)/(Q873+R873))*100)</f>
        <v>1.4097403286230321</v>
      </c>
      <c r="U873" s="215">
        <f>STDEV(D873:L873)</f>
        <v>45.398741110789075</v>
      </c>
      <c r="V873" s="217" t="str">
        <f>IF(L874="","",(IF(T873&lt;7,IF(S873&gt;2800,IF(S873&lt;3800,"Pass","Fail"),"Fail"),"Fail")))</f>
        <v>Pass</v>
      </c>
      <c r="W873" s="215">
        <v>1340</v>
      </c>
      <c r="X873" s="260" t="s">
        <v>299</v>
      </c>
      <c r="Y873" s="218"/>
      <c r="Z873" s="226">
        <v>2800</v>
      </c>
      <c r="AA873" s="226">
        <v>3800</v>
      </c>
      <c r="AB873" s="226">
        <v>3100</v>
      </c>
      <c r="AC873" s="226">
        <v>3760</v>
      </c>
      <c r="AD873" s="227">
        <v>6</v>
      </c>
    </row>
    <row r="874" spans="1:30" customFormat="1" ht="16.5" customHeight="1" x14ac:dyDescent="0.35">
      <c r="A874" s="234"/>
      <c r="B874" s="220"/>
      <c r="C874" s="215" t="s">
        <v>157</v>
      </c>
      <c r="D874">
        <v>5240.3900000000003</v>
      </c>
      <c r="E874">
        <v>5227.1400000000003</v>
      </c>
      <c r="F874">
        <v>5250.2</v>
      </c>
      <c r="G874">
        <v>5199.5200000000004</v>
      </c>
      <c r="H874">
        <v>5122.59</v>
      </c>
      <c r="I874">
        <v>5156.57</v>
      </c>
      <c r="J874">
        <v>5216.1499999999996</v>
      </c>
      <c r="K874">
        <v>5264.95</v>
      </c>
      <c r="L874">
        <v>5284.96</v>
      </c>
      <c r="M874" s="221"/>
      <c r="N874" s="221"/>
      <c r="O874" s="221"/>
      <c r="P874" s="221"/>
      <c r="Q874" s="215"/>
      <c r="R874" s="215"/>
      <c r="S874" s="216"/>
      <c r="T874" s="215"/>
      <c r="U874" s="215"/>
      <c r="V874" s="217"/>
      <c r="W874" s="215"/>
      <c r="X874" s="259"/>
      <c r="Y874" s="218"/>
      <c r="Z874" s="218"/>
      <c r="AA874" s="218"/>
      <c r="AB874" s="218"/>
      <c r="AC874" s="218"/>
      <c r="AD874" s="206"/>
    </row>
    <row r="875" spans="1:30" customFormat="1" ht="24.8" customHeight="1" thickBot="1" x14ac:dyDescent="0.4">
      <c r="A875" s="237"/>
      <c r="B875" s="228"/>
      <c r="C875" s="229" t="s">
        <v>156</v>
      </c>
      <c r="D875" s="230">
        <f t="shared" ref="D875:L875" si="286">IF(((D873="")*AND(D874="")),"",(D873-D874)*2)</f>
        <v>3565.08</v>
      </c>
      <c r="E875" s="230">
        <f t="shared" si="286"/>
        <v>3541.8799999999992</v>
      </c>
      <c r="F875" s="230">
        <f t="shared" si="286"/>
        <v>3531.7200000000012</v>
      </c>
      <c r="G875" s="230">
        <f t="shared" si="286"/>
        <v>3534.7799999999988</v>
      </c>
      <c r="H875" s="230">
        <f t="shared" si="286"/>
        <v>3575.5599999999995</v>
      </c>
      <c r="I875" s="230">
        <f t="shared" si="286"/>
        <v>3632.7200000000012</v>
      </c>
      <c r="J875" s="230">
        <f t="shared" si="286"/>
        <v>3540.34</v>
      </c>
      <c r="K875" s="230">
        <f t="shared" si="286"/>
        <v>3538.5400000000009</v>
      </c>
      <c r="L875" s="230">
        <f t="shared" si="286"/>
        <v>3564.9799999999996</v>
      </c>
      <c r="M875" s="231"/>
      <c r="N875" s="230"/>
      <c r="O875" s="230"/>
      <c r="P875" s="230"/>
      <c r="Q875" s="215"/>
      <c r="R875" s="215"/>
      <c r="S875" s="216"/>
      <c r="T875" s="215"/>
      <c r="U875" s="215"/>
      <c r="V875" s="217"/>
      <c r="W875" s="215"/>
      <c r="X875" s="259"/>
      <c r="Y875" s="218"/>
      <c r="Z875" s="218"/>
      <c r="AA875" s="218"/>
      <c r="AB875" s="218"/>
      <c r="AC875" s="218"/>
      <c r="AD875" s="206"/>
    </row>
    <row r="876" spans="1:30" customFormat="1" ht="16.100000000000001" x14ac:dyDescent="0.35">
      <c r="A876" s="262">
        <v>43538</v>
      </c>
      <c r="B876" s="212" t="s">
        <v>160</v>
      </c>
      <c r="C876" s="213" t="s">
        <v>158</v>
      </c>
      <c r="D876">
        <v>1923.63</v>
      </c>
      <c r="E876">
        <v>1914.76</v>
      </c>
      <c r="F876">
        <v>1912.58</v>
      </c>
      <c r="G876">
        <v>1918.48</v>
      </c>
      <c r="H876">
        <v>1919.58</v>
      </c>
      <c r="I876">
        <v>1925.78</v>
      </c>
      <c r="J876">
        <v>1918.57</v>
      </c>
      <c r="K876">
        <v>1917.36</v>
      </c>
      <c r="L876">
        <v>1925.16</v>
      </c>
      <c r="M876" s="214"/>
      <c r="N876" s="214"/>
      <c r="O876" s="214"/>
      <c r="P876" s="214"/>
      <c r="Q876" s="215">
        <f>IF((L877=""),"",MAX(D878:L878))</f>
        <v>3191.12</v>
      </c>
      <c r="R876" s="215">
        <f>IF(L877="","",MIN(D878:L878))</f>
        <v>2728.5199999999995</v>
      </c>
      <c r="S876" s="216">
        <f>IF((L878=""),"",AVERAGE(D878:L878))</f>
        <v>2916.9466666666667</v>
      </c>
      <c r="T876" s="215">
        <f>IF((L877=""),"",((Q876-R876)/(Q876+R876))*100)</f>
        <v>7.8146644052678944</v>
      </c>
      <c r="U876" s="215">
        <f>STDEV(D876:L876)</f>
        <v>4.5464054788127033</v>
      </c>
      <c r="V876" s="217" t="str">
        <f>IF(L877="","",(IF(T876&lt;12,IF(S876&gt;2200,IF(S876&lt;3280,"Pass","Fail"),"Fail"),"Fail")))</f>
        <v>Pass</v>
      </c>
      <c r="W876" s="215">
        <v>121</v>
      </c>
      <c r="X876" s="260" t="s">
        <v>300</v>
      </c>
      <c r="Y876" s="218"/>
      <c r="Z876" s="218">
        <v>2000</v>
      </c>
      <c r="AA876" s="218">
        <v>3000</v>
      </c>
      <c r="AB876" s="218">
        <v>2200</v>
      </c>
      <c r="AC876" s="218">
        <v>3280</v>
      </c>
      <c r="AD876" s="219">
        <v>12</v>
      </c>
    </row>
    <row r="877" spans="1:30" customFormat="1" ht="15.8" customHeight="1" x14ac:dyDescent="0.35">
      <c r="A877" s="234"/>
      <c r="B877" s="220"/>
      <c r="C877" s="215" t="s">
        <v>157</v>
      </c>
      <c r="D877">
        <v>1163.73</v>
      </c>
      <c r="E877">
        <v>1207.96</v>
      </c>
      <c r="F877">
        <v>1230.45</v>
      </c>
      <c r="G877">
        <v>1213.6400000000001</v>
      </c>
      <c r="H877">
        <v>1163.3699999999999</v>
      </c>
      <c r="I877">
        <v>1187.6199999999999</v>
      </c>
      <c r="J877">
        <v>1223.68</v>
      </c>
      <c r="K877">
        <v>1194.94</v>
      </c>
      <c r="L877">
        <v>1127.3800000000001</v>
      </c>
      <c r="M877" s="221"/>
      <c r="N877" s="221"/>
      <c r="O877" s="221"/>
      <c r="P877" s="221"/>
      <c r="Q877" s="215"/>
      <c r="R877" s="215"/>
      <c r="S877" s="215"/>
      <c r="T877" s="215"/>
      <c r="U877" s="215"/>
      <c r="V877" s="217"/>
      <c r="W877" s="215"/>
      <c r="X877" s="259"/>
      <c r="Y877" s="218"/>
      <c r="Z877" s="218"/>
      <c r="AA877" s="218"/>
      <c r="AB877" s="218"/>
      <c r="AC877" s="218"/>
      <c r="AD877" s="206"/>
    </row>
    <row r="878" spans="1:30" customFormat="1" ht="23.95" customHeight="1" x14ac:dyDescent="0.35">
      <c r="A878" s="235"/>
      <c r="B878" s="222"/>
      <c r="C878" s="215" t="s">
        <v>156</v>
      </c>
      <c r="D878" s="223">
        <f t="shared" ref="D878:L878" si="287">IF(((D876="")*AND(D877="")),"",(D876-D877)*4)</f>
        <v>3039.6000000000004</v>
      </c>
      <c r="E878" s="223">
        <f t="shared" si="287"/>
        <v>2827.2</v>
      </c>
      <c r="F878" s="223">
        <f t="shared" si="287"/>
        <v>2728.5199999999995</v>
      </c>
      <c r="G878" s="223">
        <f t="shared" si="287"/>
        <v>2819.3599999999997</v>
      </c>
      <c r="H878" s="223">
        <f t="shared" si="287"/>
        <v>3024.84</v>
      </c>
      <c r="I878" s="223">
        <f t="shared" si="287"/>
        <v>2952.6400000000003</v>
      </c>
      <c r="J878" s="223">
        <f t="shared" si="287"/>
        <v>2779.5599999999995</v>
      </c>
      <c r="K878" s="223">
        <f t="shared" si="287"/>
        <v>2889.6799999999994</v>
      </c>
      <c r="L878" s="223">
        <f t="shared" si="287"/>
        <v>3191.12</v>
      </c>
      <c r="M878" s="232"/>
      <c r="N878" s="223"/>
      <c r="O878" s="223"/>
      <c r="P878" s="223" t="str">
        <f>IF(((P876="")*AND(P877="")),"",(P876-P877)*4)</f>
        <v/>
      </c>
      <c r="Q878" s="215"/>
      <c r="R878" s="215"/>
      <c r="S878" s="215"/>
      <c r="T878" s="215"/>
      <c r="U878" s="215"/>
      <c r="V878" s="217"/>
      <c r="W878" s="215"/>
      <c r="X878" s="259"/>
      <c r="Y878" s="218"/>
      <c r="Z878" s="218"/>
      <c r="AA878" s="218"/>
      <c r="AB878" s="218"/>
      <c r="AC878" s="218"/>
      <c r="AD878" s="206"/>
    </row>
    <row r="879" spans="1:30" customFormat="1" ht="16.100000000000001" x14ac:dyDescent="0.35">
      <c r="A879" s="262">
        <v>43538</v>
      </c>
      <c r="B879" s="224" t="s">
        <v>159</v>
      </c>
      <c r="C879" s="215" t="s">
        <v>158</v>
      </c>
      <c r="D879">
        <v>5224.95</v>
      </c>
      <c r="E879">
        <v>5202.25</v>
      </c>
      <c r="F879">
        <v>5225.7700000000004</v>
      </c>
      <c r="G879">
        <v>5172.5600000000004</v>
      </c>
      <c r="H879">
        <v>5105.8599999999997</v>
      </c>
      <c r="I879">
        <v>5153.18</v>
      </c>
      <c r="J879">
        <v>5185.42</v>
      </c>
      <c r="K879">
        <v>5241.43</v>
      </c>
      <c r="L879">
        <v>5269.58</v>
      </c>
      <c r="M879" s="221"/>
      <c r="N879" s="221"/>
      <c r="O879" s="221"/>
      <c r="P879" s="221"/>
      <c r="Q879" s="215">
        <f>IF((L880=""),"",MAX(D881:L881))</f>
        <v>3539.0600000000004</v>
      </c>
      <c r="R879" s="215">
        <f>IF(L880="","",MIN(D881:L881))</f>
        <v>3247.7199999999993</v>
      </c>
      <c r="S879" s="216">
        <f>IF((L881=""),"",AVERAGE(D881:L881))</f>
        <v>3431.0466666666666</v>
      </c>
      <c r="T879" s="215">
        <f>IF((L880=""),"",((Q879-R879)/(Q879+R879))*100)</f>
        <v>4.2927573901025387</v>
      </c>
      <c r="U879" s="215">
        <f>STDEV(D879:L879)</f>
        <v>49.78623063770862</v>
      </c>
      <c r="V879" s="217" t="str">
        <f>IF(L880="","",(IF(T879&lt;7,IF(S879&gt;2800,IF(S879&lt;3800,"Pass","Fail"),"Fail"),"Fail")))</f>
        <v>Pass</v>
      </c>
      <c r="W879" s="215">
        <v>121</v>
      </c>
      <c r="X879" s="260" t="s">
        <v>300</v>
      </c>
      <c r="Y879" s="218"/>
      <c r="Z879" s="226">
        <v>2800</v>
      </c>
      <c r="AA879" s="226">
        <v>3800</v>
      </c>
      <c r="AB879" s="226">
        <v>3100</v>
      </c>
      <c r="AC879" s="226">
        <v>3760</v>
      </c>
      <c r="AD879" s="227">
        <v>6</v>
      </c>
    </row>
    <row r="880" spans="1:30" customFormat="1" ht="16.5" customHeight="1" x14ac:dyDescent="0.35">
      <c r="A880" s="234"/>
      <c r="B880" s="220"/>
      <c r="C880" s="215" t="s">
        <v>157</v>
      </c>
      <c r="D880">
        <v>3505.92</v>
      </c>
      <c r="E880">
        <v>3476.32</v>
      </c>
      <c r="F880">
        <v>3493.01</v>
      </c>
      <c r="G880">
        <v>3435.39</v>
      </c>
      <c r="H880">
        <v>3482</v>
      </c>
      <c r="I880">
        <v>3383.65</v>
      </c>
      <c r="J880">
        <v>3446.33</v>
      </c>
      <c r="K880">
        <v>3517.05</v>
      </c>
      <c r="L880">
        <v>3601.62</v>
      </c>
      <c r="M880" s="221"/>
      <c r="N880" s="221"/>
      <c r="O880" s="221"/>
      <c r="P880" s="221"/>
      <c r="Q880" s="215"/>
      <c r="R880" s="215"/>
      <c r="S880" s="216"/>
      <c r="T880" s="215"/>
      <c r="U880" s="215"/>
      <c r="V880" s="217"/>
      <c r="W880" s="215"/>
      <c r="X880" s="259"/>
      <c r="Y880" s="218"/>
      <c r="Z880" s="218"/>
      <c r="AA880" s="218"/>
      <c r="AB880" s="218"/>
      <c r="AC880" s="218"/>
      <c r="AD880" s="206"/>
    </row>
    <row r="881" spans="1:30" customFormat="1" ht="24.8" customHeight="1" thickBot="1" x14ac:dyDescent="0.4">
      <c r="A881" s="237"/>
      <c r="B881" s="228"/>
      <c r="C881" s="229" t="s">
        <v>156</v>
      </c>
      <c r="D881" s="230">
        <f t="shared" ref="D881:L881" si="288">IF(((D879="")*AND(D880="")),"",(D879-D880)*2)</f>
        <v>3438.0599999999995</v>
      </c>
      <c r="E881" s="230">
        <f t="shared" si="288"/>
        <v>3451.8599999999997</v>
      </c>
      <c r="F881" s="230">
        <f t="shared" si="288"/>
        <v>3465.5200000000004</v>
      </c>
      <c r="G881" s="230">
        <f t="shared" si="288"/>
        <v>3474.3400000000011</v>
      </c>
      <c r="H881" s="230">
        <f t="shared" si="288"/>
        <v>3247.7199999999993</v>
      </c>
      <c r="I881" s="230">
        <f t="shared" si="288"/>
        <v>3539.0600000000004</v>
      </c>
      <c r="J881" s="230">
        <f t="shared" si="288"/>
        <v>3478.1800000000003</v>
      </c>
      <c r="K881" s="230">
        <f t="shared" si="288"/>
        <v>3448.76</v>
      </c>
      <c r="L881" s="230">
        <f t="shared" si="288"/>
        <v>3335.92</v>
      </c>
      <c r="M881" s="231"/>
      <c r="N881" s="230"/>
      <c r="O881" s="230"/>
      <c r="P881" s="230"/>
      <c r="Q881" s="215"/>
      <c r="R881" s="215"/>
      <c r="S881" s="216"/>
      <c r="T881" s="215"/>
      <c r="U881" s="215"/>
      <c r="V881" s="217"/>
      <c r="W881" s="215"/>
      <c r="X881" s="259"/>
      <c r="Y881" s="218"/>
      <c r="Z881" s="218"/>
      <c r="AA881" s="218"/>
      <c r="AB881" s="218"/>
      <c r="AC881" s="218"/>
      <c r="AD881" s="206"/>
    </row>
    <row r="882" spans="1:30" customFormat="1" ht="16.100000000000001" x14ac:dyDescent="0.35">
      <c r="A882" s="262">
        <v>43542</v>
      </c>
      <c r="B882" s="212" t="s">
        <v>160</v>
      </c>
      <c r="C882" s="213" t="s">
        <v>158</v>
      </c>
      <c r="D882">
        <v>1921.17</v>
      </c>
      <c r="E882">
        <v>1916.23</v>
      </c>
      <c r="F882">
        <v>1916.06</v>
      </c>
      <c r="G882">
        <v>1919.81</v>
      </c>
      <c r="H882">
        <v>1922.56</v>
      </c>
      <c r="I882">
        <v>1921.53</v>
      </c>
      <c r="J882">
        <v>1913.78</v>
      </c>
      <c r="K882">
        <v>1916.57</v>
      </c>
      <c r="L882">
        <v>1922.75</v>
      </c>
      <c r="M882" s="214"/>
      <c r="N882" s="214"/>
      <c r="O882" s="214"/>
      <c r="P882" s="214"/>
      <c r="Q882" s="215">
        <f>IF((L883=""),"",MAX(D884:L884))</f>
        <v>3124.5600000000004</v>
      </c>
      <c r="R882" s="215">
        <f>IF(L883="","",MIN(D884:L884))</f>
        <v>2736.96</v>
      </c>
      <c r="S882" s="216">
        <f>IF((L884=""),"",AVERAGE(D884:L884))</f>
        <v>2886.8666666666668</v>
      </c>
      <c r="T882" s="215">
        <f>IF((L883=""),"",((Q882-R882)/(Q882+R882))*100)</f>
        <v>6.6126192523441079</v>
      </c>
      <c r="U882" s="215">
        <f>STDEV(D882:L882)</f>
        <v>3.3154826194688547</v>
      </c>
      <c r="V882" s="217" t="str">
        <f>IF(L883="","",(IF(T882&lt;12,IF(S882&gt;2200,IF(S882&lt;3280,"Pass","Fail"),"Fail"),"Fail")))</f>
        <v>Pass</v>
      </c>
      <c r="W882" s="215">
        <v>1428</v>
      </c>
      <c r="X882" s="206" t="s">
        <v>301</v>
      </c>
      <c r="Y882" s="218"/>
      <c r="Z882" s="218">
        <v>2000</v>
      </c>
      <c r="AA882" s="218">
        <v>3000</v>
      </c>
      <c r="AB882" s="218">
        <v>2200</v>
      </c>
      <c r="AC882" s="218">
        <v>3280</v>
      </c>
      <c r="AD882" s="219">
        <v>12</v>
      </c>
    </row>
    <row r="883" spans="1:30" customFormat="1" ht="15.8" customHeight="1" x14ac:dyDescent="0.35">
      <c r="A883" s="234"/>
      <c r="B883" s="220"/>
      <c r="C883" s="215" t="s">
        <v>157</v>
      </c>
      <c r="D883">
        <v>1180.8399999999999</v>
      </c>
      <c r="E883">
        <v>1216.9000000000001</v>
      </c>
      <c r="F883">
        <v>1231.82</v>
      </c>
      <c r="G883">
        <v>1217.22</v>
      </c>
      <c r="H883">
        <v>1163.8399999999999</v>
      </c>
      <c r="I883">
        <v>1193.79</v>
      </c>
      <c r="J883">
        <v>1224.9100000000001</v>
      </c>
      <c r="K883">
        <v>1204.08</v>
      </c>
      <c r="L883">
        <v>1141.6099999999999</v>
      </c>
      <c r="M883" s="221"/>
      <c r="N883" s="221"/>
      <c r="O883" s="221"/>
      <c r="P883" s="221"/>
      <c r="Q883" s="215"/>
      <c r="R883" s="215"/>
      <c r="S883" s="215"/>
      <c r="T883" s="215"/>
      <c r="U883" s="215"/>
      <c r="V883" s="217"/>
      <c r="W883" s="215"/>
      <c r="X883" s="206"/>
      <c r="Y883" s="218"/>
      <c r="Z883" s="218"/>
      <c r="AA883" s="218"/>
      <c r="AB883" s="218"/>
      <c r="AC883" s="218"/>
      <c r="AD883" s="206"/>
    </row>
    <row r="884" spans="1:30" customFormat="1" ht="23.95" customHeight="1" x14ac:dyDescent="0.35">
      <c r="A884" s="235"/>
      <c r="B884" s="222"/>
      <c r="C884" s="215" t="s">
        <v>156</v>
      </c>
      <c r="D884" s="223">
        <f t="shared" ref="D884:L884" si="289">IF(((D882="")*AND(D883="")),"",(D882-D883)*4)</f>
        <v>2961.3200000000006</v>
      </c>
      <c r="E884" s="223">
        <f t="shared" si="289"/>
        <v>2797.3199999999997</v>
      </c>
      <c r="F884" s="223">
        <f t="shared" si="289"/>
        <v>2736.96</v>
      </c>
      <c r="G884" s="223">
        <f t="shared" si="289"/>
        <v>2810.3599999999997</v>
      </c>
      <c r="H884" s="223">
        <f t="shared" si="289"/>
        <v>3034.88</v>
      </c>
      <c r="I884" s="223">
        <f t="shared" si="289"/>
        <v>2910.96</v>
      </c>
      <c r="J884" s="223">
        <f t="shared" si="289"/>
        <v>2755.4799999999996</v>
      </c>
      <c r="K884" s="223">
        <f t="shared" si="289"/>
        <v>2849.96</v>
      </c>
      <c r="L884" s="223">
        <f t="shared" si="289"/>
        <v>3124.5600000000004</v>
      </c>
      <c r="M884" s="232"/>
      <c r="N884" s="223"/>
      <c r="O884" s="223"/>
      <c r="P884" s="223" t="str">
        <f>IF(((P882="")*AND(P883="")),"",(P882-P883)*4)</f>
        <v/>
      </c>
      <c r="Q884" s="215"/>
      <c r="R884" s="215"/>
      <c r="S884" s="215"/>
      <c r="T884" s="215"/>
      <c r="U884" s="215"/>
      <c r="V884" s="217"/>
      <c r="W884" s="215"/>
      <c r="X884" s="206"/>
      <c r="Y884" s="218"/>
      <c r="Z884" s="218"/>
      <c r="AA884" s="218"/>
      <c r="AB884" s="218"/>
      <c r="AC884" s="218"/>
      <c r="AD884" s="206"/>
    </row>
    <row r="885" spans="1:30" customFormat="1" ht="16.100000000000001" x14ac:dyDescent="0.35">
      <c r="A885" s="262">
        <v>43542</v>
      </c>
      <c r="B885" s="224" t="s">
        <v>159</v>
      </c>
      <c r="C885" s="215" t="s">
        <v>158</v>
      </c>
      <c r="D885">
        <v>5255.86</v>
      </c>
      <c r="E885">
        <v>5242.2299999999996</v>
      </c>
      <c r="F885">
        <v>5265.41</v>
      </c>
      <c r="G885">
        <v>5213.25</v>
      </c>
      <c r="H885">
        <v>5135.0200000000004</v>
      </c>
      <c r="I885">
        <v>5171.0600000000004</v>
      </c>
      <c r="J885">
        <v>5231.3100000000004</v>
      </c>
      <c r="K885">
        <v>5280.16</v>
      </c>
      <c r="L885">
        <v>5280</v>
      </c>
      <c r="M885" s="221"/>
      <c r="N885" s="221"/>
      <c r="O885" s="221"/>
      <c r="P885" s="221"/>
      <c r="Q885" s="215">
        <f>IF((L886=""),"",MAX(D887:L887))</f>
        <v>3518.2600000000011</v>
      </c>
      <c r="R885" s="215">
        <f>IF(L886="","",MIN(D887:L887))</f>
        <v>3335.7200000000012</v>
      </c>
      <c r="S885" s="216">
        <f>IF((L887=""),"",AVERAGE(D887:L887))</f>
        <v>3450.7133333333331</v>
      </c>
      <c r="T885" s="215">
        <f>IF((L886=""),"",((Q885-R885)/(Q885+R885))*100)</f>
        <v>2.6632701000002901</v>
      </c>
      <c r="U885" s="215">
        <f>STDEV(D885:L885)</f>
        <v>49.829151050809827</v>
      </c>
      <c r="V885" s="217" t="str">
        <f>IF(L886="","",(IF(T885&lt;7,IF(S885&gt;2800,IF(S885&lt;3800,"Pass","Fail"),"Fail"),"Fail")))</f>
        <v>Pass</v>
      </c>
      <c r="W885" s="215">
        <v>1428</v>
      </c>
      <c r="X885" s="206" t="s">
        <v>301</v>
      </c>
      <c r="Y885" s="218"/>
      <c r="Z885" s="226">
        <v>2800</v>
      </c>
      <c r="AA885" s="226">
        <v>3800</v>
      </c>
      <c r="AB885" s="226">
        <v>3100</v>
      </c>
      <c r="AC885" s="226">
        <v>3760</v>
      </c>
      <c r="AD885" s="227">
        <v>6</v>
      </c>
    </row>
    <row r="886" spans="1:30" customFormat="1" ht="16.5" customHeight="1" x14ac:dyDescent="0.35">
      <c r="A886" s="234"/>
      <c r="B886" s="220"/>
      <c r="C886" s="215" t="s">
        <v>157</v>
      </c>
      <c r="D886">
        <v>3519.11</v>
      </c>
      <c r="E886">
        <v>3510.54</v>
      </c>
      <c r="F886">
        <v>3536.96</v>
      </c>
      <c r="G886">
        <v>3488.02</v>
      </c>
      <c r="H886">
        <v>3403.2</v>
      </c>
      <c r="I886">
        <v>3411.93</v>
      </c>
      <c r="J886">
        <v>3563.45</v>
      </c>
      <c r="K886">
        <v>3549.43</v>
      </c>
      <c r="L886">
        <v>3563.45</v>
      </c>
      <c r="M886" s="221"/>
      <c r="N886" s="221"/>
      <c r="O886" s="221"/>
      <c r="P886" s="221"/>
      <c r="Q886" s="215"/>
      <c r="R886" s="215"/>
      <c r="S886" s="216"/>
      <c r="T886" s="215"/>
      <c r="U886" s="215"/>
      <c r="V886" s="217"/>
      <c r="W886" s="215"/>
      <c r="X886" s="261"/>
      <c r="Y886" s="218"/>
      <c r="Z886" s="218"/>
      <c r="AA886" s="218"/>
      <c r="AB886" s="218"/>
      <c r="AC886" s="218"/>
      <c r="AD886" s="206"/>
    </row>
    <row r="887" spans="1:30" customFormat="1" ht="24.8" customHeight="1" thickBot="1" x14ac:dyDescent="0.4">
      <c r="A887" s="237"/>
      <c r="B887" s="228"/>
      <c r="C887" s="229" t="s">
        <v>156</v>
      </c>
      <c r="D887" s="230">
        <f t="shared" ref="D887:L887" si="290">IF(((D885="")*AND(D886="")),"",(D885-D886)*2)</f>
        <v>3473.4999999999991</v>
      </c>
      <c r="E887" s="230">
        <f t="shared" si="290"/>
        <v>3463.3799999999992</v>
      </c>
      <c r="F887" s="230">
        <f t="shared" si="290"/>
        <v>3456.8999999999996</v>
      </c>
      <c r="G887" s="230">
        <f t="shared" si="290"/>
        <v>3450.46</v>
      </c>
      <c r="H887" s="230">
        <f t="shared" si="290"/>
        <v>3463.6400000000012</v>
      </c>
      <c r="I887" s="230">
        <f t="shared" si="290"/>
        <v>3518.2600000000011</v>
      </c>
      <c r="J887" s="230">
        <f t="shared" si="290"/>
        <v>3335.7200000000012</v>
      </c>
      <c r="K887" s="230">
        <f t="shared" si="290"/>
        <v>3461.46</v>
      </c>
      <c r="L887" s="230">
        <f t="shared" si="290"/>
        <v>3433.1000000000004</v>
      </c>
      <c r="M887" s="231"/>
      <c r="N887" s="230"/>
      <c r="O887" s="230"/>
      <c r="P887" s="230"/>
      <c r="Q887" s="215"/>
      <c r="R887" s="215"/>
      <c r="S887" s="216"/>
      <c r="T887" s="215"/>
      <c r="U887" s="215"/>
      <c r="V887" s="217"/>
      <c r="W887" s="215"/>
      <c r="X887" s="261"/>
      <c r="Y887" s="218"/>
      <c r="Z887" s="218"/>
      <c r="AA887" s="218"/>
      <c r="AB887" s="218"/>
      <c r="AC887" s="218"/>
      <c r="AD887" s="206"/>
    </row>
    <row r="888" spans="1:30" customFormat="1" ht="16.100000000000001" x14ac:dyDescent="0.35">
      <c r="A888" s="262">
        <v>43546</v>
      </c>
      <c r="B888" s="212" t="s">
        <v>160</v>
      </c>
      <c r="C888" s="213" t="s">
        <v>158</v>
      </c>
      <c r="D888">
        <v>1184.45</v>
      </c>
      <c r="E888">
        <v>1216.8</v>
      </c>
      <c r="F888">
        <v>1233.8</v>
      </c>
      <c r="G888">
        <v>1215.42</v>
      </c>
      <c r="H888">
        <v>1168.93</v>
      </c>
      <c r="I888">
        <v>1194.95</v>
      </c>
      <c r="J888">
        <v>1228.1400000000001</v>
      </c>
      <c r="K888">
        <v>1202.6600000000001</v>
      </c>
      <c r="L888">
        <v>1141.6500000000001</v>
      </c>
      <c r="M888" s="214"/>
      <c r="N888" s="214"/>
      <c r="O888" s="214"/>
      <c r="P888" s="214"/>
      <c r="Q888" s="215">
        <f>IF((L889=""),"",MAX(D890:L890))</f>
        <v>3188.2000000000003</v>
      </c>
      <c r="R888" s="215">
        <f>IF(L889="","",MIN(D890:L890))</f>
        <v>2758.16</v>
      </c>
      <c r="S888" s="216">
        <f>IF((L890=""),"",AVERAGE(D890:L890))</f>
        <v>2952.4488888888891</v>
      </c>
      <c r="T888" s="215">
        <f>IF((L889=""),"",((Q888-R888)/(Q888+R888))*100)</f>
        <v>7.2319872997934933</v>
      </c>
      <c r="U888" s="215">
        <f>STDEV(D888:L888)</f>
        <v>29.747697389882106</v>
      </c>
      <c r="V888" s="217" t="str">
        <f>IF(L889="","",(IF(T888&lt;12,IF(S888&gt;2200,IF(S888&lt;3280,"Pass","Fail"),"Fail"),"Fail")))</f>
        <v>Pass</v>
      </c>
      <c r="W888" s="215">
        <v>1428</v>
      </c>
      <c r="X888" s="287"/>
      <c r="Y888" s="218"/>
      <c r="Z888" s="218">
        <v>2000</v>
      </c>
      <c r="AA888" s="218">
        <v>3000</v>
      </c>
      <c r="AB888" s="218">
        <v>2200</v>
      </c>
      <c r="AC888" s="218">
        <v>3280</v>
      </c>
      <c r="AD888" s="219">
        <v>12</v>
      </c>
    </row>
    <row r="889" spans="1:30" customFormat="1" ht="15.8" customHeight="1" x14ac:dyDescent="0.35">
      <c r="A889" s="234"/>
      <c r="B889" s="220"/>
      <c r="C889" s="215" t="s">
        <v>157</v>
      </c>
      <c r="D889">
        <v>419.73</v>
      </c>
      <c r="E889">
        <v>509.72</v>
      </c>
      <c r="F889">
        <v>544.26</v>
      </c>
      <c r="G889">
        <v>504.29</v>
      </c>
      <c r="H889">
        <v>386.2</v>
      </c>
      <c r="I889">
        <v>429.49</v>
      </c>
      <c r="J889">
        <v>524.52</v>
      </c>
      <c r="K889">
        <v>480.98</v>
      </c>
      <c r="L889">
        <v>344.6</v>
      </c>
      <c r="M889" s="221"/>
      <c r="N889" s="221"/>
      <c r="O889" s="221"/>
      <c r="P889" s="221"/>
      <c r="Q889" s="215"/>
      <c r="R889" s="215"/>
      <c r="S889" s="215"/>
      <c r="T889" s="215"/>
      <c r="U889" s="215"/>
      <c r="V889" s="217"/>
      <c r="W889" s="215"/>
      <c r="X889" s="288"/>
      <c r="Y889" s="218"/>
      <c r="Z889" s="218"/>
      <c r="AA889" s="218"/>
      <c r="AB889" s="218"/>
      <c r="AC889" s="218"/>
      <c r="AD889" s="206"/>
    </row>
    <row r="890" spans="1:30" customFormat="1" ht="23.95" customHeight="1" x14ac:dyDescent="0.35">
      <c r="A890" s="235"/>
      <c r="B890" s="222"/>
      <c r="C890" s="215" t="s">
        <v>156</v>
      </c>
      <c r="D890" s="223">
        <f t="shared" ref="D890:L890" si="291">IF(((D888="")*AND(D889="")),"",(D888-D889)*4)</f>
        <v>3058.88</v>
      </c>
      <c r="E890" s="223">
        <f t="shared" si="291"/>
        <v>2828.3199999999997</v>
      </c>
      <c r="F890" s="223">
        <f t="shared" si="291"/>
        <v>2758.16</v>
      </c>
      <c r="G890" s="223">
        <f t="shared" si="291"/>
        <v>2844.5200000000004</v>
      </c>
      <c r="H890" s="223">
        <f t="shared" si="291"/>
        <v>3130.92</v>
      </c>
      <c r="I890" s="223">
        <f t="shared" si="291"/>
        <v>3061.84</v>
      </c>
      <c r="J890" s="223">
        <f t="shared" si="291"/>
        <v>2814.4800000000005</v>
      </c>
      <c r="K890" s="223">
        <f t="shared" si="291"/>
        <v>2886.7200000000003</v>
      </c>
      <c r="L890" s="223">
        <f t="shared" si="291"/>
        <v>3188.2000000000003</v>
      </c>
      <c r="M890" s="232"/>
      <c r="N890" s="223"/>
      <c r="O890" s="223"/>
      <c r="P890" s="223" t="str">
        <f>IF(((P888="")*AND(P889="")),"",(P888-P889)*4)</f>
        <v/>
      </c>
      <c r="Q890" s="215"/>
      <c r="R890" s="215"/>
      <c r="S890" s="215"/>
      <c r="T890" s="215"/>
      <c r="U890" s="215"/>
      <c r="V890" s="217"/>
      <c r="W890" s="215"/>
      <c r="X890" s="288"/>
      <c r="Y890" s="218"/>
      <c r="Z890" s="218"/>
      <c r="AA890" s="218"/>
      <c r="AB890" s="218"/>
      <c r="AC890" s="218"/>
      <c r="AD890" s="206"/>
    </row>
    <row r="891" spans="1:30" customFormat="1" ht="16.100000000000001" x14ac:dyDescent="0.35">
      <c r="A891" s="262">
        <v>43546</v>
      </c>
      <c r="B891" s="224" t="s">
        <v>159</v>
      </c>
      <c r="C891" s="215" t="s">
        <v>158</v>
      </c>
      <c r="D891">
        <v>3531.86</v>
      </c>
      <c r="E891">
        <v>3523.85</v>
      </c>
      <c r="F891">
        <v>3549.4</v>
      </c>
      <c r="G891">
        <v>3500.95</v>
      </c>
      <c r="H891">
        <v>3415.1</v>
      </c>
      <c r="I891">
        <v>3423.76</v>
      </c>
      <c r="J891">
        <v>3516.24</v>
      </c>
      <c r="K891">
        <v>3561.93</v>
      </c>
      <c r="L891">
        <v>3576.7</v>
      </c>
      <c r="M891" s="221"/>
      <c r="N891" s="221"/>
      <c r="O891" s="221"/>
      <c r="P891" s="221"/>
      <c r="Q891" s="215">
        <f>IF((L892=""),"",MAX(D893:L893))</f>
        <v>3489.9000000000005</v>
      </c>
      <c r="R891" s="215">
        <f>IF(L892="","",MIN(D893:L893))</f>
        <v>3438.4599999999996</v>
      </c>
      <c r="S891" s="216">
        <f>IF((L893=""),"",AVERAGE(D893:L893))</f>
        <v>3449.3422222222221</v>
      </c>
      <c r="T891" s="215">
        <f>IF((L892=""),"",((Q891-R891)/(Q891+R891))*100)</f>
        <v>0.74245564606921355</v>
      </c>
      <c r="U891" s="215">
        <f>STDEV(D891:L891)</f>
        <v>56.922310383929769</v>
      </c>
      <c r="V891" s="217" t="str">
        <f>IF(L892="","",(IF(T891&lt;7,IF(S891&gt;2800,IF(S891&lt;3800,"Pass","Fail"),"Fail"),"Fail")))</f>
        <v>Pass</v>
      </c>
      <c r="W891" s="215">
        <v>1428</v>
      </c>
      <c r="X891" s="289"/>
      <c r="Y891" s="218"/>
      <c r="Z891" s="226">
        <v>2800</v>
      </c>
      <c r="AA891" s="226">
        <v>3800</v>
      </c>
      <c r="AB891" s="226">
        <v>3100</v>
      </c>
      <c r="AC891" s="226">
        <v>3760</v>
      </c>
      <c r="AD891" s="227">
        <v>6</v>
      </c>
    </row>
    <row r="892" spans="1:30" customFormat="1" ht="16.5" customHeight="1" x14ac:dyDescent="0.35">
      <c r="A892" s="234"/>
      <c r="B892" s="220"/>
      <c r="C892" s="215" t="s">
        <v>157</v>
      </c>
      <c r="D892">
        <v>1807.29</v>
      </c>
      <c r="E892">
        <v>1798.05</v>
      </c>
      <c r="F892">
        <v>1828.13</v>
      </c>
      <c r="G892">
        <v>1781.72</v>
      </c>
      <c r="H892">
        <v>1692.01</v>
      </c>
      <c r="I892">
        <v>1678.81</v>
      </c>
      <c r="J892">
        <v>1796.81</v>
      </c>
      <c r="K892">
        <v>1839.86</v>
      </c>
      <c r="L892">
        <v>1855.07</v>
      </c>
      <c r="M892" s="221"/>
      <c r="N892" s="221"/>
      <c r="O892" s="221"/>
      <c r="P892" s="221"/>
      <c r="Q892" s="215"/>
      <c r="R892" s="215"/>
      <c r="S892" s="216"/>
      <c r="T892" s="215"/>
      <c r="U892" s="215"/>
      <c r="V892" s="217"/>
      <c r="W892" s="215"/>
      <c r="X892" s="288"/>
      <c r="Y892" s="218"/>
      <c r="Z892" s="218"/>
      <c r="AA892" s="218"/>
      <c r="AB892" s="218"/>
      <c r="AC892" s="218"/>
      <c r="AD892" s="206"/>
    </row>
    <row r="893" spans="1:30" customFormat="1" ht="24.8" customHeight="1" thickBot="1" x14ac:dyDescent="0.4">
      <c r="A893" s="237"/>
      <c r="B893" s="228"/>
      <c r="C893" s="229" t="s">
        <v>156</v>
      </c>
      <c r="D893" s="230">
        <f t="shared" ref="D893:L893" si="292">IF(((D891="")*AND(D892="")),"",(D891-D892)*2)</f>
        <v>3449.1400000000003</v>
      </c>
      <c r="E893" s="230">
        <f t="shared" si="292"/>
        <v>3451.6</v>
      </c>
      <c r="F893" s="230">
        <f t="shared" si="292"/>
        <v>3442.54</v>
      </c>
      <c r="G893" s="230">
        <f t="shared" si="292"/>
        <v>3438.4599999999996</v>
      </c>
      <c r="H893" s="230">
        <f t="shared" si="292"/>
        <v>3446.18</v>
      </c>
      <c r="I893" s="230">
        <f t="shared" si="292"/>
        <v>3489.9000000000005</v>
      </c>
      <c r="J893" s="230">
        <f t="shared" si="292"/>
        <v>3438.8599999999997</v>
      </c>
      <c r="K893" s="230">
        <f t="shared" si="292"/>
        <v>3444.14</v>
      </c>
      <c r="L893" s="230">
        <f t="shared" si="292"/>
        <v>3443.2599999999998</v>
      </c>
      <c r="M893" s="231"/>
      <c r="N893" s="230"/>
      <c r="O893" s="230"/>
      <c r="P893" s="230"/>
      <c r="Q893" s="215"/>
      <c r="R893" s="215"/>
      <c r="S893" s="216"/>
      <c r="T893" s="215"/>
      <c r="U893" s="215"/>
      <c r="V893" s="217"/>
      <c r="W893" s="215"/>
      <c r="X893" s="288"/>
      <c r="Y893" s="218"/>
      <c r="Z893" s="218"/>
      <c r="AA893" s="218"/>
      <c r="AB893" s="218"/>
      <c r="AC893" s="218"/>
      <c r="AD893" s="206"/>
    </row>
    <row r="894" spans="1:30" customFormat="1" ht="16.100000000000001" x14ac:dyDescent="0.35">
      <c r="A894" s="262">
        <v>43549</v>
      </c>
      <c r="B894" s="212" t="s">
        <v>160</v>
      </c>
      <c r="C894" s="213" t="s">
        <v>158</v>
      </c>
      <c r="D894">
        <v>1920.65</v>
      </c>
      <c r="E894">
        <v>1912.08</v>
      </c>
      <c r="F894">
        <v>1916.88</v>
      </c>
      <c r="G894">
        <v>1918.84</v>
      </c>
      <c r="H894">
        <v>1922.31</v>
      </c>
      <c r="I894">
        <v>1926.57</v>
      </c>
      <c r="J894">
        <v>1913.62</v>
      </c>
      <c r="K894">
        <v>1916.18</v>
      </c>
      <c r="L894">
        <v>1923.4</v>
      </c>
      <c r="M894" s="214"/>
      <c r="N894" s="214"/>
      <c r="O894" s="214"/>
      <c r="P894" s="214"/>
      <c r="Q894" s="215">
        <f>IF((L895=""),"",MAX(D896:L896))</f>
        <v>3118.2800000000007</v>
      </c>
      <c r="R894" s="215">
        <f>IF(L895="","",MIN(D896:L896))</f>
        <v>2741.1200000000008</v>
      </c>
      <c r="S894" s="216">
        <f>IF((L896=""),"",AVERAGE(D896:L896))</f>
        <v>2887.9644444444443</v>
      </c>
      <c r="T894" s="215">
        <f>IF((L895=""),"",((Q894-R894)/(Q894+R894))*100)</f>
        <v>6.4368365361641091</v>
      </c>
      <c r="U894" s="215">
        <f>STDEV(D894:L894)</f>
        <v>4.738435337159788</v>
      </c>
      <c r="V894" s="217" t="str">
        <f>IF(L895="","",(IF(T894&lt;12,IF(S894&gt;2200,IF(S894&lt;3280,"Pass","Fail"),"Fail"),"Fail")))</f>
        <v>Pass</v>
      </c>
      <c r="W894" s="215">
        <v>1159</v>
      </c>
      <c r="X894" s="206" t="s">
        <v>302</v>
      </c>
      <c r="Y894" s="218"/>
      <c r="Z894" s="218">
        <v>2000</v>
      </c>
      <c r="AA894" s="218">
        <v>3000</v>
      </c>
      <c r="AB894" s="218">
        <v>2200</v>
      </c>
      <c r="AC894" s="218">
        <v>3280</v>
      </c>
      <c r="AD894" s="219">
        <v>12</v>
      </c>
    </row>
    <row r="895" spans="1:30" customFormat="1" ht="15.8" customHeight="1" x14ac:dyDescent="0.35">
      <c r="A895" s="234"/>
      <c r="B895" s="220"/>
      <c r="C895" s="215" t="s">
        <v>157</v>
      </c>
      <c r="D895">
        <v>1178.56</v>
      </c>
      <c r="E895">
        <v>1211.2</v>
      </c>
      <c r="F895">
        <v>1231.5999999999999</v>
      </c>
      <c r="G895">
        <v>1214.18</v>
      </c>
      <c r="H895">
        <v>1172.8900000000001</v>
      </c>
      <c r="I895">
        <v>1196.76</v>
      </c>
      <c r="J895">
        <v>1223.1199999999999</v>
      </c>
      <c r="K895">
        <v>1200.47</v>
      </c>
      <c r="L895">
        <v>1143.83</v>
      </c>
      <c r="M895" s="221"/>
      <c r="N895" s="221"/>
      <c r="O895" s="221"/>
      <c r="P895" s="221"/>
      <c r="Q895" s="215"/>
      <c r="R895" s="215"/>
      <c r="S895" s="215"/>
      <c r="T895" s="215"/>
      <c r="U895" s="215"/>
      <c r="V895" s="217"/>
      <c r="W895" s="215"/>
      <c r="Y895" s="218"/>
      <c r="Z895" s="218"/>
      <c r="AA895" s="218"/>
      <c r="AB895" s="218"/>
      <c r="AC895" s="218"/>
      <c r="AD895" s="206"/>
    </row>
    <row r="896" spans="1:30" customFormat="1" ht="23.95" customHeight="1" x14ac:dyDescent="0.35">
      <c r="A896" s="235"/>
      <c r="B896" s="222"/>
      <c r="C896" s="215" t="s">
        <v>156</v>
      </c>
      <c r="D896" s="223">
        <f t="shared" ref="D896:L896" si="293">IF(((D894="")*AND(D895="")),"",(D894-D895)*4)</f>
        <v>2968.3600000000006</v>
      </c>
      <c r="E896" s="223">
        <f t="shared" si="293"/>
        <v>2803.5199999999995</v>
      </c>
      <c r="F896" s="223">
        <f t="shared" si="293"/>
        <v>2741.1200000000008</v>
      </c>
      <c r="G896" s="223">
        <f t="shared" si="293"/>
        <v>2818.6399999999994</v>
      </c>
      <c r="H896" s="223">
        <f t="shared" si="293"/>
        <v>2997.6799999999994</v>
      </c>
      <c r="I896" s="223">
        <f t="shared" si="293"/>
        <v>2919.24</v>
      </c>
      <c r="J896" s="223">
        <f t="shared" si="293"/>
        <v>2762</v>
      </c>
      <c r="K896" s="223">
        <f t="shared" si="293"/>
        <v>2862.84</v>
      </c>
      <c r="L896" s="223">
        <f t="shared" si="293"/>
        <v>3118.2800000000007</v>
      </c>
      <c r="M896" s="232"/>
      <c r="N896" s="223"/>
      <c r="O896" s="223"/>
      <c r="P896" s="223" t="str">
        <f>IF(((P894="")*AND(P895="")),"",(P894-P895)*4)</f>
        <v/>
      </c>
      <c r="Q896" s="215"/>
      <c r="R896" s="215"/>
      <c r="S896" s="215"/>
      <c r="T896" s="215"/>
      <c r="U896" s="215"/>
      <c r="V896" s="217"/>
      <c r="W896" s="215"/>
      <c r="Y896" s="218"/>
      <c r="Z896" s="218"/>
      <c r="AA896" s="218"/>
      <c r="AB896" s="218"/>
      <c r="AC896" s="218"/>
      <c r="AD896" s="206"/>
    </row>
    <row r="897" spans="1:30" customFormat="1" ht="16.100000000000001" x14ac:dyDescent="0.35">
      <c r="A897" s="262">
        <v>43549</v>
      </c>
      <c r="B897" s="224" t="s">
        <v>159</v>
      </c>
      <c r="C897" s="215" t="s">
        <v>158</v>
      </c>
      <c r="D897">
        <v>6993.26</v>
      </c>
      <c r="E897">
        <v>6975.39</v>
      </c>
      <c r="F897">
        <v>6983.5</v>
      </c>
      <c r="G897">
        <v>6923.58</v>
      </c>
      <c r="H897">
        <v>6845.38</v>
      </c>
      <c r="I897">
        <v>6918.1</v>
      </c>
      <c r="J897">
        <v>6947.89</v>
      </c>
      <c r="K897">
        <v>6996.13</v>
      </c>
      <c r="L897">
        <v>7023.97</v>
      </c>
      <c r="M897" s="221"/>
      <c r="N897" s="221"/>
      <c r="O897" s="221"/>
      <c r="P897" s="221"/>
      <c r="Q897" s="215">
        <f>IF((L898=""),"",MAX(D899:L899))</f>
        <v>3475.9400000000005</v>
      </c>
      <c r="R897" s="215">
        <f>IF(L898="","",MIN(D899:L899))</f>
        <v>3435.7199999999993</v>
      </c>
      <c r="S897" s="216">
        <f>IF((L899=""),"",AVERAGE(D899:L899))</f>
        <v>3446.7933333333335</v>
      </c>
      <c r="T897" s="215">
        <f>IF((L898=""),"",((Q897-R897)/(Q897+R897))*100)</f>
        <v>0.58191519837493688</v>
      </c>
      <c r="U897" s="215">
        <f>STDEV(D897:L897)</f>
        <v>54.244530395034126</v>
      </c>
      <c r="V897" s="217" t="str">
        <f>IF(L898="","",(IF(T897&lt;7,IF(S897&gt;2800,IF(S897&lt;3800,"Pass","Fail"),"Fail"),"Fail")))</f>
        <v>Pass</v>
      </c>
      <c r="W897" s="215">
        <v>1159</v>
      </c>
      <c r="X897" s="206" t="s">
        <v>302</v>
      </c>
      <c r="Y897" s="218"/>
      <c r="Z897" s="226">
        <v>2800</v>
      </c>
      <c r="AA897" s="226">
        <v>3800</v>
      </c>
      <c r="AB897" s="226">
        <v>3100</v>
      </c>
      <c r="AC897" s="226">
        <v>3760</v>
      </c>
      <c r="AD897" s="227">
        <v>6</v>
      </c>
    </row>
    <row r="898" spans="1:30" customFormat="1" ht="16.5" customHeight="1" x14ac:dyDescent="0.35">
      <c r="A898" s="234"/>
      <c r="B898" s="220"/>
      <c r="C898" s="215" t="s">
        <v>157</v>
      </c>
      <c r="D898">
        <v>5263.81</v>
      </c>
      <c r="E898">
        <v>5252.98</v>
      </c>
      <c r="F898">
        <v>5265.64</v>
      </c>
      <c r="G898">
        <v>5205.34</v>
      </c>
      <c r="H898">
        <v>5124.76</v>
      </c>
      <c r="I898">
        <v>5180.13</v>
      </c>
      <c r="J898">
        <v>5227.6499999999996</v>
      </c>
      <c r="K898">
        <v>5276.21</v>
      </c>
      <c r="L898">
        <v>5300.11</v>
      </c>
      <c r="M898" s="221"/>
      <c r="N898" s="221"/>
      <c r="O898" s="221"/>
      <c r="P898" s="221"/>
      <c r="Q898" s="215"/>
      <c r="R898" s="215"/>
      <c r="S898" s="216"/>
      <c r="T898" s="215"/>
      <c r="U898" s="215"/>
      <c r="V898" s="217"/>
      <c r="W898" s="215"/>
      <c r="Y898" s="218"/>
      <c r="Z898" s="218"/>
      <c r="AA898" s="218"/>
      <c r="AB898" s="218"/>
      <c r="AC898" s="218"/>
      <c r="AD898" s="206"/>
    </row>
    <row r="899" spans="1:30" customFormat="1" ht="24.8" customHeight="1" thickBot="1" x14ac:dyDescent="0.4">
      <c r="A899" s="237"/>
      <c r="B899" s="228"/>
      <c r="C899" s="229" t="s">
        <v>156</v>
      </c>
      <c r="D899" s="230">
        <f t="shared" ref="D899:L899" si="294">IF(((D897="")*AND(D898="")),"",(D897-D898)*2)</f>
        <v>3458.8999999999996</v>
      </c>
      <c r="E899" s="230">
        <f t="shared" si="294"/>
        <v>3444.8200000000015</v>
      </c>
      <c r="F899" s="230">
        <f t="shared" si="294"/>
        <v>3435.7199999999993</v>
      </c>
      <c r="G899" s="230">
        <f t="shared" si="294"/>
        <v>3436.4799999999996</v>
      </c>
      <c r="H899" s="230">
        <f t="shared" si="294"/>
        <v>3441.24</v>
      </c>
      <c r="I899" s="230">
        <f t="shared" si="294"/>
        <v>3475.9400000000005</v>
      </c>
      <c r="J899" s="230">
        <f t="shared" si="294"/>
        <v>3440.4800000000014</v>
      </c>
      <c r="K899" s="230">
        <f t="shared" si="294"/>
        <v>3439.84</v>
      </c>
      <c r="L899" s="230">
        <f t="shared" si="294"/>
        <v>3447.7200000000012</v>
      </c>
      <c r="M899" s="231"/>
      <c r="N899" s="230"/>
      <c r="O899" s="230"/>
      <c r="P899" s="230"/>
      <c r="Q899" s="215"/>
      <c r="R899" s="215"/>
      <c r="S899" s="216"/>
      <c r="T899" s="215"/>
      <c r="U899" s="215"/>
      <c r="V899" s="217"/>
      <c r="W899" s="215"/>
      <c r="Y899" s="218"/>
      <c r="Z899" s="218"/>
      <c r="AA899" s="218"/>
      <c r="AB899" s="218"/>
      <c r="AC899" s="218"/>
      <c r="AD899" s="206"/>
    </row>
    <row r="900" spans="1:30" customFormat="1" ht="16.100000000000001" x14ac:dyDescent="0.35">
      <c r="A900" s="262">
        <v>43555</v>
      </c>
      <c r="B900" s="212" t="s">
        <v>160</v>
      </c>
      <c r="C900" s="213" t="s">
        <v>158</v>
      </c>
      <c r="D900">
        <v>1928.92</v>
      </c>
      <c r="E900">
        <v>1917.91</v>
      </c>
      <c r="F900">
        <v>1917.51</v>
      </c>
      <c r="G900">
        <v>1918.9</v>
      </c>
      <c r="H900">
        <v>1925.69</v>
      </c>
      <c r="I900">
        <v>1925.9</v>
      </c>
      <c r="J900">
        <v>1919.21</v>
      </c>
      <c r="K900">
        <v>1918.83</v>
      </c>
      <c r="L900">
        <v>1928.3</v>
      </c>
      <c r="M900" s="214"/>
      <c r="N900" s="214"/>
      <c r="O900" s="214"/>
      <c r="P900" s="214"/>
      <c r="Q900" s="215">
        <f>IF((L901=""),"",MAX(D902:L902))</f>
        <v>3117.88</v>
      </c>
      <c r="R900" s="215">
        <f>IF(L901="","",MIN(D902:L902))</f>
        <v>2737.08</v>
      </c>
      <c r="S900" s="216">
        <f>IF((L902=""),"",AVERAGE(D902:L902))</f>
        <v>2881.2933333333335</v>
      </c>
      <c r="T900" s="215">
        <f>IF((L901=""),"",((Q900-R900)/(Q900+R900))*100)</f>
        <v>6.5038873023897716</v>
      </c>
      <c r="U900" s="215">
        <f>STDEV(D900:L900)</f>
        <v>4.7383693866608265</v>
      </c>
      <c r="V900" s="217" t="str">
        <f>IF(L901="","",(IF(T900&lt;12,IF(S900&gt;2200,IF(S900&lt;3280,"Pass","Fail"),"Fail"),"Fail")))</f>
        <v>Pass</v>
      </c>
      <c r="W900" s="215">
        <v>1335</v>
      </c>
      <c r="X900" s="206" t="s">
        <v>303</v>
      </c>
      <c r="Y900" s="218"/>
      <c r="Z900" s="218">
        <v>2000</v>
      </c>
      <c r="AA900" s="218">
        <v>3000</v>
      </c>
      <c r="AB900" s="218">
        <v>2200</v>
      </c>
      <c r="AC900" s="218">
        <v>3280</v>
      </c>
      <c r="AD900" s="219">
        <v>12</v>
      </c>
    </row>
    <row r="901" spans="1:30" customFormat="1" ht="15.8" customHeight="1" x14ac:dyDescent="0.35">
      <c r="A901" s="234"/>
      <c r="B901" s="220"/>
      <c r="C901" s="215" t="s">
        <v>157</v>
      </c>
      <c r="D901">
        <v>1187.1300000000001</v>
      </c>
      <c r="E901">
        <v>1214.68</v>
      </c>
      <c r="F901">
        <v>1233.24</v>
      </c>
      <c r="G901">
        <v>1216.04</v>
      </c>
      <c r="H901">
        <v>1183.3699999999999</v>
      </c>
      <c r="I901">
        <v>1204.6199999999999</v>
      </c>
      <c r="J901">
        <v>1229.07</v>
      </c>
      <c r="K901">
        <v>1201.28</v>
      </c>
      <c r="L901">
        <v>1148.83</v>
      </c>
      <c r="M901" s="221"/>
      <c r="N901" s="221"/>
      <c r="O901" s="221"/>
      <c r="P901" s="221"/>
      <c r="Q901" s="215"/>
      <c r="R901" s="215"/>
      <c r="S901" s="215"/>
      <c r="T901" s="215"/>
      <c r="U901" s="215"/>
      <c r="V901" s="217"/>
      <c r="W901" s="215"/>
      <c r="Y901" s="218"/>
      <c r="Z901" s="218"/>
      <c r="AA901" s="218"/>
      <c r="AB901" s="218"/>
      <c r="AC901" s="218"/>
      <c r="AD901" s="206"/>
    </row>
    <row r="902" spans="1:30" customFormat="1" ht="23.95" customHeight="1" x14ac:dyDescent="0.35">
      <c r="A902" s="235"/>
      <c r="B902" s="222"/>
      <c r="C902" s="215" t="s">
        <v>156</v>
      </c>
      <c r="D902" s="223">
        <f t="shared" ref="D902:L902" si="295">IF(((D900="")*AND(D901="")),"",(D900-D901)*4)</f>
        <v>2967.16</v>
      </c>
      <c r="E902" s="223">
        <f t="shared" si="295"/>
        <v>2812.92</v>
      </c>
      <c r="F902" s="223">
        <f t="shared" si="295"/>
        <v>2737.08</v>
      </c>
      <c r="G902" s="223">
        <f t="shared" si="295"/>
        <v>2811.4400000000005</v>
      </c>
      <c r="H902" s="223">
        <f t="shared" si="295"/>
        <v>2969.2800000000007</v>
      </c>
      <c r="I902" s="223">
        <f t="shared" si="295"/>
        <v>2885.1200000000008</v>
      </c>
      <c r="J902" s="223">
        <f t="shared" si="295"/>
        <v>2760.5600000000004</v>
      </c>
      <c r="K902" s="223">
        <f t="shared" si="295"/>
        <v>2870.2</v>
      </c>
      <c r="L902" s="223">
        <f t="shared" si="295"/>
        <v>3117.88</v>
      </c>
      <c r="M902" s="232"/>
      <c r="N902" s="223"/>
      <c r="O902" s="223"/>
      <c r="P902" s="223" t="str">
        <f>IF(((P900="")*AND(P901="")),"",(P900-P901)*4)</f>
        <v/>
      </c>
      <c r="Q902" s="215"/>
      <c r="R902" s="215"/>
      <c r="S902" s="215"/>
      <c r="T902" s="215"/>
      <c r="U902" s="215"/>
      <c r="V902" s="217"/>
      <c r="W902" s="215"/>
      <c r="Y902" s="218"/>
      <c r="Z902" s="218"/>
      <c r="AA902" s="218"/>
      <c r="AB902" s="218"/>
      <c r="AC902" s="218"/>
      <c r="AD902" s="206"/>
    </row>
    <row r="903" spans="1:30" customFormat="1" ht="16.100000000000001" x14ac:dyDescent="0.35">
      <c r="A903" s="262">
        <v>43555</v>
      </c>
      <c r="B903" s="224" t="s">
        <v>159</v>
      </c>
      <c r="C903" s="215" t="s">
        <v>158</v>
      </c>
      <c r="D903">
        <v>5271.61</v>
      </c>
      <c r="E903">
        <v>5260.65</v>
      </c>
      <c r="F903">
        <v>5273.32</v>
      </c>
      <c r="G903">
        <v>5212.78</v>
      </c>
      <c r="H903">
        <v>5131.38</v>
      </c>
      <c r="I903">
        <v>5187.2299999999996</v>
      </c>
      <c r="J903">
        <v>5235.3599999999997</v>
      </c>
      <c r="K903">
        <v>5283.45</v>
      </c>
      <c r="L903">
        <v>5307.53</v>
      </c>
      <c r="M903" s="221"/>
      <c r="N903" s="221"/>
      <c r="O903" s="221"/>
      <c r="P903" s="221"/>
      <c r="Q903" s="215">
        <f>IF((L904=""),"",MAX(D905:L905))</f>
        <v>3425.1399999999994</v>
      </c>
      <c r="R903" s="215">
        <f>IF(L904="","",MIN(D905:L905))</f>
        <v>3252.2199999999993</v>
      </c>
      <c r="S903" s="216">
        <f>IF((L905=""),"",AVERAGE(D905:L905))</f>
        <v>3373.5599999999995</v>
      </c>
      <c r="T903" s="215">
        <f>IF((L904=""),"",((Q903-R903)/(Q903+R903))*100)</f>
        <v>2.5896462074831987</v>
      </c>
      <c r="U903" s="215">
        <f>STDEV(D903:L903)</f>
        <v>55.145555527571183</v>
      </c>
      <c r="V903" s="217" t="str">
        <f>IF(L904="","",(IF(T903&lt;7,IF(S903&gt;2800,IF(S903&lt;3800,"Pass","Fail"),"Fail"),"Fail")))</f>
        <v>Pass</v>
      </c>
      <c r="W903" s="215">
        <v>1335</v>
      </c>
      <c r="X903" s="206" t="s">
        <v>303</v>
      </c>
      <c r="Y903" s="218"/>
      <c r="Z903" s="226">
        <v>2800</v>
      </c>
      <c r="AA903" s="226">
        <v>3800</v>
      </c>
      <c r="AB903" s="226">
        <v>3100</v>
      </c>
      <c r="AC903" s="226">
        <v>3760</v>
      </c>
      <c r="AD903" s="227">
        <v>6</v>
      </c>
    </row>
    <row r="904" spans="1:30" customFormat="1" ht="16.5" customHeight="1" x14ac:dyDescent="0.35">
      <c r="A904" s="234"/>
      <c r="B904" s="220"/>
      <c r="C904" s="215" t="s">
        <v>157</v>
      </c>
      <c r="D904">
        <v>3561.12</v>
      </c>
      <c r="E904">
        <v>3549.99</v>
      </c>
      <c r="F904">
        <v>3565.24</v>
      </c>
      <c r="G904">
        <v>3549.99</v>
      </c>
      <c r="H904">
        <v>3431.76</v>
      </c>
      <c r="I904">
        <v>3561.12</v>
      </c>
      <c r="J904">
        <v>3594.96</v>
      </c>
      <c r="K904">
        <v>3573.15</v>
      </c>
      <c r="L904">
        <v>3594.96</v>
      </c>
      <c r="M904" s="221"/>
      <c r="N904" s="221"/>
      <c r="O904" s="221"/>
      <c r="P904" s="221"/>
      <c r="Q904" s="215"/>
      <c r="R904" s="215"/>
      <c r="S904" s="216"/>
      <c r="T904" s="215"/>
      <c r="U904" s="215"/>
      <c r="V904" s="217"/>
      <c r="W904" s="215"/>
      <c r="Y904" s="218"/>
      <c r="Z904" s="218"/>
      <c r="AA904" s="218"/>
      <c r="AB904" s="218"/>
      <c r="AC904" s="218"/>
      <c r="AD904" s="206"/>
    </row>
    <row r="905" spans="1:30" customFormat="1" ht="24.8" customHeight="1" thickBot="1" x14ac:dyDescent="0.4">
      <c r="A905" s="237"/>
      <c r="B905" s="228"/>
      <c r="C905" s="229" t="s">
        <v>156</v>
      </c>
      <c r="D905" s="230">
        <f t="shared" ref="D905:L905" si="296">IF(((D903="")*AND(D904="")),"",(D903-D904)*2)</f>
        <v>3420.9799999999996</v>
      </c>
      <c r="E905" s="230">
        <f t="shared" si="296"/>
        <v>3421.3199999999997</v>
      </c>
      <c r="F905" s="230">
        <f t="shared" si="296"/>
        <v>3416.16</v>
      </c>
      <c r="G905" s="230">
        <f t="shared" si="296"/>
        <v>3325.58</v>
      </c>
      <c r="H905" s="230">
        <f t="shared" si="296"/>
        <v>3399.24</v>
      </c>
      <c r="I905" s="230">
        <f t="shared" si="296"/>
        <v>3252.2199999999993</v>
      </c>
      <c r="J905" s="230">
        <f t="shared" si="296"/>
        <v>3280.7999999999993</v>
      </c>
      <c r="K905" s="230">
        <f t="shared" si="296"/>
        <v>3420.5999999999995</v>
      </c>
      <c r="L905" s="230">
        <f t="shared" si="296"/>
        <v>3425.1399999999994</v>
      </c>
      <c r="M905" s="231"/>
      <c r="N905" s="230"/>
      <c r="O905" s="230"/>
      <c r="P905" s="230"/>
      <c r="Q905" s="215"/>
      <c r="R905" s="215"/>
      <c r="S905" s="216"/>
      <c r="T905" s="215"/>
      <c r="U905" s="215"/>
      <c r="V905" s="217"/>
      <c r="W905" s="215"/>
      <c r="Y905" s="218"/>
      <c r="Z905" s="218"/>
      <c r="AA905" s="218"/>
      <c r="AB905" s="218"/>
      <c r="AC905" s="218"/>
      <c r="AD905" s="206"/>
    </row>
    <row r="906" spans="1:30" customFormat="1" ht="16.100000000000001" x14ac:dyDescent="0.35">
      <c r="A906" s="262">
        <v>43560</v>
      </c>
      <c r="B906" s="212" t="s">
        <v>160</v>
      </c>
      <c r="C906" s="213" t="s">
        <v>158</v>
      </c>
      <c r="D906">
        <v>1918.18</v>
      </c>
      <c r="E906">
        <v>1913.66</v>
      </c>
      <c r="F906">
        <v>1908.01</v>
      </c>
      <c r="G906">
        <v>1913.95</v>
      </c>
      <c r="H906">
        <v>1922.98</v>
      </c>
      <c r="I906">
        <v>1922.71</v>
      </c>
      <c r="J906">
        <v>1917.51</v>
      </c>
      <c r="K906">
        <v>1912.78</v>
      </c>
      <c r="L906">
        <v>1923.74</v>
      </c>
      <c r="M906" s="214"/>
      <c r="N906" s="214"/>
      <c r="O906" s="214"/>
      <c r="P906" s="214"/>
      <c r="Q906" s="215">
        <f>IF((L907=""),"",MAX(D908:L908))</f>
        <v>3125.88</v>
      </c>
      <c r="R906" s="215">
        <f>IF(L907="","",MIN(D908:L908))</f>
        <v>2724.6000000000004</v>
      </c>
      <c r="S906" s="216">
        <f>IF((L908=""),"",AVERAGE(D908:L908))</f>
        <v>2877.3866666666672</v>
      </c>
      <c r="T906" s="215">
        <f>IF((L907=""),"",((Q906-R906)/(Q906+R906))*100)</f>
        <v>6.8589243959469943</v>
      </c>
      <c r="U906" s="215">
        <f>STDEV(D906:L906)</f>
        <v>5.4141152965599559</v>
      </c>
      <c r="V906" s="217" t="str">
        <f>IF(L907="","",(IF(T906&lt;12,IF(S906&gt;2200,IF(S906&lt;3280,"Pass","Fail"),"Fail"),"Fail")))</f>
        <v>Pass</v>
      </c>
      <c r="W906" s="215" t="s">
        <v>293</v>
      </c>
      <c r="X906" s="260" t="s">
        <v>304</v>
      </c>
      <c r="Y906" s="218"/>
      <c r="Z906" s="218">
        <v>2000</v>
      </c>
      <c r="AA906" s="218">
        <v>3000</v>
      </c>
      <c r="AB906" s="218">
        <v>2200</v>
      </c>
      <c r="AC906" s="218">
        <v>3280</v>
      </c>
      <c r="AD906" s="219">
        <v>12</v>
      </c>
    </row>
    <row r="907" spans="1:30" customFormat="1" ht="15.8" customHeight="1" x14ac:dyDescent="0.35">
      <c r="A907" s="234"/>
      <c r="B907" s="220"/>
      <c r="C907" s="215" t="s">
        <v>157</v>
      </c>
      <c r="D907">
        <v>1181.55</v>
      </c>
      <c r="E907">
        <v>1209.7</v>
      </c>
      <c r="F907">
        <v>1226.8599999999999</v>
      </c>
      <c r="G907">
        <v>1213.94</v>
      </c>
      <c r="H907">
        <v>1183.3800000000001</v>
      </c>
      <c r="I907">
        <v>1200.6199999999999</v>
      </c>
      <c r="J907">
        <v>1226.55</v>
      </c>
      <c r="K907">
        <v>1194.53</v>
      </c>
      <c r="L907">
        <v>1142.27</v>
      </c>
      <c r="M907" s="221"/>
      <c r="N907" s="221"/>
      <c r="O907" s="221"/>
      <c r="P907" s="221"/>
      <c r="Q907" s="215"/>
      <c r="R907" s="215"/>
      <c r="S907" s="215"/>
      <c r="T907" s="215"/>
      <c r="U907" s="215"/>
      <c r="V907" s="217"/>
      <c r="W907" s="215"/>
      <c r="X907" s="259"/>
      <c r="Y907" s="218"/>
      <c r="Z907" s="218"/>
      <c r="AA907" s="218"/>
      <c r="AB907" s="218"/>
      <c r="AC907" s="218"/>
      <c r="AD907" s="206"/>
    </row>
    <row r="908" spans="1:30" customFormat="1" ht="23.95" customHeight="1" x14ac:dyDescent="0.35">
      <c r="A908" s="235"/>
      <c r="B908" s="222"/>
      <c r="C908" s="215" t="s">
        <v>156</v>
      </c>
      <c r="D908" s="223">
        <f t="shared" ref="D908:L908" si="297">IF(((D906="")*AND(D907="")),"",(D906-D907)*4)</f>
        <v>2946.5200000000004</v>
      </c>
      <c r="E908" s="223">
        <f t="shared" si="297"/>
        <v>2815.84</v>
      </c>
      <c r="F908" s="223">
        <f t="shared" si="297"/>
        <v>2724.6000000000004</v>
      </c>
      <c r="G908" s="223">
        <f t="shared" si="297"/>
        <v>2800.04</v>
      </c>
      <c r="H908" s="223">
        <f t="shared" si="297"/>
        <v>2958.3999999999996</v>
      </c>
      <c r="I908" s="223">
        <f t="shared" si="297"/>
        <v>2888.3600000000006</v>
      </c>
      <c r="J908" s="223">
        <f t="shared" si="297"/>
        <v>2763.84</v>
      </c>
      <c r="K908" s="223">
        <f t="shared" si="297"/>
        <v>2873</v>
      </c>
      <c r="L908" s="223">
        <f t="shared" si="297"/>
        <v>3125.88</v>
      </c>
      <c r="M908" s="232"/>
      <c r="N908" s="223"/>
      <c r="O908" s="223"/>
      <c r="P908" s="223" t="str">
        <f>IF(((P906="")*AND(P907="")),"",(P906-P907)*4)</f>
        <v/>
      </c>
      <c r="Q908" s="215"/>
      <c r="R908" s="215"/>
      <c r="S908" s="215"/>
      <c r="T908" s="215"/>
      <c r="U908" s="215"/>
      <c r="V908" s="217"/>
      <c r="W908" s="215"/>
      <c r="X908" s="259"/>
      <c r="Y908" s="218"/>
      <c r="Z908" s="218"/>
      <c r="AA908" s="218"/>
      <c r="AB908" s="218"/>
      <c r="AC908" s="218"/>
      <c r="AD908" s="206"/>
    </row>
    <row r="909" spans="1:30" customFormat="1" ht="16.100000000000001" x14ac:dyDescent="0.35">
      <c r="A909" s="262">
        <v>43560</v>
      </c>
      <c r="B909" s="224" t="s">
        <v>159</v>
      </c>
      <c r="C909" s="215" t="s">
        <v>158</v>
      </c>
      <c r="D909">
        <v>7085.65</v>
      </c>
      <c r="E909">
        <v>7060.63</v>
      </c>
      <c r="F909">
        <v>7073.26</v>
      </c>
      <c r="G909">
        <v>7024.57</v>
      </c>
      <c r="H909">
        <v>6975.2</v>
      </c>
      <c r="I909">
        <v>7031.63</v>
      </c>
      <c r="J909">
        <v>7039.19</v>
      </c>
      <c r="K909">
        <v>7104.83</v>
      </c>
      <c r="L909">
        <v>7153.67</v>
      </c>
      <c r="M909" s="221"/>
      <c r="N909" s="221"/>
      <c r="O909" s="221"/>
      <c r="P909" s="221"/>
      <c r="Q909" s="215">
        <f>IF((L910=""),"",MAX(D911:L911))</f>
        <v>3469.84</v>
      </c>
      <c r="R909" s="215">
        <f>IF(L910="","",MIN(D911:L911))</f>
        <v>3424.1800000000003</v>
      </c>
      <c r="S909" s="216">
        <f>IF((L911=""),"",AVERAGE(D911:L911))</f>
        <v>3444.235555555555</v>
      </c>
      <c r="T909" s="215">
        <f>IF((L910=""),"",((Q909-R909)/(Q909+R909))*100)</f>
        <v>0.66231313515191215</v>
      </c>
      <c r="U909" s="215">
        <f>STDEV(D909:L909)</f>
        <v>51.59203849540274</v>
      </c>
      <c r="V909" s="217" t="str">
        <f>IF(L910="","",(IF(T909&lt;7,IF(S909&gt;2800,IF(S909&lt;3800,"Pass","Fail"),"Fail"),"Fail")))</f>
        <v>Pass</v>
      </c>
      <c r="W909" s="215" t="s">
        <v>293</v>
      </c>
      <c r="X909" s="260" t="s">
        <v>304</v>
      </c>
      <c r="Y909" s="218"/>
      <c r="Z909" s="226">
        <v>2800</v>
      </c>
      <c r="AA909" s="226">
        <v>3800</v>
      </c>
      <c r="AB909" s="226">
        <v>3100</v>
      </c>
      <c r="AC909" s="226">
        <v>3760</v>
      </c>
      <c r="AD909" s="227">
        <v>6</v>
      </c>
    </row>
    <row r="910" spans="1:30" customFormat="1" ht="16.5" customHeight="1" x14ac:dyDescent="0.35">
      <c r="A910" s="234"/>
      <c r="B910" s="220"/>
      <c r="C910" s="215" t="s">
        <v>157</v>
      </c>
      <c r="D910">
        <v>5356.08</v>
      </c>
      <c r="E910">
        <v>5331.96</v>
      </c>
      <c r="F910">
        <v>5358.74</v>
      </c>
      <c r="G910">
        <v>5312.37</v>
      </c>
      <c r="H910">
        <v>5263.11</v>
      </c>
      <c r="I910">
        <v>5296.71</v>
      </c>
      <c r="J910">
        <v>5323.7</v>
      </c>
      <c r="K910">
        <v>5380.59</v>
      </c>
      <c r="L910">
        <v>5426.31</v>
      </c>
      <c r="M910" s="221"/>
      <c r="N910" s="221"/>
      <c r="O910" s="221"/>
      <c r="P910" s="221"/>
      <c r="Q910" s="215"/>
      <c r="R910" s="215"/>
      <c r="S910" s="216"/>
      <c r="T910" s="215"/>
      <c r="U910" s="215"/>
      <c r="V910" s="217"/>
      <c r="W910" s="215"/>
      <c r="X910" s="259"/>
      <c r="Y910" s="218"/>
      <c r="Z910" s="218"/>
      <c r="AA910" s="218"/>
      <c r="AB910" s="218"/>
      <c r="AC910" s="218"/>
      <c r="AD910" s="206"/>
    </row>
    <row r="911" spans="1:30" customFormat="1" ht="24.8" customHeight="1" thickBot="1" x14ac:dyDescent="0.4">
      <c r="A911" s="237"/>
      <c r="B911" s="228"/>
      <c r="C911" s="229" t="s">
        <v>156</v>
      </c>
      <c r="D911" s="230">
        <f t="shared" ref="D911:L911" si="298">IF(((D909="")*AND(D910="")),"",(D909-D910)*2)</f>
        <v>3459.1399999999994</v>
      </c>
      <c r="E911" s="230">
        <f t="shared" si="298"/>
        <v>3457.34</v>
      </c>
      <c r="F911" s="230">
        <f t="shared" si="298"/>
        <v>3429.0400000000009</v>
      </c>
      <c r="G911" s="230">
        <f t="shared" si="298"/>
        <v>3424.3999999999996</v>
      </c>
      <c r="H911" s="230">
        <f t="shared" si="298"/>
        <v>3424.1800000000003</v>
      </c>
      <c r="I911" s="230">
        <f t="shared" si="298"/>
        <v>3469.84</v>
      </c>
      <c r="J911" s="230">
        <f t="shared" si="298"/>
        <v>3430.9799999999996</v>
      </c>
      <c r="K911" s="230">
        <f t="shared" si="298"/>
        <v>3448.4799999999996</v>
      </c>
      <c r="L911" s="230">
        <f t="shared" si="298"/>
        <v>3454.7199999999993</v>
      </c>
      <c r="M911" s="231"/>
      <c r="N911" s="230"/>
      <c r="O911" s="230"/>
      <c r="P911" s="230"/>
      <c r="Q911" s="215"/>
      <c r="R911" s="215"/>
      <c r="S911" s="216"/>
      <c r="T911" s="215"/>
      <c r="U911" s="215"/>
      <c r="V911" s="217"/>
      <c r="W911" s="215"/>
      <c r="X911" s="259"/>
      <c r="Y911" s="218"/>
      <c r="Z911" s="218"/>
      <c r="AA911" s="218"/>
      <c r="AB911" s="218"/>
      <c r="AC911" s="218"/>
      <c r="AD911" s="206"/>
    </row>
    <row r="912" spans="1:30" customFormat="1" ht="16.100000000000001" x14ac:dyDescent="0.35">
      <c r="A912" s="262">
        <v>43564</v>
      </c>
      <c r="B912" s="212" t="s">
        <v>160</v>
      </c>
      <c r="C912" s="213" t="s">
        <v>158</v>
      </c>
      <c r="D912">
        <v>1929</v>
      </c>
      <c r="E912">
        <v>1924</v>
      </c>
      <c r="F912">
        <v>1924</v>
      </c>
      <c r="G912">
        <v>1923</v>
      </c>
      <c r="H912">
        <v>1931</v>
      </c>
      <c r="I912">
        <v>1930</v>
      </c>
      <c r="J912">
        <v>1925</v>
      </c>
      <c r="K912">
        <v>1927</v>
      </c>
      <c r="L912">
        <v>1933</v>
      </c>
      <c r="M912" s="214"/>
      <c r="N912" s="214"/>
      <c r="O912" s="214"/>
      <c r="P912" s="214"/>
      <c r="Q912" s="215">
        <f>IF((L913=""),"",MAX(D914:L914))</f>
        <v>3188</v>
      </c>
      <c r="R912" s="215">
        <f>IF(L913="","",MIN(D914:L914))</f>
        <v>2824</v>
      </c>
      <c r="S912" s="216">
        <f>IF((L914=""),"",AVERAGE(D914:L914))</f>
        <v>2971.1111111111113</v>
      </c>
      <c r="T912" s="215">
        <f>IF((L913=""),"",((Q912-R912)/(Q912+R912))*100)</f>
        <v>6.0545575515635397</v>
      </c>
      <c r="U912" s="215">
        <f>STDEV(D912:L912)</f>
        <v>3.5707142142714248</v>
      </c>
      <c r="V912" s="217" t="str">
        <f>IF(L913="","",(IF(T912&lt;12,IF(S912&gt;2200,IF(S912&lt;3280,"Pass","Fail"),"Fail"),"Fail")))</f>
        <v>Pass</v>
      </c>
      <c r="W912" s="215">
        <v>74</v>
      </c>
      <c r="X912" s="206"/>
      <c r="Y912" s="218"/>
      <c r="Z912" s="218">
        <v>2000</v>
      </c>
      <c r="AA912" s="218">
        <v>3000</v>
      </c>
      <c r="AB912" s="218">
        <v>2200</v>
      </c>
      <c r="AC912" s="218">
        <v>3280</v>
      </c>
      <c r="AD912" s="219">
        <v>12</v>
      </c>
    </row>
    <row r="913" spans="1:30" customFormat="1" ht="15.8" customHeight="1" x14ac:dyDescent="0.35">
      <c r="A913" s="234"/>
      <c r="B913" s="220"/>
      <c r="C913" s="215" t="s">
        <v>157</v>
      </c>
      <c r="D913">
        <v>1156</v>
      </c>
      <c r="E913">
        <v>1198</v>
      </c>
      <c r="F913">
        <v>1218</v>
      </c>
      <c r="G913">
        <v>1203</v>
      </c>
      <c r="H913">
        <v>1175</v>
      </c>
      <c r="I913">
        <v>1133</v>
      </c>
      <c r="J913">
        <v>1182</v>
      </c>
      <c r="K913">
        <v>1212</v>
      </c>
      <c r="L913">
        <v>1184</v>
      </c>
      <c r="M913" s="221"/>
      <c r="N913" s="221"/>
      <c r="O913" s="221"/>
      <c r="P913" s="221"/>
      <c r="Q913" s="215"/>
      <c r="R913" s="215"/>
      <c r="S913" s="215"/>
      <c r="T913" s="215"/>
      <c r="U913" s="215"/>
      <c r="V913" s="217"/>
      <c r="W913" s="215"/>
      <c r="Y913" s="218"/>
      <c r="Z913" s="218"/>
      <c r="AA913" s="218"/>
      <c r="AB913" s="218"/>
      <c r="AC913" s="218"/>
      <c r="AD913" s="206"/>
    </row>
    <row r="914" spans="1:30" customFormat="1" ht="23.95" customHeight="1" x14ac:dyDescent="0.35">
      <c r="A914" s="235"/>
      <c r="B914" s="222"/>
      <c r="C914" s="215" t="s">
        <v>156</v>
      </c>
      <c r="D914" s="223">
        <f t="shared" ref="D914:L914" si="299">IF(((D912="")*AND(D913="")),"",(D912-D913)*4)</f>
        <v>3092</v>
      </c>
      <c r="E914" s="223">
        <f t="shared" si="299"/>
        <v>2904</v>
      </c>
      <c r="F914" s="223">
        <f t="shared" si="299"/>
        <v>2824</v>
      </c>
      <c r="G914" s="223">
        <f t="shared" si="299"/>
        <v>2880</v>
      </c>
      <c r="H914" s="223">
        <f t="shared" si="299"/>
        <v>3024</v>
      </c>
      <c r="I914" s="223">
        <f t="shared" si="299"/>
        <v>3188</v>
      </c>
      <c r="J914" s="223">
        <f t="shared" si="299"/>
        <v>2972</v>
      </c>
      <c r="K914" s="223">
        <f t="shared" si="299"/>
        <v>2860</v>
      </c>
      <c r="L914" s="223">
        <f t="shared" si="299"/>
        <v>2996</v>
      </c>
      <c r="M914" s="232"/>
      <c r="N914" s="223"/>
      <c r="O914" s="223"/>
      <c r="P914" s="223" t="str">
        <f>IF(((P912="")*AND(P913="")),"",(P912-P913)*4)</f>
        <v/>
      </c>
      <c r="Q914" s="215"/>
      <c r="R914" s="215"/>
      <c r="S914" s="215"/>
      <c r="T914" s="215"/>
      <c r="U914" s="215"/>
      <c r="V914" s="217"/>
      <c r="W914" s="215"/>
      <c r="Y914" s="218"/>
      <c r="Z914" s="218"/>
      <c r="AA914" s="218"/>
      <c r="AB914" s="218"/>
      <c r="AC914" s="218"/>
      <c r="AD914" s="206"/>
    </row>
    <row r="915" spans="1:30" customFormat="1" ht="16.100000000000001" x14ac:dyDescent="0.35">
      <c r="A915" s="262">
        <v>43564</v>
      </c>
      <c r="B915" s="224" t="s">
        <v>159</v>
      </c>
      <c r="C915" s="215" t="s">
        <v>158</v>
      </c>
      <c r="D915">
        <v>6943</v>
      </c>
      <c r="E915">
        <v>6912</v>
      </c>
      <c r="F915">
        <v>6940</v>
      </c>
      <c r="G915">
        <v>6904</v>
      </c>
      <c r="H915">
        <v>6890</v>
      </c>
      <c r="I915">
        <v>6953</v>
      </c>
      <c r="J915">
        <v>6944</v>
      </c>
      <c r="K915">
        <v>6956</v>
      </c>
      <c r="L915">
        <v>7083</v>
      </c>
      <c r="M915" s="221"/>
      <c r="N915" s="221"/>
      <c r="O915" s="221"/>
      <c r="P915" s="221"/>
      <c r="Q915" s="215">
        <f>IF((L916=""),"",MAX(D917:L917))</f>
        <v>3290</v>
      </c>
      <c r="R915" s="215">
        <f>IF(L916="","",MIN(D917:L917))</f>
        <v>3196</v>
      </c>
      <c r="S915" s="216">
        <f>IF((L917=""),"",AVERAGE(D917:L917))</f>
        <v>3251.7777777777778</v>
      </c>
      <c r="T915" s="215">
        <f>IF((L916=""),"",((Q915-R915)/(Q915+R915))*100)</f>
        <v>1.4492753623188406</v>
      </c>
      <c r="U915" s="215">
        <f>STDEV(D915:L915)</f>
        <v>55.912381852720642</v>
      </c>
      <c r="V915" s="217" t="str">
        <f>IF(L916="","",(IF(T915&lt;7,IF(S915&gt;2800,IF(S915&lt;3800,"Pass","Fail"),"Fail"),"Fail")))</f>
        <v>Pass</v>
      </c>
      <c r="W915" s="215">
        <v>74</v>
      </c>
      <c r="X915" s="206"/>
      <c r="Y915" s="218"/>
      <c r="Z915" s="226">
        <v>2800</v>
      </c>
      <c r="AA915" s="226">
        <v>3800</v>
      </c>
      <c r="AB915" s="226">
        <v>3100</v>
      </c>
      <c r="AC915" s="226">
        <v>3760</v>
      </c>
      <c r="AD915" s="227">
        <v>6</v>
      </c>
    </row>
    <row r="916" spans="1:30" customFormat="1" ht="16.5" customHeight="1" x14ac:dyDescent="0.35">
      <c r="A916" s="234"/>
      <c r="B916" s="220"/>
      <c r="C916" s="215" t="s">
        <v>157</v>
      </c>
      <c r="D916">
        <v>5304</v>
      </c>
      <c r="E916">
        <v>5267</v>
      </c>
      <c r="F916">
        <v>5310</v>
      </c>
      <c r="G916">
        <v>5259</v>
      </c>
      <c r="H916">
        <v>5288</v>
      </c>
      <c r="I916">
        <v>5334</v>
      </c>
      <c r="J916">
        <v>5313</v>
      </c>
      <c r="K916">
        <v>5332</v>
      </c>
      <c r="L916">
        <v>5485</v>
      </c>
      <c r="M916" s="221"/>
      <c r="N916" s="221"/>
      <c r="O916" s="221"/>
      <c r="P916" s="221"/>
      <c r="Q916" s="215"/>
      <c r="R916" s="215"/>
      <c r="S916" s="216"/>
      <c r="T916" s="215"/>
      <c r="U916" s="215"/>
      <c r="V916" s="217"/>
      <c r="W916" s="215"/>
      <c r="Y916" s="218"/>
      <c r="Z916" s="218"/>
      <c r="AA916" s="218"/>
      <c r="AB916" s="218"/>
      <c r="AC916" s="218"/>
      <c r="AD916" s="206"/>
    </row>
    <row r="917" spans="1:30" customFormat="1" ht="24.8" customHeight="1" thickBot="1" x14ac:dyDescent="0.4">
      <c r="A917" s="237"/>
      <c r="B917" s="228"/>
      <c r="C917" s="229" t="s">
        <v>156</v>
      </c>
      <c r="D917" s="230">
        <f t="shared" ref="D917:L917" si="300">IF(((D915="")*AND(D916="")),"",(D915-D916)*2)</f>
        <v>3278</v>
      </c>
      <c r="E917" s="230">
        <f t="shared" si="300"/>
        <v>3290</v>
      </c>
      <c r="F917" s="230">
        <f t="shared" si="300"/>
        <v>3260</v>
      </c>
      <c r="G917" s="230">
        <f t="shared" si="300"/>
        <v>3290</v>
      </c>
      <c r="H917" s="230">
        <f t="shared" si="300"/>
        <v>3204</v>
      </c>
      <c r="I917" s="230">
        <f t="shared" si="300"/>
        <v>3238</v>
      </c>
      <c r="J917" s="230">
        <f t="shared" si="300"/>
        <v>3262</v>
      </c>
      <c r="K917" s="230">
        <f t="shared" si="300"/>
        <v>3248</v>
      </c>
      <c r="L917" s="230">
        <f t="shared" si="300"/>
        <v>3196</v>
      </c>
      <c r="M917" s="231"/>
      <c r="N917" s="230"/>
      <c r="O917" s="230"/>
      <c r="P917" s="230"/>
      <c r="Q917" s="215"/>
      <c r="R917" s="215"/>
      <c r="S917" s="216"/>
      <c r="T917" s="215"/>
      <c r="U917" s="215"/>
      <c r="V917" s="217"/>
      <c r="W917" s="215"/>
      <c r="Y917" s="218"/>
      <c r="Z917" s="218"/>
      <c r="AA917" s="218"/>
      <c r="AB917" s="218"/>
      <c r="AC917" s="218"/>
      <c r="AD917" s="206"/>
    </row>
    <row r="918" spans="1:30" customFormat="1" ht="16.100000000000001" x14ac:dyDescent="0.35">
      <c r="A918" s="262">
        <v>43577</v>
      </c>
      <c r="B918" s="212" t="s">
        <v>160</v>
      </c>
      <c r="C918" s="213" t="s">
        <v>158</v>
      </c>
      <c r="D918">
        <v>1156</v>
      </c>
      <c r="E918">
        <v>1198</v>
      </c>
      <c r="F918">
        <v>1218</v>
      </c>
      <c r="G918">
        <v>1203</v>
      </c>
      <c r="H918">
        <v>1175</v>
      </c>
      <c r="I918">
        <v>1133</v>
      </c>
      <c r="J918">
        <v>1182</v>
      </c>
      <c r="K918">
        <v>1212</v>
      </c>
      <c r="L918">
        <v>1184</v>
      </c>
      <c r="M918" s="214"/>
      <c r="N918" s="214"/>
      <c r="O918" s="214"/>
      <c r="P918" s="214"/>
      <c r="Q918" s="215">
        <f>IF((L919=""),"",MAX(D920:L920))</f>
        <v>2984</v>
      </c>
      <c r="R918" s="215">
        <f>IF(L919="","",MIN(D920:L920))</f>
        <v>2620</v>
      </c>
      <c r="S918" s="216">
        <f>IF((L920=""),"",AVERAGE(D920:L920))</f>
        <v>2783.5555555555557</v>
      </c>
      <c r="T918" s="215">
        <f>IF((L919=""),"",((Q918-R918)/(Q918+R918))*100)</f>
        <v>6.4953604568165595</v>
      </c>
      <c r="U918" s="215">
        <f>STDEV(D918:L918)</f>
        <v>27.304354557062467</v>
      </c>
      <c r="V918" s="217" t="str">
        <f>IF(L919="","",(IF(T918&lt;12,IF(S918&gt;2200,IF(S918&lt;3280,"Pass","Fail"),"Fail"),"Fail")))</f>
        <v>Pass</v>
      </c>
      <c r="W918" s="215">
        <v>1340</v>
      </c>
      <c r="X918" s="260" t="s">
        <v>305</v>
      </c>
      <c r="Y918" s="218"/>
      <c r="Z918" s="218">
        <v>2000</v>
      </c>
      <c r="AA918" s="218">
        <v>3000</v>
      </c>
      <c r="AB918" s="218">
        <v>2200</v>
      </c>
      <c r="AC918" s="218">
        <v>3280</v>
      </c>
      <c r="AD918" s="219">
        <v>12</v>
      </c>
    </row>
    <row r="919" spans="1:30" customFormat="1" ht="15.8" customHeight="1" x14ac:dyDescent="0.35">
      <c r="A919" s="234"/>
      <c r="B919" s="220"/>
      <c r="C919" s="215" t="s">
        <v>157</v>
      </c>
      <c r="D919">
        <v>435</v>
      </c>
      <c r="E919">
        <v>520</v>
      </c>
      <c r="F919">
        <v>563</v>
      </c>
      <c r="G919">
        <v>521</v>
      </c>
      <c r="H919">
        <v>459</v>
      </c>
      <c r="I919">
        <v>387</v>
      </c>
      <c r="J919">
        <v>493</v>
      </c>
      <c r="K919">
        <v>541</v>
      </c>
      <c r="L919">
        <v>479</v>
      </c>
      <c r="M919" s="221"/>
      <c r="N919" s="221"/>
      <c r="O919" s="221"/>
      <c r="P919" s="221"/>
      <c r="Q919" s="215"/>
      <c r="R919" s="215"/>
      <c r="S919" s="215"/>
      <c r="T919" s="215"/>
      <c r="U919" s="215"/>
      <c r="V919" s="217"/>
      <c r="W919" s="215"/>
      <c r="X919" s="259"/>
      <c r="Y919" s="218"/>
      <c r="Z919" s="218"/>
      <c r="AA919" s="218"/>
      <c r="AB919" s="218"/>
      <c r="AC919" s="218"/>
      <c r="AD919" s="206"/>
    </row>
    <row r="920" spans="1:30" customFormat="1" ht="23.95" customHeight="1" x14ac:dyDescent="0.35">
      <c r="A920" s="235"/>
      <c r="B920" s="222"/>
      <c r="C920" s="215" t="s">
        <v>156</v>
      </c>
      <c r="D920" s="223">
        <f t="shared" ref="D920:L920" si="301">IF(((D918="")*AND(D919="")),"",(D918-D919)*4)</f>
        <v>2884</v>
      </c>
      <c r="E920" s="223">
        <f t="shared" si="301"/>
        <v>2712</v>
      </c>
      <c r="F920" s="223">
        <f t="shared" si="301"/>
        <v>2620</v>
      </c>
      <c r="G920" s="223">
        <f t="shared" si="301"/>
        <v>2728</v>
      </c>
      <c r="H920" s="223">
        <f t="shared" si="301"/>
        <v>2864</v>
      </c>
      <c r="I920" s="223">
        <f t="shared" si="301"/>
        <v>2984</v>
      </c>
      <c r="J920" s="223">
        <f t="shared" si="301"/>
        <v>2756</v>
      </c>
      <c r="K920" s="223">
        <f t="shared" si="301"/>
        <v>2684</v>
      </c>
      <c r="L920" s="223">
        <f t="shared" si="301"/>
        <v>2820</v>
      </c>
      <c r="M920" s="232"/>
      <c r="N920" s="223"/>
      <c r="O920" s="223"/>
      <c r="P920" s="223" t="str">
        <f>IF(((P918="")*AND(P919="")),"",(P918-P919)*4)</f>
        <v/>
      </c>
      <c r="Q920" s="215"/>
      <c r="R920" s="215"/>
      <c r="S920" s="215"/>
      <c r="T920" s="215"/>
      <c r="U920" s="215"/>
      <c r="V920" s="217"/>
      <c r="W920" s="215"/>
      <c r="X920" s="259"/>
      <c r="Y920" s="218"/>
      <c r="Z920" s="218"/>
      <c r="AA920" s="218"/>
      <c r="AB920" s="218"/>
      <c r="AC920" s="218"/>
      <c r="AD920" s="206"/>
    </row>
    <row r="921" spans="1:30" customFormat="1" ht="16.100000000000001" x14ac:dyDescent="0.35">
      <c r="A921" s="262">
        <v>43577</v>
      </c>
      <c r="B921" s="224" t="s">
        <v>159</v>
      </c>
      <c r="C921" s="215" t="s">
        <v>158</v>
      </c>
      <c r="D921">
        <v>5305</v>
      </c>
      <c r="E921">
        <v>5268</v>
      </c>
      <c r="F921">
        <v>5310</v>
      </c>
      <c r="G921">
        <v>5259</v>
      </c>
      <c r="H921">
        <v>5288</v>
      </c>
      <c r="I921">
        <v>5334</v>
      </c>
      <c r="J921">
        <v>5313</v>
      </c>
      <c r="K921">
        <v>5332</v>
      </c>
      <c r="L921">
        <v>5485</v>
      </c>
      <c r="M921" s="221"/>
      <c r="N921" s="221"/>
      <c r="O921" s="221"/>
      <c r="P921" s="221"/>
      <c r="Q921" s="215">
        <f>IF((L922=""),"",MAX(D923:L923))</f>
        <v>3926</v>
      </c>
      <c r="R921" s="215">
        <f>IF(L922="","",MIN(D923:L923))</f>
        <v>3472</v>
      </c>
      <c r="S921" s="216">
        <f>IF((L923=""),"",AVERAGE(D923:L923))</f>
        <v>3634.6666666666665</v>
      </c>
      <c r="T921" s="215">
        <f>IF((L922=""),"",((Q921-R921)/(Q921+R921))*100)</f>
        <v>6.1367937280346041</v>
      </c>
      <c r="U921" s="215">
        <f>STDEV(D921:L921)</f>
        <v>66.488929738549544</v>
      </c>
      <c r="V921" s="217" t="str">
        <f>IF(L922="","",(IF(T921&lt;7,IF(S921&gt;2800,IF(S921&lt;3800,"Pass","Fail"),"Fail"),"Fail")))</f>
        <v>Pass</v>
      </c>
      <c r="W921" s="215">
        <v>1340</v>
      </c>
      <c r="X921" s="260" t="s">
        <v>305</v>
      </c>
      <c r="Y921" s="218"/>
      <c r="Z921" s="226">
        <v>2800</v>
      </c>
      <c r="AA921" s="226">
        <v>3800</v>
      </c>
      <c r="AB921" s="226">
        <v>3100</v>
      </c>
      <c r="AC921" s="226">
        <v>3760</v>
      </c>
      <c r="AD921" s="227">
        <v>6</v>
      </c>
    </row>
    <row r="922" spans="1:30" customFormat="1" ht="16.5" customHeight="1" x14ac:dyDescent="0.35">
      <c r="A922" s="234"/>
      <c r="B922" s="220"/>
      <c r="C922" s="215" t="s">
        <v>157</v>
      </c>
      <c r="D922">
        <v>3502</v>
      </c>
      <c r="E922">
        <v>3449</v>
      </c>
      <c r="F922">
        <v>3502</v>
      </c>
      <c r="G922">
        <v>3449</v>
      </c>
      <c r="H922">
        <v>3325</v>
      </c>
      <c r="I922">
        <v>3532</v>
      </c>
      <c r="J922">
        <v>3503</v>
      </c>
      <c r="K922">
        <v>3527</v>
      </c>
      <c r="L922">
        <v>3749</v>
      </c>
      <c r="M922" s="221"/>
      <c r="N922" s="221"/>
      <c r="O922" s="221"/>
      <c r="P922" s="221"/>
      <c r="Q922" s="215"/>
      <c r="R922" s="215"/>
      <c r="S922" s="216"/>
      <c r="T922" s="215"/>
      <c r="U922" s="215"/>
      <c r="V922" s="217"/>
      <c r="W922" s="215"/>
      <c r="X922" s="259"/>
      <c r="Y922" s="218"/>
      <c r="Z922" s="218"/>
      <c r="AA922" s="218"/>
      <c r="AB922" s="218"/>
      <c r="AC922" s="218"/>
      <c r="AD922" s="206"/>
    </row>
    <row r="923" spans="1:30" customFormat="1" ht="24.8" customHeight="1" thickBot="1" x14ac:dyDescent="0.4">
      <c r="A923" s="237"/>
      <c r="B923" s="228"/>
      <c r="C923" s="229" t="s">
        <v>156</v>
      </c>
      <c r="D923" s="230">
        <f t="shared" ref="D923:L923" si="302">IF(((D921="")*AND(D922="")),"",(D921-D922)*2)</f>
        <v>3606</v>
      </c>
      <c r="E923" s="230">
        <f t="shared" si="302"/>
        <v>3638</v>
      </c>
      <c r="F923" s="230">
        <f t="shared" si="302"/>
        <v>3616</v>
      </c>
      <c r="G923" s="230">
        <f t="shared" si="302"/>
        <v>3620</v>
      </c>
      <c r="H923" s="230">
        <f t="shared" si="302"/>
        <v>3926</v>
      </c>
      <c r="I923" s="230">
        <f t="shared" si="302"/>
        <v>3604</v>
      </c>
      <c r="J923" s="230">
        <f t="shared" si="302"/>
        <v>3620</v>
      </c>
      <c r="K923" s="230">
        <f t="shared" si="302"/>
        <v>3610</v>
      </c>
      <c r="L923" s="230">
        <f t="shared" si="302"/>
        <v>3472</v>
      </c>
      <c r="M923" s="231"/>
      <c r="N923" s="230"/>
      <c r="O923" s="230"/>
      <c r="P923" s="230"/>
      <c r="Q923" s="215"/>
      <c r="R923" s="215"/>
      <c r="S923" s="216"/>
      <c r="T923" s="215"/>
      <c r="U923" s="215"/>
      <c r="V923" s="217"/>
      <c r="W923" s="215"/>
      <c r="X923" s="259"/>
      <c r="Y923" s="218"/>
      <c r="Z923" s="218"/>
      <c r="AA923" s="218"/>
      <c r="AB923" s="218"/>
      <c r="AC923" s="218"/>
      <c r="AD923" s="206"/>
    </row>
    <row r="924" spans="1:30" customFormat="1" ht="16.100000000000001" x14ac:dyDescent="0.35">
      <c r="A924" s="262">
        <v>43581</v>
      </c>
      <c r="B924" s="212" t="s">
        <v>160</v>
      </c>
      <c r="C924" s="213" t="s">
        <v>158</v>
      </c>
      <c r="D924" s="238">
        <v>1921.3</v>
      </c>
      <c r="E924">
        <v>1919.1</v>
      </c>
      <c r="F924">
        <v>1915.74</v>
      </c>
      <c r="G924">
        <v>1923.65</v>
      </c>
      <c r="H924">
        <v>1931.06</v>
      </c>
      <c r="I924">
        <v>1931.14</v>
      </c>
      <c r="J924">
        <v>1924.01</v>
      </c>
      <c r="K924">
        <v>1920.76</v>
      </c>
      <c r="L924">
        <v>1929.71</v>
      </c>
      <c r="M924" s="214"/>
      <c r="N924" s="214"/>
      <c r="O924" s="214"/>
      <c r="P924" s="214"/>
      <c r="Q924" s="215">
        <f>IF((L925=""),"",MAX(D926:L926))</f>
        <v>3085.16</v>
      </c>
      <c r="R924" s="215">
        <f>IF(L925="","",MIN(D926:L926))</f>
        <v>2733.5200000000004</v>
      </c>
      <c r="S924" s="216">
        <f>IF((L926=""),"",AVERAGE(D926:L926))</f>
        <v>2865.7111111111108</v>
      </c>
      <c r="T924" s="215">
        <f>IF((L925=""),"",((Q924-R924)/(Q924+R924))*100)</f>
        <v>6.0432950428619447</v>
      </c>
      <c r="U924" s="215">
        <f>STDEV(D924:L924)</f>
        <v>5.5175918156787116</v>
      </c>
      <c r="V924" s="217" t="str">
        <f>IF(L925="","",(IF(T924&lt;12,IF(S924&gt;2200,IF(S924&lt;3280,"Pass","Fail"),"Fail"),"Fail")))</f>
        <v>Pass</v>
      </c>
      <c r="W924" s="215">
        <v>1159</v>
      </c>
      <c r="X924" s="260" t="s">
        <v>306</v>
      </c>
      <c r="Y924" s="218"/>
      <c r="Z924" s="218">
        <v>2000</v>
      </c>
      <c r="AA924" s="218">
        <v>3000</v>
      </c>
      <c r="AB924" s="218">
        <v>2200</v>
      </c>
      <c r="AC924" s="218">
        <v>3280</v>
      </c>
      <c r="AD924" s="219">
        <v>12</v>
      </c>
    </row>
    <row r="925" spans="1:30" customFormat="1" ht="15.8" customHeight="1" x14ac:dyDescent="0.35">
      <c r="A925" s="234"/>
      <c r="B925" s="220"/>
      <c r="C925" s="215" t="s">
        <v>157</v>
      </c>
      <c r="D925" s="239">
        <v>1195.79</v>
      </c>
      <c r="E925">
        <v>1221.5</v>
      </c>
      <c r="F925">
        <v>1232.3599999999999</v>
      </c>
      <c r="G925">
        <v>1222.02</v>
      </c>
      <c r="H925">
        <v>1192.19</v>
      </c>
      <c r="I925">
        <v>1208.6600000000001</v>
      </c>
      <c r="J925">
        <v>1231.76</v>
      </c>
      <c r="K925">
        <v>1205.92</v>
      </c>
      <c r="L925">
        <v>1158.42</v>
      </c>
      <c r="M925" s="221"/>
      <c r="N925" s="221"/>
      <c r="O925" s="221"/>
      <c r="P925" s="221"/>
      <c r="Q925" s="215"/>
      <c r="R925" s="215"/>
      <c r="S925" s="215"/>
      <c r="T925" s="215"/>
      <c r="U925" s="215"/>
      <c r="V925" s="217"/>
      <c r="W925" s="215"/>
      <c r="X925" s="259"/>
      <c r="Y925" s="218"/>
      <c r="Z925" s="218"/>
      <c r="AA925" s="218"/>
      <c r="AB925" s="218"/>
      <c r="AC925" s="218"/>
      <c r="AD925" s="206"/>
    </row>
    <row r="926" spans="1:30" customFormat="1" ht="23.95" customHeight="1" x14ac:dyDescent="0.35">
      <c r="A926" s="235"/>
      <c r="B926" s="222"/>
      <c r="C926" s="215" t="s">
        <v>156</v>
      </c>
      <c r="D926" s="223">
        <f t="shared" ref="D926:L926" si="303">IF(((D924="")*AND(D925="")),"",(D924-D925)*4)</f>
        <v>2902.04</v>
      </c>
      <c r="E926" s="223">
        <f t="shared" si="303"/>
        <v>2790.3999999999996</v>
      </c>
      <c r="F926" s="223">
        <f t="shared" si="303"/>
        <v>2733.5200000000004</v>
      </c>
      <c r="G926" s="223">
        <f t="shared" si="303"/>
        <v>2806.5200000000004</v>
      </c>
      <c r="H926" s="223">
        <f t="shared" si="303"/>
        <v>2955.4799999999996</v>
      </c>
      <c r="I926" s="223">
        <f t="shared" si="303"/>
        <v>2889.92</v>
      </c>
      <c r="J926" s="223">
        <f t="shared" si="303"/>
        <v>2769</v>
      </c>
      <c r="K926" s="223">
        <f t="shared" si="303"/>
        <v>2859.3599999999997</v>
      </c>
      <c r="L926" s="223">
        <f t="shared" si="303"/>
        <v>3085.16</v>
      </c>
      <c r="M926" s="232"/>
      <c r="N926" s="223"/>
      <c r="O926" s="223"/>
      <c r="P926" s="223" t="str">
        <f>IF(((P924="")*AND(P925="")),"",(P924-P925)*4)</f>
        <v/>
      </c>
      <c r="Q926" s="215"/>
      <c r="R926" s="215"/>
      <c r="S926" s="215"/>
      <c r="T926" s="215"/>
      <c r="U926" s="215"/>
      <c r="V926" s="217"/>
      <c r="W926" s="215"/>
      <c r="X926" s="259"/>
      <c r="Y926" s="218"/>
      <c r="Z926" s="218"/>
      <c r="AA926" s="218"/>
      <c r="AB926" s="218"/>
      <c r="AC926" s="218"/>
      <c r="AD926" s="206"/>
    </row>
    <row r="927" spans="1:30" customFormat="1" ht="16.100000000000001" x14ac:dyDescent="0.35">
      <c r="A927" s="262">
        <v>43581</v>
      </c>
      <c r="B927" s="224" t="s">
        <v>159</v>
      </c>
      <c r="C927" s="215" t="s">
        <v>158</v>
      </c>
      <c r="D927" s="239">
        <v>6969.85</v>
      </c>
      <c r="E927">
        <v>6946.13</v>
      </c>
      <c r="F927">
        <v>6967.28</v>
      </c>
      <c r="G927">
        <v>6909.29</v>
      </c>
      <c r="H927">
        <v>6834.38</v>
      </c>
      <c r="I927">
        <v>6898.51</v>
      </c>
      <c r="J927">
        <v>6921.08</v>
      </c>
      <c r="K927">
        <v>6983.66</v>
      </c>
      <c r="L927">
        <v>7005.73</v>
      </c>
      <c r="M927" s="221"/>
      <c r="N927" s="221"/>
      <c r="O927" s="221"/>
      <c r="P927" s="221"/>
      <c r="Q927" s="215">
        <f>IF((L928=""),"",MAX(D929:L929))</f>
        <v>3652.6800000000003</v>
      </c>
      <c r="R927" s="215">
        <f>IF(L928="","",MIN(D929:L929))</f>
        <v>3537.0199999999986</v>
      </c>
      <c r="S927" s="216">
        <f>IF((L929=""),"",AVERAGE(D929:L929))</f>
        <v>3568.8822222222216</v>
      </c>
      <c r="T927" s="215">
        <f>IF((L928=""),"",((Q927-R927)/(Q927+R927))*100)</f>
        <v>1.6086902096054314</v>
      </c>
      <c r="U927" s="215">
        <f>STDEV(D927:L927)</f>
        <v>52.45595819351685</v>
      </c>
      <c r="V927" s="217" t="str">
        <f>IF(L928="","",(IF(T927&lt;7,IF(S927&gt;2800,IF(S927&lt;3800,"Pass","Fail"),"Fail"),"Fail")))</f>
        <v>Pass</v>
      </c>
      <c r="W927" s="215">
        <v>1159</v>
      </c>
      <c r="X927" s="260" t="s">
        <v>306</v>
      </c>
      <c r="Y927" s="218"/>
      <c r="Z927" s="226">
        <v>2800</v>
      </c>
      <c r="AA927" s="226">
        <v>3800</v>
      </c>
      <c r="AB927" s="226">
        <v>3100</v>
      </c>
      <c r="AC927" s="226">
        <v>3760</v>
      </c>
      <c r="AD927" s="227">
        <v>6</v>
      </c>
    </row>
    <row r="928" spans="1:30" customFormat="1" ht="16.5" customHeight="1" x14ac:dyDescent="0.35">
      <c r="A928" s="234"/>
      <c r="B928" s="220"/>
      <c r="C928" s="215" t="s">
        <v>157</v>
      </c>
      <c r="D928" s="239">
        <v>5182.42</v>
      </c>
      <c r="E928">
        <v>5173.0600000000004</v>
      </c>
      <c r="F928">
        <v>5198.7700000000004</v>
      </c>
      <c r="G928">
        <v>5137.05</v>
      </c>
      <c r="H928">
        <v>5034.01</v>
      </c>
      <c r="I928">
        <v>5072.17</v>
      </c>
      <c r="J928">
        <v>5145.3</v>
      </c>
      <c r="K928">
        <v>5212.84</v>
      </c>
      <c r="L928">
        <v>5220.32</v>
      </c>
      <c r="M928" s="221"/>
      <c r="N928" s="221"/>
      <c r="O928" s="221"/>
      <c r="P928" s="221"/>
      <c r="Q928" s="215"/>
      <c r="R928" s="215"/>
      <c r="S928" s="216"/>
      <c r="T928" s="215"/>
      <c r="U928" s="215"/>
      <c r="V928" s="217"/>
      <c r="W928" s="215"/>
      <c r="X928" s="259"/>
      <c r="Y928" s="218"/>
      <c r="Z928" s="218"/>
      <c r="AA928" s="218"/>
      <c r="AB928" s="218"/>
      <c r="AC928" s="218"/>
      <c r="AD928" s="206"/>
    </row>
    <row r="929" spans="1:30" customFormat="1" ht="24.8" customHeight="1" thickBot="1" x14ac:dyDescent="0.4">
      <c r="A929" s="237"/>
      <c r="B929" s="228"/>
      <c r="C929" s="229" t="s">
        <v>156</v>
      </c>
      <c r="D929" s="230">
        <f t="shared" ref="D929:L929" si="304">IF(((D927="")*AND(D928="")),"",(D927-D928)*2)</f>
        <v>3574.8600000000006</v>
      </c>
      <c r="E929" s="230">
        <f t="shared" si="304"/>
        <v>3546.1399999999994</v>
      </c>
      <c r="F929" s="230">
        <f t="shared" si="304"/>
        <v>3537.0199999999986</v>
      </c>
      <c r="G929" s="230">
        <f t="shared" si="304"/>
        <v>3544.4799999999996</v>
      </c>
      <c r="H929" s="230">
        <f t="shared" si="304"/>
        <v>3600.74</v>
      </c>
      <c r="I929" s="230">
        <f t="shared" si="304"/>
        <v>3652.6800000000003</v>
      </c>
      <c r="J929" s="230">
        <f t="shared" si="304"/>
        <v>3551.5599999999995</v>
      </c>
      <c r="K929" s="230">
        <f t="shared" si="304"/>
        <v>3541.6399999999994</v>
      </c>
      <c r="L929" s="230">
        <f t="shared" si="304"/>
        <v>3570.8199999999997</v>
      </c>
      <c r="M929" s="231"/>
      <c r="N929" s="230"/>
      <c r="O929" s="230"/>
      <c r="P929" s="230"/>
      <c r="Q929" s="215"/>
      <c r="R929" s="215"/>
      <c r="S929" s="216"/>
      <c r="T929" s="215"/>
      <c r="U929" s="215"/>
      <c r="V929" s="217"/>
      <c r="W929" s="215"/>
      <c r="X929" s="259"/>
      <c r="Y929" s="218"/>
      <c r="Z929" s="218"/>
      <c r="AA929" s="218"/>
      <c r="AB929" s="218"/>
      <c r="AC929" s="218"/>
      <c r="AD929" s="206"/>
    </row>
    <row r="930" spans="1:30" customFormat="1" ht="16.100000000000001" x14ac:dyDescent="0.35">
      <c r="A930" s="262">
        <v>43585</v>
      </c>
      <c r="B930" s="212" t="s">
        <v>160</v>
      </c>
      <c r="C930" s="213" t="s">
        <v>158</v>
      </c>
      <c r="D930" s="239">
        <v>1969.62</v>
      </c>
      <c r="E930">
        <v>1964.92</v>
      </c>
      <c r="F930">
        <v>1955.45</v>
      </c>
      <c r="G930">
        <v>1965.22</v>
      </c>
      <c r="H930">
        <v>1968.51</v>
      </c>
      <c r="I930">
        <v>1964.74</v>
      </c>
      <c r="J930">
        <v>1960.94</v>
      </c>
      <c r="K930">
        <v>1967.41</v>
      </c>
      <c r="L930">
        <v>1972.33</v>
      </c>
      <c r="M930" s="214"/>
      <c r="N930" s="214"/>
      <c r="O930" s="214"/>
      <c r="P930" s="214"/>
      <c r="Q930" s="215">
        <f>IF((L931=""),"",MAX(D932:L932))</f>
        <v>3284.7200000000003</v>
      </c>
      <c r="R930" s="215">
        <f>IF(L931="","",MIN(D932:L932))</f>
        <v>2927.08</v>
      </c>
      <c r="S930" s="216">
        <f>IF((L932=""),"",AVERAGE(D932:L932))</f>
        <v>3087.0488888888885</v>
      </c>
      <c r="T930" s="215">
        <f>IF((L931=""),"",((Q930-R930)/(Q930+R930))*100)</f>
        <v>5.7574294085450326</v>
      </c>
      <c r="U930" s="215">
        <f>STDEV(D930:L930)</f>
        <v>4.9888074727332992</v>
      </c>
      <c r="V930" s="217" t="str">
        <f>IF(L931="","",(IF(T930&lt;12,IF(S930&gt;2200,IF(S930&lt;3280,"Pass","Fail"),"Fail"),"Fail")))</f>
        <v>Pass</v>
      </c>
      <c r="W930" s="215">
        <v>1159</v>
      </c>
      <c r="X930" s="260" t="s">
        <v>307</v>
      </c>
      <c r="Y930" s="218"/>
      <c r="Z930" s="218">
        <v>2000</v>
      </c>
      <c r="AA930" s="218">
        <v>3000</v>
      </c>
      <c r="AB930" s="218">
        <v>2200</v>
      </c>
      <c r="AC930" s="218">
        <v>3280</v>
      </c>
      <c r="AD930" s="219">
        <v>12</v>
      </c>
    </row>
    <row r="931" spans="1:30" customFormat="1" ht="15.8" customHeight="1" x14ac:dyDescent="0.35">
      <c r="A931" s="234"/>
      <c r="B931" s="220"/>
      <c r="C931" s="215" t="s">
        <v>157</v>
      </c>
      <c r="D931" s="239">
        <v>1169.6400000000001</v>
      </c>
      <c r="E931">
        <v>1208.74</v>
      </c>
      <c r="F931">
        <v>1223.68</v>
      </c>
      <c r="G931">
        <v>1208.49</v>
      </c>
      <c r="H931">
        <v>1180.5</v>
      </c>
      <c r="I931">
        <v>1143.56</v>
      </c>
      <c r="J931">
        <v>1191.54</v>
      </c>
      <c r="K931">
        <v>1223.74</v>
      </c>
      <c r="L931">
        <v>1193.3900000000001</v>
      </c>
      <c r="M931" s="221"/>
      <c r="N931" s="221"/>
      <c r="O931" s="221"/>
      <c r="P931" s="221"/>
      <c r="Q931" s="215"/>
      <c r="R931" s="215"/>
      <c r="S931" s="215"/>
      <c r="T931" s="215"/>
      <c r="U931" s="215"/>
      <c r="V931" s="217"/>
      <c r="W931" s="215"/>
      <c r="X931" s="259"/>
      <c r="Y931" s="218"/>
      <c r="Z931" s="218"/>
      <c r="AA931" s="218"/>
      <c r="AB931" s="218"/>
      <c r="AC931" s="218"/>
      <c r="AD931" s="206"/>
    </row>
    <row r="932" spans="1:30" customFormat="1" ht="23.95" customHeight="1" x14ac:dyDescent="0.35">
      <c r="A932" s="235"/>
      <c r="B932" s="222"/>
      <c r="C932" s="215" t="s">
        <v>156</v>
      </c>
      <c r="D932" s="223">
        <f t="shared" ref="D932:L932" si="305">IF(((D930="")*AND(D931="")),"",(D930-D931)*4)</f>
        <v>3199.9199999999992</v>
      </c>
      <c r="E932" s="223">
        <f t="shared" si="305"/>
        <v>3024.7200000000003</v>
      </c>
      <c r="F932" s="223">
        <f t="shared" si="305"/>
        <v>2927.08</v>
      </c>
      <c r="G932" s="223">
        <f t="shared" si="305"/>
        <v>3026.92</v>
      </c>
      <c r="H932" s="223">
        <f t="shared" si="305"/>
        <v>3152.04</v>
      </c>
      <c r="I932" s="223">
        <f t="shared" si="305"/>
        <v>3284.7200000000003</v>
      </c>
      <c r="J932" s="223">
        <f t="shared" si="305"/>
        <v>3077.6000000000004</v>
      </c>
      <c r="K932" s="223">
        <f t="shared" si="305"/>
        <v>2974.6800000000003</v>
      </c>
      <c r="L932" s="223">
        <f t="shared" si="305"/>
        <v>3115.7599999999993</v>
      </c>
      <c r="M932" s="232"/>
      <c r="N932" s="223"/>
      <c r="O932" s="223"/>
      <c r="P932" s="223" t="str">
        <f>IF(((P930="")*AND(P931="")),"",(P930-P931)*4)</f>
        <v/>
      </c>
      <c r="Q932" s="215"/>
      <c r="R932" s="215"/>
      <c r="S932" s="215"/>
      <c r="T932" s="215"/>
      <c r="U932" s="215"/>
      <c r="V932" s="217"/>
      <c r="W932" s="215"/>
      <c r="X932" s="259"/>
      <c r="Y932" s="218"/>
      <c r="Z932" s="218"/>
      <c r="AA932" s="218"/>
      <c r="AB932" s="218"/>
      <c r="AC932" s="218"/>
      <c r="AD932" s="206"/>
    </row>
    <row r="933" spans="1:30" customFormat="1" ht="16.100000000000001" x14ac:dyDescent="0.35">
      <c r="A933" s="262">
        <v>43585</v>
      </c>
      <c r="B933" s="224" t="s">
        <v>159</v>
      </c>
      <c r="C933" s="215" t="s">
        <v>158</v>
      </c>
      <c r="D933" s="239">
        <v>5132.37</v>
      </c>
      <c r="E933">
        <v>4987.2299999999996</v>
      </c>
      <c r="F933">
        <v>4995.82</v>
      </c>
      <c r="G933">
        <v>4961.9799999999996</v>
      </c>
      <c r="H933">
        <v>4937.17</v>
      </c>
      <c r="I933">
        <v>5066.43</v>
      </c>
      <c r="J933">
        <v>5023.8500000000004</v>
      </c>
      <c r="K933">
        <v>5032.43</v>
      </c>
      <c r="L933">
        <v>5335.2</v>
      </c>
      <c r="M933" s="221"/>
      <c r="N933" s="221"/>
      <c r="O933" s="221"/>
      <c r="P933" s="221"/>
      <c r="Q933" s="215">
        <f>IF((L934=""),"",MAX(D935:L935))</f>
        <v>3414.9799999999996</v>
      </c>
      <c r="R933" s="215">
        <f>IF(L934="","",MIN(D935:L935))</f>
        <v>3117.16</v>
      </c>
      <c r="S933" s="216">
        <f>IF((L935=""),"",AVERAGE(D935:L935))</f>
        <v>3243.7933333333331</v>
      </c>
      <c r="T933" s="215">
        <f>IF((L934=""),"",((Q933-R933)/(Q933+R933))*100)</f>
        <v>4.5593021582513504</v>
      </c>
      <c r="U933" s="215">
        <f>STDEV(D933:L933)</f>
        <v>120.77036772091259</v>
      </c>
      <c r="V933" s="217" t="str">
        <f>IF(L934="","",(IF(T933&lt;7,IF(S933&gt;2800,IF(S933&lt;3800,"Pass","Fail"),"Fail"),"Fail")))</f>
        <v>Pass</v>
      </c>
      <c r="W933" s="215">
        <v>1159</v>
      </c>
      <c r="X933" s="260" t="s">
        <v>307</v>
      </c>
      <c r="Y933" s="218"/>
      <c r="Z933" s="226">
        <v>2800</v>
      </c>
      <c r="AA933" s="226">
        <v>3800</v>
      </c>
      <c r="AB933" s="226">
        <v>3100</v>
      </c>
      <c r="AC933" s="226">
        <v>3760</v>
      </c>
      <c r="AD933" s="227">
        <v>6</v>
      </c>
    </row>
    <row r="934" spans="1:30" customFormat="1" ht="16.5" customHeight="1" x14ac:dyDescent="0.35">
      <c r="A934" s="234"/>
      <c r="B934" s="220"/>
      <c r="C934" s="215" t="s">
        <v>157</v>
      </c>
      <c r="D934" s="239">
        <v>3432.6</v>
      </c>
      <c r="E934">
        <v>3399.24</v>
      </c>
      <c r="F934">
        <v>3437.24</v>
      </c>
      <c r="G934">
        <v>3385.69</v>
      </c>
      <c r="H934">
        <v>3305.27</v>
      </c>
      <c r="I934">
        <v>3390.49</v>
      </c>
      <c r="J934">
        <v>3446.6</v>
      </c>
      <c r="K934">
        <v>3450.57</v>
      </c>
      <c r="L934">
        <v>3627.71</v>
      </c>
      <c r="M934" s="221"/>
      <c r="N934" s="221"/>
      <c r="O934" s="221"/>
      <c r="P934" s="221"/>
      <c r="Q934" s="215"/>
      <c r="R934" s="215"/>
      <c r="S934" s="216"/>
      <c r="T934" s="215"/>
      <c r="U934" s="215"/>
      <c r="V934" s="217"/>
      <c r="W934" s="215"/>
      <c r="X934" s="259"/>
      <c r="Y934" s="218"/>
      <c r="Z934" s="218"/>
      <c r="AA934" s="218"/>
      <c r="AB934" s="218"/>
      <c r="AC934" s="218"/>
      <c r="AD934" s="206"/>
    </row>
    <row r="935" spans="1:30" customFormat="1" ht="24.8" customHeight="1" thickBot="1" x14ac:dyDescent="0.4">
      <c r="A935" s="237"/>
      <c r="B935" s="228"/>
      <c r="C935" s="229" t="s">
        <v>156</v>
      </c>
      <c r="D935" s="230">
        <f t="shared" ref="D935:L935" si="306">IF(((D933="")*AND(D934="")),"",(D933-D934)*2)</f>
        <v>3399.54</v>
      </c>
      <c r="E935" s="230">
        <f t="shared" si="306"/>
        <v>3175.9799999999996</v>
      </c>
      <c r="F935" s="230">
        <f t="shared" si="306"/>
        <v>3117.16</v>
      </c>
      <c r="G935" s="230">
        <f t="shared" si="306"/>
        <v>3152.579999999999</v>
      </c>
      <c r="H935" s="230">
        <f t="shared" si="306"/>
        <v>3263.8</v>
      </c>
      <c r="I935" s="230">
        <f t="shared" si="306"/>
        <v>3351.880000000001</v>
      </c>
      <c r="J935" s="230">
        <f t="shared" si="306"/>
        <v>3154.5000000000009</v>
      </c>
      <c r="K935" s="230">
        <f t="shared" si="306"/>
        <v>3163.7200000000003</v>
      </c>
      <c r="L935" s="230">
        <f t="shared" si="306"/>
        <v>3414.9799999999996</v>
      </c>
      <c r="M935" s="231"/>
      <c r="N935" s="230"/>
      <c r="O935" s="230"/>
      <c r="P935" s="230"/>
      <c r="Q935" s="215"/>
      <c r="R935" s="215"/>
      <c r="S935" s="216"/>
      <c r="T935" s="215"/>
      <c r="U935" s="215"/>
      <c r="V935" s="217"/>
      <c r="W935" s="215"/>
      <c r="X935" s="259"/>
      <c r="Y935" s="218"/>
      <c r="Z935" s="218"/>
      <c r="AA935" s="218"/>
      <c r="AB935" s="218"/>
      <c r="AC935" s="218"/>
      <c r="AD935" s="206"/>
    </row>
    <row r="936" spans="1:30" customFormat="1" ht="16.100000000000001" x14ac:dyDescent="0.35">
      <c r="A936" s="262">
        <v>43589</v>
      </c>
      <c r="B936" s="212" t="s">
        <v>160</v>
      </c>
      <c r="C936" s="213" t="s">
        <v>158</v>
      </c>
      <c r="D936">
        <v>1934.02</v>
      </c>
      <c r="E936">
        <v>1922.46</v>
      </c>
      <c r="F936">
        <v>1927.42</v>
      </c>
      <c r="G936">
        <v>1924.7</v>
      </c>
      <c r="H936">
        <v>1933.08</v>
      </c>
      <c r="I936">
        <v>1935.99</v>
      </c>
      <c r="J936">
        <v>1931.31</v>
      </c>
      <c r="K936">
        <v>1926.84</v>
      </c>
      <c r="L936">
        <v>1932.52</v>
      </c>
      <c r="M936" s="214"/>
      <c r="N936" s="214"/>
      <c r="O936" s="214"/>
      <c r="P936" s="214"/>
      <c r="Q936" s="215">
        <f>IF((L937=""),"",MAX(D938:L938))</f>
        <v>3136.6799999999994</v>
      </c>
      <c r="R936" s="215">
        <f>IF(L937="","",MIN(D938:L938))</f>
        <v>2800.5200000000004</v>
      </c>
      <c r="S936" s="216">
        <f>IF((L938=""),"",AVERAGE(D938:L938))</f>
        <v>2940.24</v>
      </c>
      <c r="T936" s="215">
        <f>IF((L937=""),"",((Q936-R936)/(Q936+R936))*100)</f>
        <v>5.6619281816344227</v>
      </c>
      <c r="U936" s="215">
        <f>STDEV(D936:L936)</f>
        <v>4.6215638887477875</v>
      </c>
      <c r="V936" s="217" t="str">
        <f>IF(L937="","",(IF(T936&lt;12,IF(S936&gt;2200,IF(S936&lt;3280,"Pass","Fail"),"Fail"),"Fail")))</f>
        <v>Pass</v>
      </c>
      <c r="W936" s="215">
        <v>102</v>
      </c>
      <c r="X936" s="260" t="s">
        <v>308</v>
      </c>
      <c r="Y936" s="218"/>
      <c r="Z936" s="218">
        <v>2000</v>
      </c>
      <c r="AA936" s="218">
        <v>3000</v>
      </c>
      <c r="AB936" s="218">
        <v>2200</v>
      </c>
      <c r="AC936" s="218">
        <v>3280</v>
      </c>
      <c r="AD936" s="219">
        <v>12</v>
      </c>
    </row>
    <row r="937" spans="1:30" customFormat="1" ht="15.8" customHeight="1" x14ac:dyDescent="0.35">
      <c r="A937" s="234"/>
      <c r="B937" s="220"/>
      <c r="C937" s="215" t="s">
        <v>157</v>
      </c>
      <c r="D937">
        <v>1208.76</v>
      </c>
      <c r="E937">
        <v>1222.33</v>
      </c>
      <c r="F937">
        <v>1221.3399999999999</v>
      </c>
      <c r="G937">
        <v>1198.93</v>
      </c>
      <c r="H937">
        <v>1148.9100000000001</v>
      </c>
      <c r="I937">
        <v>1182.98</v>
      </c>
      <c r="J937">
        <v>1220.8900000000001</v>
      </c>
      <c r="K937">
        <v>1199.95</v>
      </c>
      <c r="L937">
        <v>1148.71</v>
      </c>
      <c r="M937" s="221"/>
      <c r="N937" s="221"/>
      <c r="O937" s="221"/>
      <c r="P937" s="221"/>
      <c r="Q937" s="215"/>
      <c r="R937" s="215"/>
      <c r="S937" s="215"/>
      <c r="T937" s="215"/>
      <c r="U937" s="215"/>
      <c r="V937" s="217"/>
      <c r="W937" s="215"/>
      <c r="X937" s="259"/>
      <c r="Y937" s="218"/>
      <c r="Z937" s="218"/>
      <c r="AA937" s="218"/>
      <c r="AB937" s="218"/>
      <c r="AC937" s="218"/>
      <c r="AD937" s="206"/>
    </row>
    <row r="938" spans="1:30" customFormat="1" ht="23.95" customHeight="1" x14ac:dyDescent="0.35">
      <c r="A938" s="235"/>
      <c r="B938" s="222"/>
      <c r="C938" s="215" t="s">
        <v>156</v>
      </c>
      <c r="D938" s="223">
        <f t="shared" ref="D938:L938" si="307">IF(((D936="")*AND(D937="")),"",(D936-D937)*4)</f>
        <v>2901.04</v>
      </c>
      <c r="E938" s="223">
        <f t="shared" si="307"/>
        <v>2800.5200000000004</v>
      </c>
      <c r="F938" s="223">
        <f t="shared" si="307"/>
        <v>2824.3200000000006</v>
      </c>
      <c r="G938" s="223">
        <f t="shared" si="307"/>
        <v>2903.08</v>
      </c>
      <c r="H938" s="223">
        <f t="shared" si="307"/>
        <v>3136.6799999999994</v>
      </c>
      <c r="I938" s="223">
        <f t="shared" si="307"/>
        <v>3012.04</v>
      </c>
      <c r="J938" s="223">
        <f t="shared" si="307"/>
        <v>2841.6799999999994</v>
      </c>
      <c r="K938" s="223">
        <f t="shared" si="307"/>
        <v>2907.5599999999995</v>
      </c>
      <c r="L938" s="223">
        <f t="shared" si="307"/>
        <v>3135.24</v>
      </c>
      <c r="M938" s="232"/>
      <c r="N938" s="223"/>
      <c r="O938" s="223"/>
      <c r="P938" s="223" t="str">
        <f>IF(((P936="")*AND(P937="")),"",(P936-P937)*4)</f>
        <v/>
      </c>
      <c r="Q938" s="215"/>
      <c r="R938" s="215"/>
      <c r="S938" s="215"/>
      <c r="T938" s="215"/>
      <c r="U938" s="215"/>
      <c r="V938" s="217"/>
      <c r="W938" s="215"/>
      <c r="X938" s="259"/>
      <c r="Y938" s="218"/>
      <c r="Z938" s="218"/>
      <c r="AA938" s="218"/>
      <c r="AB938" s="218"/>
      <c r="AC938" s="218"/>
      <c r="AD938" s="206"/>
    </row>
    <row r="939" spans="1:30" customFormat="1" ht="16.100000000000001" x14ac:dyDescent="0.35">
      <c r="A939" s="262">
        <v>43589</v>
      </c>
      <c r="B939" s="224" t="s">
        <v>159</v>
      </c>
      <c r="C939" s="215" t="s">
        <v>158</v>
      </c>
      <c r="D939">
        <v>7071</v>
      </c>
      <c r="E939">
        <v>7040.22</v>
      </c>
      <c r="F939">
        <v>7058.24</v>
      </c>
      <c r="G939">
        <v>7004.22</v>
      </c>
      <c r="H939">
        <v>6943.66</v>
      </c>
      <c r="I939">
        <v>7007.31</v>
      </c>
      <c r="J939">
        <v>7019.63</v>
      </c>
      <c r="K939">
        <v>7073.82</v>
      </c>
      <c r="L939">
        <v>7104.8</v>
      </c>
      <c r="M939" s="221"/>
      <c r="N939" s="221"/>
      <c r="O939" s="221"/>
      <c r="P939" s="221"/>
      <c r="Q939" s="215">
        <f>IF((L940=""),"",MAX(D941:L941))</f>
        <v>3336.1400000000012</v>
      </c>
      <c r="R939" s="215">
        <f>IF(L940="","",MIN(D941:L941))</f>
        <v>3173.34</v>
      </c>
      <c r="S939" s="216">
        <f>IF((L941=""),"",AVERAGE(D941:L941))</f>
        <v>3290.8444444444444</v>
      </c>
      <c r="T939" s="215">
        <f>IF((L940=""),"",((Q939-R939)/(Q939+R939))*100)</f>
        <v>2.5009678192421063</v>
      </c>
      <c r="U939" s="215">
        <f>STDEV(D939:L939)</f>
        <v>48.125903829896451</v>
      </c>
      <c r="V939" s="217" t="str">
        <f>IF(L940="","",(IF(T939&lt;7,IF(S939&gt;2800,IF(S939&lt;3800,"Pass","Fail"),"Fail"),"Fail")))</f>
        <v>Pass</v>
      </c>
      <c r="W939" s="215">
        <v>102</v>
      </c>
      <c r="X939" s="260" t="s">
        <v>308</v>
      </c>
      <c r="Y939" s="218"/>
      <c r="Z939" s="226">
        <v>2800</v>
      </c>
      <c r="AA939" s="226">
        <v>3800</v>
      </c>
      <c r="AB939" s="226">
        <v>3100</v>
      </c>
      <c r="AC939" s="226">
        <v>3760</v>
      </c>
      <c r="AD939" s="227">
        <v>6</v>
      </c>
    </row>
    <row r="940" spans="1:30" customFormat="1" ht="16.5" customHeight="1" x14ac:dyDescent="0.35">
      <c r="A940" s="234"/>
      <c r="B940" s="220"/>
      <c r="C940" s="215" t="s">
        <v>157</v>
      </c>
      <c r="D940">
        <v>5415.93</v>
      </c>
      <c r="E940">
        <v>5372.15</v>
      </c>
      <c r="F940">
        <v>5404.65</v>
      </c>
      <c r="G940">
        <v>5361.16</v>
      </c>
      <c r="H940">
        <v>5356.99</v>
      </c>
      <c r="I940">
        <v>5375.47</v>
      </c>
      <c r="J940">
        <v>5373.91</v>
      </c>
      <c r="K940">
        <v>5406.72</v>
      </c>
      <c r="L940">
        <v>5447.12</v>
      </c>
      <c r="M940" s="221"/>
      <c r="N940" s="221"/>
      <c r="O940" s="221"/>
      <c r="P940" s="221"/>
      <c r="Q940" s="215"/>
      <c r="R940" s="215"/>
      <c r="S940" s="216"/>
      <c r="T940" s="215"/>
      <c r="U940" s="215"/>
      <c r="V940" s="217"/>
      <c r="W940" s="215"/>
      <c r="X940" s="259"/>
      <c r="Y940" s="218"/>
      <c r="Z940" s="218"/>
      <c r="AA940" s="218"/>
      <c r="AB940" s="218"/>
      <c r="AC940" s="218"/>
      <c r="AD940" s="206"/>
    </row>
    <row r="941" spans="1:30" customFormat="1" ht="24.8" customHeight="1" thickBot="1" x14ac:dyDescent="0.4">
      <c r="A941" s="237"/>
      <c r="B941" s="228"/>
      <c r="C941" s="229" t="s">
        <v>156</v>
      </c>
      <c r="D941" s="230">
        <f t="shared" ref="D941:L941" si="308">IF(((D939="")*AND(D940="")),"",(D939-D940)*2)</f>
        <v>3310.1399999999994</v>
      </c>
      <c r="E941" s="230">
        <f t="shared" si="308"/>
        <v>3336.1400000000012</v>
      </c>
      <c r="F941" s="230">
        <f t="shared" si="308"/>
        <v>3307.1800000000003</v>
      </c>
      <c r="G941" s="230">
        <f t="shared" si="308"/>
        <v>3286.1200000000008</v>
      </c>
      <c r="H941" s="230">
        <f t="shared" si="308"/>
        <v>3173.34</v>
      </c>
      <c r="I941" s="230">
        <f t="shared" si="308"/>
        <v>3263.6800000000003</v>
      </c>
      <c r="J941" s="230">
        <f t="shared" si="308"/>
        <v>3291.4400000000005</v>
      </c>
      <c r="K941" s="230">
        <f t="shared" si="308"/>
        <v>3334.1999999999989</v>
      </c>
      <c r="L941" s="230">
        <f t="shared" si="308"/>
        <v>3315.3600000000006</v>
      </c>
      <c r="M941" s="231"/>
      <c r="N941" s="230"/>
      <c r="O941" s="230"/>
      <c r="P941" s="230"/>
      <c r="Q941" s="215"/>
      <c r="R941" s="215"/>
      <c r="S941" s="216"/>
      <c r="T941" s="215"/>
      <c r="U941" s="215"/>
      <c r="V941" s="217"/>
      <c r="W941" s="215"/>
      <c r="X941" s="259"/>
      <c r="Y941" s="218"/>
      <c r="Z941" s="218"/>
      <c r="AA941" s="218"/>
      <c r="AB941" s="218"/>
      <c r="AC941" s="218"/>
      <c r="AD941" s="206"/>
    </row>
    <row r="942" spans="1:30" customFormat="1" ht="16.100000000000001" x14ac:dyDescent="0.35">
      <c r="A942" s="262">
        <v>43593</v>
      </c>
      <c r="B942" s="212" t="s">
        <v>160</v>
      </c>
      <c r="C942" s="213" t="s">
        <v>158</v>
      </c>
      <c r="D942">
        <v>1924.31</v>
      </c>
      <c r="E942">
        <v>1920.06</v>
      </c>
      <c r="F942">
        <v>1920</v>
      </c>
      <c r="G942">
        <v>1924.88</v>
      </c>
      <c r="H942">
        <v>1929.39</v>
      </c>
      <c r="I942">
        <v>1926.16</v>
      </c>
      <c r="J942">
        <v>1923.18</v>
      </c>
      <c r="K942">
        <v>1921.27</v>
      </c>
      <c r="L942">
        <v>1926.35</v>
      </c>
      <c r="M942" s="214"/>
      <c r="N942" s="214"/>
      <c r="O942" s="214"/>
      <c r="P942" s="214"/>
      <c r="Q942" s="215">
        <f>IF((L943=""),"",MAX(D944:L944))</f>
        <v>3110.4400000000005</v>
      </c>
      <c r="R942" s="215">
        <f>IF(L943="","",MIN(D944:L944))</f>
        <v>2778.3599999999997</v>
      </c>
      <c r="S942" s="216">
        <f>IF((L944=""),"",AVERAGE(D944:L944))</f>
        <v>2927.5022222222228</v>
      </c>
      <c r="T942" s="215">
        <f>IF((L943=""),"",((Q942-R942)/(Q942+R942))*100)</f>
        <v>5.639179459312607</v>
      </c>
      <c r="U942" s="215">
        <f>STDEV(D942:L942)</f>
        <v>3.1571708502673688</v>
      </c>
      <c r="V942" s="217" t="str">
        <f>IF(L943="","",(IF(T942&lt;12,IF(S942&gt;2200,IF(S942&lt;3280,"Pass","Fail"),"Fail"),"Fail")))</f>
        <v>Pass</v>
      </c>
      <c r="W942" s="215" t="s">
        <v>309</v>
      </c>
      <c r="X942" s="260" t="s">
        <v>310</v>
      </c>
      <c r="Y942" s="218"/>
      <c r="Z942" s="218">
        <v>2000</v>
      </c>
      <c r="AA942" s="218">
        <v>3000</v>
      </c>
      <c r="AB942" s="218">
        <v>2200</v>
      </c>
      <c r="AC942" s="218">
        <v>3280</v>
      </c>
      <c r="AD942" s="219">
        <v>12</v>
      </c>
    </row>
    <row r="943" spans="1:30" customFormat="1" ht="15.8" customHeight="1" x14ac:dyDescent="0.35">
      <c r="A943" s="234"/>
      <c r="B943" s="220"/>
      <c r="C943" s="215" t="s">
        <v>157</v>
      </c>
      <c r="D943">
        <v>1199.3399999999999</v>
      </c>
      <c r="E943">
        <v>1218.07</v>
      </c>
      <c r="F943">
        <v>1225.4100000000001</v>
      </c>
      <c r="G943">
        <v>1196.75</v>
      </c>
      <c r="H943">
        <v>1151.78</v>
      </c>
      <c r="I943">
        <v>1179.1199999999999</v>
      </c>
      <c r="J943">
        <v>1209.08</v>
      </c>
      <c r="K943">
        <v>1195.48</v>
      </c>
      <c r="L943">
        <v>1153.69</v>
      </c>
      <c r="M943" s="221"/>
      <c r="N943" s="221"/>
      <c r="O943" s="221"/>
      <c r="P943" s="221"/>
      <c r="Q943" s="215"/>
      <c r="R943" s="215"/>
      <c r="S943" s="215"/>
      <c r="T943" s="215"/>
      <c r="U943" s="215"/>
      <c r="V943" s="217"/>
      <c r="W943" s="215"/>
      <c r="X943" s="259"/>
      <c r="Y943" s="218"/>
      <c r="Z943" s="218"/>
      <c r="AA943" s="218"/>
      <c r="AB943" s="218"/>
      <c r="AC943" s="218"/>
      <c r="AD943" s="206"/>
    </row>
    <row r="944" spans="1:30" customFormat="1" ht="23.95" customHeight="1" x14ac:dyDescent="0.35">
      <c r="A944" s="235"/>
      <c r="B944" s="222"/>
      <c r="C944" s="215" t="s">
        <v>156</v>
      </c>
      <c r="D944" s="223">
        <f t="shared" ref="D944:L944" si="309">IF(((D942="")*AND(D943="")),"",(D942-D943)*4)</f>
        <v>2899.88</v>
      </c>
      <c r="E944" s="223">
        <f t="shared" si="309"/>
        <v>2807.96</v>
      </c>
      <c r="F944" s="223">
        <f t="shared" si="309"/>
        <v>2778.3599999999997</v>
      </c>
      <c r="G944" s="223">
        <f t="shared" si="309"/>
        <v>2912.5200000000004</v>
      </c>
      <c r="H944" s="223">
        <f t="shared" si="309"/>
        <v>3110.4400000000005</v>
      </c>
      <c r="I944" s="223">
        <f t="shared" si="309"/>
        <v>2988.1600000000008</v>
      </c>
      <c r="J944" s="223">
        <f t="shared" si="309"/>
        <v>2856.4000000000005</v>
      </c>
      <c r="K944" s="223">
        <f t="shared" si="309"/>
        <v>2903.16</v>
      </c>
      <c r="L944" s="223">
        <f t="shared" si="309"/>
        <v>3090.6399999999994</v>
      </c>
      <c r="M944" s="232"/>
      <c r="N944" s="223"/>
      <c r="O944" s="223"/>
      <c r="P944" s="223" t="str">
        <f>IF(((P942="")*AND(P943="")),"",(P942-P943)*4)</f>
        <v/>
      </c>
      <c r="Q944" s="215"/>
      <c r="R944" s="215"/>
      <c r="S944" s="215"/>
      <c r="T944" s="215"/>
      <c r="U944" s="215"/>
      <c r="V944" s="217"/>
      <c r="W944" s="215"/>
      <c r="X944" s="259"/>
      <c r="Y944" s="218"/>
      <c r="Z944" s="218"/>
      <c r="AA944" s="218"/>
      <c r="AB944" s="218"/>
      <c r="AC944" s="218"/>
      <c r="AD944" s="206"/>
    </row>
    <row r="945" spans="1:30" customFormat="1" ht="16.100000000000001" x14ac:dyDescent="0.35">
      <c r="A945" s="262">
        <v>43593</v>
      </c>
      <c r="B945" s="224" t="s">
        <v>159</v>
      </c>
      <c r="C945" s="215" t="s">
        <v>158</v>
      </c>
      <c r="D945">
        <v>5415.93</v>
      </c>
      <c r="E945">
        <v>5372.15</v>
      </c>
      <c r="F945">
        <v>5404.65</v>
      </c>
      <c r="G945">
        <v>5361.16</v>
      </c>
      <c r="H945">
        <v>5356.99</v>
      </c>
      <c r="I945">
        <v>5375.47</v>
      </c>
      <c r="J945">
        <v>5373.91</v>
      </c>
      <c r="K945">
        <v>5406.72</v>
      </c>
      <c r="L945">
        <v>5447.12</v>
      </c>
      <c r="M945" s="221"/>
      <c r="N945" s="221"/>
      <c r="O945" s="221"/>
      <c r="P945" s="221"/>
      <c r="Q945" s="215">
        <f>IF((L946=""),"",MAX(D947:L947))</f>
        <v>3340.5599999999995</v>
      </c>
      <c r="R945" s="215">
        <f>IF(L946="","",MIN(D947:L947))</f>
        <v>3190.8399999999992</v>
      </c>
      <c r="S945" s="216">
        <f>IF((L947=""),"",AVERAGE(D947:L947))</f>
        <v>3303.6644444444446</v>
      </c>
      <c r="T945" s="215">
        <f>IF((L946=""),"",((Q945-R945)/(Q945+R945))*100)</f>
        <v>2.292310989986837</v>
      </c>
      <c r="U945" s="215">
        <f>STDEV(D945:L945)</f>
        <v>29.869318753158431</v>
      </c>
      <c r="V945" s="217" t="str">
        <f>IF(L946="","",(IF(T945&lt;7,IF(S945&gt;2800,IF(S945&lt;3800,"Pass","Fail"),"Fail"),"Fail")))</f>
        <v>Pass</v>
      </c>
      <c r="W945" s="215" t="s">
        <v>309</v>
      </c>
      <c r="X945" s="260" t="s">
        <v>310</v>
      </c>
      <c r="Y945" s="218"/>
      <c r="Z945" s="226">
        <v>2800</v>
      </c>
      <c r="AA945" s="226">
        <v>3800</v>
      </c>
      <c r="AB945" s="226">
        <v>3100</v>
      </c>
      <c r="AC945" s="226">
        <v>3760</v>
      </c>
      <c r="AD945" s="227">
        <v>6</v>
      </c>
    </row>
    <row r="946" spans="1:30" customFormat="1" ht="16.5" customHeight="1" x14ac:dyDescent="0.35">
      <c r="A946" s="234"/>
      <c r="B946" s="220"/>
      <c r="C946" s="215" t="s">
        <v>157</v>
      </c>
      <c r="D946">
        <v>3752.61</v>
      </c>
      <c r="E946">
        <v>3701.87</v>
      </c>
      <c r="F946">
        <v>3739.68</v>
      </c>
      <c r="G946">
        <v>3714.43</v>
      </c>
      <c r="H946">
        <v>3761.57</v>
      </c>
      <c r="I946">
        <v>3737.08</v>
      </c>
      <c r="J946">
        <v>3723.92</v>
      </c>
      <c r="K946">
        <v>3737.76</v>
      </c>
      <c r="L946">
        <v>3778.69</v>
      </c>
      <c r="M946" s="221"/>
      <c r="N946" s="221"/>
      <c r="O946" s="221"/>
      <c r="P946" s="221"/>
      <c r="Q946" s="215"/>
      <c r="R946" s="215"/>
      <c r="S946" s="216"/>
      <c r="T946" s="215"/>
      <c r="U946" s="215"/>
      <c r="V946" s="217"/>
      <c r="W946" s="215"/>
      <c r="X946" s="259"/>
      <c r="Y946" s="218"/>
      <c r="Z946" s="218"/>
      <c r="AA946" s="218"/>
      <c r="AB946" s="218"/>
      <c r="AC946" s="218"/>
      <c r="AD946" s="206"/>
    </row>
    <row r="947" spans="1:30" customFormat="1" ht="24.8" customHeight="1" thickBot="1" x14ac:dyDescent="0.4">
      <c r="A947" s="237"/>
      <c r="B947" s="228"/>
      <c r="C947" s="229" t="s">
        <v>156</v>
      </c>
      <c r="D947" s="230">
        <f t="shared" ref="D947:L947" si="310">IF(((D945="")*AND(D946="")),"",(D945-D946)*2)</f>
        <v>3326.6400000000003</v>
      </c>
      <c r="E947" s="230">
        <f t="shared" si="310"/>
        <v>3340.5599999999995</v>
      </c>
      <c r="F947" s="230">
        <f t="shared" si="310"/>
        <v>3329.9399999999996</v>
      </c>
      <c r="G947" s="230">
        <f t="shared" si="310"/>
        <v>3293.46</v>
      </c>
      <c r="H947" s="230">
        <f t="shared" si="310"/>
        <v>3190.8399999999992</v>
      </c>
      <c r="I947" s="230">
        <f t="shared" si="310"/>
        <v>3276.7800000000007</v>
      </c>
      <c r="J947" s="230">
        <f t="shared" si="310"/>
        <v>3299.9799999999996</v>
      </c>
      <c r="K947" s="230">
        <f t="shared" si="310"/>
        <v>3337.92</v>
      </c>
      <c r="L947" s="230">
        <f t="shared" si="310"/>
        <v>3336.8599999999997</v>
      </c>
      <c r="M947" s="231"/>
      <c r="N947" s="230"/>
      <c r="O947" s="230"/>
      <c r="P947" s="230"/>
      <c r="Q947" s="215"/>
      <c r="R947" s="215"/>
      <c r="S947" s="216"/>
      <c r="T947" s="215"/>
      <c r="U947" s="215"/>
      <c r="V947" s="217"/>
      <c r="W947" s="215"/>
      <c r="X947" s="259"/>
      <c r="Y947" s="218"/>
      <c r="Z947" s="218"/>
      <c r="AA947" s="218"/>
      <c r="AB947" s="218"/>
      <c r="AC947" s="218"/>
      <c r="AD947" s="206"/>
    </row>
    <row r="948" spans="1:30" customFormat="1" ht="16.100000000000001" x14ac:dyDescent="0.35">
      <c r="A948" s="262">
        <v>43593</v>
      </c>
      <c r="B948" s="212" t="s">
        <v>160</v>
      </c>
      <c r="C948" s="213" t="s">
        <v>158</v>
      </c>
      <c r="D948">
        <v>1199.3399999999999</v>
      </c>
      <c r="E948">
        <v>1218.07</v>
      </c>
      <c r="F948">
        <v>1225.4100000000001</v>
      </c>
      <c r="G948">
        <v>1196.75</v>
      </c>
      <c r="H948">
        <v>1151.78</v>
      </c>
      <c r="I948">
        <v>1179.1199999999999</v>
      </c>
      <c r="J948">
        <v>1209.08</v>
      </c>
      <c r="K948">
        <v>1195.48</v>
      </c>
      <c r="L948">
        <v>1153.69</v>
      </c>
      <c r="M948" s="214"/>
      <c r="N948" s="214"/>
      <c r="O948" s="214"/>
      <c r="P948" s="214"/>
      <c r="Q948" s="215">
        <f>IF((L949=""),"",MAX(D950:L950))</f>
        <v>3213.3599999999997</v>
      </c>
      <c r="R948" s="215">
        <f>IF(L949="","",MIN(D950:L950))</f>
        <v>2623</v>
      </c>
      <c r="S948" s="216">
        <f>IF((L950=""),"",AVERAGE(D950:L950))</f>
        <v>2825.2088888888884</v>
      </c>
      <c r="T948" s="215">
        <f>IF((L949=""),"",((Q948-R948)/(Q948+R948))*100)</f>
        <v>10.115208794522609</v>
      </c>
      <c r="U948" s="215">
        <f>STDEV(D948:L948)</f>
        <v>26.046326996334816</v>
      </c>
      <c r="V948" s="217" t="str">
        <f>IF(L949="","",(IF(T948&lt;12,IF(S948&gt;2200,IF(S948&lt;3280,"Pass","Fail"),"Fail"),"Fail")))</f>
        <v>Pass</v>
      </c>
      <c r="W948" s="215">
        <v>121</v>
      </c>
      <c r="X948" s="260" t="s">
        <v>311</v>
      </c>
      <c r="Y948" s="218"/>
      <c r="Z948" s="218">
        <v>2000</v>
      </c>
      <c r="AA948" s="218">
        <v>3000</v>
      </c>
      <c r="AB948" s="218">
        <v>2200</v>
      </c>
      <c r="AC948" s="218">
        <v>3280</v>
      </c>
      <c r="AD948" s="219">
        <v>12</v>
      </c>
    </row>
    <row r="949" spans="1:30" customFormat="1" ht="15.8" customHeight="1" x14ac:dyDescent="0.35">
      <c r="A949" s="234"/>
      <c r="B949" s="220"/>
      <c r="C949" s="215" t="s">
        <v>157</v>
      </c>
      <c r="D949">
        <v>396</v>
      </c>
      <c r="E949">
        <v>500</v>
      </c>
      <c r="F949">
        <v>562</v>
      </c>
      <c r="G949">
        <v>541</v>
      </c>
      <c r="H949">
        <v>489</v>
      </c>
      <c r="I949" s="240">
        <v>402</v>
      </c>
      <c r="J949" s="241">
        <v>500</v>
      </c>
      <c r="K949" s="241">
        <v>532</v>
      </c>
      <c r="L949" s="241">
        <v>450</v>
      </c>
      <c r="M949" s="221"/>
      <c r="N949" s="221"/>
      <c r="O949" s="221"/>
      <c r="P949" s="221"/>
      <c r="Q949" s="215"/>
      <c r="R949" s="215"/>
      <c r="S949" s="215"/>
      <c r="T949" s="215"/>
      <c r="U949" s="215"/>
      <c r="V949" s="217"/>
      <c r="W949" s="215"/>
      <c r="X949" s="260"/>
      <c r="Y949" s="218"/>
      <c r="Z949" s="218"/>
      <c r="AA949" s="218"/>
      <c r="AB949" s="218"/>
      <c r="AC949" s="218"/>
      <c r="AD949" s="206"/>
    </row>
    <row r="950" spans="1:30" customFormat="1" ht="23.95" customHeight="1" x14ac:dyDescent="0.35">
      <c r="A950" s="235"/>
      <c r="B950" s="222"/>
      <c r="C950" s="215" t="s">
        <v>156</v>
      </c>
      <c r="D950" s="223">
        <f t="shared" ref="D950:L950" si="311">IF(((D948="")*AND(D949="")),"",(D948-D949)*4)</f>
        <v>3213.3599999999997</v>
      </c>
      <c r="E950" s="223">
        <f t="shared" si="311"/>
        <v>2872.2799999999997</v>
      </c>
      <c r="F950" s="223">
        <f t="shared" si="311"/>
        <v>2653.6400000000003</v>
      </c>
      <c r="G950" s="223">
        <f t="shared" si="311"/>
        <v>2623</v>
      </c>
      <c r="H950" s="223">
        <f t="shared" si="311"/>
        <v>2651.12</v>
      </c>
      <c r="I950" s="223">
        <f t="shared" si="311"/>
        <v>3108.4799999999996</v>
      </c>
      <c r="J950" s="223">
        <f t="shared" si="311"/>
        <v>2836.3199999999997</v>
      </c>
      <c r="K950" s="223">
        <f t="shared" si="311"/>
        <v>2653.92</v>
      </c>
      <c r="L950" s="223">
        <f t="shared" si="311"/>
        <v>2814.76</v>
      </c>
      <c r="M950" s="232"/>
      <c r="N950" s="223"/>
      <c r="O950" s="223"/>
      <c r="P950" s="223" t="str">
        <f>IF(((P948="")*AND(P949="")),"",(P948-P949)*4)</f>
        <v/>
      </c>
      <c r="Q950" s="215"/>
      <c r="R950" s="215"/>
      <c r="S950" s="215"/>
      <c r="T950" s="215"/>
      <c r="U950" s="215"/>
      <c r="V950" s="217"/>
      <c r="W950" s="215"/>
      <c r="X950" s="260"/>
      <c r="Y950" s="218"/>
      <c r="Z950" s="218"/>
      <c r="AA950" s="218"/>
      <c r="AB950" s="218"/>
      <c r="AC950" s="218"/>
      <c r="AD950" s="206"/>
    </row>
    <row r="951" spans="1:30" customFormat="1" ht="16.100000000000001" x14ac:dyDescent="0.35">
      <c r="A951" s="262">
        <v>43593</v>
      </c>
      <c r="B951" s="224" t="s">
        <v>159</v>
      </c>
      <c r="C951" s="215" t="s">
        <v>158</v>
      </c>
      <c r="D951">
        <v>3752.61</v>
      </c>
      <c r="E951">
        <v>3701.87</v>
      </c>
      <c r="F951">
        <v>3739.68</v>
      </c>
      <c r="G951">
        <v>3714.43</v>
      </c>
      <c r="H951">
        <v>3761.57</v>
      </c>
      <c r="I951">
        <v>3737.08</v>
      </c>
      <c r="J951">
        <v>3723.92</v>
      </c>
      <c r="K951">
        <v>3737.76</v>
      </c>
      <c r="L951">
        <v>3778.69</v>
      </c>
      <c r="M951" s="221"/>
      <c r="N951" s="221"/>
      <c r="O951" s="221"/>
      <c r="P951" s="221"/>
      <c r="Q951" s="215">
        <f>IF((L952=""),"",MAX(D953:L953))</f>
        <v>3343.74</v>
      </c>
      <c r="R951" s="215">
        <f>IF(L952="","",MIN(D953:L953))</f>
        <v>2907.38</v>
      </c>
      <c r="S951" s="216">
        <f>IF((L953=""),"",AVERAGE(D953:L953))</f>
        <v>3188.58</v>
      </c>
      <c r="T951" s="215">
        <f>IF((L952=""),"",((Q951-R951)/(Q951+R951))*100)</f>
        <v>6.9805090927705704</v>
      </c>
      <c r="U951" s="215">
        <f>STDEV(D951:L951)</f>
        <v>23.675068109722591</v>
      </c>
      <c r="V951" s="217" t="str">
        <f>IF(L952="","",(IF(T951&lt;7,IF(S951&gt;2800,IF(S951&lt;3800,"Pass","Fail"),"Fail"),"Fail")))</f>
        <v>Pass</v>
      </c>
      <c r="W951" s="215">
        <v>121</v>
      </c>
      <c r="X951" s="260" t="s">
        <v>311</v>
      </c>
      <c r="Y951" s="218"/>
      <c r="Z951" s="226">
        <v>2800</v>
      </c>
      <c r="AA951" s="226">
        <v>3800</v>
      </c>
      <c r="AB951" s="226">
        <v>3100</v>
      </c>
      <c r="AC951" s="226">
        <v>3760</v>
      </c>
      <c r="AD951" s="227">
        <v>6</v>
      </c>
    </row>
    <row r="952" spans="1:30" customFormat="1" ht="16.5" customHeight="1" x14ac:dyDescent="0.35">
      <c r="A952" s="234"/>
      <c r="B952" s="220"/>
      <c r="C952" s="215" t="s">
        <v>157</v>
      </c>
      <c r="D952">
        <v>2090</v>
      </c>
      <c r="E952">
        <v>2030</v>
      </c>
      <c r="F952">
        <v>2090</v>
      </c>
      <c r="G952">
        <v>2094</v>
      </c>
      <c r="H952">
        <v>2234</v>
      </c>
      <c r="I952" s="240">
        <v>2192</v>
      </c>
      <c r="J952" s="241">
        <v>2122</v>
      </c>
      <c r="K952" s="241">
        <v>2122</v>
      </c>
      <c r="L952" s="241">
        <v>2325</v>
      </c>
      <c r="M952" s="221"/>
      <c r="N952" s="221"/>
      <c r="O952" s="221"/>
      <c r="P952" s="221"/>
      <c r="Q952" s="215"/>
      <c r="R952" s="215"/>
      <c r="S952" s="216"/>
      <c r="T952" s="215"/>
      <c r="U952" s="215"/>
      <c r="V952" s="217"/>
      <c r="W952" s="215"/>
      <c r="X952" s="261"/>
      <c r="Y952" s="218"/>
      <c r="Z952" s="218"/>
      <c r="AA952" s="218"/>
      <c r="AB952" s="218"/>
      <c r="AC952" s="218"/>
      <c r="AD952" s="206"/>
    </row>
    <row r="953" spans="1:30" customFormat="1" ht="24.8" customHeight="1" thickBot="1" x14ac:dyDescent="0.4">
      <c r="A953" s="237"/>
      <c r="B953" s="228"/>
      <c r="C953" s="229" t="s">
        <v>156</v>
      </c>
      <c r="D953" s="230">
        <f t="shared" ref="D953:L953" si="312">IF(((D951="")*AND(D952="")),"",(D951-D952)*2)</f>
        <v>3325.2200000000003</v>
      </c>
      <c r="E953" s="230">
        <f t="shared" si="312"/>
        <v>3343.74</v>
      </c>
      <c r="F953" s="230">
        <f t="shared" si="312"/>
        <v>3299.3599999999997</v>
      </c>
      <c r="G953" s="230">
        <f t="shared" si="312"/>
        <v>3240.8599999999997</v>
      </c>
      <c r="H953" s="230">
        <f t="shared" si="312"/>
        <v>3055.1400000000003</v>
      </c>
      <c r="I953" s="230">
        <f t="shared" si="312"/>
        <v>3090.16</v>
      </c>
      <c r="J953" s="230">
        <f t="shared" si="312"/>
        <v>3203.84</v>
      </c>
      <c r="K953" s="230">
        <f t="shared" si="312"/>
        <v>3231.5200000000004</v>
      </c>
      <c r="L953" s="230">
        <f t="shared" si="312"/>
        <v>2907.38</v>
      </c>
      <c r="M953" s="231"/>
      <c r="N953" s="230"/>
      <c r="O953" s="230"/>
      <c r="P953" s="230"/>
      <c r="Q953" s="215"/>
      <c r="R953" s="215"/>
      <c r="S953" s="216"/>
      <c r="T953" s="215"/>
      <c r="U953" s="215"/>
      <c r="V953" s="217"/>
      <c r="W953" s="215"/>
      <c r="X953" s="261"/>
      <c r="Y953" s="218"/>
      <c r="Z953" s="218"/>
      <c r="AA953" s="218"/>
      <c r="AB953" s="218"/>
      <c r="AC953" s="218"/>
      <c r="AD953" s="206"/>
    </row>
    <row r="954" spans="1:30" customFormat="1" ht="16.100000000000001" x14ac:dyDescent="0.35">
      <c r="A954" s="262">
        <v>43600</v>
      </c>
      <c r="B954" s="212" t="s">
        <v>160</v>
      </c>
      <c r="C954" s="213" t="s">
        <v>158</v>
      </c>
      <c r="D954">
        <v>1934.46</v>
      </c>
      <c r="E954">
        <v>1932.67</v>
      </c>
      <c r="F954">
        <v>1928.47</v>
      </c>
      <c r="G954">
        <v>1934.82</v>
      </c>
      <c r="H954">
        <v>1937.37</v>
      </c>
      <c r="I954">
        <v>1937.48</v>
      </c>
      <c r="J954">
        <v>1931.76</v>
      </c>
      <c r="K954">
        <v>1932.07</v>
      </c>
      <c r="L954">
        <v>1936.21</v>
      </c>
      <c r="M954" s="214"/>
      <c r="N954" s="214"/>
      <c r="O954" s="214"/>
      <c r="P954" s="214"/>
      <c r="Q954" s="215">
        <f>IF((L955=""),"",MAX(D956:L956))</f>
        <v>3212.4399999999996</v>
      </c>
      <c r="R954" s="215">
        <f>IF(L955="","",MIN(D956:L956))</f>
        <v>2765</v>
      </c>
      <c r="S954" s="216">
        <f>IF((L956=""),"",AVERAGE(D956:L956))</f>
        <v>2942.6488888888885</v>
      </c>
      <c r="T954" s="215">
        <f>IF((L955=""),"",((Q954-R954)/(Q954+R954))*100)</f>
        <v>7.4854787333708011</v>
      </c>
      <c r="U954" s="215">
        <f>STDEV(D954:L954)</f>
        <v>2.9638404140573944</v>
      </c>
      <c r="V954" s="217" t="str">
        <f>IF(L955="","",(IF(T954&lt;12,IF(S954&gt;2200,IF(S954&lt;3280,"Pass","Fail"),"Fail"),"Fail")))</f>
        <v>Pass</v>
      </c>
      <c r="W954" s="215" t="s">
        <v>293</v>
      </c>
      <c r="X954" s="206"/>
      <c r="Y954" s="218"/>
      <c r="Z954" s="218">
        <v>2000</v>
      </c>
      <c r="AA954" s="218">
        <v>3000</v>
      </c>
      <c r="AB954" s="218">
        <v>2200</v>
      </c>
      <c r="AC954" s="218">
        <v>3280</v>
      </c>
      <c r="AD954" s="219">
        <v>12</v>
      </c>
    </row>
    <row r="955" spans="1:30" customFormat="1" ht="15.8" customHeight="1" x14ac:dyDescent="0.35">
      <c r="A955" s="234"/>
      <c r="B955" s="220"/>
      <c r="C955" s="215" t="s">
        <v>157</v>
      </c>
      <c r="D955">
        <v>1210.56</v>
      </c>
      <c r="E955">
        <v>1233.45</v>
      </c>
      <c r="F955">
        <v>1237.22</v>
      </c>
      <c r="G955">
        <v>1204.1099999999999</v>
      </c>
      <c r="H955">
        <v>1134.26</v>
      </c>
      <c r="I955">
        <v>1175.96</v>
      </c>
      <c r="J955">
        <v>1222.1500000000001</v>
      </c>
      <c r="K955">
        <v>1211.0899999999999</v>
      </c>
      <c r="L955">
        <v>1155.55</v>
      </c>
      <c r="M955" s="221"/>
      <c r="N955" s="221"/>
      <c r="O955" s="221"/>
      <c r="P955" s="221"/>
      <c r="Q955" s="215"/>
      <c r="R955" s="215"/>
      <c r="S955" s="215"/>
      <c r="T955" s="215"/>
      <c r="U955" s="215"/>
      <c r="V955" s="217"/>
      <c r="W955" s="215"/>
      <c r="Y955" s="218"/>
      <c r="Z955" s="218"/>
      <c r="AA955" s="218"/>
      <c r="AB955" s="218"/>
      <c r="AC955" s="218"/>
      <c r="AD955" s="206"/>
    </row>
    <row r="956" spans="1:30" customFormat="1" ht="23.95" customHeight="1" x14ac:dyDescent="0.35">
      <c r="A956" s="235"/>
      <c r="B956" s="222"/>
      <c r="C956" s="215" t="s">
        <v>156</v>
      </c>
      <c r="D956" s="223">
        <f t="shared" ref="D956:L956" si="313">IF(((D954="")*AND(D955="")),"",(D954-D955)*4)</f>
        <v>2895.6000000000004</v>
      </c>
      <c r="E956" s="223">
        <f t="shared" si="313"/>
        <v>2796.88</v>
      </c>
      <c r="F956" s="223">
        <f t="shared" si="313"/>
        <v>2765</v>
      </c>
      <c r="G956" s="223">
        <f t="shared" si="313"/>
        <v>2922.84</v>
      </c>
      <c r="H956" s="223">
        <f t="shared" si="313"/>
        <v>3212.4399999999996</v>
      </c>
      <c r="I956" s="223">
        <f t="shared" si="313"/>
        <v>3046.08</v>
      </c>
      <c r="J956" s="223">
        <f t="shared" si="313"/>
        <v>2838.4399999999996</v>
      </c>
      <c r="K956" s="223">
        <f t="shared" si="313"/>
        <v>2883.92</v>
      </c>
      <c r="L956" s="223">
        <f t="shared" si="313"/>
        <v>3122.6400000000003</v>
      </c>
      <c r="M956" s="232"/>
      <c r="N956" s="223"/>
      <c r="O956" s="223"/>
      <c r="P956" s="223" t="str">
        <f>IF(((P954="")*AND(P955="")),"",(P954-P955)*4)</f>
        <v/>
      </c>
      <c r="Q956" s="215"/>
      <c r="R956" s="215"/>
      <c r="S956" s="215"/>
      <c r="T956" s="215"/>
      <c r="U956" s="215"/>
      <c r="V956" s="217"/>
      <c r="W956" s="215"/>
      <c r="Y956" s="218"/>
      <c r="Z956" s="218"/>
      <c r="AA956" s="218"/>
      <c r="AB956" s="218"/>
      <c r="AC956" s="218"/>
      <c r="AD956" s="206"/>
    </row>
    <row r="957" spans="1:30" customFormat="1" ht="16.100000000000001" x14ac:dyDescent="0.35">
      <c r="A957" s="262">
        <v>43600</v>
      </c>
      <c r="B957" s="224" t="s">
        <v>159</v>
      </c>
      <c r="C957" s="215" t="s">
        <v>158</v>
      </c>
      <c r="D957">
        <v>6974.15</v>
      </c>
      <c r="E957">
        <v>6938.08</v>
      </c>
      <c r="F957">
        <v>6961.09</v>
      </c>
      <c r="G957">
        <v>6914.19</v>
      </c>
      <c r="H957">
        <v>6872.1</v>
      </c>
      <c r="I957">
        <v>6871.01</v>
      </c>
      <c r="J957">
        <v>6937</v>
      </c>
      <c r="K957">
        <v>6972.89</v>
      </c>
      <c r="L957">
        <v>6995.16</v>
      </c>
      <c r="M957" s="221"/>
      <c r="N957" s="221"/>
      <c r="O957" s="221"/>
      <c r="P957" s="221"/>
      <c r="Q957" s="215">
        <f>IF((L958=""),"",MAX(D959:L959))</f>
        <v>3353.0599999999995</v>
      </c>
      <c r="R957" s="215">
        <f>IF(L958="","",MIN(D959:L959))</f>
        <v>3201.5400000000009</v>
      </c>
      <c r="S957" s="216">
        <f>IF((L959=""),"",AVERAGE(D959:L959))</f>
        <v>3305.08</v>
      </c>
      <c r="T957" s="215">
        <f>IF((L958=""),"",((Q957-R957)/(Q957+R957))*100)</f>
        <v>2.3116589875812195</v>
      </c>
      <c r="U957" s="215">
        <f>STDEV(D957:L957)</f>
        <v>44.32618977534603</v>
      </c>
      <c r="V957" s="217" t="str">
        <f>IF(L958="","",(IF(T957&lt;7,IF(S957&gt;2800,IF(S957&lt;3800,"Pass","Fail"),"Fail"),"Fail")))</f>
        <v>Pass</v>
      </c>
      <c r="W957" s="215" t="s">
        <v>293</v>
      </c>
      <c r="X957" s="206"/>
      <c r="Y957" s="218"/>
      <c r="Z957" s="226">
        <v>2800</v>
      </c>
      <c r="AA957" s="226">
        <v>3800</v>
      </c>
      <c r="AB957" s="226">
        <v>3100</v>
      </c>
      <c r="AC957" s="226">
        <v>3760</v>
      </c>
      <c r="AD957" s="227">
        <v>6</v>
      </c>
    </row>
    <row r="958" spans="1:30" customFormat="1" ht="16.5" customHeight="1" x14ac:dyDescent="0.35">
      <c r="A958" s="234"/>
      <c r="B958" s="220"/>
      <c r="C958" s="215" t="s">
        <v>157</v>
      </c>
      <c r="D958">
        <v>5297.62</v>
      </c>
      <c r="E958">
        <v>5267</v>
      </c>
      <c r="F958">
        <v>5298.44</v>
      </c>
      <c r="G958">
        <v>5260.14</v>
      </c>
      <c r="H958">
        <v>5245.39</v>
      </c>
      <c r="I958">
        <v>5270.24</v>
      </c>
      <c r="J958">
        <v>5268.93</v>
      </c>
      <c r="K958">
        <v>5309.05</v>
      </c>
      <c r="L958">
        <v>5346</v>
      </c>
      <c r="M958" s="221"/>
      <c r="N958" s="221"/>
      <c r="O958" s="221"/>
      <c r="P958" s="221"/>
      <c r="Q958" s="215"/>
      <c r="R958" s="215"/>
      <c r="S958" s="216"/>
      <c r="T958" s="215"/>
      <c r="U958" s="215"/>
      <c r="V958" s="217"/>
      <c r="W958" s="215"/>
      <c r="Y958" s="218"/>
      <c r="Z958" s="218"/>
      <c r="AA958" s="218"/>
      <c r="AB958" s="218"/>
      <c r="AC958" s="218"/>
      <c r="AD958" s="206"/>
    </row>
    <row r="959" spans="1:30" customFormat="1" ht="24.8" customHeight="1" thickBot="1" x14ac:dyDescent="0.4">
      <c r="A959" s="237"/>
      <c r="B959" s="228"/>
      <c r="C959" s="229" t="s">
        <v>156</v>
      </c>
      <c r="D959" s="230">
        <f t="shared" ref="D959:L959" si="314">IF(((D957="")*AND(D958="")),"",(D957-D958)*2)</f>
        <v>3353.0599999999995</v>
      </c>
      <c r="E959" s="230">
        <f t="shared" si="314"/>
        <v>3342.16</v>
      </c>
      <c r="F959" s="230">
        <f t="shared" si="314"/>
        <v>3325.3000000000011</v>
      </c>
      <c r="G959" s="230">
        <f t="shared" si="314"/>
        <v>3308.0999999999985</v>
      </c>
      <c r="H959" s="230">
        <f t="shared" si="314"/>
        <v>3253.42</v>
      </c>
      <c r="I959" s="230">
        <f t="shared" si="314"/>
        <v>3201.5400000000009</v>
      </c>
      <c r="J959" s="230">
        <f t="shared" si="314"/>
        <v>3336.1399999999994</v>
      </c>
      <c r="K959" s="230">
        <f t="shared" si="314"/>
        <v>3327.6800000000003</v>
      </c>
      <c r="L959" s="230">
        <f t="shared" si="314"/>
        <v>3298.3199999999997</v>
      </c>
      <c r="M959" s="231"/>
      <c r="N959" s="230"/>
      <c r="O959" s="230"/>
      <c r="P959" s="230"/>
      <c r="Q959" s="215"/>
      <c r="R959" s="215"/>
      <c r="S959" s="216"/>
      <c r="T959" s="215"/>
      <c r="U959" s="215"/>
      <c r="V959" s="217"/>
      <c r="W959" s="215"/>
      <c r="Y959" s="218"/>
      <c r="Z959" s="218"/>
      <c r="AA959" s="218"/>
      <c r="AB959" s="218"/>
      <c r="AC959" s="218"/>
      <c r="AD959" s="206"/>
    </row>
    <row r="960" spans="1:30" customFormat="1" ht="16.100000000000001" x14ac:dyDescent="0.35">
      <c r="A960" s="262">
        <v>43605</v>
      </c>
      <c r="B960" s="212" t="s">
        <v>160</v>
      </c>
      <c r="C960" s="213" t="s">
        <v>158</v>
      </c>
      <c r="D960">
        <v>1929.18</v>
      </c>
      <c r="E960">
        <v>1926.51</v>
      </c>
      <c r="F960">
        <v>1922.43</v>
      </c>
      <c r="G960">
        <v>1932.03</v>
      </c>
      <c r="H960">
        <v>1935.69</v>
      </c>
      <c r="I960">
        <v>1934.52</v>
      </c>
      <c r="J960">
        <v>1925.77</v>
      </c>
      <c r="K960">
        <v>1928.86</v>
      </c>
      <c r="L960">
        <v>1933.36</v>
      </c>
      <c r="M960" s="214"/>
      <c r="N960" s="214"/>
      <c r="O960" s="214"/>
      <c r="P960" s="214"/>
      <c r="Q960" s="215">
        <f>IF((L961=""),"",MAX(D962:L962))</f>
        <v>3182.4800000000005</v>
      </c>
      <c r="R960" s="215">
        <f>IF(L961="","",MIN(D962:L962))</f>
        <v>2769.2</v>
      </c>
      <c r="S960" s="216">
        <f>IF((L962=""),"",AVERAGE(D962:L962))</f>
        <v>2946.3066666666664</v>
      </c>
      <c r="T960" s="215">
        <f>IF((L961=""),"",((Q960-R960)/(Q960+R960))*100)</f>
        <v>6.9439217162213129</v>
      </c>
      <c r="U960" s="215">
        <f>STDEV(D960:L960)</f>
        <v>4.4337399562897097</v>
      </c>
      <c r="V960" s="217" t="str">
        <f>IF(L961="","",(IF(T960&lt;12,IF(S960&gt;2200,IF(S960&lt;3280,"Pass","Fail"),"Fail"),"Fail")))</f>
        <v>Pass</v>
      </c>
      <c r="W960" s="215">
        <v>1159</v>
      </c>
      <c r="X960" s="206" t="s">
        <v>312</v>
      </c>
      <c r="Y960" s="218"/>
      <c r="Z960" s="218">
        <v>2000</v>
      </c>
      <c r="AA960" s="218">
        <v>3000</v>
      </c>
      <c r="AB960" s="218">
        <v>2200</v>
      </c>
      <c r="AC960" s="218">
        <v>3280</v>
      </c>
      <c r="AD960" s="219">
        <v>12</v>
      </c>
    </row>
    <row r="961" spans="1:30" customFormat="1" ht="15.8" customHeight="1" x14ac:dyDescent="0.35">
      <c r="A961" s="234"/>
      <c r="B961" s="220"/>
      <c r="C961" s="215" t="s">
        <v>157</v>
      </c>
      <c r="D961">
        <v>1206.83</v>
      </c>
      <c r="E961">
        <v>1221.9000000000001</v>
      </c>
      <c r="F961">
        <v>1230.1300000000001</v>
      </c>
      <c r="G961">
        <v>1196.42</v>
      </c>
      <c r="H961">
        <v>1140.07</v>
      </c>
      <c r="I961">
        <v>1175.6500000000001</v>
      </c>
      <c r="J961">
        <v>1211.3</v>
      </c>
      <c r="K961">
        <v>1199.21</v>
      </c>
      <c r="L961">
        <v>1157.6500000000001</v>
      </c>
      <c r="M961" s="221"/>
      <c r="N961" s="221"/>
      <c r="O961" s="221"/>
      <c r="P961" s="221"/>
      <c r="Q961" s="215"/>
      <c r="R961" s="215"/>
      <c r="S961" s="215"/>
      <c r="T961" s="215"/>
      <c r="U961" s="215"/>
      <c r="V961" s="217"/>
      <c r="W961" s="215"/>
      <c r="Y961" s="218"/>
      <c r="Z961" s="218"/>
      <c r="AA961" s="218"/>
      <c r="AB961" s="218"/>
      <c r="AC961" s="218"/>
      <c r="AD961" s="206"/>
    </row>
    <row r="962" spans="1:30" customFormat="1" ht="23.95" customHeight="1" x14ac:dyDescent="0.35">
      <c r="A962" s="235"/>
      <c r="B962" s="222"/>
      <c r="C962" s="215" t="s">
        <v>156</v>
      </c>
      <c r="D962" s="223">
        <f t="shared" ref="D962:L962" si="315">IF(((D960="")*AND(D961="")),"",(D960-D961)*4)</f>
        <v>2889.4000000000005</v>
      </c>
      <c r="E962" s="223">
        <f t="shared" si="315"/>
        <v>2818.4399999999996</v>
      </c>
      <c r="F962" s="223">
        <f t="shared" si="315"/>
        <v>2769.2</v>
      </c>
      <c r="G962" s="223">
        <f t="shared" si="315"/>
        <v>2942.4399999999996</v>
      </c>
      <c r="H962" s="223">
        <f t="shared" si="315"/>
        <v>3182.4800000000005</v>
      </c>
      <c r="I962" s="223">
        <f t="shared" si="315"/>
        <v>3035.4799999999996</v>
      </c>
      <c r="J962" s="223">
        <f t="shared" si="315"/>
        <v>2857.88</v>
      </c>
      <c r="K962" s="223">
        <f t="shared" si="315"/>
        <v>2918.5999999999995</v>
      </c>
      <c r="L962" s="223">
        <f t="shared" si="315"/>
        <v>3102.8399999999992</v>
      </c>
      <c r="M962" s="232"/>
      <c r="N962" s="223"/>
      <c r="O962" s="223"/>
      <c r="P962" s="223" t="str">
        <f>IF(((P960="")*AND(P961="")),"",(P960-P961)*4)</f>
        <v/>
      </c>
      <c r="Q962" s="215"/>
      <c r="R962" s="215"/>
      <c r="S962" s="215"/>
      <c r="T962" s="215"/>
      <c r="U962" s="215"/>
      <c r="V962" s="217"/>
      <c r="W962" s="215"/>
      <c r="Y962" s="218"/>
      <c r="Z962" s="218"/>
      <c r="AA962" s="218"/>
      <c r="AB962" s="218"/>
      <c r="AC962" s="218"/>
      <c r="AD962" s="206"/>
    </row>
    <row r="963" spans="1:30" customFormat="1" ht="16.100000000000001" x14ac:dyDescent="0.35">
      <c r="A963" s="262">
        <v>43605</v>
      </c>
      <c r="B963" s="224" t="s">
        <v>159</v>
      </c>
      <c r="C963" s="215" t="s">
        <v>158</v>
      </c>
      <c r="D963">
        <v>5305.33</v>
      </c>
      <c r="E963">
        <v>5273.38</v>
      </c>
      <c r="F963">
        <v>5304.69</v>
      </c>
      <c r="G963">
        <v>5266.96</v>
      </c>
      <c r="H963">
        <v>5253.46</v>
      </c>
      <c r="I963">
        <v>5277.09</v>
      </c>
      <c r="J963">
        <v>5275.28</v>
      </c>
      <c r="K963">
        <v>5315.63</v>
      </c>
      <c r="L963">
        <v>5352.82</v>
      </c>
      <c r="M963" s="221"/>
      <c r="N963" s="221"/>
      <c r="O963" s="221"/>
      <c r="P963" s="221"/>
      <c r="Q963" s="215">
        <f>IF((L964=""),"",MAX(D965:L965))</f>
        <v>3376.9799999999996</v>
      </c>
      <c r="R963" s="215">
        <f>IF(L964="","",MIN(D965:L965))</f>
        <v>3263.4400000000005</v>
      </c>
      <c r="S963" s="216">
        <f>IF((L965=""),"",AVERAGE(D965:L965))</f>
        <v>3339.9711111111114</v>
      </c>
      <c r="T963" s="215">
        <f>IF((L964=""),"",((Q963-R963)/(Q963+R963))*100)</f>
        <v>1.70983160703689</v>
      </c>
      <c r="U963" s="215">
        <f>STDEV(D963:L963)</f>
        <v>30.732360794445878</v>
      </c>
      <c r="V963" s="217" t="str">
        <f>IF(L964="","",(IF(T963&lt;7,IF(S963&gt;2800,IF(S963&lt;3800,"Pass","Fail"),"Fail"),"Fail")))</f>
        <v>Pass</v>
      </c>
      <c r="W963" s="215">
        <v>1159</v>
      </c>
      <c r="X963" s="206" t="s">
        <v>312</v>
      </c>
      <c r="Y963" s="218"/>
      <c r="Z963" s="226">
        <v>2800</v>
      </c>
      <c r="AA963" s="226">
        <v>3800</v>
      </c>
      <c r="AB963" s="226">
        <v>3100</v>
      </c>
      <c r="AC963" s="226">
        <v>3760</v>
      </c>
      <c r="AD963" s="227">
        <v>6</v>
      </c>
    </row>
    <row r="964" spans="1:30" customFormat="1" ht="16.5" customHeight="1" x14ac:dyDescent="0.35">
      <c r="A964" s="234"/>
      <c r="B964" s="220"/>
      <c r="C964" s="215" t="s">
        <v>157</v>
      </c>
      <c r="D964">
        <v>3616.84</v>
      </c>
      <c r="E964">
        <v>3589.66</v>
      </c>
      <c r="F964">
        <v>3629.22</v>
      </c>
      <c r="G964">
        <v>3604.74</v>
      </c>
      <c r="H964">
        <v>3621.74</v>
      </c>
      <c r="I964">
        <v>3608.98</v>
      </c>
      <c r="J964">
        <v>3608.86</v>
      </c>
      <c r="K964">
        <v>3636.38</v>
      </c>
      <c r="L964">
        <v>3678.35</v>
      </c>
      <c r="M964" s="221"/>
      <c r="N964" s="221"/>
      <c r="O964" s="221"/>
      <c r="P964" s="221"/>
      <c r="Q964" s="215"/>
      <c r="R964" s="215"/>
      <c r="S964" s="216"/>
      <c r="T964" s="215"/>
      <c r="U964" s="215"/>
      <c r="V964" s="217"/>
      <c r="W964" s="215"/>
      <c r="Y964" s="218"/>
      <c r="Z964" s="218"/>
      <c r="AA964" s="218"/>
      <c r="AB964" s="218"/>
      <c r="AC964" s="218"/>
      <c r="AD964" s="206"/>
    </row>
    <row r="965" spans="1:30" customFormat="1" ht="24.8" customHeight="1" thickBot="1" x14ac:dyDescent="0.4">
      <c r="A965" s="237"/>
      <c r="B965" s="228"/>
      <c r="C965" s="229" t="s">
        <v>156</v>
      </c>
      <c r="D965" s="230">
        <f t="shared" ref="D965:L965" si="316">IF(((D963="")*AND(D964="")),"",(D963-D964)*2)</f>
        <v>3376.9799999999996</v>
      </c>
      <c r="E965" s="230">
        <f t="shared" si="316"/>
        <v>3367.4400000000005</v>
      </c>
      <c r="F965" s="230">
        <f t="shared" si="316"/>
        <v>3350.9399999999996</v>
      </c>
      <c r="G965" s="230">
        <f t="shared" si="316"/>
        <v>3324.4400000000005</v>
      </c>
      <c r="H965" s="230">
        <f t="shared" si="316"/>
        <v>3263.4400000000005</v>
      </c>
      <c r="I965" s="230">
        <f t="shared" si="316"/>
        <v>3336.2200000000003</v>
      </c>
      <c r="J965" s="230">
        <f t="shared" si="316"/>
        <v>3332.8399999999992</v>
      </c>
      <c r="K965" s="230">
        <f t="shared" si="316"/>
        <v>3358.5</v>
      </c>
      <c r="L965" s="230">
        <f t="shared" si="316"/>
        <v>3348.9399999999996</v>
      </c>
      <c r="M965" s="231"/>
      <c r="N965" s="230"/>
      <c r="O965" s="230"/>
      <c r="P965" s="230"/>
      <c r="Q965" s="215"/>
      <c r="R965" s="215"/>
      <c r="S965" s="216"/>
      <c r="T965" s="215"/>
      <c r="U965" s="215"/>
      <c r="V965" s="217"/>
      <c r="W965" s="215"/>
      <c r="Y965" s="218"/>
      <c r="Z965" s="218"/>
      <c r="AA965" s="218"/>
      <c r="AB965" s="218"/>
      <c r="AC965" s="218"/>
      <c r="AD965" s="206"/>
    </row>
    <row r="966" spans="1:30" x14ac:dyDescent="0.25">
      <c r="A966" s="202"/>
      <c r="B966" s="63" t="s">
        <v>160</v>
      </c>
      <c r="C966" s="56" t="s">
        <v>158</v>
      </c>
      <c r="M966" s="62"/>
      <c r="N966" s="62"/>
      <c r="O966" s="62"/>
      <c r="P966" s="62"/>
      <c r="Q966" s="57" t="str">
        <f>IF((L967=""),"",MAX(D968:L968))</f>
        <v/>
      </c>
      <c r="R966" s="57" t="str">
        <f>IF(L967="","",MIN(D968:L968))</f>
        <v/>
      </c>
      <c r="S966" s="58" t="str">
        <f>IF((L968=""),"",AVERAGE(D968:L968))</f>
        <v/>
      </c>
      <c r="T966" s="57" t="str">
        <f>IF((L967=""),"",((Q966-R966)/(Q966+R966))*100)</f>
        <v/>
      </c>
      <c r="U966" s="56" t="e">
        <f>STDEV(D966:L966)</f>
        <v>#DIV/0!</v>
      </c>
      <c r="V966" s="55" t="str">
        <f>IF(L967="","",(IF(T966&lt;12,IF(S966&gt;2200,IF(S966&lt;3280,"Pass","Fail"),"Fail"),"Fail")))</f>
        <v/>
      </c>
      <c r="W966" s="54"/>
      <c r="Z966" s="37">
        <v>2000</v>
      </c>
      <c r="AA966" s="37">
        <v>3000</v>
      </c>
      <c r="AB966" s="37">
        <v>2200</v>
      </c>
      <c r="AC966" s="37">
        <v>3280</v>
      </c>
      <c r="AD966" s="39">
        <v>12</v>
      </c>
    </row>
    <row r="967" spans="1:30" ht="16.5" customHeight="1" x14ac:dyDescent="0.35">
      <c r="A967" s="206"/>
      <c r="B967" s="48"/>
      <c r="C967" s="51" t="s">
        <v>157</v>
      </c>
      <c r="M967" s="50"/>
      <c r="N967" s="50"/>
      <c r="O967" s="50"/>
      <c r="P967" s="50"/>
      <c r="Q967" s="48"/>
      <c r="R967" s="48"/>
      <c r="S967" s="48"/>
      <c r="T967" s="48"/>
      <c r="U967" s="48"/>
      <c r="V967" s="47"/>
      <c r="W967" s="46"/>
      <c r="X967" s="8"/>
    </row>
    <row r="968" spans="1:30" ht="24.8" customHeight="1" thickBot="1" x14ac:dyDescent="0.4">
      <c r="A968" s="206"/>
      <c r="B968" s="61"/>
      <c r="C968" s="51" t="s">
        <v>156</v>
      </c>
      <c r="D968" s="24" t="str">
        <f t="shared" ref="D968" si="317">IF(((D966="")*AND(D967="")),"",(D966-D967)*4)</f>
        <v/>
      </c>
      <c r="E968" s="24" t="str">
        <f t="shared" ref="E968" si="318">IF(((E966="")*AND(E967="")),"",(E966-E967)*4)</f>
        <v/>
      </c>
      <c r="F968" s="24" t="str">
        <f t="shared" ref="F968" si="319">IF(((F966="")*AND(F967="")),"",(F966-F967)*4)</f>
        <v/>
      </c>
      <c r="G968" s="24" t="str">
        <f t="shared" ref="G968" si="320">IF(((G966="")*AND(G967="")),"",(G966-G967)*4)</f>
        <v/>
      </c>
      <c r="H968" s="24" t="str">
        <f t="shared" ref="H968" si="321">IF(((H966="")*AND(H967="")),"",(H966-H967)*4)</f>
        <v/>
      </c>
      <c r="I968" s="24" t="str">
        <f t="shared" ref="I968" si="322">IF(((I966="")*AND(I967="")),"",(I966-I967)*4)</f>
        <v/>
      </c>
      <c r="J968" s="24" t="str">
        <f t="shared" ref="J968" si="323">IF(((J966="")*AND(J967="")),"",(J966-J967)*4)</f>
        <v/>
      </c>
      <c r="K968" s="24" t="str">
        <f t="shared" ref="K968" si="324">IF(((K966="")*AND(K967="")),"",(K966-K967)*4)</f>
        <v/>
      </c>
      <c r="L968" s="24" t="str">
        <f t="shared" ref="L968" si="325">IF(((L966="")*AND(L967="")),"",(L966-L967)*4)</f>
        <v/>
      </c>
      <c r="M968" s="24"/>
      <c r="N968" s="24"/>
      <c r="O968" s="24"/>
      <c r="P968" s="24" t="str">
        <f>IF(((P966="")*AND(P967="")),"",(P966-P967)*4)</f>
        <v/>
      </c>
      <c r="Q968" s="61"/>
      <c r="R968" s="61"/>
      <c r="S968" s="61"/>
      <c r="T968" s="61"/>
      <c r="U968" s="61"/>
      <c r="V968" s="60"/>
      <c r="W968" s="59"/>
      <c r="X968" s="8"/>
    </row>
    <row r="969" spans="1:30" x14ac:dyDescent="0.25">
      <c r="A969" s="202"/>
      <c r="B969" s="57" t="s">
        <v>159</v>
      </c>
      <c r="C969" s="51" t="s">
        <v>158</v>
      </c>
      <c r="M969" s="50"/>
      <c r="N969" s="50"/>
      <c r="O969" s="50"/>
      <c r="P969" s="50"/>
      <c r="Q969" s="57" t="str">
        <f>IF((L970=""),"",MAX(D971:L971))</f>
        <v/>
      </c>
      <c r="R969" s="57" t="str">
        <f>IF(L970="","",MIN(D971:L971))</f>
        <v/>
      </c>
      <c r="S969" s="58" t="str">
        <f>IF((L971=""),"",AVERAGE(D971:L971))</f>
        <v/>
      </c>
      <c r="T969" s="57" t="str">
        <f>IF((L970=""),"",((Q969-R969)/(Q969+R969))*100)</f>
        <v/>
      </c>
      <c r="U969" s="56" t="e">
        <f>STDEV(D969:L969)</f>
        <v>#DIV/0!</v>
      </c>
      <c r="V969" s="55" t="str">
        <f>IF(L970="","",(IF(T969&lt;7,IF(S969&gt;2800,IF(S969&lt;3800,"Pass","Fail"),"Fail"),"Fail")))</f>
        <v/>
      </c>
      <c r="W969" s="54"/>
      <c r="Z969" s="53">
        <v>2800</v>
      </c>
      <c r="AA969" s="53">
        <v>3800</v>
      </c>
      <c r="AB969" s="53">
        <v>3100</v>
      </c>
      <c r="AC969" s="53">
        <v>3760</v>
      </c>
      <c r="AD969" s="52">
        <v>6</v>
      </c>
    </row>
    <row r="970" spans="1:30" ht="16.5" customHeight="1" x14ac:dyDescent="0.35">
      <c r="A970" s="206"/>
      <c r="B970" s="48"/>
      <c r="C970" s="51" t="s">
        <v>157</v>
      </c>
      <c r="M970" s="50"/>
      <c r="N970" s="50"/>
      <c r="O970" s="50"/>
      <c r="P970" s="50"/>
      <c r="Q970" s="48"/>
      <c r="R970" s="48"/>
      <c r="S970" s="49"/>
      <c r="T970" s="48"/>
      <c r="U970" s="48"/>
      <c r="V970" s="47"/>
      <c r="W970" s="46"/>
      <c r="X970" s="8"/>
    </row>
    <row r="971" spans="1:30" ht="24.8" customHeight="1" thickBot="1" x14ac:dyDescent="0.4">
      <c r="A971" s="206"/>
      <c r="B971" s="42"/>
      <c r="C971" s="45" t="s">
        <v>156</v>
      </c>
      <c r="D971" s="44" t="str">
        <f t="shared" ref="D971" si="326">IF(((D969="")*AND(D970="")),"",(D969-D970)*2)</f>
        <v/>
      </c>
      <c r="E971" s="44" t="str">
        <f t="shared" ref="E971" si="327">IF(((E969="")*AND(E970="")),"",(E969-E970)*2)</f>
        <v/>
      </c>
      <c r="F971" s="44" t="str">
        <f t="shared" ref="F971" si="328">IF(((F969="")*AND(F970="")),"",(F969-F970)*2)</f>
        <v/>
      </c>
      <c r="G971" s="44" t="str">
        <f t="shared" ref="G971" si="329">IF(((G969="")*AND(G970="")),"",(G969-G970)*2)</f>
        <v/>
      </c>
      <c r="H971" s="44" t="str">
        <f t="shared" ref="H971" si="330">IF(((H969="")*AND(H970="")),"",(H969-H970)*2)</f>
        <v/>
      </c>
      <c r="I971" s="44" t="str">
        <f t="shared" ref="I971" si="331">IF(((I969="")*AND(I970="")),"",(I969-I970)*2)</f>
        <v/>
      </c>
      <c r="J971" s="44" t="str">
        <f t="shared" ref="J971" si="332">IF(((J969="")*AND(J970="")),"",(J969-J970)*2)</f>
        <v/>
      </c>
      <c r="K971" s="44" t="str">
        <f t="shared" ref="K971" si="333">IF(((K969="")*AND(K970="")),"",(K969-K970)*2)</f>
        <v/>
      </c>
      <c r="L971" s="44" t="str">
        <f t="shared" ref="L971" si="334">IF(((L969="")*AND(L970="")),"",(L969-L970)*2)</f>
        <v/>
      </c>
      <c r="M971" s="44"/>
      <c r="N971" s="44"/>
      <c r="O971" s="44"/>
      <c r="P971" s="44"/>
      <c r="Q971" s="42"/>
      <c r="R971" s="42"/>
      <c r="S971" s="43"/>
      <c r="T971" s="42"/>
      <c r="U971" s="42"/>
      <c r="V971" s="41"/>
      <c r="W971" s="40"/>
      <c r="X971" s="8"/>
    </row>
    <row r="972" spans="1:30" x14ac:dyDescent="0.25">
      <c r="A972" s="202"/>
      <c r="B972" s="63" t="s">
        <v>160</v>
      </c>
      <c r="C972" s="56" t="s">
        <v>158</v>
      </c>
      <c r="M972" s="62"/>
      <c r="N972" s="62"/>
      <c r="O972" s="62"/>
      <c r="P972" s="62"/>
      <c r="Q972" s="57" t="str">
        <f>IF((L973=""),"",MAX(D974:L974))</f>
        <v/>
      </c>
      <c r="R972" s="57" t="str">
        <f>IF(L973="","",MIN(D974:L974))</f>
        <v/>
      </c>
      <c r="S972" s="58" t="str">
        <f>IF((L974=""),"",AVERAGE(D974:L974))</f>
        <v/>
      </c>
      <c r="T972" s="57" t="str">
        <f>IF((L973=""),"",((Q972-R972)/(Q972+R972))*100)</f>
        <v/>
      </c>
      <c r="U972" s="56" t="e">
        <f>STDEV(D972:L972)</f>
        <v>#DIV/0!</v>
      </c>
      <c r="V972" s="55" t="str">
        <f>IF(L973="","",(IF(T972&lt;12,IF(S972&gt;2200,IF(S972&lt;3280,"Pass","Fail"),"Fail"),"Fail")))</f>
        <v/>
      </c>
      <c r="W972" s="54"/>
      <c r="Z972" s="37">
        <v>2000</v>
      </c>
      <c r="AA972" s="37">
        <v>3000</v>
      </c>
      <c r="AB972" s="37">
        <v>2200</v>
      </c>
      <c r="AC972" s="37">
        <v>3280</v>
      </c>
      <c r="AD972" s="39">
        <v>12</v>
      </c>
    </row>
    <row r="973" spans="1:30" ht="16.5" customHeight="1" x14ac:dyDescent="0.35">
      <c r="A973" s="206"/>
      <c r="B973" s="48"/>
      <c r="C973" s="51" t="s">
        <v>157</v>
      </c>
      <c r="M973" s="50"/>
      <c r="N973" s="50"/>
      <c r="O973" s="50"/>
      <c r="P973" s="50"/>
      <c r="Q973" s="48"/>
      <c r="R973" s="48"/>
      <c r="S973" s="48"/>
      <c r="T973" s="48"/>
      <c r="U973" s="48"/>
      <c r="V973" s="47"/>
      <c r="W973" s="46"/>
      <c r="X973" s="8"/>
    </row>
    <row r="974" spans="1:30" ht="24.8" customHeight="1" thickBot="1" x14ac:dyDescent="0.4">
      <c r="A974" s="206"/>
      <c r="B974" s="61"/>
      <c r="C974" s="51" t="s">
        <v>156</v>
      </c>
      <c r="D974" s="24" t="str">
        <f t="shared" ref="D974" si="335">IF(((D972="")*AND(D973="")),"",(D972-D973)*4)</f>
        <v/>
      </c>
      <c r="E974" s="24" t="str">
        <f t="shared" ref="E974" si="336">IF(((E972="")*AND(E973="")),"",(E972-E973)*4)</f>
        <v/>
      </c>
      <c r="F974" s="24" t="str">
        <f t="shared" ref="F974" si="337">IF(((F972="")*AND(F973="")),"",(F972-F973)*4)</f>
        <v/>
      </c>
      <c r="G974" s="24" t="str">
        <f t="shared" ref="G974" si="338">IF(((G972="")*AND(G973="")),"",(G972-G973)*4)</f>
        <v/>
      </c>
      <c r="H974" s="24" t="str">
        <f t="shared" ref="H974" si="339">IF(((H972="")*AND(H973="")),"",(H972-H973)*4)</f>
        <v/>
      </c>
      <c r="I974" s="24" t="str">
        <f t="shared" ref="I974" si="340">IF(((I972="")*AND(I973="")),"",(I972-I973)*4)</f>
        <v/>
      </c>
      <c r="J974" s="24" t="str">
        <f t="shared" ref="J974" si="341">IF(((J972="")*AND(J973="")),"",(J972-J973)*4)</f>
        <v/>
      </c>
      <c r="K974" s="24" t="str">
        <f t="shared" ref="K974" si="342">IF(((K972="")*AND(K973="")),"",(K972-K973)*4)</f>
        <v/>
      </c>
      <c r="L974" s="24" t="str">
        <f t="shared" ref="L974" si="343">IF(((L972="")*AND(L973="")),"",(L972-L973)*4)</f>
        <v/>
      </c>
      <c r="M974" s="24"/>
      <c r="N974" s="24"/>
      <c r="O974" s="24"/>
      <c r="P974" s="24" t="str">
        <f>IF(((P972="")*AND(P973="")),"",(P972-P973)*4)</f>
        <v/>
      </c>
      <c r="Q974" s="61"/>
      <c r="R974" s="61"/>
      <c r="S974" s="61"/>
      <c r="T974" s="61"/>
      <c r="U974" s="61"/>
      <c r="V974" s="60"/>
      <c r="W974" s="59"/>
      <c r="X974" s="8"/>
    </row>
    <row r="975" spans="1:30" x14ac:dyDescent="0.25">
      <c r="A975" s="202"/>
      <c r="B975" s="57" t="s">
        <v>159</v>
      </c>
      <c r="C975" s="51" t="s">
        <v>158</v>
      </c>
      <c r="M975" s="50"/>
      <c r="N975" s="50"/>
      <c r="O975" s="50"/>
      <c r="P975" s="50"/>
      <c r="Q975" s="57" t="str">
        <f>IF((L976=""),"",MAX(D977:L977))</f>
        <v/>
      </c>
      <c r="R975" s="57" t="str">
        <f>IF(L976="","",MIN(D977:L977))</f>
        <v/>
      </c>
      <c r="S975" s="58" t="str">
        <f>IF((L977=""),"",AVERAGE(D977:L977))</f>
        <v/>
      </c>
      <c r="T975" s="57" t="str">
        <f>IF((L976=""),"",((Q975-R975)/(Q975+R975))*100)</f>
        <v/>
      </c>
      <c r="U975" s="56" t="e">
        <f>STDEV(D975:L975)</f>
        <v>#DIV/0!</v>
      </c>
      <c r="V975" s="55" t="str">
        <f>IF(L976="","",(IF(T975&lt;7,IF(S975&gt;2800,IF(S975&lt;3800,"Pass","Fail"),"Fail"),"Fail")))</f>
        <v/>
      </c>
      <c r="W975" s="54"/>
      <c r="Z975" s="53">
        <v>2800</v>
      </c>
      <c r="AA975" s="53">
        <v>3800</v>
      </c>
      <c r="AB975" s="53">
        <v>3100</v>
      </c>
      <c r="AC975" s="53">
        <v>3760</v>
      </c>
      <c r="AD975" s="52">
        <v>6</v>
      </c>
    </row>
    <row r="976" spans="1:30" ht="16.5" customHeight="1" x14ac:dyDescent="0.35">
      <c r="A976" s="206"/>
      <c r="B976" s="48"/>
      <c r="C976" s="51" t="s">
        <v>157</v>
      </c>
      <c r="M976" s="50"/>
      <c r="N976" s="50"/>
      <c r="O976" s="50"/>
      <c r="P976" s="50"/>
      <c r="Q976" s="48"/>
      <c r="R976" s="48"/>
      <c r="S976" s="49"/>
      <c r="T976" s="48"/>
      <c r="U976" s="48"/>
      <c r="V976" s="47"/>
      <c r="W976" s="46"/>
      <c r="X976" s="8"/>
    </row>
    <row r="977" spans="1:30" ht="24.8" customHeight="1" thickBot="1" x14ac:dyDescent="0.4">
      <c r="A977" s="206"/>
      <c r="B977" s="42"/>
      <c r="C977" s="45" t="s">
        <v>156</v>
      </c>
      <c r="D977" s="44" t="str">
        <f t="shared" ref="D977" si="344">IF(((D975="")*AND(D976="")),"",(D975-D976)*2)</f>
        <v/>
      </c>
      <c r="E977" s="44" t="str">
        <f t="shared" ref="E977" si="345">IF(((E975="")*AND(E976="")),"",(E975-E976)*2)</f>
        <v/>
      </c>
      <c r="F977" s="44" t="str">
        <f t="shared" ref="F977" si="346">IF(((F975="")*AND(F976="")),"",(F975-F976)*2)</f>
        <v/>
      </c>
      <c r="G977" s="44" t="str">
        <f t="shared" ref="G977" si="347">IF(((G975="")*AND(G976="")),"",(G975-G976)*2)</f>
        <v/>
      </c>
      <c r="H977" s="44" t="str">
        <f t="shared" ref="H977" si="348">IF(((H975="")*AND(H976="")),"",(H975-H976)*2)</f>
        <v/>
      </c>
      <c r="I977" s="44" t="str">
        <f t="shared" ref="I977" si="349">IF(((I975="")*AND(I976="")),"",(I975-I976)*2)</f>
        <v/>
      </c>
      <c r="J977" s="44" t="str">
        <f t="shared" ref="J977" si="350">IF(((J975="")*AND(J976="")),"",(J975-J976)*2)</f>
        <v/>
      </c>
      <c r="K977" s="44" t="str">
        <f t="shared" ref="K977" si="351">IF(((K975="")*AND(K976="")),"",(K975-K976)*2)</f>
        <v/>
      </c>
      <c r="L977" s="44" t="str">
        <f t="shared" ref="L977" si="352">IF(((L975="")*AND(L976="")),"",(L975-L976)*2)</f>
        <v/>
      </c>
      <c r="M977" s="44"/>
      <c r="N977" s="44"/>
      <c r="O977" s="44"/>
      <c r="P977" s="44"/>
      <c r="Q977" s="42"/>
      <c r="R977" s="42"/>
      <c r="S977" s="43"/>
      <c r="T977" s="42"/>
      <c r="U977" s="42"/>
      <c r="V977" s="41"/>
      <c r="W977" s="40"/>
      <c r="X977" s="8"/>
    </row>
    <row r="978" spans="1:30" x14ac:dyDescent="0.25">
      <c r="A978" s="202"/>
      <c r="B978" s="63" t="s">
        <v>160</v>
      </c>
      <c r="C978" s="56" t="s">
        <v>158</v>
      </c>
      <c r="M978" s="62"/>
      <c r="N978" s="62"/>
      <c r="O978" s="62"/>
      <c r="P978" s="62"/>
      <c r="Q978" s="57" t="str">
        <f>IF((L979=""),"",MAX(D980:L980))</f>
        <v/>
      </c>
      <c r="R978" s="57" t="str">
        <f>IF(L979="","",MIN(D980:L980))</f>
        <v/>
      </c>
      <c r="S978" s="58" t="str">
        <f>IF((L980=""),"",AVERAGE(D980:L980))</f>
        <v/>
      </c>
      <c r="T978" s="57" t="str">
        <f>IF((L979=""),"",((Q978-R978)/(Q978+R978))*100)</f>
        <v/>
      </c>
      <c r="U978" s="56" t="e">
        <f>STDEV(D978:L978)</f>
        <v>#DIV/0!</v>
      </c>
      <c r="V978" s="55" t="str">
        <f>IF(L979="","",(IF(T978&lt;12,IF(S978&gt;2200,IF(S978&lt;3280,"Pass","Fail"),"Fail"),"Fail")))</f>
        <v/>
      </c>
      <c r="W978" s="54"/>
      <c r="Z978" s="37">
        <v>2000</v>
      </c>
      <c r="AA978" s="37">
        <v>3000</v>
      </c>
      <c r="AB978" s="37">
        <v>2200</v>
      </c>
      <c r="AC978" s="37">
        <v>3280</v>
      </c>
      <c r="AD978" s="39">
        <v>12</v>
      </c>
    </row>
    <row r="979" spans="1:30" ht="16.5" customHeight="1" x14ac:dyDescent="0.35">
      <c r="A979" s="206"/>
      <c r="B979" s="48"/>
      <c r="C979" s="51" t="s">
        <v>157</v>
      </c>
      <c r="M979" s="50"/>
      <c r="N979" s="50"/>
      <c r="O979" s="50"/>
      <c r="P979" s="50"/>
      <c r="Q979" s="48"/>
      <c r="R979" s="48"/>
      <c r="S979" s="48"/>
      <c r="T979" s="48"/>
      <c r="U979" s="48"/>
      <c r="V979" s="47"/>
      <c r="W979" s="46"/>
      <c r="X979" s="8"/>
    </row>
    <row r="980" spans="1:30" ht="24.8" customHeight="1" thickBot="1" x14ac:dyDescent="0.4">
      <c r="A980" s="206"/>
      <c r="B980" s="61"/>
      <c r="C980" s="51" t="s">
        <v>156</v>
      </c>
      <c r="D980" s="24" t="str">
        <f t="shared" ref="D980" si="353">IF(((D978="")*AND(D979="")),"",(D978-D979)*4)</f>
        <v/>
      </c>
      <c r="E980" s="24" t="str">
        <f t="shared" ref="E980" si="354">IF(((E978="")*AND(E979="")),"",(E978-E979)*4)</f>
        <v/>
      </c>
      <c r="F980" s="24" t="str">
        <f t="shared" ref="F980" si="355">IF(((F978="")*AND(F979="")),"",(F978-F979)*4)</f>
        <v/>
      </c>
      <c r="G980" s="24" t="str">
        <f t="shared" ref="G980" si="356">IF(((G978="")*AND(G979="")),"",(G978-G979)*4)</f>
        <v/>
      </c>
      <c r="H980" s="24" t="str">
        <f t="shared" ref="H980" si="357">IF(((H978="")*AND(H979="")),"",(H978-H979)*4)</f>
        <v/>
      </c>
      <c r="I980" s="24" t="str">
        <f t="shared" ref="I980" si="358">IF(((I978="")*AND(I979="")),"",(I978-I979)*4)</f>
        <v/>
      </c>
      <c r="J980" s="24" t="str">
        <f t="shared" ref="J980" si="359">IF(((J978="")*AND(J979="")),"",(J978-J979)*4)</f>
        <v/>
      </c>
      <c r="K980" s="24" t="str">
        <f t="shared" ref="K980" si="360">IF(((K978="")*AND(K979="")),"",(K978-K979)*4)</f>
        <v/>
      </c>
      <c r="L980" s="24" t="str">
        <f t="shared" ref="L980" si="361">IF(((L978="")*AND(L979="")),"",(L978-L979)*4)</f>
        <v/>
      </c>
      <c r="M980" s="24"/>
      <c r="N980" s="24"/>
      <c r="O980" s="24"/>
      <c r="P980" s="24" t="str">
        <f>IF(((P978="")*AND(P979="")),"",(P978-P979)*4)</f>
        <v/>
      </c>
      <c r="Q980" s="61"/>
      <c r="R980" s="61"/>
      <c r="S980" s="61"/>
      <c r="T980" s="61"/>
      <c r="U980" s="61"/>
      <c r="V980" s="60"/>
      <c r="W980" s="59"/>
      <c r="X980" s="8"/>
    </row>
    <row r="981" spans="1:30" x14ac:dyDescent="0.25">
      <c r="A981" s="202"/>
      <c r="B981" s="57" t="s">
        <v>159</v>
      </c>
      <c r="C981" s="51" t="s">
        <v>158</v>
      </c>
      <c r="M981" s="50"/>
      <c r="N981" s="50"/>
      <c r="O981" s="50"/>
      <c r="P981" s="50"/>
      <c r="Q981" s="57" t="str">
        <f>IF((L982=""),"",MAX(D983:L983))</f>
        <v/>
      </c>
      <c r="R981" s="57" t="str">
        <f>IF(L982="","",MIN(D983:L983))</f>
        <v/>
      </c>
      <c r="S981" s="58" t="str">
        <f>IF((L983=""),"",AVERAGE(D983:L983))</f>
        <v/>
      </c>
      <c r="T981" s="57" t="str">
        <f>IF((L982=""),"",((Q981-R981)/(Q981+R981))*100)</f>
        <v/>
      </c>
      <c r="U981" s="56" t="e">
        <f>STDEV(D981:L981)</f>
        <v>#DIV/0!</v>
      </c>
      <c r="V981" s="55" t="str">
        <f>IF(L982="","",(IF(T981&lt;7,IF(S981&gt;2800,IF(S981&lt;3800,"Pass","Fail"),"Fail"),"Fail")))</f>
        <v/>
      </c>
      <c r="W981" s="54"/>
      <c r="Z981" s="53">
        <v>2800</v>
      </c>
      <c r="AA981" s="53">
        <v>3800</v>
      </c>
      <c r="AB981" s="53">
        <v>3100</v>
      </c>
      <c r="AC981" s="53">
        <v>3760</v>
      </c>
      <c r="AD981" s="52">
        <v>6</v>
      </c>
    </row>
    <row r="982" spans="1:30" ht="16.5" customHeight="1" x14ac:dyDescent="0.35">
      <c r="A982" s="206"/>
      <c r="B982" s="48"/>
      <c r="C982" s="51" t="s">
        <v>157</v>
      </c>
      <c r="M982" s="50"/>
      <c r="N982" s="50"/>
      <c r="O982" s="50"/>
      <c r="P982" s="50"/>
      <c r="Q982" s="48"/>
      <c r="R982" s="48"/>
      <c r="S982" s="49"/>
      <c r="T982" s="48"/>
      <c r="U982" s="48"/>
      <c r="V982" s="47"/>
      <c r="W982" s="46"/>
      <c r="X982" s="8"/>
    </row>
    <row r="983" spans="1:30" ht="24.8" customHeight="1" thickBot="1" x14ac:dyDescent="0.4">
      <c r="A983" s="206"/>
      <c r="B983" s="42"/>
      <c r="C983" s="45" t="s">
        <v>156</v>
      </c>
      <c r="D983" s="44" t="str">
        <f t="shared" ref="D983" si="362">IF(((D981="")*AND(D982="")),"",(D981-D982)*2)</f>
        <v/>
      </c>
      <c r="E983" s="44" t="str">
        <f t="shared" ref="E983" si="363">IF(((E981="")*AND(E982="")),"",(E981-E982)*2)</f>
        <v/>
      </c>
      <c r="F983" s="44" t="str">
        <f t="shared" ref="F983" si="364">IF(((F981="")*AND(F982="")),"",(F981-F982)*2)</f>
        <v/>
      </c>
      <c r="G983" s="44" t="str">
        <f t="shared" ref="G983" si="365">IF(((G981="")*AND(G982="")),"",(G981-G982)*2)</f>
        <v/>
      </c>
      <c r="H983" s="44" t="str">
        <f t="shared" ref="H983" si="366">IF(((H981="")*AND(H982="")),"",(H981-H982)*2)</f>
        <v/>
      </c>
      <c r="I983" s="44" t="str">
        <f t="shared" ref="I983" si="367">IF(((I981="")*AND(I982="")),"",(I981-I982)*2)</f>
        <v/>
      </c>
      <c r="J983" s="44" t="str">
        <f t="shared" ref="J983" si="368">IF(((J981="")*AND(J982="")),"",(J981-J982)*2)</f>
        <v/>
      </c>
      <c r="K983" s="44" t="str">
        <f t="shared" ref="K983" si="369">IF(((K981="")*AND(K982="")),"",(K981-K982)*2)</f>
        <v/>
      </c>
      <c r="L983" s="44" t="str">
        <f t="shared" ref="L983" si="370">IF(((L981="")*AND(L982="")),"",(L981-L982)*2)</f>
        <v/>
      </c>
      <c r="M983" s="44"/>
      <c r="N983" s="44"/>
      <c r="O983" s="44"/>
      <c r="P983" s="44"/>
      <c r="Q983" s="42"/>
      <c r="R983" s="42"/>
      <c r="S983" s="43"/>
      <c r="T983" s="42"/>
      <c r="U983" s="42"/>
      <c r="V983" s="41"/>
      <c r="W983" s="40"/>
      <c r="X983" s="8"/>
    </row>
    <row r="984" spans="1:30" x14ac:dyDescent="0.25">
      <c r="A984" s="202"/>
      <c r="B984" s="63" t="s">
        <v>160</v>
      </c>
      <c r="C984" s="56" t="s">
        <v>158</v>
      </c>
      <c r="M984" s="62"/>
      <c r="N984" s="62"/>
      <c r="O984" s="62"/>
      <c r="P984" s="62"/>
      <c r="Q984" s="57" t="str">
        <f>IF((L985=""),"",MAX(D986:L986))</f>
        <v/>
      </c>
      <c r="R984" s="57" t="str">
        <f>IF(L985="","",MIN(D986:L986))</f>
        <v/>
      </c>
      <c r="S984" s="58" t="str">
        <f>IF((L986=""),"",AVERAGE(D986:L986))</f>
        <v/>
      </c>
      <c r="T984" s="57" t="str">
        <f>IF((L985=""),"",((Q984-R984)/(Q984+R984))*100)</f>
        <v/>
      </c>
      <c r="U984" s="56" t="e">
        <f>STDEV(D984:L984)</f>
        <v>#DIV/0!</v>
      </c>
      <c r="V984" s="55" t="str">
        <f>IF(L985="","",(IF(T984&lt;12,IF(S984&gt;2200,IF(S984&lt;3280,"Pass","Fail"),"Fail"),"Fail")))</f>
        <v/>
      </c>
      <c r="W984" s="54"/>
      <c r="Z984" s="37">
        <v>2000</v>
      </c>
      <c r="AA984" s="37">
        <v>3000</v>
      </c>
      <c r="AB984" s="37">
        <v>2200</v>
      </c>
      <c r="AC984" s="37">
        <v>3280</v>
      </c>
      <c r="AD984" s="39">
        <v>12</v>
      </c>
    </row>
    <row r="985" spans="1:30" ht="16.5" customHeight="1" x14ac:dyDescent="0.35">
      <c r="A985" s="206"/>
      <c r="B985" s="48"/>
      <c r="C985" s="51" t="s">
        <v>157</v>
      </c>
      <c r="M985" s="50"/>
      <c r="N985" s="50"/>
      <c r="O985" s="50"/>
      <c r="P985" s="50"/>
      <c r="Q985" s="48"/>
      <c r="R985" s="48"/>
      <c r="S985" s="48"/>
      <c r="T985" s="48"/>
      <c r="U985" s="48"/>
      <c r="V985" s="47"/>
      <c r="W985" s="46"/>
      <c r="X985" s="8"/>
    </row>
    <row r="986" spans="1:30" ht="24.8" customHeight="1" thickBot="1" x14ac:dyDescent="0.4">
      <c r="A986" s="206"/>
      <c r="B986" s="61"/>
      <c r="C986" s="51" t="s">
        <v>156</v>
      </c>
      <c r="D986" s="24" t="str">
        <f t="shared" ref="D986" si="371">IF(((D984="")*AND(D985="")),"",(D984-D985)*4)</f>
        <v/>
      </c>
      <c r="E986" s="24" t="str">
        <f t="shared" ref="E986" si="372">IF(((E984="")*AND(E985="")),"",(E984-E985)*4)</f>
        <v/>
      </c>
      <c r="F986" s="24" t="str">
        <f t="shared" ref="F986" si="373">IF(((F984="")*AND(F985="")),"",(F984-F985)*4)</f>
        <v/>
      </c>
      <c r="G986" s="24" t="str">
        <f t="shared" ref="G986" si="374">IF(((G984="")*AND(G985="")),"",(G984-G985)*4)</f>
        <v/>
      </c>
      <c r="H986" s="24" t="str">
        <f t="shared" ref="H986" si="375">IF(((H984="")*AND(H985="")),"",(H984-H985)*4)</f>
        <v/>
      </c>
      <c r="I986" s="24" t="str">
        <f t="shared" ref="I986" si="376">IF(((I984="")*AND(I985="")),"",(I984-I985)*4)</f>
        <v/>
      </c>
      <c r="J986" s="24" t="str">
        <f t="shared" ref="J986" si="377">IF(((J984="")*AND(J985="")),"",(J984-J985)*4)</f>
        <v/>
      </c>
      <c r="K986" s="24" t="str">
        <f t="shared" ref="K986" si="378">IF(((K984="")*AND(K985="")),"",(K984-K985)*4)</f>
        <v/>
      </c>
      <c r="L986" s="24" t="str">
        <f t="shared" ref="L986" si="379">IF(((L984="")*AND(L985="")),"",(L984-L985)*4)</f>
        <v/>
      </c>
      <c r="M986" s="24"/>
      <c r="N986" s="24"/>
      <c r="O986" s="24"/>
      <c r="P986" s="24" t="str">
        <f>IF(((P984="")*AND(P985="")),"",(P984-P985)*4)</f>
        <v/>
      </c>
      <c r="Q986" s="61"/>
      <c r="R986" s="61"/>
      <c r="S986" s="61"/>
      <c r="T986" s="61"/>
      <c r="U986" s="61"/>
      <c r="V986" s="60"/>
      <c r="W986" s="59"/>
      <c r="X986" s="8"/>
    </row>
    <row r="987" spans="1:30" x14ac:dyDescent="0.25">
      <c r="A987" s="202"/>
      <c r="B987" s="57" t="s">
        <v>159</v>
      </c>
      <c r="C987" s="51" t="s">
        <v>158</v>
      </c>
      <c r="M987" s="50"/>
      <c r="N987" s="50"/>
      <c r="O987" s="50"/>
      <c r="P987" s="50"/>
      <c r="Q987" s="57" t="str">
        <f>IF((L988=""),"",MAX(D989:L989))</f>
        <v/>
      </c>
      <c r="R987" s="57" t="str">
        <f>IF(L988="","",MIN(D989:L989))</f>
        <v/>
      </c>
      <c r="S987" s="58" t="str">
        <f>IF((L989=""),"",AVERAGE(D989:L989))</f>
        <v/>
      </c>
      <c r="T987" s="57" t="str">
        <f>IF((L988=""),"",((Q987-R987)/(Q987+R987))*100)</f>
        <v/>
      </c>
      <c r="U987" s="56" t="e">
        <f>STDEV(D987:L987)</f>
        <v>#DIV/0!</v>
      </c>
      <c r="V987" s="55" t="str">
        <f>IF(L988="","",(IF(T987&lt;7,IF(S987&gt;2800,IF(S987&lt;3800,"Pass","Fail"),"Fail"),"Fail")))</f>
        <v/>
      </c>
      <c r="W987" s="54"/>
      <c r="Z987" s="53">
        <v>2800</v>
      </c>
      <c r="AA987" s="53">
        <v>3800</v>
      </c>
      <c r="AB987" s="53">
        <v>3100</v>
      </c>
      <c r="AC987" s="53">
        <v>3760</v>
      </c>
      <c r="AD987" s="52">
        <v>6</v>
      </c>
    </row>
    <row r="988" spans="1:30" ht="16.5" customHeight="1" x14ac:dyDescent="0.35">
      <c r="A988" s="206"/>
      <c r="B988" s="48"/>
      <c r="C988" s="51" t="s">
        <v>157</v>
      </c>
      <c r="M988" s="50"/>
      <c r="N988" s="50"/>
      <c r="O988" s="50"/>
      <c r="P988" s="50"/>
      <c r="Q988" s="48"/>
      <c r="R988" s="48"/>
      <c r="S988" s="49"/>
      <c r="T988" s="48"/>
      <c r="U988" s="48"/>
      <c r="V988" s="47"/>
      <c r="W988" s="46"/>
      <c r="X988" s="8"/>
    </row>
    <row r="989" spans="1:30" ht="24.8" customHeight="1" thickBot="1" x14ac:dyDescent="0.4">
      <c r="A989" s="206"/>
      <c r="B989" s="42"/>
      <c r="C989" s="45" t="s">
        <v>156</v>
      </c>
      <c r="D989" s="44" t="str">
        <f t="shared" ref="D989" si="380">IF(((D987="")*AND(D988="")),"",(D987-D988)*2)</f>
        <v/>
      </c>
      <c r="E989" s="44" t="str">
        <f t="shared" ref="E989" si="381">IF(((E987="")*AND(E988="")),"",(E987-E988)*2)</f>
        <v/>
      </c>
      <c r="F989" s="44" t="str">
        <f t="shared" ref="F989" si="382">IF(((F987="")*AND(F988="")),"",(F987-F988)*2)</f>
        <v/>
      </c>
      <c r="G989" s="44" t="str">
        <f t="shared" ref="G989" si="383">IF(((G987="")*AND(G988="")),"",(G987-G988)*2)</f>
        <v/>
      </c>
      <c r="H989" s="44" t="str">
        <f t="shared" ref="H989" si="384">IF(((H987="")*AND(H988="")),"",(H987-H988)*2)</f>
        <v/>
      </c>
      <c r="I989" s="44" t="str">
        <f t="shared" ref="I989" si="385">IF(((I987="")*AND(I988="")),"",(I987-I988)*2)</f>
        <v/>
      </c>
      <c r="J989" s="44" t="str">
        <f t="shared" ref="J989" si="386">IF(((J987="")*AND(J988="")),"",(J987-J988)*2)</f>
        <v/>
      </c>
      <c r="K989" s="44" t="str">
        <f t="shared" ref="K989" si="387">IF(((K987="")*AND(K988="")),"",(K987-K988)*2)</f>
        <v/>
      </c>
      <c r="L989" s="44" t="str">
        <f t="shared" ref="L989" si="388">IF(((L987="")*AND(L988="")),"",(L987-L988)*2)</f>
        <v/>
      </c>
      <c r="M989" s="44"/>
      <c r="N989" s="44"/>
      <c r="O989" s="44"/>
      <c r="P989" s="44"/>
      <c r="Q989" s="42"/>
      <c r="R989" s="42"/>
      <c r="S989" s="43"/>
      <c r="T989" s="42"/>
      <c r="U989" s="42"/>
      <c r="V989" s="41"/>
      <c r="W989" s="40"/>
      <c r="X989" s="8"/>
    </row>
    <row r="990" spans="1:30" x14ac:dyDescent="0.25">
      <c r="A990" s="202"/>
      <c r="B990" s="63" t="s">
        <v>160</v>
      </c>
      <c r="C990" s="56" t="s">
        <v>158</v>
      </c>
      <c r="M990" s="62"/>
      <c r="N990" s="62"/>
      <c r="O990" s="62"/>
      <c r="P990" s="62"/>
      <c r="Q990" s="57" t="str">
        <f>IF((L991=""),"",MAX(D992:L992))</f>
        <v/>
      </c>
      <c r="R990" s="57" t="str">
        <f>IF(L991="","",MIN(D992:L992))</f>
        <v/>
      </c>
      <c r="S990" s="58" t="str">
        <f>IF((L992=""),"",AVERAGE(D992:L992))</f>
        <v/>
      </c>
      <c r="T990" s="57" t="str">
        <f>IF((L991=""),"",((Q990-R990)/(Q990+R990))*100)</f>
        <v/>
      </c>
      <c r="U990" s="56" t="e">
        <f>STDEV(D990:L990)</f>
        <v>#DIV/0!</v>
      </c>
      <c r="V990" s="55" t="str">
        <f>IF(L991="","",(IF(T990&lt;12,IF(S990&gt;2200,IF(S990&lt;3280,"Pass","Fail"),"Fail"),"Fail")))</f>
        <v/>
      </c>
      <c r="W990" s="54"/>
      <c r="Z990" s="37">
        <v>2000</v>
      </c>
      <c r="AA990" s="37">
        <v>3000</v>
      </c>
      <c r="AB990" s="37">
        <v>2200</v>
      </c>
      <c r="AC990" s="37">
        <v>3280</v>
      </c>
      <c r="AD990" s="39">
        <v>12</v>
      </c>
    </row>
    <row r="991" spans="1:30" ht="16.5" customHeight="1" x14ac:dyDescent="0.35">
      <c r="A991" s="206"/>
      <c r="B991" s="48"/>
      <c r="C991" s="51" t="s">
        <v>157</v>
      </c>
      <c r="M991" s="50"/>
      <c r="N991" s="50"/>
      <c r="O991" s="50"/>
      <c r="P991" s="50"/>
      <c r="Q991" s="48"/>
      <c r="R991" s="48"/>
      <c r="S991" s="48"/>
      <c r="T991" s="48"/>
      <c r="U991" s="48"/>
      <c r="V991" s="47"/>
      <c r="W991" s="46"/>
      <c r="X991" s="8"/>
    </row>
    <row r="992" spans="1:30" ht="24.8" customHeight="1" thickBot="1" x14ac:dyDescent="0.4">
      <c r="A992" s="206"/>
      <c r="B992" s="61"/>
      <c r="C992" s="51" t="s">
        <v>156</v>
      </c>
      <c r="D992" s="24" t="str">
        <f t="shared" ref="D992" si="389">IF(((D990="")*AND(D991="")),"",(D990-D991)*4)</f>
        <v/>
      </c>
      <c r="E992" s="24" t="str">
        <f t="shared" ref="E992" si="390">IF(((E990="")*AND(E991="")),"",(E990-E991)*4)</f>
        <v/>
      </c>
      <c r="F992" s="24" t="str">
        <f t="shared" ref="F992" si="391">IF(((F990="")*AND(F991="")),"",(F990-F991)*4)</f>
        <v/>
      </c>
      <c r="G992" s="24" t="str">
        <f t="shared" ref="G992" si="392">IF(((G990="")*AND(G991="")),"",(G990-G991)*4)</f>
        <v/>
      </c>
      <c r="H992" s="24" t="str">
        <f t="shared" ref="H992" si="393">IF(((H990="")*AND(H991="")),"",(H990-H991)*4)</f>
        <v/>
      </c>
      <c r="I992" s="24" t="str">
        <f t="shared" ref="I992" si="394">IF(((I990="")*AND(I991="")),"",(I990-I991)*4)</f>
        <v/>
      </c>
      <c r="J992" s="24" t="str">
        <f t="shared" ref="J992" si="395">IF(((J990="")*AND(J991="")),"",(J990-J991)*4)</f>
        <v/>
      </c>
      <c r="K992" s="24" t="str">
        <f t="shared" ref="K992" si="396">IF(((K990="")*AND(K991="")),"",(K990-K991)*4)</f>
        <v/>
      </c>
      <c r="L992" s="24" t="str">
        <f t="shared" ref="L992" si="397">IF(((L990="")*AND(L991="")),"",(L990-L991)*4)</f>
        <v/>
      </c>
      <c r="M992" s="24"/>
      <c r="N992" s="24"/>
      <c r="O992" s="24"/>
      <c r="P992" s="24" t="str">
        <f>IF(((P990="")*AND(P991="")),"",(P990-P991)*4)</f>
        <v/>
      </c>
      <c r="Q992" s="61"/>
      <c r="R992" s="61"/>
      <c r="S992" s="61"/>
      <c r="T992" s="61"/>
      <c r="U992" s="61"/>
      <c r="V992" s="60"/>
      <c r="W992" s="59"/>
      <c r="X992" s="8"/>
    </row>
    <row r="993" spans="1:30" x14ac:dyDescent="0.25">
      <c r="A993" s="202"/>
      <c r="B993" s="57" t="s">
        <v>159</v>
      </c>
      <c r="C993" s="51" t="s">
        <v>158</v>
      </c>
      <c r="M993" s="50"/>
      <c r="N993" s="50"/>
      <c r="O993" s="50"/>
      <c r="P993" s="50"/>
      <c r="Q993" s="57" t="str">
        <f>IF((L994=""),"",MAX(D995:L995))</f>
        <v/>
      </c>
      <c r="R993" s="57" t="str">
        <f>IF(L994="","",MIN(D995:L995))</f>
        <v/>
      </c>
      <c r="S993" s="58" t="str">
        <f>IF((L995=""),"",AVERAGE(D995:L995))</f>
        <v/>
      </c>
      <c r="T993" s="57" t="str">
        <f>IF((L994=""),"",((Q993-R993)/(Q993+R993))*100)</f>
        <v/>
      </c>
      <c r="U993" s="56" t="e">
        <f>STDEV(D993:L993)</f>
        <v>#DIV/0!</v>
      </c>
      <c r="V993" s="55" t="str">
        <f>IF(L994="","",(IF(T993&lt;7,IF(S993&gt;2800,IF(S993&lt;3800,"Pass","Fail"),"Fail"),"Fail")))</f>
        <v/>
      </c>
      <c r="W993" s="54"/>
      <c r="Z993" s="53">
        <v>2800</v>
      </c>
      <c r="AA993" s="53">
        <v>3800</v>
      </c>
      <c r="AB993" s="53">
        <v>3100</v>
      </c>
      <c r="AC993" s="53">
        <v>3760</v>
      </c>
      <c r="AD993" s="52">
        <v>6</v>
      </c>
    </row>
    <row r="994" spans="1:30" ht="16.5" customHeight="1" x14ac:dyDescent="0.35">
      <c r="A994" s="206"/>
      <c r="B994" s="48"/>
      <c r="C994" s="51" t="s">
        <v>157</v>
      </c>
      <c r="M994" s="50"/>
      <c r="N994" s="50"/>
      <c r="O994" s="50"/>
      <c r="P994" s="50"/>
      <c r="Q994" s="48"/>
      <c r="R994" s="48"/>
      <c r="S994" s="49"/>
      <c r="T994" s="48"/>
      <c r="U994" s="48"/>
      <c r="V994" s="47"/>
      <c r="W994" s="46"/>
      <c r="X994" s="8"/>
    </row>
    <row r="995" spans="1:30" ht="24.8" customHeight="1" thickBot="1" x14ac:dyDescent="0.4">
      <c r="A995" s="206"/>
      <c r="B995" s="42"/>
      <c r="C995" s="45" t="s">
        <v>156</v>
      </c>
      <c r="D995" s="44" t="str">
        <f t="shared" ref="D995" si="398">IF(((D993="")*AND(D994="")),"",(D993-D994)*2)</f>
        <v/>
      </c>
      <c r="E995" s="44" t="str">
        <f t="shared" ref="E995" si="399">IF(((E993="")*AND(E994="")),"",(E993-E994)*2)</f>
        <v/>
      </c>
      <c r="F995" s="44" t="str">
        <f t="shared" ref="F995" si="400">IF(((F993="")*AND(F994="")),"",(F993-F994)*2)</f>
        <v/>
      </c>
      <c r="G995" s="44" t="str">
        <f t="shared" ref="G995" si="401">IF(((G993="")*AND(G994="")),"",(G993-G994)*2)</f>
        <v/>
      </c>
      <c r="H995" s="44" t="str">
        <f t="shared" ref="H995" si="402">IF(((H993="")*AND(H994="")),"",(H993-H994)*2)</f>
        <v/>
      </c>
      <c r="I995" s="44" t="str">
        <f t="shared" ref="I995" si="403">IF(((I993="")*AND(I994="")),"",(I993-I994)*2)</f>
        <v/>
      </c>
      <c r="J995" s="44" t="str">
        <f t="shared" ref="J995" si="404">IF(((J993="")*AND(J994="")),"",(J993-J994)*2)</f>
        <v/>
      </c>
      <c r="K995" s="44" t="str">
        <f t="shared" ref="K995" si="405">IF(((K993="")*AND(K994="")),"",(K993-K994)*2)</f>
        <v/>
      </c>
      <c r="L995" s="44" t="str">
        <f t="shared" ref="L995" si="406">IF(((L993="")*AND(L994="")),"",(L993-L994)*2)</f>
        <v/>
      </c>
      <c r="M995" s="44"/>
      <c r="N995" s="44"/>
      <c r="O995" s="44"/>
      <c r="P995" s="44"/>
      <c r="Q995" s="42"/>
      <c r="R995" s="42"/>
      <c r="S995" s="43"/>
      <c r="T995" s="42"/>
      <c r="U995" s="42"/>
      <c r="V995" s="41"/>
      <c r="W995" s="40"/>
      <c r="X995" s="8"/>
    </row>
    <row r="996" spans="1:30" x14ac:dyDescent="0.25">
      <c r="A996" s="202"/>
      <c r="B996" s="63" t="s">
        <v>160</v>
      </c>
      <c r="C996" s="56" t="s">
        <v>158</v>
      </c>
      <c r="M996" s="62"/>
      <c r="N996" s="62"/>
      <c r="O996" s="62"/>
      <c r="P996" s="62"/>
      <c r="Q996" s="57" t="str">
        <f>IF((L997=""),"",MAX(D998:L998))</f>
        <v/>
      </c>
      <c r="R996" s="57" t="str">
        <f>IF(L997="","",MIN(D998:L998))</f>
        <v/>
      </c>
      <c r="S996" s="58" t="str">
        <f>IF((L998=""),"",AVERAGE(D998:L998))</f>
        <v/>
      </c>
      <c r="T996" s="57" t="str">
        <f>IF((L997=""),"",((Q996-R996)/(Q996+R996))*100)</f>
        <v/>
      </c>
      <c r="U996" s="56" t="e">
        <f>STDEV(D996:L996)</f>
        <v>#DIV/0!</v>
      </c>
      <c r="V996" s="55" t="str">
        <f>IF(L997="","",(IF(T996&lt;12,IF(S996&gt;2200,IF(S996&lt;3280,"Pass","Fail"),"Fail"),"Fail")))</f>
        <v/>
      </c>
      <c r="W996" s="54"/>
      <c r="Z996" s="37">
        <v>2000</v>
      </c>
      <c r="AA996" s="37">
        <v>3000</v>
      </c>
      <c r="AB996" s="37">
        <v>2200</v>
      </c>
      <c r="AC996" s="37">
        <v>3280</v>
      </c>
      <c r="AD996" s="39">
        <v>12</v>
      </c>
    </row>
    <row r="997" spans="1:30" ht="16.5" customHeight="1" x14ac:dyDescent="0.35">
      <c r="A997" s="206"/>
      <c r="B997" s="48"/>
      <c r="C997" s="51" t="s">
        <v>157</v>
      </c>
      <c r="M997" s="50"/>
      <c r="N997" s="50"/>
      <c r="O997" s="50"/>
      <c r="P997" s="50"/>
      <c r="Q997" s="48"/>
      <c r="R997" s="48"/>
      <c r="S997" s="48"/>
      <c r="T997" s="48"/>
      <c r="U997" s="48"/>
      <c r="V997" s="47"/>
      <c r="W997" s="46"/>
      <c r="X997" s="8"/>
    </row>
    <row r="998" spans="1:30" ht="24.8" customHeight="1" thickBot="1" x14ac:dyDescent="0.4">
      <c r="A998" s="206"/>
      <c r="B998" s="61"/>
      <c r="C998" s="51" t="s">
        <v>156</v>
      </c>
      <c r="D998" s="24" t="str">
        <f t="shared" ref="D998" si="407">IF(((D996="")*AND(D997="")),"",(D996-D997)*4)</f>
        <v/>
      </c>
      <c r="E998" s="24" t="str">
        <f t="shared" ref="E998" si="408">IF(((E996="")*AND(E997="")),"",(E996-E997)*4)</f>
        <v/>
      </c>
      <c r="F998" s="24" t="str">
        <f t="shared" ref="F998" si="409">IF(((F996="")*AND(F997="")),"",(F996-F997)*4)</f>
        <v/>
      </c>
      <c r="G998" s="24" t="str">
        <f t="shared" ref="G998" si="410">IF(((G996="")*AND(G997="")),"",(G996-G997)*4)</f>
        <v/>
      </c>
      <c r="H998" s="24" t="str">
        <f t="shared" ref="H998" si="411">IF(((H996="")*AND(H997="")),"",(H996-H997)*4)</f>
        <v/>
      </c>
      <c r="I998" s="24" t="str">
        <f t="shared" ref="I998" si="412">IF(((I996="")*AND(I997="")),"",(I996-I997)*4)</f>
        <v/>
      </c>
      <c r="J998" s="24" t="str">
        <f t="shared" ref="J998" si="413">IF(((J996="")*AND(J997="")),"",(J996-J997)*4)</f>
        <v/>
      </c>
      <c r="K998" s="24" t="str">
        <f t="shared" ref="K998" si="414">IF(((K996="")*AND(K997="")),"",(K996-K997)*4)</f>
        <v/>
      </c>
      <c r="L998" s="24" t="str">
        <f t="shared" ref="L998" si="415">IF(((L996="")*AND(L997="")),"",(L996-L997)*4)</f>
        <v/>
      </c>
      <c r="M998" s="24"/>
      <c r="N998" s="24"/>
      <c r="O998" s="24"/>
      <c r="P998" s="24" t="str">
        <f>IF(((P996="")*AND(P997="")),"",(P996-P997)*4)</f>
        <v/>
      </c>
      <c r="Q998" s="61"/>
      <c r="R998" s="61"/>
      <c r="S998" s="61"/>
      <c r="T998" s="61"/>
      <c r="U998" s="61"/>
      <c r="V998" s="60"/>
      <c r="W998" s="59"/>
      <c r="X998" s="8"/>
    </row>
    <row r="999" spans="1:30" x14ac:dyDescent="0.25">
      <c r="A999" s="202"/>
      <c r="B999" s="57" t="s">
        <v>159</v>
      </c>
      <c r="C999" s="51" t="s">
        <v>158</v>
      </c>
      <c r="M999" s="50"/>
      <c r="N999" s="50"/>
      <c r="O999" s="50"/>
      <c r="P999" s="50"/>
      <c r="Q999" s="57" t="str">
        <f>IF((L1000=""),"",MAX(D1001:L1001))</f>
        <v/>
      </c>
      <c r="R999" s="57" t="str">
        <f>IF(L1000="","",MIN(D1001:L1001))</f>
        <v/>
      </c>
      <c r="S999" s="58" t="str">
        <f>IF((L1001=""),"",AVERAGE(D1001:L1001))</f>
        <v/>
      </c>
      <c r="T999" s="57" t="str">
        <f>IF((L1000=""),"",((Q999-R999)/(Q999+R999))*100)</f>
        <v/>
      </c>
      <c r="U999" s="56" t="e">
        <f>STDEV(D999:L999)</f>
        <v>#DIV/0!</v>
      </c>
      <c r="V999" s="55" t="str">
        <f>IF(L1000="","",(IF(T999&lt;7,IF(S999&gt;2800,IF(S999&lt;3800,"Pass","Fail"),"Fail"),"Fail")))</f>
        <v/>
      </c>
      <c r="W999" s="54"/>
      <c r="Z999" s="53">
        <v>2800</v>
      </c>
      <c r="AA999" s="53">
        <v>3800</v>
      </c>
      <c r="AB999" s="53">
        <v>3100</v>
      </c>
      <c r="AC999" s="53">
        <v>3760</v>
      </c>
      <c r="AD999" s="52">
        <v>6</v>
      </c>
    </row>
    <row r="1000" spans="1:30" ht="16.5" customHeight="1" x14ac:dyDescent="0.35">
      <c r="A1000" s="206"/>
      <c r="B1000" s="48"/>
      <c r="C1000" s="51" t="s">
        <v>157</v>
      </c>
      <c r="M1000" s="50"/>
      <c r="N1000" s="50"/>
      <c r="O1000" s="50"/>
      <c r="P1000" s="50"/>
      <c r="Q1000" s="48"/>
      <c r="R1000" s="48"/>
      <c r="S1000" s="49"/>
      <c r="T1000" s="48"/>
      <c r="U1000" s="48"/>
      <c r="V1000" s="47"/>
      <c r="W1000" s="46"/>
      <c r="X1000" s="8"/>
    </row>
    <row r="1001" spans="1:30" ht="24.8" customHeight="1" thickBot="1" x14ac:dyDescent="0.4">
      <c r="A1001" s="206"/>
      <c r="B1001" s="42"/>
      <c r="C1001" s="45" t="s">
        <v>156</v>
      </c>
      <c r="D1001" s="44" t="str">
        <f t="shared" ref="D1001" si="416">IF(((D999="")*AND(D1000="")),"",(D999-D1000)*2)</f>
        <v/>
      </c>
      <c r="E1001" s="44" t="str">
        <f t="shared" ref="E1001" si="417">IF(((E999="")*AND(E1000="")),"",(E999-E1000)*2)</f>
        <v/>
      </c>
      <c r="F1001" s="44" t="str">
        <f t="shared" ref="F1001" si="418">IF(((F999="")*AND(F1000="")),"",(F999-F1000)*2)</f>
        <v/>
      </c>
      <c r="G1001" s="44" t="str">
        <f t="shared" ref="G1001" si="419">IF(((G999="")*AND(G1000="")),"",(G999-G1000)*2)</f>
        <v/>
      </c>
      <c r="H1001" s="44" t="str">
        <f t="shared" ref="H1001" si="420">IF(((H999="")*AND(H1000="")),"",(H999-H1000)*2)</f>
        <v/>
      </c>
      <c r="I1001" s="44" t="str">
        <f t="shared" ref="I1001" si="421">IF(((I999="")*AND(I1000="")),"",(I999-I1000)*2)</f>
        <v/>
      </c>
      <c r="J1001" s="44" t="str">
        <f t="shared" ref="J1001" si="422">IF(((J999="")*AND(J1000="")),"",(J999-J1000)*2)</f>
        <v/>
      </c>
      <c r="K1001" s="44" t="str">
        <f t="shared" ref="K1001" si="423">IF(((K999="")*AND(K1000="")),"",(K999-K1000)*2)</f>
        <v/>
      </c>
      <c r="L1001" s="44" t="str">
        <f t="shared" ref="L1001" si="424">IF(((L999="")*AND(L1000="")),"",(L999-L1000)*2)</f>
        <v/>
      </c>
      <c r="M1001" s="44"/>
      <c r="N1001" s="44"/>
      <c r="O1001" s="44"/>
      <c r="P1001" s="44"/>
      <c r="Q1001" s="42"/>
      <c r="R1001" s="42"/>
      <c r="S1001" s="43"/>
      <c r="T1001" s="42"/>
      <c r="U1001" s="42"/>
      <c r="V1001" s="41"/>
      <c r="W1001" s="40"/>
      <c r="X1001" s="8"/>
    </row>
    <row r="1002" spans="1:30" x14ac:dyDescent="0.25">
      <c r="A1002" s="202"/>
      <c r="B1002" s="63" t="s">
        <v>160</v>
      </c>
      <c r="C1002" s="56" t="s">
        <v>158</v>
      </c>
      <c r="M1002" s="62"/>
      <c r="N1002" s="62"/>
      <c r="O1002" s="62"/>
      <c r="P1002" s="62"/>
      <c r="Q1002" s="57" t="str">
        <f>IF((L1003=""),"",MAX(D1004:L1004))</f>
        <v/>
      </c>
      <c r="R1002" s="57" t="str">
        <f>IF(L1003="","",MIN(D1004:L1004))</f>
        <v/>
      </c>
      <c r="S1002" s="58" t="str">
        <f>IF((L1004=""),"",AVERAGE(D1004:L1004))</f>
        <v/>
      </c>
      <c r="T1002" s="57" t="str">
        <f>IF((L1003=""),"",((Q1002-R1002)/(Q1002+R1002))*100)</f>
        <v/>
      </c>
      <c r="U1002" s="56" t="e">
        <f>STDEV(D1002:L1002)</f>
        <v>#DIV/0!</v>
      </c>
      <c r="V1002" s="55" t="str">
        <f>IF(L1003="","",(IF(T1002&lt;12,IF(S1002&gt;2200,IF(S1002&lt;3280,"Pass","Fail"),"Fail"),"Fail")))</f>
        <v/>
      </c>
      <c r="W1002" s="54"/>
      <c r="Z1002" s="37">
        <v>2000</v>
      </c>
      <c r="AA1002" s="37">
        <v>3000</v>
      </c>
      <c r="AB1002" s="37">
        <v>2200</v>
      </c>
      <c r="AC1002" s="37">
        <v>3280</v>
      </c>
      <c r="AD1002" s="39">
        <v>12</v>
      </c>
    </row>
    <row r="1003" spans="1:30" ht="16.5" customHeight="1" x14ac:dyDescent="0.35">
      <c r="A1003" s="206"/>
      <c r="B1003" s="48"/>
      <c r="C1003" s="51" t="s">
        <v>157</v>
      </c>
      <c r="M1003" s="50"/>
      <c r="N1003" s="50"/>
      <c r="O1003" s="50"/>
      <c r="P1003" s="50"/>
      <c r="Q1003" s="48"/>
      <c r="R1003" s="48"/>
      <c r="S1003" s="48"/>
      <c r="T1003" s="48"/>
      <c r="U1003" s="48"/>
      <c r="V1003" s="47"/>
      <c r="W1003" s="46"/>
      <c r="X1003" s="8"/>
    </row>
    <row r="1004" spans="1:30" ht="24.8" customHeight="1" thickBot="1" x14ac:dyDescent="0.4">
      <c r="A1004" s="206"/>
      <c r="B1004" s="61"/>
      <c r="C1004" s="51" t="s">
        <v>156</v>
      </c>
      <c r="D1004" s="24" t="str">
        <f t="shared" ref="D1004" si="425">IF(((D1002="")*AND(D1003="")),"",(D1002-D1003)*4)</f>
        <v/>
      </c>
      <c r="E1004" s="24" t="str">
        <f t="shared" ref="E1004" si="426">IF(((E1002="")*AND(E1003="")),"",(E1002-E1003)*4)</f>
        <v/>
      </c>
      <c r="F1004" s="24" t="str">
        <f t="shared" ref="F1004" si="427">IF(((F1002="")*AND(F1003="")),"",(F1002-F1003)*4)</f>
        <v/>
      </c>
      <c r="G1004" s="24" t="str">
        <f t="shared" ref="G1004" si="428">IF(((G1002="")*AND(G1003="")),"",(G1002-G1003)*4)</f>
        <v/>
      </c>
      <c r="H1004" s="24" t="str">
        <f t="shared" ref="H1004" si="429">IF(((H1002="")*AND(H1003="")),"",(H1002-H1003)*4)</f>
        <v/>
      </c>
      <c r="I1004" s="24" t="str">
        <f t="shared" ref="I1004" si="430">IF(((I1002="")*AND(I1003="")),"",(I1002-I1003)*4)</f>
        <v/>
      </c>
      <c r="J1004" s="24" t="str">
        <f t="shared" ref="J1004" si="431">IF(((J1002="")*AND(J1003="")),"",(J1002-J1003)*4)</f>
        <v/>
      </c>
      <c r="K1004" s="24" t="str">
        <f t="shared" ref="K1004" si="432">IF(((K1002="")*AND(K1003="")),"",(K1002-K1003)*4)</f>
        <v/>
      </c>
      <c r="L1004" s="24" t="str">
        <f t="shared" ref="L1004" si="433">IF(((L1002="")*AND(L1003="")),"",(L1002-L1003)*4)</f>
        <v/>
      </c>
      <c r="M1004" s="24"/>
      <c r="N1004" s="24"/>
      <c r="O1004" s="24"/>
      <c r="P1004" s="24" t="str">
        <f>IF(((P1002="")*AND(P1003="")),"",(P1002-P1003)*4)</f>
        <v/>
      </c>
      <c r="Q1004" s="61"/>
      <c r="R1004" s="61"/>
      <c r="S1004" s="61"/>
      <c r="T1004" s="61"/>
      <c r="U1004" s="61"/>
      <c r="V1004" s="60"/>
      <c r="W1004" s="59"/>
      <c r="X1004" s="8"/>
    </row>
    <row r="1005" spans="1:30" x14ac:dyDescent="0.25">
      <c r="A1005" s="202"/>
      <c r="B1005" s="57" t="s">
        <v>159</v>
      </c>
      <c r="C1005" s="51" t="s">
        <v>158</v>
      </c>
      <c r="M1005" s="50"/>
      <c r="N1005" s="50"/>
      <c r="O1005" s="50"/>
      <c r="P1005" s="50"/>
      <c r="Q1005" s="57" t="str">
        <f>IF((L1006=""),"",MAX(D1007:L1007))</f>
        <v/>
      </c>
      <c r="R1005" s="57" t="str">
        <f>IF(L1006="","",MIN(D1007:L1007))</f>
        <v/>
      </c>
      <c r="S1005" s="58" t="str">
        <f>IF((L1007=""),"",AVERAGE(D1007:L1007))</f>
        <v/>
      </c>
      <c r="T1005" s="57" t="str">
        <f>IF((L1006=""),"",((Q1005-R1005)/(Q1005+R1005))*100)</f>
        <v/>
      </c>
      <c r="U1005" s="56" t="e">
        <f>STDEV(D1005:L1005)</f>
        <v>#DIV/0!</v>
      </c>
      <c r="V1005" s="55" t="str">
        <f>IF(L1006="","",(IF(T1005&lt;7,IF(S1005&gt;2800,IF(S1005&lt;3800,"Pass","Fail"),"Fail"),"Fail")))</f>
        <v/>
      </c>
      <c r="W1005" s="54"/>
      <c r="Z1005" s="53">
        <v>2800</v>
      </c>
      <c r="AA1005" s="53">
        <v>3800</v>
      </c>
      <c r="AB1005" s="53">
        <v>3100</v>
      </c>
      <c r="AC1005" s="53">
        <v>3760</v>
      </c>
      <c r="AD1005" s="52">
        <v>6</v>
      </c>
    </row>
    <row r="1006" spans="1:30" ht="16.5" customHeight="1" x14ac:dyDescent="0.35">
      <c r="A1006" s="206"/>
      <c r="B1006" s="48"/>
      <c r="C1006" s="51" t="s">
        <v>157</v>
      </c>
      <c r="M1006" s="50"/>
      <c r="N1006" s="50"/>
      <c r="O1006" s="50"/>
      <c r="P1006" s="50"/>
      <c r="Q1006" s="48"/>
      <c r="R1006" s="48"/>
      <c r="S1006" s="49"/>
      <c r="T1006" s="48"/>
      <c r="U1006" s="48"/>
      <c r="V1006" s="47"/>
      <c r="W1006" s="46"/>
      <c r="X1006" s="8"/>
    </row>
    <row r="1007" spans="1:30" ht="24.8" customHeight="1" thickBot="1" x14ac:dyDescent="0.4">
      <c r="A1007" s="206"/>
      <c r="B1007" s="42"/>
      <c r="C1007" s="45" t="s">
        <v>156</v>
      </c>
      <c r="D1007" s="44" t="str">
        <f t="shared" ref="D1007" si="434">IF(((D1005="")*AND(D1006="")),"",(D1005-D1006)*2)</f>
        <v/>
      </c>
      <c r="E1007" s="44" t="str">
        <f t="shared" ref="E1007" si="435">IF(((E1005="")*AND(E1006="")),"",(E1005-E1006)*2)</f>
        <v/>
      </c>
      <c r="F1007" s="44" t="str">
        <f t="shared" ref="F1007" si="436">IF(((F1005="")*AND(F1006="")),"",(F1005-F1006)*2)</f>
        <v/>
      </c>
      <c r="G1007" s="44" t="str">
        <f t="shared" ref="G1007" si="437">IF(((G1005="")*AND(G1006="")),"",(G1005-G1006)*2)</f>
        <v/>
      </c>
      <c r="H1007" s="44" t="str">
        <f t="shared" ref="H1007" si="438">IF(((H1005="")*AND(H1006="")),"",(H1005-H1006)*2)</f>
        <v/>
      </c>
      <c r="I1007" s="44" t="str">
        <f t="shared" ref="I1007" si="439">IF(((I1005="")*AND(I1006="")),"",(I1005-I1006)*2)</f>
        <v/>
      </c>
      <c r="J1007" s="44" t="str">
        <f t="shared" ref="J1007" si="440">IF(((J1005="")*AND(J1006="")),"",(J1005-J1006)*2)</f>
        <v/>
      </c>
      <c r="K1007" s="44" t="str">
        <f t="shared" ref="K1007" si="441">IF(((K1005="")*AND(K1006="")),"",(K1005-K1006)*2)</f>
        <v/>
      </c>
      <c r="L1007" s="44" t="str">
        <f t="shared" ref="L1007" si="442">IF(((L1005="")*AND(L1006="")),"",(L1005-L1006)*2)</f>
        <v/>
      </c>
      <c r="M1007" s="44"/>
      <c r="N1007" s="44"/>
      <c r="O1007" s="44"/>
      <c r="P1007" s="44"/>
      <c r="Q1007" s="42"/>
      <c r="R1007" s="42"/>
      <c r="S1007" s="43"/>
      <c r="T1007" s="42"/>
      <c r="U1007" s="42"/>
      <c r="V1007" s="41"/>
      <c r="W1007" s="40"/>
      <c r="X1007" s="8"/>
    </row>
    <row r="1008" spans="1:30" x14ac:dyDescent="0.25">
      <c r="A1008" s="202"/>
      <c r="B1008" s="63" t="s">
        <v>160</v>
      </c>
      <c r="C1008" s="56" t="s">
        <v>158</v>
      </c>
      <c r="M1008" s="62"/>
      <c r="N1008" s="62"/>
      <c r="O1008" s="62"/>
      <c r="P1008" s="62"/>
      <c r="Q1008" s="57" t="str">
        <f>IF((L1009=""),"",MAX(D1010:L1010))</f>
        <v/>
      </c>
      <c r="R1008" s="57" t="str">
        <f>IF(L1009="","",MIN(D1010:L1010))</f>
        <v/>
      </c>
      <c r="S1008" s="58" t="str">
        <f>IF((L1010=""),"",AVERAGE(D1010:L1010))</f>
        <v/>
      </c>
      <c r="T1008" s="57" t="str">
        <f>IF((L1009=""),"",((Q1008-R1008)/(Q1008+R1008))*100)</f>
        <v/>
      </c>
      <c r="U1008" s="56" t="e">
        <f>STDEV(D1008:L1008)</f>
        <v>#DIV/0!</v>
      </c>
      <c r="V1008" s="55" t="str">
        <f>IF(L1009="","",(IF(T1008&lt;12,IF(S1008&gt;2200,IF(S1008&lt;3280,"Pass","Fail"),"Fail"),"Fail")))</f>
        <v/>
      </c>
      <c r="W1008" s="54"/>
      <c r="Z1008" s="37">
        <v>2000</v>
      </c>
      <c r="AA1008" s="37">
        <v>3000</v>
      </c>
      <c r="AB1008" s="37">
        <v>2200</v>
      </c>
      <c r="AC1008" s="37">
        <v>3280</v>
      </c>
      <c r="AD1008" s="39">
        <v>12</v>
      </c>
    </row>
    <row r="1009" spans="1:30" ht="16.5" customHeight="1" x14ac:dyDescent="0.35">
      <c r="A1009" s="206"/>
      <c r="B1009" s="48"/>
      <c r="C1009" s="51" t="s">
        <v>157</v>
      </c>
      <c r="M1009" s="50"/>
      <c r="N1009" s="50"/>
      <c r="O1009" s="50"/>
      <c r="P1009" s="50"/>
      <c r="Q1009" s="48"/>
      <c r="R1009" s="48"/>
      <c r="S1009" s="48"/>
      <c r="T1009" s="48"/>
      <c r="U1009" s="48"/>
      <c r="V1009" s="47"/>
      <c r="W1009" s="46"/>
      <c r="X1009" s="8"/>
    </row>
    <row r="1010" spans="1:30" ht="24.8" customHeight="1" thickBot="1" x14ac:dyDescent="0.4">
      <c r="A1010" s="206"/>
      <c r="B1010" s="61"/>
      <c r="C1010" s="51" t="s">
        <v>156</v>
      </c>
      <c r="D1010" s="24" t="str">
        <f t="shared" ref="D1010" si="443">IF(((D1008="")*AND(D1009="")),"",(D1008-D1009)*4)</f>
        <v/>
      </c>
      <c r="E1010" s="24" t="str">
        <f t="shared" ref="E1010" si="444">IF(((E1008="")*AND(E1009="")),"",(E1008-E1009)*4)</f>
        <v/>
      </c>
      <c r="F1010" s="24" t="str">
        <f t="shared" ref="F1010" si="445">IF(((F1008="")*AND(F1009="")),"",(F1008-F1009)*4)</f>
        <v/>
      </c>
      <c r="G1010" s="24" t="str">
        <f t="shared" ref="G1010" si="446">IF(((G1008="")*AND(G1009="")),"",(G1008-G1009)*4)</f>
        <v/>
      </c>
      <c r="H1010" s="24" t="str">
        <f t="shared" ref="H1010" si="447">IF(((H1008="")*AND(H1009="")),"",(H1008-H1009)*4)</f>
        <v/>
      </c>
      <c r="I1010" s="24" t="str">
        <f t="shared" ref="I1010" si="448">IF(((I1008="")*AND(I1009="")),"",(I1008-I1009)*4)</f>
        <v/>
      </c>
      <c r="J1010" s="24" t="str">
        <f t="shared" ref="J1010" si="449">IF(((J1008="")*AND(J1009="")),"",(J1008-J1009)*4)</f>
        <v/>
      </c>
      <c r="K1010" s="24" t="str">
        <f t="shared" ref="K1010" si="450">IF(((K1008="")*AND(K1009="")),"",(K1008-K1009)*4)</f>
        <v/>
      </c>
      <c r="L1010" s="24" t="str">
        <f t="shared" ref="L1010" si="451">IF(((L1008="")*AND(L1009="")),"",(L1008-L1009)*4)</f>
        <v/>
      </c>
      <c r="M1010" s="24"/>
      <c r="N1010" s="24"/>
      <c r="O1010" s="24"/>
      <c r="P1010" s="24" t="str">
        <f>IF(((P1008="")*AND(P1009="")),"",(P1008-P1009)*4)</f>
        <v/>
      </c>
      <c r="Q1010" s="61"/>
      <c r="R1010" s="61"/>
      <c r="S1010" s="61"/>
      <c r="T1010" s="61"/>
      <c r="U1010" s="61"/>
      <c r="V1010" s="60"/>
      <c r="W1010" s="59"/>
      <c r="X1010" s="8"/>
    </row>
    <row r="1011" spans="1:30" x14ac:dyDescent="0.25">
      <c r="A1011" s="202"/>
      <c r="B1011" s="57" t="s">
        <v>159</v>
      </c>
      <c r="C1011" s="51" t="s">
        <v>158</v>
      </c>
      <c r="M1011" s="50"/>
      <c r="N1011" s="50"/>
      <c r="O1011" s="50"/>
      <c r="P1011" s="50"/>
      <c r="Q1011" s="57" t="str">
        <f>IF((L1012=""),"",MAX(D1013:L1013))</f>
        <v/>
      </c>
      <c r="R1011" s="57" t="str">
        <f>IF(L1012="","",MIN(D1013:L1013))</f>
        <v/>
      </c>
      <c r="S1011" s="58" t="str">
        <f>IF((L1013=""),"",AVERAGE(D1013:L1013))</f>
        <v/>
      </c>
      <c r="T1011" s="57" t="str">
        <f>IF((L1012=""),"",((Q1011-R1011)/(Q1011+R1011))*100)</f>
        <v/>
      </c>
      <c r="U1011" s="56" t="e">
        <f>STDEV(D1011:L1011)</f>
        <v>#DIV/0!</v>
      </c>
      <c r="V1011" s="55" t="str">
        <f>IF(L1012="","",(IF(T1011&lt;7,IF(S1011&gt;2800,IF(S1011&lt;3800,"Pass","Fail"),"Fail"),"Fail")))</f>
        <v/>
      </c>
      <c r="W1011" s="54"/>
      <c r="Z1011" s="53">
        <v>2800</v>
      </c>
      <c r="AA1011" s="53">
        <v>3800</v>
      </c>
      <c r="AB1011" s="53">
        <v>3100</v>
      </c>
      <c r="AC1011" s="53">
        <v>3760</v>
      </c>
      <c r="AD1011" s="52">
        <v>6</v>
      </c>
    </row>
    <row r="1012" spans="1:30" ht="16.5" customHeight="1" x14ac:dyDescent="0.35">
      <c r="A1012" s="206"/>
      <c r="B1012" s="48"/>
      <c r="C1012" s="51" t="s">
        <v>157</v>
      </c>
      <c r="M1012" s="50"/>
      <c r="N1012" s="50"/>
      <c r="O1012" s="50"/>
      <c r="P1012" s="50"/>
      <c r="Q1012" s="48"/>
      <c r="R1012" s="48"/>
      <c r="S1012" s="49"/>
      <c r="T1012" s="48"/>
      <c r="U1012" s="48"/>
      <c r="V1012" s="47"/>
      <c r="W1012" s="46"/>
      <c r="X1012" s="8"/>
    </row>
    <row r="1013" spans="1:30" ht="24.8" customHeight="1" thickBot="1" x14ac:dyDescent="0.4">
      <c r="A1013" s="206"/>
      <c r="B1013" s="42"/>
      <c r="C1013" s="45" t="s">
        <v>156</v>
      </c>
      <c r="D1013" s="44" t="str">
        <f t="shared" ref="D1013" si="452">IF(((D1011="")*AND(D1012="")),"",(D1011-D1012)*2)</f>
        <v/>
      </c>
      <c r="E1013" s="44" t="str">
        <f t="shared" ref="E1013" si="453">IF(((E1011="")*AND(E1012="")),"",(E1011-E1012)*2)</f>
        <v/>
      </c>
      <c r="F1013" s="44" t="str">
        <f t="shared" ref="F1013" si="454">IF(((F1011="")*AND(F1012="")),"",(F1011-F1012)*2)</f>
        <v/>
      </c>
      <c r="G1013" s="44" t="str">
        <f t="shared" ref="G1013" si="455">IF(((G1011="")*AND(G1012="")),"",(G1011-G1012)*2)</f>
        <v/>
      </c>
      <c r="H1013" s="44" t="str">
        <f t="shared" ref="H1013" si="456">IF(((H1011="")*AND(H1012="")),"",(H1011-H1012)*2)</f>
        <v/>
      </c>
      <c r="I1013" s="44" t="str">
        <f t="shared" ref="I1013" si="457">IF(((I1011="")*AND(I1012="")),"",(I1011-I1012)*2)</f>
        <v/>
      </c>
      <c r="J1013" s="44" t="str">
        <f t="shared" ref="J1013" si="458">IF(((J1011="")*AND(J1012="")),"",(J1011-J1012)*2)</f>
        <v/>
      </c>
      <c r="K1013" s="44" t="str">
        <f t="shared" ref="K1013" si="459">IF(((K1011="")*AND(K1012="")),"",(K1011-K1012)*2)</f>
        <v/>
      </c>
      <c r="L1013" s="44" t="str">
        <f t="shared" ref="L1013" si="460">IF(((L1011="")*AND(L1012="")),"",(L1011-L1012)*2)</f>
        <v/>
      </c>
      <c r="M1013" s="44"/>
      <c r="N1013" s="44"/>
      <c r="O1013" s="44"/>
      <c r="P1013" s="44"/>
      <c r="Q1013" s="42"/>
      <c r="R1013" s="42"/>
      <c r="S1013" s="43"/>
      <c r="T1013" s="42"/>
      <c r="U1013" s="42"/>
      <c r="V1013" s="41"/>
      <c r="W1013" s="40"/>
      <c r="X1013" s="8"/>
    </row>
    <row r="1014" spans="1:30" x14ac:dyDescent="0.25">
      <c r="A1014" s="202"/>
      <c r="B1014" s="63" t="s">
        <v>160</v>
      </c>
      <c r="C1014" s="56" t="s">
        <v>158</v>
      </c>
      <c r="M1014" s="62"/>
      <c r="N1014" s="62"/>
      <c r="O1014" s="62"/>
      <c r="P1014" s="62"/>
      <c r="Q1014" s="57" t="str">
        <f>IF((L1015=""),"",MAX(D1016:L1016))</f>
        <v/>
      </c>
      <c r="R1014" s="57" t="str">
        <f>IF(L1015="","",MIN(D1016:L1016))</f>
        <v/>
      </c>
      <c r="S1014" s="58" t="str">
        <f>IF((L1016=""),"",AVERAGE(D1016:L1016))</f>
        <v/>
      </c>
      <c r="T1014" s="57" t="str">
        <f>IF((L1015=""),"",((Q1014-R1014)/(Q1014+R1014))*100)</f>
        <v/>
      </c>
      <c r="U1014" s="56" t="e">
        <f>STDEV(D1014:L1014)</f>
        <v>#DIV/0!</v>
      </c>
      <c r="V1014" s="55" t="str">
        <f>IF(L1015="","",(IF(T1014&lt;12,IF(S1014&gt;2200,IF(S1014&lt;3280,"Pass","Fail"),"Fail"),"Fail")))</f>
        <v/>
      </c>
      <c r="W1014" s="54"/>
      <c r="Z1014" s="37">
        <v>2000</v>
      </c>
      <c r="AA1014" s="37">
        <v>3000</v>
      </c>
      <c r="AB1014" s="37">
        <v>2200</v>
      </c>
      <c r="AC1014" s="37">
        <v>3280</v>
      </c>
      <c r="AD1014" s="39">
        <v>12</v>
      </c>
    </row>
    <row r="1015" spans="1:30" ht="16.5" customHeight="1" x14ac:dyDescent="0.35">
      <c r="A1015" s="206"/>
      <c r="B1015" s="48"/>
      <c r="C1015" s="51" t="s">
        <v>157</v>
      </c>
      <c r="M1015" s="50"/>
      <c r="N1015" s="50"/>
      <c r="O1015" s="50"/>
      <c r="P1015" s="50"/>
      <c r="Q1015" s="48"/>
      <c r="R1015" s="48"/>
      <c r="S1015" s="48"/>
      <c r="T1015" s="48"/>
      <c r="U1015" s="48"/>
      <c r="V1015" s="47"/>
      <c r="W1015" s="46"/>
      <c r="X1015" s="8"/>
    </row>
    <row r="1016" spans="1:30" ht="24.8" customHeight="1" thickBot="1" x14ac:dyDescent="0.4">
      <c r="A1016" s="206"/>
      <c r="B1016" s="61"/>
      <c r="C1016" s="51" t="s">
        <v>156</v>
      </c>
      <c r="D1016" s="24" t="str">
        <f t="shared" ref="D1016" si="461">IF(((D1014="")*AND(D1015="")),"",(D1014-D1015)*4)</f>
        <v/>
      </c>
      <c r="E1016" s="24" t="str">
        <f t="shared" ref="E1016" si="462">IF(((E1014="")*AND(E1015="")),"",(E1014-E1015)*4)</f>
        <v/>
      </c>
      <c r="F1016" s="24" t="str">
        <f t="shared" ref="F1016" si="463">IF(((F1014="")*AND(F1015="")),"",(F1014-F1015)*4)</f>
        <v/>
      </c>
      <c r="G1016" s="24" t="str">
        <f t="shared" ref="G1016" si="464">IF(((G1014="")*AND(G1015="")),"",(G1014-G1015)*4)</f>
        <v/>
      </c>
      <c r="H1016" s="24" t="str">
        <f t="shared" ref="H1016" si="465">IF(((H1014="")*AND(H1015="")),"",(H1014-H1015)*4)</f>
        <v/>
      </c>
      <c r="I1016" s="24" t="str">
        <f t="shared" ref="I1016" si="466">IF(((I1014="")*AND(I1015="")),"",(I1014-I1015)*4)</f>
        <v/>
      </c>
      <c r="J1016" s="24" t="str">
        <f t="shared" ref="J1016" si="467">IF(((J1014="")*AND(J1015="")),"",(J1014-J1015)*4)</f>
        <v/>
      </c>
      <c r="K1016" s="24" t="str">
        <f t="shared" ref="K1016" si="468">IF(((K1014="")*AND(K1015="")),"",(K1014-K1015)*4)</f>
        <v/>
      </c>
      <c r="L1016" s="24" t="str">
        <f t="shared" ref="L1016" si="469">IF(((L1014="")*AND(L1015="")),"",(L1014-L1015)*4)</f>
        <v/>
      </c>
      <c r="M1016" s="24"/>
      <c r="N1016" s="24"/>
      <c r="O1016" s="24"/>
      <c r="P1016" s="24" t="str">
        <f>IF(((P1014="")*AND(P1015="")),"",(P1014-P1015)*4)</f>
        <v/>
      </c>
      <c r="Q1016" s="61"/>
      <c r="R1016" s="61"/>
      <c r="S1016" s="61"/>
      <c r="T1016" s="61"/>
      <c r="U1016" s="61"/>
      <c r="V1016" s="60"/>
      <c r="W1016" s="59"/>
      <c r="X1016" s="8"/>
    </row>
    <row r="1017" spans="1:30" x14ac:dyDescent="0.25">
      <c r="A1017" s="202"/>
      <c r="B1017" s="57" t="s">
        <v>159</v>
      </c>
      <c r="C1017" s="51" t="s">
        <v>158</v>
      </c>
      <c r="M1017" s="50"/>
      <c r="N1017" s="50"/>
      <c r="O1017" s="50"/>
      <c r="P1017" s="50"/>
      <c r="Q1017" s="57" t="str">
        <f>IF((L1018=""),"",MAX(D1019:L1019))</f>
        <v/>
      </c>
      <c r="R1017" s="57" t="str">
        <f>IF(L1018="","",MIN(D1019:L1019))</f>
        <v/>
      </c>
      <c r="S1017" s="58" t="str">
        <f>IF((L1019=""),"",AVERAGE(D1019:L1019))</f>
        <v/>
      </c>
      <c r="T1017" s="57" t="str">
        <f>IF((L1018=""),"",((Q1017-R1017)/(Q1017+R1017))*100)</f>
        <v/>
      </c>
      <c r="U1017" s="56" t="e">
        <f>STDEV(D1017:L1017)</f>
        <v>#DIV/0!</v>
      </c>
      <c r="V1017" s="55" t="str">
        <f>IF(L1018="","",(IF(T1017&lt;7,IF(S1017&gt;2800,IF(S1017&lt;3800,"Pass","Fail"),"Fail"),"Fail")))</f>
        <v/>
      </c>
      <c r="W1017" s="54"/>
      <c r="Z1017" s="53">
        <v>2800</v>
      </c>
      <c r="AA1017" s="53">
        <v>3800</v>
      </c>
      <c r="AB1017" s="53">
        <v>3100</v>
      </c>
      <c r="AC1017" s="53">
        <v>3760</v>
      </c>
      <c r="AD1017" s="52">
        <v>6</v>
      </c>
    </row>
    <row r="1018" spans="1:30" ht="15.8" customHeight="1" x14ac:dyDescent="0.35">
      <c r="A1018" s="206"/>
      <c r="B1018" s="48"/>
      <c r="C1018" s="51" t="s">
        <v>157</v>
      </c>
      <c r="M1018" s="50"/>
      <c r="N1018" s="50"/>
      <c r="O1018" s="50"/>
      <c r="P1018" s="50"/>
      <c r="Q1018" s="48"/>
      <c r="R1018" s="48"/>
      <c r="S1018" s="49"/>
      <c r="T1018" s="48"/>
      <c r="U1018" s="48"/>
      <c r="V1018" s="47"/>
      <c r="W1018" s="46"/>
      <c r="X1018" s="8"/>
    </row>
    <row r="1019" spans="1:30" ht="24.8" customHeight="1" thickBot="1" x14ac:dyDescent="0.4">
      <c r="A1019" s="206"/>
      <c r="B1019" s="42"/>
      <c r="C1019" s="45" t="s">
        <v>156</v>
      </c>
      <c r="D1019" s="44" t="str">
        <f t="shared" ref="D1019" si="470">IF(((D1017="")*AND(D1018="")),"",(D1017-D1018)*2)</f>
        <v/>
      </c>
      <c r="E1019" s="44" t="str">
        <f t="shared" ref="E1019" si="471">IF(((E1017="")*AND(E1018="")),"",(E1017-E1018)*2)</f>
        <v/>
      </c>
      <c r="F1019" s="44" t="str">
        <f t="shared" ref="F1019" si="472">IF(((F1017="")*AND(F1018="")),"",(F1017-F1018)*2)</f>
        <v/>
      </c>
      <c r="G1019" s="44" t="str">
        <f t="shared" ref="G1019" si="473">IF(((G1017="")*AND(G1018="")),"",(G1017-G1018)*2)</f>
        <v/>
      </c>
      <c r="H1019" s="44" t="str">
        <f t="shared" ref="H1019" si="474">IF(((H1017="")*AND(H1018="")),"",(H1017-H1018)*2)</f>
        <v/>
      </c>
      <c r="I1019" s="44" t="str">
        <f t="shared" ref="I1019" si="475">IF(((I1017="")*AND(I1018="")),"",(I1017-I1018)*2)</f>
        <v/>
      </c>
      <c r="J1019" s="44" t="str">
        <f t="shared" ref="J1019" si="476">IF(((J1017="")*AND(J1018="")),"",(J1017-J1018)*2)</f>
        <v/>
      </c>
      <c r="K1019" s="44" t="str">
        <f t="shared" ref="K1019" si="477">IF(((K1017="")*AND(K1018="")),"",(K1017-K1018)*2)</f>
        <v/>
      </c>
      <c r="L1019" s="44" t="str">
        <f t="shared" ref="L1019" si="478">IF(((L1017="")*AND(L1018="")),"",(L1017-L1018)*2)</f>
        <v/>
      </c>
      <c r="M1019" s="44"/>
      <c r="N1019" s="44"/>
      <c r="O1019" s="44"/>
      <c r="P1019" s="44"/>
      <c r="Q1019" s="42"/>
      <c r="R1019" s="42"/>
      <c r="S1019" s="43"/>
      <c r="T1019" s="42"/>
      <c r="U1019" s="42"/>
      <c r="V1019" s="41"/>
      <c r="W1019" s="40"/>
      <c r="X1019" s="8"/>
    </row>
  </sheetData>
  <autoFilter ref="A14:AE1019"/>
  <mergeCells count="8">
    <mergeCell ref="X888:X893"/>
    <mergeCell ref="C13:P13"/>
    <mergeCell ref="A804:A806"/>
    <mergeCell ref="X804:X809"/>
    <mergeCell ref="A807:A809"/>
    <mergeCell ref="A810:A812"/>
    <mergeCell ref="X810:X815"/>
    <mergeCell ref="A813:A815"/>
  </mergeCells>
  <conditionalFormatting sqref="I132 I138 I134:I136 I144 I140:I142 I150 I146:I148 I156 I152:I154 I162 I158:I160 I164:I166 I168:I172 I174:I178 I180:I184 I186:I190 I192:I196 I198:I202 I204:I208 I210:I214 I216:I220 I222:I226 I228:I232 I234:I238 I240:I244 I246:I250 I252:I256 I258:I262 I264:I268 I270:I274 I276:I280 I282:I286 I288:I292 I294:I298 I308 I307:L307 J312:L313 J315:L316 J318:L319 J321:L322 J324:L325 J327:L328 J330:L331 I309:L310 I312:I316 I318:I322 I324:I328 I330:I332 I306 I300:I304 J336:L337 I333:L334 I336:I338 J342:L343 I339:L340 I342:I344 J363:L364 J366:L367 I366:I368 J357:L358 J360:L361 I360:I364 J351:L352 J354:L355 I354:I358 J348:L349 I345:L346 I348:I352 J372:L373 I369:L370 I372:I374 J378:L379 I375:L376 I378:I380 J384:L385 I381:L382 I384:I386 J390:L391 I387:L388 I390:I392 J396:L397 I393:L394 I396:I398 J402:L403 I399:L400 I402:I404 J408:L409 I405:L406 I408:I410 J414:L415 I411:L412 I414:I416 J420:L421 I417:L418 I420:I422 J426:L427 I423:L424 I426:I428 J432:L433 I429:L430 I432:I434 J438:L439 I435:L436 I438:I440 J444:L445 I441:L442 I444:I446 J450:L451 I447:L448 I450:I452 J456:L457 I453:L454 I456:I458 J462:L463 I459:L460 I462:I464 J468:L469 I465:L466 I468:I470 J474:L475 I471:L472 I474:I476 J480:L481 I477:L478 I480:I482 J486:L487 I483:L484 I486:I488 J492:L493 J495:L496 J501:L502 J507:L508 J513:L514 J498:L499 J504:L505 J510:L511 I489:L490 I492:I496 I498:I502 I504:I508 I510:I514 I516:L517 I519:L520 I522:L523 J31:L31 I35:I39 I41:I45 I47:I51 I53:I63 I65:I66 I72 I68:I70 I81 I74:I79 I87 I83:I85 I93 I89:I91 I99 I95:I97 I105 I101:I103 I111 I107:I109 I117 I113:I115 I123 I119:I121 I125:I127 I129:I130 I17:I33 I525:L526 J531:L532 J537:L538 J552:L553 J558:L559 J564:L565 J570:L571 J576:L577 J582:L583 J588:L589 J540:L541 J555:L556 J561:L562 J567:L568 J573:L574 J579:L580 J585:L586 J528:L529 J534:L535 J591:L592 I551:I553 I540:I544 I555:I559 I561:I565 I567:I571 I573:I577 I579:I583 I585:I589 I528:I532 I534:I538 J543:L544 I546:L547 I549:L550 J594:L595 J597:L598 J603:L604 I600:L601 I603:I605 J609:L610 I609:I611 J615:L616 I591:I595 I597:I599 I606:L607 I612:L613 J618:L619 I615:I620 I621:L622 J627:L628 I626:I629 I624:L625 J633:L634 I632:I635 I630:L631 J639:L640 I638:I641 I636:L637 J645:L646 J651:L652 I648:L649 J657:L658 I654:L655 I644:I647 I650:I653 I656:I659 I642:L643 J663:L664 I662:I665 I660:L661 I15">
    <cfRule type="cellIs" dxfId="1155" priority="1152" stopIfTrue="1" operator="equal">
      <formula>"Pass"</formula>
    </cfRule>
    <cfRule type="cellIs" dxfId="1154" priority="1153" stopIfTrue="1" operator="equal">
      <formula>"Fail"</formula>
    </cfRule>
  </conditionalFormatting>
  <conditionalFormatting sqref="V15:V665">
    <cfRule type="cellIs" dxfId="1153" priority="1154" stopIfTrue="1" operator="equal">
      <formula>"Fail"</formula>
    </cfRule>
    <cfRule type="cellIs" dxfId="1152" priority="1155" stopIfTrue="1" operator="equal">
      <formula>"Pass"</formula>
    </cfRule>
  </conditionalFormatting>
  <conditionalFormatting sqref="K4:O6">
    <cfRule type="cellIs" dxfId="1151" priority="1156" stopIfTrue="1" operator="between">
      <formula>19000</formula>
      <formula>49000</formula>
    </cfRule>
  </conditionalFormatting>
  <conditionalFormatting sqref="A1:A12 A15 A1020:A65716 A783 A780 A777 A774 A771 A768 A765 A762 A759 A756 A753 A750 A747 A744 A741 A738 A735 A732 A729 A726 A723 A720 A717 A714 A711 A708 A705 A702 A699 A696 A693 A690 A687 A684 A681 A678 A675 A672 A669 A666 A663 A660 A657 A654 A651 A648 A645 A642 A639 A636 A633 A630 A627 A624 A621 A618 A615 A612 A609 A606 A603 A600 A597 A594 A591 A588 A585 A582 A579 A576 A573 A570 A567 A564 A561 A558 A555 A552 A549 A546 A543 A540 A537 A534 A531 A528 A525 A522 A519 A516 A513 A510 A507 A504 A501 A498 A495 A492 A489 A486 A483 A480 A477 A474 A471 A468 A465 A462 A459 A456 A453 A450 A447 A444 A441 A438 A435 A432 A429 A426 A423 A420 A417 A414 A411 A408 A405 A402 A399 A396 A393 A390 A387 A384 A381 A378 A375 A372 A369 A366 A363 A360 A357 A354 A351 A348 A345 A342 A339 A336 A333 A330 A327 A324 A321 A318 A315 A312 A309 A306 A303 A300 A297 A294 A291 A288 A285 A282 A279 A276 A273 A270 A267 A264 A261 A258 A255 A252 A249 A246 A243 A240 A237 A234 A231 A228 A225 A222 A219 A216 A213 A210 A207 A204 A201 A198 A195 A192 A189 A186 A183 A180 A177 A174 A171 A168 A165 A162 A159 A156 A153 A150 A147 A144 A141 A138 A135 A132 A129 A126 A123 A120 A117 A114 A111 A108 A105 A102 A99 A96 A93 A90 A87 A84 A81 A78 A75 A72 A69 A66 A63 A60 A57 A54 A51 A48 A45 A42 A39 A36 A33 A30 A27 A24 A21 A18">
    <cfRule type="cellIs" dxfId="1150" priority="1151" stopIfTrue="1" operator="equal">
      <formula>TODAY()</formula>
    </cfRule>
  </conditionalFormatting>
  <conditionalFormatting sqref="V666:V668">
    <cfRule type="cellIs" dxfId="1149" priority="1149" stopIfTrue="1" operator="equal">
      <formula>"Fail"</formula>
    </cfRule>
    <cfRule type="cellIs" dxfId="1148" priority="1150" stopIfTrue="1" operator="equal">
      <formula>"Pass"</formula>
    </cfRule>
  </conditionalFormatting>
  <conditionalFormatting sqref="J666:L667">
    <cfRule type="cellIs" dxfId="1147" priority="1147" stopIfTrue="1" operator="equal">
      <formula>"Pass"</formula>
    </cfRule>
    <cfRule type="cellIs" dxfId="1146" priority="1148" stopIfTrue="1" operator="equal">
      <formula>"Fail"</formula>
    </cfRule>
  </conditionalFormatting>
  <conditionalFormatting sqref="I668 I666">
    <cfRule type="cellIs" dxfId="1145" priority="1145" stopIfTrue="1" operator="equal">
      <formula>"Pass"</formula>
    </cfRule>
    <cfRule type="cellIs" dxfId="1144" priority="1146" stopIfTrue="1" operator="equal">
      <formula>"Fail"</formula>
    </cfRule>
  </conditionalFormatting>
  <conditionalFormatting sqref="V666:V668">
    <cfRule type="cellIs" dxfId="1143" priority="1143" stopIfTrue="1" operator="equal">
      <formula>"Fail"</formula>
    </cfRule>
    <cfRule type="cellIs" dxfId="1142" priority="1144" stopIfTrue="1" operator="equal">
      <formula>"Pass"</formula>
    </cfRule>
  </conditionalFormatting>
  <conditionalFormatting sqref="V666:V668">
    <cfRule type="cellIs" dxfId="1141" priority="1141" stopIfTrue="1" operator="equal">
      <formula>"Fail"</formula>
    </cfRule>
    <cfRule type="cellIs" dxfId="1140" priority="1142" stopIfTrue="1" operator="equal">
      <formula>"Pass"</formula>
    </cfRule>
  </conditionalFormatting>
  <conditionalFormatting sqref="I667">
    <cfRule type="cellIs" dxfId="1139" priority="1139" stopIfTrue="1" operator="equal">
      <formula>"Pass"</formula>
    </cfRule>
    <cfRule type="cellIs" dxfId="1138" priority="1140" stopIfTrue="1" operator="equal">
      <formula>"Fail"</formula>
    </cfRule>
  </conditionalFormatting>
  <conditionalFormatting sqref="J669:L670 I669:I671 I666:L667">
    <cfRule type="cellIs" dxfId="1137" priority="1137" stopIfTrue="1" operator="equal">
      <formula>"Pass"</formula>
    </cfRule>
    <cfRule type="cellIs" dxfId="1136" priority="1138" stopIfTrue="1" operator="equal">
      <formula>"Fail"</formula>
    </cfRule>
  </conditionalFormatting>
  <conditionalFormatting sqref="V666:V671">
    <cfRule type="cellIs" dxfId="1135" priority="1135" stopIfTrue="1" operator="equal">
      <formula>"Fail"</formula>
    </cfRule>
    <cfRule type="cellIs" dxfId="1134" priority="1136" stopIfTrue="1" operator="equal">
      <formula>"Pass"</formula>
    </cfRule>
  </conditionalFormatting>
  <conditionalFormatting sqref="V666">
    <cfRule type="cellIs" dxfId="1133" priority="1133" stopIfTrue="1" operator="equal">
      <formula>"Fail"</formula>
    </cfRule>
    <cfRule type="cellIs" dxfId="1132" priority="1134" stopIfTrue="1" operator="equal">
      <formula>"Pass"</formula>
    </cfRule>
  </conditionalFormatting>
  <conditionalFormatting sqref="J666:L667">
    <cfRule type="cellIs" dxfId="1131" priority="1131" stopIfTrue="1" operator="equal">
      <formula>"Pass"</formula>
    </cfRule>
    <cfRule type="cellIs" dxfId="1130" priority="1132" stopIfTrue="1" operator="equal">
      <formula>"Fail"</formula>
    </cfRule>
  </conditionalFormatting>
  <conditionalFormatting sqref="I666">
    <cfRule type="cellIs" dxfId="1129" priority="1129" stopIfTrue="1" operator="equal">
      <formula>"Pass"</formula>
    </cfRule>
    <cfRule type="cellIs" dxfId="1128" priority="1130" stopIfTrue="1" operator="equal">
      <formula>"Fail"</formula>
    </cfRule>
  </conditionalFormatting>
  <conditionalFormatting sqref="I667">
    <cfRule type="cellIs" dxfId="1127" priority="1127" stopIfTrue="1" operator="equal">
      <formula>"Pass"</formula>
    </cfRule>
    <cfRule type="cellIs" dxfId="1126" priority="1128" stopIfTrue="1" operator="equal">
      <formula>"Fail"</formula>
    </cfRule>
  </conditionalFormatting>
  <conditionalFormatting sqref="I666:L667">
    <cfRule type="cellIs" dxfId="1125" priority="1125" stopIfTrue="1" operator="equal">
      <formula>"Pass"</formula>
    </cfRule>
    <cfRule type="cellIs" dxfId="1124" priority="1126" stopIfTrue="1" operator="equal">
      <formula>"Fail"</formula>
    </cfRule>
  </conditionalFormatting>
  <conditionalFormatting sqref="V672:V674">
    <cfRule type="cellIs" dxfId="1123" priority="1123" stopIfTrue="1" operator="equal">
      <formula>"Fail"</formula>
    </cfRule>
    <cfRule type="cellIs" dxfId="1122" priority="1124" stopIfTrue="1" operator="equal">
      <formula>"Pass"</formula>
    </cfRule>
  </conditionalFormatting>
  <conditionalFormatting sqref="J672:L673">
    <cfRule type="cellIs" dxfId="1121" priority="1121" stopIfTrue="1" operator="equal">
      <formula>"Pass"</formula>
    </cfRule>
    <cfRule type="cellIs" dxfId="1120" priority="1122" stopIfTrue="1" operator="equal">
      <formula>"Fail"</formula>
    </cfRule>
  </conditionalFormatting>
  <conditionalFormatting sqref="I674 I672">
    <cfRule type="cellIs" dxfId="1119" priority="1119" stopIfTrue="1" operator="equal">
      <formula>"Pass"</formula>
    </cfRule>
    <cfRule type="cellIs" dxfId="1118" priority="1120" stopIfTrue="1" operator="equal">
      <formula>"Fail"</formula>
    </cfRule>
  </conditionalFormatting>
  <conditionalFormatting sqref="V672:V674">
    <cfRule type="cellIs" dxfId="1117" priority="1117" stopIfTrue="1" operator="equal">
      <formula>"Fail"</formula>
    </cfRule>
    <cfRule type="cellIs" dxfId="1116" priority="1118" stopIfTrue="1" operator="equal">
      <formula>"Pass"</formula>
    </cfRule>
  </conditionalFormatting>
  <conditionalFormatting sqref="V672:V674">
    <cfRule type="cellIs" dxfId="1115" priority="1115" stopIfTrue="1" operator="equal">
      <formula>"Fail"</formula>
    </cfRule>
    <cfRule type="cellIs" dxfId="1114" priority="1116" stopIfTrue="1" operator="equal">
      <formula>"Pass"</formula>
    </cfRule>
  </conditionalFormatting>
  <conditionalFormatting sqref="I673">
    <cfRule type="cellIs" dxfId="1113" priority="1113" stopIfTrue="1" operator="equal">
      <formula>"Pass"</formula>
    </cfRule>
    <cfRule type="cellIs" dxfId="1112" priority="1114" stopIfTrue="1" operator="equal">
      <formula>"Fail"</formula>
    </cfRule>
  </conditionalFormatting>
  <conditionalFormatting sqref="J675:L676 I675:I677 I672:L673">
    <cfRule type="cellIs" dxfId="1111" priority="1111" stopIfTrue="1" operator="equal">
      <formula>"Pass"</formula>
    </cfRule>
    <cfRule type="cellIs" dxfId="1110" priority="1112" stopIfTrue="1" operator="equal">
      <formula>"Fail"</formula>
    </cfRule>
  </conditionalFormatting>
  <conditionalFormatting sqref="V672:V677">
    <cfRule type="cellIs" dxfId="1109" priority="1109" stopIfTrue="1" operator="equal">
      <formula>"Fail"</formula>
    </cfRule>
    <cfRule type="cellIs" dxfId="1108" priority="1110" stopIfTrue="1" operator="equal">
      <formula>"Pass"</formula>
    </cfRule>
  </conditionalFormatting>
  <conditionalFormatting sqref="V672">
    <cfRule type="cellIs" dxfId="1107" priority="1107" stopIfTrue="1" operator="equal">
      <formula>"Fail"</formula>
    </cfRule>
    <cfRule type="cellIs" dxfId="1106" priority="1108" stopIfTrue="1" operator="equal">
      <formula>"Pass"</formula>
    </cfRule>
  </conditionalFormatting>
  <conditionalFormatting sqref="J672:L673">
    <cfRule type="cellIs" dxfId="1105" priority="1105" stopIfTrue="1" operator="equal">
      <formula>"Pass"</formula>
    </cfRule>
    <cfRule type="cellIs" dxfId="1104" priority="1106" stopIfTrue="1" operator="equal">
      <formula>"Fail"</formula>
    </cfRule>
  </conditionalFormatting>
  <conditionalFormatting sqref="I672">
    <cfRule type="cellIs" dxfId="1103" priority="1103" stopIfTrue="1" operator="equal">
      <formula>"Pass"</formula>
    </cfRule>
    <cfRule type="cellIs" dxfId="1102" priority="1104" stopIfTrue="1" operator="equal">
      <formula>"Fail"</formula>
    </cfRule>
  </conditionalFormatting>
  <conditionalFormatting sqref="I673">
    <cfRule type="cellIs" dxfId="1101" priority="1101" stopIfTrue="1" operator="equal">
      <formula>"Pass"</formula>
    </cfRule>
    <cfRule type="cellIs" dxfId="1100" priority="1102" stopIfTrue="1" operator="equal">
      <formula>"Fail"</formula>
    </cfRule>
  </conditionalFormatting>
  <conditionalFormatting sqref="I672:L673">
    <cfRule type="cellIs" dxfId="1099" priority="1099" stopIfTrue="1" operator="equal">
      <formula>"Pass"</formula>
    </cfRule>
    <cfRule type="cellIs" dxfId="1098" priority="1100" stopIfTrue="1" operator="equal">
      <formula>"Fail"</formula>
    </cfRule>
  </conditionalFormatting>
  <conditionalFormatting sqref="V666:V671">
    <cfRule type="cellIs" dxfId="1097" priority="1097" stopIfTrue="1" operator="equal">
      <formula>"Fail"</formula>
    </cfRule>
    <cfRule type="cellIs" dxfId="1096" priority="1098" stopIfTrue="1" operator="equal">
      <formula>"Pass"</formula>
    </cfRule>
  </conditionalFormatting>
  <conditionalFormatting sqref="V678:V680">
    <cfRule type="cellIs" dxfId="1095" priority="1095" stopIfTrue="1" operator="equal">
      <formula>"Fail"</formula>
    </cfRule>
    <cfRule type="cellIs" dxfId="1094" priority="1096" stopIfTrue="1" operator="equal">
      <formula>"Pass"</formula>
    </cfRule>
  </conditionalFormatting>
  <conditionalFormatting sqref="J678:L679">
    <cfRule type="cellIs" dxfId="1093" priority="1093" stopIfTrue="1" operator="equal">
      <formula>"Pass"</formula>
    </cfRule>
    <cfRule type="cellIs" dxfId="1092" priority="1094" stopIfTrue="1" operator="equal">
      <formula>"Fail"</formula>
    </cfRule>
  </conditionalFormatting>
  <conditionalFormatting sqref="I680 I678">
    <cfRule type="cellIs" dxfId="1091" priority="1091" stopIfTrue="1" operator="equal">
      <formula>"Pass"</formula>
    </cfRule>
    <cfRule type="cellIs" dxfId="1090" priority="1092" stopIfTrue="1" operator="equal">
      <formula>"Fail"</formula>
    </cfRule>
  </conditionalFormatting>
  <conditionalFormatting sqref="V678:V680">
    <cfRule type="cellIs" dxfId="1089" priority="1089" stopIfTrue="1" operator="equal">
      <formula>"Fail"</formula>
    </cfRule>
    <cfRule type="cellIs" dxfId="1088" priority="1090" stopIfTrue="1" operator="equal">
      <formula>"Pass"</formula>
    </cfRule>
  </conditionalFormatting>
  <conditionalFormatting sqref="V678:V680">
    <cfRule type="cellIs" dxfId="1087" priority="1087" stopIfTrue="1" operator="equal">
      <formula>"Fail"</formula>
    </cfRule>
    <cfRule type="cellIs" dxfId="1086" priority="1088" stopIfTrue="1" operator="equal">
      <formula>"Pass"</formula>
    </cfRule>
  </conditionalFormatting>
  <conditionalFormatting sqref="I679">
    <cfRule type="cellIs" dxfId="1085" priority="1085" stopIfTrue="1" operator="equal">
      <formula>"Pass"</formula>
    </cfRule>
    <cfRule type="cellIs" dxfId="1084" priority="1086" stopIfTrue="1" operator="equal">
      <formula>"Fail"</formula>
    </cfRule>
  </conditionalFormatting>
  <conditionalFormatting sqref="J681:L682 I681:I683 I678:L679">
    <cfRule type="cellIs" dxfId="1083" priority="1083" stopIfTrue="1" operator="equal">
      <formula>"Pass"</formula>
    </cfRule>
    <cfRule type="cellIs" dxfId="1082" priority="1084" stopIfTrue="1" operator="equal">
      <formula>"Fail"</formula>
    </cfRule>
  </conditionalFormatting>
  <conditionalFormatting sqref="V678:V683">
    <cfRule type="cellIs" dxfId="1081" priority="1081" stopIfTrue="1" operator="equal">
      <formula>"Fail"</formula>
    </cfRule>
    <cfRule type="cellIs" dxfId="1080" priority="1082" stopIfTrue="1" operator="equal">
      <formula>"Pass"</formula>
    </cfRule>
  </conditionalFormatting>
  <conditionalFormatting sqref="V678">
    <cfRule type="cellIs" dxfId="1079" priority="1079" stopIfTrue="1" operator="equal">
      <formula>"Fail"</formula>
    </cfRule>
    <cfRule type="cellIs" dxfId="1078" priority="1080" stopIfTrue="1" operator="equal">
      <formula>"Pass"</formula>
    </cfRule>
  </conditionalFormatting>
  <conditionalFormatting sqref="J678:L679">
    <cfRule type="cellIs" dxfId="1077" priority="1077" stopIfTrue="1" operator="equal">
      <formula>"Pass"</formula>
    </cfRule>
    <cfRule type="cellIs" dxfId="1076" priority="1078" stopIfTrue="1" operator="equal">
      <formula>"Fail"</formula>
    </cfRule>
  </conditionalFormatting>
  <conditionalFormatting sqref="I678">
    <cfRule type="cellIs" dxfId="1075" priority="1075" stopIfTrue="1" operator="equal">
      <formula>"Pass"</formula>
    </cfRule>
    <cfRule type="cellIs" dxfId="1074" priority="1076" stopIfTrue="1" operator="equal">
      <formula>"Fail"</formula>
    </cfRule>
  </conditionalFormatting>
  <conditionalFormatting sqref="I679">
    <cfRule type="cellIs" dxfId="1073" priority="1073" stopIfTrue="1" operator="equal">
      <formula>"Pass"</formula>
    </cfRule>
    <cfRule type="cellIs" dxfId="1072" priority="1074" stopIfTrue="1" operator="equal">
      <formula>"Fail"</formula>
    </cfRule>
  </conditionalFormatting>
  <conditionalFormatting sqref="I678:L679">
    <cfRule type="cellIs" dxfId="1071" priority="1071" stopIfTrue="1" operator="equal">
      <formula>"Pass"</formula>
    </cfRule>
    <cfRule type="cellIs" dxfId="1070" priority="1072" stopIfTrue="1" operator="equal">
      <formula>"Fail"</formula>
    </cfRule>
  </conditionalFormatting>
  <conditionalFormatting sqref="V684:V686">
    <cfRule type="cellIs" dxfId="1069" priority="1069" stopIfTrue="1" operator="equal">
      <formula>"Fail"</formula>
    </cfRule>
    <cfRule type="cellIs" dxfId="1068" priority="1070" stopIfTrue="1" operator="equal">
      <formula>"Pass"</formula>
    </cfRule>
  </conditionalFormatting>
  <conditionalFormatting sqref="J684:L685">
    <cfRule type="cellIs" dxfId="1067" priority="1067" stopIfTrue="1" operator="equal">
      <formula>"Pass"</formula>
    </cfRule>
    <cfRule type="cellIs" dxfId="1066" priority="1068" stopIfTrue="1" operator="equal">
      <formula>"Fail"</formula>
    </cfRule>
  </conditionalFormatting>
  <conditionalFormatting sqref="I686 I684">
    <cfRule type="cellIs" dxfId="1065" priority="1065" stopIfTrue="1" operator="equal">
      <formula>"Pass"</formula>
    </cfRule>
    <cfRule type="cellIs" dxfId="1064" priority="1066" stopIfTrue="1" operator="equal">
      <formula>"Fail"</formula>
    </cfRule>
  </conditionalFormatting>
  <conditionalFormatting sqref="V684:V686">
    <cfRule type="cellIs" dxfId="1063" priority="1063" stopIfTrue="1" operator="equal">
      <formula>"Fail"</formula>
    </cfRule>
    <cfRule type="cellIs" dxfId="1062" priority="1064" stopIfTrue="1" operator="equal">
      <formula>"Pass"</formula>
    </cfRule>
  </conditionalFormatting>
  <conditionalFormatting sqref="V684:V686">
    <cfRule type="cellIs" dxfId="1061" priority="1061" stopIfTrue="1" operator="equal">
      <formula>"Fail"</formula>
    </cfRule>
    <cfRule type="cellIs" dxfId="1060" priority="1062" stopIfTrue="1" operator="equal">
      <formula>"Pass"</formula>
    </cfRule>
  </conditionalFormatting>
  <conditionalFormatting sqref="I685">
    <cfRule type="cellIs" dxfId="1059" priority="1059" stopIfTrue="1" operator="equal">
      <formula>"Pass"</formula>
    </cfRule>
    <cfRule type="cellIs" dxfId="1058" priority="1060" stopIfTrue="1" operator="equal">
      <formula>"Fail"</formula>
    </cfRule>
  </conditionalFormatting>
  <conditionalFormatting sqref="J687:L688 I687:I689 I684:L685">
    <cfRule type="cellIs" dxfId="1057" priority="1057" stopIfTrue="1" operator="equal">
      <formula>"Pass"</formula>
    </cfRule>
    <cfRule type="cellIs" dxfId="1056" priority="1058" stopIfTrue="1" operator="equal">
      <formula>"Fail"</formula>
    </cfRule>
  </conditionalFormatting>
  <conditionalFormatting sqref="V684:V689">
    <cfRule type="cellIs" dxfId="1055" priority="1055" stopIfTrue="1" operator="equal">
      <formula>"Fail"</formula>
    </cfRule>
    <cfRule type="cellIs" dxfId="1054" priority="1056" stopIfTrue="1" operator="equal">
      <formula>"Pass"</formula>
    </cfRule>
  </conditionalFormatting>
  <conditionalFormatting sqref="V684">
    <cfRule type="cellIs" dxfId="1053" priority="1053" stopIfTrue="1" operator="equal">
      <formula>"Fail"</formula>
    </cfRule>
    <cfRule type="cellIs" dxfId="1052" priority="1054" stopIfTrue="1" operator="equal">
      <formula>"Pass"</formula>
    </cfRule>
  </conditionalFormatting>
  <conditionalFormatting sqref="J684:L685">
    <cfRule type="cellIs" dxfId="1051" priority="1051" stopIfTrue="1" operator="equal">
      <formula>"Pass"</formula>
    </cfRule>
    <cfRule type="cellIs" dxfId="1050" priority="1052" stopIfTrue="1" operator="equal">
      <formula>"Fail"</formula>
    </cfRule>
  </conditionalFormatting>
  <conditionalFormatting sqref="I684">
    <cfRule type="cellIs" dxfId="1049" priority="1049" stopIfTrue="1" operator="equal">
      <formula>"Pass"</formula>
    </cfRule>
    <cfRule type="cellIs" dxfId="1048" priority="1050" stopIfTrue="1" operator="equal">
      <formula>"Fail"</formula>
    </cfRule>
  </conditionalFormatting>
  <conditionalFormatting sqref="I685">
    <cfRule type="cellIs" dxfId="1047" priority="1047" stopIfTrue="1" operator="equal">
      <formula>"Pass"</formula>
    </cfRule>
    <cfRule type="cellIs" dxfId="1046" priority="1048" stopIfTrue="1" operator="equal">
      <formula>"Fail"</formula>
    </cfRule>
  </conditionalFormatting>
  <conditionalFormatting sqref="I684:L685">
    <cfRule type="cellIs" dxfId="1045" priority="1045" stopIfTrue="1" operator="equal">
      <formula>"Pass"</formula>
    </cfRule>
    <cfRule type="cellIs" dxfId="1044" priority="1046" stopIfTrue="1" operator="equal">
      <formula>"Fail"</formula>
    </cfRule>
  </conditionalFormatting>
  <conditionalFormatting sqref="V690:V692">
    <cfRule type="cellIs" dxfId="1043" priority="1043" stopIfTrue="1" operator="equal">
      <formula>"Fail"</formula>
    </cfRule>
    <cfRule type="cellIs" dxfId="1042" priority="1044" stopIfTrue="1" operator="equal">
      <formula>"Pass"</formula>
    </cfRule>
  </conditionalFormatting>
  <conditionalFormatting sqref="J690:L691">
    <cfRule type="cellIs" dxfId="1041" priority="1041" stopIfTrue="1" operator="equal">
      <formula>"Pass"</formula>
    </cfRule>
    <cfRule type="cellIs" dxfId="1040" priority="1042" stopIfTrue="1" operator="equal">
      <formula>"Fail"</formula>
    </cfRule>
  </conditionalFormatting>
  <conditionalFormatting sqref="I692 I690">
    <cfRule type="cellIs" dxfId="1039" priority="1039" stopIfTrue="1" operator="equal">
      <formula>"Pass"</formula>
    </cfRule>
    <cfRule type="cellIs" dxfId="1038" priority="1040" stopIfTrue="1" operator="equal">
      <formula>"Fail"</formula>
    </cfRule>
  </conditionalFormatting>
  <conditionalFormatting sqref="V690:V692">
    <cfRule type="cellIs" dxfId="1037" priority="1037" stopIfTrue="1" operator="equal">
      <formula>"Fail"</formula>
    </cfRule>
    <cfRule type="cellIs" dxfId="1036" priority="1038" stopIfTrue="1" operator="equal">
      <formula>"Pass"</formula>
    </cfRule>
  </conditionalFormatting>
  <conditionalFormatting sqref="V690:V692">
    <cfRule type="cellIs" dxfId="1035" priority="1035" stopIfTrue="1" operator="equal">
      <formula>"Fail"</formula>
    </cfRule>
    <cfRule type="cellIs" dxfId="1034" priority="1036" stopIfTrue="1" operator="equal">
      <formula>"Pass"</formula>
    </cfRule>
  </conditionalFormatting>
  <conditionalFormatting sqref="I691">
    <cfRule type="cellIs" dxfId="1033" priority="1033" stopIfTrue="1" operator="equal">
      <formula>"Pass"</formula>
    </cfRule>
    <cfRule type="cellIs" dxfId="1032" priority="1034" stopIfTrue="1" operator="equal">
      <formula>"Fail"</formula>
    </cfRule>
  </conditionalFormatting>
  <conditionalFormatting sqref="J693:L694 I693:I695 I690:L691">
    <cfRule type="cellIs" dxfId="1031" priority="1031" stopIfTrue="1" operator="equal">
      <formula>"Pass"</formula>
    </cfRule>
    <cfRule type="cellIs" dxfId="1030" priority="1032" stopIfTrue="1" operator="equal">
      <formula>"Fail"</formula>
    </cfRule>
  </conditionalFormatting>
  <conditionalFormatting sqref="V690:V695">
    <cfRule type="cellIs" dxfId="1029" priority="1029" stopIfTrue="1" operator="equal">
      <formula>"Fail"</formula>
    </cfRule>
    <cfRule type="cellIs" dxfId="1028" priority="1030" stopIfTrue="1" operator="equal">
      <formula>"Pass"</formula>
    </cfRule>
  </conditionalFormatting>
  <conditionalFormatting sqref="V690">
    <cfRule type="cellIs" dxfId="1027" priority="1027" stopIfTrue="1" operator="equal">
      <formula>"Fail"</formula>
    </cfRule>
    <cfRule type="cellIs" dxfId="1026" priority="1028" stopIfTrue="1" operator="equal">
      <formula>"Pass"</formula>
    </cfRule>
  </conditionalFormatting>
  <conditionalFormatting sqref="J690:L691">
    <cfRule type="cellIs" dxfId="1025" priority="1025" stopIfTrue="1" operator="equal">
      <formula>"Pass"</formula>
    </cfRule>
    <cfRule type="cellIs" dxfId="1024" priority="1026" stopIfTrue="1" operator="equal">
      <formula>"Fail"</formula>
    </cfRule>
  </conditionalFormatting>
  <conditionalFormatting sqref="I690">
    <cfRule type="cellIs" dxfId="1023" priority="1023" stopIfTrue="1" operator="equal">
      <formula>"Pass"</formula>
    </cfRule>
    <cfRule type="cellIs" dxfId="1022" priority="1024" stopIfTrue="1" operator="equal">
      <formula>"Fail"</formula>
    </cfRule>
  </conditionalFormatting>
  <conditionalFormatting sqref="I691">
    <cfRule type="cellIs" dxfId="1021" priority="1021" stopIfTrue="1" operator="equal">
      <formula>"Pass"</formula>
    </cfRule>
    <cfRule type="cellIs" dxfId="1020" priority="1022" stopIfTrue="1" operator="equal">
      <formula>"Fail"</formula>
    </cfRule>
  </conditionalFormatting>
  <conditionalFormatting sqref="I690:L691">
    <cfRule type="cellIs" dxfId="1019" priority="1019" stopIfTrue="1" operator="equal">
      <formula>"Pass"</formula>
    </cfRule>
    <cfRule type="cellIs" dxfId="1018" priority="1020" stopIfTrue="1" operator="equal">
      <formula>"Fail"</formula>
    </cfRule>
  </conditionalFormatting>
  <conditionalFormatting sqref="V696:V698">
    <cfRule type="cellIs" dxfId="1017" priority="1017" stopIfTrue="1" operator="equal">
      <formula>"Fail"</formula>
    </cfRule>
    <cfRule type="cellIs" dxfId="1016" priority="1018" stopIfTrue="1" operator="equal">
      <formula>"Pass"</formula>
    </cfRule>
  </conditionalFormatting>
  <conditionalFormatting sqref="J696:L697">
    <cfRule type="cellIs" dxfId="1015" priority="1015" stopIfTrue="1" operator="equal">
      <formula>"Pass"</formula>
    </cfRule>
    <cfRule type="cellIs" dxfId="1014" priority="1016" stopIfTrue="1" operator="equal">
      <formula>"Fail"</formula>
    </cfRule>
  </conditionalFormatting>
  <conditionalFormatting sqref="I698 I696">
    <cfRule type="cellIs" dxfId="1013" priority="1013" stopIfTrue="1" operator="equal">
      <formula>"Pass"</formula>
    </cfRule>
    <cfRule type="cellIs" dxfId="1012" priority="1014" stopIfTrue="1" operator="equal">
      <formula>"Fail"</formula>
    </cfRule>
  </conditionalFormatting>
  <conditionalFormatting sqref="V696:V698">
    <cfRule type="cellIs" dxfId="1011" priority="1011" stopIfTrue="1" operator="equal">
      <formula>"Fail"</formula>
    </cfRule>
    <cfRule type="cellIs" dxfId="1010" priority="1012" stopIfTrue="1" operator="equal">
      <formula>"Pass"</formula>
    </cfRule>
  </conditionalFormatting>
  <conditionalFormatting sqref="V696:V698">
    <cfRule type="cellIs" dxfId="1009" priority="1009" stopIfTrue="1" operator="equal">
      <formula>"Fail"</formula>
    </cfRule>
    <cfRule type="cellIs" dxfId="1008" priority="1010" stopIfTrue="1" operator="equal">
      <formula>"Pass"</formula>
    </cfRule>
  </conditionalFormatting>
  <conditionalFormatting sqref="I697">
    <cfRule type="cellIs" dxfId="1007" priority="1007" stopIfTrue="1" operator="equal">
      <formula>"Pass"</formula>
    </cfRule>
    <cfRule type="cellIs" dxfId="1006" priority="1008" stopIfTrue="1" operator="equal">
      <formula>"Fail"</formula>
    </cfRule>
  </conditionalFormatting>
  <conditionalFormatting sqref="J699:L700 I699:I701 I696:L697">
    <cfRule type="cellIs" dxfId="1005" priority="1005" stopIfTrue="1" operator="equal">
      <formula>"Pass"</formula>
    </cfRule>
    <cfRule type="cellIs" dxfId="1004" priority="1006" stopIfTrue="1" operator="equal">
      <formula>"Fail"</formula>
    </cfRule>
  </conditionalFormatting>
  <conditionalFormatting sqref="V696:V701">
    <cfRule type="cellIs" dxfId="1003" priority="1003" stopIfTrue="1" operator="equal">
      <formula>"Fail"</formula>
    </cfRule>
    <cfRule type="cellIs" dxfId="1002" priority="1004" stopIfTrue="1" operator="equal">
      <formula>"Pass"</formula>
    </cfRule>
  </conditionalFormatting>
  <conditionalFormatting sqref="V696">
    <cfRule type="cellIs" dxfId="1001" priority="1001" stopIfTrue="1" operator="equal">
      <formula>"Fail"</formula>
    </cfRule>
    <cfRule type="cellIs" dxfId="1000" priority="1002" stopIfTrue="1" operator="equal">
      <formula>"Pass"</formula>
    </cfRule>
  </conditionalFormatting>
  <conditionalFormatting sqref="J696:L697">
    <cfRule type="cellIs" dxfId="999" priority="999" stopIfTrue="1" operator="equal">
      <formula>"Pass"</formula>
    </cfRule>
    <cfRule type="cellIs" dxfId="998" priority="1000" stopIfTrue="1" operator="equal">
      <formula>"Fail"</formula>
    </cfRule>
  </conditionalFormatting>
  <conditionalFormatting sqref="I696">
    <cfRule type="cellIs" dxfId="997" priority="997" stopIfTrue="1" operator="equal">
      <formula>"Pass"</formula>
    </cfRule>
    <cfRule type="cellIs" dxfId="996" priority="998" stopIfTrue="1" operator="equal">
      <formula>"Fail"</formula>
    </cfRule>
  </conditionalFormatting>
  <conditionalFormatting sqref="I697">
    <cfRule type="cellIs" dxfId="995" priority="995" stopIfTrue="1" operator="equal">
      <formula>"Pass"</formula>
    </cfRule>
    <cfRule type="cellIs" dxfId="994" priority="996" stopIfTrue="1" operator="equal">
      <formula>"Fail"</formula>
    </cfRule>
  </conditionalFormatting>
  <conditionalFormatting sqref="I696:L697">
    <cfRule type="cellIs" dxfId="993" priority="993" stopIfTrue="1" operator="equal">
      <formula>"Pass"</formula>
    </cfRule>
    <cfRule type="cellIs" dxfId="992" priority="994" stopIfTrue="1" operator="equal">
      <formula>"Fail"</formula>
    </cfRule>
  </conditionalFormatting>
  <conditionalFormatting sqref="V702:V704">
    <cfRule type="cellIs" dxfId="991" priority="991" stopIfTrue="1" operator="equal">
      <formula>"Fail"</formula>
    </cfRule>
    <cfRule type="cellIs" dxfId="990" priority="992" stopIfTrue="1" operator="equal">
      <formula>"Pass"</formula>
    </cfRule>
  </conditionalFormatting>
  <conditionalFormatting sqref="J702:L703">
    <cfRule type="cellIs" dxfId="989" priority="989" stopIfTrue="1" operator="equal">
      <formula>"Pass"</formula>
    </cfRule>
    <cfRule type="cellIs" dxfId="988" priority="990" stopIfTrue="1" operator="equal">
      <formula>"Fail"</formula>
    </cfRule>
  </conditionalFormatting>
  <conditionalFormatting sqref="I704 I702">
    <cfRule type="cellIs" dxfId="987" priority="987" stopIfTrue="1" operator="equal">
      <formula>"Pass"</formula>
    </cfRule>
    <cfRule type="cellIs" dxfId="986" priority="988" stopIfTrue="1" operator="equal">
      <formula>"Fail"</formula>
    </cfRule>
  </conditionalFormatting>
  <conditionalFormatting sqref="V702:V704">
    <cfRule type="cellIs" dxfId="985" priority="985" stopIfTrue="1" operator="equal">
      <formula>"Fail"</formula>
    </cfRule>
    <cfRule type="cellIs" dxfId="984" priority="986" stopIfTrue="1" operator="equal">
      <formula>"Pass"</formula>
    </cfRule>
  </conditionalFormatting>
  <conditionalFormatting sqref="V702:V704">
    <cfRule type="cellIs" dxfId="983" priority="983" stopIfTrue="1" operator="equal">
      <formula>"Fail"</formula>
    </cfRule>
    <cfRule type="cellIs" dxfId="982" priority="984" stopIfTrue="1" operator="equal">
      <formula>"Pass"</formula>
    </cfRule>
  </conditionalFormatting>
  <conditionalFormatting sqref="I703">
    <cfRule type="cellIs" dxfId="981" priority="981" stopIfTrue="1" operator="equal">
      <formula>"Pass"</formula>
    </cfRule>
    <cfRule type="cellIs" dxfId="980" priority="982" stopIfTrue="1" operator="equal">
      <formula>"Fail"</formula>
    </cfRule>
  </conditionalFormatting>
  <conditionalFormatting sqref="I702:L703">
    <cfRule type="cellIs" dxfId="979" priority="979" stopIfTrue="1" operator="equal">
      <formula>"Pass"</formula>
    </cfRule>
    <cfRule type="cellIs" dxfId="978" priority="980" stopIfTrue="1" operator="equal">
      <formula>"Fail"</formula>
    </cfRule>
  </conditionalFormatting>
  <conditionalFormatting sqref="V702:V704">
    <cfRule type="cellIs" dxfId="977" priority="977" stopIfTrue="1" operator="equal">
      <formula>"Fail"</formula>
    </cfRule>
    <cfRule type="cellIs" dxfId="976" priority="978" stopIfTrue="1" operator="equal">
      <formula>"Pass"</formula>
    </cfRule>
  </conditionalFormatting>
  <conditionalFormatting sqref="V702">
    <cfRule type="cellIs" dxfId="975" priority="975" stopIfTrue="1" operator="equal">
      <formula>"Fail"</formula>
    </cfRule>
    <cfRule type="cellIs" dxfId="974" priority="976" stopIfTrue="1" operator="equal">
      <formula>"Pass"</formula>
    </cfRule>
  </conditionalFormatting>
  <conditionalFormatting sqref="J702:L703">
    <cfRule type="cellIs" dxfId="973" priority="973" stopIfTrue="1" operator="equal">
      <formula>"Pass"</formula>
    </cfRule>
    <cfRule type="cellIs" dxfId="972" priority="974" stopIfTrue="1" operator="equal">
      <formula>"Fail"</formula>
    </cfRule>
  </conditionalFormatting>
  <conditionalFormatting sqref="I702">
    <cfRule type="cellIs" dxfId="971" priority="971" stopIfTrue="1" operator="equal">
      <formula>"Pass"</formula>
    </cfRule>
    <cfRule type="cellIs" dxfId="970" priority="972" stopIfTrue="1" operator="equal">
      <formula>"Fail"</formula>
    </cfRule>
  </conditionalFormatting>
  <conditionalFormatting sqref="I703">
    <cfRule type="cellIs" dxfId="969" priority="969" stopIfTrue="1" operator="equal">
      <formula>"Pass"</formula>
    </cfRule>
    <cfRule type="cellIs" dxfId="968" priority="970" stopIfTrue="1" operator="equal">
      <formula>"Fail"</formula>
    </cfRule>
  </conditionalFormatting>
  <conditionalFormatting sqref="I702:L703">
    <cfRule type="cellIs" dxfId="967" priority="967" stopIfTrue="1" operator="equal">
      <formula>"Pass"</formula>
    </cfRule>
    <cfRule type="cellIs" dxfId="966" priority="968" stopIfTrue="1" operator="equal">
      <formula>"Fail"</formula>
    </cfRule>
  </conditionalFormatting>
  <conditionalFormatting sqref="J705:L706 I705:I707">
    <cfRule type="cellIs" dxfId="965" priority="965" stopIfTrue="1" operator="equal">
      <formula>"Pass"</formula>
    </cfRule>
    <cfRule type="cellIs" dxfId="964" priority="966" stopIfTrue="1" operator="equal">
      <formula>"Fail"</formula>
    </cfRule>
  </conditionalFormatting>
  <conditionalFormatting sqref="V705:V707">
    <cfRule type="cellIs" dxfId="963" priority="963" stopIfTrue="1" operator="equal">
      <formula>"Fail"</formula>
    </cfRule>
    <cfRule type="cellIs" dxfId="962" priority="964" stopIfTrue="1" operator="equal">
      <formula>"Pass"</formula>
    </cfRule>
  </conditionalFormatting>
  <conditionalFormatting sqref="V708:V710">
    <cfRule type="cellIs" dxfId="961" priority="961" stopIfTrue="1" operator="equal">
      <formula>"Fail"</formula>
    </cfRule>
    <cfRule type="cellIs" dxfId="960" priority="962" stopIfTrue="1" operator="equal">
      <formula>"Pass"</formula>
    </cfRule>
  </conditionalFormatting>
  <conditionalFormatting sqref="J708:L709">
    <cfRule type="cellIs" dxfId="959" priority="959" stopIfTrue="1" operator="equal">
      <formula>"Pass"</formula>
    </cfRule>
    <cfRule type="cellIs" dxfId="958" priority="960" stopIfTrue="1" operator="equal">
      <formula>"Fail"</formula>
    </cfRule>
  </conditionalFormatting>
  <conditionalFormatting sqref="I710 I708">
    <cfRule type="cellIs" dxfId="957" priority="957" stopIfTrue="1" operator="equal">
      <formula>"Pass"</formula>
    </cfRule>
    <cfRule type="cellIs" dxfId="956" priority="958" stopIfTrue="1" operator="equal">
      <formula>"Fail"</formula>
    </cfRule>
  </conditionalFormatting>
  <conditionalFormatting sqref="V708:V710">
    <cfRule type="cellIs" dxfId="955" priority="955" stopIfTrue="1" operator="equal">
      <formula>"Fail"</formula>
    </cfRule>
    <cfRule type="cellIs" dxfId="954" priority="956" stopIfTrue="1" operator="equal">
      <formula>"Pass"</formula>
    </cfRule>
  </conditionalFormatting>
  <conditionalFormatting sqref="V708:V710">
    <cfRule type="cellIs" dxfId="953" priority="953" stopIfTrue="1" operator="equal">
      <formula>"Fail"</formula>
    </cfRule>
    <cfRule type="cellIs" dxfId="952" priority="954" stopIfTrue="1" operator="equal">
      <formula>"Pass"</formula>
    </cfRule>
  </conditionalFormatting>
  <conditionalFormatting sqref="I709">
    <cfRule type="cellIs" dxfId="951" priority="951" stopIfTrue="1" operator="equal">
      <formula>"Pass"</formula>
    </cfRule>
    <cfRule type="cellIs" dxfId="950" priority="952" stopIfTrue="1" operator="equal">
      <formula>"Fail"</formula>
    </cfRule>
  </conditionalFormatting>
  <conditionalFormatting sqref="I708:L709">
    <cfRule type="cellIs" dxfId="949" priority="949" stopIfTrue="1" operator="equal">
      <formula>"Pass"</formula>
    </cfRule>
    <cfRule type="cellIs" dxfId="948" priority="950" stopIfTrue="1" operator="equal">
      <formula>"Fail"</formula>
    </cfRule>
  </conditionalFormatting>
  <conditionalFormatting sqref="V708:V710">
    <cfRule type="cellIs" dxfId="947" priority="947" stopIfTrue="1" operator="equal">
      <formula>"Fail"</formula>
    </cfRule>
    <cfRule type="cellIs" dxfId="946" priority="948" stopIfTrue="1" operator="equal">
      <formula>"Pass"</formula>
    </cfRule>
  </conditionalFormatting>
  <conditionalFormatting sqref="V708">
    <cfRule type="cellIs" dxfId="945" priority="945" stopIfTrue="1" operator="equal">
      <formula>"Fail"</formula>
    </cfRule>
    <cfRule type="cellIs" dxfId="944" priority="946" stopIfTrue="1" operator="equal">
      <formula>"Pass"</formula>
    </cfRule>
  </conditionalFormatting>
  <conditionalFormatting sqref="J708:L709">
    <cfRule type="cellIs" dxfId="943" priority="943" stopIfTrue="1" operator="equal">
      <formula>"Pass"</formula>
    </cfRule>
    <cfRule type="cellIs" dxfId="942" priority="944" stopIfTrue="1" operator="equal">
      <formula>"Fail"</formula>
    </cfRule>
  </conditionalFormatting>
  <conditionalFormatting sqref="I708">
    <cfRule type="cellIs" dxfId="941" priority="941" stopIfTrue="1" operator="equal">
      <formula>"Pass"</formula>
    </cfRule>
    <cfRule type="cellIs" dxfId="940" priority="942" stopIfTrue="1" operator="equal">
      <formula>"Fail"</formula>
    </cfRule>
  </conditionalFormatting>
  <conditionalFormatting sqref="I709">
    <cfRule type="cellIs" dxfId="939" priority="939" stopIfTrue="1" operator="equal">
      <formula>"Pass"</formula>
    </cfRule>
    <cfRule type="cellIs" dxfId="938" priority="940" stopIfTrue="1" operator="equal">
      <formula>"Fail"</formula>
    </cfRule>
  </conditionalFormatting>
  <conditionalFormatting sqref="I708:L709">
    <cfRule type="cellIs" dxfId="937" priority="937" stopIfTrue="1" operator="equal">
      <formula>"Pass"</formula>
    </cfRule>
    <cfRule type="cellIs" dxfId="936" priority="938" stopIfTrue="1" operator="equal">
      <formula>"Fail"</formula>
    </cfRule>
  </conditionalFormatting>
  <conditionalFormatting sqref="J711:L712 I711:I713">
    <cfRule type="cellIs" dxfId="935" priority="935" stopIfTrue="1" operator="equal">
      <formula>"Pass"</formula>
    </cfRule>
    <cfRule type="cellIs" dxfId="934" priority="936" stopIfTrue="1" operator="equal">
      <formula>"Fail"</formula>
    </cfRule>
  </conditionalFormatting>
  <conditionalFormatting sqref="V711:V713">
    <cfRule type="cellIs" dxfId="933" priority="933" stopIfTrue="1" operator="equal">
      <formula>"Fail"</formula>
    </cfRule>
    <cfRule type="cellIs" dxfId="932" priority="934" stopIfTrue="1" operator="equal">
      <formula>"Pass"</formula>
    </cfRule>
  </conditionalFormatting>
  <conditionalFormatting sqref="V714:V716">
    <cfRule type="cellIs" dxfId="931" priority="931" stopIfTrue="1" operator="equal">
      <formula>"Fail"</formula>
    </cfRule>
    <cfRule type="cellIs" dxfId="930" priority="932" stopIfTrue="1" operator="equal">
      <formula>"Pass"</formula>
    </cfRule>
  </conditionalFormatting>
  <conditionalFormatting sqref="J714:L715">
    <cfRule type="cellIs" dxfId="929" priority="929" stopIfTrue="1" operator="equal">
      <formula>"Pass"</formula>
    </cfRule>
    <cfRule type="cellIs" dxfId="928" priority="930" stopIfTrue="1" operator="equal">
      <formula>"Fail"</formula>
    </cfRule>
  </conditionalFormatting>
  <conditionalFormatting sqref="I716 I714">
    <cfRule type="cellIs" dxfId="927" priority="927" stopIfTrue="1" operator="equal">
      <formula>"Pass"</formula>
    </cfRule>
    <cfRule type="cellIs" dxfId="926" priority="928" stopIfTrue="1" operator="equal">
      <formula>"Fail"</formula>
    </cfRule>
  </conditionalFormatting>
  <conditionalFormatting sqref="V714:V716">
    <cfRule type="cellIs" dxfId="925" priority="925" stopIfTrue="1" operator="equal">
      <formula>"Fail"</formula>
    </cfRule>
    <cfRule type="cellIs" dxfId="924" priority="926" stopIfTrue="1" operator="equal">
      <formula>"Pass"</formula>
    </cfRule>
  </conditionalFormatting>
  <conditionalFormatting sqref="V714:V716">
    <cfRule type="cellIs" dxfId="923" priority="923" stopIfTrue="1" operator="equal">
      <formula>"Fail"</formula>
    </cfRule>
    <cfRule type="cellIs" dxfId="922" priority="924" stopIfTrue="1" operator="equal">
      <formula>"Pass"</formula>
    </cfRule>
  </conditionalFormatting>
  <conditionalFormatting sqref="I715">
    <cfRule type="cellIs" dxfId="921" priority="921" stopIfTrue="1" operator="equal">
      <formula>"Pass"</formula>
    </cfRule>
    <cfRule type="cellIs" dxfId="920" priority="922" stopIfTrue="1" operator="equal">
      <formula>"Fail"</formula>
    </cfRule>
  </conditionalFormatting>
  <conditionalFormatting sqref="I714:L715">
    <cfRule type="cellIs" dxfId="919" priority="919" stopIfTrue="1" operator="equal">
      <formula>"Pass"</formula>
    </cfRule>
    <cfRule type="cellIs" dxfId="918" priority="920" stopIfTrue="1" operator="equal">
      <formula>"Fail"</formula>
    </cfRule>
  </conditionalFormatting>
  <conditionalFormatting sqref="V714:V716">
    <cfRule type="cellIs" dxfId="917" priority="917" stopIfTrue="1" operator="equal">
      <formula>"Fail"</formula>
    </cfRule>
    <cfRule type="cellIs" dxfId="916" priority="918" stopIfTrue="1" operator="equal">
      <formula>"Pass"</formula>
    </cfRule>
  </conditionalFormatting>
  <conditionalFormatting sqref="V714">
    <cfRule type="cellIs" dxfId="915" priority="915" stopIfTrue="1" operator="equal">
      <formula>"Fail"</formula>
    </cfRule>
    <cfRule type="cellIs" dxfId="914" priority="916" stopIfTrue="1" operator="equal">
      <formula>"Pass"</formula>
    </cfRule>
  </conditionalFormatting>
  <conditionalFormatting sqref="J714:L715">
    <cfRule type="cellIs" dxfId="913" priority="913" stopIfTrue="1" operator="equal">
      <formula>"Pass"</formula>
    </cfRule>
    <cfRule type="cellIs" dxfId="912" priority="914" stopIfTrue="1" operator="equal">
      <formula>"Fail"</formula>
    </cfRule>
  </conditionalFormatting>
  <conditionalFormatting sqref="I714">
    <cfRule type="cellIs" dxfId="911" priority="911" stopIfTrue="1" operator="equal">
      <formula>"Pass"</formula>
    </cfRule>
    <cfRule type="cellIs" dxfId="910" priority="912" stopIfTrue="1" operator="equal">
      <formula>"Fail"</formula>
    </cfRule>
  </conditionalFormatting>
  <conditionalFormatting sqref="I715">
    <cfRule type="cellIs" dxfId="909" priority="909" stopIfTrue="1" operator="equal">
      <formula>"Pass"</formula>
    </cfRule>
    <cfRule type="cellIs" dxfId="908" priority="910" stopIfTrue="1" operator="equal">
      <formula>"Fail"</formula>
    </cfRule>
  </conditionalFormatting>
  <conditionalFormatting sqref="I714:L715">
    <cfRule type="cellIs" dxfId="907" priority="907" stopIfTrue="1" operator="equal">
      <formula>"Pass"</formula>
    </cfRule>
    <cfRule type="cellIs" dxfId="906" priority="908" stopIfTrue="1" operator="equal">
      <formula>"Fail"</formula>
    </cfRule>
  </conditionalFormatting>
  <conditionalFormatting sqref="J717:L718 I717:I719">
    <cfRule type="cellIs" dxfId="905" priority="905" stopIfTrue="1" operator="equal">
      <formula>"Pass"</formula>
    </cfRule>
    <cfRule type="cellIs" dxfId="904" priority="906" stopIfTrue="1" operator="equal">
      <formula>"Fail"</formula>
    </cfRule>
  </conditionalFormatting>
  <conditionalFormatting sqref="V717:V719">
    <cfRule type="cellIs" dxfId="903" priority="903" stopIfTrue="1" operator="equal">
      <formula>"Fail"</formula>
    </cfRule>
    <cfRule type="cellIs" dxfId="902" priority="904" stopIfTrue="1" operator="equal">
      <formula>"Pass"</formula>
    </cfRule>
  </conditionalFormatting>
  <conditionalFormatting sqref="V720:V722">
    <cfRule type="cellIs" dxfId="901" priority="901" stopIfTrue="1" operator="equal">
      <formula>"Fail"</formula>
    </cfRule>
    <cfRule type="cellIs" dxfId="900" priority="902" stopIfTrue="1" operator="equal">
      <formula>"Pass"</formula>
    </cfRule>
  </conditionalFormatting>
  <conditionalFormatting sqref="J720:L721">
    <cfRule type="cellIs" dxfId="899" priority="899" stopIfTrue="1" operator="equal">
      <formula>"Pass"</formula>
    </cfRule>
    <cfRule type="cellIs" dxfId="898" priority="900" stopIfTrue="1" operator="equal">
      <formula>"Fail"</formula>
    </cfRule>
  </conditionalFormatting>
  <conditionalFormatting sqref="I722 I720">
    <cfRule type="cellIs" dxfId="897" priority="897" stopIfTrue="1" operator="equal">
      <formula>"Pass"</formula>
    </cfRule>
    <cfRule type="cellIs" dxfId="896" priority="898" stopIfTrue="1" operator="equal">
      <formula>"Fail"</formula>
    </cfRule>
  </conditionalFormatting>
  <conditionalFormatting sqref="V720:V722">
    <cfRule type="cellIs" dxfId="895" priority="895" stopIfTrue="1" operator="equal">
      <formula>"Fail"</formula>
    </cfRule>
    <cfRule type="cellIs" dxfId="894" priority="896" stopIfTrue="1" operator="equal">
      <formula>"Pass"</formula>
    </cfRule>
  </conditionalFormatting>
  <conditionalFormatting sqref="V720:V722">
    <cfRule type="cellIs" dxfId="893" priority="893" stopIfTrue="1" operator="equal">
      <formula>"Fail"</formula>
    </cfRule>
    <cfRule type="cellIs" dxfId="892" priority="894" stopIfTrue="1" operator="equal">
      <formula>"Pass"</formula>
    </cfRule>
  </conditionalFormatting>
  <conditionalFormatting sqref="I721">
    <cfRule type="cellIs" dxfId="891" priority="891" stopIfTrue="1" operator="equal">
      <formula>"Pass"</formula>
    </cfRule>
    <cfRule type="cellIs" dxfId="890" priority="892" stopIfTrue="1" operator="equal">
      <formula>"Fail"</formula>
    </cfRule>
  </conditionalFormatting>
  <conditionalFormatting sqref="I720:L721">
    <cfRule type="cellIs" dxfId="889" priority="889" stopIfTrue="1" operator="equal">
      <formula>"Pass"</formula>
    </cfRule>
    <cfRule type="cellIs" dxfId="888" priority="890" stopIfTrue="1" operator="equal">
      <formula>"Fail"</formula>
    </cfRule>
  </conditionalFormatting>
  <conditionalFormatting sqref="V720:V722">
    <cfRule type="cellIs" dxfId="887" priority="887" stopIfTrue="1" operator="equal">
      <formula>"Fail"</formula>
    </cfRule>
    <cfRule type="cellIs" dxfId="886" priority="888" stopIfTrue="1" operator="equal">
      <formula>"Pass"</formula>
    </cfRule>
  </conditionalFormatting>
  <conditionalFormatting sqref="V720">
    <cfRule type="cellIs" dxfId="885" priority="885" stopIfTrue="1" operator="equal">
      <formula>"Fail"</formula>
    </cfRule>
    <cfRule type="cellIs" dxfId="884" priority="886" stopIfTrue="1" operator="equal">
      <formula>"Pass"</formula>
    </cfRule>
  </conditionalFormatting>
  <conditionalFormatting sqref="J720:L721">
    <cfRule type="cellIs" dxfId="883" priority="883" stopIfTrue="1" operator="equal">
      <formula>"Pass"</formula>
    </cfRule>
    <cfRule type="cellIs" dxfId="882" priority="884" stopIfTrue="1" operator="equal">
      <formula>"Fail"</formula>
    </cfRule>
  </conditionalFormatting>
  <conditionalFormatting sqref="I720">
    <cfRule type="cellIs" dxfId="881" priority="881" stopIfTrue="1" operator="equal">
      <formula>"Pass"</formula>
    </cfRule>
    <cfRule type="cellIs" dxfId="880" priority="882" stopIfTrue="1" operator="equal">
      <formula>"Fail"</formula>
    </cfRule>
  </conditionalFormatting>
  <conditionalFormatting sqref="I721">
    <cfRule type="cellIs" dxfId="879" priority="879" stopIfTrue="1" operator="equal">
      <formula>"Pass"</formula>
    </cfRule>
    <cfRule type="cellIs" dxfId="878" priority="880" stopIfTrue="1" operator="equal">
      <formula>"Fail"</formula>
    </cfRule>
  </conditionalFormatting>
  <conditionalFormatting sqref="I720:L721">
    <cfRule type="cellIs" dxfId="877" priority="877" stopIfTrue="1" operator="equal">
      <formula>"Pass"</formula>
    </cfRule>
    <cfRule type="cellIs" dxfId="876" priority="878" stopIfTrue="1" operator="equal">
      <formula>"Fail"</formula>
    </cfRule>
  </conditionalFormatting>
  <conditionalFormatting sqref="J723:L724 I723:I725">
    <cfRule type="cellIs" dxfId="875" priority="875" stopIfTrue="1" operator="equal">
      <formula>"Pass"</formula>
    </cfRule>
    <cfRule type="cellIs" dxfId="874" priority="876" stopIfTrue="1" operator="equal">
      <formula>"Fail"</formula>
    </cfRule>
  </conditionalFormatting>
  <conditionalFormatting sqref="V723:V725">
    <cfRule type="cellIs" dxfId="873" priority="873" stopIfTrue="1" operator="equal">
      <formula>"Fail"</formula>
    </cfRule>
    <cfRule type="cellIs" dxfId="872" priority="874" stopIfTrue="1" operator="equal">
      <formula>"Pass"</formula>
    </cfRule>
  </conditionalFormatting>
  <conditionalFormatting sqref="V726:V728">
    <cfRule type="cellIs" dxfId="871" priority="871" stopIfTrue="1" operator="equal">
      <formula>"Fail"</formula>
    </cfRule>
    <cfRule type="cellIs" dxfId="870" priority="872" stopIfTrue="1" operator="equal">
      <formula>"Pass"</formula>
    </cfRule>
  </conditionalFormatting>
  <conditionalFormatting sqref="J726:L727">
    <cfRule type="cellIs" dxfId="869" priority="869" stopIfTrue="1" operator="equal">
      <formula>"Pass"</formula>
    </cfRule>
    <cfRule type="cellIs" dxfId="868" priority="870" stopIfTrue="1" operator="equal">
      <formula>"Fail"</formula>
    </cfRule>
  </conditionalFormatting>
  <conditionalFormatting sqref="I728 I726">
    <cfRule type="cellIs" dxfId="867" priority="867" stopIfTrue="1" operator="equal">
      <formula>"Pass"</formula>
    </cfRule>
    <cfRule type="cellIs" dxfId="866" priority="868" stopIfTrue="1" operator="equal">
      <formula>"Fail"</formula>
    </cfRule>
  </conditionalFormatting>
  <conditionalFormatting sqref="V726:V728">
    <cfRule type="cellIs" dxfId="865" priority="865" stopIfTrue="1" operator="equal">
      <formula>"Fail"</formula>
    </cfRule>
    <cfRule type="cellIs" dxfId="864" priority="866" stopIfTrue="1" operator="equal">
      <formula>"Pass"</formula>
    </cfRule>
  </conditionalFormatting>
  <conditionalFormatting sqref="V726:V728">
    <cfRule type="cellIs" dxfId="863" priority="863" stopIfTrue="1" operator="equal">
      <formula>"Fail"</formula>
    </cfRule>
    <cfRule type="cellIs" dxfId="862" priority="864" stopIfTrue="1" operator="equal">
      <formula>"Pass"</formula>
    </cfRule>
  </conditionalFormatting>
  <conditionalFormatting sqref="I727">
    <cfRule type="cellIs" dxfId="861" priority="861" stopIfTrue="1" operator="equal">
      <formula>"Pass"</formula>
    </cfRule>
    <cfRule type="cellIs" dxfId="860" priority="862" stopIfTrue="1" operator="equal">
      <formula>"Fail"</formula>
    </cfRule>
  </conditionalFormatting>
  <conditionalFormatting sqref="I726:L727">
    <cfRule type="cellIs" dxfId="859" priority="859" stopIfTrue="1" operator="equal">
      <formula>"Pass"</formula>
    </cfRule>
    <cfRule type="cellIs" dxfId="858" priority="860" stopIfTrue="1" operator="equal">
      <formula>"Fail"</formula>
    </cfRule>
  </conditionalFormatting>
  <conditionalFormatting sqref="V726:V728">
    <cfRule type="cellIs" dxfId="857" priority="857" stopIfTrue="1" operator="equal">
      <formula>"Fail"</formula>
    </cfRule>
    <cfRule type="cellIs" dxfId="856" priority="858" stopIfTrue="1" operator="equal">
      <formula>"Pass"</formula>
    </cfRule>
  </conditionalFormatting>
  <conditionalFormatting sqref="V726">
    <cfRule type="cellIs" dxfId="855" priority="855" stopIfTrue="1" operator="equal">
      <formula>"Fail"</formula>
    </cfRule>
    <cfRule type="cellIs" dxfId="854" priority="856" stopIfTrue="1" operator="equal">
      <formula>"Pass"</formula>
    </cfRule>
  </conditionalFormatting>
  <conditionalFormatting sqref="J726:L727">
    <cfRule type="cellIs" dxfId="853" priority="853" stopIfTrue="1" operator="equal">
      <formula>"Pass"</formula>
    </cfRule>
    <cfRule type="cellIs" dxfId="852" priority="854" stopIfTrue="1" operator="equal">
      <formula>"Fail"</formula>
    </cfRule>
  </conditionalFormatting>
  <conditionalFormatting sqref="I726">
    <cfRule type="cellIs" dxfId="851" priority="851" stopIfTrue="1" operator="equal">
      <formula>"Pass"</formula>
    </cfRule>
    <cfRule type="cellIs" dxfId="850" priority="852" stopIfTrue="1" operator="equal">
      <formula>"Fail"</formula>
    </cfRule>
  </conditionalFormatting>
  <conditionalFormatting sqref="I727">
    <cfRule type="cellIs" dxfId="849" priority="849" stopIfTrue="1" operator="equal">
      <formula>"Pass"</formula>
    </cfRule>
    <cfRule type="cellIs" dxfId="848" priority="850" stopIfTrue="1" operator="equal">
      <formula>"Fail"</formula>
    </cfRule>
  </conditionalFormatting>
  <conditionalFormatting sqref="I726:L727">
    <cfRule type="cellIs" dxfId="847" priority="847" stopIfTrue="1" operator="equal">
      <formula>"Pass"</formula>
    </cfRule>
    <cfRule type="cellIs" dxfId="846" priority="848" stopIfTrue="1" operator="equal">
      <formula>"Fail"</formula>
    </cfRule>
  </conditionalFormatting>
  <conditionalFormatting sqref="J729:L730 I729:I731">
    <cfRule type="cellIs" dxfId="845" priority="845" stopIfTrue="1" operator="equal">
      <formula>"Pass"</formula>
    </cfRule>
    <cfRule type="cellIs" dxfId="844" priority="846" stopIfTrue="1" operator="equal">
      <formula>"Fail"</formula>
    </cfRule>
  </conditionalFormatting>
  <conditionalFormatting sqref="V729:V731">
    <cfRule type="cellIs" dxfId="843" priority="843" stopIfTrue="1" operator="equal">
      <formula>"Fail"</formula>
    </cfRule>
    <cfRule type="cellIs" dxfId="842" priority="844" stopIfTrue="1" operator="equal">
      <formula>"Pass"</formula>
    </cfRule>
  </conditionalFormatting>
  <conditionalFormatting sqref="I729:L729">
    <cfRule type="cellIs" dxfId="841" priority="841" stopIfTrue="1" operator="equal">
      <formula>"Pass"</formula>
    </cfRule>
    <cfRule type="cellIs" dxfId="840" priority="842" stopIfTrue="1" operator="equal">
      <formula>"Fail"</formula>
    </cfRule>
  </conditionalFormatting>
  <conditionalFormatting sqref="V732:V734">
    <cfRule type="cellIs" dxfId="839" priority="839" stopIfTrue="1" operator="equal">
      <formula>"Fail"</formula>
    </cfRule>
    <cfRule type="cellIs" dxfId="838" priority="840" stopIfTrue="1" operator="equal">
      <formula>"Pass"</formula>
    </cfRule>
  </conditionalFormatting>
  <conditionalFormatting sqref="J732:L733">
    <cfRule type="cellIs" dxfId="837" priority="837" stopIfTrue="1" operator="equal">
      <formula>"Pass"</formula>
    </cfRule>
    <cfRule type="cellIs" dxfId="836" priority="838" stopIfTrue="1" operator="equal">
      <formula>"Fail"</formula>
    </cfRule>
  </conditionalFormatting>
  <conditionalFormatting sqref="I734 I732">
    <cfRule type="cellIs" dxfId="835" priority="835" stopIfTrue="1" operator="equal">
      <formula>"Pass"</formula>
    </cfRule>
    <cfRule type="cellIs" dxfId="834" priority="836" stopIfTrue="1" operator="equal">
      <formula>"Fail"</formula>
    </cfRule>
  </conditionalFormatting>
  <conditionalFormatting sqref="V732:V734">
    <cfRule type="cellIs" dxfId="833" priority="833" stopIfTrue="1" operator="equal">
      <formula>"Fail"</formula>
    </cfRule>
    <cfRule type="cellIs" dxfId="832" priority="834" stopIfTrue="1" operator="equal">
      <formula>"Pass"</formula>
    </cfRule>
  </conditionalFormatting>
  <conditionalFormatting sqref="V732:V734">
    <cfRule type="cellIs" dxfId="831" priority="831" stopIfTrue="1" operator="equal">
      <formula>"Fail"</formula>
    </cfRule>
    <cfRule type="cellIs" dxfId="830" priority="832" stopIfTrue="1" operator="equal">
      <formula>"Pass"</formula>
    </cfRule>
  </conditionalFormatting>
  <conditionalFormatting sqref="I733">
    <cfRule type="cellIs" dxfId="829" priority="829" stopIfTrue="1" operator="equal">
      <formula>"Pass"</formula>
    </cfRule>
    <cfRule type="cellIs" dxfId="828" priority="830" stopIfTrue="1" operator="equal">
      <formula>"Fail"</formula>
    </cfRule>
  </conditionalFormatting>
  <conditionalFormatting sqref="I732:L733">
    <cfRule type="cellIs" dxfId="827" priority="827" stopIfTrue="1" operator="equal">
      <formula>"Pass"</formula>
    </cfRule>
    <cfRule type="cellIs" dxfId="826" priority="828" stopIfTrue="1" operator="equal">
      <formula>"Fail"</formula>
    </cfRule>
  </conditionalFormatting>
  <conditionalFormatting sqref="V732:V734">
    <cfRule type="cellIs" dxfId="825" priority="825" stopIfTrue="1" operator="equal">
      <formula>"Fail"</formula>
    </cfRule>
    <cfRule type="cellIs" dxfId="824" priority="826" stopIfTrue="1" operator="equal">
      <formula>"Pass"</formula>
    </cfRule>
  </conditionalFormatting>
  <conditionalFormatting sqref="V732">
    <cfRule type="cellIs" dxfId="823" priority="823" stopIfTrue="1" operator="equal">
      <formula>"Fail"</formula>
    </cfRule>
    <cfRule type="cellIs" dxfId="822" priority="824" stopIfTrue="1" operator="equal">
      <formula>"Pass"</formula>
    </cfRule>
  </conditionalFormatting>
  <conditionalFormatting sqref="J732:L733">
    <cfRule type="cellIs" dxfId="821" priority="821" stopIfTrue="1" operator="equal">
      <formula>"Pass"</formula>
    </cfRule>
    <cfRule type="cellIs" dxfId="820" priority="822" stopIfTrue="1" operator="equal">
      <formula>"Fail"</formula>
    </cfRule>
  </conditionalFormatting>
  <conditionalFormatting sqref="I732">
    <cfRule type="cellIs" dxfId="819" priority="819" stopIfTrue="1" operator="equal">
      <formula>"Pass"</formula>
    </cfRule>
    <cfRule type="cellIs" dxfId="818" priority="820" stopIfTrue="1" operator="equal">
      <formula>"Fail"</formula>
    </cfRule>
  </conditionalFormatting>
  <conditionalFormatting sqref="I733">
    <cfRule type="cellIs" dxfId="817" priority="817" stopIfTrue="1" operator="equal">
      <formula>"Pass"</formula>
    </cfRule>
    <cfRule type="cellIs" dxfId="816" priority="818" stopIfTrue="1" operator="equal">
      <formula>"Fail"</formula>
    </cfRule>
  </conditionalFormatting>
  <conditionalFormatting sqref="I732:L733">
    <cfRule type="cellIs" dxfId="815" priority="815" stopIfTrue="1" operator="equal">
      <formula>"Pass"</formula>
    </cfRule>
    <cfRule type="cellIs" dxfId="814" priority="816" stopIfTrue="1" operator="equal">
      <formula>"Fail"</formula>
    </cfRule>
  </conditionalFormatting>
  <conditionalFormatting sqref="J735:L736 I735:I737">
    <cfRule type="cellIs" dxfId="813" priority="813" stopIfTrue="1" operator="equal">
      <formula>"Pass"</formula>
    </cfRule>
    <cfRule type="cellIs" dxfId="812" priority="814" stopIfTrue="1" operator="equal">
      <formula>"Fail"</formula>
    </cfRule>
  </conditionalFormatting>
  <conditionalFormatting sqref="V735:V737">
    <cfRule type="cellIs" dxfId="811" priority="811" stopIfTrue="1" operator="equal">
      <formula>"Fail"</formula>
    </cfRule>
    <cfRule type="cellIs" dxfId="810" priority="812" stopIfTrue="1" operator="equal">
      <formula>"Pass"</formula>
    </cfRule>
  </conditionalFormatting>
  <conditionalFormatting sqref="I735:L735">
    <cfRule type="cellIs" dxfId="809" priority="809" stopIfTrue="1" operator="equal">
      <formula>"Pass"</formula>
    </cfRule>
    <cfRule type="cellIs" dxfId="808" priority="810" stopIfTrue="1" operator="equal">
      <formula>"Fail"</formula>
    </cfRule>
  </conditionalFormatting>
  <conditionalFormatting sqref="A732">
    <cfRule type="cellIs" dxfId="807" priority="808" stopIfTrue="1" operator="equal">
      <formula>TODAY()</formula>
    </cfRule>
  </conditionalFormatting>
  <conditionalFormatting sqref="A735">
    <cfRule type="cellIs" dxfId="806" priority="807" stopIfTrue="1" operator="equal">
      <formula>TODAY()</formula>
    </cfRule>
  </conditionalFormatting>
  <conditionalFormatting sqref="V738:V740">
    <cfRule type="cellIs" dxfId="805" priority="805" stopIfTrue="1" operator="equal">
      <formula>"Fail"</formula>
    </cfRule>
    <cfRule type="cellIs" dxfId="804" priority="806" stopIfTrue="1" operator="equal">
      <formula>"Pass"</formula>
    </cfRule>
  </conditionalFormatting>
  <conditionalFormatting sqref="J738:L739">
    <cfRule type="cellIs" dxfId="803" priority="803" stopIfTrue="1" operator="equal">
      <formula>"Pass"</formula>
    </cfRule>
    <cfRule type="cellIs" dxfId="802" priority="804" stopIfTrue="1" operator="equal">
      <formula>"Fail"</formula>
    </cfRule>
  </conditionalFormatting>
  <conditionalFormatting sqref="I740 I738">
    <cfRule type="cellIs" dxfId="801" priority="801" stopIfTrue="1" operator="equal">
      <formula>"Pass"</formula>
    </cfRule>
    <cfRule type="cellIs" dxfId="800" priority="802" stopIfTrue="1" operator="equal">
      <formula>"Fail"</formula>
    </cfRule>
  </conditionalFormatting>
  <conditionalFormatting sqref="V738:V740">
    <cfRule type="cellIs" dxfId="799" priority="799" stopIfTrue="1" operator="equal">
      <formula>"Fail"</formula>
    </cfRule>
    <cfRule type="cellIs" dxfId="798" priority="800" stopIfTrue="1" operator="equal">
      <formula>"Pass"</formula>
    </cfRule>
  </conditionalFormatting>
  <conditionalFormatting sqref="V738:V740">
    <cfRule type="cellIs" dxfId="797" priority="797" stopIfTrue="1" operator="equal">
      <formula>"Fail"</formula>
    </cfRule>
    <cfRule type="cellIs" dxfId="796" priority="798" stopIfTrue="1" operator="equal">
      <formula>"Pass"</formula>
    </cfRule>
  </conditionalFormatting>
  <conditionalFormatting sqref="I739">
    <cfRule type="cellIs" dxfId="795" priority="795" stopIfTrue="1" operator="equal">
      <formula>"Pass"</formula>
    </cfRule>
    <cfRule type="cellIs" dxfId="794" priority="796" stopIfTrue="1" operator="equal">
      <formula>"Fail"</formula>
    </cfRule>
  </conditionalFormatting>
  <conditionalFormatting sqref="I738:L739">
    <cfRule type="cellIs" dxfId="793" priority="793" stopIfTrue="1" operator="equal">
      <formula>"Pass"</formula>
    </cfRule>
    <cfRule type="cellIs" dxfId="792" priority="794" stopIfTrue="1" operator="equal">
      <formula>"Fail"</formula>
    </cfRule>
  </conditionalFormatting>
  <conditionalFormatting sqref="V738:V740">
    <cfRule type="cellIs" dxfId="791" priority="791" stopIfTrue="1" operator="equal">
      <formula>"Fail"</formula>
    </cfRule>
    <cfRule type="cellIs" dxfId="790" priority="792" stopIfTrue="1" operator="equal">
      <formula>"Pass"</formula>
    </cfRule>
  </conditionalFormatting>
  <conditionalFormatting sqref="V738">
    <cfRule type="cellIs" dxfId="789" priority="789" stopIfTrue="1" operator="equal">
      <formula>"Fail"</formula>
    </cfRule>
    <cfRule type="cellIs" dxfId="788" priority="790" stopIfTrue="1" operator="equal">
      <formula>"Pass"</formula>
    </cfRule>
  </conditionalFormatting>
  <conditionalFormatting sqref="J738:L739">
    <cfRule type="cellIs" dxfId="787" priority="787" stopIfTrue="1" operator="equal">
      <formula>"Pass"</formula>
    </cfRule>
    <cfRule type="cellIs" dxfId="786" priority="788" stopIfTrue="1" operator="equal">
      <formula>"Fail"</formula>
    </cfRule>
  </conditionalFormatting>
  <conditionalFormatting sqref="I738">
    <cfRule type="cellIs" dxfId="785" priority="785" stopIfTrue="1" operator="equal">
      <formula>"Pass"</formula>
    </cfRule>
    <cfRule type="cellIs" dxfId="784" priority="786" stopIfTrue="1" operator="equal">
      <formula>"Fail"</formula>
    </cfRule>
  </conditionalFormatting>
  <conditionalFormatting sqref="I739">
    <cfRule type="cellIs" dxfId="783" priority="783" stopIfTrue="1" operator="equal">
      <formula>"Pass"</formula>
    </cfRule>
    <cfRule type="cellIs" dxfId="782" priority="784" stopIfTrue="1" operator="equal">
      <formula>"Fail"</formula>
    </cfRule>
  </conditionalFormatting>
  <conditionalFormatting sqref="I738:L739">
    <cfRule type="cellIs" dxfId="781" priority="781" stopIfTrue="1" operator="equal">
      <formula>"Pass"</formula>
    </cfRule>
    <cfRule type="cellIs" dxfId="780" priority="782" stopIfTrue="1" operator="equal">
      <formula>"Fail"</formula>
    </cfRule>
  </conditionalFormatting>
  <conditionalFormatting sqref="J741:L742 I741:I743">
    <cfRule type="cellIs" dxfId="779" priority="779" stopIfTrue="1" operator="equal">
      <formula>"Pass"</formula>
    </cfRule>
    <cfRule type="cellIs" dxfId="778" priority="780" stopIfTrue="1" operator="equal">
      <formula>"Fail"</formula>
    </cfRule>
  </conditionalFormatting>
  <conditionalFormatting sqref="V741:V743">
    <cfRule type="cellIs" dxfId="777" priority="777" stopIfTrue="1" operator="equal">
      <formula>"Fail"</formula>
    </cfRule>
    <cfRule type="cellIs" dxfId="776" priority="778" stopIfTrue="1" operator="equal">
      <formula>"Pass"</formula>
    </cfRule>
  </conditionalFormatting>
  <conditionalFormatting sqref="I741:L741">
    <cfRule type="cellIs" dxfId="775" priority="775" stopIfTrue="1" operator="equal">
      <formula>"Pass"</formula>
    </cfRule>
    <cfRule type="cellIs" dxfId="774" priority="776" stopIfTrue="1" operator="equal">
      <formula>"Fail"</formula>
    </cfRule>
  </conditionalFormatting>
  <conditionalFormatting sqref="A738">
    <cfRule type="cellIs" dxfId="773" priority="774" stopIfTrue="1" operator="equal">
      <formula>TODAY()</formula>
    </cfRule>
  </conditionalFormatting>
  <conditionalFormatting sqref="A741">
    <cfRule type="cellIs" dxfId="772" priority="773" stopIfTrue="1" operator="equal">
      <formula>TODAY()</formula>
    </cfRule>
  </conditionalFormatting>
  <conditionalFormatting sqref="J746:L746">
    <cfRule type="cellIs" dxfId="771" priority="771" stopIfTrue="1" operator="equal">
      <formula>"Pass"</formula>
    </cfRule>
    <cfRule type="cellIs" dxfId="770" priority="772" stopIfTrue="1" operator="equal">
      <formula>"Fail"</formula>
    </cfRule>
  </conditionalFormatting>
  <conditionalFormatting sqref="I746">
    <cfRule type="cellIs" dxfId="769" priority="769" stopIfTrue="1" operator="equal">
      <formula>"Pass"</formula>
    </cfRule>
    <cfRule type="cellIs" dxfId="768" priority="770" stopIfTrue="1" operator="equal">
      <formula>"Fail"</formula>
    </cfRule>
  </conditionalFormatting>
  <conditionalFormatting sqref="I746:L746">
    <cfRule type="cellIs" dxfId="767" priority="767" stopIfTrue="1" operator="equal">
      <formula>"Pass"</formula>
    </cfRule>
    <cfRule type="cellIs" dxfId="766" priority="768" stopIfTrue="1" operator="equal">
      <formula>"Fail"</formula>
    </cfRule>
  </conditionalFormatting>
  <conditionalFormatting sqref="J746:L746">
    <cfRule type="cellIs" dxfId="765" priority="765" stopIfTrue="1" operator="equal">
      <formula>"Pass"</formula>
    </cfRule>
    <cfRule type="cellIs" dxfId="764" priority="766" stopIfTrue="1" operator="equal">
      <formula>"Fail"</formula>
    </cfRule>
  </conditionalFormatting>
  <conditionalFormatting sqref="I746">
    <cfRule type="cellIs" dxfId="763" priority="763" stopIfTrue="1" operator="equal">
      <formula>"Pass"</formula>
    </cfRule>
    <cfRule type="cellIs" dxfId="762" priority="764" stopIfTrue="1" operator="equal">
      <formula>"Fail"</formula>
    </cfRule>
  </conditionalFormatting>
  <conditionalFormatting sqref="I746:L746">
    <cfRule type="cellIs" dxfId="761" priority="761" stopIfTrue="1" operator="equal">
      <formula>"Pass"</formula>
    </cfRule>
    <cfRule type="cellIs" dxfId="760" priority="762" stopIfTrue="1" operator="equal">
      <formula>"Fail"</formula>
    </cfRule>
  </conditionalFormatting>
  <conditionalFormatting sqref="V744:V746">
    <cfRule type="cellIs" dxfId="759" priority="759" stopIfTrue="1" operator="equal">
      <formula>"Fail"</formula>
    </cfRule>
    <cfRule type="cellIs" dxfId="758" priority="760" stopIfTrue="1" operator="equal">
      <formula>"Pass"</formula>
    </cfRule>
  </conditionalFormatting>
  <conditionalFormatting sqref="J744:L745">
    <cfRule type="cellIs" dxfId="757" priority="757" stopIfTrue="1" operator="equal">
      <formula>"Pass"</formula>
    </cfRule>
    <cfRule type="cellIs" dxfId="756" priority="758" stopIfTrue="1" operator="equal">
      <formula>"Fail"</formula>
    </cfRule>
  </conditionalFormatting>
  <conditionalFormatting sqref="I746 I744">
    <cfRule type="cellIs" dxfId="755" priority="755" stopIfTrue="1" operator="equal">
      <formula>"Pass"</formula>
    </cfRule>
    <cfRule type="cellIs" dxfId="754" priority="756" stopIfTrue="1" operator="equal">
      <formula>"Fail"</formula>
    </cfRule>
  </conditionalFormatting>
  <conditionalFormatting sqref="V744:V746">
    <cfRule type="cellIs" dxfId="753" priority="753" stopIfTrue="1" operator="equal">
      <formula>"Fail"</formula>
    </cfRule>
    <cfRule type="cellIs" dxfId="752" priority="754" stopIfTrue="1" operator="equal">
      <formula>"Pass"</formula>
    </cfRule>
  </conditionalFormatting>
  <conditionalFormatting sqref="V744:V746">
    <cfRule type="cellIs" dxfId="751" priority="751" stopIfTrue="1" operator="equal">
      <formula>"Fail"</formula>
    </cfRule>
    <cfRule type="cellIs" dxfId="750" priority="752" stopIfTrue="1" operator="equal">
      <formula>"Pass"</formula>
    </cfRule>
  </conditionalFormatting>
  <conditionalFormatting sqref="I745">
    <cfRule type="cellIs" dxfId="749" priority="749" stopIfTrue="1" operator="equal">
      <formula>"Pass"</formula>
    </cfRule>
    <cfRule type="cellIs" dxfId="748" priority="750" stopIfTrue="1" operator="equal">
      <formula>"Fail"</formula>
    </cfRule>
  </conditionalFormatting>
  <conditionalFormatting sqref="I744:L745">
    <cfRule type="cellIs" dxfId="747" priority="747" stopIfTrue="1" operator="equal">
      <formula>"Pass"</formula>
    </cfRule>
    <cfRule type="cellIs" dxfId="746" priority="748" stopIfTrue="1" operator="equal">
      <formula>"Fail"</formula>
    </cfRule>
  </conditionalFormatting>
  <conditionalFormatting sqref="V744:V746">
    <cfRule type="cellIs" dxfId="745" priority="745" stopIfTrue="1" operator="equal">
      <formula>"Fail"</formula>
    </cfRule>
    <cfRule type="cellIs" dxfId="744" priority="746" stopIfTrue="1" operator="equal">
      <formula>"Pass"</formula>
    </cfRule>
  </conditionalFormatting>
  <conditionalFormatting sqref="V744">
    <cfRule type="cellIs" dxfId="743" priority="743" stopIfTrue="1" operator="equal">
      <formula>"Fail"</formula>
    </cfRule>
    <cfRule type="cellIs" dxfId="742" priority="744" stopIfTrue="1" operator="equal">
      <formula>"Pass"</formula>
    </cfRule>
  </conditionalFormatting>
  <conditionalFormatting sqref="J744:L745">
    <cfRule type="cellIs" dxfId="741" priority="741" stopIfTrue="1" operator="equal">
      <formula>"Pass"</formula>
    </cfRule>
    <cfRule type="cellIs" dxfId="740" priority="742" stopIfTrue="1" operator="equal">
      <formula>"Fail"</formula>
    </cfRule>
  </conditionalFormatting>
  <conditionalFormatting sqref="I744">
    <cfRule type="cellIs" dxfId="739" priority="739" stopIfTrue="1" operator="equal">
      <formula>"Pass"</formula>
    </cfRule>
    <cfRule type="cellIs" dxfId="738" priority="740" stopIfTrue="1" operator="equal">
      <formula>"Fail"</formula>
    </cfRule>
  </conditionalFormatting>
  <conditionalFormatting sqref="I745">
    <cfRule type="cellIs" dxfId="737" priority="737" stopIfTrue="1" operator="equal">
      <formula>"Pass"</formula>
    </cfRule>
    <cfRule type="cellIs" dxfId="736" priority="738" stopIfTrue="1" operator="equal">
      <formula>"Fail"</formula>
    </cfRule>
  </conditionalFormatting>
  <conditionalFormatting sqref="I744:L745">
    <cfRule type="cellIs" dxfId="735" priority="735" stopIfTrue="1" operator="equal">
      <formula>"Pass"</formula>
    </cfRule>
    <cfRule type="cellIs" dxfId="734" priority="736" stopIfTrue="1" operator="equal">
      <formula>"Fail"</formula>
    </cfRule>
  </conditionalFormatting>
  <conditionalFormatting sqref="J747:L748 I747:I749">
    <cfRule type="cellIs" dxfId="733" priority="733" stopIfTrue="1" operator="equal">
      <formula>"Pass"</formula>
    </cfRule>
    <cfRule type="cellIs" dxfId="732" priority="734" stopIfTrue="1" operator="equal">
      <formula>"Fail"</formula>
    </cfRule>
  </conditionalFormatting>
  <conditionalFormatting sqref="V747:V749">
    <cfRule type="cellIs" dxfId="731" priority="731" stopIfTrue="1" operator="equal">
      <formula>"Fail"</formula>
    </cfRule>
    <cfRule type="cellIs" dxfId="730" priority="732" stopIfTrue="1" operator="equal">
      <formula>"Pass"</formula>
    </cfRule>
  </conditionalFormatting>
  <conditionalFormatting sqref="I747:L747">
    <cfRule type="cellIs" dxfId="729" priority="729" stopIfTrue="1" operator="equal">
      <formula>"Pass"</formula>
    </cfRule>
    <cfRule type="cellIs" dxfId="728" priority="730" stopIfTrue="1" operator="equal">
      <formula>"Fail"</formula>
    </cfRule>
  </conditionalFormatting>
  <conditionalFormatting sqref="A744">
    <cfRule type="cellIs" dxfId="727" priority="728" stopIfTrue="1" operator="equal">
      <formula>TODAY()</formula>
    </cfRule>
  </conditionalFormatting>
  <conditionalFormatting sqref="A747">
    <cfRule type="cellIs" dxfId="726" priority="727" stopIfTrue="1" operator="equal">
      <formula>TODAY()</formula>
    </cfRule>
  </conditionalFormatting>
  <conditionalFormatting sqref="J752:L752">
    <cfRule type="cellIs" dxfId="725" priority="725" stopIfTrue="1" operator="equal">
      <formula>"Pass"</formula>
    </cfRule>
    <cfRule type="cellIs" dxfId="724" priority="726" stopIfTrue="1" operator="equal">
      <formula>"Fail"</formula>
    </cfRule>
  </conditionalFormatting>
  <conditionalFormatting sqref="I752">
    <cfRule type="cellIs" dxfId="723" priority="723" stopIfTrue="1" operator="equal">
      <formula>"Pass"</formula>
    </cfRule>
    <cfRule type="cellIs" dxfId="722" priority="724" stopIfTrue="1" operator="equal">
      <formula>"Fail"</formula>
    </cfRule>
  </conditionalFormatting>
  <conditionalFormatting sqref="I752:L752">
    <cfRule type="cellIs" dxfId="721" priority="721" stopIfTrue="1" operator="equal">
      <formula>"Pass"</formula>
    </cfRule>
    <cfRule type="cellIs" dxfId="720" priority="722" stopIfTrue="1" operator="equal">
      <formula>"Fail"</formula>
    </cfRule>
  </conditionalFormatting>
  <conditionalFormatting sqref="J752:L752">
    <cfRule type="cellIs" dxfId="719" priority="719" stopIfTrue="1" operator="equal">
      <formula>"Pass"</formula>
    </cfRule>
    <cfRule type="cellIs" dxfId="718" priority="720" stopIfTrue="1" operator="equal">
      <formula>"Fail"</formula>
    </cfRule>
  </conditionalFormatting>
  <conditionalFormatting sqref="I752">
    <cfRule type="cellIs" dxfId="717" priority="717" stopIfTrue="1" operator="equal">
      <formula>"Pass"</formula>
    </cfRule>
    <cfRule type="cellIs" dxfId="716" priority="718" stopIfTrue="1" operator="equal">
      <formula>"Fail"</formula>
    </cfRule>
  </conditionalFormatting>
  <conditionalFormatting sqref="I752:L752">
    <cfRule type="cellIs" dxfId="715" priority="715" stopIfTrue="1" operator="equal">
      <formula>"Pass"</formula>
    </cfRule>
    <cfRule type="cellIs" dxfId="714" priority="716" stopIfTrue="1" operator="equal">
      <formula>"Fail"</formula>
    </cfRule>
  </conditionalFormatting>
  <conditionalFormatting sqref="V750:V752">
    <cfRule type="cellIs" dxfId="713" priority="713" stopIfTrue="1" operator="equal">
      <formula>"Fail"</formula>
    </cfRule>
    <cfRule type="cellIs" dxfId="712" priority="714" stopIfTrue="1" operator="equal">
      <formula>"Pass"</formula>
    </cfRule>
  </conditionalFormatting>
  <conditionalFormatting sqref="J750:L751">
    <cfRule type="cellIs" dxfId="711" priority="711" stopIfTrue="1" operator="equal">
      <formula>"Pass"</formula>
    </cfRule>
    <cfRule type="cellIs" dxfId="710" priority="712" stopIfTrue="1" operator="equal">
      <formula>"Fail"</formula>
    </cfRule>
  </conditionalFormatting>
  <conditionalFormatting sqref="I752 I750">
    <cfRule type="cellIs" dxfId="709" priority="709" stopIfTrue="1" operator="equal">
      <formula>"Pass"</formula>
    </cfRule>
    <cfRule type="cellIs" dxfId="708" priority="710" stopIfTrue="1" operator="equal">
      <formula>"Fail"</formula>
    </cfRule>
  </conditionalFormatting>
  <conditionalFormatting sqref="V750:V752">
    <cfRule type="cellIs" dxfId="707" priority="707" stopIfTrue="1" operator="equal">
      <formula>"Fail"</formula>
    </cfRule>
    <cfRule type="cellIs" dxfId="706" priority="708" stopIfTrue="1" operator="equal">
      <formula>"Pass"</formula>
    </cfRule>
  </conditionalFormatting>
  <conditionalFormatting sqref="V750:V752">
    <cfRule type="cellIs" dxfId="705" priority="705" stopIfTrue="1" operator="equal">
      <formula>"Fail"</formula>
    </cfRule>
    <cfRule type="cellIs" dxfId="704" priority="706" stopIfTrue="1" operator="equal">
      <formula>"Pass"</formula>
    </cfRule>
  </conditionalFormatting>
  <conditionalFormatting sqref="I751">
    <cfRule type="cellIs" dxfId="703" priority="703" stopIfTrue="1" operator="equal">
      <formula>"Pass"</formula>
    </cfRule>
    <cfRule type="cellIs" dxfId="702" priority="704" stopIfTrue="1" operator="equal">
      <formula>"Fail"</formula>
    </cfRule>
  </conditionalFormatting>
  <conditionalFormatting sqref="I750:L751">
    <cfRule type="cellIs" dxfId="701" priority="701" stopIfTrue="1" operator="equal">
      <formula>"Pass"</formula>
    </cfRule>
    <cfRule type="cellIs" dxfId="700" priority="702" stopIfTrue="1" operator="equal">
      <formula>"Fail"</formula>
    </cfRule>
  </conditionalFormatting>
  <conditionalFormatting sqref="V750:V752">
    <cfRule type="cellIs" dxfId="699" priority="699" stopIfTrue="1" operator="equal">
      <formula>"Fail"</formula>
    </cfRule>
    <cfRule type="cellIs" dxfId="698" priority="700" stopIfTrue="1" operator="equal">
      <formula>"Pass"</formula>
    </cfRule>
  </conditionalFormatting>
  <conditionalFormatting sqref="V750">
    <cfRule type="cellIs" dxfId="697" priority="697" stopIfTrue="1" operator="equal">
      <formula>"Fail"</formula>
    </cfRule>
    <cfRule type="cellIs" dxfId="696" priority="698" stopIfTrue="1" operator="equal">
      <formula>"Pass"</formula>
    </cfRule>
  </conditionalFormatting>
  <conditionalFormatting sqref="J750:L751">
    <cfRule type="cellIs" dxfId="695" priority="695" stopIfTrue="1" operator="equal">
      <formula>"Pass"</formula>
    </cfRule>
    <cfRule type="cellIs" dxfId="694" priority="696" stopIfTrue="1" operator="equal">
      <formula>"Fail"</formula>
    </cfRule>
  </conditionalFormatting>
  <conditionalFormatting sqref="I750">
    <cfRule type="cellIs" dxfId="693" priority="693" stopIfTrue="1" operator="equal">
      <formula>"Pass"</formula>
    </cfRule>
    <cfRule type="cellIs" dxfId="692" priority="694" stopIfTrue="1" operator="equal">
      <formula>"Fail"</formula>
    </cfRule>
  </conditionalFormatting>
  <conditionalFormatting sqref="I751">
    <cfRule type="cellIs" dxfId="691" priority="691" stopIfTrue="1" operator="equal">
      <formula>"Pass"</formula>
    </cfRule>
    <cfRule type="cellIs" dxfId="690" priority="692" stopIfTrue="1" operator="equal">
      <formula>"Fail"</formula>
    </cfRule>
  </conditionalFormatting>
  <conditionalFormatting sqref="I750:L751">
    <cfRule type="cellIs" dxfId="689" priority="689" stopIfTrue="1" operator="equal">
      <formula>"Pass"</formula>
    </cfRule>
    <cfRule type="cellIs" dxfId="688" priority="690" stopIfTrue="1" operator="equal">
      <formula>"Fail"</formula>
    </cfRule>
  </conditionalFormatting>
  <conditionalFormatting sqref="J753:L754 I753:I755">
    <cfRule type="cellIs" dxfId="687" priority="687" stopIfTrue="1" operator="equal">
      <formula>"Pass"</formula>
    </cfRule>
    <cfRule type="cellIs" dxfId="686" priority="688" stopIfTrue="1" operator="equal">
      <formula>"Fail"</formula>
    </cfRule>
  </conditionalFormatting>
  <conditionalFormatting sqref="V753:V755">
    <cfRule type="cellIs" dxfId="685" priority="685" stopIfTrue="1" operator="equal">
      <formula>"Fail"</formula>
    </cfRule>
    <cfRule type="cellIs" dxfId="684" priority="686" stopIfTrue="1" operator="equal">
      <formula>"Pass"</formula>
    </cfRule>
  </conditionalFormatting>
  <conditionalFormatting sqref="I753:L753">
    <cfRule type="cellIs" dxfId="683" priority="683" stopIfTrue="1" operator="equal">
      <formula>"Pass"</formula>
    </cfRule>
    <cfRule type="cellIs" dxfId="682" priority="684" stopIfTrue="1" operator="equal">
      <formula>"Fail"</formula>
    </cfRule>
  </conditionalFormatting>
  <conditionalFormatting sqref="A750">
    <cfRule type="cellIs" dxfId="681" priority="682" stopIfTrue="1" operator="equal">
      <formula>TODAY()</formula>
    </cfRule>
  </conditionalFormatting>
  <conditionalFormatting sqref="A753">
    <cfRule type="cellIs" dxfId="680" priority="681" stopIfTrue="1" operator="equal">
      <formula>TODAY()</formula>
    </cfRule>
  </conditionalFormatting>
  <conditionalFormatting sqref="J758:L758">
    <cfRule type="cellIs" dxfId="679" priority="679" stopIfTrue="1" operator="equal">
      <formula>"Pass"</formula>
    </cfRule>
    <cfRule type="cellIs" dxfId="678" priority="680" stopIfTrue="1" operator="equal">
      <formula>"Fail"</formula>
    </cfRule>
  </conditionalFormatting>
  <conditionalFormatting sqref="I758">
    <cfRule type="cellIs" dxfId="677" priority="677" stopIfTrue="1" operator="equal">
      <formula>"Pass"</formula>
    </cfRule>
    <cfRule type="cellIs" dxfId="676" priority="678" stopIfTrue="1" operator="equal">
      <formula>"Fail"</formula>
    </cfRule>
  </conditionalFormatting>
  <conditionalFormatting sqref="I758:L758">
    <cfRule type="cellIs" dxfId="675" priority="675" stopIfTrue="1" operator="equal">
      <formula>"Pass"</formula>
    </cfRule>
    <cfRule type="cellIs" dxfId="674" priority="676" stopIfTrue="1" operator="equal">
      <formula>"Fail"</formula>
    </cfRule>
  </conditionalFormatting>
  <conditionalFormatting sqref="J758:L758">
    <cfRule type="cellIs" dxfId="673" priority="673" stopIfTrue="1" operator="equal">
      <formula>"Pass"</formula>
    </cfRule>
    <cfRule type="cellIs" dxfId="672" priority="674" stopIfTrue="1" operator="equal">
      <formula>"Fail"</formula>
    </cfRule>
  </conditionalFormatting>
  <conditionalFormatting sqref="I758">
    <cfRule type="cellIs" dxfId="671" priority="671" stopIfTrue="1" operator="equal">
      <formula>"Pass"</formula>
    </cfRule>
    <cfRule type="cellIs" dxfId="670" priority="672" stopIfTrue="1" operator="equal">
      <formula>"Fail"</formula>
    </cfRule>
  </conditionalFormatting>
  <conditionalFormatting sqref="I758:L758">
    <cfRule type="cellIs" dxfId="669" priority="669" stopIfTrue="1" operator="equal">
      <formula>"Pass"</formula>
    </cfRule>
    <cfRule type="cellIs" dxfId="668" priority="670" stopIfTrue="1" operator="equal">
      <formula>"Fail"</formula>
    </cfRule>
  </conditionalFormatting>
  <conditionalFormatting sqref="V756:V758">
    <cfRule type="cellIs" dxfId="667" priority="667" stopIfTrue="1" operator="equal">
      <formula>"Fail"</formula>
    </cfRule>
    <cfRule type="cellIs" dxfId="666" priority="668" stopIfTrue="1" operator="equal">
      <formula>"Pass"</formula>
    </cfRule>
  </conditionalFormatting>
  <conditionalFormatting sqref="J756:L757">
    <cfRule type="cellIs" dxfId="665" priority="665" stopIfTrue="1" operator="equal">
      <formula>"Pass"</formula>
    </cfRule>
    <cfRule type="cellIs" dxfId="664" priority="666" stopIfTrue="1" operator="equal">
      <formula>"Fail"</formula>
    </cfRule>
  </conditionalFormatting>
  <conditionalFormatting sqref="I758 I756">
    <cfRule type="cellIs" dxfId="663" priority="663" stopIfTrue="1" operator="equal">
      <formula>"Pass"</formula>
    </cfRule>
    <cfRule type="cellIs" dxfId="662" priority="664" stopIfTrue="1" operator="equal">
      <formula>"Fail"</formula>
    </cfRule>
  </conditionalFormatting>
  <conditionalFormatting sqref="V756:V758">
    <cfRule type="cellIs" dxfId="661" priority="661" stopIfTrue="1" operator="equal">
      <formula>"Fail"</formula>
    </cfRule>
    <cfRule type="cellIs" dxfId="660" priority="662" stopIfTrue="1" operator="equal">
      <formula>"Pass"</formula>
    </cfRule>
  </conditionalFormatting>
  <conditionalFormatting sqref="V756:V758">
    <cfRule type="cellIs" dxfId="659" priority="659" stopIfTrue="1" operator="equal">
      <formula>"Fail"</formula>
    </cfRule>
    <cfRule type="cellIs" dxfId="658" priority="660" stopIfTrue="1" operator="equal">
      <formula>"Pass"</formula>
    </cfRule>
  </conditionalFormatting>
  <conditionalFormatting sqref="I757">
    <cfRule type="cellIs" dxfId="657" priority="657" stopIfTrue="1" operator="equal">
      <formula>"Pass"</formula>
    </cfRule>
    <cfRule type="cellIs" dxfId="656" priority="658" stopIfTrue="1" operator="equal">
      <formula>"Fail"</formula>
    </cfRule>
  </conditionalFormatting>
  <conditionalFormatting sqref="I756:L757">
    <cfRule type="cellIs" dxfId="655" priority="655" stopIfTrue="1" operator="equal">
      <formula>"Pass"</formula>
    </cfRule>
    <cfRule type="cellIs" dxfId="654" priority="656" stopIfTrue="1" operator="equal">
      <formula>"Fail"</formula>
    </cfRule>
  </conditionalFormatting>
  <conditionalFormatting sqref="V756:V758">
    <cfRule type="cellIs" dxfId="653" priority="653" stopIfTrue="1" operator="equal">
      <formula>"Fail"</formula>
    </cfRule>
    <cfRule type="cellIs" dxfId="652" priority="654" stopIfTrue="1" operator="equal">
      <formula>"Pass"</formula>
    </cfRule>
  </conditionalFormatting>
  <conditionalFormatting sqref="V756">
    <cfRule type="cellIs" dxfId="651" priority="651" stopIfTrue="1" operator="equal">
      <formula>"Fail"</formula>
    </cfRule>
    <cfRule type="cellIs" dxfId="650" priority="652" stopIfTrue="1" operator="equal">
      <formula>"Pass"</formula>
    </cfRule>
  </conditionalFormatting>
  <conditionalFormatting sqref="J756:L757">
    <cfRule type="cellIs" dxfId="649" priority="649" stopIfTrue="1" operator="equal">
      <formula>"Pass"</formula>
    </cfRule>
    <cfRule type="cellIs" dxfId="648" priority="650" stopIfTrue="1" operator="equal">
      <formula>"Fail"</formula>
    </cfRule>
  </conditionalFormatting>
  <conditionalFormatting sqref="I756">
    <cfRule type="cellIs" dxfId="647" priority="647" stopIfTrue="1" operator="equal">
      <formula>"Pass"</formula>
    </cfRule>
    <cfRule type="cellIs" dxfId="646" priority="648" stopIfTrue="1" operator="equal">
      <formula>"Fail"</formula>
    </cfRule>
  </conditionalFormatting>
  <conditionalFormatting sqref="I757">
    <cfRule type="cellIs" dxfId="645" priority="645" stopIfTrue="1" operator="equal">
      <formula>"Pass"</formula>
    </cfRule>
    <cfRule type="cellIs" dxfId="644" priority="646" stopIfTrue="1" operator="equal">
      <formula>"Fail"</formula>
    </cfRule>
  </conditionalFormatting>
  <conditionalFormatting sqref="I756:L757">
    <cfRule type="cellIs" dxfId="643" priority="643" stopIfTrue="1" operator="equal">
      <formula>"Pass"</formula>
    </cfRule>
    <cfRule type="cellIs" dxfId="642" priority="644" stopIfTrue="1" operator="equal">
      <formula>"Fail"</formula>
    </cfRule>
  </conditionalFormatting>
  <conditionalFormatting sqref="J759:L760 I759:I761">
    <cfRule type="cellIs" dxfId="641" priority="641" stopIfTrue="1" operator="equal">
      <formula>"Pass"</formula>
    </cfRule>
    <cfRule type="cellIs" dxfId="640" priority="642" stopIfTrue="1" operator="equal">
      <formula>"Fail"</formula>
    </cfRule>
  </conditionalFormatting>
  <conditionalFormatting sqref="V759:V761">
    <cfRule type="cellIs" dxfId="639" priority="639" stopIfTrue="1" operator="equal">
      <formula>"Fail"</formula>
    </cfRule>
    <cfRule type="cellIs" dxfId="638" priority="640" stopIfTrue="1" operator="equal">
      <formula>"Pass"</formula>
    </cfRule>
  </conditionalFormatting>
  <conditionalFormatting sqref="I759:L759">
    <cfRule type="cellIs" dxfId="637" priority="637" stopIfTrue="1" operator="equal">
      <formula>"Pass"</formula>
    </cfRule>
    <cfRule type="cellIs" dxfId="636" priority="638" stopIfTrue="1" operator="equal">
      <formula>"Fail"</formula>
    </cfRule>
  </conditionalFormatting>
  <conditionalFormatting sqref="A756">
    <cfRule type="cellIs" dxfId="635" priority="636" stopIfTrue="1" operator="equal">
      <formula>TODAY()</formula>
    </cfRule>
  </conditionalFormatting>
  <conditionalFormatting sqref="A759">
    <cfRule type="cellIs" dxfId="634" priority="635" stopIfTrue="1" operator="equal">
      <formula>TODAY()</formula>
    </cfRule>
  </conditionalFormatting>
  <conditionalFormatting sqref="A759">
    <cfRule type="cellIs" dxfId="633" priority="634" stopIfTrue="1" operator="equal">
      <formula>TODAY()</formula>
    </cfRule>
  </conditionalFormatting>
  <conditionalFormatting sqref="J764:L764">
    <cfRule type="cellIs" dxfId="632" priority="632" stopIfTrue="1" operator="equal">
      <formula>"Pass"</formula>
    </cfRule>
    <cfRule type="cellIs" dxfId="631" priority="633" stopIfTrue="1" operator="equal">
      <formula>"Fail"</formula>
    </cfRule>
  </conditionalFormatting>
  <conditionalFormatting sqref="I764">
    <cfRule type="cellIs" dxfId="630" priority="630" stopIfTrue="1" operator="equal">
      <formula>"Pass"</formula>
    </cfRule>
    <cfRule type="cellIs" dxfId="629" priority="631" stopIfTrue="1" operator="equal">
      <formula>"Fail"</formula>
    </cfRule>
  </conditionalFormatting>
  <conditionalFormatting sqref="I764:L764">
    <cfRule type="cellIs" dxfId="628" priority="628" stopIfTrue="1" operator="equal">
      <formula>"Pass"</formula>
    </cfRule>
    <cfRule type="cellIs" dxfId="627" priority="629" stopIfTrue="1" operator="equal">
      <formula>"Fail"</formula>
    </cfRule>
  </conditionalFormatting>
  <conditionalFormatting sqref="J764:L764">
    <cfRule type="cellIs" dxfId="626" priority="626" stopIfTrue="1" operator="equal">
      <formula>"Pass"</formula>
    </cfRule>
    <cfRule type="cellIs" dxfId="625" priority="627" stopIfTrue="1" operator="equal">
      <formula>"Fail"</formula>
    </cfRule>
  </conditionalFormatting>
  <conditionalFormatting sqref="I764">
    <cfRule type="cellIs" dxfId="624" priority="624" stopIfTrue="1" operator="equal">
      <formula>"Pass"</formula>
    </cfRule>
    <cfRule type="cellIs" dxfId="623" priority="625" stopIfTrue="1" operator="equal">
      <formula>"Fail"</formula>
    </cfRule>
  </conditionalFormatting>
  <conditionalFormatting sqref="I764:L764">
    <cfRule type="cellIs" dxfId="622" priority="622" stopIfTrue="1" operator="equal">
      <formula>"Pass"</formula>
    </cfRule>
    <cfRule type="cellIs" dxfId="621" priority="623" stopIfTrue="1" operator="equal">
      <formula>"Fail"</formula>
    </cfRule>
  </conditionalFormatting>
  <conditionalFormatting sqref="V762:V764">
    <cfRule type="cellIs" dxfId="620" priority="620" stopIfTrue="1" operator="equal">
      <formula>"Fail"</formula>
    </cfRule>
    <cfRule type="cellIs" dxfId="619" priority="621" stopIfTrue="1" operator="equal">
      <formula>"Pass"</formula>
    </cfRule>
  </conditionalFormatting>
  <conditionalFormatting sqref="J762:L763">
    <cfRule type="cellIs" dxfId="618" priority="618" stopIfTrue="1" operator="equal">
      <formula>"Pass"</formula>
    </cfRule>
    <cfRule type="cellIs" dxfId="617" priority="619" stopIfTrue="1" operator="equal">
      <formula>"Fail"</formula>
    </cfRule>
  </conditionalFormatting>
  <conditionalFormatting sqref="I764 I762">
    <cfRule type="cellIs" dxfId="616" priority="616" stopIfTrue="1" operator="equal">
      <formula>"Pass"</formula>
    </cfRule>
    <cfRule type="cellIs" dxfId="615" priority="617" stopIfTrue="1" operator="equal">
      <formula>"Fail"</formula>
    </cfRule>
  </conditionalFormatting>
  <conditionalFormatting sqref="V762:V764">
    <cfRule type="cellIs" dxfId="614" priority="614" stopIfTrue="1" operator="equal">
      <formula>"Fail"</formula>
    </cfRule>
    <cfRule type="cellIs" dxfId="613" priority="615" stopIfTrue="1" operator="equal">
      <formula>"Pass"</formula>
    </cfRule>
  </conditionalFormatting>
  <conditionalFormatting sqref="V762:V764">
    <cfRule type="cellIs" dxfId="612" priority="612" stopIfTrue="1" operator="equal">
      <formula>"Fail"</formula>
    </cfRule>
    <cfRule type="cellIs" dxfId="611" priority="613" stopIfTrue="1" operator="equal">
      <formula>"Pass"</formula>
    </cfRule>
  </conditionalFormatting>
  <conditionalFormatting sqref="I763">
    <cfRule type="cellIs" dxfId="610" priority="610" stopIfTrue="1" operator="equal">
      <formula>"Pass"</formula>
    </cfRule>
    <cfRule type="cellIs" dxfId="609" priority="611" stopIfTrue="1" operator="equal">
      <formula>"Fail"</formula>
    </cfRule>
  </conditionalFormatting>
  <conditionalFormatting sqref="I762:L763">
    <cfRule type="cellIs" dxfId="608" priority="608" stopIfTrue="1" operator="equal">
      <formula>"Pass"</formula>
    </cfRule>
    <cfRule type="cellIs" dxfId="607" priority="609" stopIfTrue="1" operator="equal">
      <formula>"Fail"</formula>
    </cfRule>
  </conditionalFormatting>
  <conditionalFormatting sqref="V762:V764">
    <cfRule type="cellIs" dxfId="606" priority="606" stopIfTrue="1" operator="equal">
      <formula>"Fail"</formula>
    </cfRule>
    <cfRule type="cellIs" dxfId="605" priority="607" stopIfTrue="1" operator="equal">
      <formula>"Pass"</formula>
    </cfRule>
  </conditionalFormatting>
  <conditionalFormatting sqref="V762">
    <cfRule type="cellIs" dxfId="604" priority="604" stopIfTrue="1" operator="equal">
      <formula>"Fail"</formula>
    </cfRule>
    <cfRule type="cellIs" dxfId="603" priority="605" stopIfTrue="1" operator="equal">
      <formula>"Pass"</formula>
    </cfRule>
  </conditionalFormatting>
  <conditionalFormatting sqref="J762:L763">
    <cfRule type="cellIs" dxfId="602" priority="602" stopIfTrue="1" operator="equal">
      <formula>"Pass"</formula>
    </cfRule>
    <cfRule type="cellIs" dxfId="601" priority="603" stopIfTrue="1" operator="equal">
      <formula>"Fail"</formula>
    </cfRule>
  </conditionalFormatting>
  <conditionalFormatting sqref="I762">
    <cfRule type="cellIs" dxfId="600" priority="600" stopIfTrue="1" operator="equal">
      <formula>"Pass"</formula>
    </cfRule>
    <cfRule type="cellIs" dxfId="599" priority="601" stopIfTrue="1" operator="equal">
      <formula>"Fail"</formula>
    </cfRule>
  </conditionalFormatting>
  <conditionalFormatting sqref="I763">
    <cfRule type="cellIs" dxfId="598" priority="598" stopIfTrue="1" operator="equal">
      <formula>"Pass"</formula>
    </cfRule>
    <cfRule type="cellIs" dxfId="597" priority="599" stopIfTrue="1" operator="equal">
      <formula>"Fail"</formula>
    </cfRule>
  </conditionalFormatting>
  <conditionalFormatting sqref="I762:L763">
    <cfRule type="cellIs" dxfId="596" priority="596" stopIfTrue="1" operator="equal">
      <formula>"Pass"</formula>
    </cfRule>
    <cfRule type="cellIs" dxfId="595" priority="597" stopIfTrue="1" operator="equal">
      <formula>"Fail"</formula>
    </cfRule>
  </conditionalFormatting>
  <conditionalFormatting sqref="J765:L766 I765:I767">
    <cfRule type="cellIs" dxfId="594" priority="594" stopIfTrue="1" operator="equal">
      <formula>"Pass"</formula>
    </cfRule>
    <cfRule type="cellIs" dxfId="593" priority="595" stopIfTrue="1" operator="equal">
      <formula>"Fail"</formula>
    </cfRule>
  </conditionalFormatting>
  <conditionalFormatting sqref="V765:V767">
    <cfRule type="cellIs" dxfId="592" priority="592" stopIfTrue="1" operator="equal">
      <formula>"Fail"</formula>
    </cfRule>
    <cfRule type="cellIs" dxfId="591" priority="593" stopIfTrue="1" operator="equal">
      <formula>"Pass"</formula>
    </cfRule>
  </conditionalFormatting>
  <conditionalFormatting sqref="I765:L765">
    <cfRule type="cellIs" dxfId="590" priority="590" stopIfTrue="1" operator="equal">
      <formula>"Pass"</formula>
    </cfRule>
    <cfRule type="cellIs" dxfId="589" priority="591" stopIfTrue="1" operator="equal">
      <formula>"Fail"</formula>
    </cfRule>
  </conditionalFormatting>
  <conditionalFormatting sqref="A762">
    <cfRule type="cellIs" dxfId="588" priority="589" stopIfTrue="1" operator="equal">
      <formula>TODAY()</formula>
    </cfRule>
  </conditionalFormatting>
  <conditionalFormatting sqref="A765">
    <cfRule type="cellIs" dxfId="587" priority="588" stopIfTrue="1" operator="equal">
      <formula>TODAY()</formula>
    </cfRule>
  </conditionalFormatting>
  <conditionalFormatting sqref="A765">
    <cfRule type="cellIs" dxfId="586" priority="587" stopIfTrue="1" operator="equal">
      <formula>TODAY()</formula>
    </cfRule>
  </conditionalFormatting>
  <conditionalFormatting sqref="J770:L770">
    <cfRule type="cellIs" dxfId="585" priority="585" stopIfTrue="1" operator="equal">
      <formula>"Pass"</formula>
    </cfRule>
    <cfRule type="cellIs" dxfId="584" priority="586" stopIfTrue="1" operator="equal">
      <formula>"Fail"</formula>
    </cfRule>
  </conditionalFormatting>
  <conditionalFormatting sqref="I770">
    <cfRule type="cellIs" dxfId="583" priority="583" stopIfTrue="1" operator="equal">
      <formula>"Pass"</formula>
    </cfRule>
    <cfRule type="cellIs" dxfId="582" priority="584" stopIfTrue="1" operator="equal">
      <formula>"Fail"</formula>
    </cfRule>
  </conditionalFormatting>
  <conditionalFormatting sqref="I770:L770">
    <cfRule type="cellIs" dxfId="581" priority="581" stopIfTrue="1" operator="equal">
      <formula>"Pass"</formula>
    </cfRule>
    <cfRule type="cellIs" dxfId="580" priority="582" stopIfTrue="1" operator="equal">
      <formula>"Fail"</formula>
    </cfRule>
  </conditionalFormatting>
  <conditionalFormatting sqref="J770:L770">
    <cfRule type="cellIs" dxfId="579" priority="579" stopIfTrue="1" operator="equal">
      <formula>"Pass"</formula>
    </cfRule>
    <cfRule type="cellIs" dxfId="578" priority="580" stopIfTrue="1" operator="equal">
      <formula>"Fail"</formula>
    </cfRule>
  </conditionalFormatting>
  <conditionalFormatting sqref="I770">
    <cfRule type="cellIs" dxfId="577" priority="577" stopIfTrue="1" operator="equal">
      <formula>"Pass"</formula>
    </cfRule>
    <cfRule type="cellIs" dxfId="576" priority="578" stopIfTrue="1" operator="equal">
      <formula>"Fail"</formula>
    </cfRule>
  </conditionalFormatting>
  <conditionalFormatting sqref="I770:L770">
    <cfRule type="cellIs" dxfId="575" priority="575" stopIfTrue="1" operator="equal">
      <formula>"Pass"</formula>
    </cfRule>
    <cfRule type="cellIs" dxfId="574" priority="576" stopIfTrue="1" operator="equal">
      <formula>"Fail"</formula>
    </cfRule>
  </conditionalFormatting>
  <conditionalFormatting sqref="V768:V770">
    <cfRule type="cellIs" dxfId="573" priority="573" stopIfTrue="1" operator="equal">
      <formula>"Fail"</formula>
    </cfRule>
    <cfRule type="cellIs" dxfId="572" priority="574" stopIfTrue="1" operator="equal">
      <formula>"Pass"</formula>
    </cfRule>
  </conditionalFormatting>
  <conditionalFormatting sqref="J768:L769">
    <cfRule type="cellIs" dxfId="571" priority="571" stopIfTrue="1" operator="equal">
      <formula>"Pass"</formula>
    </cfRule>
    <cfRule type="cellIs" dxfId="570" priority="572" stopIfTrue="1" operator="equal">
      <formula>"Fail"</formula>
    </cfRule>
  </conditionalFormatting>
  <conditionalFormatting sqref="I770 I768">
    <cfRule type="cellIs" dxfId="569" priority="569" stopIfTrue="1" operator="equal">
      <formula>"Pass"</formula>
    </cfRule>
    <cfRule type="cellIs" dxfId="568" priority="570" stopIfTrue="1" operator="equal">
      <formula>"Fail"</formula>
    </cfRule>
  </conditionalFormatting>
  <conditionalFormatting sqref="V768:V770">
    <cfRule type="cellIs" dxfId="567" priority="567" stopIfTrue="1" operator="equal">
      <formula>"Fail"</formula>
    </cfRule>
    <cfRule type="cellIs" dxfId="566" priority="568" stopIfTrue="1" operator="equal">
      <formula>"Pass"</formula>
    </cfRule>
  </conditionalFormatting>
  <conditionalFormatting sqref="V768:V770">
    <cfRule type="cellIs" dxfId="565" priority="565" stopIfTrue="1" operator="equal">
      <formula>"Fail"</formula>
    </cfRule>
    <cfRule type="cellIs" dxfId="564" priority="566" stopIfTrue="1" operator="equal">
      <formula>"Pass"</formula>
    </cfRule>
  </conditionalFormatting>
  <conditionalFormatting sqref="I769">
    <cfRule type="cellIs" dxfId="563" priority="563" stopIfTrue="1" operator="equal">
      <formula>"Pass"</formula>
    </cfRule>
    <cfRule type="cellIs" dxfId="562" priority="564" stopIfTrue="1" operator="equal">
      <formula>"Fail"</formula>
    </cfRule>
  </conditionalFormatting>
  <conditionalFormatting sqref="I768:L769">
    <cfRule type="cellIs" dxfId="561" priority="561" stopIfTrue="1" operator="equal">
      <formula>"Pass"</formula>
    </cfRule>
    <cfRule type="cellIs" dxfId="560" priority="562" stopIfTrue="1" operator="equal">
      <formula>"Fail"</formula>
    </cfRule>
  </conditionalFormatting>
  <conditionalFormatting sqref="V768:V770">
    <cfRule type="cellIs" dxfId="559" priority="559" stopIfTrue="1" operator="equal">
      <formula>"Fail"</formula>
    </cfRule>
    <cfRule type="cellIs" dxfId="558" priority="560" stopIfTrue="1" operator="equal">
      <formula>"Pass"</formula>
    </cfRule>
  </conditionalFormatting>
  <conditionalFormatting sqref="V768">
    <cfRule type="cellIs" dxfId="557" priority="557" stopIfTrue="1" operator="equal">
      <formula>"Fail"</formula>
    </cfRule>
    <cfRule type="cellIs" dxfId="556" priority="558" stopIfTrue="1" operator="equal">
      <formula>"Pass"</formula>
    </cfRule>
  </conditionalFormatting>
  <conditionalFormatting sqref="J768:L769">
    <cfRule type="cellIs" dxfId="555" priority="555" stopIfTrue="1" operator="equal">
      <formula>"Pass"</formula>
    </cfRule>
    <cfRule type="cellIs" dxfId="554" priority="556" stopIfTrue="1" operator="equal">
      <formula>"Fail"</formula>
    </cfRule>
  </conditionalFormatting>
  <conditionalFormatting sqref="I768">
    <cfRule type="cellIs" dxfId="553" priority="553" stopIfTrue="1" operator="equal">
      <formula>"Pass"</formula>
    </cfRule>
    <cfRule type="cellIs" dxfId="552" priority="554" stopIfTrue="1" operator="equal">
      <formula>"Fail"</formula>
    </cfRule>
  </conditionalFormatting>
  <conditionalFormatting sqref="I769">
    <cfRule type="cellIs" dxfId="551" priority="551" stopIfTrue="1" operator="equal">
      <formula>"Pass"</formula>
    </cfRule>
    <cfRule type="cellIs" dxfId="550" priority="552" stopIfTrue="1" operator="equal">
      <formula>"Fail"</formula>
    </cfRule>
  </conditionalFormatting>
  <conditionalFormatting sqref="I768:L769">
    <cfRule type="cellIs" dxfId="549" priority="549" stopIfTrue="1" operator="equal">
      <formula>"Pass"</formula>
    </cfRule>
    <cfRule type="cellIs" dxfId="548" priority="550" stopIfTrue="1" operator="equal">
      <formula>"Fail"</formula>
    </cfRule>
  </conditionalFormatting>
  <conditionalFormatting sqref="J771:L772 I771:I773">
    <cfRule type="cellIs" dxfId="547" priority="547" stopIfTrue="1" operator="equal">
      <formula>"Pass"</formula>
    </cfRule>
    <cfRule type="cellIs" dxfId="546" priority="548" stopIfTrue="1" operator="equal">
      <formula>"Fail"</formula>
    </cfRule>
  </conditionalFormatting>
  <conditionalFormatting sqref="V771:V773">
    <cfRule type="cellIs" dxfId="545" priority="545" stopIfTrue="1" operator="equal">
      <formula>"Fail"</formula>
    </cfRule>
    <cfRule type="cellIs" dxfId="544" priority="546" stopIfTrue="1" operator="equal">
      <formula>"Pass"</formula>
    </cfRule>
  </conditionalFormatting>
  <conditionalFormatting sqref="I771:L771">
    <cfRule type="cellIs" dxfId="543" priority="543" stopIfTrue="1" operator="equal">
      <formula>"Pass"</formula>
    </cfRule>
    <cfRule type="cellIs" dxfId="542" priority="544" stopIfTrue="1" operator="equal">
      <formula>"Fail"</formula>
    </cfRule>
  </conditionalFormatting>
  <conditionalFormatting sqref="A768">
    <cfRule type="cellIs" dxfId="541" priority="542" stopIfTrue="1" operator="equal">
      <formula>TODAY()</formula>
    </cfRule>
  </conditionalFormatting>
  <conditionalFormatting sqref="A771">
    <cfRule type="cellIs" dxfId="540" priority="541" stopIfTrue="1" operator="equal">
      <formula>TODAY()</formula>
    </cfRule>
  </conditionalFormatting>
  <conditionalFormatting sqref="A771">
    <cfRule type="cellIs" dxfId="539" priority="540" stopIfTrue="1" operator="equal">
      <formula>TODAY()</formula>
    </cfRule>
  </conditionalFormatting>
  <conditionalFormatting sqref="J776:L776">
    <cfRule type="cellIs" dxfId="538" priority="538" stopIfTrue="1" operator="equal">
      <formula>"Pass"</formula>
    </cfRule>
    <cfRule type="cellIs" dxfId="537" priority="539" stopIfTrue="1" operator="equal">
      <formula>"Fail"</formula>
    </cfRule>
  </conditionalFormatting>
  <conditionalFormatting sqref="I776">
    <cfRule type="cellIs" dxfId="536" priority="536" stopIfTrue="1" operator="equal">
      <formula>"Pass"</formula>
    </cfRule>
    <cfRule type="cellIs" dxfId="535" priority="537" stopIfTrue="1" operator="equal">
      <formula>"Fail"</formula>
    </cfRule>
  </conditionalFormatting>
  <conditionalFormatting sqref="I776:L776">
    <cfRule type="cellIs" dxfId="534" priority="534" stopIfTrue="1" operator="equal">
      <formula>"Pass"</formula>
    </cfRule>
    <cfRule type="cellIs" dxfId="533" priority="535" stopIfTrue="1" operator="equal">
      <formula>"Fail"</formula>
    </cfRule>
  </conditionalFormatting>
  <conditionalFormatting sqref="J776:L776">
    <cfRule type="cellIs" dxfId="532" priority="532" stopIfTrue="1" operator="equal">
      <formula>"Pass"</formula>
    </cfRule>
    <cfRule type="cellIs" dxfId="531" priority="533" stopIfTrue="1" operator="equal">
      <formula>"Fail"</formula>
    </cfRule>
  </conditionalFormatting>
  <conditionalFormatting sqref="I776">
    <cfRule type="cellIs" dxfId="530" priority="530" stopIfTrue="1" operator="equal">
      <formula>"Pass"</formula>
    </cfRule>
    <cfRule type="cellIs" dxfId="529" priority="531" stopIfTrue="1" operator="equal">
      <formula>"Fail"</formula>
    </cfRule>
  </conditionalFormatting>
  <conditionalFormatting sqref="I776:L776">
    <cfRule type="cellIs" dxfId="528" priority="528" stopIfTrue="1" operator="equal">
      <formula>"Pass"</formula>
    </cfRule>
    <cfRule type="cellIs" dxfId="527" priority="529" stopIfTrue="1" operator="equal">
      <formula>"Fail"</formula>
    </cfRule>
  </conditionalFormatting>
  <conditionalFormatting sqref="V774:V776">
    <cfRule type="cellIs" dxfId="526" priority="526" stopIfTrue="1" operator="equal">
      <formula>"Fail"</formula>
    </cfRule>
    <cfRule type="cellIs" dxfId="525" priority="527" stopIfTrue="1" operator="equal">
      <formula>"Pass"</formula>
    </cfRule>
  </conditionalFormatting>
  <conditionalFormatting sqref="J774:L775">
    <cfRule type="cellIs" dxfId="524" priority="524" stopIfTrue="1" operator="equal">
      <formula>"Pass"</formula>
    </cfRule>
    <cfRule type="cellIs" dxfId="523" priority="525" stopIfTrue="1" operator="equal">
      <formula>"Fail"</formula>
    </cfRule>
  </conditionalFormatting>
  <conditionalFormatting sqref="I776 I774">
    <cfRule type="cellIs" dxfId="522" priority="522" stopIfTrue="1" operator="equal">
      <formula>"Pass"</formula>
    </cfRule>
    <cfRule type="cellIs" dxfId="521" priority="523" stopIfTrue="1" operator="equal">
      <formula>"Fail"</formula>
    </cfRule>
  </conditionalFormatting>
  <conditionalFormatting sqref="V774:V776">
    <cfRule type="cellIs" dxfId="520" priority="520" stopIfTrue="1" operator="equal">
      <formula>"Fail"</formula>
    </cfRule>
    <cfRule type="cellIs" dxfId="519" priority="521" stopIfTrue="1" operator="equal">
      <formula>"Pass"</formula>
    </cfRule>
  </conditionalFormatting>
  <conditionalFormatting sqref="V774:V776">
    <cfRule type="cellIs" dxfId="518" priority="518" stopIfTrue="1" operator="equal">
      <formula>"Fail"</formula>
    </cfRule>
    <cfRule type="cellIs" dxfId="517" priority="519" stopIfTrue="1" operator="equal">
      <formula>"Pass"</formula>
    </cfRule>
  </conditionalFormatting>
  <conditionalFormatting sqref="I775">
    <cfRule type="cellIs" dxfId="516" priority="516" stopIfTrue="1" operator="equal">
      <formula>"Pass"</formula>
    </cfRule>
    <cfRule type="cellIs" dxfId="515" priority="517" stopIfTrue="1" operator="equal">
      <formula>"Fail"</formula>
    </cfRule>
  </conditionalFormatting>
  <conditionalFormatting sqref="I774:L775">
    <cfRule type="cellIs" dxfId="514" priority="514" stopIfTrue="1" operator="equal">
      <formula>"Pass"</formula>
    </cfRule>
    <cfRule type="cellIs" dxfId="513" priority="515" stopIfTrue="1" operator="equal">
      <formula>"Fail"</formula>
    </cfRule>
  </conditionalFormatting>
  <conditionalFormatting sqref="V774:V776">
    <cfRule type="cellIs" dxfId="512" priority="512" stopIfTrue="1" operator="equal">
      <formula>"Fail"</formula>
    </cfRule>
    <cfRule type="cellIs" dxfId="511" priority="513" stopIfTrue="1" operator="equal">
      <formula>"Pass"</formula>
    </cfRule>
  </conditionalFormatting>
  <conditionalFormatting sqref="V774">
    <cfRule type="cellIs" dxfId="510" priority="510" stopIfTrue="1" operator="equal">
      <formula>"Fail"</formula>
    </cfRule>
    <cfRule type="cellIs" dxfId="509" priority="511" stopIfTrue="1" operator="equal">
      <formula>"Pass"</formula>
    </cfRule>
  </conditionalFormatting>
  <conditionalFormatting sqref="J774:L775">
    <cfRule type="cellIs" dxfId="508" priority="508" stopIfTrue="1" operator="equal">
      <formula>"Pass"</formula>
    </cfRule>
    <cfRule type="cellIs" dxfId="507" priority="509" stopIfTrue="1" operator="equal">
      <formula>"Fail"</formula>
    </cfRule>
  </conditionalFormatting>
  <conditionalFormatting sqref="I774">
    <cfRule type="cellIs" dxfId="506" priority="506" stopIfTrue="1" operator="equal">
      <formula>"Pass"</formula>
    </cfRule>
    <cfRule type="cellIs" dxfId="505" priority="507" stopIfTrue="1" operator="equal">
      <formula>"Fail"</formula>
    </cfRule>
  </conditionalFormatting>
  <conditionalFormatting sqref="I775">
    <cfRule type="cellIs" dxfId="504" priority="504" stopIfTrue="1" operator="equal">
      <formula>"Pass"</formula>
    </cfRule>
    <cfRule type="cellIs" dxfId="503" priority="505" stopIfTrue="1" operator="equal">
      <formula>"Fail"</formula>
    </cfRule>
  </conditionalFormatting>
  <conditionalFormatting sqref="I774:L775">
    <cfRule type="cellIs" dxfId="502" priority="502" stopIfTrue="1" operator="equal">
      <formula>"Pass"</formula>
    </cfRule>
    <cfRule type="cellIs" dxfId="501" priority="503" stopIfTrue="1" operator="equal">
      <formula>"Fail"</formula>
    </cfRule>
  </conditionalFormatting>
  <conditionalFormatting sqref="J777:L778 I777:I779">
    <cfRule type="cellIs" dxfId="500" priority="500" stopIfTrue="1" operator="equal">
      <formula>"Pass"</formula>
    </cfRule>
    <cfRule type="cellIs" dxfId="499" priority="501" stopIfTrue="1" operator="equal">
      <formula>"Fail"</formula>
    </cfRule>
  </conditionalFormatting>
  <conditionalFormatting sqref="V777:V779">
    <cfRule type="cellIs" dxfId="498" priority="498" stopIfTrue="1" operator="equal">
      <formula>"Fail"</formula>
    </cfRule>
    <cfRule type="cellIs" dxfId="497" priority="499" stopIfTrue="1" operator="equal">
      <formula>"Pass"</formula>
    </cfRule>
  </conditionalFormatting>
  <conditionalFormatting sqref="I777:L777">
    <cfRule type="cellIs" dxfId="496" priority="496" stopIfTrue="1" operator="equal">
      <formula>"Pass"</formula>
    </cfRule>
    <cfRule type="cellIs" dxfId="495" priority="497" stopIfTrue="1" operator="equal">
      <formula>"Fail"</formula>
    </cfRule>
  </conditionalFormatting>
  <conditionalFormatting sqref="A774">
    <cfRule type="cellIs" dxfId="494" priority="495" stopIfTrue="1" operator="equal">
      <formula>TODAY()</formula>
    </cfRule>
  </conditionalFormatting>
  <conditionalFormatting sqref="A777">
    <cfRule type="cellIs" dxfId="493" priority="494" stopIfTrue="1" operator="equal">
      <formula>TODAY()</formula>
    </cfRule>
  </conditionalFormatting>
  <conditionalFormatting sqref="A777">
    <cfRule type="cellIs" dxfId="492" priority="493" stopIfTrue="1" operator="equal">
      <formula>TODAY()</formula>
    </cfRule>
  </conditionalFormatting>
  <conditionalFormatting sqref="J782:L782">
    <cfRule type="cellIs" dxfId="491" priority="491" stopIfTrue="1" operator="equal">
      <formula>"Pass"</formula>
    </cfRule>
    <cfRule type="cellIs" dxfId="490" priority="492" stopIfTrue="1" operator="equal">
      <formula>"Fail"</formula>
    </cfRule>
  </conditionalFormatting>
  <conditionalFormatting sqref="I782">
    <cfRule type="cellIs" dxfId="489" priority="489" stopIfTrue="1" operator="equal">
      <formula>"Pass"</formula>
    </cfRule>
    <cfRule type="cellIs" dxfId="488" priority="490" stopIfTrue="1" operator="equal">
      <formula>"Fail"</formula>
    </cfRule>
  </conditionalFormatting>
  <conditionalFormatting sqref="I782:L782">
    <cfRule type="cellIs" dxfId="487" priority="487" stopIfTrue="1" operator="equal">
      <formula>"Pass"</formula>
    </cfRule>
    <cfRule type="cellIs" dxfId="486" priority="488" stopIfTrue="1" operator="equal">
      <formula>"Fail"</formula>
    </cfRule>
  </conditionalFormatting>
  <conditionalFormatting sqref="J782:L782">
    <cfRule type="cellIs" dxfId="485" priority="485" stopIfTrue="1" operator="equal">
      <formula>"Pass"</formula>
    </cfRule>
    <cfRule type="cellIs" dxfId="484" priority="486" stopIfTrue="1" operator="equal">
      <formula>"Fail"</formula>
    </cfRule>
  </conditionalFormatting>
  <conditionalFormatting sqref="I782">
    <cfRule type="cellIs" dxfId="483" priority="483" stopIfTrue="1" operator="equal">
      <formula>"Pass"</formula>
    </cfRule>
    <cfRule type="cellIs" dxfId="482" priority="484" stopIfTrue="1" operator="equal">
      <formula>"Fail"</formula>
    </cfRule>
  </conditionalFormatting>
  <conditionalFormatting sqref="I782:L782">
    <cfRule type="cellIs" dxfId="481" priority="481" stopIfTrue="1" operator="equal">
      <formula>"Pass"</formula>
    </cfRule>
    <cfRule type="cellIs" dxfId="480" priority="482" stopIfTrue="1" operator="equal">
      <formula>"Fail"</formula>
    </cfRule>
  </conditionalFormatting>
  <conditionalFormatting sqref="V780:V782">
    <cfRule type="cellIs" dxfId="479" priority="479" stopIfTrue="1" operator="equal">
      <formula>"Fail"</formula>
    </cfRule>
    <cfRule type="cellIs" dxfId="478" priority="480" stopIfTrue="1" operator="equal">
      <formula>"Pass"</formula>
    </cfRule>
  </conditionalFormatting>
  <conditionalFormatting sqref="J780:L781">
    <cfRule type="cellIs" dxfId="477" priority="477" stopIfTrue="1" operator="equal">
      <formula>"Pass"</formula>
    </cfRule>
    <cfRule type="cellIs" dxfId="476" priority="478" stopIfTrue="1" operator="equal">
      <formula>"Fail"</formula>
    </cfRule>
  </conditionalFormatting>
  <conditionalFormatting sqref="I782 I780">
    <cfRule type="cellIs" dxfId="475" priority="475" stopIfTrue="1" operator="equal">
      <formula>"Pass"</formula>
    </cfRule>
    <cfRule type="cellIs" dxfId="474" priority="476" stopIfTrue="1" operator="equal">
      <formula>"Fail"</formula>
    </cfRule>
  </conditionalFormatting>
  <conditionalFormatting sqref="V780:V782">
    <cfRule type="cellIs" dxfId="473" priority="473" stopIfTrue="1" operator="equal">
      <formula>"Fail"</formula>
    </cfRule>
    <cfRule type="cellIs" dxfId="472" priority="474" stopIfTrue="1" operator="equal">
      <formula>"Pass"</formula>
    </cfRule>
  </conditionalFormatting>
  <conditionalFormatting sqref="V780:V782">
    <cfRule type="cellIs" dxfId="471" priority="471" stopIfTrue="1" operator="equal">
      <formula>"Fail"</formula>
    </cfRule>
    <cfRule type="cellIs" dxfId="470" priority="472" stopIfTrue="1" operator="equal">
      <formula>"Pass"</formula>
    </cfRule>
  </conditionalFormatting>
  <conditionalFormatting sqref="I781">
    <cfRule type="cellIs" dxfId="469" priority="469" stopIfTrue="1" operator="equal">
      <formula>"Pass"</formula>
    </cfRule>
    <cfRule type="cellIs" dxfId="468" priority="470" stopIfTrue="1" operator="equal">
      <formula>"Fail"</formula>
    </cfRule>
  </conditionalFormatting>
  <conditionalFormatting sqref="I780:L781">
    <cfRule type="cellIs" dxfId="467" priority="467" stopIfTrue="1" operator="equal">
      <formula>"Pass"</formula>
    </cfRule>
    <cfRule type="cellIs" dxfId="466" priority="468" stopIfTrue="1" operator="equal">
      <formula>"Fail"</formula>
    </cfRule>
  </conditionalFormatting>
  <conditionalFormatting sqref="V780:V782">
    <cfRule type="cellIs" dxfId="465" priority="465" stopIfTrue="1" operator="equal">
      <formula>"Fail"</formula>
    </cfRule>
    <cfRule type="cellIs" dxfId="464" priority="466" stopIfTrue="1" operator="equal">
      <formula>"Pass"</formula>
    </cfRule>
  </conditionalFormatting>
  <conditionalFormatting sqref="V780">
    <cfRule type="cellIs" dxfId="463" priority="463" stopIfTrue="1" operator="equal">
      <formula>"Fail"</formula>
    </cfRule>
    <cfRule type="cellIs" dxfId="462" priority="464" stopIfTrue="1" operator="equal">
      <formula>"Pass"</formula>
    </cfRule>
  </conditionalFormatting>
  <conditionalFormatting sqref="J780:L781">
    <cfRule type="cellIs" dxfId="461" priority="461" stopIfTrue="1" operator="equal">
      <formula>"Pass"</formula>
    </cfRule>
    <cfRule type="cellIs" dxfId="460" priority="462" stopIfTrue="1" operator="equal">
      <formula>"Fail"</formula>
    </cfRule>
  </conditionalFormatting>
  <conditionalFormatting sqref="I780">
    <cfRule type="cellIs" dxfId="459" priority="459" stopIfTrue="1" operator="equal">
      <formula>"Pass"</formula>
    </cfRule>
    <cfRule type="cellIs" dxfId="458" priority="460" stopIfTrue="1" operator="equal">
      <formula>"Fail"</formula>
    </cfRule>
  </conditionalFormatting>
  <conditionalFormatting sqref="I781">
    <cfRule type="cellIs" dxfId="457" priority="457" stopIfTrue="1" operator="equal">
      <formula>"Pass"</formula>
    </cfRule>
    <cfRule type="cellIs" dxfId="456" priority="458" stopIfTrue="1" operator="equal">
      <formula>"Fail"</formula>
    </cfRule>
  </conditionalFormatting>
  <conditionalFormatting sqref="I780:L781">
    <cfRule type="cellIs" dxfId="455" priority="455" stopIfTrue="1" operator="equal">
      <formula>"Pass"</formula>
    </cfRule>
    <cfRule type="cellIs" dxfId="454" priority="456" stopIfTrue="1" operator="equal">
      <formula>"Fail"</formula>
    </cfRule>
  </conditionalFormatting>
  <conditionalFormatting sqref="J783:L784 I783:I965">
    <cfRule type="cellIs" dxfId="453" priority="453" stopIfTrue="1" operator="equal">
      <formula>"Pass"</formula>
    </cfRule>
    <cfRule type="cellIs" dxfId="452" priority="454" stopIfTrue="1" operator="equal">
      <formula>"Fail"</formula>
    </cfRule>
  </conditionalFormatting>
  <conditionalFormatting sqref="V783:V965">
    <cfRule type="cellIs" dxfId="451" priority="451" stopIfTrue="1" operator="equal">
      <formula>"Fail"</formula>
    </cfRule>
    <cfRule type="cellIs" dxfId="450" priority="452" stopIfTrue="1" operator="equal">
      <formula>"Pass"</formula>
    </cfRule>
  </conditionalFormatting>
  <conditionalFormatting sqref="I783:L783">
    <cfRule type="cellIs" dxfId="449" priority="449" stopIfTrue="1" operator="equal">
      <formula>"Pass"</formula>
    </cfRule>
    <cfRule type="cellIs" dxfId="448" priority="450" stopIfTrue="1" operator="equal">
      <formula>"Fail"</formula>
    </cfRule>
  </conditionalFormatting>
  <conditionalFormatting sqref="A780">
    <cfRule type="cellIs" dxfId="447" priority="448" stopIfTrue="1" operator="equal">
      <formula>TODAY()</formula>
    </cfRule>
  </conditionalFormatting>
  <conditionalFormatting sqref="A783">
    <cfRule type="cellIs" dxfId="446" priority="447" stopIfTrue="1" operator="equal">
      <formula>TODAY()</formula>
    </cfRule>
  </conditionalFormatting>
  <conditionalFormatting sqref="A783">
    <cfRule type="cellIs" dxfId="445" priority="446" stopIfTrue="1" operator="equal">
      <formula>TODAY()</formula>
    </cfRule>
  </conditionalFormatting>
  <conditionalFormatting sqref="A969 A966">
    <cfRule type="cellIs" dxfId="444" priority="445" stopIfTrue="1" operator="equal">
      <formula>TODAY()</formula>
    </cfRule>
  </conditionalFormatting>
  <conditionalFormatting sqref="J968:L968">
    <cfRule type="cellIs" dxfId="443" priority="443" stopIfTrue="1" operator="equal">
      <formula>"Pass"</formula>
    </cfRule>
    <cfRule type="cellIs" dxfId="442" priority="444" stopIfTrue="1" operator="equal">
      <formula>"Fail"</formula>
    </cfRule>
  </conditionalFormatting>
  <conditionalFormatting sqref="I968">
    <cfRule type="cellIs" dxfId="441" priority="441" stopIfTrue="1" operator="equal">
      <formula>"Pass"</formula>
    </cfRule>
    <cfRule type="cellIs" dxfId="440" priority="442" stopIfTrue="1" operator="equal">
      <formula>"Fail"</formula>
    </cfRule>
  </conditionalFormatting>
  <conditionalFormatting sqref="I968:L968">
    <cfRule type="cellIs" dxfId="439" priority="439" stopIfTrue="1" operator="equal">
      <formula>"Pass"</formula>
    </cfRule>
    <cfRule type="cellIs" dxfId="438" priority="440" stopIfTrue="1" operator="equal">
      <formula>"Fail"</formula>
    </cfRule>
  </conditionalFormatting>
  <conditionalFormatting sqref="J968:L968">
    <cfRule type="cellIs" dxfId="437" priority="437" stopIfTrue="1" operator="equal">
      <formula>"Pass"</formula>
    </cfRule>
    <cfRule type="cellIs" dxfId="436" priority="438" stopIfTrue="1" operator="equal">
      <formula>"Fail"</formula>
    </cfRule>
  </conditionalFormatting>
  <conditionalFormatting sqref="I968">
    <cfRule type="cellIs" dxfId="435" priority="435" stopIfTrue="1" operator="equal">
      <formula>"Pass"</formula>
    </cfRule>
    <cfRule type="cellIs" dxfId="434" priority="436" stopIfTrue="1" operator="equal">
      <formula>"Fail"</formula>
    </cfRule>
  </conditionalFormatting>
  <conditionalFormatting sqref="I968:L968">
    <cfRule type="cellIs" dxfId="433" priority="433" stopIfTrue="1" operator="equal">
      <formula>"Pass"</formula>
    </cfRule>
    <cfRule type="cellIs" dxfId="432" priority="434" stopIfTrue="1" operator="equal">
      <formula>"Fail"</formula>
    </cfRule>
  </conditionalFormatting>
  <conditionalFormatting sqref="V966:V968">
    <cfRule type="cellIs" dxfId="431" priority="431" stopIfTrue="1" operator="equal">
      <formula>"Fail"</formula>
    </cfRule>
    <cfRule type="cellIs" dxfId="430" priority="432" stopIfTrue="1" operator="equal">
      <formula>"Pass"</formula>
    </cfRule>
  </conditionalFormatting>
  <conditionalFormatting sqref="J966:L967">
    <cfRule type="cellIs" dxfId="429" priority="429" stopIfTrue="1" operator="equal">
      <formula>"Pass"</formula>
    </cfRule>
    <cfRule type="cellIs" dxfId="428" priority="430" stopIfTrue="1" operator="equal">
      <formula>"Fail"</formula>
    </cfRule>
  </conditionalFormatting>
  <conditionalFormatting sqref="I968 I966">
    <cfRule type="cellIs" dxfId="427" priority="427" stopIfTrue="1" operator="equal">
      <formula>"Pass"</formula>
    </cfRule>
    <cfRule type="cellIs" dxfId="426" priority="428" stopIfTrue="1" operator="equal">
      <formula>"Fail"</formula>
    </cfRule>
  </conditionalFormatting>
  <conditionalFormatting sqref="V966:V968">
    <cfRule type="cellIs" dxfId="425" priority="425" stopIfTrue="1" operator="equal">
      <formula>"Fail"</formula>
    </cfRule>
    <cfRule type="cellIs" dxfId="424" priority="426" stopIfTrue="1" operator="equal">
      <formula>"Pass"</formula>
    </cfRule>
  </conditionalFormatting>
  <conditionalFormatting sqref="V966:V968">
    <cfRule type="cellIs" dxfId="423" priority="423" stopIfTrue="1" operator="equal">
      <formula>"Fail"</formula>
    </cfRule>
    <cfRule type="cellIs" dxfId="422" priority="424" stopIfTrue="1" operator="equal">
      <formula>"Pass"</formula>
    </cfRule>
  </conditionalFormatting>
  <conditionalFormatting sqref="I967">
    <cfRule type="cellIs" dxfId="421" priority="421" stopIfTrue="1" operator="equal">
      <formula>"Pass"</formula>
    </cfRule>
    <cfRule type="cellIs" dxfId="420" priority="422" stopIfTrue="1" operator="equal">
      <formula>"Fail"</formula>
    </cfRule>
  </conditionalFormatting>
  <conditionalFormatting sqref="I966:L967">
    <cfRule type="cellIs" dxfId="419" priority="419" stopIfTrue="1" operator="equal">
      <formula>"Pass"</formula>
    </cfRule>
    <cfRule type="cellIs" dxfId="418" priority="420" stopIfTrue="1" operator="equal">
      <formula>"Fail"</formula>
    </cfRule>
  </conditionalFormatting>
  <conditionalFormatting sqref="V966:V968">
    <cfRule type="cellIs" dxfId="417" priority="417" stopIfTrue="1" operator="equal">
      <formula>"Fail"</formula>
    </cfRule>
    <cfRule type="cellIs" dxfId="416" priority="418" stopIfTrue="1" operator="equal">
      <formula>"Pass"</formula>
    </cfRule>
  </conditionalFormatting>
  <conditionalFormatting sqref="V966">
    <cfRule type="cellIs" dxfId="415" priority="415" stopIfTrue="1" operator="equal">
      <formula>"Fail"</formula>
    </cfRule>
    <cfRule type="cellIs" dxfId="414" priority="416" stopIfTrue="1" operator="equal">
      <formula>"Pass"</formula>
    </cfRule>
  </conditionalFormatting>
  <conditionalFormatting sqref="J966:L967">
    <cfRule type="cellIs" dxfId="413" priority="413" stopIfTrue="1" operator="equal">
      <formula>"Pass"</formula>
    </cfRule>
    <cfRule type="cellIs" dxfId="412" priority="414" stopIfTrue="1" operator="equal">
      <formula>"Fail"</formula>
    </cfRule>
  </conditionalFormatting>
  <conditionalFormatting sqref="I966">
    <cfRule type="cellIs" dxfId="411" priority="411" stopIfTrue="1" operator="equal">
      <formula>"Pass"</formula>
    </cfRule>
    <cfRule type="cellIs" dxfId="410" priority="412" stopIfTrue="1" operator="equal">
      <formula>"Fail"</formula>
    </cfRule>
  </conditionalFormatting>
  <conditionalFormatting sqref="I967">
    <cfRule type="cellIs" dxfId="409" priority="409" stopIfTrue="1" operator="equal">
      <formula>"Pass"</formula>
    </cfRule>
    <cfRule type="cellIs" dxfId="408" priority="410" stopIfTrue="1" operator="equal">
      <formula>"Fail"</formula>
    </cfRule>
  </conditionalFormatting>
  <conditionalFormatting sqref="I966:L967">
    <cfRule type="cellIs" dxfId="407" priority="407" stopIfTrue="1" operator="equal">
      <formula>"Pass"</formula>
    </cfRule>
    <cfRule type="cellIs" dxfId="406" priority="408" stopIfTrue="1" operator="equal">
      <formula>"Fail"</formula>
    </cfRule>
  </conditionalFormatting>
  <conditionalFormatting sqref="J969:L970 I969:I971">
    <cfRule type="cellIs" dxfId="405" priority="405" stopIfTrue="1" operator="equal">
      <formula>"Pass"</formula>
    </cfRule>
    <cfRule type="cellIs" dxfId="404" priority="406" stopIfTrue="1" operator="equal">
      <formula>"Fail"</formula>
    </cfRule>
  </conditionalFormatting>
  <conditionalFormatting sqref="V969:V971">
    <cfRule type="cellIs" dxfId="403" priority="403" stopIfTrue="1" operator="equal">
      <formula>"Fail"</formula>
    </cfRule>
    <cfRule type="cellIs" dxfId="402" priority="404" stopIfTrue="1" operator="equal">
      <formula>"Pass"</formula>
    </cfRule>
  </conditionalFormatting>
  <conditionalFormatting sqref="I969:L969">
    <cfRule type="cellIs" dxfId="401" priority="401" stopIfTrue="1" operator="equal">
      <formula>"Pass"</formula>
    </cfRule>
    <cfRule type="cellIs" dxfId="400" priority="402" stopIfTrue="1" operator="equal">
      <formula>"Fail"</formula>
    </cfRule>
  </conditionalFormatting>
  <conditionalFormatting sqref="A966">
    <cfRule type="cellIs" dxfId="399" priority="400" stopIfTrue="1" operator="equal">
      <formula>TODAY()</formula>
    </cfRule>
  </conditionalFormatting>
  <conditionalFormatting sqref="A969">
    <cfRule type="cellIs" dxfId="398" priority="399" stopIfTrue="1" operator="equal">
      <formula>TODAY()</formula>
    </cfRule>
  </conditionalFormatting>
  <conditionalFormatting sqref="A969">
    <cfRule type="cellIs" dxfId="397" priority="398" stopIfTrue="1" operator="equal">
      <formula>TODAY()</formula>
    </cfRule>
  </conditionalFormatting>
  <conditionalFormatting sqref="A975 A972">
    <cfRule type="cellIs" dxfId="396" priority="397" stopIfTrue="1" operator="equal">
      <formula>TODAY()</formula>
    </cfRule>
  </conditionalFormatting>
  <conditionalFormatting sqref="J974:L974">
    <cfRule type="cellIs" dxfId="395" priority="395" stopIfTrue="1" operator="equal">
      <formula>"Pass"</formula>
    </cfRule>
    <cfRule type="cellIs" dxfId="394" priority="396" stopIfTrue="1" operator="equal">
      <formula>"Fail"</formula>
    </cfRule>
  </conditionalFormatting>
  <conditionalFormatting sqref="I974">
    <cfRule type="cellIs" dxfId="393" priority="393" stopIfTrue="1" operator="equal">
      <formula>"Pass"</formula>
    </cfRule>
    <cfRule type="cellIs" dxfId="392" priority="394" stopIfTrue="1" operator="equal">
      <formula>"Fail"</formula>
    </cfRule>
  </conditionalFormatting>
  <conditionalFormatting sqref="I974:L974">
    <cfRule type="cellIs" dxfId="391" priority="391" stopIfTrue="1" operator="equal">
      <formula>"Pass"</formula>
    </cfRule>
    <cfRule type="cellIs" dxfId="390" priority="392" stopIfTrue="1" operator="equal">
      <formula>"Fail"</formula>
    </cfRule>
  </conditionalFormatting>
  <conditionalFormatting sqref="J974:L974">
    <cfRule type="cellIs" dxfId="389" priority="389" stopIfTrue="1" operator="equal">
      <formula>"Pass"</formula>
    </cfRule>
    <cfRule type="cellIs" dxfId="388" priority="390" stopIfTrue="1" operator="equal">
      <formula>"Fail"</formula>
    </cfRule>
  </conditionalFormatting>
  <conditionalFormatting sqref="I974">
    <cfRule type="cellIs" dxfId="387" priority="387" stopIfTrue="1" operator="equal">
      <formula>"Pass"</formula>
    </cfRule>
    <cfRule type="cellIs" dxfId="386" priority="388" stopIfTrue="1" operator="equal">
      <formula>"Fail"</formula>
    </cfRule>
  </conditionalFormatting>
  <conditionalFormatting sqref="I974:L974">
    <cfRule type="cellIs" dxfId="385" priority="385" stopIfTrue="1" operator="equal">
      <formula>"Pass"</formula>
    </cfRule>
    <cfRule type="cellIs" dxfId="384" priority="386" stopIfTrue="1" operator="equal">
      <formula>"Fail"</formula>
    </cfRule>
  </conditionalFormatting>
  <conditionalFormatting sqref="V972:V974">
    <cfRule type="cellIs" dxfId="383" priority="383" stopIfTrue="1" operator="equal">
      <formula>"Fail"</formula>
    </cfRule>
    <cfRule type="cellIs" dxfId="382" priority="384" stopIfTrue="1" operator="equal">
      <formula>"Pass"</formula>
    </cfRule>
  </conditionalFormatting>
  <conditionalFormatting sqref="J972:L973">
    <cfRule type="cellIs" dxfId="381" priority="381" stopIfTrue="1" operator="equal">
      <formula>"Pass"</formula>
    </cfRule>
    <cfRule type="cellIs" dxfId="380" priority="382" stopIfTrue="1" operator="equal">
      <formula>"Fail"</formula>
    </cfRule>
  </conditionalFormatting>
  <conditionalFormatting sqref="I974 I972">
    <cfRule type="cellIs" dxfId="379" priority="379" stopIfTrue="1" operator="equal">
      <formula>"Pass"</formula>
    </cfRule>
    <cfRule type="cellIs" dxfId="378" priority="380" stopIfTrue="1" operator="equal">
      <formula>"Fail"</formula>
    </cfRule>
  </conditionalFormatting>
  <conditionalFormatting sqref="V972:V974">
    <cfRule type="cellIs" dxfId="377" priority="377" stopIfTrue="1" operator="equal">
      <formula>"Fail"</formula>
    </cfRule>
    <cfRule type="cellIs" dxfId="376" priority="378" stopIfTrue="1" operator="equal">
      <formula>"Pass"</formula>
    </cfRule>
  </conditionalFormatting>
  <conditionalFormatting sqref="V972:V974">
    <cfRule type="cellIs" dxfId="375" priority="375" stopIfTrue="1" operator="equal">
      <formula>"Fail"</formula>
    </cfRule>
    <cfRule type="cellIs" dxfId="374" priority="376" stopIfTrue="1" operator="equal">
      <formula>"Pass"</formula>
    </cfRule>
  </conditionalFormatting>
  <conditionalFormatting sqref="I973">
    <cfRule type="cellIs" dxfId="373" priority="373" stopIfTrue="1" operator="equal">
      <formula>"Pass"</formula>
    </cfRule>
    <cfRule type="cellIs" dxfId="372" priority="374" stopIfTrue="1" operator="equal">
      <formula>"Fail"</formula>
    </cfRule>
  </conditionalFormatting>
  <conditionalFormatting sqref="I972:L973">
    <cfRule type="cellIs" dxfId="371" priority="371" stopIfTrue="1" operator="equal">
      <formula>"Pass"</formula>
    </cfRule>
    <cfRule type="cellIs" dxfId="370" priority="372" stopIfTrue="1" operator="equal">
      <formula>"Fail"</formula>
    </cfRule>
  </conditionalFormatting>
  <conditionalFormatting sqref="V972:V974">
    <cfRule type="cellIs" dxfId="369" priority="369" stopIfTrue="1" operator="equal">
      <formula>"Fail"</formula>
    </cfRule>
    <cfRule type="cellIs" dxfId="368" priority="370" stopIfTrue="1" operator="equal">
      <formula>"Pass"</formula>
    </cfRule>
  </conditionalFormatting>
  <conditionalFormatting sqref="V972">
    <cfRule type="cellIs" dxfId="367" priority="367" stopIfTrue="1" operator="equal">
      <formula>"Fail"</formula>
    </cfRule>
    <cfRule type="cellIs" dxfId="366" priority="368" stopIfTrue="1" operator="equal">
      <formula>"Pass"</formula>
    </cfRule>
  </conditionalFormatting>
  <conditionalFormatting sqref="J972:L973">
    <cfRule type="cellIs" dxfId="365" priority="365" stopIfTrue="1" operator="equal">
      <formula>"Pass"</formula>
    </cfRule>
    <cfRule type="cellIs" dxfId="364" priority="366" stopIfTrue="1" operator="equal">
      <formula>"Fail"</formula>
    </cfRule>
  </conditionalFormatting>
  <conditionalFormatting sqref="I972">
    <cfRule type="cellIs" dxfId="363" priority="363" stopIfTrue="1" operator="equal">
      <formula>"Pass"</formula>
    </cfRule>
    <cfRule type="cellIs" dxfId="362" priority="364" stopIfTrue="1" operator="equal">
      <formula>"Fail"</formula>
    </cfRule>
  </conditionalFormatting>
  <conditionalFormatting sqref="I973">
    <cfRule type="cellIs" dxfId="361" priority="361" stopIfTrue="1" operator="equal">
      <formula>"Pass"</formula>
    </cfRule>
    <cfRule type="cellIs" dxfId="360" priority="362" stopIfTrue="1" operator="equal">
      <formula>"Fail"</formula>
    </cfRule>
  </conditionalFormatting>
  <conditionalFormatting sqref="I972:L973">
    <cfRule type="cellIs" dxfId="359" priority="359" stopIfTrue="1" operator="equal">
      <formula>"Pass"</formula>
    </cfRule>
    <cfRule type="cellIs" dxfId="358" priority="360" stopIfTrue="1" operator="equal">
      <formula>"Fail"</formula>
    </cfRule>
  </conditionalFormatting>
  <conditionalFormatting sqref="J975:L976 I975:I977">
    <cfRule type="cellIs" dxfId="357" priority="357" stopIfTrue="1" operator="equal">
      <formula>"Pass"</formula>
    </cfRule>
    <cfRule type="cellIs" dxfId="356" priority="358" stopIfTrue="1" operator="equal">
      <formula>"Fail"</formula>
    </cfRule>
  </conditionalFormatting>
  <conditionalFormatting sqref="V975:V977">
    <cfRule type="cellIs" dxfId="355" priority="355" stopIfTrue="1" operator="equal">
      <formula>"Fail"</formula>
    </cfRule>
    <cfRule type="cellIs" dxfId="354" priority="356" stopIfTrue="1" operator="equal">
      <formula>"Pass"</formula>
    </cfRule>
  </conditionalFormatting>
  <conditionalFormatting sqref="I975:L975">
    <cfRule type="cellIs" dxfId="353" priority="353" stopIfTrue="1" operator="equal">
      <formula>"Pass"</formula>
    </cfRule>
    <cfRule type="cellIs" dxfId="352" priority="354" stopIfTrue="1" operator="equal">
      <formula>"Fail"</formula>
    </cfRule>
  </conditionalFormatting>
  <conditionalFormatting sqref="A972">
    <cfRule type="cellIs" dxfId="351" priority="352" stopIfTrue="1" operator="equal">
      <formula>TODAY()</formula>
    </cfRule>
  </conditionalFormatting>
  <conditionalFormatting sqref="A975">
    <cfRule type="cellIs" dxfId="350" priority="351" stopIfTrue="1" operator="equal">
      <formula>TODAY()</formula>
    </cfRule>
  </conditionalFormatting>
  <conditionalFormatting sqref="A975">
    <cfRule type="cellIs" dxfId="349" priority="350" stopIfTrue="1" operator="equal">
      <formula>TODAY()</formula>
    </cfRule>
  </conditionalFormatting>
  <conditionalFormatting sqref="A981 A978">
    <cfRule type="cellIs" dxfId="348" priority="349" stopIfTrue="1" operator="equal">
      <formula>TODAY()</formula>
    </cfRule>
  </conditionalFormatting>
  <conditionalFormatting sqref="J980:L980">
    <cfRule type="cellIs" dxfId="347" priority="347" stopIfTrue="1" operator="equal">
      <formula>"Pass"</formula>
    </cfRule>
    <cfRule type="cellIs" dxfId="346" priority="348" stopIfTrue="1" operator="equal">
      <formula>"Fail"</formula>
    </cfRule>
  </conditionalFormatting>
  <conditionalFormatting sqref="I980">
    <cfRule type="cellIs" dxfId="345" priority="345" stopIfTrue="1" operator="equal">
      <formula>"Pass"</formula>
    </cfRule>
    <cfRule type="cellIs" dxfId="344" priority="346" stopIfTrue="1" operator="equal">
      <formula>"Fail"</formula>
    </cfRule>
  </conditionalFormatting>
  <conditionalFormatting sqref="I980:L980">
    <cfRule type="cellIs" dxfId="343" priority="343" stopIfTrue="1" operator="equal">
      <formula>"Pass"</formula>
    </cfRule>
    <cfRule type="cellIs" dxfId="342" priority="344" stopIfTrue="1" operator="equal">
      <formula>"Fail"</formula>
    </cfRule>
  </conditionalFormatting>
  <conditionalFormatting sqref="J980:L980">
    <cfRule type="cellIs" dxfId="341" priority="341" stopIfTrue="1" operator="equal">
      <formula>"Pass"</formula>
    </cfRule>
    <cfRule type="cellIs" dxfId="340" priority="342" stopIfTrue="1" operator="equal">
      <formula>"Fail"</formula>
    </cfRule>
  </conditionalFormatting>
  <conditionalFormatting sqref="I980">
    <cfRule type="cellIs" dxfId="339" priority="339" stopIfTrue="1" operator="equal">
      <formula>"Pass"</formula>
    </cfRule>
    <cfRule type="cellIs" dxfId="338" priority="340" stopIfTrue="1" operator="equal">
      <formula>"Fail"</formula>
    </cfRule>
  </conditionalFormatting>
  <conditionalFormatting sqref="I980:L980">
    <cfRule type="cellIs" dxfId="337" priority="337" stopIfTrue="1" operator="equal">
      <formula>"Pass"</formula>
    </cfRule>
    <cfRule type="cellIs" dxfId="336" priority="338" stopIfTrue="1" operator="equal">
      <formula>"Fail"</formula>
    </cfRule>
  </conditionalFormatting>
  <conditionalFormatting sqref="V978:V980">
    <cfRule type="cellIs" dxfId="335" priority="335" stopIfTrue="1" operator="equal">
      <formula>"Fail"</formula>
    </cfRule>
    <cfRule type="cellIs" dxfId="334" priority="336" stopIfTrue="1" operator="equal">
      <formula>"Pass"</formula>
    </cfRule>
  </conditionalFormatting>
  <conditionalFormatting sqref="J978:L979">
    <cfRule type="cellIs" dxfId="333" priority="333" stopIfTrue="1" operator="equal">
      <formula>"Pass"</formula>
    </cfRule>
    <cfRule type="cellIs" dxfId="332" priority="334" stopIfTrue="1" operator="equal">
      <formula>"Fail"</formula>
    </cfRule>
  </conditionalFormatting>
  <conditionalFormatting sqref="I980 I978">
    <cfRule type="cellIs" dxfId="331" priority="331" stopIfTrue="1" operator="equal">
      <formula>"Pass"</formula>
    </cfRule>
    <cfRule type="cellIs" dxfId="330" priority="332" stopIfTrue="1" operator="equal">
      <formula>"Fail"</formula>
    </cfRule>
  </conditionalFormatting>
  <conditionalFormatting sqref="V978:V980">
    <cfRule type="cellIs" dxfId="329" priority="329" stopIfTrue="1" operator="equal">
      <formula>"Fail"</formula>
    </cfRule>
    <cfRule type="cellIs" dxfId="328" priority="330" stopIfTrue="1" operator="equal">
      <formula>"Pass"</formula>
    </cfRule>
  </conditionalFormatting>
  <conditionalFormatting sqref="V978:V980">
    <cfRule type="cellIs" dxfId="327" priority="327" stopIfTrue="1" operator="equal">
      <formula>"Fail"</formula>
    </cfRule>
    <cfRule type="cellIs" dxfId="326" priority="328" stopIfTrue="1" operator="equal">
      <formula>"Pass"</formula>
    </cfRule>
  </conditionalFormatting>
  <conditionalFormatting sqref="I979">
    <cfRule type="cellIs" dxfId="325" priority="325" stopIfTrue="1" operator="equal">
      <formula>"Pass"</formula>
    </cfRule>
    <cfRule type="cellIs" dxfId="324" priority="326" stopIfTrue="1" operator="equal">
      <formula>"Fail"</formula>
    </cfRule>
  </conditionalFormatting>
  <conditionalFormatting sqref="I978:L979">
    <cfRule type="cellIs" dxfId="323" priority="323" stopIfTrue="1" operator="equal">
      <formula>"Pass"</formula>
    </cfRule>
    <cfRule type="cellIs" dxfId="322" priority="324" stopIfTrue="1" operator="equal">
      <formula>"Fail"</formula>
    </cfRule>
  </conditionalFormatting>
  <conditionalFormatting sqref="V978:V980">
    <cfRule type="cellIs" dxfId="321" priority="321" stopIfTrue="1" operator="equal">
      <formula>"Fail"</formula>
    </cfRule>
    <cfRule type="cellIs" dxfId="320" priority="322" stopIfTrue="1" operator="equal">
      <formula>"Pass"</formula>
    </cfRule>
  </conditionalFormatting>
  <conditionalFormatting sqref="V978">
    <cfRule type="cellIs" dxfId="319" priority="319" stopIfTrue="1" operator="equal">
      <formula>"Fail"</formula>
    </cfRule>
    <cfRule type="cellIs" dxfId="318" priority="320" stopIfTrue="1" operator="equal">
      <formula>"Pass"</formula>
    </cfRule>
  </conditionalFormatting>
  <conditionalFormatting sqref="J978:L979">
    <cfRule type="cellIs" dxfId="317" priority="317" stopIfTrue="1" operator="equal">
      <formula>"Pass"</formula>
    </cfRule>
    <cfRule type="cellIs" dxfId="316" priority="318" stopIfTrue="1" operator="equal">
      <formula>"Fail"</formula>
    </cfRule>
  </conditionalFormatting>
  <conditionalFormatting sqref="I978">
    <cfRule type="cellIs" dxfId="315" priority="315" stopIfTrue="1" operator="equal">
      <formula>"Pass"</formula>
    </cfRule>
    <cfRule type="cellIs" dxfId="314" priority="316" stopIfTrue="1" operator="equal">
      <formula>"Fail"</formula>
    </cfRule>
  </conditionalFormatting>
  <conditionalFormatting sqref="I979">
    <cfRule type="cellIs" dxfId="313" priority="313" stopIfTrue="1" operator="equal">
      <formula>"Pass"</formula>
    </cfRule>
    <cfRule type="cellIs" dxfId="312" priority="314" stopIfTrue="1" operator="equal">
      <formula>"Fail"</formula>
    </cfRule>
  </conditionalFormatting>
  <conditionalFormatting sqref="I978:L979">
    <cfRule type="cellIs" dxfId="311" priority="311" stopIfTrue="1" operator="equal">
      <formula>"Pass"</formula>
    </cfRule>
    <cfRule type="cellIs" dxfId="310" priority="312" stopIfTrue="1" operator="equal">
      <formula>"Fail"</formula>
    </cfRule>
  </conditionalFormatting>
  <conditionalFormatting sqref="J981:L982 I981:I983">
    <cfRule type="cellIs" dxfId="309" priority="309" stopIfTrue="1" operator="equal">
      <formula>"Pass"</formula>
    </cfRule>
    <cfRule type="cellIs" dxfId="308" priority="310" stopIfTrue="1" operator="equal">
      <formula>"Fail"</formula>
    </cfRule>
  </conditionalFormatting>
  <conditionalFormatting sqref="V981:V983">
    <cfRule type="cellIs" dxfId="307" priority="307" stopIfTrue="1" operator="equal">
      <formula>"Fail"</formula>
    </cfRule>
    <cfRule type="cellIs" dxfId="306" priority="308" stopIfTrue="1" operator="equal">
      <formula>"Pass"</formula>
    </cfRule>
  </conditionalFormatting>
  <conditionalFormatting sqref="I981:L981">
    <cfRule type="cellIs" dxfId="305" priority="305" stopIfTrue="1" operator="equal">
      <formula>"Pass"</formula>
    </cfRule>
    <cfRule type="cellIs" dxfId="304" priority="306" stopIfTrue="1" operator="equal">
      <formula>"Fail"</formula>
    </cfRule>
  </conditionalFormatting>
  <conditionalFormatting sqref="A978">
    <cfRule type="cellIs" dxfId="303" priority="304" stopIfTrue="1" operator="equal">
      <formula>TODAY()</formula>
    </cfRule>
  </conditionalFormatting>
  <conditionalFormatting sqref="A981">
    <cfRule type="cellIs" dxfId="302" priority="303" stopIfTrue="1" operator="equal">
      <formula>TODAY()</formula>
    </cfRule>
  </conditionalFormatting>
  <conditionalFormatting sqref="A981">
    <cfRule type="cellIs" dxfId="301" priority="302" stopIfTrue="1" operator="equal">
      <formula>TODAY()</formula>
    </cfRule>
  </conditionalFormatting>
  <conditionalFormatting sqref="A987 A984">
    <cfRule type="cellIs" dxfId="300" priority="301" stopIfTrue="1" operator="equal">
      <formula>TODAY()</formula>
    </cfRule>
  </conditionalFormatting>
  <conditionalFormatting sqref="J986:L986">
    <cfRule type="cellIs" dxfId="299" priority="299" stopIfTrue="1" operator="equal">
      <formula>"Pass"</formula>
    </cfRule>
    <cfRule type="cellIs" dxfId="298" priority="300" stopIfTrue="1" operator="equal">
      <formula>"Fail"</formula>
    </cfRule>
  </conditionalFormatting>
  <conditionalFormatting sqref="I986">
    <cfRule type="cellIs" dxfId="297" priority="297" stopIfTrue="1" operator="equal">
      <formula>"Pass"</formula>
    </cfRule>
    <cfRule type="cellIs" dxfId="296" priority="298" stopIfTrue="1" operator="equal">
      <formula>"Fail"</formula>
    </cfRule>
  </conditionalFormatting>
  <conditionalFormatting sqref="I986:L986">
    <cfRule type="cellIs" dxfId="295" priority="295" stopIfTrue="1" operator="equal">
      <formula>"Pass"</formula>
    </cfRule>
    <cfRule type="cellIs" dxfId="294" priority="296" stopIfTrue="1" operator="equal">
      <formula>"Fail"</formula>
    </cfRule>
  </conditionalFormatting>
  <conditionalFormatting sqref="J986:L986">
    <cfRule type="cellIs" dxfId="293" priority="293" stopIfTrue="1" operator="equal">
      <formula>"Pass"</formula>
    </cfRule>
    <cfRule type="cellIs" dxfId="292" priority="294" stopIfTrue="1" operator="equal">
      <formula>"Fail"</formula>
    </cfRule>
  </conditionalFormatting>
  <conditionalFormatting sqref="I986">
    <cfRule type="cellIs" dxfId="291" priority="291" stopIfTrue="1" operator="equal">
      <formula>"Pass"</formula>
    </cfRule>
    <cfRule type="cellIs" dxfId="290" priority="292" stopIfTrue="1" operator="equal">
      <formula>"Fail"</formula>
    </cfRule>
  </conditionalFormatting>
  <conditionalFormatting sqref="I986:L986">
    <cfRule type="cellIs" dxfId="289" priority="289" stopIfTrue="1" operator="equal">
      <formula>"Pass"</formula>
    </cfRule>
    <cfRule type="cellIs" dxfId="288" priority="290" stopIfTrue="1" operator="equal">
      <formula>"Fail"</formula>
    </cfRule>
  </conditionalFormatting>
  <conditionalFormatting sqref="V984:V986">
    <cfRule type="cellIs" dxfId="287" priority="287" stopIfTrue="1" operator="equal">
      <formula>"Fail"</formula>
    </cfRule>
    <cfRule type="cellIs" dxfId="286" priority="288" stopIfTrue="1" operator="equal">
      <formula>"Pass"</formula>
    </cfRule>
  </conditionalFormatting>
  <conditionalFormatting sqref="J984:L985">
    <cfRule type="cellIs" dxfId="285" priority="285" stopIfTrue="1" operator="equal">
      <formula>"Pass"</formula>
    </cfRule>
    <cfRule type="cellIs" dxfId="284" priority="286" stopIfTrue="1" operator="equal">
      <formula>"Fail"</formula>
    </cfRule>
  </conditionalFormatting>
  <conditionalFormatting sqref="I986 I984">
    <cfRule type="cellIs" dxfId="283" priority="283" stopIfTrue="1" operator="equal">
      <formula>"Pass"</formula>
    </cfRule>
    <cfRule type="cellIs" dxfId="282" priority="284" stopIfTrue="1" operator="equal">
      <formula>"Fail"</formula>
    </cfRule>
  </conditionalFormatting>
  <conditionalFormatting sqref="V984:V986">
    <cfRule type="cellIs" dxfId="281" priority="281" stopIfTrue="1" operator="equal">
      <formula>"Fail"</formula>
    </cfRule>
    <cfRule type="cellIs" dxfId="280" priority="282" stopIfTrue="1" operator="equal">
      <formula>"Pass"</formula>
    </cfRule>
  </conditionalFormatting>
  <conditionalFormatting sqref="V984:V986">
    <cfRule type="cellIs" dxfId="279" priority="279" stopIfTrue="1" operator="equal">
      <formula>"Fail"</formula>
    </cfRule>
    <cfRule type="cellIs" dxfId="278" priority="280" stopIfTrue="1" operator="equal">
      <formula>"Pass"</formula>
    </cfRule>
  </conditionalFormatting>
  <conditionalFormatting sqref="I985">
    <cfRule type="cellIs" dxfId="277" priority="277" stopIfTrue="1" operator="equal">
      <formula>"Pass"</formula>
    </cfRule>
    <cfRule type="cellIs" dxfId="276" priority="278" stopIfTrue="1" operator="equal">
      <formula>"Fail"</formula>
    </cfRule>
  </conditionalFormatting>
  <conditionalFormatting sqref="I984:L985">
    <cfRule type="cellIs" dxfId="275" priority="275" stopIfTrue="1" operator="equal">
      <formula>"Pass"</formula>
    </cfRule>
    <cfRule type="cellIs" dxfId="274" priority="276" stopIfTrue="1" operator="equal">
      <formula>"Fail"</formula>
    </cfRule>
  </conditionalFormatting>
  <conditionalFormatting sqref="V984:V986">
    <cfRule type="cellIs" dxfId="273" priority="273" stopIfTrue="1" operator="equal">
      <formula>"Fail"</formula>
    </cfRule>
    <cfRule type="cellIs" dxfId="272" priority="274" stopIfTrue="1" operator="equal">
      <formula>"Pass"</formula>
    </cfRule>
  </conditionalFormatting>
  <conditionalFormatting sqref="V984">
    <cfRule type="cellIs" dxfId="271" priority="271" stopIfTrue="1" operator="equal">
      <formula>"Fail"</formula>
    </cfRule>
    <cfRule type="cellIs" dxfId="270" priority="272" stopIfTrue="1" operator="equal">
      <formula>"Pass"</formula>
    </cfRule>
  </conditionalFormatting>
  <conditionalFormatting sqref="J984:L985">
    <cfRule type="cellIs" dxfId="269" priority="269" stopIfTrue="1" operator="equal">
      <formula>"Pass"</formula>
    </cfRule>
    <cfRule type="cellIs" dxfId="268" priority="270" stopIfTrue="1" operator="equal">
      <formula>"Fail"</formula>
    </cfRule>
  </conditionalFormatting>
  <conditionalFormatting sqref="I984">
    <cfRule type="cellIs" dxfId="267" priority="267" stopIfTrue="1" operator="equal">
      <formula>"Pass"</formula>
    </cfRule>
    <cfRule type="cellIs" dxfId="266" priority="268" stopIfTrue="1" operator="equal">
      <formula>"Fail"</formula>
    </cfRule>
  </conditionalFormatting>
  <conditionalFormatting sqref="I985">
    <cfRule type="cellIs" dxfId="265" priority="265" stopIfTrue="1" operator="equal">
      <formula>"Pass"</formula>
    </cfRule>
    <cfRule type="cellIs" dxfId="264" priority="266" stopIfTrue="1" operator="equal">
      <formula>"Fail"</formula>
    </cfRule>
  </conditionalFormatting>
  <conditionalFormatting sqref="I984:L985">
    <cfRule type="cellIs" dxfId="263" priority="263" stopIfTrue="1" operator="equal">
      <formula>"Pass"</formula>
    </cfRule>
    <cfRule type="cellIs" dxfId="262" priority="264" stopIfTrue="1" operator="equal">
      <formula>"Fail"</formula>
    </cfRule>
  </conditionalFormatting>
  <conditionalFormatting sqref="J987:L988 I987:I989">
    <cfRule type="cellIs" dxfId="261" priority="261" stopIfTrue="1" operator="equal">
      <formula>"Pass"</formula>
    </cfRule>
    <cfRule type="cellIs" dxfId="260" priority="262" stopIfTrue="1" operator="equal">
      <formula>"Fail"</formula>
    </cfRule>
  </conditionalFormatting>
  <conditionalFormatting sqref="V987:V989">
    <cfRule type="cellIs" dxfId="259" priority="259" stopIfTrue="1" operator="equal">
      <formula>"Fail"</formula>
    </cfRule>
    <cfRule type="cellIs" dxfId="258" priority="260" stopIfTrue="1" operator="equal">
      <formula>"Pass"</formula>
    </cfRule>
  </conditionalFormatting>
  <conditionalFormatting sqref="I987:L987">
    <cfRule type="cellIs" dxfId="257" priority="257" stopIfTrue="1" operator="equal">
      <formula>"Pass"</formula>
    </cfRule>
    <cfRule type="cellIs" dxfId="256" priority="258" stopIfTrue="1" operator="equal">
      <formula>"Fail"</formula>
    </cfRule>
  </conditionalFormatting>
  <conditionalFormatting sqref="A984">
    <cfRule type="cellIs" dxfId="255" priority="256" stopIfTrue="1" operator="equal">
      <formula>TODAY()</formula>
    </cfRule>
  </conditionalFormatting>
  <conditionalFormatting sqref="A987">
    <cfRule type="cellIs" dxfId="254" priority="255" stopIfTrue="1" operator="equal">
      <formula>TODAY()</formula>
    </cfRule>
  </conditionalFormatting>
  <conditionalFormatting sqref="A987">
    <cfRule type="cellIs" dxfId="253" priority="254" stopIfTrue="1" operator="equal">
      <formula>TODAY()</formula>
    </cfRule>
  </conditionalFormatting>
  <conditionalFormatting sqref="A993 A990">
    <cfRule type="cellIs" dxfId="252" priority="253" stopIfTrue="1" operator="equal">
      <formula>TODAY()</formula>
    </cfRule>
  </conditionalFormatting>
  <conditionalFormatting sqref="J992:L992">
    <cfRule type="cellIs" dxfId="251" priority="251" stopIfTrue="1" operator="equal">
      <formula>"Pass"</formula>
    </cfRule>
    <cfRule type="cellIs" dxfId="250" priority="252" stopIfTrue="1" operator="equal">
      <formula>"Fail"</formula>
    </cfRule>
  </conditionalFormatting>
  <conditionalFormatting sqref="I992">
    <cfRule type="cellIs" dxfId="249" priority="249" stopIfTrue="1" operator="equal">
      <formula>"Pass"</formula>
    </cfRule>
    <cfRule type="cellIs" dxfId="248" priority="250" stopIfTrue="1" operator="equal">
      <formula>"Fail"</formula>
    </cfRule>
  </conditionalFormatting>
  <conditionalFormatting sqref="I992:L992">
    <cfRule type="cellIs" dxfId="247" priority="247" stopIfTrue="1" operator="equal">
      <formula>"Pass"</formula>
    </cfRule>
    <cfRule type="cellIs" dxfId="246" priority="248" stopIfTrue="1" operator="equal">
      <formula>"Fail"</formula>
    </cfRule>
  </conditionalFormatting>
  <conditionalFormatting sqref="J992:L992">
    <cfRule type="cellIs" dxfId="245" priority="245" stopIfTrue="1" operator="equal">
      <formula>"Pass"</formula>
    </cfRule>
    <cfRule type="cellIs" dxfId="244" priority="246" stopIfTrue="1" operator="equal">
      <formula>"Fail"</formula>
    </cfRule>
  </conditionalFormatting>
  <conditionalFormatting sqref="I992">
    <cfRule type="cellIs" dxfId="243" priority="243" stopIfTrue="1" operator="equal">
      <formula>"Pass"</formula>
    </cfRule>
    <cfRule type="cellIs" dxfId="242" priority="244" stopIfTrue="1" operator="equal">
      <formula>"Fail"</formula>
    </cfRule>
  </conditionalFormatting>
  <conditionalFormatting sqref="I992:L992">
    <cfRule type="cellIs" dxfId="241" priority="241" stopIfTrue="1" operator="equal">
      <formula>"Pass"</formula>
    </cfRule>
    <cfRule type="cellIs" dxfId="240" priority="242" stopIfTrue="1" operator="equal">
      <formula>"Fail"</formula>
    </cfRule>
  </conditionalFormatting>
  <conditionalFormatting sqref="V990:V992">
    <cfRule type="cellIs" dxfId="239" priority="239" stopIfTrue="1" operator="equal">
      <formula>"Fail"</formula>
    </cfRule>
    <cfRule type="cellIs" dxfId="238" priority="240" stopIfTrue="1" operator="equal">
      <formula>"Pass"</formula>
    </cfRule>
  </conditionalFormatting>
  <conditionalFormatting sqref="J990:L991">
    <cfRule type="cellIs" dxfId="237" priority="237" stopIfTrue="1" operator="equal">
      <formula>"Pass"</formula>
    </cfRule>
    <cfRule type="cellIs" dxfId="236" priority="238" stopIfTrue="1" operator="equal">
      <formula>"Fail"</formula>
    </cfRule>
  </conditionalFormatting>
  <conditionalFormatting sqref="I992 I990">
    <cfRule type="cellIs" dxfId="235" priority="235" stopIfTrue="1" operator="equal">
      <formula>"Pass"</formula>
    </cfRule>
    <cfRule type="cellIs" dxfId="234" priority="236" stopIfTrue="1" operator="equal">
      <formula>"Fail"</formula>
    </cfRule>
  </conditionalFormatting>
  <conditionalFormatting sqref="V990:V992">
    <cfRule type="cellIs" dxfId="233" priority="233" stopIfTrue="1" operator="equal">
      <formula>"Fail"</formula>
    </cfRule>
    <cfRule type="cellIs" dxfId="232" priority="234" stopIfTrue="1" operator="equal">
      <formula>"Pass"</formula>
    </cfRule>
  </conditionalFormatting>
  <conditionalFormatting sqref="V990:V992">
    <cfRule type="cellIs" dxfId="231" priority="231" stopIfTrue="1" operator="equal">
      <formula>"Fail"</formula>
    </cfRule>
    <cfRule type="cellIs" dxfId="230" priority="232" stopIfTrue="1" operator="equal">
      <formula>"Pass"</formula>
    </cfRule>
  </conditionalFormatting>
  <conditionalFormatting sqref="I991">
    <cfRule type="cellIs" dxfId="229" priority="229" stopIfTrue="1" operator="equal">
      <formula>"Pass"</formula>
    </cfRule>
    <cfRule type="cellIs" dxfId="228" priority="230" stopIfTrue="1" operator="equal">
      <formula>"Fail"</formula>
    </cfRule>
  </conditionalFormatting>
  <conditionalFormatting sqref="I990:L991">
    <cfRule type="cellIs" dxfId="227" priority="227" stopIfTrue="1" operator="equal">
      <formula>"Pass"</formula>
    </cfRule>
    <cfRule type="cellIs" dxfId="226" priority="228" stopIfTrue="1" operator="equal">
      <formula>"Fail"</formula>
    </cfRule>
  </conditionalFormatting>
  <conditionalFormatting sqref="V990:V992">
    <cfRule type="cellIs" dxfId="225" priority="225" stopIfTrue="1" operator="equal">
      <formula>"Fail"</formula>
    </cfRule>
    <cfRule type="cellIs" dxfId="224" priority="226" stopIfTrue="1" operator="equal">
      <formula>"Pass"</formula>
    </cfRule>
  </conditionalFormatting>
  <conditionalFormatting sqref="V990">
    <cfRule type="cellIs" dxfId="223" priority="223" stopIfTrue="1" operator="equal">
      <formula>"Fail"</formula>
    </cfRule>
    <cfRule type="cellIs" dxfId="222" priority="224" stopIfTrue="1" operator="equal">
      <formula>"Pass"</formula>
    </cfRule>
  </conditionalFormatting>
  <conditionalFormatting sqref="J990:L991">
    <cfRule type="cellIs" dxfId="221" priority="221" stopIfTrue="1" operator="equal">
      <formula>"Pass"</formula>
    </cfRule>
    <cfRule type="cellIs" dxfId="220" priority="222" stopIfTrue="1" operator="equal">
      <formula>"Fail"</formula>
    </cfRule>
  </conditionalFormatting>
  <conditionalFormatting sqref="I990">
    <cfRule type="cellIs" dxfId="219" priority="219" stopIfTrue="1" operator="equal">
      <formula>"Pass"</formula>
    </cfRule>
    <cfRule type="cellIs" dxfId="218" priority="220" stopIfTrue="1" operator="equal">
      <formula>"Fail"</formula>
    </cfRule>
  </conditionalFormatting>
  <conditionalFormatting sqref="I991">
    <cfRule type="cellIs" dxfId="217" priority="217" stopIfTrue="1" operator="equal">
      <formula>"Pass"</formula>
    </cfRule>
    <cfRule type="cellIs" dxfId="216" priority="218" stopIfTrue="1" operator="equal">
      <formula>"Fail"</formula>
    </cfRule>
  </conditionalFormatting>
  <conditionalFormatting sqref="I990:L991">
    <cfRule type="cellIs" dxfId="215" priority="215" stopIfTrue="1" operator="equal">
      <formula>"Pass"</formula>
    </cfRule>
    <cfRule type="cellIs" dxfId="214" priority="216" stopIfTrue="1" operator="equal">
      <formula>"Fail"</formula>
    </cfRule>
  </conditionalFormatting>
  <conditionalFormatting sqref="J993:L994 I993:I995">
    <cfRule type="cellIs" dxfId="213" priority="213" stopIfTrue="1" operator="equal">
      <formula>"Pass"</formula>
    </cfRule>
    <cfRule type="cellIs" dxfId="212" priority="214" stopIfTrue="1" operator="equal">
      <formula>"Fail"</formula>
    </cfRule>
  </conditionalFormatting>
  <conditionalFormatting sqref="V993:V995">
    <cfRule type="cellIs" dxfId="211" priority="211" stopIfTrue="1" operator="equal">
      <formula>"Fail"</formula>
    </cfRule>
    <cfRule type="cellIs" dxfId="210" priority="212" stopIfTrue="1" operator="equal">
      <formula>"Pass"</formula>
    </cfRule>
  </conditionalFormatting>
  <conditionalFormatting sqref="I993:L993">
    <cfRule type="cellIs" dxfId="209" priority="209" stopIfTrue="1" operator="equal">
      <formula>"Pass"</formula>
    </cfRule>
    <cfRule type="cellIs" dxfId="208" priority="210" stopIfTrue="1" operator="equal">
      <formula>"Fail"</formula>
    </cfRule>
  </conditionalFormatting>
  <conditionalFormatting sqref="A990">
    <cfRule type="cellIs" dxfId="207" priority="208" stopIfTrue="1" operator="equal">
      <formula>TODAY()</formula>
    </cfRule>
  </conditionalFormatting>
  <conditionalFormatting sqref="A993">
    <cfRule type="cellIs" dxfId="206" priority="207" stopIfTrue="1" operator="equal">
      <formula>TODAY()</formula>
    </cfRule>
  </conditionalFormatting>
  <conditionalFormatting sqref="A993">
    <cfRule type="cellIs" dxfId="205" priority="206" stopIfTrue="1" operator="equal">
      <formula>TODAY()</formula>
    </cfRule>
  </conditionalFormatting>
  <conditionalFormatting sqref="A999 A996">
    <cfRule type="cellIs" dxfId="204" priority="205" stopIfTrue="1" operator="equal">
      <formula>TODAY()</formula>
    </cfRule>
  </conditionalFormatting>
  <conditionalFormatting sqref="J998:L998">
    <cfRule type="cellIs" dxfId="203" priority="203" stopIfTrue="1" operator="equal">
      <formula>"Pass"</formula>
    </cfRule>
    <cfRule type="cellIs" dxfId="202" priority="204" stopIfTrue="1" operator="equal">
      <formula>"Fail"</formula>
    </cfRule>
  </conditionalFormatting>
  <conditionalFormatting sqref="I998">
    <cfRule type="cellIs" dxfId="201" priority="201" stopIfTrue="1" operator="equal">
      <formula>"Pass"</formula>
    </cfRule>
    <cfRule type="cellIs" dxfId="200" priority="202" stopIfTrue="1" operator="equal">
      <formula>"Fail"</formula>
    </cfRule>
  </conditionalFormatting>
  <conditionalFormatting sqref="I998:L998">
    <cfRule type="cellIs" dxfId="199" priority="199" stopIfTrue="1" operator="equal">
      <formula>"Pass"</formula>
    </cfRule>
    <cfRule type="cellIs" dxfId="198" priority="200" stopIfTrue="1" operator="equal">
      <formula>"Fail"</formula>
    </cfRule>
  </conditionalFormatting>
  <conditionalFormatting sqref="J998:L998">
    <cfRule type="cellIs" dxfId="197" priority="197" stopIfTrue="1" operator="equal">
      <formula>"Pass"</formula>
    </cfRule>
    <cfRule type="cellIs" dxfId="196" priority="198" stopIfTrue="1" operator="equal">
      <formula>"Fail"</formula>
    </cfRule>
  </conditionalFormatting>
  <conditionalFormatting sqref="I998">
    <cfRule type="cellIs" dxfId="195" priority="195" stopIfTrue="1" operator="equal">
      <formula>"Pass"</formula>
    </cfRule>
    <cfRule type="cellIs" dxfId="194" priority="196" stopIfTrue="1" operator="equal">
      <formula>"Fail"</formula>
    </cfRule>
  </conditionalFormatting>
  <conditionalFormatting sqref="I998:L998">
    <cfRule type="cellIs" dxfId="193" priority="193" stopIfTrue="1" operator="equal">
      <formula>"Pass"</formula>
    </cfRule>
    <cfRule type="cellIs" dxfId="192" priority="194" stopIfTrue="1" operator="equal">
      <formula>"Fail"</formula>
    </cfRule>
  </conditionalFormatting>
  <conditionalFormatting sqref="V996:V998">
    <cfRule type="cellIs" dxfId="191" priority="191" stopIfTrue="1" operator="equal">
      <formula>"Fail"</formula>
    </cfRule>
    <cfRule type="cellIs" dxfId="190" priority="192" stopIfTrue="1" operator="equal">
      <formula>"Pass"</formula>
    </cfRule>
  </conditionalFormatting>
  <conditionalFormatting sqref="J996:L997">
    <cfRule type="cellIs" dxfId="189" priority="189" stopIfTrue="1" operator="equal">
      <formula>"Pass"</formula>
    </cfRule>
    <cfRule type="cellIs" dxfId="188" priority="190" stopIfTrue="1" operator="equal">
      <formula>"Fail"</formula>
    </cfRule>
  </conditionalFormatting>
  <conditionalFormatting sqref="I998 I996">
    <cfRule type="cellIs" dxfId="187" priority="187" stopIfTrue="1" operator="equal">
      <formula>"Pass"</formula>
    </cfRule>
    <cfRule type="cellIs" dxfId="186" priority="188" stopIfTrue="1" operator="equal">
      <formula>"Fail"</formula>
    </cfRule>
  </conditionalFormatting>
  <conditionalFormatting sqref="V996:V998">
    <cfRule type="cellIs" dxfId="185" priority="185" stopIfTrue="1" operator="equal">
      <formula>"Fail"</formula>
    </cfRule>
    <cfRule type="cellIs" dxfId="184" priority="186" stopIfTrue="1" operator="equal">
      <formula>"Pass"</formula>
    </cfRule>
  </conditionalFormatting>
  <conditionalFormatting sqref="V996:V998">
    <cfRule type="cellIs" dxfId="183" priority="183" stopIfTrue="1" operator="equal">
      <formula>"Fail"</formula>
    </cfRule>
    <cfRule type="cellIs" dxfId="182" priority="184" stopIfTrue="1" operator="equal">
      <formula>"Pass"</formula>
    </cfRule>
  </conditionalFormatting>
  <conditionalFormatting sqref="I997">
    <cfRule type="cellIs" dxfId="181" priority="181" stopIfTrue="1" operator="equal">
      <formula>"Pass"</formula>
    </cfRule>
    <cfRule type="cellIs" dxfId="180" priority="182" stopIfTrue="1" operator="equal">
      <formula>"Fail"</formula>
    </cfRule>
  </conditionalFormatting>
  <conditionalFormatting sqref="I996:L997">
    <cfRule type="cellIs" dxfId="179" priority="179" stopIfTrue="1" operator="equal">
      <formula>"Pass"</formula>
    </cfRule>
    <cfRule type="cellIs" dxfId="178" priority="180" stopIfTrue="1" operator="equal">
      <formula>"Fail"</formula>
    </cfRule>
  </conditionalFormatting>
  <conditionalFormatting sqref="V996:V998">
    <cfRule type="cellIs" dxfId="177" priority="177" stopIfTrue="1" operator="equal">
      <formula>"Fail"</formula>
    </cfRule>
    <cfRule type="cellIs" dxfId="176" priority="178" stopIfTrue="1" operator="equal">
      <formula>"Pass"</formula>
    </cfRule>
  </conditionalFormatting>
  <conditionalFormatting sqref="V996">
    <cfRule type="cellIs" dxfId="175" priority="175" stopIfTrue="1" operator="equal">
      <formula>"Fail"</formula>
    </cfRule>
    <cfRule type="cellIs" dxfId="174" priority="176" stopIfTrue="1" operator="equal">
      <formula>"Pass"</formula>
    </cfRule>
  </conditionalFormatting>
  <conditionalFormatting sqref="J996:L997">
    <cfRule type="cellIs" dxfId="173" priority="173" stopIfTrue="1" operator="equal">
      <formula>"Pass"</formula>
    </cfRule>
    <cfRule type="cellIs" dxfId="172" priority="174" stopIfTrue="1" operator="equal">
      <formula>"Fail"</formula>
    </cfRule>
  </conditionalFormatting>
  <conditionalFormatting sqref="I996">
    <cfRule type="cellIs" dxfId="171" priority="171" stopIfTrue="1" operator="equal">
      <formula>"Pass"</formula>
    </cfRule>
    <cfRule type="cellIs" dxfId="170" priority="172" stopIfTrue="1" operator="equal">
      <formula>"Fail"</formula>
    </cfRule>
  </conditionalFormatting>
  <conditionalFormatting sqref="I997">
    <cfRule type="cellIs" dxfId="169" priority="169" stopIfTrue="1" operator="equal">
      <formula>"Pass"</formula>
    </cfRule>
    <cfRule type="cellIs" dxfId="168" priority="170" stopIfTrue="1" operator="equal">
      <formula>"Fail"</formula>
    </cfRule>
  </conditionalFormatting>
  <conditionalFormatting sqref="I996:L997">
    <cfRule type="cellIs" dxfId="167" priority="167" stopIfTrue="1" operator="equal">
      <formula>"Pass"</formula>
    </cfRule>
    <cfRule type="cellIs" dxfId="166" priority="168" stopIfTrue="1" operator="equal">
      <formula>"Fail"</formula>
    </cfRule>
  </conditionalFormatting>
  <conditionalFormatting sqref="J999:L1000 I999:I1001">
    <cfRule type="cellIs" dxfId="165" priority="165" stopIfTrue="1" operator="equal">
      <formula>"Pass"</formula>
    </cfRule>
    <cfRule type="cellIs" dxfId="164" priority="166" stopIfTrue="1" operator="equal">
      <formula>"Fail"</formula>
    </cfRule>
  </conditionalFormatting>
  <conditionalFormatting sqref="V999:V1001">
    <cfRule type="cellIs" dxfId="163" priority="163" stopIfTrue="1" operator="equal">
      <formula>"Fail"</formula>
    </cfRule>
    <cfRule type="cellIs" dxfId="162" priority="164" stopIfTrue="1" operator="equal">
      <formula>"Pass"</formula>
    </cfRule>
  </conditionalFormatting>
  <conditionalFormatting sqref="I999:L999">
    <cfRule type="cellIs" dxfId="161" priority="161" stopIfTrue="1" operator="equal">
      <formula>"Pass"</formula>
    </cfRule>
    <cfRule type="cellIs" dxfId="160" priority="162" stopIfTrue="1" operator="equal">
      <formula>"Fail"</formula>
    </cfRule>
  </conditionalFormatting>
  <conditionalFormatting sqref="A996">
    <cfRule type="cellIs" dxfId="159" priority="160" stopIfTrue="1" operator="equal">
      <formula>TODAY()</formula>
    </cfRule>
  </conditionalFormatting>
  <conditionalFormatting sqref="A999">
    <cfRule type="cellIs" dxfId="158" priority="159" stopIfTrue="1" operator="equal">
      <formula>TODAY()</formula>
    </cfRule>
  </conditionalFormatting>
  <conditionalFormatting sqref="A999">
    <cfRule type="cellIs" dxfId="157" priority="158" stopIfTrue="1" operator="equal">
      <formula>TODAY()</formula>
    </cfRule>
  </conditionalFormatting>
  <conditionalFormatting sqref="A1005 A1002">
    <cfRule type="cellIs" dxfId="156" priority="157" stopIfTrue="1" operator="equal">
      <formula>TODAY()</formula>
    </cfRule>
  </conditionalFormatting>
  <conditionalFormatting sqref="J1004:L1004">
    <cfRule type="cellIs" dxfId="155" priority="155" stopIfTrue="1" operator="equal">
      <formula>"Pass"</formula>
    </cfRule>
    <cfRule type="cellIs" dxfId="154" priority="156" stopIfTrue="1" operator="equal">
      <formula>"Fail"</formula>
    </cfRule>
  </conditionalFormatting>
  <conditionalFormatting sqref="I1004">
    <cfRule type="cellIs" dxfId="153" priority="153" stopIfTrue="1" operator="equal">
      <formula>"Pass"</formula>
    </cfRule>
    <cfRule type="cellIs" dxfId="152" priority="154" stopIfTrue="1" operator="equal">
      <formula>"Fail"</formula>
    </cfRule>
  </conditionalFormatting>
  <conditionalFormatting sqref="I1004:L1004">
    <cfRule type="cellIs" dxfId="151" priority="151" stopIfTrue="1" operator="equal">
      <formula>"Pass"</formula>
    </cfRule>
    <cfRule type="cellIs" dxfId="150" priority="152" stopIfTrue="1" operator="equal">
      <formula>"Fail"</formula>
    </cfRule>
  </conditionalFormatting>
  <conditionalFormatting sqref="J1004:L1004">
    <cfRule type="cellIs" dxfId="149" priority="149" stopIfTrue="1" operator="equal">
      <formula>"Pass"</formula>
    </cfRule>
    <cfRule type="cellIs" dxfId="148" priority="150" stopIfTrue="1" operator="equal">
      <formula>"Fail"</formula>
    </cfRule>
  </conditionalFormatting>
  <conditionalFormatting sqref="I1004">
    <cfRule type="cellIs" dxfId="147" priority="147" stopIfTrue="1" operator="equal">
      <formula>"Pass"</formula>
    </cfRule>
    <cfRule type="cellIs" dxfId="146" priority="148" stopIfTrue="1" operator="equal">
      <formula>"Fail"</formula>
    </cfRule>
  </conditionalFormatting>
  <conditionalFormatting sqref="I1004:L1004">
    <cfRule type="cellIs" dxfId="145" priority="145" stopIfTrue="1" operator="equal">
      <formula>"Pass"</formula>
    </cfRule>
    <cfRule type="cellIs" dxfId="144" priority="146" stopIfTrue="1" operator="equal">
      <formula>"Fail"</formula>
    </cfRule>
  </conditionalFormatting>
  <conditionalFormatting sqref="V1002:V1004">
    <cfRule type="cellIs" dxfId="143" priority="143" stopIfTrue="1" operator="equal">
      <formula>"Fail"</formula>
    </cfRule>
    <cfRule type="cellIs" dxfId="142" priority="144" stopIfTrue="1" operator="equal">
      <formula>"Pass"</formula>
    </cfRule>
  </conditionalFormatting>
  <conditionalFormatting sqref="J1002:L1003">
    <cfRule type="cellIs" dxfId="141" priority="141" stopIfTrue="1" operator="equal">
      <formula>"Pass"</formula>
    </cfRule>
    <cfRule type="cellIs" dxfId="140" priority="142" stopIfTrue="1" operator="equal">
      <formula>"Fail"</formula>
    </cfRule>
  </conditionalFormatting>
  <conditionalFormatting sqref="I1004 I1002">
    <cfRule type="cellIs" dxfId="139" priority="139" stopIfTrue="1" operator="equal">
      <formula>"Pass"</formula>
    </cfRule>
    <cfRule type="cellIs" dxfId="138" priority="140" stopIfTrue="1" operator="equal">
      <formula>"Fail"</formula>
    </cfRule>
  </conditionalFormatting>
  <conditionalFormatting sqref="V1002:V1004">
    <cfRule type="cellIs" dxfId="137" priority="137" stopIfTrue="1" operator="equal">
      <formula>"Fail"</formula>
    </cfRule>
    <cfRule type="cellIs" dxfId="136" priority="138" stopIfTrue="1" operator="equal">
      <formula>"Pass"</formula>
    </cfRule>
  </conditionalFormatting>
  <conditionalFormatting sqref="V1002:V1004">
    <cfRule type="cellIs" dxfId="135" priority="135" stopIfTrue="1" operator="equal">
      <formula>"Fail"</formula>
    </cfRule>
    <cfRule type="cellIs" dxfId="134" priority="136" stopIfTrue="1" operator="equal">
      <formula>"Pass"</formula>
    </cfRule>
  </conditionalFormatting>
  <conditionalFormatting sqref="I1003">
    <cfRule type="cellIs" dxfId="133" priority="133" stopIfTrue="1" operator="equal">
      <formula>"Pass"</formula>
    </cfRule>
    <cfRule type="cellIs" dxfId="132" priority="134" stopIfTrue="1" operator="equal">
      <formula>"Fail"</formula>
    </cfRule>
  </conditionalFormatting>
  <conditionalFormatting sqref="I1002:L1003">
    <cfRule type="cellIs" dxfId="131" priority="131" stopIfTrue="1" operator="equal">
      <formula>"Pass"</formula>
    </cfRule>
    <cfRule type="cellIs" dxfId="130" priority="132" stopIfTrue="1" operator="equal">
      <formula>"Fail"</formula>
    </cfRule>
  </conditionalFormatting>
  <conditionalFormatting sqref="V1002:V1004">
    <cfRule type="cellIs" dxfId="129" priority="129" stopIfTrue="1" operator="equal">
      <formula>"Fail"</formula>
    </cfRule>
    <cfRule type="cellIs" dxfId="128" priority="130" stopIfTrue="1" operator="equal">
      <formula>"Pass"</formula>
    </cfRule>
  </conditionalFormatting>
  <conditionalFormatting sqref="V1002">
    <cfRule type="cellIs" dxfId="127" priority="127" stopIfTrue="1" operator="equal">
      <formula>"Fail"</formula>
    </cfRule>
    <cfRule type="cellIs" dxfId="126" priority="128" stopIfTrue="1" operator="equal">
      <formula>"Pass"</formula>
    </cfRule>
  </conditionalFormatting>
  <conditionalFormatting sqref="J1002:L1003">
    <cfRule type="cellIs" dxfId="125" priority="125" stopIfTrue="1" operator="equal">
      <formula>"Pass"</formula>
    </cfRule>
    <cfRule type="cellIs" dxfId="124" priority="126" stopIfTrue="1" operator="equal">
      <formula>"Fail"</formula>
    </cfRule>
  </conditionalFormatting>
  <conditionalFormatting sqref="I1002">
    <cfRule type="cellIs" dxfId="123" priority="123" stopIfTrue="1" operator="equal">
      <formula>"Pass"</formula>
    </cfRule>
    <cfRule type="cellIs" dxfId="122" priority="124" stopIfTrue="1" operator="equal">
      <formula>"Fail"</formula>
    </cfRule>
  </conditionalFormatting>
  <conditionalFormatting sqref="I1003">
    <cfRule type="cellIs" dxfId="121" priority="121" stopIfTrue="1" operator="equal">
      <formula>"Pass"</formula>
    </cfRule>
    <cfRule type="cellIs" dxfId="120" priority="122" stopIfTrue="1" operator="equal">
      <formula>"Fail"</formula>
    </cfRule>
  </conditionalFormatting>
  <conditionalFormatting sqref="I1002:L1003">
    <cfRule type="cellIs" dxfId="119" priority="119" stopIfTrue="1" operator="equal">
      <formula>"Pass"</formula>
    </cfRule>
    <cfRule type="cellIs" dxfId="118" priority="120" stopIfTrue="1" operator="equal">
      <formula>"Fail"</formula>
    </cfRule>
  </conditionalFormatting>
  <conditionalFormatting sqref="J1005:L1006 I1005:I1007">
    <cfRule type="cellIs" dxfId="117" priority="117" stopIfTrue="1" operator="equal">
      <formula>"Pass"</formula>
    </cfRule>
    <cfRule type="cellIs" dxfId="116" priority="118" stopIfTrue="1" operator="equal">
      <formula>"Fail"</formula>
    </cfRule>
  </conditionalFormatting>
  <conditionalFormatting sqref="V1005:V1007">
    <cfRule type="cellIs" dxfId="115" priority="115" stopIfTrue="1" operator="equal">
      <formula>"Fail"</formula>
    </cfRule>
    <cfRule type="cellIs" dxfId="114" priority="116" stopIfTrue="1" operator="equal">
      <formula>"Pass"</formula>
    </cfRule>
  </conditionalFormatting>
  <conditionalFormatting sqref="I1005:L1005">
    <cfRule type="cellIs" dxfId="113" priority="113" stopIfTrue="1" operator="equal">
      <formula>"Pass"</formula>
    </cfRule>
    <cfRule type="cellIs" dxfId="112" priority="114" stopIfTrue="1" operator="equal">
      <formula>"Fail"</formula>
    </cfRule>
  </conditionalFormatting>
  <conditionalFormatting sqref="A1002">
    <cfRule type="cellIs" dxfId="111" priority="112" stopIfTrue="1" operator="equal">
      <formula>TODAY()</formula>
    </cfRule>
  </conditionalFormatting>
  <conditionalFormatting sqref="A1005">
    <cfRule type="cellIs" dxfId="110" priority="111" stopIfTrue="1" operator="equal">
      <formula>TODAY()</formula>
    </cfRule>
  </conditionalFormatting>
  <conditionalFormatting sqref="A1005">
    <cfRule type="cellIs" dxfId="109" priority="110" stopIfTrue="1" operator="equal">
      <formula>TODAY()</formula>
    </cfRule>
  </conditionalFormatting>
  <conditionalFormatting sqref="A1011 A1008">
    <cfRule type="cellIs" dxfId="108" priority="109" stopIfTrue="1" operator="equal">
      <formula>TODAY()</formula>
    </cfRule>
  </conditionalFormatting>
  <conditionalFormatting sqref="J1010:L1010">
    <cfRule type="cellIs" dxfId="107" priority="107" stopIfTrue="1" operator="equal">
      <formula>"Pass"</formula>
    </cfRule>
    <cfRule type="cellIs" dxfId="106" priority="108" stopIfTrue="1" operator="equal">
      <formula>"Fail"</formula>
    </cfRule>
  </conditionalFormatting>
  <conditionalFormatting sqref="I1010">
    <cfRule type="cellIs" dxfId="105" priority="105" stopIfTrue="1" operator="equal">
      <formula>"Pass"</formula>
    </cfRule>
    <cfRule type="cellIs" dxfId="104" priority="106" stopIfTrue="1" operator="equal">
      <formula>"Fail"</formula>
    </cfRule>
  </conditionalFormatting>
  <conditionalFormatting sqref="I1010:L1010">
    <cfRule type="cellIs" dxfId="103" priority="103" stopIfTrue="1" operator="equal">
      <formula>"Pass"</formula>
    </cfRule>
    <cfRule type="cellIs" dxfId="102" priority="104" stopIfTrue="1" operator="equal">
      <formula>"Fail"</formula>
    </cfRule>
  </conditionalFormatting>
  <conditionalFormatting sqref="J1010:L1010">
    <cfRule type="cellIs" dxfId="101" priority="101" stopIfTrue="1" operator="equal">
      <formula>"Pass"</formula>
    </cfRule>
    <cfRule type="cellIs" dxfId="100" priority="102" stopIfTrue="1" operator="equal">
      <formula>"Fail"</formula>
    </cfRule>
  </conditionalFormatting>
  <conditionalFormatting sqref="I1010">
    <cfRule type="cellIs" dxfId="99" priority="99" stopIfTrue="1" operator="equal">
      <formula>"Pass"</formula>
    </cfRule>
    <cfRule type="cellIs" dxfId="98" priority="100" stopIfTrue="1" operator="equal">
      <formula>"Fail"</formula>
    </cfRule>
  </conditionalFormatting>
  <conditionalFormatting sqref="I1010:L1010">
    <cfRule type="cellIs" dxfId="97" priority="97" stopIfTrue="1" operator="equal">
      <formula>"Pass"</formula>
    </cfRule>
    <cfRule type="cellIs" dxfId="96" priority="98" stopIfTrue="1" operator="equal">
      <formula>"Fail"</formula>
    </cfRule>
  </conditionalFormatting>
  <conditionalFormatting sqref="V1008:V1010">
    <cfRule type="cellIs" dxfId="95" priority="95" stopIfTrue="1" operator="equal">
      <formula>"Fail"</formula>
    </cfRule>
    <cfRule type="cellIs" dxfId="94" priority="96" stopIfTrue="1" operator="equal">
      <formula>"Pass"</formula>
    </cfRule>
  </conditionalFormatting>
  <conditionalFormatting sqref="J1008:L1009">
    <cfRule type="cellIs" dxfId="93" priority="93" stopIfTrue="1" operator="equal">
      <formula>"Pass"</formula>
    </cfRule>
    <cfRule type="cellIs" dxfId="92" priority="94" stopIfTrue="1" operator="equal">
      <formula>"Fail"</formula>
    </cfRule>
  </conditionalFormatting>
  <conditionalFormatting sqref="I1010 I1008">
    <cfRule type="cellIs" dxfId="91" priority="91" stopIfTrue="1" operator="equal">
      <formula>"Pass"</formula>
    </cfRule>
    <cfRule type="cellIs" dxfId="90" priority="92" stopIfTrue="1" operator="equal">
      <formula>"Fail"</formula>
    </cfRule>
  </conditionalFormatting>
  <conditionalFormatting sqref="V1008:V1010">
    <cfRule type="cellIs" dxfId="89" priority="89" stopIfTrue="1" operator="equal">
      <formula>"Fail"</formula>
    </cfRule>
    <cfRule type="cellIs" dxfId="88" priority="90" stopIfTrue="1" operator="equal">
      <formula>"Pass"</formula>
    </cfRule>
  </conditionalFormatting>
  <conditionalFormatting sqref="V1008:V1010">
    <cfRule type="cellIs" dxfId="87" priority="87" stopIfTrue="1" operator="equal">
      <formula>"Fail"</formula>
    </cfRule>
    <cfRule type="cellIs" dxfId="86" priority="88" stopIfTrue="1" operator="equal">
      <formula>"Pass"</formula>
    </cfRule>
  </conditionalFormatting>
  <conditionalFormatting sqref="I1009">
    <cfRule type="cellIs" dxfId="85" priority="85" stopIfTrue="1" operator="equal">
      <formula>"Pass"</formula>
    </cfRule>
    <cfRule type="cellIs" dxfId="84" priority="86" stopIfTrue="1" operator="equal">
      <formula>"Fail"</formula>
    </cfRule>
  </conditionalFormatting>
  <conditionalFormatting sqref="I1008:L1009">
    <cfRule type="cellIs" dxfId="83" priority="83" stopIfTrue="1" operator="equal">
      <formula>"Pass"</formula>
    </cfRule>
    <cfRule type="cellIs" dxfId="82" priority="84" stopIfTrue="1" operator="equal">
      <formula>"Fail"</formula>
    </cfRule>
  </conditionalFormatting>
  <conditionalFormatting sqref="V1008:V1010">
    <cfRule type="cellIs" dxfId="81" priority="81" stopIfTrue="1" operator="equal">
      <formula>"Fail"</formula>
    </cfRule>
    <cfRule type="cellIs" dxfId="80" priority="82" stopIfTrue="1" operator="equal">
      <formula>"Pass"</formula>
    </cfRule>
  </conditionalFormatting>
  <conditionalFormatting sqref="V1008">
    <cfRule type="cellIs" dxfId="79" priority="79" stopIfTrue="1" operator="equal">
      <formula>"Fail"</formula>
    </cfRule>
    <cfRule type="cellIs" dxfId="78" priority="80" stopIfTrue="1" operator="equal">
      <formula>"Pass"</formula>
    </cfRule>
  </conditionalFormatting>
  <conditionalFormatting sqref="J1008:L1009">
    <cfRule type="cellIs" dxfId="77" priority="77" stopIfTrue="1" operator="equal">
      <formula>"Pass"</formula>
    </cfRule>
    <cfRule type="cellIs" dxfId="76" priority="78" stopIfTrue="1" operator="equal">
      <formula>"Fail"</formula>
    </cfRule>
  </conditionalFormatting>
  <conditionalFormatting sqref="I1008">
    <cfRule type="cellIs" dxfId="75" priority="75" stopIfTrue="1" operator="equal">
      <formula>"Pass"</formula>
    </cfRule>
    <cfRule type="cellIs" dxfId="74" priority="76" stopIfTrue="1" operator="equal">
      <formula>"Fail"</formula>
    </cfRule>
  </conditionalFormatting>
  <conditionalFormatting sqref="I1009">
    <cfRule type="cellIs" dxfId="73" priority="73" stopIfTrue="1" operator="equal">
      <formula>"Pass"</formula>
    </cfRule>
    <cfRule type="cellIs" dxfId="72" priority="74" stopIfTrue="1" operator="equal">
      <formula>"Fail"</formula>
    </cfRule>
  </conditionalFormatting>
  <conditionalFormatting sqref="I1008:L1009">
    <cfRule type="cellIs" dxfId="71" priority="71" stopIfTrue="1" operator="equal">
      <formula>"Pass"</formula>
    </cfRule>
    <cfRule type="cellIs" dxfId="70" priority="72" stopIfTrue="1" operator="equal">
      <formula>"Fail"</formula>
    </cfRule>
  </conditionalFormatting>
  <conditionalFormatting sqref="J1011:L1012 I1011:I1013">
    <cfRule type="cellIs" dxfId="69" priority="69" stopIfTrue="1" operator="equal">
      <formula>"Pass"</formula>
    </cfRule>
    <cfRule type="cellIs" dxfId="68" priority="70" stopIfTrue="1" operator="equal">
      <formula>"Fail"</formula>
    </cfRule>
  </conditionalFormatting>
  <conditionalFormatting sqref="V1011:V1013">
    <cfRule type="cellIs" dxfId="67" priority="67" stopIfTrue="1" operator="equal">
      <formula>"Fail"</formula>
    </cfRule>
    <cfRule type="cellIs" dxfId="66" priority="68" stopIfTrue="1" operator="equal">
      <formula>"Pass"</formula>
    </cfRule>
  </conditionalFormatting>
  <conditionalFormatting sqref="I1011:L1011">
    <cfRule type="cellIs" dxfId="65" priority="65" stopIfTrue="1" operator="equal">
      <formula>"Pass"</formula>
    </cfRule>
    <cfRule type="cellIs" dxfId="64" priority="66" stopIfTrue="1" operator="equal">
      <formula>"Fail"</formula>
    </cfRule>
  </conditionalFormatting>
  <conditionalFormatting sqref="A1008">
    <cfRule type="cellIs" dxfId="63" priority="64" stopIfTrue="1" operator="equal">
      <formula>TODAY()</formula>
    </cfRule>
  </conditionalFormatting>
  <conditionalFormatting sqref="A1011">
    <cfRule type="cellIs" dxfId="62" priority="63" stopIfTrue="1" operator="equal">
      <formula>TODAY()</formula>
    </cfRule>
  </conditionalFormatting>
  <conditionalFormatting sqref="A1011">
    <cfRule type="cellIs" dxfId="61" priority="62" stopIfTrue="1" operator="equal">
      <formula>TODAY()</formula>
    </cfRule>
  </conditionalFormatting>
  <conditionalFormatting sqref="A1017 A1014">
    <cfRule type="cellIs" dxfId="60" priority="61" stopIfTrue="1" operator="equal">
      <formula>TODAY()</formula>
    </cfRule>
  </conditionalFormatting>
  <conditionalFormatting sqref="J1016:L1016">
    <cfRule type="cellIs" dxfId="59" priority="59" stopIfTrue="1" operator="equal">
      <formula>"Pass"</formula>
    </cfRule>
    <cfRule type="cellIs" dxfId="58" priority="60" stopIfTrue="1" operator="equal">
      <formula>"Fail"</formula>
    </cfRule>
  </conditionalFormatting>
  <conditionalFormatting sqref="I1016">
    <cfRule type="cellIs" dxfId="57" priority="57" stopIfTrue="1" operator="equal">
      <formula>"Pass"</formula>
    </cfRule>
    <cfRule type="cellIs" dxfId="56" priority="58" stopIfTrue="1" operator="equal">
      <formula>"Fail"</formula>
    </cfRule>
  </conditionalFormatting>
  <conditionalFormatting sqref="I1016:L1016">
    <cfRule type="cellIs" dxfId="55" priority="55" stopIfTrue="1" operator="equal">
      <formula>"Pass"</formula>
    </cfRule>
    <cfRule type="cellIs" dxfId="54" priority="56" stopIfTrue="1" operator="equal">
      <formula>"Fail"</formula>
    </cfRule>
  </conditionalFormatting>
  <conditionalFormatting sqref="J1016:L1016">
    <cfRule type="cellIs" dxfId="53" priority="53" stopIfTrue="1" operator="equal">
      <formula>"Pass"</formula>
    </cfRule>
    <cfRule type="cellIs" dxfId="52" priority="54" stopIfTrue="1" operator="equal">
      <formula>"Fail"</formula>
    </cfRule>
  </conditionalFormatting>
  <conditionalFormatting sqref="I1016">
    <cfRule type="cellIs" dxfId="51" priority="51" stopIfTrue="1" operator="equal">
      <formula>"Pass"</formula>
    </cfRule>
    <cfRule type="cellIs" dxfId="50" priority="52" stopIfTrue="1" operator="equal">
      <formula>"Fail"</formula>
    </cfRule>
  </conditionalFormatting>
  <conditionalFormatting sqref="I1016:L1016">
    <cfRule type="cellIs" dxfId="49" priority="49" stopIfTrue="1" operator="equal">
      <formula>"Pass"</formula>
    </cfRule>
    <cfRule type="cellIs" dxfId="48" priority="50" stopIfTrue="1" operator="equal">
      <formula>"Fail"</formula>
    </cfRule>
  </conditionalFormatting>
  <conditionalFormatting sqref="V1014:V1016">
    <cfRule type="cellIs" dxfId="47" priority="47" stopIfTrue="1" operator="equal">
      <formula>"Fail"</formula>
    </cfRule>
    <cfRule type="cellIs" dxfId="46" priority="48" stopIfTrue="1" operator="equal">
      <formula>"Pass"</formula>
    </cfRule>
  </conditionalFormatting>
  <conditionalFormatting sqref="J1014:L1015">
    <cfRule type="cellIs" dxfId="45" priority="45" stopIfTrue="1" operator="equal">
      <formula>"Pass"</formula>
    </cfRule>
    <cfRule type="cellIs" dxfId="44" priority="46" stopIfTrue="1" operator="equal">
      <formula>"Fail"</formula>
    </cfRule>
  </conditionalFormatting>
  <conditionalFormatting sqref="I1016 I1014">
    <cfRule type="cellIs" dxfId="43" priority="43" stopIfTrue="1" operator="equal">
      <formula>"Pass"</formula>
    </cfRule>
    <cfRule type="cellIs" dxfId="42" priority="44" stopIfTrue="1" operator="equal">
      <formula>"Fail"</formula>
    </cfRule>
  </conditionalFormatting>
  <conditionalFormatting sqref="V1014:V1016">
    <cfRule type="cellIs" dxfId="41" priority="41" stopIfTrue="1" operator="equal">
      <formula>"Fail"</formula>
    </cfRule>
    <cfRule type="cellIs" dxfId="40" priority="42" stopIfTrue="1" operator="equal">
      <formula>"Pass"</formula>
    </cfRule>
  </conditionalFormatting>
  <conditionalFormatting sqref="V1014:V1016">
    <cfRule type="cellIs" dxfId="39" priority="39" stopIfTrue="1" operator="equal">
      <formula>"Fail"</formula>
    </cfRule>
    <cfRule type="cellIs" dxfId="38" priority="40" stopIfTrue="1" operator="equal">
      <formula>"Pass"</formula>
    </cfRule>
  </conditionalFormatting>
  <conditionalFormatting sqref="I1015">
    <cfRule type="cellIs" dxfId="37" priority="37" stopIfTrue="1" operator="equal">
      <formula>"Pass"</formula>
    </cfRule>
    <cfRule type="cellIs" dxfId="36" priority="38" stopIfTrue="1" operator="equal">
      <formula>"Fail"</formula>
    </cfRule>
  </conditionalFormatting>
  <conditionalFormatting sqref="I1014:L1015">
    <cfRule type="cellIs" dxfId="35" priority="35" stopIfTrue="1" operator="equal">
      <formula>"Pass"</formula>
    </cfRule>
    <cfRule type="cellIs" dxfId="34" priority="36" stopIfTrue="1" operator="equal">
      <formula>"Fail"</formula>
    </cfRule>
  </conditionalFormatting>
  <conditionalFormatting sqref="V1014:V1016">
    <cfRule type="cellIs" dxfId="33" priority="33" stopIfTrue="1" operator="equal">
      <formula>"Fail"</formula>
    </cfRule>
    <cfRule type="cellIs" dxfId="32" priority="34" stopIfTrue="1" operator="equal">
      <formula>"Pass"</formula>
    </cfRule>
  </conditionalFormatting>
  <conditionalFormatting sqref="V1014">
    <cfRule type="cellIs" dxfId="31" priority="31" stopIfTrue="1" operator="equal">
      <formula>"Fail"</formula>
    </cfRule>
    <cfRule type="cellIs" dxfId="30" priority="32" stopIfTrue="1" operator="equal">
      <formula>"Pass"</formula>
    </cfRule>
  </conditionalFormatting>
  <conditionalFormatting sqref="J1014:L1015">
    <cfRule type="cellIs" dxfId="29" priority="29" stopIfTrue="1" operator="equal">
      <formula>"Pass"</formula>
    </cfRule>
    <cfRule type="cellIs" dxfId="28" priority="30" stopIfTrue="1" operator="equal">
      <formula>"Fail"</formula>
    </cfRule>
  </conditionalFormatting>
  <conditionalFormatting sqref="I1014">
    <cfRule type="cellIs" dxfId="27" priority="27" stopIfTrue="1" operator="equal">
      <formula>"Pass"</formula>
    </cfRule>
    <cfRule type="cellIs" dxfId="26" priority="28" stopIfTrue="1" operator="equal">
      <formula>"Fail"</formula>
    </cfRule>
  </conditionalFormatting>
  <conditionalFormatting sqref="I1015">
    <cfRule type="cellIs" dxfId="25" priority="25" stopIfTrue="1" operator="equal">
      <formula>"Pass"</formula>
    </cfRule>
    <cfRule type="cellIs" dxfId="24" priority="26" stopIfTrue="1" operator="equal">
      <formula>"Fail"</formula>
    </cfRule>
  </conditionalFormatting>
  <conditionalFormatting sqref="I1014:L1015">
    <cfRule type="cellIs" dxfId="23" priority="23" stopIfTrue="1" operator="equal">
      <formula>"Pass"</formula>
    </cfRule>
    <cfRule type="cellIs" dxfId="22" priority="24" stopIfTrue="1" operator="equal">
      <formula>"Fail"</formula>
    </cfRule>
  </conditionalFormatting>
  <conditionalFormatting sqref="J1017:L1018 I1017:I1019">
    <cfRule type="cellIs" dxfId="21" priority="21" stopIfTrue="1" operator="equal">
      <formula>"Pass"</formula>
    </cfRule>
    <cfRule type="cellIs" dxfId="20" priority="22" stopIfTrue="1" operator="equal">
      <formula>"Fail"</formula>
    </cfRule>
  </conditionalFormatting>
  <conditionalFormatting sqref="V1017:V1019">
    <cfRule type="cellIs" dxfId="19" priority="19" stopIfTrue="1" operator="equal">
      <formula>"Fail"</formula>
    </cfRule>
    <cfRule type="cellIs" dxfId="18" priority="20" stopIfTrue="1" operator="equal">
      <formula>"Pass"</formula>
    </cfRule>
  </conditionalFormatting>
  <conditionalFormatting sqref="I1017:L1017">
    <cfRule type="cellIs" dxfId="17" priority="17" stopIfTrue="1" operator="equal">
      <formula>"Pass"</formula>
    </cfRule>
    <cfRule type="cellIs" dxfId="16" priority="18" stopIfTrue="1" operator="equal">
      <formula>"Fail"</formula>
    </cfRule>
  </conditionalFormatting>
  <conditionalFormatting sqref="A1014">
    <cfRule type="cellIs" dxfId="15" priority="16" stopIfTrue="1" operator="equal">
      <formula>TODAY()</formula>
    </cfRule>
  </conditionalFormatting>
  <conditionalFormatting sqref="A1017">
    <cfRule type="cellIs" dxfId="14" priority="15" stopIfTrue="1" operator="equal">
      <formula>TODAY()</formula>
    </cfRule>
  </conditionalFormatting>
  <conditionalFormatting sqref="A1017">
    <cfRule type="cellIs" dxfId="13" priority="14" stopIfTrue="1" operator="equal">
      <formula>TODAY()</formula>
    </cfRule>
  </conditionalFormatting>
  <conditionalFormatting sqref="J786:L790 J792:L796 J798:L802 J804:L808 J810:L814 J816:L820 J822:L826 J828:L832 J834:L838 I840:L844 I846:L850 I852:L856 I858:L862 I864:L868 I870:L874 I876:L880 I882:L886 I888:L892 I894:L898 I786:I839 I845 I851 I857 I863 I869 I875 I881 I887 I893 J900:L904 I899:I903 J906:L910 I905:I909 J912:L916 I911:I915 J918:L922 I917:I921 J924:L928 I923:I927 J930:L934 I929:I933 J936:L940 I935:I939 I947 J942:L946 I941:I945 I948:L950 J951:L952 I952:I953">
    <cfRule type="cellIs" dxfId="12" priority="12" stopIfTrue="1" operator="equal">
      <formula>"Pass"</formula>
    </cfRule>
    <cfRule type="cellIs" dxfId="11" priority="13" stopIfTrue="1" operator="equal">
      <formula>"Fail"</formula>
    </cfRule>
  </conditionalFormatting>
  <conditionalFormatting sqref="V786:V953">
    <cfRule type="cellIs" dxfId="10" priority="10" stopIfTrue="1" operator="equal">
      <formula>"Fail"</formula>
    </cfRule>
    <cfRule type="cellIs" dxfId="9" priority="11" stopIfTrue="1" operator="equal">
      <formula>"Pass"</formula>
    </cfRule>
  </conditionalFormatting>
  <conditionalFormatting sqref="A786:A804 A807 A810:A965">
    <cfRule type="cellIs" dxfId="8" priority="9" stopIfTrue="1" operator="equal">
      <formula>TODAY()</formula>
    </cfRule>
  </conditionalFormatting>
  <conditionalFormatting sqref="I954:L956 J957:L958 I958:I959">
    <cfRule type="cellIs" dxfId="7" priority="7" stopIfTrue="1" operator="equal">
      <formula>"Pass"</formula>
    </cfRule>
    <cfRule type="cellIs" dxfId="6" priority="8" stopIfTrue="1" operator="equal">
      <formula>"Fail"</formula>
    </cfRule>
  </conditionalFormatting>
  <conditionalFormatting sqref="V954:V959">
    <cfRule type="cellIs" dxfId="5" priority="5" stopIfTrue="1" operator="equal">
      <formula>"Fail"</formula>
    </cfRule>
    <cfRule type="cellIs" dxfId="4" priority="6" stopIfTrue="1" operator="equal">
      <formula>"Pass"</formula>
    </cfRule>
  </conditionalFormatting>
  <conditionalFormatting sqref="I960:L962 J963:L964 I964:I965">
    <cfRule type="cellIs" dxfId="3" priority="3" stopIfTrue="1" operator="equal">
      <formula>"Pass"</formula>
    </cfRule>
    <cfRule type="cellIs" dxfId="2" priority="4" stopIfTrue="1" operator="equal">
      <formula>"Fail"</formula>
    </cfRule>
  </conditionalFormatting>
  <conditionalFormatting sqref="V960:V965">
    <cfRule type="cellIs" dxfId="1" priority="1" stopIfTrue="1" operator="equal">
      <formula>"Fail"</formula>
    </cfRule>
    <cfRule type="cellIs" dxfId="0" priority="2" stopIfTrue="1" operator="equal">
      <formula>"Pass"</formula>
    </cfRule>
  </conditionalFormatting>
  <pageMargins left="0.52" right="0.08" top="0.24" bottom="0.35" header="0.15" footer="0.21"/>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election activeCell="H8" sqref="H8"/>
    </sheetView>
  </sheetViews>
  <sheetFormatPr defaultColWidth="11" defaultRowHeight="16.100000000000001" x14ac:dyDescent="0.35"/>
  <sheetData/>
  <pageMargins left="0.75" right="0.75" top="1" bottom="1" header="0.5" footer="0.5"/>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RUN_Click">
                <anchor moveWithCells="1" sizeWithCells="1">
                  <from>
                    <xdr:col>4</xdr:col>
                    <xdr:colOff>0</xdr:colOff>
                    <xdr:row>8</xdr:row>
                    <xdr:rowOff>0</xdr:rowOff>
                  </from>
                  <to>
                    <xdr:col>6</xdr:col>
                    <xdr:colOff>63305</xdr:colOff>
                    <xdr:row>12</xdr:row>
                    <xdr:rowOff>14068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H102"/>
  <sheetViews>
    <sheetView topLeftCell="A81" workbookViewId="0">
      <selection activeCell="L71" sqref="L71"/>
    </sheetView>
  </sheetViews>
  <sheetFormatPr defaultRowHeight="12.75" x14ac:dyDescent="0.25"/>
  <cols>
    <col min="1" max="3" width="8.26953125" style="129" customWidth="1"/>
    <col min="4" max="4" width="10.90625" style="129" bestFit="1" customWidth="1"/>
    <col min="5" max="7" width="8.26953125" style="129" customWidth="1"/>
    <col min="8" max="8" width="10.90625" style="129" bestFit="1" customWidth="1"/>
    <col min="9" max="256" width="8.7265625" style="8"/>
    <col min="257" max="259" width="8.26953125" style="8" customWidth="1"/>
    <col min="260" max="260" width="10.90625" style="8" bestFit="1" customWidth="1"/>
    <col min="261" max="263" width="8.26953125" style="8" customWidth="1"/>
    <col min="264" max="264" width="10.90625" style="8" bestFit="1" customWidth="1"/>
    <col min="265" max="512" width="8.7265625" style="8"/>
    <col min="513" max="515" width="8.26953125" style="8" customWidth="1"/>
    <col min="516" max="516" width="10.90625" style="8" bestFit="1" customWidth="1"/>
    <col min="517" max="519" width="8.26953125" style="8" customWidth="1"/>
    <col min="520" max="520" width="10.90625" style="8" bestFit="1" customWidth="1"/>
    <col min="521" max="768" width="8.7265625" style="8"/>
    <col min="769" max="771" width="8.26953125" style="8" customWidth="1"/>
    <col min="772" max="772" width="10.90625" style="8" bestFit="1" customWidth="1"/>
    <col min="773" max="775" width="8.26953125" style="8" customWidth="1"/>
    <col min="776" max="776" width="10.90625" style="8" bestFit="1" customWidth="1"/>
    <col min="777" max="1024" width="8.7265625" style="8"/>
    <col min="1025" max="1027" width="8.26953125" style="8" customWidth="1"/>
    <col min="1028" max="1028" width="10.90625" style="8" bestFit="1" customWidth="1"/>
    <col min="1029" max="1031" width="8.26953125" style="8" customWidth="1"/>
    <col min="1032" max="1032" width="10.90625" style="8" bestFit="1" customWidth="1"/>
    <col min="1033" max="1280" width="8.7265625" style="8"/>
    <col min="1281" max="1283" width="8.26953125" style="8" customWidth="1"/>
    <col min="1284" max="1284" width="10.90625" style="8" bestFit="1" customWidth="1"/>
    <col min="1285" max="1287" width="8.26953125" style="8" customWidth="1"/>
    <col min="1288" max="1288" width="10.90625" style="8" bestFit="1" customWidth="1"/>
    <col min="1289" max="1536" width="8.7265625" style="8"/>
    <col min="1537" max="1539" width="8.26953125" style="8" customWidth="1"/>
    <col min="1540" max="1540" width="10.90625" style="8" bestFit="1" customWidth="1"/>
    <col min="1541" max="1543" width="8.26953125" style="8" customWidth="1"/>
    <col min="1544" max="1544" width="10.90625" style="8" bestFit="1" customWidth="1"/>
    <col min="1545" max="1792" width="8.7265625" style="8"/>
    <col min="1793" max="1795" width="8.26953125" style="8" customWidth="1"/>
    <col min="1796" max="1796" width="10.90625" style="8" bestFit="1" customWidth="1"/>
    <col min="1797" max="1799" width="8.26953125" style="8" customWidth="1"/>
    <col min="1800" max="1800" width="10.90625" style="8" bestFit="1" customWidth="1"/>
    <col min="1801" max="2048" width="8.7265625" style="8"/>
    <col min="2049" max="2051" width="8.26953125" style="8" customWidth="1"/>
    <col min="2052" max="2052" width="10.90625" style="8" bestFit="1" customWidth="1"/>
    <col min="2053" max="2055" width="8.26953125" style="8" customWidth="1"/>
    <col min="2056" max="2056" width="10.90625" style="8" bestFit="1" customWidth="1"/>
    <col min="2057" max="2304" width="8.7265625" style="8"/>
    <col min="2305" max="2307" width="8.26953125" style="8" customWidth="1"/>
    <col min="2308" max="2308" width="10.90625" style="8" bestFit="1" customWidth="1"/>
    <col min="2309" max="2311" width="8.26953125" style="8" customWidth="1"/>
    <col min="2312" max="2312" width="10.90625" style="8" bestFit="1" customWidth="1"/>
    <col min="2313" max="2560" width="8.7265625" style="8"/>
    <col min="2561" max="2563" width="8.26953125" style="8" customWidth="1"/>
    <col min="2564" max="2564" width="10.90625" style="8" bestFit="1" customWidth="1"/>
    <col min="2565" max="2567" width="8.26953125" style="8" customWidth="1"/>
    <col min="2568" max="2568" width="10.90625" style="8" bestFit="1" customWidth="1"/>
    <col min="2569" max="2816" width="8.7265625" style="8"/>
    <col min="2817" max="2819" width="8.26953125" style="8" customWidth="1"/>
    <col min="2820" max="2820" width="10.90625" style="8" bestFit="1" customWidth="1"/>
    <col min="2821" max="2823" width="8.26953125" style="8" customWidth="1"/>
    <col min="2824" max="2824" width="10.90625" style="8" bestFit="1" customWidth="1"/>
    <col min="2825" max="3072" width="8.7265625" style="8"/>
    <col min="3073" max="3075" width="8.26953125" style="8" customWidth="1"/>
    <col min="3076" max="3076" width="10.90625" style="8" bestFit="1" customWidth="1"/>
    <col min="3077" max="3079" width="8.26953125" style="8" customWidth="1"/>
    <col min="3080" max="3080" width="10.90625" style="8" bestFit="1" customWidth="1"/>
    <col min="3081" max="3328" width="8.7265625" style="8"/>
    <col min="3329" max="3331" width="8.26953125" style="8" customWidth="1"/>
    <col min="3332" max="3332" width="10.90625" style="8" bestFit="1" customWidth="1"/>
    <col min="3333" max="3335" width="8.26953125" style="8" customWidth="1"/>
    <col min="3336" max="3336" width="10.90625" style="8" bestFit="1" customWidth="1"/>
    <col min="3337" max="3584" width="8.7265625" style="8"/>
    <col min="3585" max="3587" width="8.26953125" style="8" customWidth="1"/>
    <col min="3588" max="3588" width="10.90625" style="8" bestFit="1" customWidth="1"/>
    <col min="3589" max="3591" width="8.26953125" style="8" customWidth="1"/>
    <col min="3592" max="3592" width="10.90625" style="8" bestFit="1" customWidth="1"/>
    <col min="3593" max="3840" width="8.7265625" style="8"/>
    <col min="3841" max="3843" width="8.26953125" style="8" customWidth="1"/>
    <col min="3844" max="3844" width="10.90625" style="8" bestFit="1" customWidth="1"/>
    <col min="3845" max="3847" width="8.26953125" style="8" customWidth="1"/>
    <col min="3848" max="3848" width="10.90625" style="8" bestFit="1" customWidth="1"/>
    <col min="3849" max="4096" width="8.7265625" style="8"/>
    <col min="4097" max="4099" width="8.26953125" style="8" customWidth="1"/>
    <col min="4100" max="4100" width="10.90625" style="8" bestFit="1" customWidth="1"/>
    <col min="4101" max="4103" width="8.26953125" style="8" customWidth="1"/>
    <col min="4104" max="4104" width="10.90625" style="8" bestFit="1" customWidth="1"/>
    <col min="4105" max="4352" width="8.7265625" style="8"/>
    <col min="4353" max="4355" width="8.26953125" style="8" customWidth="1"/>
    <col min="4356" max="4356" width="10.90625" style="8" bestFit="1" customWidth="1"/>
    <col min="4357" max="4359" width="8.26953125" style="8" customWidth="1"/>
    <col min="4360" max="4360" width="10.90625" style="8" bestFit="1" customWidth="1"/>
    <col min="4361" max="4608" width="8.7265625" style="8"/>
    <col min="4609" max="4611" width="8.26953125" style="8" customWidth="1"/>
    <col min="4612" max="4612" width="10.90625" style="8" bestFit="1" customWidth="1"/>
    <col min="4613" max="4615" width="8.26953125" style="8" customWidth="1"/>
    <col min="4616" max="4616" width="10.90625" style="8" bestFit="1" customWidth="1"/>
    <col min="4617" max="4864" width="8.7265625" style="8"/>
    <col min="4865" max="4867" width="8.26953125" style="8" customWidth="1"/>
    <col min="4868" max="4868" width="10.90625" style="8" bestFit="1" customWidth="1"/>
    <col min="4869" max="4871" width="8.26953125" style="8" customWidth="1"/>
    <col min="4872" max="4872" width="10.90625" style="8" bestFit="1" customWidth="1"/>
    <col min="4873" max="5120" width="8.7265625" style="8"/>
    <col min="5121" max="5123" width="8.26953125" style="8" customWidth="1"/>
    <col min="5124" max="5124" width="10.90625" style="8" bestFit="1" customWidth="1"/>
    <col min="5125" max="5127" width="8.26953125" style="8" customWidth="1"/>
    <col min="5128" max="5128" width="10.90625" style="8" bestFit="1" customWidth="1"/>
    <col min="5129" max="5376" width="8.7265625" style="8"/>
    <col min="5377" max="5379" width="8.26953125" style="8" customWidth="1"/>
    <col min="5380" max="5380" width="10.90625" style="8" bestFit="1" customWidth="1"/>
    <col min="5381" max="5383" width="8.26953125" style="8" customWidth="1"/>
    <col min="5384" max="5384" width="10.90625" style="8" bestFit="1" customWidth="1"/>
    <col min="5385" max="5632" width="8.7265625" style="8"/>
    <col min="5633" max="5635" width="8.26953125" style="8" customWidth="1"/>
    <col min="5636" max="5636" width="10.90625" style="8" bestFit="1" customWidth="1"/>
    <col min="5637" max="5639" width="8.26953125" style="8" customWidth="1"/>
    <col min="5640" max="5640" width="10.90625" style="8" bestFit="1" customWidth="1"/>
    <col min="5641" max="5888" width="8.7265625" style="8"/>
    <col min="5889" max="5891" width="8.26953125" style="8" customWidth="1"/>
    <col min="5892" max="5892" width="10.90625" style="8" bestFit="1" customWidth="1"/>
    <col min="5893" max="5895" width="8.26953125" style="8" customWidth="1"/>
    <col min="5896" max="5896" width="10.90625" style="8" bestFit="1" customWidth="1"/>
    <col min="5897" max="6144" width="8.7265625" style="8"/>
    <col min="6145" max="6147" width="8.26953125" style="8" customWidth="1"/>
    <col min="6148" max="6148" width="10.90625" style="8" bestFit="1" customWidth="1"/>
    <col min="6149" max="6151" width="8.26953125" style="8" customWidth="1"/>
    <col min="6152" max="6152" width="10.90625" style="8" bestFit="1" customWidth="1"/>
    <col min="6153" max="6400" width="8.7265625" style="8"/>
    <col min="6401" max="6403" width="8.26953125" style="8" customWidth="1"/>
    <col min="6404" max="6404" width="10.90625" style="8" bestFit="1" customWidth="1"/>
    <col min="6405" max="6407" width="8.26953125" style="8" customWidth="1"/>
    <col min="6408" max="6408" width="10.90625" style="8" bestFit="1" customWidth="1"/>
    <col min="6409" max="6656" width="8.7265625" style="8"/>
    <col min="6657" max="6659" width="8.26953125" style="8" customWidth="1"/>
    <col min="6660" max="6660" width="10.90625" style="8" bestFit="1" customWidth="1"/>
    <col min="6661" max="6663" width="8.26953125" style="8" customWidth="1"/>
    <col min="6664" max="6664" width="10.90625" style="8" bestFit="1" customWidth="1"/>
    <col min="6665" max="6912" width="8.7265625" style="8"/>
    <col min="6913" max="6915" width="8.26953125" style="8" customWidth="1"/>
    <col min="6916" max="6916" width="10.90625" style="8" bestFit="1" customWidth="1"/>
    <col min="6917" max="6919" width="8.26953125" style="8" customWidth="1"/>
    <col min="6920" max="6920" width="10.90625" style="8" bestFit="1" customWidth="1"/>
    <col min="6921" max="7168" width="8.7265625" style="8"/>
    <col min="7169" max="7171" width="8.26953125" style="8" customWidth="1"/>
    <col min="7172" max="7172" width="10.90625" style="8" bestFit="1" customWidth="1"/>
    <col min="7173" max="7175" width="8.26953125" style="8" customWidth="1"/>
    <col min="7176" max="7176" width="10.90625" style="8" bestFit="1" customWidth="1"/>
    <col min="7177" max="7424" width="8.7265625" style="8"/>
    <col min="7425" max="7427" width="8.26953125" style="8" customWidth="1"/>
    <col min="7428" max="7428" width="10.90625" style="8" bestFit="1" customWidth="1"/>
    <col min="7429" max="7431" width="8.26953125" style="8" customWidth="1"/>
    <col min="7432" max="7432" width="10.90625" style="8" bestFit="1" customWidth="1"/>
    <col min="7433" max="7680" width="8.7265625" style="8"/>
    <col min="7681" max="7683" width="8.26953125" style="8" customWidth="1"/>
    <col min="7684" max="7684" width="10.90625" style="8" bestFit="1" customWidth="1"/>
    <col min="7685" max="7687" width="8.26953125" style="8" customWidth="1"/>
    <col min="7688" max="7688" width="10.90625" style="8" bestFit="1" customWidth="1"/>
    <col min="7689" max="7936" width="8.7265625" style="8"/>
    <col min="7937" max="7939" width="8.26953125" style="8" customWidth="1"/>
    <col min="7940" max="7940" width="10.90625" style="8" bestFit="1" customWidth="1"/>
    <col min="7941" max="7943" width="8.26953125" style="8" customWidth="1"/>
    <col min="7944" max="7944" width="10.90625" style="8" bestFit="1" customWidth="1"/>
    <col min="7945" max="8192" width="8.7265625" style="8"/>
    <col min="8193" max="8195" width="8.26953125" style="8" customWidth="1"/>
    <col min="8196" max="8196" width="10.90625" style="8" bestFit="1" customWidth="1"/>
    <col min="8197" max="8199" width="8.26953125" style="8" customWidth="1"/>
    <col min="8200" max="8200" width="10.90625" style="8" bestFit="1" customWidth="1"/>
    <col min="8201" max="8448" width="8.7265625" style="8"/>
    <col min="8449" max="8451" width="8.26953125" style="8" customWidth="1"/>
    <col min="8452" max="8452" width="10.90625" style="8" bestFit="1" customWidth="1"/>
    <col min="8453" max="8455" width="8.26953125" style="8" customWidth="1"/>
    <col min="8456" max="8456" width="10.90625" style="8" bestFit="1" customWidth="1"/>
    <col min="8457" max="8704" width="8.7265625" style="8"/>
    <col min="8705" max="8707" width="8.26953125" style="8" customWidth="1"/>
    <col min="8708" max="8708" width="10.90625" style="8" bestFit="1" customWidth="1"/>
    <col min="8709" max="8711" width="8.26953125" style="8" customWidth="1"/>
    <col min="8712" max="8712" width="10.90625" style="8" bestFit="1" customWidth="1"/>
    <col min="8713" max="8960" width="8.7265625" style="8"/>
    <col min="8961" max="8963" width="8.26953125" style="8" customWidth="1"/>
    <col min="8964" max="8964" width="10.90625" style="8" bestFit="1" customWidth="1"/>
    <col min="8965" max="8967" width="8.26953125" style="8" customWidth="1"/>
    <col min="8968" max="8968" width="10.90625" style="8" bestFit="1" customWidth="1"/>
    <col min="8969" max="9216" width="8.7265625" style="8"/>
    <col min="9217" max="9219" width="8.26953125" style="8" customWidth="1"/>
    <col min="9220" max="9220" width="10.90625" style="8" bestFit="1" customWidth="1"/>
    <col min="9221" max="9223" width="8.26953125" style="8" customWidth="1"/>
    <col min="9224" max="9224" width="10.90625" style="8" bestFit="1" customWidth="1"/>
    <col min="9225" max="9472" width="8.7265625" style="8"/>
    <col min="9473" max="9475" width="8.26953125" style="8" customWidth="1"/>
    <col min="9476" max="9476" width="10.90625" style="8" bestFit="1" customWidth="1"/>
    <col min="9477" max="9479" width="8.26953125" style="8" customWidth="1"/>
    <col min="9480" max="9480" width="10.90625" style="8" bestFit="1" customWidth="1"/>
    <col min="9481" max="9728" width="8.7265625" style="8"/>
    <col min="9729" max="9731" width="8.26953125" style="8" customWidth="1"/>
    <col min="9732" max="9732" width="10.90625" style="8" bestFit="1" customWidth="1"/>
    <col min="9733" max="9735" width="8.26953125" style="8" customWidth="1"/>
    <col min="9736" max="9736" width="10.90625" style="8" bestFit="1" customWidth="1"/>
    <col min="9737" max="9984" width="8.7265625" style="8"/>
    <col min="9985" max="9987" width="8.26953125" style="8" customWidth="1"/>
    <col min="9988" max="9988" width="10.90625" style="8" bestFit="1" customWidth="1"/>
    <col min="9989" max="9991" width="8.26953125" style="8" customWidth="1"/>
    <col min="9992" max="9992" width="10.90625" style="8" bestFit="1" customWidth="1"/>
    <col min="9993" max="10240" width="8.7265625" style="8"/>
    <col min="10241" max="10243" width="8.26953125" style="8" customWidth="1"/>
    <col min="10244" max="10244" width="10.90625" style="8" bestFit="1" customWidth="1"/>
    <col min="10245" max="10247" width="8.26953125" style="8" customWidth="1"/>
    <col min="10248" max="10248" width="10.90625" style="8" bestFit="1" customWidth="1"/>
    <col min="10249" max="10496" width="8.7265625" style="8"/>
    <col min="10497" max="10499" width="8.26953125" style="8" customWidth="1"/>
    <col min="10500" max="10500" width="10.90625" style="8" bestFit="1" customWidth="1"/>
    <col min="10501" max="10503" width="8.26953125" style="8" customWidth="1"/>
    <col min="10504" max="10504" width="10.90625" style="8" bestFit="1" customWidth="1"/>
    <col min="10505" max="10752" width="8.7265625" style="8"/>
    <col min="10753" max="10755" width="8.26953125" style="8" customWidth="1"/>
    <col min="10756" max="10756" width="10.90625" style="8" bestFit="1" customWidth="1"/>
    <col min="10757" max="10759" width="8.26953125" style="8" customWidth="1"/>
    <col min="10760" max="10760" width="10.90625" style="8" bestFit="1" customWidth="1"/>
    <col min="10761" max="11008" width="8.7265625" style="8"/>
    <col min="11009" max="11011" width="8.26953125" style="8" customWidth="1"/>
    <col min="11012" max="11012" width="10.90625" style="8" bestFit="1" customWidth="1"/>
    <col min="11013" max="11015" width="8.26953125" style="8" customWidth="1"/>
    <col min="11016" max="11016" width="10.90625" style="8" bestFit="1" customWidth="1"/>
    <col min="11017" max="11264" width="8.7265625" style="8"/>
    <col min="11265" max="11267" width="8.26953125" style="8" customWidth="1"/>
    <col min="11268" max="11268" width="10.90625" style="8" bestFit="1" customWidth="1"/>
    <col min="11269" max="11271" width="8.26953125" style="8" customWidth="1"/>
    <col min="11272" max="11272" width="10.90625" style="8" bestFit="1" customWidth="1"/>
    <col min="11273" max="11520" width="8.7265625" style="8"/>
    <col min="11521" max="11523" width="8.26953125" style="8" customWidth="1"/>
    <col min="11524" max="11524" width="10.90625" style="8" bestFit="1" customWidth="1"/>
    <col min="11525" max="11527" width="8.26953125" style="8" customWidth="1"/>
    <col min="11528" max="11528" width="10.90625" style="8" bestFit="1" customWidth="1"/>
    <col min="11529" max="11776" width="8.7265625" style="8"/>
    <col min="11777" max="11779" width="8.26953125" style="8" customWidth="1"/>
    <col min="11780" max="11780" width="10.90625" style="8" bestFit="1" customWidth="1"/>
    <col min="11781" max="11783" width="8.26953125" style="8" customWidth="1"/>
    <col min="11784" max="11784" width="10.90625" style="8" bestFit="1" customWidth="1"/>
    <col min="11785" max="12032" width="8.7265625" style="8"/>
    <col min="12033" max="12035" width="8.26953125" style="8" customWidth="1"/>
    <col min="12036" max="12036" width="10.90625" style="8" bestFit="1" customWidth="1"/>
    <col min="12037" max="12039" width="8.26953125" style="8" customWidth="1"/>
    <col min="12040" max="12040" width="10.90625" style="8" bestFit="1" customWidth="1"/>
    <col min="12041" max="12288" width="8.7265625" style="8"/>
    <col min="12289" max="12291" width="8.26953125" style="8" customWidth="1"/>
    <col min="12292" max="12292" width="10.90625" style="8" bestFit="1" customWidth="1"/>
    <col min="12293" max="12295" width="8.26953125" style="8" customWidth="1"/>
    <col min="12296" max="12296" width="10.90625" style="8" bestFit="1" customWidth="1"/>
    <col min="12297" max="12544" width="8.7265625" style="8"/>
    <col min="12545" max="12547" width="8.26953125" style="8" customWidth="1"/>
    <col min="12548" max="12548" width="10.90625" style="8" bestFit="1" customWidth="1"/>
    <col min="12549" max="12551" width="8.26953125" style="8" customWidth="1"/>
    <col min="12552" max="12552" width="10.90625" style="8" bestFit="1" customWidth="1"/>
    <col min="12553" max="12800" width="8.7265625" style="8"/>
    <col min="12801" max="12803" width="8.26953125" style="8" customWidth="1"/>
    <col min="12804" max="12804" width="10.90625" style="8" bestFit="1" customWidth="1"/>
    <col min="12805" max="12807" width="8.26953125" style="8" customWidth="1"/>
    <col min="12808" max="12808" width="10.90625" style="8" bestFit="1" customWidth="1"/>
    <col min="12809" max="13056" width="8.7265625" style="8"/>
    <col min="13057" max="13059" width="8.26953125" style="8" customWidth="1"/>
    <col min="13060" max="13060" width="10.90625" style="8" bestFit="1" customWidth="1"/>
    <col min="13061" max="13063" width="8.26953125" style="8" customWidth="1"/>
    <col min="13064" max="13064" width="10.90625" style="8" bestFit="1" customWidth="1"/>
    <col min="13065" max="13312" width="8.7265625" style="8"/>
    <col min="13313" max="13315" width="8.26953125" style="8" customWidth="1"/>
    <col min="13316" max="13316" width="10.90625" style="8" bestFit="1" customWidth="1"/>
    <col min="13317" max="13319" width="8.26953125" style="8" customWidth="1"/>
    <col min="13320" max="13320" width="10.90625" style="8" bestFit="1" customWidth="1"/>
    <col min="13321" max="13568" width="8.7265625" style="8"/>
    <col min="13569" max="13571" width="8.26953125" style="8" customWidth="1"/>
    <col min="13572" max="13572" width="10.90625" style="8" bestFit="1" customWidth="1"/>
    <col min="13573" max="13575" width="8.26953125" style="8" customWidth="1"/>
    <col min="13576" max="13576" width="10.90625" style="8" bestFit="1" customWidth="1"/>
    <col min="13577" max="13824" width="8.7265625" style="8"/>
    <col min="13825" max="13827" width="8.26953125" style="8" customWidth="1"/>
    <col min="13828" max="13828" width="10.90625" style="8" bestFit="1" customWidth="1"/>
    <col min="13829" max="13831" width="8.26953125" style="8" customWidth="1"/>
    <col min="13832" max="13832" width="10.90625" style="8" bestFit="1" customWidth="1"/>
    <col min="13833" max="14080" width="8.7265625" style="8"/>
    <col min="14081" max="14083" width="8.26953125" style="8" customWidth="1"/>
    <col min="14084" max="14084" width="10.90625" style="8" bestFit="1" customWidth="1"/>
    <col min="14085" max="14087" width="8.26953125" style="8" customWidth="1"/>
    <col min="14088" max="14088" width="10.90625" style="8" bestFit="1" customWidth="1"/>
    <col min="14089" max="14336" width="8.7265625" style="8"/>
    <col min="14337" max="14339" width="8.26953125" style="8" customWidth="1"/>
    <col min="14340" max="14340" width="10.90625" style="8" bestFit="1" customWidth="1"/>
    <col min="14341" max="14343" width="8.26953125" style="8" customWidth="1"/>
    <col min="14344" max="14344" width="10.90625" style="8" bestFit="1" customWidth="1"/>
    <col min="14345" max="14592" width="8.7265625" style="8"/>
    <col min="14593" max="14595" width="8.26953125" style="8" customWidth="1"/>
    <col min="14596" max="14596" width="10.90625" style="8" bestFit="1" customWidth="1"/>
    <col min="14597" max="14599" width="8.26953125" style="8" customWidth="1"/>
    <col min="14600" max="14600" width="10.90625" style="8" bestFit="1" customWidth="1"/>
    <col min="14601" max="14848" width="8.7265625" style="8"/>
    <col min="14849" max="14851" width="8.26953125" style="8" customWidth="1"/>
    <col min="14852" max="14852" width="10.90625" style="8" bestFit="1" customWidth="1"/>
    <col min="14853" max="14855" width="8.26953125" style="8" customWidth="1"/>
    <col min="14856" max="14856" width="10.90625" style="8" bestFit="1" customWidth="1"/>
    <col min="14857" max="15104" width="8.7265625" style="8"/>
    <col min="15105" max="15107" width="8.26953125" style="8" customWidth="1"/>
    <col min="15108" max="15108" width="10.90625" style="8" bestFit="1" customWidth="1"/>
    <col min="15109" max="15111" width="8.26953125" style="8" customWidth="1"/>
    <col min="15112" max="15112" width="10.90625" style="8" bestFit="1" customWidth="1"/>
    <col min="15113" max="15360" width="8.7265625" style="8"/>
    <col min="15361" max="15363" width="8.26953125" style="8" customWidth="1"/>
    <col min="15364" max="15364" width="10.90625" style="8" bestFit="1" customWidth="1"/>
    <col min="15365" max="15367" width="8.26953125" style="8" customWidth="1"/>
    <col min="15368" max="15368" width="10.90625" style="8" bestFit="1" customWidth="1"/>
    <col min="15369" max="15616" width="8.7265625" style="8"/>
    <col min="15617" max="15619" width="8.26953125" style="8" customWidth="1"/>
    <col min="15620" max="15620" width="10.90625" style="8" bestFit="1" customWidth="1"/>
    <col min="15621" max="15623" width="8.26953125" style="8" customWidth="1"/>
    <col min="15624" max="15624" width="10.90625" style="8" bestFit="1" customWidth="1"/>
    <col min="15625" max="15872" width="8.7265625" style="8"/>
    <col min="15873" max="15875" width="8.26953125" style="8" customWidth="1"/>
    <col min="15876" max="15876" width="10.90625" style="8" bestFit="1" customWidth="1"/>
    <col min="15877" max="15879" width="8.26953125" style="8" customWidth="1"/>
    <col min="15880" max="15880" width="10.90625" style="8" bestFit="1" customWidth="1"/>
    <col min="15881" max="16128" width="8.7265625" style="8"/>
    <col min="16129" max="16131" width="8.26953125" style="8" customWidth="1"/>
    <col min="16132" max="16132" width="10.90625" style="8" bestFit="1" customWidth="1"/>
    <col min="16133" max="16135" width="8.26953125" style="8" customWidth="1"/>
    <col min="16136" max="16136" width="10.90625" style="8" bestFit="1" customWidth="1"/>
    <col min="16137" max="16384" width="8.7265625" style="8"/>
  </cols>
  <sheetData>
    <row r="2" spans="1:8" s="75" customFormat="1" ht="13.3" thickBot="1" x14ac:dyDescent="0.3">
      <c r="A2" s="127"/>
      <c r="B2" s="128" t="s">
        <v>238</v>
      </c>
      <c r="C2" s="128" t="s">
        <v>239</v>
      </c>
      <c r="D2" s="128" t="s">
        <v>240</v>
      </c>
      <c r="E2" s="127"/>
      <c r="F2" s="128" t="s">
        <v>241</v>
      </c>
      <c r="G2" s="128" t="s">
        <v>242</v>
      </c>
      <c r="H2" s="128" t="s">
        <v>240</v>
      </c>
    </row>
    <row r="3" spans="1:8" ht="13.3" hidden="1" thickBot="1" x14ac:dyDescent="0.3">
      <c r="B3" s="130">
        <v>2670.6666666666665</v>
      </c>
      <c r="C3" s="130">
        <v>2.9425011259570666</v>
      </c>
      <c r="D3" s="131">
        <v>50.390872189336889</v>
      </c>
      <c r="F3" s="132">
        <v>2854.5111111111109</v>
      </c>
      <c r="G3" s="130">
        <v>6.7488574768838321</v>
      </c>
      <c r="H3" s="133">
        <v>107.58578489332898</v>
      </c>
    </row>
    <row r="4" spans="1:8" ht="13.3" hidden="1" thickBot="1" x14ac:dyDescent="0.3">
      <c r="B4" s="130">
        <v>2724.6666666666665</v>
      </c>
      <c r="C4" s="130">
        <v>4.2763636363636328</v>
      </c>
      <c r="D4" s="131">
        <v>79.645213289936038</v>
      </c>
      <c r="F4" s="130">
        <v>3482.0444444444443</v>
      </c>
      <c r="G4" s="130">
        <v>2.2450214703593789</v>
      </c>
      <c r="H4" s="133">
        <v>53.782411416553281</v>
      </c>
    </row>
    <row r="5" spans="1:8" ht="13.3" hidden="1" thickBot="1" x14ac:dyDescent="0.3">
      <c r="B5" s="130">
        <v>2804.057777777778</v>
      </c>
      <c r="C5" s="130">
        <v>3.9125382609681467</v>
      </c>
      <c r="D5" s="131">
        <v>70.389130158315012</v>
      </c>
      <c r="F5" s="130">
        <v>3226.2644444444445</v>
      </c>
      <c r="G5" s="130">
        <v>1.6861976537967882</v>
      </c>
      <c r="H5" s="133">
        <v>38.44065657320165</v>
      </c>
    </row>
    <row r="6" spans="1:8" ht="13.3" hidden="1" thickBot="1" x14ac:dyDescent="0.3">
      <c r="B6" s="130">
        <v>2793.5022222222219</v>
      </c>
      <c r="C6" s="130">
        <v>3.2276492430734272</v>
      </c>
      <c r="D6" s="131">
        <v>58.84797060602726</v>
      </c>
      <c r="F6" s="134">
        <v>3249.3111111111107</v>
      </c>
      <c r="G6" s="134">
        <v>2.1149137081857639</v>
      </c>
      <c r="H6" s="133">
        <v>36.587379123349308</v>
      </c>
    </row>
    <row r="7" spans="1:8" ht="13.3" hidden="1" thickBot="1" x14ac:dyDescent="0.3">
      <c r="B7" s="132">
        <v>2716.8888888888887</v>
      </c>
      <c r="C7" s="130">
        <v>3.6431357855993598</v>
      </c>
      <c r="D7" s="131">
        <v>63.171676494387107</v>
      </c>
      <c r="F7" s="130">
        <v>3339.6866666666665</v>
      </c>
      <c r="G7" s="130">
        <v>4.3128599257969897</v>
      </c>
      <c r="H7" s="133">
        <v>89.409566602254614</v>
      </c>
    </row>
    <row r="8" spans="1:8" ht="13.3" hidden="1" thickBot="1" x14ac:dyDescent="0.3">
      <c r="B8" s="130">
        <v>2803.1555555555556</v>
      </c>
      <c r="C8" s="130">
        <v>5.0320375907731778</v>
      </c>
      <c r="D8" s="131">
        <v>92.599867050538293</v>
      </c>
      <c r="F8" s="132">
        <v>3418.9755555555553</v>
      </c>
      <c r="G8" s="130">
        <v>2.4689695550351201</v>
      </c>
      <c r="H8" s="133">
        <v>46.660236580844611</v>
      </c>
    </row>
    <row r="9" spans="1:8" ht="13.3" hidden="1" thickBot="1" x14ac:dyDescent="0.3">
      <c r="B9" s="130">
        <v>2767.0000000000005</v>
      </c>
      <c r="C9" s="130">
        <v>3.6295118141827567</v>
      </c>
      <c r="D9" s="131">
        <v>64.907001163174812</v>
      </c>
      <c r="F9" s="132">
        <v>3074.5622222222223</v>
      </c>
      <c r="G9" s="130">
        <v>9.9706984890896955</v>
      </c>
      <c r="H9" s="133">
        <v>172.01073991016324</v>
      </c>
    </row>
    <row r="10" spans="1:8" ht="13.3" hidden="1" thickBot="1" x14ac:dyDescent="0.3">
      <c r="B10" s="130">
        <v>2857.2977777777774</v>
      </c>
      <c r="C10" s="130">
        <v>4.6242976302655912</v>
      </c>
      <c r="D10" s="131">
        <v>86.509303802807949</v>
      </c>
      <c r="F10" s="130">
        <v>3214.7222222222222</v>
      </c>
      <c r="G10" s="130">
        <v>1.2872616037706619</v>
      </c>
      <c r="H10" s="133">
        <v>28.420628853729742</v>
      </c>
    </row>
    <row r="11" spans="1:8" ht="13.3" hidden="1" thickBot="1" x14ac:dyDescent="0.3">
      <c r="B11" s="130">
        <v>2811.8666666666668</v>
      </c>
      <c r="C11" s="130">
        <v>3.6536798990915527</v>
      </c>
      <c r="D11" s="131">
        <v>66.838922792055442</v>
      </c>
      <c r="F11" s="130">
        <v>3211.4333333333329</v>
      </c>
      <c r="G11" s="130">
        <v>2.0300775485855969</v>
      </c>
      <c r="H11" s="133">
        <v>40.444904499831111</v>
      </c>
    </row>
    <row r="12" spans="1:8" ht="13.3" hidden="1" thickBot="1" x14ac:dyDescent="0.3">
      <c r="B12" s="130">
        <v>2795.2355555555559</v>
      </c>
      <c r="C12" s="130">
        <v>2.6923816784103756</v>
      </c>
      <c r="D12" s="131">
        <v>57.471135170413739</v>
      </c>
      <c r="F12" s="130">
        <v>3212.1822222222222</v>
      </c>
      <c r="G12" s="130">
        <v>1.3255108511947524</v>
      </c>
      <c r="H12" s="133">
        <v>28.55822551288616</v>
      </c>
    </row>
    <row r="13" spans="1:8" ht="13.3" hidden="1" thickBot="1" x14ac:dyDescent="0.3">
      <c r="B13" s="130">
        <v>2439.5066666666662</v>
      </c>
      <c r="C13" s="130">
        <v>7.8449882206151509</v>
      </c>
      <c r="D13" s="131">
        <v>125.82546642074709</v>
      </c>
      <c r="F13" s="130">
        <v>3158.9666666666667</v>
      </c>
      <c r="G13" s="130">
        <v>1.697309900024073</v>
      </c>
      <c r="H13" s="133">
        <v>35.414857051822928</v>
      </c>
    </row>
    <row r="14" spans="1:8" ht="13.3" hidden="1" thickBot="1" x14ac:dyDescent="0.3">
      <c r="B14" s="130">
        <v>2444.1600000000003</v>
      </c>
      <c r="C14" s="130">
        <v>7.7060111790278789</v>
      </c>
      <c r="D14" s="131">
        <v>115.44794497953724</v>
      </c>
      <c r="F14" s="130">
        <v>3247.1133333333337</v>
      </c>
      <c r="G14" s="130">
        <v>1.0693602360989443</v>
      </c>
      <c r="H14" s="133">
        <v>25.394613602086189</v>
      </c>
    </row>
    <row r="15" spans="1:8" ht="13.3" hidden="1" thickBot="1" x14ac:dyDescent="0.3">
      <c r="B15" s="130">
        <v>3071.2355555555555</v>
      </c>
      <c r="C15" s="130">
        <v>4.1172991557424261</v>
      </c>
      <c r="D15" s="131">
        <v>88.589239627492788</v>
      </c>
      <c r="F15" s="135">
        <v>3142.2133333333336</v>
      </c>
      <c r="G15" s="130">
        <v>1.8121384512128802</v>
      </c>
      <c r="H15" s="133">
        <v>37.11023847945642</v>
      </c>
    </row>
    <row r="16" spans="1:8" ht="13.3" hidden="1" thickBot="1" x14ac:dyDescent="0.3">
      <c r="B16" s="130">
        <v>2741.5333333333333</v>
      </c>
      <c r="C16" s="130">
        <v>3.3959364738799311</v>
      </c>
      <c r="D16" s="131">
        <v>63.649113112436304</v>
      </c>
      <c r="F16" s="135">
        <v>3158.5822222222218</v>
      </c>
      <c r="G16" s="130">
        <v>1.7741745975796137</v>
      </c>
      <c r="H16" s="133">
        <v>35.084625471087392</v>
      </c>
    </row>
    <row r="17" spans="2:8" ht="13.3" hidden="1" thickBot="1" x14ac:dyDescent="0.3">
      <c r="B17" s="130">
        <v>2702.2800000000007</v>
      </c>
      <c r="C17" s="130">
        <v>3.0040186798303661</v>
      </c>
      <c r="D17" s="131">
        <v>54.761493770681575</v>
      </c>
      <c r="F17" s="135">
        <v>3168.9599999999996</v>
      </c>
      <c r="G17" s="130">
        <v>1.8707293906866922</v>
      </c>
      <c r="H17" s="133">
        <v>37.342881517107479</v>
      </c>
    </row>
    <row r="18" spans="2:8" ht="13.3" hidden="1" thickBot="1" x14ac:dyDescent="0.3">
      <c r="B18" s="130">
        <v>2719.4577777777781</v>
      </c>
      <c r="C18" s="130">
        <v>3.5325450714118625</v>
      </c>
      <c r="D18" s="131">
        <v>63.360155022244996</v>
      </c>
      <c r="F18" s="135">
        <v>3210.7577777777778</v>
      </c>
      <c r="G18" s="130">
        <v>1.7995644604738605</v>
      </c>
      <c r="H18" s="133">
        <v>37.440908702192061</v>
      </c>
    </row>
    <row r="19" spans="2:8" ht="13.3" hidden="1" thickBot="1" x14ac:dyDescent="0.3">
      <c r="B19" s="130">
        <v>2785.6888888888893</v>
      </c>
      <c r="C19" s="130">
        <v>2.7639981753905789</v>
      </c>
      <c r="D19" s="131">
        <v>53.924728196890058</v>
      </c>
      <c r="F19" s="135">
        <v>3169.8733333333325</v>
      </c>
      <c r="G19" s="130">
        <v>1.7437865531796228</v>
      </c>
      <c r="H19" s="133">
        <v>39.713685298688603</v>
      </c>
    </row>
    <row r="20" spans="2:8" ht="13.3" hidden="1" thickBot="1" x14ac:dyDescent="0.3">
      <c r="B20" s="130">
        <v>2411.9377777777781</v>
      </c>
      <c r="C20" s="130">
        <v>3.8798394320406042</v>
      </c>
      <c r="D20" s="131">
        <v>69.029327422799525</v>
      </c>
      <c r="F20" s="135">
        <v>3170.0333333333338</v>
      </c>
      <c r="G20" s="130">
        <v>1.2877436656420165</v>
      </c>
      <c r="H20" s="133">
        <v>33.26962278116563</v>
      </c>
    </row>
    <row r="21" spans="2:8" ht="13.3" hidden="1" thickBot="1" x14ac:dyDescent="0.3">
      <c r="B21" s="130">
        <v>2498.6666666666665</v>
      </c>
      <c r="C21" s="130">
        <v>4.7152597714395528</v>
      </c>
      <c r="D21" s="131">
        <v>70.130837724927048</v>
      </c>
      <c r="F21" s="135">
        <v>3233.7577777777778</v>
      </c>
      <c r="G21" s="130">
        <v>1.6230768513366067</v>
      </c>
      <c r="H21" s="133">
        <v>34.157165345617166</v>
      </c>
    </row>
    <row r="22" spans="2:8" ht="13.3" hidden="1" thickBot="1" x14ac:dyDescent="0.3">
      <c r="B22" s="130">
        <v>2972.6133333333328</v>
      </c>
      <c r="C22" s="130">
        <v>3.3902267944821132</v>
      </c>
      <c r="D22" s="131">
        <v>67.505739015305764</v>
      </c>
      <c r="F22" s="135">
        <v>3222.3622222222225</v>
      </c>
      <c r="G22" s="130">
        <v>1.9628192824565394</v>
      </c>
      <c r="H22" s="133">
        <v>40.150555966813364</v>
      </c>
    </row>
    <row r="23" spans="2:8" ht="13.3" hidden="1" thickBot="1" x14ac:dyDescent="0.3">
      <c r="B23" s="130">
        <v>2742.6044444444442</v>
      </c>
      <c r="C23" s="130">
        <v>2.9941073419334217</v>
      </c>
      <c r="D23" s="131">
        <v>57.920488411099633</v>
      </c>
      <c r="F23" s="135">
        <v>3227.5755555555556</v>
      </c>
      <c r="G23" s="130">
        <v>1.7826183042870469</v>
      </c>
      <c r="H23" s="133">
        <v>41.837351467064728</v>
      </c>
    </row>
    <row r="24" spans="2:8" ht="13.3" hidden="1" thickBot="1" x14ac:dyDescent="0.3">
      <c r="B24" s="130">
        <v>2685.4488888888891</v>
      </c>
      <c r="C24" s="130">
        <v>3.0127393280190753</v>
      </c>
      <c r="D24" s="131">
        <v>58.869203418342117</v>
      </c>
      <c r="F24" s="135">
        <v>3201.7511111111112</v>
      </c>
      <c r="G24" s="130">
        <v>2.0370620348017821</v>
      </c>
      <c r="H24" s="133">
        <v>39.741552701338946</v>
      </c>
    </row>
    <row r="25" spans="2:8" ht="13.3" hidden="1" thickBot="1" x14ac:dyDescent="0.3">
      <c r="B25" s="130">
        <v>2686.3999999999996</v>
      </c>
      <c r="C25" s="130">
        <v>2.7722108400074528</v>
      </c>
      <c r="D25" s="131">
        <v>51.8808635240378</v>
      </c>
      <c r="F25" s="135">
        <v>3209.7066666666665</v>
      </c>
      <c r="G25" s="130">
        <v>2.162630300672109</v>
      </c>
      <c r="H25" s="133">
        <v>44.384238193324187</v>
      </c>
    </row>
    <row r="26" spans="2:8" ht="13.3" hidden="1" thickBot="1" x14ac:dyDescent="0.3">
      <c r="B26" s="130">
        <v>2694.3911111111115</v>
      </c>
      <c r="C26" s="130">
        <v>2.8631759251055771</v>
      </c>
      <c r="D26" s="131">
        <v>56.572724091286929</v>
      </c>
      <c r="F26" s="135">
        <v>3237.2933333333331</v>
      </c>
      <c r="G26" s="130">
        <v>1.7887973119995908</v>
      </c>
      <c r="H26" s="133">
        <v>34.749223012876122</v>
      </c>
    </row>
    <row r="27" spans="2:8" ht="13.3" hidden="1" thickBot="1" x14ac:dyDescent="0.3">
      <c r="B27" s="130">
        <v>2928.9733333333334</v>
      </c>
      <c r="C27" s="130">
        <v>3.2756346627143191</v>
      </c>
      <c r="D27" s="131">
        <v>67.25217319909288</v>
      </c>
      <c r="F27" s="135">
        <v>3263.3999999999996</v>
      </c>
      <c r="G27" s="130">
        <v>1.51620837769376</v>
      </c>
      <c r="H27" s="133">
        <v>28.511257425785363</v>
      </c>
    </row>
    <row r="28" spans="2:8" ht="13.3" hidden="1" thickBot="1" x14ac:dyDescent="0.3">
      <c r="B28" s="130">
        <v>2675.6088888888885</v>
      </c>
      <c r="C28" s="130">
        <v>3.125770607444156</v>
      </c>
      <c r="D28" s="131">
        <v>59.205775994515378</v>
      </c>
      <c r="F28" s="135">
        <v>3211.508888888889</v>
      </c>
      <c r="G28" s="130">
        <v>3.0773101843114952</v>
      </c>
      <c r="H28" s="133">
        <v>59.169517583909183</v>
      </c>
    </row>
    <row r="29" spans="2:8" ht="13.3" hidden="1" thickBot="1" x14ac:dyDescent="0.3">
      <c r="B29" s="130">
        <v>2394.4177777777782</v>
      </c>
      <c r="C29" s="130">
        <v>10.504824615894309</v>
      </c>
      <c r="D29" s="131">
        <v>154.73368102789348</v>
      </c>
      <c r="F29" s="135">
        <v>3193.4644444444443</v>
      </c>
      <c r="G29" s="130">
        <v>1.9155478792932168</v>
      </c>
      <c r="H29" s="133">
        <v>34.757580148448028</v>
      </c>
    </row>
    <row r="30" spans="2:8" ht="13.3" hidden="1" thickBot="1" x14ac:dyDescent="0.3">
      <c r="B30" s="130">
        <v>2639.5466666666671</v>
      </c>
      <c r="C30" s="130">
        <v>3.3654687535667285</v>
      </c>
      <c r="D30" s="131">
        <v>56.149756900602803</v>
      </c>
      <c r="F30" s="135">
        <v>3206.6199999999994</v>
      </c>
      <c r="G30" s="130">
        <v>2.3807959349059198</v>
      </c>
      <c r="H30" s="133">
        <v>50.787085956996016</v>
      </c>
    </row>
    <row r="31" spans="2:8" ht="13.3" hidden="1" thickBot="1" x14ac:dyDescent="0.3">
      <c r="B31" s="130">
        <v>2668.5288888888881</v>
      </c>
      <c r="C31" s="130">
        <v>2.9979724219457222</v>
      </c>
      <c r="D31" s="131">
        <v>58.639201146633731</v>
      </c>
      <c r="F31" s="130">
        <v>3203.7088888888889</v>
      </c>
      <c r="G31" s="130">
        <v>2.3704911503323243</v>
      </c>
      <c r="H31" s="133">
        <v>53.835011944926649</v>
      </c>
    </row>
    <row r="32" spans="2:8" ht="13.3" hidden="1" thickBot="1" x14ac:dyDescent="0.3">
      <c r="B32" s="130">
        <v>2614.1733333333336</v>
      </c>
      <c r="C32" s="130">
        <v>12.049870362664421</v>
      </c>
      <c r="D32" s="131">
        <v>180.08650143750117</v>
      </c>
      <c r="F32" s="130">
        <v>3452.442222222222</v>
      </c>
      <c r="G32" s="130">
        <v>2.2812137549640301</v>
      </c>
      <c r="H32" s="133">
        <v>42.142549097657835</v>
      </c>
    </row>
    <row r="33" spans="2:8" ht="13.3" hidden="1" thickBot="1" x14ac:dyDescent="0.3">
      <c r="B33" s="130">
        <v>2692.1911111111112</v>
      </c>
      <c r="C33" s="130">
        <v>3.1246063677655078</v>
      </c>
      <c r="D33" s="131">
        <v>59.978702145940822</v>
      </c>
      <c r="F33" s="135">
        <v>3389.1600000000012</v>
      </c>
      <c r="G33" s="130">
        <v>2.8393754259063138</v>
      </c>
      <c r="H33" s="133">
        <v>51.736692008598318</v>
      </c>
    </row>
    <row r="34" spans="2:8" ht="13.3" hidden="1" thickBot="1" x14ac:dyDescent="0.3">
      <c r="B34" s="130">
        <v>2696.1155555555556</v>
      </c>
      <c r="C34" s="130">
        <v>3.3922204094288264</v>
      </c>
      <c r="D34" s="131">
        <v>59.979357930683761</v>
      </c>
      <c r="F34" s="135">
        <v>3186.7784615384617</v>
      </c>
      <c r="G34" s="130">
        <v>2.378134419037683</v>
      </c>
      <c r="H34" s="133">
        <v>40.754557586833073</v>
      </c>
    </row>
    <row r="35" spans="2:8" ht="13.3" hidden="1" thickBot="1" x14ac:dyDescent="0.3">
      <c r="B35" s="130">
        <v>2711.0177777777781</v>
      </c>
      <c r="C35" s="130">
        <v>3.5425465496345656</v>
      </c>
      <c r="D35" s="131">
        <v>63.257594361795697</v>
      </c>
      <c r="F35" s="135">
        <v>3147.5355555555561</v>
      </c>
      <c r="G35" s="130">
        <v>5.7470054131724639</v>
      </c>
      <c r="H35" s="133">
        <v>132.02502557385426</v>
      </c>
    </row>
    <row r="36" spans="2:8" ht="13.3" hidden="1" thickBot="1" x14ac:dyDescent="0.3">
      <c r="B36" s="130">
        <v>2714.3866666666668</v>
      </c>
      <c r="C36" s="130">
        <v>3.2473881941227987</v>
      </c>
      <c r="D36" s="131">
        <v>59.22351559980337</v>
      </c>
      <c r="F36" s="135">
        <v>3101.1244444444446</v>
      </c>
      <c r="G36" s="130">
        <v>3.2235124529510433</v>
      </c>
      <c r="H36" s="133">
        <v>86.062172746092401</v>
      </c>
    </row>
    <row r="37" spans="2:8" ht="13.3" hidden="1" thickBot="1" x14ac:dyDescent="0.3">
      <c r="B37" s="130">
        <v>2719.9111111111106</v>
      </c>
      <c r="C37" s="130">
        <v>3.1349593019422382</v>
      </c>
      <c r="D37" s="131">
        <v>56.924833869867705</v>
      </c>
      <c r="F37" s="135">
        <v>3151.577777777778</v>
      </c>
      <c r="G37" s="130">
        <v>3.2663735668900324</v>
      </c>
      <c r="H37" s="133">
        <v>80.068116903339202</v>
      </c>
    </row>
    <row r="38" spans="2:8" ht="13.3" hidden="1" thickBot="1" x14ac:dyDescent="0.3">
      <c r="B38" s="130">
        <v>2704.8355555555554</v>
      </c>
      <c r="C38" s="130">
        <v>3.2576272187601609</v>
      </c>
      <c r="D38" s="131">
        <v>63.45381452504985</v>
      </c>
      <c r="F38" s="135">
        <v>3151.0044444444447</v>
      </c>
      <c r="G38" s="130">
        <v>3.3602497372346591</v>
      </c>
      <c r="H38" s="133">
        <v>75.325742464154374</v>
      </c>
    </row>
    <row r="39" spans="2:8" ht="13.3" hidden="1" thickBot="1" x14ac:dyDescent="0.3">
      <c r="B39" s="130">
        <v>2718.7777777777778</v>
      </c>
      <c r="C39" s="130">
        <v>3.2328028371288648</v>
      </c>
      <c r="D39" s="131">
        <v>62.182242195367614</v>
      </c>
      <c r="F39" s="135">
        <v>3150.8822222222225</v>
      </c>
      <c r="G39" s="130">
        <v>2.9529387236784608</v>
      </c>
      <c r="H39" s="133">
        <v>73.854002223592019</v>
      </c>
    </row>
    <row r="40" spans="2:8" ht="13.3" hidden="1" thickBot="1" x14ac:dyDescent="0.3">
      <c r="B40" s="130">
        <v>2678.5200000000004</v>
      </c>
      <c r="C40" s="130">
        <v>3.0969735145025319</v>
      </c>
      <c r="D40" s="131">
        <v>61.103456530687964</v>
      </c>
      <c r="F40" s="135">
        <v>3155.6644444444441</v>
      </c>
      <c r="G40" s="130">
        <v>3.6957443800367633</v>
      </c>
      <c r="H40" s="133">
        <v>88.983621963704863</v>
      </c>
    </row>
    <row r="41" spans="2:8" ht="13.3" hidden="1" thickBot="1" x14ac:dyDescent="0.3">
      <c r="B41" s="130">
        <v>2978.8311111111107</v>
      </c>
      <c r="C41" s="130">
        <v>3.9475697794337599</v>
      </c>
      <c r="D41" s="131">
        <v>82.194176868635282</v>
      </c>
      <c r="F41" s="135">
        <v>3141.3577777777778</v>
      </c>
      <c r="G41" s="130">
        <v>3.8105389590584675</v>
      </c>
      <c r="H41" s="133">
        <v>84.0065119168938</v>
      </c>
    </row>
    <row r="42" spans="2:8" ht="13.3" hidden="1" thickBot="1" x14ac:dyDescent="0.3">
      <c r="B42" s="130">
        <v>2407.9822222222224</v>
      </c>
      <c r="C42" s="130">
        <v>10.415556964700913</v>
      </c>
      <c r="D42" s="131">
        <v>143.50508577902139</v>
      </c>
      <c r="F42" s="135">
        <v>3146.8955555555563</v>
      </c>
      <c r="G42" s="130">
        <v>3.6380955985793362</v>
      </c>
      <c r="H42" s="133">
        <v>84.720512733185743</v>
      </c>
    </row>
    <row r="43" spans="2:8" ht="13.3" hidden="1" thickBot="1" x14ac:dyDescent="0.3">
      <c r="B43" s="130">
        <v>2693.5066666666667</v>
      </c>
      <c r="C43" s="130">
        <v>3.0729337426604273</v>
      </c>
      <c r="D43" s="131">
        <v>58.692169835507499</v>
      </c>
      <c r="F43" s="135">
        <v>3150.8288888888883</v>
      </c>
      <c r="G43" s="130">
        <v>4.1685354142033137</v>
      </c>
      <c r="H43" s="133">
        <v>94.06887429491286</v>
      </c>
    </row>
    <row r="44" spans="2:8" ht="13.3" hidden="1" thickBot="1" x14ac:dyDescent="0.3">
      <c r="B44" s="130">
        <v>2698.8577777777778</v>
      </c>
      <c r="C44" s="130">
        <v>3.1996548954273631</v>
      </c>
      <c r="D44" s="131">
        <v>60.657174715309502</v>
      </c>
      <c r="F44" s="135">
        <v>3142.0088888888881</v>
      </c>
      <c r="G44" s="130">
        <v>3.0339448873933095</v>
      </c>
      <c r="H44" s="133">
        <v>70.967341158559066</v>
      </c>
    </row>
    <row r="45" spans="2:8" ht="13.3" hidden="1" thickBot="1" x14ac:dyDescent="0.3">
      <c r="B45" s="130">
        <v>2700.7511111111107</v>
      </c>
      <c r="C45" s="130">
        <v>2.9758040719976333</v>
      </c>
      <c r="D45" s="131">
        <v>57.374453471143909</v>
      </c>
      <c r="F45" s="135">
        <v>3139.764444444445</v>
      </c>
      <c r="G45" s="130">
        <v>4.3832532775320328</v>
      </c>
      <c r="H45" s="133">
        <v>86.650238763512121</v>
      </c>
    </row>
    <row r="46" spans="2:8" ht="13.3" hidden="1" thickBot="1" x14ac:dyDescent="0.3">
      <c r="B46" s="130">
        <v>2729.5022222222219</v>
      </c>
      <c r="C46" s="130">
        <v>3.6419201928032585</v>
      </c>
      <c r="D46" s="131">
        <v>66.743020941862525</v>
      </c>
      <c r="F46" s="135">
        <v>3113.26</v>
      </c>
      <c r="G46" s="130">
        <v>5.0231938286475577</v>
      </c>
      <c r="H46" s="133">
        <v>91.386236381643698</v>
      </c>
    </row>
    <row r="47" spans="2:8" ht="13.3" hidden="1" thickBot="1" x14ac:dyDescent="0.3">
      <c r="B47" s="130">
        <v>2821.382222222222</v>
      </c>
      <c r="C47" s="130">
        <v>2.9502919228787023</v>
      </c>
      <c r="D47" s="131">
        <v>56.663258328872537</v>
      </c>
      <c r="F47" s="135">
        <v>3131.0577777777776</v>
      </c>
      <c r="G47" s="130">
        <v>4.6430313094642388</v>
      </c>
      <c r="H47" s="133">
        <v>84.598215373891762</v>
      </c>
    </row>
    <row r="48" spans="2:8" ht="13.3" hidden="1" thickBot="1" x14ac:dyDescent="0.3">
      <c r="B48" s="130">
        <v>2814.0311111111109</v>
      </c>
      <c r="C48" s="130">
        <v>4.5754047145697276</v>
      </c>
      <c r="D48" s="131">
        <v>86.221047958793136</v>
      </c>
      <c r="F48" s="135">
        <v>3109.7577777777778</v>
      </c>
      <c r="G48" s="130">
        <v>4.4918918573682181</v>
      </c>
      <c r="H48" s="133">
        <v>84.289227926510222</v>
      </c>
    </row>
    <row r="49" spans="1:8" ht="13.3" hidden="1" thickBot="1" x14ac:dyDescent="0.3">
      <c r="B49" s="130">
        <v>2786.4977777777772</v>
      </c>
      <c r="C49" s="130">
        <v>4.294146160645548</v>
      </c>
      <c r="D49" s="131">
        <v>81.958892406170392</v>
      </c>
      <c r="F49" s="135">
        <v>3149.264444444445</v>
      </c>
      <c r="G49" s="130">
        <v>5.1331532226939469</v>
      </c>
      <c r="H49" s="133">
        <v>96.173356381979545</v>
      </c>
    </row>
    <row r="50" spans="1:8" ht="13.3" hidden="1" thickBot="1" x14ac:dyDescent="0.3">
      <c r="B50" s="130">
        <v>2774.5644444444447</v>
      </c>
      <c r="C50" s="130">
        <v>3.439421389748802</v>
      </c>
      <c r="D50" s="131">
        <v>66.461909224582342</v>
      </c>
      <c r="F50" s="135">
        <v>3148.4555555555553</v>
      </c>
      <c r="G50" s="130">
        <v>4.6316203377791441</v>
      </c>
      <c r="H50" s="133">
        <v>85.492292505127196</v>
      </c>
    </row>
    <row r="51" spans="1:8" ht="13.3" hidden="1" thickBot="1" x14ac:dyDescent="0.3">
      <c r="B51" s="130">
        <v>2722.5244444444447</v>
      </c>
      <c r="C51" s="130">
        <v>2.8197823069617876</v>
      </c>
      <c r="D51" s="131">
        <v>55.532575825170071</v>
      </c>
      <c r="F51" s="135">
        <v>3141.2066666666669</v>
      </c>
      <c r="G51" s="130">
        <v>4.4969216174401421</v>
      </c>
      <c r="H51" s="133">
        <v>86.102663141151325</v>
      </c>
    </row>
    <row r="52" spans="1:8" ht="13.3" hidden="1" thickBot="1" x14ac:dyDescent="0.3">
      <c r="B52" s="130">
        <v>2758.6133333333332</v>
      </c>
      <c r="C52" s="130">
        <v>3.7319445243713023</v>
      </c>
      <c r="D52" s="131">
        <v>67.199404759266855</v>
      </c>
      <c r="F52" s="135">
        <v>3132.6599999999994</v>
      </c>
      <c r="G52" s="130">
        <v>4.5842590765274114</v>
      </c>
      <c r="H52" s="133">
        <v>88.618259969389626</v>
      </c>
    </row>
    <row r="53" spans="1:8" ht="13.3" hidden="1" thickBot="1" x14ac:dyDescent="0.3">
      <c r="B53" s="130">
        <v>2687.7644444444441</v>
      </c>
      <c r="C53" s="130">
        <v>2.901345324865805</v>
      </c>
      <c r="D53" s="131">
        <v>54.696059984048475</v>
      </c>
      <c r="F53" s="135">
        <v>3125.0266666666666</v>
      </c>
      <c r="G53" s="130">
        <v>4.2205451750160989</v>
      </c>
      <c r="H53" s="133">
        <v>83.748116396736776</v>
      </c>
    </row>
    <row r="54" spans="1:8" ht="13.3" hidden="1" thickBot="1" x14ac:dyDescent="0.3">
      <c r="B54" s="130">
        <v>2695.1422222222222</v>
      </c>
      <c r="C54" s="130">
        <v>3.1082577260601685</v>
      </c>
      <c r="D54" s="131">
        <v>59.64043296662684</v>
      </c>
      <c r="F54" s="135">
        <v>3119.286666666666</v>
      </c>
      <c r="G54" s="130">
        <v>3.2344469400113374</v>
      </c>
      <c r="H54" s="133">
        <v>69.1997341035338</v>
      </c>
    </row>
    <row r="55" spans="1:8" ht="13.3" hidden="1" thickBot="1" x14ac:dyDescent="0.3">
      <c r="B55" s="130">
        <v>2452.8133333333335</v>
      </c>
      <c r="C55" s="130">
        <v>6.6787661743139202</v>
      </c>
      <c r="D55" s="131">
        <v>116.70163666375441</v>
      </c>
      <c r="F55" s="135">
        <v>3122.1711111111108</v>
      </c>
      <c r="G55" s="130">
        <v>3.7557136496567805</v>
      </c>
      <c r="H55" s="133">
        <v>75.269155775201043</v>
      </c>
    </row>
    <row r="56" spans="1:8" ht="13.3" hidden="1" thickBot="1" x14ac:dyDescent="0.3">
      <c r="B56" s="130">
        <v>2770.3777777777782</v>
      </c>
      <c r="C56" s="130">
        <v>3.5311742045940933</v>
      </c>
      <c r="D56" s="131">
        <v>69.296580322852947</v>
      </c>
      <c r="F56" s="135">
        <v>3070.3622222222225</v>
      </c>
      <c r="G56" s="130">
        <v>3.8376792087152225</v>
      </c>
      <c r="H56" s="133">
        <v>75.116722801534635</v>
      </c>
    </row>
    <row r="57" spans="1:8" s="137" customFormat="1" ht="13.3" thickBot="1" x14ac:dyDescent="0.3">
      <c r="A57" s="136"/>
      <c r="B57" s="63">
        <v>2568.0177777777776</v>
      </c>
      <c r="C57" s="63">
        <v>3.0929271350949734</v>
      </c>
      <c r="D57" s="51">
        <v>11.905559042370756</v>
      </c>
      <c r="E57" s="136"/>
      <c r="F57" s="58">
        <v>3253.5555555555557</v>
      </c>
      <c r="G57" s="57">
        <v>3.9523212045169385</v>
      </c>
      <c r="H57" s="56">
        <v>48.337643485963632</v>
      </c>
    </row>
    <row r="58" spans="1:8" ht="13.3" thickBot="1" x14ac:dyDescent="0.3">
      <c r="B58" s="63"/>
      <c r="C58" s="63"/>
      <c r="D58" s="51"/>
      <c r="F58" s="58">
        <v>3066.9822222222228</v>
      </c>
      <c r="G58" s="57">
        <v>0.83942310524368258</v>
      </c>
      <c r="H58" s="56">
        <v>16.599977241898713</v>
      </c>
    </row>
    <row r="59" spans="1:8" ht="13.3" thickBot="1" x14ac:dyDescent="0.3">
      <c r="B59" s="63">
        <v>2488.6622222222222</v>
      </c>
      <c r="C59" s="63">
        <v>2.7224163553841905</v>
      </c>
      <c r="D59" s="51">
        <v>5.307136704455564</v>
      </c>
      <c r="F59" s="58">
        <v>3337.8711111111106</v>
      </c>
      <c r="G59" s="57">
        <v>0.8418264938675597</v>
      </c>
      <c r="H59" s="56">
        <v>35.835759065157625</v>
      </c>
    </row>
    <row r="60" spans="1:8" ht="13.3" thickBot="1" x14ac:dyDescent="0.3">
      <c r="B60" s="63">
        <v>2261.4888888888891</v>
      </c>
      <c r="C60" s="63">
        <v>11.148285759566123</v>
      </c>
      <c r="D60" s="51">
        <v>31.751939310820376</v>
      </c>
      <c r="F60" s="58">
        <v>3321.9888888888886</v>
      </c>
      <c r="G60" s="57">
        <v>1.0222054949190758</v>
      </c>
      <c r="H60" s="56">
        <v>24.414084960469406</v>
      </c>
    </row>
    <row r="61" spans="1:8" ht="13.3" thickBot="1" x14ac:dyDescent="0.3">
      <c r="B61" s="63">
        <v>2597.96</v>
      </c>
      <c r="C61" s="63">
        <v>2.9661049333180611</v>
      </c>
      <c r="D61" s="51">
        <v>6.2963342509869973</v>
      </c>
      <c r="F61" s="58">
        <v>3344.44</v>
      </c>
      <c r="G61" s="57">
        <v>0.64659605483991889</v>
      </c>
      <c r="H61" s="56">
        <v>16.847328258464227</v>
      </c>
    </row>
    <row r="62" spans="1:8" ht="13.3" thickBot="1" x14ac:dyDescent="0.3">
      <c r="B62" s="63">
        <v>2597.96</v>
      </c>
      <c r="C62" s="63">
        <v>2.9661049333180611</v>
      </c>
      <c r="D62" s="51">
        <v>6.2963342509869973</v>
      </c>
      <c r="F62" s="58">
        <v>3508.086666666667</v>
      </c>
      <c r="G62" s="57">
        <v>1.0915163812954483</v>
      </c>
      <c r="H62" s="56">
        <v>18.543485903273599</v>
      </c>
    </row>
    <row r="63" spans="1:8" ht="13.3" thickBot="1" x14ac:dyDescent="0.3">
      <c r="B63" s="63">
        <v>2551.96</v>
      </c>
      <c r="C63" s="63">
        <v>2.9815923154354591</v>
      </c>
      <c r="D63" s="51">
        <v>10.208994944595988</v>
      </c>
      <c r="F63" s="58">
        <v>3491.3333333333335</v>
      </c>
      <c r="G63" s="57">
        <v>1.2282205084261639</v>
      </c>
      <c r="H63" s="56">
        <v>31.470003354177432</v>
      </c>
    </row>
    <row r="64" spans="1:8" ht="13.3" thickBot="1" x14ac:dyDescent="0.3">
      <c r="B64" s="63">
        <v>2613.6355555555551</v>
      </c>
      <c r="C64" s="63">
        <v>3.3325206473044227</v>
      </c>
      <c r="D64" s="51">
        <v>4.3074831528783548</v>
      </c>
      <c r="F64" s="58">
        <v>3399.1000000000004</v>
      </c>
      <c r="G64" s="57">
        <v>1.7422221695920643</v>
      </c>
      <c r="H64" s="56">
        <v>35.789050001316262</v>
      </c>
    </row>
    <row r="65" spans="2:8" ht="13.3" thickBot="1" x14ac:dyDescent="0.3">
      <c r="B65" s="63">
        <v>2545.0844444444447</v>
      </c>
      <c r="C65" s="63">
        <v>2.8744042634779379</v>
      </c>
      <c r="D65" s="51">
        <v>12.789322803742337</v>
      </c>
      <c r="F65" s="58">
        <v>3429.4666666666672</v>
      </c>
      <c r="G65" s="57">
        <v>1.4823978115165655</v>
      </c>
      <c r="H65" s="56">
        <v>52.786159197035865</v>
      </c>
    </row>
    <row r="66" spans="2:8" ht="13.3" thickBot="1" x14ac:dyDescent="0.3">
      <c r="B66" s="63">
        <v>2695.4044444444444</v>
      </c>
      <c r="C66" s="63">
        <v>3.5098640816991939</v>
      </c>
      <c r="D66" s="51">
        <v>13.273750202700919</v>
      </c>
      <c r="F66" s="58">
        <v>3408.0666666666675</v>
      </c>
      <c r="G66" s="57">
        <v>1.418876509121759</v>
      </c>
      <c r="H66" s="56">
        <v>16.475405996810963</v>
      </c>
    </row>
    <row r="67" spans="2:8" ht="13.3" thickBot="1" x14ac:dyDescent="0.3">
      <c r="B67" s="63">
        <v>2528.1288888888889</v>
      </c>
      <c r="C67" s="63">
        <v>3.0889883504157183</v>
      </c>
      <c r="D67" s="51">
        <v>4.4976839718578079</v>
      </c>
      <c r="F67" s="58">
        <v>3365.4044444444439</v>
      </c>
      <c r="G67" s="57">
        <v>1.419926835031849</v>
      </c>
      <c r="H67" s="56">
        <v>22.899515157204185</v>
      </c>
    </row>
    <row r="68" spans="2:8" ht="13.3" thickBot="1" x14ac:dyDescent="0.3">
      <c r="B68" s="63">
        <v>2725.5422222222223</v>
      </c>
      <c r="C68" s="63">
        <v>4.3319168167008089</v>
      </c>
      <c r="D68" s="51">
        <v>11.388979809959419</v>
      </c>
      <c r="F68" s="58">
        <v>3408.557777777778</v>
      </c>
      <c r="G68" s="57">
        <v>2.3620185758147989</v>
      </c>
      <c r="H68" s="56">
        <v>34.166208980680253</v>
      </c>
    </row>
    <row r="69" spans="2:8" ht="13.3" thickBot="1" x14ac:dyDescent="0.3">
      <c r="B69" s="63">
        <v>2825.3244444444445</v>
      </c>
      <c r="C69" s="63">
        <v>4.9414018480955662</v>
      </c>
      <c r="D69" s="51">
        <v>10.617371379087704</v>
      </c>
      <c r="F69" s="58">
        <v>3408.557777777778</v>
      </c>
      <c r="G69" s="57">
        <v>2.3620185758147989</v>
      </c>
      <c r="H69" s="56">
        <v>34.166208980680253</v>
      </c>
    </row>
    <row r="70" spans="2:8" ht="13.3" thickBot="1" x14ac:dyDescent="0.3">
      <c r="B70" s="63">
        <v>2536.715555555556</v>
      </c>
      <c r="C70" s="63">
        <v>2.9207474328750278</v>
      </c>
      <c r="D70" s="51">
        <v>4.6762603765849953</v>
      </c>
      <c r="F70" s="58">
        <v>3414.6311111111113</v>
      </c>
      <c r="G70" s="57">
        <v>1.8540599249167626</v>
      </c>
      <c r="H70" s="56">
        <v>29.160402708423739</v>
      </c>
    </row>
    <row r="71" spans="2:8" ht="13.3" thickBot="1" x14ac:dyDescent="0.3">
      <c r="B71" s="63">
        <v>2532.4088888888891</v>
      </c>
      <c r="C71" s="63">
        <v>3.0583389441166</v>
      </c>
      <c r="D71" s="51">
        <v>10.669733803842258</v>
      </c>
      <c r="F71" s="58">
        <v>3449.971111111111</v>
      </c>
      <c r="G71" s="57">
        <v>0.88992001108069407</v>
      </c>
      <c r="H71" s="56">
        <v>72.490924968433703</v>
      </c>
    </row>
    <row r="72" spans="2:8" ht="13.3" thickBot="1" x14ac:dyDescent="0.3">
      <c r="B72" s="63">
        <v>2951.7022222222222</v>
      </c>
      <c r="C72" s="63">
        <v>7.575879558811681</v>
      </c>
      <c r="D72" s="51">
        <v>4.5760381336039408</v>
      </c>
      <c r="F72" s="58">
        <v>3518.8288888888892</v>
      </c>
      <c r="G72" s="57">
        <v>1.289988800009106</v>
      </c>
      <c r="H72" s="56">
        <v>76.490579666881956</v>
      </c>
    </row>
    <row r="73" spans="2:8" ht="13.3" thickBot="1" x14ac:dyDescent="0.3">
      <c r="B73" s="63"/>
      <c r="C73" s="63"/>
      <c r="D73" s="51"/>
      <c r="F73" s="58">
        <v>3496.4577777777781</v>
      </c>
      <c r="G73" s="57">
        <v>0.99161995162271344</v>
      </c>
      <c r="H73" s="56">
        <v>26.553039845192803</v>
      </c>
    </row>
    <row r="74" spans="2:8" ht="13.3" thickBot="1" x14ac:dyDescent="0.3">
      <c r="B74" s="63">
        <v>2986.1733333333332</v>
      </c>
      <c r="C74" s="63">
        <v>6.5623262095813066</v>
      </c>
      <c r="D74" s="51">
        <v>4.8115849779404174</v>
      </c>
      <c r="F74" s="58">
        <v>3434.1933333333327</v>
      </c>
      <c r="G74" s="57">
        <v>0.84490831567658553</v>
      </c>
      <c r="H74" s="56">
        <v>25.891660229464627</v>
      </c>
    </row>
    <row r="75" spans="2:8" ht="13.3" thickBot="1" x14ac:dyDescent="0.3">
      <c r="B75" s="63">
        <v>2934.0888888888894</v>
      </c>
      <c r="C75" s="63">
        <v>6.7814519297199825</v>
      </c>
      <c r="D75" s="51">
        <v>33.707067796600249</v>
      </c>
      <c r="F75" s="58">
        <v>3411.4777777777772</v>
      </c>
      <c r="G75" s="57">
        <v>0.87065077555613601</v>
      </c>
      <c r="H75" s="56">
        <v>25.465457704781922</v>
      </c>
    </row>
    <row r="76" spans="2:8" ht="13.3" thickBot="1" x14ac:dyDescent="0.3">
      <c r="B76" s="63">
        <v>2892.5244444444443</v>
      </c>
      <c r="C76" s="63">
        <v>6.8262671646784918</v>
      </c>
      <c r="D76" s="51">
        <v>14.097973357115926</v>
      </c>
      <c r="F76" s="58">
        <v>3445.6155555555542</v>
      </c>
      <c r="G76" s="57">
        <v>1.0938429614151324</v>
      </c>
      <c r="H76" s="56">
        <v>19.056335560549329</v>
      </c>
    </row>
    <row r="77" spans="2:8" ht="13.3" thickBot="1" x14ac:dyDescent="0.3">
      <c r="B77" s="63">
        <v>2889.266666666666</v>
      </c>
      <c r="C77" s="63">
        <v>5.4944140470593217</v>
      </c>
      <c r="D77" s="51">
        <v>11.481543643834039</v>
      </c>
      <c r="F77" s="58">
        <v>3494.7799999999997</v>
      </c>
      <c r="G77" s="57">
        <v>0.96073780988532098</v>
      </c>
      <c r="H77" s="56">
        <v>24.966899309095162</v>
      </c>
    </row>
    <row r="78" spans="2:8" ht="13.3" thickBot="1" x14ac:dyDescent="0.3">
      <c r="B78" s="63">
        <v>2878.8088888888888</v>
      </c>
      <c r="C78" s="63">
        <v>4.6234322548757225</v>
      </c>
      <c r="D78" s="51">
        <v>6.0894781749090692</v>
      </c>
      <c r="F78" s="58">
        <v>3363.2622222222217</v>
      </c>
      <c r="G78" s="57">
        <v>1.433000571047597</v>
      </c>
      <c r="H78" s="56">
        <v>18.333429924324832</v>
      </c>
    </row>
    <row r="79" spans="2:8" ht="13.3" thickBot="1" x14ac:dyDescent="0.3">
      <c r="B79" s="63">
        <v>3051.7911111111116</v>
      </c>
      <c r="C79" s="63">
        <v>6.9784430747154405</v>
      </c>
      <c r="D79" s="51">
        <v>6.2627325860649288</v>
      </c>
      <c r="F79" s="58">
        <v>3402.0888888888894</v>
      </c>
      <c r="G79" s="57">
        <v>1.2730579371265232</v>
      </c>
      <c r="H79" s="56">
        <v>24.53545648658055</v>
      </c>
    </row>
    <row r="80" spans="2:8" ht="13.3" thickBot="1" x14ac:dyDescent="0.3">
      <c r="B80" s="57">
        <v>3157.6533333333336</v>
      </c>
      <c r="C80" s="57">
        <v>8.2751066963779785</v>
      </c>
      <c r="D80" s="51">
        <v>11.318377141181555</v>
      </c>
      <c r="F80" s="58">
        <v>3513.3555555555554</v>
      </c>
      <c r="G80" s="57">
        <v>1.2123987179231979</v>
      </c>
      <c r="H80" s="56">
        <v>32.780343746010239</v>
      </c>
    </row>
    <row r="81" spans="2:8" ht="13.3" thickBot="1" x14ac:dyDescent="0.3">
      <c r="B81" s="57">
        <v>2600.7822222222221</v>
      </c>
      <c r="C81" s="57">
        <v>14.574901930321973</v>
      </c>
      <c r="D81" s="51">
        <v>56.422279287530941</v>
      </c>
      <c r="F81" s="58">
        <v>3491.5355555555557</v>
      </c>
      <c r="G81" s="57">
        <v>0.920657908347987</v>
      </c>
      <c r="H81" s="56">
        <v>16.407271846329344</v>
      </c>
    </row>
    <row r="82" spans="2:8" ht="13.3" thickBot="1" x14ac:dyDescent="0.3">
      <c r="B82" s="57">
        <v>3137.2177777777779</v>
      </c>
      <c r="C82" s="57">
        <v>8.1151699644850339</v>
      </c>
      <c r="D82" s="51">
        <v>11.073958315637896</v>
      </c>
      <c r="F82" s="58">
        <v>3448.4599999999996</v>
      </c>
      <c r="G82" s="57">
        <v>1.2463191497417931</v>
      </c>
      <c r="H82" s="56">
        <v>19.34630584894763</v>
      </c>
    </row>
    <row r="83" spans="2:8" ht="13.3" thickBot="1" x14ac:dyDescent="0.3">
      <c r="B83" s="48">
        <v>2932.3999999999996</v>
      </c>
      <c r="C83" s="48">
        <v>7.2793835076151376</v>
      </c>
      <c r="D83" s="51">
        <v>3.9889068399514094</v>
      </c>
      <c r="F83" s="58">
        <v>3691.1799999999994</v>
      </c>
      <c r="G83" s="57">
        <v>1.1453749262489015</v>
      </c>
      <c r="H83" s="56">
        <v>28.846273348706898</v>
      </c>
    </row>
    <row r="84" spans="2:8" ht="13.3" thickBot="1" x14ac:dyDescent="0.3">
      <c r="B84" s="63"/>
      <c r="C84" s="63"/>
      <c r="D84" s="51"/>
      <c r="F84" s="58">
        <v>3612.1711111111103</v>
      </c>
      <c r="G84" s="57">
        <v>0.9333373941308567</v>
      </c>
      <c r="H84" s="56">
        <v>15.124059290734742</v>
      </c>
    </row>
    <row r="85" spans="2:8" ht="13.3" thickBot="1" x14ac:dyDescent="0.3">
      <c r="B85" s="63">
        <v>2896.902222222222</v>
      </c>
      <c r="C85" s="63">
        <v>6.6436712657468382</v>
      </c>
      <c r="D85" s="51">
        <v>4.7727379749703385</v>
      </c>
      <c r="F85" s="58">
        <v>3430.4533333333329</v>
      </c>
      <c r="G85" s="57">
        <v>1.4616824729944677</v>
      </c>
      <c r="H85" s="56">
        <v>14.204817844792982</v>
      </c>
    </row>
    <row r="86" spans="2:8" ht="13.3" thickBot="1" x14ac:dyDescent="0.3">
      <c r="B86" s="63">
        <v>3176.4755555555553</v>
      </c>
      <c r="C86" s="63">
        <v>7.004130415678028</v>
      </c>
      <c r="D86" s="51">
        <v>17.983897504269624</v>
      </c>
      <c r="F86" s="58">
        <v>3437.4555555555553</v>
      </c>
      <c r="G86" s="57">
        <v>1.3843631549569053</v>
      </c>
      <c r="H86" s="56">
        <v>16.862967150230279</v>
      </c>
    </row>
    <row r="87" spans="2:8" ht="13.3" thickBot="1" x14ac:dyDescent="0.3">
      <c r="B87" s="57">
        <v>2966.6133333333328</v>
      </c>
      <c r="C87" s="57">
        <v>7.6999443248210664</v>
      </c>
      <c r="D87" s="51">
        <v>5.6941395312168401</v>
      </c>
      <c r="F87" s="58">
        <v>3499.4222222222229</v>
      </c>
      <c r="G87" s="57">
        <v>1.1411339031829379</v>
      </c>
      <c r="H87" s="56">
        <v>23.264737802252274</v>
      </c>
    </row>
    <row r="88" spans="2:8" ht="13.3" thickBot="1" x14ac:dyDescent="0.3">
      <c r="B88" s="57">
        <v>2998.942222222222</v>
      </c>
      <c r="C88" s="57">
        <v>7.4759554961700854</v>
      </c>
      <c r="D88" s="51">
        <v>11.669064991618042</v>
      </c>
      <c r="F88" s="58">
        <v>3680.0755555555556</v>
      </c>
      <c r="G88" s="57">
        <v>1.2146121439568345</v>
      </c>
      <c r="H88" s="56">
        <v>31.017906029386833</v>
      </c>
    </row>
    <row r="89" spans="2:8" ht="13.3" thickBot="1" x14ac:dyDescent="0.3">
      <c r="B89" s="57"/>
      <c r="C89" s="57"/>
      <c r="D89" s="51"/>
      <c r="F89" s="58">
        <v>3463.4466666666672</v>
      </c>
      <c r="G89" s="57">
        <v>1.0387879841256216</v>
      </c>
      <c r="H89" s="56">
        <v>16.397087395071964</v>
      </c>
    </row>
    <row r="90" spans="2:8" ht="13.3" thickBot="1" x14ac:dyDescent="0.3">
      <c r="B90" s="63">
        <v>2934.5377777777776</v>
      </c>
      <c r="C90" s="63">
        <v>7.0157308531404228</v>
      </c>
      <c r="D90" s="51">
        <v>5.3560879172556808</v>
      </c>
      <c r="F90" s="58">
        <v>3457.3555555555558</v>
      </c>
      <c r="G90" s="57">
        <v>1.3230570866027385</v>
      </c>
      <c r="H90" s="56">
        <v>17.801618606267521</v>
      </c>
    </row>
    <row r="91" spans="2:8" ht="13.3" thickBot="1" x14ac:dyDescent="0.3">
      <c r="B91" s="63">
        <v>2925.5511111111114</v>
      </c>
      <c r="C91" s="63">
        <v>7.5765191756442807</v>
      </c>
      <c r="D91" s="51">
        <v>1.9310669189251721</v>
      </c>
      <c r="F91" s="58">
        <v>3440.557777777778</v>
      </c>
      <c r="G91" s="57">
        <v>1.6760984963636834</v>
      </c>
      <c r="H91" s="56">
        <v>27.822110861237018</v>
      </c>
    </row>
    <row r="92" spans="2:8" ht="13.3" thickBot="1" x14ac:dyDescent="0.3">
      <c r="B92" s="63">
        <v>2947.2977777777783</v>
      </c>
      <c r="C92" s="63">
        <v>6.6717791411042837</v>
      </c>
      <c r="D92" s="51">
        <v>4.9965274052544872</v>
      </c>
      <c r="F92" s="58">
        <v>3400.7955555555559</v>
      </c>
      <c r="G92" s="57">
        <v>0.81883014145039146</v>
      </c>
      <c r="H92" s="56">
        <v>68.294375642902736</v>
      </c>
    </row>
    <row r="93" spans="2:8" ht="13.3" thickBot="1" x14ac:dyDescent="0.3">
      <c r="B93" s="63">
        <v>2910.5733333333337</v>
      </c>
      <c r="C93" s="63">
        <v>7.155816724436745</v>
      </c>
      <c r="D93" s="51">
        <v>4.4747256276794545</v>
      </c>
      <c r="F93" s="58">
        <v>3587.9733333333334</v>
      </c>
      <c r="G93" s="57">
        <v>4.2682735192185</v>
      </c>
      <c r="H93" s="56">
        <v>63.68858396745501</v>
      </c>
    </row>
    <row r="94" spans="2:8" ht="13.3" thickBot="1" x14ac:dyDescent="0.3">
      <c r="B94" s="63"/>
      <c r="C94" s="63"/>
      <c r="D94" s="51"/>
      <c r="F94" s="58">
        <v>3465.06</v>
      </c>
      <c r="G94" s="57">
        <v>1.0911508389576849</v>
      </c>
      <c r="H94" s="56">
        <v>91.77967954718892</v>
      </c>
    </row>
    <row r="95" spans="2:8" ht="13.3" thickBot="1" x14ac:dyDescent="0.3">
      <c r="B95" s="63">
        <v>2878.8799999999997</v>
      </c>
      <c r="C95" s="63">
        <v>6.1966885821486493</v>
      </c>
      <c r="D95" s="51">
        <v>4.7754007976614758</v>
      </c>
      <c r="F95" s="58">
        <v>3544.2666666666669</v>
      </c>
      <c r="G95" s="57">
        <v>0.66525731091534857</v>
      </c>
      <c r="H95" s="56">
        <v>78.196647271056932</v>
      </c>
    </row>
    <row r="96" spans="2:8" x14ac:dyDescent="0.25">
      <c r="B96" s="63">
        <v>2969.08</v>
      </c>
      <c r="C96" s="63">
        <v>6.6442399744708194</v>
      </c>
      <c r="D96" s="51">
        <v>6.6497443560837803</v>
      </c>
      <c r="F96" s="58">
        <v>3348.8777777777773</v>
      </c>
      <c r="G96" s="57">
        <v>1.4017642533652199</v>
      </c>
      <c r="H96" s="56">
        <v>82.57494859888547</v>
      </c>
    </row>
    <row r="98" spans="1:8" x14ac:dyDescent="0.25">
      <c r="A98" s="129" t="s">
        <v>243</v>
      </c>
      <c r="B98" s="129">
        <f>AVERAGE(B3:B90)</f>
        <v>2736.2450264550271</v>
      </c>
      <c r="C98" s="129">
        <f>AVERAGE(C3:C90)</f>
        <v>4.6800108985447624</v>
      </c>
      <c r="E98" s="129" t="s">
        <v>243</v>
      </c>
      <c r="F98" s="129">
        <f>AVERAGE(F57:F96)</f>
        <v>3442.1790000000001</v>
      </c>
      <c r="G98" s="129">
        <f>AVERAGE(G57:G96)</f>
        <v>1.3713614045205067</v>
      </c>
    </row>
    <row r="99" spans="1:8" x14ac:dyDescent="0.25">
      <c r="A99" s="129" t="s">
        <v>244</v>
      </c>
      <c r="B99" s="129">
        <f>STDEV(B3:B90)</f>
        <v>180.08178301583587</v>
      </c>
      <c r="C99" s="129">
        <f>STDEV(C3:C90)</f>
        <v>2.4361406581909004</v>
      </c>
      <c r="D99" s="129">
        <f>AVERAGE(D57:D90)</f>
        <v>11.776425072619045</v>
      </c>
      <c r="E99" s="129" t="s">
        <v>244</v>
      </c>
      <c r="F99" s="129">
        <f>STDEV(F57:F96)</f>
        <v>107.69895617820072</v>
      </c>
      <c r="G99" s="129">
        <f>STDEV(G3:G96)</f>
        <v>1.5650987738949953</v>
      </c>
      <c r="H99" s="129">
        <f>AVERAGE(H57:H96)</f>
        <v>34.392118794607931</v>
      </c>
    </row>
    <row r="100" spans="1:8" x14ac:dyDescent="0.25">
      <c r="A100" s="129" t="s">
        <v>245</v>
      </c>
      <c r="B100" s="129">
        <f>3*B99</f>
        <v>540.2453490475076</v>
      </c>
      <c r="C100" s="129">
        <f>3*C99</f>
        <v>7.3084219745727008</v>
      </c>
      <c r="D100" s="129">
        <f>3*D99</f>
        <v>35.329275217857131</v>
      </c>
      <c r="E100" s="129" t="s">
        <v>245</v>
      </c>
      <c r="F100" s="129">
        <f>3*F99</f>
        <v>323.09686853460215</v>
      </c>
      <c r="G100" s="129">
        <f>3*G99</f>
        <v>4.6952963216849861</v>
      </c>
      <c r="H100" s="129">
        <f>3*H99</f>
        <v>103.17635638382379</v>
      </c>
    </row>
    <row r="101" spans="1:8" x14ac:dyDescent="0.25">
      <c r="A101" s="129" t="s">
        <v>220</v>
      </c>
      <c r="C101" s="129">
        <f>C98-C100</f>
        <v>-2.6284110760279384</v>
      </c>
      <c r="D101" s="129">
        <f>B98-B100</f>
        <v>2195.9996774075194</v>
      </c>
      <c r="E101" s="129" t="s">
        <v>220</v>
      </c>
      <c r="G101" s="129">
        <f>G98-G100</f>
        <v>-3.3239349171644794</v>
      </c>
      <c r="H101" s="138">
        <f>F98-F100</f>
        <v>3119.0821314653981</v>
      </c>
    </row>
    <row r="102" spans="1:8" x14ac:dyDescent="0.25">
      <c r="A102" s="129" t="s">
        <v>219</v>
      </c>
      <c r="C102" s="129">
        <f>C98+C100</f>
        <v>11.988432873117464</v>
      </c>
      <c r="D102" s="129">
        <f>B98+B100</f>
        <v>3276.4903755025348</v>
      </c>
      <c r="E102" s="129" t="s">
        <v>219</v>
      </c>
      <c r="G102" s="138">
        <f>G98+G100</f>
        <v>6.0666577262054933</v>
      </c>
      <c r="H102" s="138">
        <f>F98+F100</f>
        <v>3765.2758685346021</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REOX1C-WSA</vt:lpstr>
      <vt:lpstr>REOX1C-CP</vt:lpstr>
      <vt:lpstr>REOX1C-ER</vt:lpstr>
      <vt:lpstr>RUN_code</vt:lpstr>
      <vt:lpstr>CL calculation sheet</vt:lpstr>
      <vt:lpstr>_xlwings.conf</vt:lpstr>
      <vt:lpstr>'REOX1C-WSA'!Print_Area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2019-05-23T17:15:26Z</dcterms:modified>
</cp:coreProperties>
</file>